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_Python\pyHydraulics\pNet\"/>
    </mc:Choice>
  </mc:AlternateContent>
  <xr:revisionPtr revIDLastSave="0" documentId="8_{586F53E4-1F7F-4DF4-9EE9-797980598F33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1D" sheetId="1" r:id="rId1"/>
  </sheets>
  <definedNames>
    <definedName name="_xlnm._FilterDatabase" localSheetId="0" hidden="1">'1D'!$A$30:$X$36</definedName>
  </definedNames>
  <calcPr calcId="191029" iterate="1" iterateCount="250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694" i="1" l="1"/>
  <c r="J1694" i="1"/>
  <c r="AO1693" i="1"/>
  <c r="J1693" i="1"/>
  <c r="AO1692" i="1"/>
  <c r="J1692" i="1"/>
  <c r="AO1691" i="1"/>
  <c r="J1691" i="1"/>
  <c r="AO1690" i="1"/>
  <c r="J1690" i="1"/>
  <c r="AO1689" i="1"/>
  <c r="J1689" i="1"/>
  <c r="AO1688" i="1"/>
  <c r="J1688" i="1"/>
  <c r="AO1687" i="1"/>
  <c r="J1687" i="1"/>
  <c r="AO1686" i="1"/>
  <c r="J1686" i="1"/>
  <c r="AO1685" i="1"/>
  <c r="J1685" i="1"/>
  <c r="AO1684" i="1"/>
  <c r="J1684" i="1"/>
  <c r="AO1683" i="1"/>
  <c r="J1683" i="1"/>
  <c r="AO1682" i="1"/>
  <c r="J1682" i="1"/>
  <c r="AO1681" i="1"/>
  <c r="J1681" i="1"/>
  <c r="AO1680" i="1"/>
  <c r="J1680" i="1"/>
  <c r="AO1679" i="1"/>
  <c r="J1679" i="1"/>
  <c r="AO1678" i="1"/>
  <c r="J1678" i="1"/>
  <c r="AO1677" i="1"/>
  <c r="J1677" i="1"/>
  <c r="AO1676" i="1"/>
  <c r="J1676" i="1"/>
  <c r="AO1675" i="1"/>
  <c r="J1675" i="1"/>
  <c r="AO1674" i="1"/>
  <c r="J1674" i="1"/>
  <c r="AO1673" i="1"/>
  <c r="J1673" i="1"/>
  <c r="AO1672" i="1"/>
  <c r="J1672" i="1"/>
  <c r="AO1671" i="1"/>
  <c r="J1671" i="1"/>
  <c r="AO1670" i="1"/>
  <c r="J1670" i="1"/>
  <c r="AO1669" i="1"/>
  <c r="J1669" i="1"/>
  <c r="AO1668" i="1"/>
  <c r="J1668" i="1"/>
  <c r="AO1667" i="1"/>
  <c r="J1667" i="1"/>
  <c r="AO1666" i="1"/>
  <c r="J1666" i="1"/>
  <c r="AO1665" i="1"/>
  <c r="J1665" i="1"/>
  <c r="AO1664" i="1"/>
  <c r="J1664" i="1"/>
  <c r="AO1663" i="1"/>
  <c r="J1663" i="1"/>
  <c r="AO1662" i="1"/>
  <c r="J1662" i="1"/>
  <c r="AO1661" i="1"/>
  <c r="J1661" i="1"/>
  <c r="AO1660" i="1"/>
  <c r="J1660" i="1"/>
  <c r="AO1659" i="1"/>
  <c r="J1659" i="1"/>
  <c r="AO1658" i="1"/>
  <c r="J1658" i="1"/>
  <c r="AO1657" i="1"/>
  <c r="J1657" i="1"/>
  <c r="AO1656" i="1"/>
  <c r="J1656" i="1"/>
  <c r="AO1655" i="1"/>
  <c r="J1655" i="1"/>
  <c r="AO1654" i="1"/>
  <c r="J1654" i="1"/>
  <c r="AO1653" i="1"/>
  <c r="J1653" i="1"/>
  <c r="AO1652" i="1"/>
  <c r="J1652" i="1"/>
  <c r="AO1651" i="1"/>
  <c r="J1651" i="1"/>
  <c r="AO1650" i="1"/>
  <c r="J1650" i="1"/>
  <c r="AO1649" i="1"/>
  <c r="J1649" i="1"/>
  <c r="AO1648" i="1"/>
  <c r="AP1648" i="1" s="1"/>
  <c r="AP1649" i="1" s="1"/>
  <c r="AP1650" i="1" s="1"/>
  <c r="AP1651" i="1" s="1"/>
  <c r="AP1652" i="1" s="1"/>
  <c r="AP1653" i="1" s="1"/>
  <c r="AP1654" i="1" s="1"/>
  <c r="AP1655" i="1" s="1"/>
  <c r="AP1656" i="1" s="1"/>
  <c r="AP1657" i="1" s="1"/>
  <c r="AP1658" i="1" s="1"/>
  <c r="K1645" i="1"/>
  <c r="E1645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AO1615" i="1"/>
  <c r="J1615" i="1"/>
  <c r="AO1614" i="1"/>
  <c r="J1614" i="1"/>
  <c r="AO1613" i="1"/>
  <c r="J1613" i="1"/>
  <c r="AO1612" i="1"/>
  <c r="J1612" i="1"/>
  <c r="AO1611" i="1"/>
  <c r="J1611" i="1"/>
  <c r="AO1610" i="1"/>
  <c r="J1610" i="1"/>
  <c r="AO1609" i="1"/>
  <c r="AP1609" i="1" s="1"/>
  <c r="AP1610" i="1" s="1"/>
  <c r="AP1611" i="1" s="1"/>
  <c r="AP1612" i="1" s="1"/>
  <c r="AP1613" i="1" s="1"/>
  <c r="AP1614" i="1" s="1"/>
  <c r="AP1615" i="1" s="1"/>
  <c r="J1609" i="1"/>
  <c r="AO1608" i="1"/>
  <c r="J1608" i="1"/>
  <c r="AP1607" i="1"/>
  <c r="AP1608" i="1" s="1"/>
  <c r="AO1607" i="1"/>
  <c r="K1604" i="1"/>
  <c r="E1604" i="1"/>
  <c r="AO1601" i="1"/>
  <c r="J1601" i="1"/>
  <c r="AO1600" i="1"/>
  <c r="J1600" i="1"/>
  <c r="AO1599" i="1"/>
  <c r="J1599" i="1"/>
  <c r="AO1598" i="1"/>
  <c r="J1598" i="1"/>
  <c r="AO1597" i="1"/>
  <c r="J1597" i="1"/>
  <c r="AO1596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AO1569" i="1"/>
  <c r="J1569" i="1"/>
  <c r="AO1568" i="1"/>
  <c r="J1568" i="1"/>
  <c r="AO1567" i="1"/>
  <c r="J1567" i="1"/>
  <c r="AO1566" i="1"/>
  <c r="J1566" i="1"/>
  <c r="AO1565" i="1"/>
  <c r="J1565" i="1"/>
  <c r="AO1564" i="1"/>
  <c r="J1564" i="1"/>
  <c r="AO1563" i="1"/>
  <c r="AP1563" i="1" s="1"/>
  <c r="AP1564" i="1" s="1"/>
  <c r="AP1565" i="1" s="1"/>
  <c r="AP1566" i="1" s="1"/>
  <c r="AP1567" i="1" s="1"/>
  <c r="AP1568" i="1" s="1"/>
  <c r="AP1569" i="1" s="1"/>
  <c r="K1560" i="1"/>
  <c r="E1560" i="1"/>
  <c r="AO1557" i="1"/>
  <c r="J1557" i="1"/>
  <c r="AO1556" i="1"/>
  <c r="J1556" i="1"/>
  <c r="AO1555" i="1"/>
  <c r="J1555" i="1"/>
  <c r="AO1554" i="1"/>
  <c r="J1554" i="1"/>
  <c r="AO1553" i="1"/>
  <c r="J1553" i="1"/>
  <c r="AO1552" i="1"/>
  <c r="J1552" i="1"/>
  <c r="AO1551" i="1"/>
  <c r="J1551" i="1"/>
  <c r="AO1550" i="1"/>
  <c r="J1550" i="1"/>
  <c r="AO1549" i="1"/>
  <c r="J1549" i="1"/>
  <c r="AO1548" i="1"/>
  <c r="J1548" i="1"/>
  <c r="AO1547" i="1"/>
  <c r="J1547" i="1"/>
  <c r="AO1546" i="1"/>
  <c r="J1546" i="1"/>
  <c r="AO1545" i="1"/>
  <c r="J1545" i="1"/>
  <c r="AO1544" i="1"/>
  <c r="J1544" i="1"/>
  <c r="AO1543" i="1"/>
  <c r="J1543" i="1"/>
  <c r="AO1542" i="1"/>
  <c r="J1542" i="1"/>
  <c r="AO1541" i="1"/>
  <c r="J1541" i="1"/>
  <c r="AO1540" i="1"/>
  <c r="J1540" i="1"/>
  <c r="AO1539" i="1"/>
  <c r="O33" i="1" s="1"/>
  <c r="K1536" i="1"/>
  <c r="E1536" i="1"/>
  <c r="AO1533" i="1"/>
  <c r="J1533" i="1"/>
  <c r="AO1532" i="1"/>
  <c r="J1532" i="1"/>
  <c r="AO1531" i="1"/>
  <c r="J1531" i="1"/>
  <c r="AO1530" i="1"/>
  <c r="J1530" i="1"/>
  <c r="AO1529" i="1"/>
  <c r="J1529" i="1"/>
  <c r="AO1528" i="1"/>
  <c r="J1528" i="1"/>
  <c r="AO1527" i="1"/>
  <c r="J1527" i="1"/>
  <c r="AO1526" i="1"/>
  <c r="J1526" i="1"/>
  <c r="AO1525" i="1"/>
  <c r="J1525" i="1"/>
  <c r="AO1524" i="1"/>
  <c r="J1524" i="1"/>
  <c r="AO1523" i="1"/>
  <c r="J1523" i="1"/>
  <c r="AO1522" i="1"/>
  <c r="J1522" i="1"/>
  <c r="AO1521" i="1"/>
  <c r="J1521" i="1"/>
  <c r="AO1520" i="1"/>
  <c r="J1520" i="1"/>
  <c r="AO1519" i="1"/>
  <c r="J1519" i="1"/>
  <c r="AO1518" i="1"/>
  <c r="J1518" i="1"/>
  <c r="AO1517" i="1"/>
  <c r="J1517" i="1"/>
  <c r="AO1516" i="1"/>
  <c r="J1516" i="1"/>
  <c r="AO1515" i="1"/>
  <c r="J1515" i="1"/>
  <c r="AO1514" i="1"/>
  <c r="J1514" i="1"/>
  <c r="AO1513" i="1"/>
  <c r="J1513" i="1"/>
  <c r="AO1512" i="1"/>
  <c r="J1512" i="1"/>
  <c r="AO1511" i="1"/>
  <c r="J1511" i="1"/>
  <c r="AO1510" i="1"/>
  <c r="J1510" i="1"/>
  <c r="AO1509" i="1"/>
  <c r="J1509" i="1"/>
  <c r="AO1508" i="1"/>
  <c r="J1508" i="1"/>
  <c r="AO1507" i="1"/>
  <c r="J1507" i="1"/>
  <c r="AO1506" i="1"/>
  <c r="J1506" i="1"/>
  <c r="AO1505" i="1"/>
  <c r="J1505" i="1"/>
  <c r="AO1504" i="1"/>
  <c r="J1504" i="1"/>
  <c r="AO1503" i="1"/>
  <c r="J1503" i="1"/>
  <c r="AO1502" i="1"/>
  <c r="J1502" i="1"/>
  <c r="AO1501" i="1"/>
  <c r="J1501" i="1"/>
  <c r="AO1500" i="1"/>
  <c r="J1500" i="1"/>
  <c r="AO1499" i="1"/>
  <c r="J1499" i="1"/>
  <c r="AO1498" i="1"/>
  <c r="J1498" i="1"/>
  <c r="AO1497" i="1"/>
  <c r="J1497" i="1"/>
  <c r="AO1496" i="1"/>
  <c r="J1496" i="1"/>
  <c r="AO1495" i="1"/>
  <c r="J1495" i="1"/>
  <c r="AO1494" i="1"/>
  <c r="J1494" i="1"/>
  <c r="AO1493" i="1"/>
  <c r="J1493" i="1"/>
  <c r="AO1492" i="1"/>
  <c r="J1492" i="1"/>
  <c r="AO1491" i="1"/>
  <c r="J1491" i="1"/>
  <c r="AO1490" i="1"/>
  <c r="J1490" i="1"/>
  <c r="AO1489" i="1"/>
  <c r="J1489" i="1"/>
  <c r="AO1488" i="1"/>
  <c r="J1488" i="1"/>
  <c r="AO1487" i="1"/>
  <c r="J1487" i="1"/>
  <c r="AO1486" i="1"/>
  <c r="J1486" i="1"/>
  <c r="AO1485" i="1"/>
  <c r="J1485" i="1"/>
  <c r="AO1484" i="1"/>
  <c r="J1484" i="1"/>
  <c r="AO1483" i="1"/>
  <c r="J1483" i="1"/>
  <c r="AO1482" i="1"/>
  <c r="J1482" i="1"/>
  <c r="AO1481" i="1"/>
  <c r="J1481" i="1"/>
  <c r="AO1480" i="1"/>
  <c r="J1480" i="1"/>
  <c r="AO1479" i="1"/>
  <c r="J1479" i="1"/>
  <c r="AO1478" i="1"/>
  <c r="J1478" i="1"/>
  <c r="AO1477" i="1"/>
  <c r="J1477" i="1"/>
  <c r="AO1476" i="1"/>
  <c r="J1476" i="1"/>
  <c r="AO1475" i="1"/>
  <c r="J1475" i="1"/>
  <c r="AO1474" i="1"/>
  <c r="J1474" i="1"/>
  <c r="AO1473" i="1"/>
  <c r="J1473" i="1"/>
  <c r="AO1472" i="1"/>
  <c r="J1472" i="1"/>
  <c r="AO1471" i="1"/>
  <c r="J1471" i="1"/>
  <c r="AO1470" i="1"/>
  <c r="J1470" i="1"/>
  <c r="AO1469" i="1"/>
  <c r="J1469" i="1"/>
  <c r="AO1468" i="1"/>
  <c r="J1468" i="1"/>
  <c r="AO1467" i="1"/>
  <c r="J1467" i="1"/>
  <c r="AO1466" i="1"/>
  <c r="J1466" i="1"/>
  <c r="AO1465" i="1"/>
  <c r="J1465" i="1"/>
  <c r="AO1464" i="1"/>
  <c r="J1464" i="1"/>
  <c r="AO1463" i="1"/>
  <c r="J1463" i="1"/>
  <c r="AO1462" i="1"/>
  <c r="J1462" i="1"/>
  <c r="AO1461" i="1"/>
  <c r="J1461" i="1"/>
  <c r="AO1460" i="1"/>
  <c r="J1460" i="1"/>
  <c r="AO1459" i="1"/>
  <c r="J1459" i="1"/>
  <c r="AO1458" i="1"/>
  <c r="J1458" i="1"/>
  <c r="AO1457" i="1"/>
  <c r="J1457" i="1"/>
  <c r="AO1456" i="1"/>
  <c r="J1456" i="1"/>
  <c r="AO1455" i="1"/>
  <c r="J1455" i="1"/>
  <c r="AO1454" i="1"/>
  <c r="J1454" i="1"/>
  <c r="AO1453" i="1"/>
  <c r="J1453" i="1"/>
  <c r="AO1452" i="1"/>
  <c r="J1452" i="1"/>
  <c r="AO1451" i="1"/>
  <c r="J1451" i="1"/>
  <c r="AO1450" i="1"/>
  <c r="J1450" i="1"/>
  <c r="AO1449" i="1"/>
  <c r="J1449" i="1"/>
  <c r="AO1448" i="1"/>
  <c r="J1448" i="1"/>
  <c r="AO1447" i="1"/>
  <c r="J1447" i="1"/>
  <c r="AO1446" i="1"/>
  <c r="J1446" i="1"/>
  <c r="AO1445" i="1"/>
  <c r="J1445" i="1"/>
  <c r="AO1444" i="1"/>
  <c r="J1444" i="1"/>
  <c r="AO1443" i="1"/>
  <c r="J1443" i="1"/>
  <c r="AO1442" i="1"/>
  <c r="J1442" i="1"/>
  <c r="AO1441" i="1"/>
  <c r="J1441" i="1"/>
  <c r="AO1440" i="1"/>
  <c r="J1440" i="1"/>
  <c r="AO1439" i="1"/>
  <c r="J1439" i="1"/>
  <c r="AO1438" i="1"/>
  <c r="J1438" i="1"/>
  <c r="AO1437" i="1"/>
  <c r="J1437" i="1"/>
  <c r="AO1436" i="1"/>
  <c r="J1436" i="1"/>
  <c r="AO1435" i="1"/>
  <c r="J1435" i="1"/>
  <c r="AO1434" i="1"/>
  <c r="J1434" i="1"/>
  <c r="AO1433" i="1"/>
  <c r="J1433" i="1"/>
  <c r="AO1432" i="1"/>
  <c r="J1432" i="1"/>
  <c r="AO1431" i="1"/>
  <c r="J1431" i="1"/>
  <c r="AO1430" i="1"/>
  <c r="J1430" i="1"/>
  <c r="AO1429" i="1"/>
  <c r="J1429" i="1"/>
  <c r="AO1428" i="1"/>
  <c r="J1428" i="1"/>
  <c r="AO1427" i="1"/>
  <c r="J1427" i="1"/>
  <c r="AO1426" i="1"/>
  <c r="J1426" i="1"/>
  <c r="AO1425" i="1"/>
  <c r="J1425" i="1"/>
  <c r="AO1424" i="1"/>
  <c r="J1424" i="1"/>
  <c r="AO1423" i="1"/>
  <c r="J1423" i="1"/>
  <c r="AO1422" i="1"/>
  <c r="J1422" i="1"/>
  <c r="AO1421" i="1"/>
  <c r="J1421" i="1"/>
  <c r="AO1420" i="1"/>
  <c r="J1420" i="1"/>
  <c r="AO1419" i="1"/>
  <c r="J1419" i="1"/>
  <c r="AO1418" i="1"/>
  <c r="J1418" i="1"/>
  <c r="AO1417" i="1"/>
  <c r="J1417" i="1"/>
  <c r="AO1416" i="1"/>
  <c r="J1416" i="1"/>
  <c r="AO1415" i="1"/>
  <c r="J1415" i="1"/>
  <c r="AO1414" i="1"/>
  <c r="J1414" i="1"/>
  <c r="AO1413" i="1"/>
  <c r="J1413" i="1"/>
  <c r="AO1412" i="1"/>
  <c r="J1412" i="1"/>
  <c r="AO1411" i="1"/>
  <c r="J1411" i="1"/>
  <c r="AO1410" i="1"/>
  <c r="J1410" i="1"/>
  <c r="AO1409" i="1"/>
  <c r="J1409" i="1"/>
  <c r="AO1408" i="1"/>
  <c r="J1408" i="1"/>
  <c r="AO1407" i="1"/>
  <c r="J1407" i="1"/>
  <c r="AO1406" i="1"/>
  <c r="J1406" i="1"/>
  <c r="AO1405" i="1"/>
  <c r="J1405" i="1"/>
  <c r="AO1404" i="1"/>
  <c r="J1404" i="1"/>
  <c r="AO1403" i="1"/>
  <c r="J1403" i="1"/>
  <c r="AO1402" i="1"/>
  <c r="J1402" i="1"/>
  <c r="AO1401" i="1"/>
  <c r="J1401" i="1"/>
  <c r="AO1400" i="1"/>
  <c r="J1400" i="1"/>
  <c r="AO1399" i="1"/>
  <c r="J1399" i="1"/>
  <c r="AO1398" i="1"/>
  <c r="J1398" i="1"/>
  <c r="AO1397" i="1"/>
  <c r="J1397" i="1"/>
  <c r="AO1396" i="1"/>
  <c r="J1396" i="1"/>
  <c r="AO1395" i="1"/>
  <c r="J1395" i="1"/>
  <c r="AO1394" i="1"/>
  <c r="J1394" i="1"/>
  <c r="AO1393" i="1"/>
  <c r="J1393" i="1"/>
  <c r="AO1392" i="1"/>
  <c r="J1392" i="1"/>
  <c r="AO1391" i="1"/>
  <c r="J1391" i="1"/>
  <c r="AO1390" i="1"/>
  <c r="J1390" i="1"/>
  <c r="AO1389" i="1"/>
  <c r="J1389" i="1"/>
  <c r="AO1388" i="1"/>
  <c r="J1388" i="1"/>
  <c r="AO1387" i="1"/>
  <c r="J1387" i="1"/>
  <c r="AO1386" i="1"/>
  <c r="J1386" i="1"/>
  <c r="AO1385" i="1"/>
  <c r="J1385" i="1"/>
  <c r="AO1384" i="1"/>
  <c r="J1384" i="1"/>
  <c r="AO1383" i="1"/>
  <c r="J1383" i="1"/>
  <c r="AO1382" i="1"/>
  <c r="J1382" i="1"/>
  <c r="AO1381" i="1"/>
  <c r="J1381" i="1"/>
  <c r="AO1380" i="1"/>
  <c r="J1380" i="1"/>
  <c r="AO1379" i="1"/>
  <c r="J1379" i="1"/>
  <c r="AO1378" i="1"/>
  <c r="J1378" i="1"/>
  <c r="AO1377" i="1"/>
  <c r="J1377" i="1"/>
  <c r="AO1376" i="1"/>
  <c r="J1376" i="1"/>
  <c r="AO1375" i="1"/>
  <c r="J1375" i="1"/>
  <c r="AO1374" i="1"/>
  <c r="J1374" i="1"/>
  <c r="AO1373" i="1"/>
  <c r="J1373" i="1"/>
  <c r="AO1372" i="1"/>
  <c r="J1372" i="1"/>
  <c r="AO1371" i="1"/>
  <c r="J1371" i="1"/>
  <c r="AO1370" i="1"/>
  <c r="J1370" i="1"/>
  <c r="AO1369" i="1"/>
  <c r="J1369" i="1"/>
  <c r="AO1368" i="1"/>
  <c r="J1368" i="1"/>
  <c r="AO1367" i="1"/>
  <c r="J1367" i="1"/>
  <c r="AO1366" i="1"/>
  <c r="J1366" i="1"/>
  <c r="AO1365" i="1"/>
  <c r="J1365" i="1"/>
  <c r="AO1364" i="1"/>
  <c r="J1364" i="1"/>
  <c r="AO1363" i="1"/>
  <c r="J1363" i="1"/>
  <c r="AO1362" i="1"/>
  <c r="J1362" i="1"/>
  <c r="AO1361" i="1"/>
  <c r="J1361" i="1"/>
  <c r="AO1360" i="1"/>
  <c r="J1360" i="1"/>
  <c r="AO1359" i="1"/>
  <c r="J1359" i="1"/>
  <c r="AO1358" i="1"/>
  <c r="J1358" i="1"/>
  <c r="AO1357" i="1"/>
  <c r="J1357" i="1"/>
  <c r="AO1356" i="1"/>
  <c r="J1356" i="1"/>
  <c r="AO1355" i="1"/>
  <c r="J1355" i="1"/>
  <c r="AO1354" i="1"/>
  <c r="J1354" i="1"/>
  <c r="AO1353" i="1"/>
  <c r="J1353" i="1"/>
  <c r="AO1352" i="1"/>
  <c r="J1352" i="1"/>
  <c r="AO1351" i="1"/>
  <c r="J1351" i="1"/>
  <c r="AO1350" i="1"/>
  <c r="J1350" i="1"/>
  <c r="AO1349" i="1"/>
  <c r="J1349" i="1"/>
  <c r="AO1348" i="1"/>
  <c r="J1348" i="1"/>
  <c r="AO1347" i="1"/>
  <c r="J1347" i="1"/>
  <c r="AO1346" i="1"/>
  <c r="J1346" i="1"/>
  <c r="AO1345" i="1"/>
  <c r="J1345" i="1"/>
  <c r="AO1344" i="1"/>
  <c r="J1344" i="1"/>
  <c r="AO1343" i="1"/>
  <c r="J1343" i="1"/>
  <c r="AO1342" i="1"/>
  <c r="J1342" i="1"/>
  <c r="AO1341" i="1"/>
  <c r="J1341" i="1"/>
  <c r="AO1340" i="1"/>
  <c r="J1340" i="1"/>
  <c r="AO1339" i="1"/>
  <c r="J1339" i="1"/>
  <c r="AO1338" i="1"/>
  <c r="J1338" i="1"/>
  <c r="AO1337" i="1"/>
  <c r="J1337" i="1"/>
  <c r="AO1336" i="1"/>
  <c r="J1336" i="1"/>
  <c r="AO1335" i="1"/>
  <c r="J1335" i="1"/>
  <c r="AO1334" i="1"/>
  <c r="J1334" i="1"/>
  <c r="AO1333" i="1"/>
  <c r="J1333" i="1"/>
  <c r="AO1332" i="1"/>
  <c r="J1332" i="1"/>
  <c r="AO1331" i="1"/>
  <c r="J1331" i="1"/>
  <c r="AO1330" i="1"/>
  <c r="J1330" i="1"/>
  <c r="AO1329" i="1"/>
  <c r="J1329" i="1"/>
  <c r="AO1328" i="1"/>
  <c r="J1328" i="1"/>
  <c r="AO1327" i="1"/>
  <c r="J1327" i="1"/>
  <c r="AO1326" i="1"/>
  <c r="J1326" i="1"/>
  <c r="AO1325" i="1"/>
  <c r="J1325" i="1"/>
  <c r="AO1324" i="1"/>
  <c r="J1324" i="1"/>
  <c r="AO1323" i="1"/>
  <c r="J1323" i="1"/>
  <c r="AO1322" i="1"/>
  <c r="J1322" i="1"/>
  <c r="AO1321" i="1"/>
  <c r="J1321" i="1"/>
  <c r="AO1320" i="1"/>
  <c r="J1320" i="1"/>
  <c r="AO1319" i="1"/>
  <c r="J1319" i="1"/>
  <c r="AO1318" i="1"/>
  <c r="J1318" i="1"/>
  <c r="AO1317" i="1"/>
  <c r="J1317" i="1"/>
  <c r="AO1316" i="1"/>
  <c r="J1316" i="1"/>
  <c r="AO1315" i="1"/>
  <c r="J1315" i="1"/>
  <c r="AO1314" i="1"/>
  <c r="J1314" i="1"/>
  <c r="AO1313" i="1"/>
  <c r="J1313" i="1"/>
  <c r="AO1312" i="1"/>
  <c r="J1312" i="1"/>
  <c r="AO1311" i="1"/>
  <c r="J1311" i="1"/>
  <c r="AO1310" i="1"/>
  <c r="J1310" i="1"/>
  <c r="AO1309" i="1"/>
  <c r="J1309" i="1"/>
  <c r="AO1308" i="1"/>
  <c r="J1308" i="1"/>
  <c r="AO1307" i="1"/>
  <c r="J1307" i="1"/>
  <c r="AO1306" i="1"/>
  <c r="J1306" i="1"/>
  <c r="AO1305" i="1"/>
  <c r="J1305" i="1"/>
  <c r="AO1304" i="1"/>
  <c r="J1304" i="1"/>
  <c r="AO1303" i="1"/>
  <c r="J1303" i="1"/>
  <c r="AO1302" i="1"/>
  <c r="J1302" i="1"/>
  <c r="AO1301" i="1"/>
  <c r="J1301" i="1"/>
  <c r="AO1300" i="1"/>
  <c r="J1300" i="1"/>
  <c r="AO1299" i="1"/>
  <c r="J1299" i="1"/>
  <c r="AO1298" i="1"/>
  <c r="J1298" i="1"/>
  <c r="AO1297" i="1"/>
  <c r="J1297" i="1"/>
  <c r="AO1296" i="1"/>
  <c r="J1296" i="1"/>
  <c r="AO1295" i="1"/>
  <c r="J1295" i="1"/>
  <c r="AO1294" i="1"/>
  <c r="J1294" i="1"/>
  <c r="AO1293" i="1"/>
  <c r="J1293" i="1"/>
  <c r="AO1292" i="1"/>
  <c r="J1292" i="1"/>
  <c r="AO1291" i="1"/>
  <c r="J1291" i="1"/>
  <c r="AO1290" i="1"/>
  <c r="J1290" i="1"/>
  <c r="AO1289" i="1"/>
  <c r="J1289" i="1"/>
  <c r="AO1288" i="1"/>
  <c r="J1288" i="1"/>
  <c r="AO1287" i="1"/>
  <c r="J1287" i="1"/>
  <c r="AO1286" i="1"/>
  <c r="J1286" i="1"/>
  <c r="AO1285" i="1"/>
  <c r="J1285" i="1"/>
  <c r="AO1284" i="1"/>
  <c r="J1284" i="1"/>
  <c r="AO1283" i="1"/>
  <c r="J1283" i="1"/>
  <c r="AO1282" i="1"/>
  <c r="J1282" i="1"/>
  <c r="AO1281" i="1"/>
  <c r="J1281" i="1"/>
  <c r="AO1280" i="1"/>
  <c r="J1280" i="1"/>
  <c r="AO1279" i="1"/>
  <c r="J1279" i="1"/>
  <c r="AO1278" i="1"/>
  <c r="J1278" i="1"/>
  <c r="AO1277" i="1"/>
  <c r="J1277" i="1"/>
  <c r="AO1276" i="1"/>
  <c r="J1276" i="1"/>
  <c r="AO1275" i="1"/>
  <c r="J1275" i="1"/>
  <c r="AO1274" i="1"/>
  <c r="J1274" i="1"/>
  <c r="AO1273" i="1"/>
  <c r="J1273" i="1"/>
  <c r="AO1272" i="1"/>
  <c r="J1272" i="1"/>
  <c r="AO1271" i="1"/>
  <c r="J1271" i="1"/>
  <c r="AO1270" i="1"/>
  <c r="J1270" i="1"/>
  <c r="AO1269" i="1"/>
  <c r="J1269" i="1"/>
  <c r="AO1268" i="1"/>
  <c r="J1268" i="1"/>
  <c r="AO1267" i="1"/>
  <c r="J1267" i="1"/>
  <c r="AO1266" i="1"/>
  <c r="J1266" i="1"/>
  <c r="AO1265" i="1"/>
  <c r="J1265" i="1"/>
  <c r="AO1264" i="1"/>
  <c r="J1264" i="1"/>
  <c r="AO1263" i="1"/>
  <c r="J1263" i="1"/>
  <c r="AO1262" i="1"/>
  <c r="J1262" i="1"/>
  <c r="AO1261" i="1"/>
  <c r="J1261" i="1"/>
  <c r="AO1260" i="1"/>
  <c r="J1260" i="1"/>
  <c r="AO1259" i="1"/>
  <c r="J1259" i="1"/>
  <c r="AO1258" i="1"/>
  <c r="J1258" i="1"/>
  <c r="AO1257" i="1"/>
  <c r="J1257" i="1"/>
  <c r="AO1256" i="1"/>
  <c r="J1256" i="1"/>
  <c r="AO1255" i="1"/>
  <c r="J1255" i="1"/>
  <c r="AO1254" i="1"/>
  <c r="J1254" i="1"/>
  <c r="AO1253" i="1"/>
  <c r="J1253" i="1"/>
  <c r="AO1252" i="1"/>
  <c r="J1252" i="1"/>
  <c r="AO1251" i="1"/>
  <c r="J1251" i="1"/>
  <c r="AO1250" i="1"/>
  <c r="J1250" i="1"/>
  <c r="AO1249" i="1"/>
  <c r="J1249" i="1"/>
  <c r="AO1248" i="1"/>
  <c r="J1248" i="1"/>
  <c r="AO1247" i="1"/>
  <c r="J1247" i="1"/>
  <c r="AO1246" i="1"/>
  <c r="J1246" i="1"/>
  <c r="AO1245" i="1"/>
  <c r="J1245" i="1"/>
  <c r="AO1244" i="1"/>
  <c r="J1244" i="1"/>
  <c r="AO1243" i="1"/>
  <c r="J1243" i="1"/>
  <c r="AO1242" i="1"/>
  <c r="J1242" i="1"/>
  <c r="AO1241" i="1"/>
  <c r="J1241" i="1"/>
  <c r="AO1240" i="1"/>
  <c r="J1240" i="1"/>
  <c r="AO1239" i="1"/>
  <c r="J1239" i="1"/>
  <c r="AO1238" i="1"/>
  <c r="J1238" i="1"/>
  <c r="AO1237" i="1"/>
  <c r="J1237" i="1"/>
  <c r="AO1236" i="1"/>
  <c r="J1236" i="1"/>
  <c r="AO1235" i="1"/>
  <c r="J1235" i="1"/>
  <c r="AO1234" i="1"/>
  <c r="J1234" i="1"/>
  <c r="AO1233" i="1"/>
  <c r="J1233" i="1"/>
  <c r="AO1232" i="1"/>
  <c r="J1232" i="1"/>
  <c r="AO1231" i="1"/>
  <c r="J1231" i="1"/>
  <c r="AO1230" i="1"/>
  <c r="J1230" i="1"/>
  <c r="AO1229" i="1"/>
  <c r="J1229" i="1"/>
  <c r="AO1228" i="1"/>
  <c r="J1228" i="1"/>
  <c r="AO1227" i="1"/>
  <c r="J1227" i="1"/>
  <c r="AO1226" i="1"/>
  <c r="J1226" i="1"/>
  <c r="AO1225" i="1"/>
  <c r="J1225" i="1"/>
  <c r="AO1224" i="1"/>
  <c r="J1224" i="1"/>
  <c r="AO1223" i="1"/>
  <c r="J1223" i="1"/>
  <c r="AO1222" i="1"/>
  <c r="J1222" i="1"/>
  <c r="AO1221" i="1"/>
  <c r="J1221" i="1"/>
  <c r="AO1220" i="1"/>
  <c r="J1220" i="1"/>
  <c r="AO1219" i="1"/>
  <c r="J1219" i="1"/>
  <c r="AO1218" i="1"/>
  <c r="J1218" i="1"/>
  <c r="AO1217" i="1"/>
  <c r="J1217" i="1"/>
  <c r="AO1216" i="1"/>
  <c r="J1216" i="1"/>
  <c r="AO1215" i="1"/>
  <c r="J1215" i="1"/>
  <c r="AO1214" i="1"/>
  <c r="J1214" i="1"/>
  <c r="AO1213" i="1"/>
  <c r="J1213" i="1"/>
  <c r="AO1212" i="1"/>
  <c r="J1212" i="1"/>
  <c r="AO1211" i="1"/>
  <c r="J1211" i="1"/>
  <c r="AO1210" i="1"/>
  <c r="J1210" i="1"/>
  <c r="AO1209" i="1"/>
  <c r="J1209" i="1"/>
  <c r="AO1208" i="1"/>
  <c r="J1208" i="1"/>
  <c r="AO1207" i="1"/>
  <c r="J1207" i="1"/>
  <c r="AO1206" i="1"/>
  <c r="J1206" i="1"/>
  <c r="AO1205" i="1"/>
  <c r="J1205" i="1"/>
  <c r="AO1204" i="1"/>
  <c r="J1204" i="1"/>
  <c r="AO1203" i="1"/>
  <c r="J1203" i="1"/>
  <c r="AO1202" i="1"/>
  <c r="J1202" i="1"/>
  <c r="AO1201" i="1"/>
  <c r="J1201" i="1"/>
  <c r="AO1200" i="1"/>
  <c r="J1200" i="1"/>
  <c r="AO1199" i="1"/>
  <c r="J1199" i="1"/>
  <c r="AO1198" i="1"/>
  <c r="J1198" i="1"/>
  <c r="AO1197" i="1"/>
  <c r="J1197" i="1"/>
  <c r="AO1196" i="1"/>
  <c r="J1196" i="1"/>
  <c r="AO1195" i="1"/>
  <c r="J1195" i="1"/>
  <c r="AO1194" i="1"/>
  <c r="J1194" i="1"/>
  <c r="AO1193" i="1"/>
  <c r="J1193" i="1"/>
  <c r="AO1192" i="1"/>
  <c r="J1192" i="1"/>
  <c r="AO1191" i="1"/>
  <c r="J1191" i="1"/>
  <c r="AO1190" i="1"/>
  <c r="J1190" i="1"/>
  <c r="AO1189" i="1"/>
  <c r="J1189" i="1"/>
  <c r="AO1188" i="1"/>
  <c r="J1188" i="1"/>
  <c r="AO1187" i="1"/>
  <c r="J1187" i="1"/>
  <c r="AO1186" i="1"/>
  <c r="J1186" i="1"/>
  <c r="AO1185" i="1"/>
  <c r="J1185" i="1"/>
  <c r="AO1184" i="1"/>
  <c r="J1184" i="1"/>
  <c r="AO1183" i="1"/>
  <c r="J1183" i="1"/>
  <c r="AO1182" i="1"/>
  <c r="J1182" i="1"/>
  <c r="AO1181" i="1"/>
  <c r="J1181" i="1"/>
  <c r="AO1180" i="1"/>
  <c r="J1180" i="1"/>
  <c r="AO1179" i="1"/>
  <c r="J1179" i="1"/>
  <c r="AO1178" i="1"/>
  <c r="J1178" i="1"/>
  <c r="AO1177" i="1"/>
  <c r="J1177" i="1"/>
  <c r="AO1176" i="1"/>
  <c r="J1176" i="1"/>
  <c r="AO1175" i="1"/>
  <c r="J1175" i="1"/>
  <c r="AO1174" i="1"/>
  <c r="J1174" i="1"/>
  <c r="AO1173" i="1"/>
  <c r="J1173" i="1"/>
  <c r="AO1172" i="1"/>
  <c r="J1172" i="1"/>
  <c r="AO1171" i="1"/>
  <c r="J1171" i="1"/>
  <c r="AO1170" i="1"/>
  <c r="J1170" i="1"/>
  <c r="AO1169" i="1"/>
  <c r="J1169" i="1"/>
  <c r="AO1168" i="1"/>
  <c r="J1168" i="1"/>
  <c r="AO1167" i="1"/>
  <c r="J1167" i="1"/>
  <c r="AO1166" i="1"/>
  <c r="J1166" i="1"/>
  <c r="AO1165" i="1"/>
  <c r="J1165" i="1"/>
  <c r="AO1164" i="1"/>
  <c r="J1164" i="1"/>
  <c r="AO1163" i="1"/>
  <c r="J1163" i="1"/>
  <c r="AO1162" i="1"/>
  <c r="J1162" i="1"/>
  <c r="AO1161" i="1"/>
  <c r="J1161" i="1"/>
  <c r="AO1160" i="1"/>
  <c r="J1160" i="1"/>
  <c r="AO1159" i="1"/>
  <c r="J1159" i="1"/>
  <c r="AO1158" i="1"/>
  <c r="J1158" i="1"/>
  <c r="AO1157" i="1"/>
  <c r="J1157" i="1"/>
  <c r="AO1156" i="1"/>
  <c r="J1156" i="1"/>
  <c r="AO1155" i="1"/>
  <c r="J1155" i="1"/>
  <c r="AO1154" i="1"/>
  <c r="J1154" i="1"/>
  <c r="AO1153" i="1"/>
  <c r="J1153" i="1"/>
  <c r="AO1152" i="1"/>
  <c r="J1152" i="1"/>
  <c r="AO1151" i="1"/>
  <c r="J1151" i="1"/>
  <c r="AO1150" i="1"/>
  <c r="J1150" i="1"/>
  <c r="AO1149" i="1"/>
  <c r="J1149" i="1"/>
  <c r="AO1148" i="1"/>
  <c r="J1148" i="1"/>
  <c r="AO1147" i="1"/>
  <c r="J1147" i="1"/>
  <c r="AO1146" i="1"/>
  <c r="J1146" i="1"/>
  <c r="AO1145" i="1"/>
  <c r="J1145" i="1"/>
  <c r="AO1144" i="1"/>
  <c r="J1144" i="1"/>
  <c r="AO1143" i="1"/>
  <c r="J1143" i="1"/>
  <c r="AO1142" i="1"/>
  <c r="J1142" i="1"/>
  <c r="AO1141" i="1"/>
  <c r="J1141" i="1"/>
  <c r="AO1140" i="1"/>
  <c r="J1140" i="1"/>
  <c r="AO1139" i="1"/>
  <c r="J1139" i="1"/>
  <c r="AO1138" i="1"/>
  <c r="J1138" i="1"/>
  <c r="AO1137" i="1"/>
  <c r="J1137" i="1"/>
  <c r="AO1136" i="1"/>
  <c r="J1136" i="1"/>
  <c r="AO1135" i="1"/>
  <c r="J1135" i="1"/>
  <c r="AO1134" i="1"/>
  <c r="J1134" i="1"/>
  <c r="AO1133" i="1"/>
  <c r="J1133" i="1"/>
  <c r="AO1132" i="1"/>
  <c r="J1132" i="1"/>
  <c r="AO1131" i="1"/>
  <c r="J1131" i="1"/>
  <c r="AO1130" i="1"/>
  <c r="J1130" i="1"/>
  <c r="AO1129" i="1"/>
  <c r="J1129" i="1"/>
  <c r="AO1128" i="1"/>
  <c r="J1128" i="1"/>
  <c r="AO1127" i="1"/>
  <c r="J1127" i="1"/>
  <c r="AO1126" i="1"/>
  <c r="J1126" i="1"/>
  <c r="AO1125" i="1"/>
  <c r="J1125" i="1"/>
  <c r="AO1124" i="1"/>
  <c r="J1124" i="1"/>
  <c r="AO1123" i="1"/>
  <c r="J1123" i="1"/>
  <c r="AO1122" i="1"/>
  <c r="J1122" i="1"/>
  <c r="AO1121" i="1"/>
  <c r="J1121" i="1"/>
  <c r="AO1120" i="1"/>
  <c r="J1120" i="1"/>
  <c r="AO1119" i="1"/>
  <c r="J1119" i="1"/>
  <c r="AO1118" i="1"/>
  <c r="J1118" i="1"/>
  <c r="AO1117" i="1"/>
  <c r="J1117" i="1"/>
  <c r="AO1116" i="1"/>
  <c r="J1116" i="1"/>
  <c r="AO1115" i="1"/>
  <c r="J1115" i="1"/>
  <c r="AO1114" i="1"/>
  <c r="J1114" i="1"/>
  <c r="AO1113" i="1"/>
  <c r="J1113" i="1"/>
  <c r="AO1112" i="1"/>
  <c r="J1112" i="1"/>
  <c r="AO1111" i="1"/>
  <c r="J1111" i="1"/>
  <c r="AO1110" i="1"/>
  <c r="J1110" i="1"/>
  <c r="AO1109" i="1"/>
  <c r="J1109" i="1"/>
  <c r="AO1108" i="1"/>
  <c r="J1108" i="1"/>
  <c r="AO1107" i="1"/>
  <c r="J1107" i="1"/>
  <c r="AO1106" i="1"/>
  <c r="J1106" i="1"/>
  <c r="AO1105" i="1"/>
  <c r="J1105" i="1"/>
  <c r="AO1104" i="1"/>
  <c r="J1104" i="1"/>
  <c r="AO1103" i="1"/>
  <c r="J1103" i="1"/>
  <c r="AO1102" i="1"/>
  <c r="J1102" i="1"/>
  <c r="AO1101" i="1"/>
  <c r="J1101" i="1"/>
  <c r="AO1100" i="1"/>
  <c r="J1100" i="1"/>
  <c r="AO1099" i="1"/>
  <c r="J1099" i="1"/>
  <c r="AO1098" i="1"/>
  <c r="J1098" i="1"/>
  <c r="AO1097" i="1"/>
  <c r="J1097" i="1"/>
  <c r="AO1096" i="1"/>
  <c r="J1096" i="1"/>
  <c r="AO1095" i="1"/>
  <c r="J1095" i="1"/>
  <c r="AO1094" i="1"/>
  <c r="J1094" i="1"/>
  <c r="AO1093" i="1"/>
  <c r="J1093" i="1"/>
  <c r="AO1092" i="1"/>
  <c r="J1092" i="1"/>
  <c r="AO1091" i="1"/>
  <c r="J1091" i="1"/>
  <c r="AO1090" i="1"/>
  <c r="J1090" i="1"/>
  <c r="AO1089" i="1"/>
  <c r="J1089" i="1"/>
  <c r="AO1088" i="1"/>
  <c r="J1088" i="1"/>
  <c r="AO1087" i="1"/>
  <c r="J1087" i="1"/>
  <c r="AO1086" i="1"/>
  <c r="J1086" i="1"/>
  <c r="AO1085" i="1"/>
  <c r="J1085" i="1"/>
  <c r="AO1084" i="1"/>
  <c r="J1084" i="1"/>
  <c r="AO1083" i="1"/>
  <c r="J1083" i="1"/>
  <c r="AO1082" i="1"/>
  <c r="J1082" i="1"/>
  <c r="AO1081" i="1"/>
  <c r="J1081" i="1"/>
  <c r="AO1080" i="1"/>
  <c r="J1080" i="1"/>
  <c r="AO1079" i="1"/>
  <c r="J1079" i="1"/>
  <c r="AO1078" i="1"/>
  <c r="J1078" i="1"/>
  <c r="AO1077" i="1"/>
  <c r="J1077" i="1"/>
  <c r="AO1076" i="1"/>
  <c r="J1076" i="1"/>
  <c r="AO1075" i="1"/>
  <c r="J1075" i="1"/>
  <c r="AO1074" i="1"/>
  <c r="J1074" i="1"/>
  <c r="AO1073" i="1"/>
  <c r="J1073" i="1"/>
  <c r="AO1072" i="1"/>
  <c r="J1072" i="1"/>
  <c r="AO1071" i="1"/>
  <c r="J1071" i="1"/>
  <c r="AO1070" i="1"/>
  <c r="J1070" i="1"/>
  <c r="AO1069" i="1"/>
  <c r="J1069" i="1"/>
  <c r="AO1068" i="1"/>
  <c r="J1068" i="1"/>
  <c r="AO1067" i="1"/>
  <c r="J1067" i="1"/>
  <c r="AO1066" i="1"/>
  <c r="J1066" i="1"/>
  <c r="AO1065" i="1"/>
  <c r="J1065" i="1"/>
  <c r="AO1064" i="1"/>
  <c r="J1064" i="1"/>
  <c r="AO1063" i="1"/>
  <c r="J1063" i="1"/>
  <c r="AO1062" i="1"/>
  <c r="J1062" i="1"/>
  <c r="AO1061" i="1"/>
  <c r="J1061" i="1"/>
  <c r="AO1060" i="1"/>
  <c r="J1060" i="1"/>
  <c r="AO1059" i="1"/>
  <c r="J1059" i="1"/>
  <c r="AO1058" i="1"/>
  <c r="J1058" i="1"/>
  <c r="AO1057" i="1"/>
  <c r="J1057" i="1"/>
  <c r="AO1056" i="1"/>
  <c r="J1056" i="1"/>
  <c r="AO1055" i="1"/>
  <c r="J1055" i="1"/>
  <c r="AO1054" i="1"/>
  <c r="J1054" i="1"/>
  <c r="AO1053" i="1"/>
  <c r="J1053" i="1"/>
  <c r="AO1052" i="1"/>
  <c r="J1052" i="1"/>
  <c r="AO1051" i="1"/>
  <c r="J1051" i="1"/>
  <c r="AO1050" i="1"/>
  <c r="J1050" i="1"/>
  <c r="AO1049" i="1"/>
  <c r="J1049" i="1"/>
  <c r="AO1048" i="1"/>
  <c r="J1048" i="1"/>
  <c r="AO1047" i="1"/>
  <c r="J1047" i="1"/>
  <c r="AO1046" i="1"/>
  <c r="J1046" i="1"/>
  <c r="AO1045" i="1"/>
  <c r="J1045" i="1"/>
  <c r="AO1044" i="1"/>
  <c r="J1044" i="1"/>
  <c r="AO1043" i="1"/>
  <c r="J1043" i="1"/>
  <c r="AO1042" i="1"/>
  <c r="J1042" i="1"/>
  <c r="AO1041" i="1"/>
  <c r="J1041" i="1"/>
  <c r="AO1040" i="1"/>
  <c r="J1040" i="1"/>
  <c r="AO1039" i="1"/>
  <c r="J1039" i="1"/>
  <c r="AO1038" i="1"/>
  <c r="J1038" i="1"/>
  <c r="AO1037" i="1"/>
  <c r="J1037" i="1"/>
  <c r="AO1036" i="1"/>
  <c r="J1036" i="1"/>
  <c r="AO1035" i="1"/>
  <c r="J1035" i="1"/>
  <c r="AO1034" i="1"/>
  <c r="J1034" i="1"/>
  <c r="AO1033" i="1"/>
  <c r="J1033" i="1"/>
  <c r="AO1032" i="1"/>
  <c r="J1032" i="1"/>
  <c r="AO1031" i="1"/>
  <c r="J1031" i="1"/>
  <c r="AO1030" i="1"/>
  <c r="J1030" i="1"/>
  <c r="AO1029" i="1"/>
  <c r="J1029" i="1"/>
  <c r="AO1028" i="1"/>
  <c r="J1028" i="1"/>
  <c r="AO1027" i="1"/>
  <c r="J1027" i="1"/>
  <c r="AO1026" i="1"/>
  <c r="J1026" i="1"/>
  <c r="AO1025" i="1"/>
  <c r="J1025" i="1"/>
  <c r="AO1024" i="1"/>
  <c r="J1024" i="1"/>
  <c r="AO1023" i="1"/>
  <c r="J1023" i="1"/>
  <c r="AO1022" i="1"/>
  <c r="J1022" i="1"/>
  <c r="AO1021" i="1"/>
  <c r="J1021" i="1"/>
  <c r="AO1020" i="1"/>
  <c r="J1020" i="1"/>
  <c r="AO1019" i="1"/>
  <c r="J1019" i="1"/>
  <c r="AO1018" i="1"/>
  <c r="J1018" i="1"/>
  <c r="AO1017" i="1"/>
  <c r="J1017" i="1"/>
  <c r="AO1016" i="1"/>
  <c r="J1016" i="1"/>
  <c r="AO1015" i="1"/>
  <c r="J1015" i="1"/>
  <c r="AO1014" i="1"/>
  <c r="J1014" i="1"/>
  <c r="AO1013" i="1"/>
  <c r="J1013" i="1"/>
  <c r="AO1012" i="1"/>
  <c r="J1012" i="1"/>
  <c r="AO1011" i="1"/>
  <c r="J1011" i="1"/>
  <c r="AO1010" i="1"/>
  <c r="J1010" i="1"/>
  <c r="AO1009" i="1"/>
  <c r="J1009" i="1"/>
  <c r="AO1008" i="1"/>
  <c r="J1008" i="1"/>
  <c r="AO1007" i="1"/>
  <c r="J1007" i="1"/>
  <c r="AO1006" i="1"/>
  <c r="J1006" i="1"/>
  <c r="AO1005" i="1"/>
  <c r="J1005" i="1"/>
  <c r="AO1004" i="1"/>
  <c r="J1004" i="1"/>
  <c r="AO1003" i="1"/>
  <c r="J1003" i="1"/>
  <c r="AO1002" i="1"/>
  <c r="J1002" i="1"/>
  <c r="AO1001" i="1"/>
  <c r="J1001" i="1"/>
  <c r="AO1000" i="1"/>
  <c r="J1000" i="1"/>
  <c r="AO999" i="1"/>
  <c r="J999" i="1"/>
  <c r="AO998" i="1"/>
  <c r="J998" i="1"/>
  <c r="AO997" i="1"/>
  <c r="J997" i="1"/>
  <c r="AO996" i="1"/>
  <c r="J996" i="1"/>
  <c r="AO995" i="1"/>
  <c r="J995" i="1"/>
  <c r="AO994" i="1"/>
  <c r="J994" i="1"/>
  <c r="AO993" i="1"/>
  <c r="J993" i="1"/>
  <c r="AO992" i="1"/>
  <c r="J992" i="1"/>
  <c r="AO991" i="1"/>
  <c r="J991" i="1"/>
  <c r="AO990" i="1"/>
  <c r="J990" i="1"/>
  <c r="AO989" i="1"/>
  <c r="J989" i="1"/>
  <c r="AO988" i="1"/>
  <c r="J988" i="1"/>
  <c r="AO987" i="1"/>
  <c r="J987" i="1"/>
  <c r="AO986" i="1"/>
  <c r="J986" i="1"/>
  <c r="AO985" i="1"/>
  <c r="J985" i="1"/>
  <c r="AO984" i="1"/>
  <c r="J984" i="1"/>
  <c r="AO983" i="1"/>
  <c r="J983" i="1"/>
  <c r="AO982" i="1"/>
  <c r="J982" i="1"/>
  <c r="AO981" i="1"/>
  <c r="J981" i="1"/>
  <c r="AO980" i="1"/>
  <c r="J980" i="1"/>
  <c r="AO979" i="1"/>
  <c r="J979" i="1"/>
  <c r="AO978" i="1"/>
  <c r="J978" i="1"/>
  <c r="AO977" i="1"/>
  <c r="J977" i="1"/>
  <c r="AO976" i="1"/>
  <c r="J976" i="1"/>
  <c r="AO975" i="1"/>
  <c r="J975" i="1"/>
  <c r="AO974" i="1"/>
  <c r="J974" i="1"/>
  <c r="AO973" i="1"/>
  <c r="J973" i="1"/>
  <c r="AO972" i="1"/>
  <c r="J972" i="1"/>
  <c r="AO971" i="1"/>
  <c r="J971" i="1"/>
  <c r="AO970" i="1"/>
  <c r="J970" i="1"/>
  <c r="AO969" i="1"/>
  <c r="J969" i="1"/>
  <c r="AO968" i="1"/>
  <c r="J968" i="1"/>
  <c r="AO967" i="1"/>
  <c r="J967" i="1"/>
  <c r="AO966" i="1"/>
  <c r="J966" i="1"/>
  <c r="AO965" i="1"/>
  <c r="J965" i="1"/>
  <c r="AO964" i="1"/>
  <c r="J964" i="1"/>
  <c r="AO963" i="1"/>
  <c r="J963" i="1"/>
  <c r="AO962" i="1"/>
  <c r="J962" i="1"/>
  <c r="AO961" i="1"/>
  <c r="J961" i="1"/>
  <c r="AO960" i="1"/>
  <c r="J960" i="1"/>
  <c r="AO959" i="1"/>
  <c r="J959" i="1"/>
  <c r="AO958" i="1"/>
  <c r="J958" i="1"/>
  <c r="AO957" i="1"/>
  <c r="J957" i="1"/>
  <c r="AO956" i="1"/>
  <c r="J956" i="1"/>
  <c r="AO955" i="1"/>
  <c r="J955" i="1"/>
  <c r="AO954" i="1"/>
  <c r="J954" i="1"/>
  <c r="AO953" i="1"/>
  <c r="J953" i="1"/>
  <c r="AO952" i="1"/>
  <c r="J952" i="1"/>
  <c r="AO951" i="1"/>
  <c r="J951" i="1"/>
  <c r="AO950" i="1"/>
  <c r="J950" i="1"/>
  <c r="AO949" i="1"/>
  <c r="J949" i="1"/>
  <c r="AO948" i="1"/>
  <c r="J948" i="1"/>
  <c r="AO947" i="1"/>
  <c r="J947" i="1"/>
  <c r="AO946" i="1"/>
  <c r="J946" i="1"/>
  <c r="AO945" i="1"/>
  <c r="J945" i="1"/>
  <c r="AO944" i="1"/>
  <c r="J944" i="1"/>
  <c r="AO943" i="1"/>
  <c r="J943" i="1"/>
  <c r="AO942" i="1"/>
  <c r="J942" i="1"/>
  <c r="AO941" i="1"/>
  <c r="J941" i="1"/>
  <c r="AO940" i="1"/>
  <c r="J940" i="1"/>
  <c r="AO939" i="1"/>
  <c r="J939" i="1"/>
  <c r="AO938" i="1"/>
  <c r="J938" i="1"/>
  <c r="AO937" i="1"/>
  <c r="J937" i="1"/>
  <c r="AO936" i="1"/>
  <c r="J936" i="1"/>
  <c r="AO935" i="1"/>
  <c r="J935" i="1"/>
  <c r="AO934" i="1"/>
  <c r="J934" i="1"/>
  <c r="AO933" i="1"/>
  <c r="J933" i="1"/>
  <c r="AO932" i="1"/>
  <c r="J932" i="1"/>
  <c r="AO931" i="1"/>
  <c r="J931" i="1"/>
  <c r="AO930" i="1"/>
  <c r="J930" i="1"/>
  <c r="AO929" i="1"/>
  <c r="J929" i="1"/>
  <c r="AO928" i="1"/>
  <c r="J928" i="1"/>
  <c r="AO927" i="1"/>
  <c r="J927" i="1"/>
  <c r="AO926" i="1"/>
  <c r="J926" i="1"/>
  <c r="AO925" i="1"/>
  <c r="J925" i="1"/>
  <c r="AO924" i="1"/>
  <c r="J924" i="1"/>
  <c r="AO923" i="1"/>
  <c r="J923" i="1"/>
  <c r="AO922" i="1"/>
  <c r="J922" i="1"/>
  <c r="AO921" i="1"/>
  <c r="J921" i="1"/>
  <c r="AO920" i="1"/>
  <c r="J920" i="1"/>
  <c r="AO919" i="1"/>
  <c r="J919" i="1"/>
  <c r="AO918" i="1"/>
  <c r="J918" i="1"/>
  <c r="AO917" i="1"/>
  <c r="J917" i="1"/>
  <c r="AO916" i="1"/>
  <c r="J916" i="1"/>
  <c r="AO915" i="1"/>
  <c r="J915" i="1"/>
  <c r="AO914" i="1"/>
  <c r="J914" i="1"/>
  <c r="AO913" i="1"/>
  <c r="J913" i="1"/>
  <c r="AO912" i="1"/>
  <c r="J912" i="1"/>
  <c r="AO911" i="1"/>
  <c r="J911" i="1"/>
  <c r="AO910" i="1"/>
  <c r="J910" i="1"/>
  <c r="AO909" i="1"/>
  <c r="J909" i="1"/>
  <c r="AO908" i="1"/>
  <c r="J908" i="1"/>
  <c r="AO907" i="1"/>
  <c r="J907" i="1"/>
  <c r="AO906" i="1"/>
  <c r="J906" i="1"/>
  <c r="AO905" i="1"/>
  <c r="J905" i="1"/>
  <c r="AO904" i="1"/>
  <c r="J904" i="1"/>
  <c r="AO903" i="1"/>
  <c r="J903" i="1"/>
  <c r="AO902" i="1"/>
  <c r="J902" i="1"/>
  <c r="AO901" i="1"/>
  <c r="J901" i="1"/>
  <c r="AO900" i="1"/>
  <c r="J900" i="1"/>
  <c r="AO899" i="1"/>
  <c r="J899" i="1"/>
  <c r="AO898" i="1"/>
  <c r="J898" i="1"/>
  <c r="AO897" i="1"/>
  <c r="J897" i="1"/>
  <c r="AO896" i="1"/>
  <c r="J896" i="1"/>
  <c r="AO895" i="1"/>
  <c r="J895" i="1"/>
  <c r="AO894" i="1"/>
  <c r="J894" i="1"/>
  <c r="AO893" i="1"/>
  <c r="J893" i="1"/>
  <c r="AO892" i="1"/>
  <c r="J892" i="1"/>
  <c r="AO891" i="1"/>
  <c r="J891" i="1"/>
  <c r="AO890" i="1"/>
  <c r="J890" i="1"/>
  <c r="AO889" i="1"/>
  <c r="J889" i="1"/>
  <c r="AO888" i="1"/>
  <c r="J888" i="1"/>
  <c r="AO887" i="1"/>
  <c r="J887" i="1"/>
  <c r="AO886" i="1"/>
  <c r="J886" i="1"/>
  <c r="AO885" i="1"/>
  <c r="J885" i="1"/>
  <c r="AO884" i="1"/>
  <c r="J884" i="1"/>
  <c r="AO883" i="1"/>
  <c r="J883" i="1"/>
  <c r="AO882" i="1"/>
  <c r="J882" i="1"/>
  <c r="AO881" i="1"/>
  <c r="J881" i="1"/>
  <c r="AO880" i="1"/>
  <c r="J880" i="1"/>
  <c r="AO879" i="1"/>
  <c r="J879" i="1"/>
  <c r="AO878" i="1"/>
  <c r="J878" i="1"/>
  <c r="AO877" i="1"/>
  <c r="J877" i="1"/>
  <c r="AO876" i="1"/>
  <c r="J876" i="1"/>
  <c r="AO875" i="1"/>
  <c r="J875" i="1"/>
  <c r="AO874" i="1"/>
  <c r="J874" i="1"/>
  <c r="AO873" i="1"/>
  <c r="J873" i="1"/>
  <c r="AO872" i="1"/>
  <c r="J872" i="1"/>
  <c r="AO871" i="1"/>
  <c r="J871" i="1"/>
  <c r="AO870" i="1"/>
  <c r="J870" i="1"/>
  <c r="AO869" i="1"/>
  <c r="J869" i="1"/>
  <c r="AO868" i="1"/>
  <c r="J868" i="1"/>
  <c r="AO867" i="1"/>
  <c r="J867" i="1"/>
  <c r="AO866" i="1"/>
  <c r="J866" i="1"/>
  <c r="AO865" i="1"/>
  <c r="J865" i="1"/>
  <c r="AO864" i="1"/>
  <c r="J864" i="1"/>
  <c r="AO863" i="1"/>
  <c r="J863" i="1"/>
  <c r="AO862" i="1"/>
  <c r="J862" i="1"/>
  <c r="AO861" i="1"/>
  <c r="J861" i="1"/>
  <c r="AO860" i="1"/>
  <c r="J860" i="1"/>
  <c r="AO859" i="1"/>
  <c r="J859" i="1"/>
  <c r="AO858" i="1"/>
  <c r="J858" i="1"/>
  <c r="AO857" i="1"/>
  <c r="J857" i="1"/>
  <c r="AO856" i="1"/>
  <c r="J856" i="1"/>
  <c r="AO855" i="1"/>
  <c r="J855" i="1"/>
  <c r="AO854" i="1"/>
  <c r="J854" i="1"/>
  <c r="AO853" i="1"/>
  <c r="J853" i="1"/>
  <c r="AO852" i="1"/>
  <c r="J852" i="1"/>
  <c r="AO851" i="1"/>
  <c r="J851" i="1"/>
  <c r="AO850" i="1"/>
  <c r="J850" i="1"/>
  <c r="AO849" i="1"/>
  <c r="J849" i="1"/>
  <c r="AO848" i="1"/>
  <c r="J848" i="1"/>
  <c r="AO847" i="1"/>
  <c r="J847" i="1"/>
  <c r="AO846" i="1"/>
  <c r="J846" i="1"/>
  <c r="AO845" i="1"/>
  <c r="J845" i="1"/>
  <c r="AO844" i="1"/>
  <c r="J844" i="1"/>
  <c r="AO843" i="1"/>
  <c r="J843" i="1"/>
  <c r="AO842" i="1"/>
  <c r="J842" i="1"/>
  <c r="AO841" i="1"/>
  <c r="J841" i="1"/>
  <c r="AO840" i="1"/>
  <c r="J840" i="1"/>
  <c r="AO839" i="1"/>
  <c r="J839" i="1"/>
  <c r="AO838" i="1"/>
  <c r="J838" i="1"/>
  <c r="AO837" i="1"/>
  <c r="J837" i="1"/>
  <c r="AO836" i="1"/>
  <c r="J836" i="1"/>
  <c r="AO835" i="1"/>
  <c r="J835" i="1"/>
  <c r="AO834" i="1"/>
  <c r="J834" i="1"/>
  <c r="AO833" i="1"/>
  <c r="J833" i="1"/>
  <c r="AO832" i="1"/>
  <c r="J832" i="1"/>
  <c r="AO831" i="1"/>
  <c r="J831" i="1"/>
  <c r="AO830" i="1"/>
  <c r="J830" i="1"/>
  <c r="AO829" i="1"/>
  <c r="J829" i="1"/>
  <c r="AO828" i="1"/>
  <c r="J828" i="1"/>
  <c r="AO827" i="1"/>
  <c r="J827" i="1"/>
  <c r="AO826" i="1"/>
  <c r="J826" i="1"/>
  <c r="AO825" i="1"/>
  <c r="J825" i="1"/>
  <c r="AO824" i="1"/>
  <c r="J824" i="1"/>
  <c r="AO823" i="1"/>
  <c r="J823" i="1"/>
  <c r="AO822" i="1"/>
  <c r="J822" i="1"/>
  <c r="AO821" i="1"/>
  <c r="J821" i="1"/>
  <c r="AO820" i="1"/>
  <c r="J820" i="1"/>
  <c r="AO819" i="1"/>
  <c r="J819" i="1"/>
  <c r="AO818" i="1"/>
  <c r="J818" i="1"/>
  <c r="AO817" i="1"/>
  <c r="J817" i="1"/>
  <c r="AO816" i="1"/>
  <c r="J816" i="1"/>
  <c r="AO815" i="1"/>
  <c r="J815" i="1"/>
  <c r="AO814" i="1"/>
  <c r="J814" i="1"/>
  <c r="AO813" i="1"/>
  <c r="J813" i="1"/>
  <c r="AO812" i="1"/>
  <c r="J812" i="1"/>
  <c r="AO811" i="1"/>
  <c r="J811" i="1"/>
  <c r="AO810" i="1"/>
  <c r="J810" i="1"/>
  <c r="AO809" i="1"/>
  <c r="J809" i="1"/>
  <c r="AO808" i="1"/>
  <c r="J808" i="1"/>
  <c r="AO807" i="1"/>
  <c r="J807" i="1"/>
  <c r="AO806" i="1"/>
  <c r="J806" i="1"/>
  <c r="AO805" i="1"/>
  <c r="J805" i="1"/>
  <c r="AO804" i="1"/>
  <c r="J804" i="1"/>
  <c r="AO803" i="1"/>
  <c r="J803" i="1"/>
  <c r="AO802" i="1"/>
  <c r="J802" i="1"/>
  <c r="AO801" i="1"/>
  <c r="J801" i="1"/>
  <c r="AO800" i="1"/>
  <c r="J800" i="1"/>
  <c r="AO799" i="1"/>
  <c r="J799" i="1"/>
  <c r="AO798" i="1"/>
  <c r="J798" i="1"/>
  <c r="AO797" i="1"/>
  <c r="J797" i="1"/>
  <c r="AO796" i="1"/>
  <c r="J796" i="1"/>
  <c r="AO795" i="1"/>
  <c r="J795" i="1"/>
  <c r="AO794" i="1"/>
  <c r="J794" i="1"/>
  <c r="AO793" i="1"/>
  <c r="J793" i="1"/>
  <c r="AO792" i="1"/>
  <c r="J792" i="1"/>
  <c r="AO791" i="1"/>
  <c r="J791" i="1"/>
  <c r="AO790" i="1"/>
  <c r="J790" i="1"/>
  <c r="AO789" i="1"/>
  <c r="J789" i="1"/>
  <c r="AO788" i="1"/>
  <c r="J788" i="1"/>
  <c r="AO787" i="1"/>
  <c r="J787" i="1"/>
  <c r="AO786" i="1"/>
  <c r="J786" i="1"/>
  <c r="AO785" i="1"/>
  <c r="J785" i="1"/>
  <c r="AO784" i="1"/>
  <c r="J784" i="1"/>
  <c r="AO783" i="1"/>
  <c r="J783" i="1"/>
  <c r="AO782" i="1"/>
  <c r="J782" i="1"/>
  <c r="AO781" i="1"/>
  <c r="J781" i="1"/>
  <c r="AO780" i="1"/>
  <c r="J780" i="1"/>
  <c r="AO779" i="1"/>
  <c r="J779" i="1"/>
  <c r="AO778" i="1"/>
  <c r="J778" i="1"/>
  <c r="AO777" i="1"/>
  <c r="J777" i="1"/>
  <c r="AO776" i="1"/>
  <c r="J776" i="1"/>
  <c r="AO775" i="1"/>
  <c r="J775" i="1"/>
  <c r="AO774" i="1"/>
  <c r="J774" i="1"/>
  <c r="AO773" i="1"/>
  <c r="J773" i="1"/>
  <c r="AO772" i="1"/>
  <c r="J772" i="1"/>
  <c r="AO771" i="1"/>
  <c r="J771" i="1"/>
  <c r="AO770" i="1"/>
  <c r="J770" i="1"/>
  <c r="AO769" i="1"/>
  <c r="J769" i="1"/>
  <c r="AO768" i="1"/>
  <c r="J768" i="1"/>
  <c r="AO767" i="1"/>
  <c r="J767" i="1"/>
  <c r="AO766" i="1"/>
  <c r="J766" i="1"/>
  <c r="AO765" i="1"/>
  <c r="J765" i="1"/>
  <c r="AO764" i="1"/>
  <c r="J764" i="1"/>
  <c r="AO763" i="1"/>
  <c r="J763" i="1"/>
  <c r="AO762" i="1"/>
  <c r="J762" i="1"/>
  <c r="AO761" i="1"/>
  <c r="J761" i="1"/>
  <c r="AO760" i="1"/>
  <c r="J760" i="1"/>
  <c r="AO759" i="1"/>
  <c r="J759" i="1"/>
  <c r="AO758" i="1"/>
  <c r="J758" i="1"/>
  <c r="AO757" i="1"/>
  <c r="J757" i="1"/>
  <c r="AO756" i="1"/>
  <c r="J756" i="1"/>
  <c r="AO755" i="1"/>
  <c r="J755" i="1"/>
  <c r="AO754" i="1"/>
  <c r="J754" i="1"/>
  <c r="AO753" i="1"/>
  <c r="J753" i="1"/>
  <c r="AO752" i="1"/>
  <c r="J752" i="1"/>
  <c r="AO751" i="1"/>
  <c r="J751" i="1"/>
  <c r="AO750" i="1"/>
  <c r="J750" i="1"/>
  <c r="AO749" i="1"/>
  <c r="J749" i="1"/>
  <c r="AO748" i="1"/>
  <c r="J748" i="1"/>
  <c r="AO747" i="1"/>
  <c r="J747" i="1"/>
  <c r="AO746" i="1"/>
  <c r="J746" i="1"/>
  <c r="AO745" i="1"/>
  <c r="J745" i="1"/>
  <c r="AO744" i="1"/>
  <c r="J744" i="1"/>
  <c r="AO743" i="1"/>
  <c r="J743" i="1"/>
  <c r="AO742" i="1"/>
  <c r="J742" i="1"/>
  <c r="AO741" i="1"/>
  <c r="J741" i="1"/>
  <c r="AO740" i="1"/>
  <c r="J740" i="1"/>
  <c r="AO739" i="1"/>
  <c r="J739" i="1"/>
  <c r="AO738" i="1"/>
  <c r="J738" i="1"/>
  <c r="AO737" i="1"/>
  <c r="J737" i="1"/>
  <c r="AO736" i="1"/>
  <c r="J736" i="1"/>
  <c r="AO735" i="1"/>
  <c r="J735" i="1"/>
  <c r="AO734" i="1"/>
  <c r="J734" i="1"/>
  <c r="AO733" i="1"/>
  <c r="J733" i="1"/>
  <c r="AO732" i="1"/>
  <c r="J732" i="1"/>
  <c r="AO731" i="1"/>
  <c r="J731" i="1"/>
  <c r="AO730" i="1"/>
  <c r="J730" i="1"/>
  <c r="AO729" i="1"/>
  <c r="J729" i="1"/>
  <c r="AO728" i="1"/>
  <c r="J728" i="1"/>
  <c r="AO727" i="1"/>
  <c r="J727" i="1"/>
  <c r="AO726" i="1"/>
  <c r="J726" i="1"/>
  <c r="AO725" i="1"/>
  <c r="J725" i="1"/>
  <c r="AO724" i="1"/>
  <c r="J724" i="1"/>
  <c r="AO723" i="1"/>
  <c r="J723" i="1"/>
  <c r="AO722" i="1"/>
  <c r="J722" i="1"/>
  <c r="AO721" i="1"/>
  <c r="J721" i="1"/>
  <c r="AO720" i="1"/>
  <c r="J720" i="1"/>
  <c r="AO719" i="1"/>
  <c r="J719" i="1"/>
  <c r="AO718" i="1"/>
  <c r="J718" i="1"/>
  <c r="AO717" i="1"/>
  <c r="J717" i="1"/>
  <c r="AO716" i="1"/>
  <c r="J716" i="1"/>
  <c r="AO715" i="1"/>
  <c r="J715" i="1"/>
  <c r="AO714" i="1"/>
  <c r="J714" i="1"/>
  <c r="AO713" i="1"/>
  <c r="J713" i="1"/>
  <c r="AO712" i="1"/>
  <c r="J712" i="1"/>
  <c r="AO711" i="1"/>
  <c r="J711" i="1"/>
  <c r="AO710" i="1"/>
  <c r="J710" i="1"/>
  <c r="AO709" i="1"/>
  <c r="J709" i="1"/>
  <c r="AO708" i="1"/>
  <c r="J708" i="1"/>
  <c r="AO707" i="1"/>
  <c r="J707" i="1"/>
  <c r="AO706" i="1"/>
  <c r="J706" i="1"/>
  <c r="AO705" i="1"/>
  <c r="J705" i="1"/>
  <c r="AO704" i="1"/>
  <c r="J704" i="1"/>
  <c r="AO703" i="1"/>
  <c r="J703" i="1"/>
  <c r="AO702" i="1"/>
  <c r="J702" i="1"/>
  <c r="AO701" i="1"/>
  <c r="J701" i="1"/>
  <c r="AO700" i="1"/>
  <c r="J700" i="1"/>
  <c r="AO699" i="1"/>
  <c r="J699" i="1"/>
  <c r="AO698" i="1"/>
  <c r="J698" i="1"/>
  <c r="AO697" i="1"/>
  <c r="J697" i="1"/>
  <c r="AO696" i="1"/>
  <c r="J696" i="1"/>
  <c r="AO695" i="1"/>
  <c r="J695" i="1"/>
  <c r="AO694" i="1"/>
  <c r="J694" i="1"/>
  <c r="AO693" i="1"/>
  <c r="J693" i="1"/>
  <c r="AO692" i="1"/>
  <c r="J692" i="1"/>
  <c r="AO691" i="1"/>
  <c r="J691" i="1"/>
  <c r="AO690" i="1"/>
  <c r="J690" i="1"/>
  <c r="AO689" i="1"/>
  <c r="J689" i="1"/>
  <c r="AO688" i="1"/>
  <c r="J688" i="1"/>
  <c r="AO687" i="1"/>
  <c r="J687" i="1"/>
  <c r="AO686" i="1"/>
  <c r="J686" i="1"/>
  <c r="AO685" i="1"/>
  <c r="J685" i="1"/>
  <c r="AO684" i="1"/>
  <c r="J684" i="1"/>
  <c r="AO683" i="1"/>
  <c r="J683" i="1"/>
  <c r="AO682" i="1"/>
  <c r="J682" i="1"/>
  <c r="AO681" i="1"/>
  <c r="J681" i="1"/>
  <c r="AO680" i="1"/>
  <c r="J680" i="1"/>
  <c r="AO679" i="1"/>
  <c r="J679" i="1"/>
  <c r="AO678" i="1"/>
  <c r="J678" i="1"/>
  <c r="AO677" i="1"/>
  <c r="J677" i="1"/>
  <c r="AO676" i="1"/>
  <c r="J676" i="1"/>
  <c r="AO675" i="1"/>
  <c r="J675" i="1"/>
  <c r="AO674" i="1"/>
  <c r="J674" i="1"/>
  <c r="AO673" i="1"/>
  <c r="J673" i="1"/>
  <c r="AO672" i="1"/>
  <c r="J672" i="1"/>
  <c r="AO671" i="1"/>
  <c r="J671" i="1"/>
  <c r="AO670" i="1"/>
  <c r="J670" i="1"/>
  <c r="AO669" i="1"/>
  <c r="J669" i="1"/>
  <c r="AO668" i="1"/>
  <c r="J668" i="1"/>
  <c r="AO667" i="1"/>
  <c r="J667" i="1"/>
  <c r="AO666" i="1"/>
  <c r="J666" i="1"/>
  <c r="AO665" i="1"/>
  <c r="J665" i="1"/>
  <c r="AO664" i="1"/>
  <c r="J664" i="1"/>
  <c r="AO663" i="1"/>
  <c r="J663" i="1"/>
  <c r="AO662" i="1"/>
  <c r="J662" i="1"/>
  <c r="AO661" i="1"/>
  <c r="J661" i="1"/>
  <c r="AO660" i="1"/>
  <c r="J660" i="1"/>
  <c r="AO659" i="1"/>
  <c r="J659" i="1"/>
  <c r="AO658" i="1"/>
  <c r="J658" i="1"/>
  <c r="AO657" i="1"/>
  <c r="J657" i="1"/>
  <c r="AO656" i="1"/>
  <c r="J656" i="1"/>
  <c r="AO655" i="1"/>
  <c r="J655" i="1"/>
  <c r="AO654" i="1"/>
  <c r="J654" i="1"/>
  <c r="AO653" i="1"/>
  <c r="J653" i="1"/>
  <c r="AO652" i="1"/>
  <c r="J652" i="1"/>
  <c r="AO651" i="1"/>
  <c r="J651" i="1"/>
  <c r="AO650" i="1"/>
  <c r="J650" i="1"/>
  <c r="AO649" i="1"/>
  <c r="J649" i="1"/>
  <c r="AO648" i="1"/>
  <c r="J648" i="1"/>
  <c r="AO647" i="1"/>
  <c r="J647" i="1"/>
  <c r="AO646" i="1"/>
  <c r="J646" i="1"/>
  <c r="AO645" i="1"/>
  <c r="J645" i="1"/>
  <c r="AO644" i="1"/>
  <c r="J644" i="1"/>
  <c r="AO643" i="1"/>
  <c r="J643" i="1"/>
  <c r="AO642" i="1"/>
  <c r="J642" i="1"/>
  <c r="AO641" i="1"/>
  <c r="J641" i="1"/>
  <c r="AO640" i="1"/>
  <c r="J640" i="1"/>
  <c r="AO639" i="1"/>
  <c r="J639" i="1"/>
  <c r="AO638" i="1"/>
  <c r="J638" i="1"/>
  <c r="AO637" i="1"/>
  <c r="J637" i="1"/>
  <c r="AO636" i="1"/>
  <c r="J636" i="1"/>
  <c r="AO635" i="1"/>
  <c r="J635" i="1"/>
  <c r="AO634" i="1"/>
  <c r="J634" i="1"/>
  <c r="AO633" i="1"/>
  <c r="J633" i="1"/>
  <c r="AO632" i="1"/>
  <c r="J632" i="1"/>
  <c r="AO631" i="1"/>
  <c r="J631" i="1"/>
  <c r="AO630" i="1"/>
  <c r="J630" i="1"/>
  <c r="AO629" i="1"/>
  <c r="J629" i="1"/>
  <c r="AO628" i="1"/>
  <c r="J628" i="1"/>
  <c r="AO627" i="1"/>
  <c r="J627" i="1"/>
  <c r="AO626" i="1"/>
  <c r="J626" i="1"/>
  <c r="AO625" i="1"/>
  <c r="J625" i="1"/>
  <c r="AO624" i="1"/>
  <c r="J624" i="1"/>
  <c r="AO623" i="1"/>
  <c r="J623" i="1"/>
  <c r="AO622" i="1"/>
  <c r="J622" i="1"/>
  <c r="AO621" i="1"/>
  <c r="J621" i="1"/>
  <c r="AO620" i="1"/>
  <c r="J620" i="1"/>
  <c r="AO619" i="1"/>
  <c r="J619" i="1"/>
  <c r="AO618" i="1"/>
  <c r="J618" i="1"/>
  <c r="AO617" i="1"/>
  <c r="J617" i="1"/>
  <c r="AO616" i="1"/>
  <c r="J616" i="1"/>
  <c r="AO615" i="1"/>
  <c r="J615" i="1"/>
  <c r="AO614" i="1"/>
  <c r="J614" i="1"/>
  <c r="AO613" i="1"/>
  <c r="J613" i="1"/>
  <c r="AO612" i="1"/>
  <c r="J612" i="1"/>
  <c r="AO611" i="1"/>
  <c r="J611" i="1"/>
  <c r="AO610" i="1"/>
  <c r="J610" i="1"/>
  <c r="AO609" i="1"/>
  <c r="J609" i="1"/>
  <c r="AO608" i="1"/>
  <c r="J608" i="1"/>
  <c r="AO607" i="1"/>
  <c r="J607" i="1"/>
  <c r="AO606" i="1"/>
  <c r="J606" i="1"/>
  <c r="AO605" i="1"/>
  <c r="J605" i="1"/>
  <c r="AO604" i="1"/>
  <c r="J604" i="1"/>
  <c r="AO603" i="1"/>
  <c r="J603" i="1"/>
  <c r="AO602" i="1"/>
  <c r="J602" i="1"/>
  <c r="AO601" i="1"/>
  <c r="J601" i="1"/>
  <c r="AO600" i="1"/>
  <c r="J600" i="1"/>
  <c r="AO599" i="1"/>
  <c r="J599" i="1"/>
  <c r="AO598" i="1"/>
  <c r="J598" i="1"/>
  <c r="AO597" i="1"/>
  <c r="J597" i="1"/>
  <c r="AO596" i="1"/>
  <c r="J596" i="1"/>
  <c r="AO595" i="1"/>
  <c r="J595" i="1"/>
  <c r="AO594" i="1"/>
  <c r="J594" i="1"/>
  <c r="AO593" i="1"/>
  <c r="J593" i="1"/>
  <c r="AO592" i="1"/>
  <c r="J592" i="1"/>
  <c r="AO591" i="1"/>
  <c r="J591" i="1"/>
  <c r="AO590" i="1"/>
  <c r="J590" i="1"/>
  <c r="AO589" i="1"/>
  <c r="J589" i="1"/>
  <c r="AO588" i="1"/>
  <c r="J588" i="1"/>
  <c r="AO587" i="1"/>
  <c r="J587" i="1"/>
  <c r="AO586" i="1"/>
  <c r="J586" i="1"/>
  <c r="AO585" i="1"/>
  <c r="J585" i="1"/>
  <c r="AO584" i="1"/>
  <c r="J584" i="1"/>
  <c r="AO583" i="1"/>
  <c r="J583" i="1"/>
  <c r="AO582" i="1"/>
  <c r="J582" i="1"/>
  <c r="AO581" i="1"/>
  <c r="J581" i="1"/>
  <c r="AO580" i="1"/>
  <c r="J580" i="1"/>
  <c r="AO579" i="1"/>
  <c r="J579" i="1"/>
  <c r="AO578" i="1"/>
  <c r="J578" i="1"/>
  <c r="AO577" i="1"/>
  <c r="J577" i="1"/>
  <c r="AO576" i="1"/>
  <c r="J576" i="1"/>
  <c r="AO575" i="1"/>
  <c r="J575" i="1"/>
  <c r="AO574" i="1"/>
  <c r="J574" i="1"/>
  <c r="AO573" i="1"/>
  <c r="J573" i="1"/>
  <c r="AO572" i="1"/>
  <c r="J572" i="1"/>
  <c r="AO571" i="1"/>
  <c r="J571" i="1"/>
  <c r="AO570" i="1"/>
  <c r="J570" i="1"/>
  <c r="AO569" i="1"/>
  <c r="J569" i="1"/>
  <c r="AO568" i="1"/>
  <c r="J568" i="1"/>
  <c r="AO567" i="1"/>
  <c r="J567" i="1"/>
  <c r="AO566" i="1"/>
  <c r="J566" i="1"/>
  <c r="AO565" i="1"/>
  <c r="J565" i="1"/>
  <c r="AO564" i="1"/>
  <c r="J564" i="1"/>
  <c r="AO563" i="1"/>
  <c r="J563" i="1"/>
  <c r="AO562" i="1"/>
  <c r="J562" i="1"/>
  <c r="AO561" i="1"/>
  <c r="J561" i="1"/>
  <c r="AO560" i="1"/>
  <c r="J560" i="1"/>
  <c r="AO559" i="1"/>
  <c r="J559" i="1"/>
  <c r="AO558" i="1"/>
  <c r="J558" i="1"/>
  <c r="AO557" i="1"/>
  <c r="J557" i="1"/>
  <c r="AO556" i="1"/>
  <c r="J556" i="1"/>
  <c r="AO555" i="1"/>
  <c r="J555" i="1"/>
  <c r="AO554" i="1"/>
  <c r="J554" i="1"/>
  <c r="AO553" i="1"/>
  <c r="J553" i="1"/>
  <c r="AO552" i="1"/>
  <c r="J552" i="1"/>
  <c r="AO551" i="1"/>
  <c r="J551" i="1"/>
  <c r="AO550" i="1"/>
  <c r="J550" i="1"/>
  <c r="AO549" i="1"/>
  <c r="J549" i="1"/>
  <c r="AO548" i="1"/>
  <c r="J548" i="1"/>
  <c r="AO547" i="1"/>
  <c r="J547" i="1"/>
  <c r="AO546" i="1"/>
  <c r="J546" i="1"/>
  <c r="AO545" i="1"/>
  <c r="J545" i="1"/>
  <c r="AO544" i="1"/>
  <c r="J544" i="1"/>
  <c r="AO543" i="1"/>
  <c r="J543" i="1"/>
  <c r="AO542" i="1"/>
  <c r="J542" i="1"/>
  <c r="AO541" i="1"/>
  <c r="J541" i="1"/>
  <c r="AO540" i="1"/>
  <c r="J540" i="1"/>
  <c r="AO539" i="1"/>
  <c r="J539" i="1"/>
  <c r="AO538" i="1"/>
  <c r="J538" i="1"/>
  <c r="AO537" i="1"/>
  <c r="J537" i="1"/>
  <c r="AO536" i="1"/>
  <c r="J536" i="1"/>
  <c r="AO535" i="1"/>
  <c r="J535" i="1"/>
  <c r="AO534" i="1"/>
  <c r="J534" i="1"/>
  <c r="AO533" i="1"/>
  <c r="J533" i="1"/>
  <c r="AO532" i="1"/>
  <c r="J532" i="1"/>
  <c r="AO531" i="1"/>
  <c r="J531" i="1"/>
  <c r="AO530" i="1"/>
  <c r="J530" i="1"/>
  <c r="AO529" i="1"/>
  <c r="J529" i="1"/>
  <c r="AO528" i="1"/>
  <c r="J528" i="1"/>
  <c r="AO527" i="1"/>
  <c r="J527" i="1"/>
  <c r="AO526" i="1"/>
  <c r="J526" i="1"/>
  <c r="AO525" i="1"/>
  <c r="J525" i="1"/>
  <c r="AO524" i="1"/>
  <c r="J524" i="1"/>
  <c r="AO523" i="1"/>
  <c r="J523" i="1"/>
  <c r="AO522" i="1"/>
  <c r="J522" i="1"/>
  <c r="AO521" i="1"/>
  <c r="J521" i="1"/>
  <c r="AO520" i="1"/>
  <c r="J520" i="1"/>
  <c r="AO519" i="1"/>
  <c r="J519" i="1"/>
  <c r="AO518" i="1"/>
  <c r="J518" i="1"/>
  <c r="AO517" i="1"/>
  <c r="J517" i="1"/>
  <c r="AO516" i="1"/>
  <c r="J516" i="1"/>
  <c r="AO515" i="1"/>
  <c r="J515" i="1"/>
  <c r="AO514" i="1"/>
  <c r="J514" i="1"/>
  <c r="AO513" i="1"/>
  <c r="J513" i="1"/>
  <c r="AO512" i="1"/>
  <c r="J512" i="1"/>
  <c r="AO511" i="1"/>
  <c r="J511" i="1"/>
  <c r="AO510" i="1"/>
  <c r="J510" i="1"/>
  <c r="AO509" i="1"/>
  <c r="J509" i="1"/>
  <c r="AO508" i="1"/>
  <c r="J508" i="1"/>
  <c r="AO507" i="1"/>
  <c r="J507" i="1"/>
  <c r="AO506" i="1"/>
  <c r="J506" i="1"/>
  <c r="AO505" i="1"/>
  <c r="J505" i="1"/>
  <c r="AO504" i="1"/>
  <c r="J504" i="1"/>
  <c r="AO503" i="1"/>
  <c r="J503" i="1"/>
  <c r="AO502" i="1"/>
  <c r="J502" i="1"/>
  <c r="AO501" i="1"/>
  <c r="J501" i="1"/>
  <c r="AO500" i="1"/>
  <c r="J500" i="1"/>
  <c r="AO499" i="1"/>
  <c r="J499" i="1"/>
  <c r="AO498" i="1"/>
  <c r="J498" i="1"/>
  <c r="AO497" i="1"/>
  <c r="J497" i="1"/>
  <c r="AO496" i="1"/>
  <c r="J496" i="1"/>
  <c r="AO495" i="1"/>
  <c r="J495" i="1"/>
  <c r="AO494" i="1"/>
  <c r="J494" i="1"/>
  <c r="AO493" i="1"/>
  <c r="J493" i="1"/>
  <c r="AO492" i="1"/>
  <c r="J492" i="1"/>
  <c r="AO491" i="1"/>
  <c r="J491" i="1"/>
  <c r="AO490" i="1"/>
  <c r="J490" i="1"/>
  <c r="AO489" i="1"/>
  <c r="J489" i="1"/>
  <c r="AO488" i="1"/>
  <c r="J488" i="1"/>
  <c r="AO487" i="1"/>
  <c r="J487" i="1"/>
  <c r="AO486" i="1"/>
  <c r="J486" i="1"/>
  <c r="AO485" i="1"/>
  <c r="J485" i="1"/>
  <c r="AO484" i="1"/>
  <c r="J484" i="1"/>
  <c r="AO483" i="1"/>
  <c r="J483" i="1"/>
  <c r="AO482" i="1"/>
  <c r="J482" i="1"/>
  <c r="AO481" i="1"/>
  <c r="J481" i="1"/>
  <c r="AO480" i="1"/>
  <c r="J480" i="1"/>
  <c r="AO479" i="1"/>
  <c r="J479" i="1"/>
  <c r="AO478" i="1"/>
  <c r="J478" i="1"/>
  <c r="AO477" i="1"/>
  <c r="J477" i="1"/>
  <c r="AO476" i="1"/>
  <c r="J476" i="1"/>
  <c r="AO475" i="1"/>
  <c r="J475" i="1"/>
  <c r="AO474" i="1"/>
  <c r="J474" i="1"/>
  <c r="AO473" i="1"/>
  <c r="J473" i="1"/>
  <c r="AO472" i="1"/>
  <c r="J472" i="1"/>
  <c r="AO471" i="1"/>
  <c r="J471" i="1"/>
  <c r="AO470" i="1"/>
  <c r="J470" i="1"/>
  <c r="AO469" i="1"/>
  <c r="J469" i="1"/>
  <c r="AO468" i="1"/>
  <c r="J468" i="1"/>
  <c r="AO467" i="1"/>
  <c r="J467" i="1"/>
  <c r="AO466" i="1"/>
  <c r="J466" i="1"/>
  <c r="AO465" i="1"/>
  <c r="J465" i="1"/>
  <c r="AO464" i="1"/>
  <c r="J464" i="1"/>
  <c r="AO463" i="1"/>
  <c r="J463" i="1"/>
  <c r="AO462" i="1"/>
  <c r="J462" i="1"/>
  <c r="AO461" i="1"/>
  <c r="J461" i="1"/>
  <c r="AO460" i="1"/>
  <c r="J460" i="1"/>
  <c r="AO459" i="1"/>
  <c r="J459" i="1"/>
  <c r="AO458" i="1"/>
  <c r="J458" i="1"/>
  <c r="AO457" i="1"/>
  <c r="J457" i="1"/>
  <c r="AO456" i="1"/>
  <c r="J456" i="1"/>
  <c r="AO455" i="1"/>
  <c r="J455" i="1"/>
  <c r="AO454" i="1"/>
  <c r="J454" i="1"/>
  <c r="AO453" i="1"/>
  <c r="J453" i="1"/>
  <c r="AO452" i="1"/>
  <c r="J452" i="1"/>
  <c r="AO451" i="1"/>
  <c r="J451" i="1"/>
  <c r="AO450" i="1"/>
  <c r="J450" i="1"/>
  <c r="AO449" i="1"/>
  <c r="J449" i="1"/>
  <c r="AO448" i="1"/>
  <c r="J448" i="1"/>
  <c r="AO447" i="1"/>
  <c r="J447" i="1"/>
  <c r="AO446" i="1"/>
  <c r="J446" i="1"/>
  <c r="AO445" i="1"/>
  <c r="J445" i="1"/>
  <c r="AO444" i="1"/>
  <c r="J444" i="1"/>
  <c r="AO443" i="1"/>
  <c r="J443" i="1"/>
  <c r="AO442" i="1"/>
  <c r="J442" i="1"/>
  <c r="AO441" i="1"/>
  <c r="J441" i="1"/>
  <c r="AO440" i="1"/>
  <c r="J440" i="1"/>
  <c r="AO439" i="1"/>
  <c r="J439" i="1"/>
  <c r="AO438" i="1"/>
  <c r="J438" i="1"/>
  <c r="AO437" i="1"/>
  <c r="J437" i="1"/>
  <c r="AO436" i="1"/>
  <c r="J436" i="1"/>
  <c r="AO435" i="1"/>
  <c r="J435" i="1"/>
  <c r="AO434" i="1"/>
  <c r="J434" i="1"/>
  <c r="AO433" i="1"/>
  <c r="J433" i="1"/>
  <c r="AO432" i="1"/>
  <c r="J432" i="1"/>
  <c r="AO431" i="1"/>
  <c r="J431" i="1"/>
  <c r="AO430" i="1"/>
  <c r="J430" i="1"/>
  <c r="AO429" i="1"/>
  <c r="J429" i="1"/>
  <c r="AO428" i="1"/>
  <c r="J428" i="1"/>
  <c r="AO427" i="1"/>
  <c r="J427" i="1"/>
  <c r="AO426" i="1"/>
  <c r="J426" i="1"/>
  <c r="AO425" i="1"/>
  <c r="J425" i="1"/>
  <c r="AO424" i="1"/>
  <c r="J424" i="1"/>
  <c r="AO423" i="1"/>
  <c r="J423" i="1"/>
  <c r="AO422" i="1"/>
  <c r="J422" i="1"/>
  <c r="AO421" i="1"/>
  <c r="J421" i="1"/>
  <c r="AO420" i="1"/>
  <c r="J420" i="1"/>
  <c r="AO419" i="1"/>
  <c r="J419" i="1"/>
  <c r="AO418" i="1"/>
  <c r="J418" i="1"/>
  <c r="AO417" i="1"/>
  <c r="J417" i="1"/>
  <c r="AO416" i="1"/>
  <c r="J416" i="1"/>
  <c r="AO415" i="1"/>
  <c r="J415" i="1"/>
  <c r="AO414" i="1"/>
  <c r="J414" i="1"/>
  <c r="AO413" i="1"/>
  <c r="J413" i="1"/>
  <c r="AO412" i="1"/>
  <c r="J412" i="1"/>
  <c r="AO411" i="1"/>
  <c r="J411" i="1"/>
  <c r="AO410" i="1"/>
  <c r="J410" i="1"/>
  <c r="AO409" i="1"/>
  <c r="J409" i="1"/>
  <c r="AO408" i="1"/>
  <c r="J408" i="1"/>
  <c r="AO407" i="1"/>
  <c r="J407" i="1"/>
  <c r="AO406" i="1"/>
  <c r="J406" i="1"/>
  <c r="AO405" i="1"/>
  <c r="J405" i="1"/>
  <c r="AO404" i="1"/>
  <c r="J404" i="1"/>
  <c r="AO403" i="1"/>
  <c r="J403" i="1"/>
  <c r="AO402" i="1"/>
  <c r="J402" i="1"/>
  <c r="AO401" i="1"/>
  <c r="J401" i="1"/>
  <c r="AO400" i="1"/>
  <c r="J400" i="1"/>
  <c r="AO399" i="1"/>
  <c r="J399" i="1"/>
  <c r="AO398" i="1"/>
  <c r="J398" i="1"/>
  <c r="AO397" i="1"/>
  <c r="J397" i="1"/>
  <c r="AO396" i="1"/>
  <c r="J396" i="1"/>
  <c r="AO395" i="1"/>
  <c r="J395" i="1"/>
  <c r="AO394" i="1"/>
  <c r="J394" i="1"/>
  <c r="AO393" i="1"/>
  <c r="J393" i="1"/>
  <c r="AO392" i="1"/>
  <c r="J392" i="1"/>
  <c r="AO391" i="1"/>
  <c r="J391" i="1"/>
  <c r="AO390" i="1"/>
  <c r="J390" i="1"/>
  <c r="AO389" i="1"/>
  <c r="J389" i="1"/>
  <c r="AO388" i="1"/>
  <c r="J388" i="1"/>
  <c r="AO387" i="1"/>
  <c r="J387" i="1"/>
  <c r="AO386" i="1"/>
  <c r="J386" i="1"/>
  <c r="AO385" i="1"/>
  <c r="J385" i="1"/>
  <c r="AO384" i="1"/>
  <c r="J384" i="1"/>
  <c r="AO383" i="1"/>
  <c r="J383" i="1"/>
  <c r="AO382" i="1"/>
  <c r="J382" i="1"/>
  <c r="AO381" i="1"/>
  <c r="J381" i="1"/>
  <c r="AO380" i="1"/>
  <c r="J380" i="1"/>
  <c r="AO379" i="1"/>
  <c r="J379" i="1"/>
  <c r="AO378" i="1"/>
  <c r="J378" i="1"/>
  <c r="AO377" i="1"/>
  <c r="J377" i="1"/>
  <c r="AO376" i="1"/>
  <c r="J376" i="1"/>
  <c r="AO375" i="1"/>
  <c r="J375" i="1"/>
  <c r="AO374" i="1"/>
  <c r="J374" i="1"/>
  <c r="AO373" i="1"/>
  <c r="J373" i="1"/>
  <c r="AO372" i="1"/>
  <c r="J372" i="1"/>
  <c r="AO371" i="1"/>
  <c r="J371" i="1"/>
  <c r="AO370" i="1"/>
  <c r="J370" i="1"/>
  <c r="AO369" i="1"/>
  <c r="J369" i="1"/>
  <c r="AO368" i="1"/>
  <c r="J368" i="1"/>
  <c r="AO367" i="1"/>
  <c r="J367" i="1"/>
  <c r="AO366" i="1"/>
  <c r="J366" i="1"/>
  <c r="AO365" i="1"/>
  <c r="J365" i="1"/>
  <c r="AO364" i="1"/>
  <c r="J364" i="1"/>
  <c r="AO363" i="1"/>
  <c r="J363" i="1"/>
  <c r="AO362" i="1"/>
  <c r="J362" i="1"/>
  <c r="AO361" i="1"/>
  <c r="J361" i="1"/>
  <c r="AO360" i="1"/>
  <c r="J360" i="1"/>
  <c r="AO359" i="1"/>
  <c r="J359" i="1"/>
  <c r="AO358" i="1"/>
  <c r="J358" i="1"/>
  <c r="AO357" i="1"/>
  <c r="J357" i="1"/>
  <c r="AO356" i="1"/>
  <c r="J356" i="1"/>
  <c r="AO355" i="1"/>
  <c r="J355" i="1"/>
  <c r="AO354" i="1"/>
  <c r="J354" i="1"/>
  <c r="AO353" i="1"/>
  <c r="J353" i="1"/>
  <c r="AO352" i="1"/>
  <c r="J352" i="1"/>
  <c r="AO351" i="1"/>
  <c r="J351" i="1"/>
  <c r="AO350" i="1"/>
  <c r="J350" i="1"/>
  <c r="AO349" i="1"/>
  <c r="J349" i="1"/>
  <c r="AO348" i="1"/>
  <c r="J348" i="1"/>
  <c r="AO347" i="1"/>
  <c r="J347" i="1"/>
  <c r="AO346" i="1"/>
  <c r="J346" i="1"/>
  <c r="AO345" i="1"/>
  <c r="J345" i="1"/>
  <c r="AO344" i="1"/>
  <c r="J344" i="1"/>
  <c r="AO343" i="1"/>
  <c r="J343" i="1"/>
  <c r="AO342" i="1"/>
  <c r="J342" i="1"/>
  <c r="AO341" i="1"/>
  <c r="J341" i="1"/>
  <c r="AO340" i="1"/>
  <c r="J340" i="1"/>
  <c r="AO339" i="1"/>
  <c r="J339" i="1"/>
  <c r="AO338" i="1"/>
  <c r="J338" i="1"/>
  <c r="AO337" i="1"/>
  <c r="J337" i="1"/>
  <c r="AO336" i="1"/>
  <c r="J336" i="1"/>
  <c r="AO335" i="1"/>
  <c r="J335" i="1"/>
  <c r="AO334" i="1"/>
  <c r="J334" i="1"/>
  <c r="AO333" i="1"/>
  <c r="J333" i="1"/>
  <c r="AO332" i="1"/>
  <c r="J332" i="1"/>
  <c r="AO331" i="1"/>
  <c r="J331" i="1"/>
  <c r="AO330" i="1"/>
  <c r="J330" i="1"/>
  <c r="AO329" i="1"/>
  <c r="J329" i="1"/>
  <c r="AO328" i="1"/>
  <c r="J328" i="1"/>
  <c r="AO327" i="1"/>
  <c r="J327" i="1"/>
  <c r="AO326" i="1"/>
  <c r="J326" i="1"/>
  <c r="AO325" i="1"/>
  <c r="J325" i="1"/>
  <c r="AO324" i="1"/>
  <c r="J324" i="1"/>
  <c r="AO323" i="1"/>
  <c r="J323" i="1"/>
  <c r="AO322" i="1"/>
  <c r="J322" i="1"/>
  <c r="AO321" i="1"/>
  <c r="J321" i="1"/>
  <c r="AO320" i="1"/>
  <c r="J320" i="1"/>
  <c r="AO319" i="1"/>
  <c r="J319" i="1"/>
  <c r="AO318" i="1"/>
  <c r="J318" i="1"/>
  <c r="AO317" i="1"/>
  <c r="J317" i="1"/>
  <c r="AO316" i="1"/>
  <c r="J316" i="1"/>
  <c r="AO315" i="1"/>
  <c r="J315" i="1"/>
  <c r="AO314" i="1"/>
  <c r="J314" i="1"/>
  <c r="AO313" i="1"/>
  <c r="J313" i="1"/>
  <c r="AO312" i="1"/>
  <c r="J312" i="1"/>
  <c r="AO311" i="1"/>
  <c r="J311" i="1"/>
  <c r="AO310" i="1"/>
  <c r="J310" i="1"/>
  <c r="AO309" i="1"/>
  <c r="J309" i="1"/>
  <c r="AO308" i="1"/>
  <c r="J308" i="1"/>
  <c r="AO307" i="1"/>
  <c r="J307" i="1"/>
  <c r="AO306" i="1"/>
  <c r="J306" i="1"/>
  <c r="AO305" i="1"/>
  <c r="J305" i="1"/>
  <c r="AO304" i="1"/>
  <c r="J304" i="1"/>
  <c r="AO303" i="1"/>
  <c r="J303" i="1"/>
  <c r="AO302" i="1"/>
  <c r="J302" i="1"/>
  <c r="AO301" i="1"/>
  <c r="J301" i="1"/>
  <c r="AO300" i="1"/>
  <c r="J300" i="1"/>
  <c r="AO299" i="1"/>
  <c r="J299" i="1"/>
  <c r="AO298" i="1"/>
  <c r="J298" i="1"/>
  <c r="AO297" i="1"/>
  <c r="J297" i="1"/>
  <c r="AO296" i="1"/>
  <c r="J296" i="1"/>
  <c r="AO295" i="1"/>
  <c r="J295" i="1"/>
  <c r="AO294" i="1"/>
  <c r="J294" i="1"/>
  <c r="AO293" i="1"/>
  <c r="J293" i="1"/>
  <c r="AO292" i="1"/>
  <c r="J292" i="1"/>
  <c r="AO291" i="1"/>
  <c r="J291" i="1"/>
  <c r="AO290" i="1"/>
  <c r="J290" i="1"/>
  <c r="AO289" i="1"/>
  <c r="J289" i="1"/>
  <c r="AO288" i="1"/>
  <c r="J288" i="1"/>
  <c r="AO287" i="1"/>
  <c r="J287" i="1"/>
  <c r="AO286" i="1"/>
  <c r="J286" i="1"/>
  <c r="AO285" i="1"/>
  <c r="J285" i="1"/>
  <c r="AO284" i="1"/>
  <c r="J284" i="1"/>
  <c r="AO283" i="1"/>
  <c r="J283" i="1"/>
  <c r="AO282" i="1"/>
  <c r="J282" i="1"/>
  <c r="AO281" i="1"/>
  <c r="J281" i="1"/>
  <c r="AO280" i="1"/>
  <c r="J280" i="1"/>
  <c r="AO279" i="1"/>
  <c r="J279" i="1"/>
  <c r="AO278" i="1"/>
  <c r="J278" i="1"/>
  <c r="AO277" i="1"/>
  <c r="J277" i="1"/>
  <c r="AO276" i="1"/>
  <c r="J276" i="1"/>
  <c r="AO275" i="1"/>
  <c r="J275" i="1"/>
  <c r="AO274" i="1"/>
  <c r="J274" i="1"/>
  <c r="AO273" i="1"/>
  <c r="J273" i="1"/>
  <c r="AO272" i="1"/>
  <c r="J272" i="1"/>
  <c r="AO271" i="1"/>
  <c r="J271" i="1"/>
  <c r="AO270" i="1"/>
  <c r="J270" i="1"/>
  <c r="AO269" i="1"/>
  <c r="J269" i="1"/>
  <c r="AO268" i="1"/>
  <c r="J268" i="1"/>
  <c r="AO267" i="1"/>
  <c r="J267" i="1"/>
  <c r="AO266" i="1"/>
  <c r="J266" i="1"/>
  <c r="AO265" i="1"/>
  <c r="J265" i="1"/>
  <c r="AO264" i="1"/>
  <c r="J264" i="1"/>
  <c r="AO263" i="1"/>
  <c r="J263" i="1"/>
  <c r="AO262" i="1"/>
  <c r="J262" i="1"/>
  <c r="AO261" i="1"/>
  <c r="J261" i="1"/>
  <c r="AO260" i="1"/>
  <c r="J260" i="1"/>
  <c r="AO259" i="1"/>
  <c r="J259" i="1"/>
  <c r="AO258" i="1"/>
  <c r="J258" i="1"/>
  <c r="AO257" i="1"/>
  <c r="J257" i="1"/>
  <c r="AO256" i="1"/>
  <c r="J256" i="1"/>
  <c r="AO255" i="1"/>
  <c r="J255" i="1"/>
  <c r="AO254" i="1"/>
  <c r="J254" i="1"/>
  <c r="AO253" i="1"/>
  <c r="J253" i="1"/>
  <c r="AO252" i="1"/>
  <c r="J252" i="1"/>
  <c r="AO251" i="1"/>
  <c r="J251" i="1"/>
  <c r="AO250" i="1"/>
  <c r="J250" i="1"/>
  <c r="AO249" i="1"/>
  <c r="J249" i="1"/>
  <c r="AO248" i="1"/>
  <c r="J248" i="1"/>
  <c r="AO247" i="1"/>
  <c r="J247" i="1"/>
  <c r="AO246" i="1"/>
  <c r="J246" i="1"/>
  <c r="AO245" i="1"/>
  <c r="J245" i="1"/>
  <c r="AO244" i="1"/>
  <c r="J244" i="1"/>
  <c r="AO243" i="1"/>
  <c r="J243" i="1"/>
  <c r="AO242" i="1"/>
  <c r="J242" i="1"/>
  <c r="AO241" i="1"/>
  <c r="J241" i="1"/>
  <c r="AO240" i="1"/>
  <c r="J240" i="1"/>
  <c r="AO239" i="1"/>
  <c r="J239" i="1"/>
  <c r="AO238" i="1"/>
  <c r="J238" i="1"/>
  <c r="AO237" i="1"/>
  <c r="J237" i="1"/>
  <c r="AO236" i="1"/>
  <c r="J236" i="1"/>
  <c r="AO235" i="1"/>
  <c r="J235" i="1"/>
  <c r="AO234" i="1"/>
  <c r="J234" i="1"/>
  <c r="AO233" i="1"/>
  <c r="J233" i="1"/>
  <c r="AO232" i="1"/>
  <c r="J232" i="1"/>
  <c r="AO231" i="1"/>
  <c r="J231" i="1"/>
  <c r="AO230" i="1"/>
  <c r="J230" i="1"/>
  <c r="AO229" i="1"/>
  <c r="J229" i="1"/>
  <c r="AO228" i="1"/>
  <c r="J228" i="1"/>
  <c r="AO227" i="1"/>
  <c r="J227" i="1"/>
  <c r="AO226" i="1"/>
  <c r="J226" i="1"/>
  <c r="AO225" i="1"/>
  <c r="J225" i="1"/>
  <c r="AO224" i="1"/>
  <c r="J224" i="1"/>
  <c r="AO223" i="1"/>
  <c r="J223" i="1"/>
  <c r="AO222" i="1"/>
  <c r="J222" i="1"/>
  <c r="AO221" i="1"/>
  <c r="J221" i="1"/>
  <c r="AO220" i="1"/>
  <c r="J220" i="1"/>
  <c r="AO219" i="1"/>
  <c r="J219" i="1"/>
  <c r="AO218" i="1"/>
  <c r="J218" i="1"/>
  <c r="AO217" i="1"/>
  <c r="J217" i="1"/>
  <c r="AO216" i="1"/>
  <c r="J216" i="1"/>
  <c r="AO215" i="1"/>
  <c r="J215" i="1"/>
  <c r="AO214" i="1"/>
  <c r="J214" i="1"/>
  <c r="AO213" i="1"/>
  <c r="J213" i="1"/>
  <c r="AO212" i="1"/>
  <c r="J212" i="1"/>
  <c r="AO211" i="1"/>
  <c r="J211" i="1"/>
  <c r="AO210" i="1"/>
  <c r="J210" i="1"/>
  <c r="AO209" i="1"/>
  <c r="J209" i="1"/>
  <c r="AO208" i="1"/>
  <c r="J208" i="1"/>
  <c r="AO207" i="1"/>
  <c r="J207" i="1"/>
  <c r="AO206" i="1"/>
  <c r="J206" i="1"/>
  <c r="AO205" i="1"/>
  <c r="J205" i="1"/>
  <c r="AO204" i="1"/>
  <c r="J204" i="1"/>
  <c r="AO203" i="1"/>
  <c r="J203" i="1"/>
  <c r="AO202" i="1"/>
  <c r="J202" i="1"/>
  <c r="AO201" i="1"/>
  <c r="J201" i="1"/>
  <c r="AO200" i="1"/>
  <c r="J200" i="1"/>
  <c r="AO199" i="1"/>
  <c r="J199" i="1"/>
  <c r="AO198" i="1"/>
  <c r="J198" i="1"/>
  <c r="AO197" i="1"/>
  <c r="J197" i="1"/>
  <c r="AO196" i="1"/>
  <c r="J196" i="1"/>
  <c r="AO195" i="1"/>
  <c r="J195" i="1"/>
  <c r="AO194" i="1"/>
  <c r="J194" i="1"/>
  <c r="AO193" i="1"/>
  <c r="J193" i="1"/>
  <c r="AO192" i="1"/>
  <c r="J192" i="1"/>
  <c r="AO191" i="1"/>
  <c r="J191" i="1"/>
  <c r="AO190" i="1"/>
  <c r="J190" i="1"/>
  <c r="AO189" i="1"/>
  <c r="J189" i="1"/>
  <c r="AO188" i="1"/>
  <c r="J188" i="1"/>
  <c r="AO187" i="1"/>
  <c r="J187" i="1"/>
  <c r="AO186" i="1"/>
  <c r="J186" i="1"/>
  <c r="AO185" i="1"/>
  <c r="J185" i="1"/>
  <c r="AO184" i="1"/>
  <c r="J184" i="1"/>
  <c r="AO183" i="1"/>
  <c r="J183" i="1"/>
  <c r="AO182" i="1"/>
  <c r="J182" i="1"/>
  <c r="AO181" i="1"/>
  <c r="J181" i="1"/>
  <c r="AO180" i="1"/>
  <c r="J180" i="1"/>
  <c r="AO179" i="1"/>
  <c r="J179" i="1"/>
  <c r="AO178" i="1"/>
  <c r="J178" i="1"/>
  <c r="AO177" i="1"/>
  <c r="J177" i="1"/>
  <c r="AO176" i="1"/>
  <c r="J176" i="1"/>
  <c r="AO175" i="1"/>
  <c r="J175" i="1"/>
  <c r="AO174" i="1"/>
  <c r="J174" i="1"/>
  <c r="AO173" i="1"/>
  <c r="J173" i="1"/>
  <c r="AO172" i="1"/>
  <c r="J172" i="1"/>
  <c r="AO171" i="1"/>
  <c r="J171" i="1"/>
  <c r="AO170" i="1"/>
  <c r="J170" i="1"/>
  <c r="AO169" i="1"/>
  <c r="J169" i="1"/>
  <c r="AO168" i="1"/>
  <c r="J168" i="1"/>
  <c r="AO167" i="1"/>
  <c r="J167" i="1"/>
  <c r="AO166" i="1"/>
  <c r="J166" i="1"/>
  <c r="AO165" i="1"/>
  <c r="J165" i="1"/>
  <c r="AO164" i="1"/>
  <c r="J164" i="1"/>
  <c r="AO163" i="1"/>
  <c r="J163" i="1"/>
  <c r="AO162" i="1"/>
  <c r="J162" i="1"/>
  <c r="AO161" i="1"/>
  <c r="J161" i="1"/>
  <c r="AO160" i="1"/>
  <c r="J160" i="1"/>
  <c r="AO159" i="1"/>
  <c r="J159" i="1"/>
  <c r="AO158" i="1"/>
  <c r="J158" i="1"/>
  <c r="AO157" i="1"/>
  <c r="J157" i="1"/>
  <c r="AO156" i="1"/>
  <c r="J156" i="1"/>
  <c r="AO155" i="1"/>
  <c r="J155" i="1"/>
  <c r="AO154" i="1"/>
  <c r="J154" i="1"/>
  <c r="AO153" i="1"/>
  <c r="J153" i="1"/>
  <c r="AO152" i="1"/>
  <c r="J152" i="1"/>
  <c r="AO151" i="1"/>
  <c r="J151" i="1"/>
  <c r="AO150" i="1"/>
  <c r="AP150" i="1" s="1"/>
  <c r="K147" i="1"/>
  <c r="E147" i="1"/>
  <c r="AO144" i="1"/>
  <c r="J144" i="1"/>
  <c r="AO143" i="1"/>
  <c r="J143" i="1"/>
  <c r="AO142" i="1"/>
  <c r="J142" i="1"/>
  <c r="AO141" i="1"/>
  <c r="J141" i="1"/>
  <c r="AO140" i="1"/>
  <c r="J140" i="1"/>
  <c r="AO139" i="1"/>
  <c r="J139" i="1"/>
  <c r="AO138" i="1"/>
  <c r="J138" i="1"/>
  <c r="AO137" i="1"/>
  <c r="J137" i="1"/>
  <c r="AO136" i="1"/>
  <c r="J136" i="1"/>
  <c r="AO135" i="1"/>
  <c r="J135" i="1"/>
  <c r="AO134" i="1"/>
  <c r="J134" i="1"/>
  <c r="AO133" i="1"/>
  <c r="O31" i="1" s="1"/>
  <c r="K130" i="1"/>
  <c r="E130" i="1"/>
  <c r="N122" i="1"/>
  <c r="H122" i="1"/>
  <c r="F122" i="1"/>
  <c r="G122" i="1" s="1"/>
  <c r="I122" i="1" s="1"/>
  <c r="J122" i="1" s="1"/>
  <c r="C122" i="1"/>
  <c r="B122" i="1"/>
  <c r="H121" i="1"/>
  <c r="F121" i="1"/>
  <c r="G121" i="1" s="1"/>
  <c r="C121" i="1"/>
  <c r="B121" i="1"/>
  <c r="H120" i="1"/>
  <c r="F120" i="1"/>
  <c r="G120" i="1" s="1"/>
  <c r="C120" i="1"/>
  <c r="B120" i="1"/>
  <c r="H119" i="1"/>
  <c r="F119" i="1"/>
  <c r="G119" i="1" s="1"/>
  <c r="C119" i="1"/>
  <c r="B119" i="1"/>
  <c r="H118" i="1"/>
  <c r="F118" i="1"/>
  <c r="G118" i="1" s="1"/>
  <c r="C118" i="1"/>
  <c r="B118" i="1"/>
  <c r="H117" i="1"/>
  <c r="G117" i="1"/>
  <c r="F117" i="1"/>
  <c r="C117" i="1"/>
  <c r="B117" i="1"/>
  <c r="H116" i="1"/>
  <c r="G116" i="1"/>
  <c r="F116" i="1"/>
  <c r="C116" i="1"/>
  <c r="B116" i="1"/>
  <c r="H115" i="1"/>
  <c r="F115" i="1"/>
  <c r="G115" i="1" s="1"/>
  <c r="C115" i="1"/>
  <c r="B115" i="1"/>
  <c r="H114" i="1"/>
  <c r="F114" i="1"/>
  <c r="G114" i="1" s="1"/>
  <c r="C114" i="1"/>
  <c r="B114" i="1"/>
  <c r="H113" i="1"/>
  <c r="G113" i="1"/>
  <c r="F113" i="1"/>
  <c r="C113" i="1"/>
  <c r="B113" i="1"/>
  <c r="H112" i="1"/>
  <c r="F112" i="1"/>
  <c r="G112" i="1" s="1"/>
  <c r="C112" i="1"/>
  <c r="B112" i="1"/>
  <c r="H111" i="1"/>
  <c r="F111" i="1"/>
  <c r="G111" i="1" s="1"/>
  <c r="C111" i="1"/>
  <c r="B111" i="1"/>
  <c r="N110" i="1"/>
  <c r="H110" i="1"/>
  <c r="F110" i="1"/>
  <c r="G110" i="1" s="1"/>
  <c r="C110" i="1"/>
  <c r="B110" i="1"/>
  <c r="H109" i="1"/>
  <c r="F109" i="1"/>
  <c r="G109" i="1" s="1"/>
  <c r="C109" i="1"/>
  <c r="B109" i="1"/>
  <c r="H108" i="1"/>
  <c r="F108" i="1"/>
  <c r="G108" i="1" s="1"/>
  <c r="C108" i="1"/>
  <c r="B108" i="1"/>
  <c r="H107" i="1"/>
  <c r="F107" i="1"/>
  <c r="G107" i="1" s="1"/>
  <c r="C107" i="1"/>
  <c r="B107" i="1"/>
  <c r="H106" i="1"/>
  <c r="F106" i="1"/>
  <c r="G106" i="1" s="1"/>
  <c r="I106" i="1" s="1"/>
  <c r="J106" i="1" s="1"/>
  <c r="C106" i="1"/>
  <c r="B106" i="1"/>
  <c r="H105" i="1"/>
  <c r="F105" i="1"/>
  <c r="G105" i="1" s="1"/>
  <c r="C105" i="1"/>
  <c r="I105" i="1" s="1"/>
  <c r="J105" i="1" s="1"/>
  <c r="B105" i="1"/>
  <c r="H104" i="1"/>
  <c r="F104" i="1"/>
  <c r="G104" i="1" s="1"/>
  <c r="I104" i="1" s="1"/>
  <c r="J104" i="1" s="1"/>
  <c r="C104" i="1"/>
  <c r="B104" i="1"/>
  <c r="H103" i="1"/>
  <c r="F103" i="1"/>
  <c r="G103" i="1" s="1"/>
  <c r="I103" i="1" s="1"/>
  <c r="C103" i="1"/>
  <c r="B103" i="1"/>
  <c r="H102" i="1"/>
  <c r="F102" i="1"/>
  <c r="G102" i="1" s="1"/>
  <c r="C102" i="1"/>
  <c r="B102" i="1"/>
  <c r="H101" i="1"/>
  <c r="F101" i="1"/>
  <c r="G101" i="1" s="1"/>
  <c r="C101" i="1"/>
  <c r="B101" i="1"/>
  <c r="H100" i="1"/>
  <c r="F100" i="1"/>
  <c r="G100" i="1" s="1"/>
  <c r="C100" i="1"/>
  <c r="B100" i="1"/>
  <c r="H99" i="1"/>
  <c r="F99" i="1"/>
  <c r="G99" i="1" s="1"/>
  <c r="C99" i="1"/>
  <c r="B99" i="1"/>
  <c r="K98" i="1"/>
  <c r="H98" i="1"/>
  <c r="G98" i="1"/>
  <c r="F98" i="1"/>
  <c r="C98" i="1"/>
  <c r="B98" i="1"/>
  <c r="H97" i="1"/>
  <c r="F97" i="1"/>
  <c r="G97" i="1" s="1"/>
  <c r="I97" i="1" s="1"/>
  <c r="C97" i="1"/>
  <c r="B97" i="1"/>
  <c r="H96" i="1"/>
  <c r="F96" i="1"/>
  <c r="G96" i="1" s="1"/>
  <c r="C96" i="1"/>
  <c r="B96" i="1"/>
  <c r="H95" i="1"/>
  <c r="F95" i="1"/>
  <c r="G95" i="1" s="1"/>
  <c r="C95" i="1"/>
  <c r="B95" i="1"/>
  <c r="H94" i="1"/>
  <c r="G94" i="1"/>
  <c r="F94" i="1"/>
  <c r="C94" i="1"/>
  <c r="B94" i="1"/>
  <c r="H93" i="1"/>
  <c r="F93" i="1"/>
  <c r="G93" i="1" s="1"/>
  <c r="C93" i="1"/>
  <c r="B93" i="1"/>
  <c r="H92" i="1"/>
  <c r="F92" i="1"/>
  <c r="G92" i="1" s="1"/>
  <c r="C92" i="1"/>
  <c r="B92" i="1"/>
  <c r="H91" i="1"/>
  <c r="F91" i="1"/>
  <c r="G91" i="1" s="1"/>
  <c r="C91" i="1"/>
  <c r="B91" i="1"/>
  <c r="H90" i="1"/>
  <c r="F90" i="1"/>
  <c r="G90" i="1" s="1"/>
  <c r="C90" i="1"/>
  <c r="B90" i="1"/>
  <c r="H89" i="1"/>
  <c r="F89" i="1"/>
  <c r="G89" i="1" s="1"/>
  <c r="C89" i="1"/>
  <c r="B89" i="1"/>
  <c r="H88" i="1"/>
  <c r="F88" i="1"/>
  <c r="G88" i="1" s="1"/>
  <c r="C88" i="1"/>
  <c r="B88" i="1"/>
  <c r="H87" i="1"/>
  <c r="F87" i="1"/>
  <c r="G87" i="1" s="1"/>
  <c r="C87" i="1"/>
  <c r="B87" i="1"/>
  <c r="H86" i="1"/>
  <c r="G86" i="1"/>
  <c r="F86" i="1"/>
  <c r="C86" i="1"/>
  <c r="B86" i="1"/>
  <c r="H85" i="1"/>
  <c r="F85" i="1"/>
  <c r="G85" i="1" s="1"/>
  <c r="C85" i="1"/>
  <c r="B85" i="1"/>
  <c r="H84" i="1"/>
  <c r="F84" i="1"/>
  <c r="G84" i="1" s="1"/>
  <c r="C84" i="1"/>
  <c r="I84" i="1" s="1"/>
  <c r="B84" i="1"/>
  <c r="K83" i="1"/>
  <c r="H83" i="1"/>
  <c r="G83" i="1"/>
  <c r="I83" i="1" s="1"/>
  <c r="F83" i="1"/>
  <c r="C83" i="1"/>
  <c r="B83" i="1"/>
  <c r="H82" i="1"/>
  <c r="G82" i="1"/>
  <c r="F82" i="1"/>
  <c r="C82" i="1"/>
  <c r="B82" i="1"/>
  <c r="H81" i="1"/>
  <c r="F81" i="1"/>
  <c r="G81" i="1" s="1"/>
  <c r="C81" i="1"/>
  <c r="B81" i="1"/>
  <c r="H80" i="1"/>
  <c r="F80" i="1"/>
  <c r="G80" i="1" s="1"/>
  <c r="C80" i="1"/>
  <c r="B80" i="1"/>
  <c r="H79" i="1"/>
  <c r="F79" i="1"/>
  <c r="G79" i="1" s="1"/>
  <c r="C79" i="1"/>
  <c r="B79" i="1"/>
  <c r="H78" i="1"/>
  <c r="F78" i="1"/>
  <c r="G78" i="1" s="1"/>
  <c r="C78" i="1"/>
  <c r="B78" i="1"/>
  <c r="H77" i="1"/>
  <c r="F77" i="1"/>
  <c r="C77" i="1"/>
  <c r="B77" i="1"/>
  <c r="H76" i="1"/>
  <c r="F76" i="1"/>
  <c r="G76" i="1" s="1"/>
  <c r="C76" i="1"/>
  <c r="B76" i="1"/>
  <c r="H75" i="1"/>
  <c r="F75" i="1"/>
  <c r="G75" i="1" s="1"/>
  <c r="C75" i="1"/>
  <c r="B75" i="1"/>
  <c r="H74" i="1"/>
  <c r="F74" i="1"/>
  <c r="G74" i="1" s="1"/>
  <c r="C74" i="1"/>
  <c r="B74" i="1"/>
  <c r="H73" i="1"/>
  <c r="F73" i="1"/>
  <c r="G73" i="1" s="1"/>
  <c r="C73" i="1"/>
  <c r="B73" i="1"/>
  <c r="H72" i="1"/>
  <c r="G72" i="1"/>
  <c r="F72" i="1"/>
  <c r="C72" i="1"/>
  <c r="B72" i="1"/>
  <c r="H71" i="1"/>
  <c r="F71" i="1"/>
  <c r="G71" i="1" s="1"/>
  <c r="C71" i="1"/>
  <c r="B71" i="1"/>
  <c r="H70" i="1"/>
  <c r="F70" i="1"/>
  <c r="G70" i="1" s="1"/>
  <c r="C70" i="1"/>
  <c r="B70" i="1"/>
  <c r="H69" i="1"/>
  <c r="F69" i="1"/>
  <c r="G69" i="1" s="1"/>
  <c r="C69" i="1"/>
  <c r="B69" i="1"/>
  <c r="H68" i="1"/>
  <c r="F68" i="1"/>
  <c r="G68" i="1" s="1"/>
  <c r="C68" i="1"/>
  <c r="B68" i="1"/>
  <c r="H67" i="1"/>
  <c r="F67" i="1"/>
  <c r="G67" i="1" s="1"/>
  <c r="C67" i="1"/>
  <c r="B67" i="1"/>
  <c r="H66" i="1"/>
  <c r="F66" i="1"/>
  <c r="G66" i="1" s="1"/>
  <c r="C66" i="1"/>
  <c r="B66" i="1"/>
  <c r="H65" i="1"/>
  <c r="F65" i="1"/>
  <c r="G65" i="1" s="1"/>
  <c r="C65" i="1"/>
  <c r="B65" i="1"/>
  <c r="H64" i="1"/>
  <c r="F64" i="1"/>
  <c r="G64" i="1" s="1"/>
  <c r="C64" i="1"/>
  <c r="B64" i="1"/>
  <c r="H63" i="1"/>
  <c r="F63" i="1"/>
  <c r="G63" i="1" s="1"/>
  <c r="C63" i="1"/>
  <c r="B63" i="1"/>
  <c r="H62" i="1"/>
  <c r="G62" i="1"/>
  <c r="F62" i="1"/>
  <c r="C62" i="1"/>
  <c r="B62" i="1"/>
  <c r="H61" i="1"/>
  <c r="F61" i="1"/>
  <c r="G61" i="1" s="1"/>
  <c r="C61" i="1"/>
  <c r="B61" i="1"/>
  <c r="H60" i="1"/>
  <c r="F60" i="1"/>
  <c r="G60" i="1" s="1"/>
  <c r="C60" i="1"/>
  <c r="B60" i="1"/>
  <c r="N59" i="1"/>
  <c r="H59" i="1"/>
  <c r="F59" i="1"/>
  <c r="G59" i="1" s="1"/>
  <c r="C59" i="1"/>
  <c r="B59" i="1"/>
  <c r="H58" i="1"/>
  <c r="F58" i="1"/>
  <c r="C58" i="1"/>
  <c r="B58" i="1"/>
  <c r="H57" i="1"/>
  <c r="F57" i="1"/>
  <c r="C57" i="1"/>
  <c r="B57" i="1"/>
  <c r="H56" i="1"/>
  <c r="F56" i="1"/>
  <c r="G56" i="1" s="1"/>
  <c r="C56" i="1"/>
  <c r="I56" i="1" s="1"/>
  <c r="B56" i="1"/>
  <c r="H55" i="1"/>
  <c r="F55" i="1"/>
  <c r="G55" i="1" s="1"/>
  <c r="C55" i="1"/>
  <c r="B55" i="1"/>
  <c r="H54" i="1"/>
  <c r="F54" i="1"/>
  <c r="G54" i="1" s="1"/>
  <c r="C54" i="1"/>
  <c r="B54" i="1"/>
  <c r="H53" i="1"/>
  <c r="F53" i="1"/>
  <c r="G53" i="1" s="1"/>
  <c r="C53" i="1"/>
  <c r="B53" i="1"/>
  <c r="H52" i="1"/>
  <c r="F52" i="1"/>
  <c r="G52" i="1" s="1"/>
  <c r="C52" i="1"/>
  <c r="B52" i="1"/>
  <c r="H51" i="1"/>
  <c r="F51" i="1"/>
  <c r="G51" i="1" s="1"/>
  <c r="C51" i="1"/>
  <c r="B51" i="1"/>
  <c r="H50" i="1"/>
  <c r="F50" i="1"/>
  <c r="G50" i="1" s="1"/>
  <c r="C50" i="1"/>
  <c r="B50" i="1"/>
  <c r="H49" i="1"/>
  <c r="F49" i="1"/>
  <c r="G49" i="1" s="1"/>
  <c r="C49" i="1"/>
  <c r="B49" i="1"/>
  <c r="N48" i="1"/>
  <c r="M48" i="1"/>
  <c r="H48" i="1"/>
  <c r="G48" i="1"/>
  <c r="F48" i="1"/>
  <c r="C48" i="1"/>
  <c r="B48" i="1"/>
  <c r="H47" i="1"/>
  <c r="F47" i="1"/>
  <c r="G47" i="1" s="1"/>
  <c r="C47" i="1"/>
  <c r="B47" i="1"/>
  <c r="H46" i="1"/>
  <c r="F46" i="1"/>
  <c r="G46" i="1" s="1"/>
  <c r="I46" i="1" s="1"/>
  <c r="J46" i="1" s="1"/>
  <c r="C46" i="1"/>
  <c r="B46" i="1"/>
  <c r="M45" i="1"/>
  <c r="H45" i="1"/>
  <c r="F45" i="1"/>
  <c r="G45" i="1" s="1"/>
  <c r="C45" i="1"/>
  <c r="B45" i="1"/>
  <c r="H44" i="1"/>
  <c r="F44" i="1"/>
  <c r="G44" i="1" s="1"/>
  <c r="C44" i="1"/>
  <c r="B44" i="1"/>
  <c r="H43" i="1"/>
  <c r="G43" i="1"/>
  <c r="R43" i="1" s="1"/>
  <c r="AF43" i="1" s="1"/>
  <c r="AJ43" i="1" s="1"/>
  <c r="F43" i="1"/>
  <c r="E43" i="1"/>
  <c r="D43" i="1"/>
  <c r="C43" i="1"/>
  <c r="B43" i="1"/>
  <c r="T34" i="1"/>
  <c r="N33" i="1"/>
  <c r="N32" i="1"/>
  <c r="N31" i="1"/>
  <c r="H130" i="1" s="1"/>
  <c r="I12" i="1"/>
  <c r="N34" i="1" s="1"/>
  <c r="I11" i="1"/>
  <c r="P10" i="1"/>
  <c r="W1694" i="1" s="1"/>
  <c r="P9" i="1"/>
  <c r="L1648" i="1" s="1"/>
  <c r="P8" i="1"/>
  <c r="N115" i="1" s="1"/>
  <c r="P7" i="1"/>
  <c r="M68" i="1" s="1"/>
  <c r="P6" i="1"/>
  <c r="L55" i="1" s="1"/>
  <c r="P5" i="1"/>
  <c r="K101" i="1" s="1"/>
  <c r="K96" i="1" l="1"/>
  <c r="K86" i="1"/>
  <c r="K105" i="1"/>
  <c r="K45" i="1"/>
  <c r="K54" i="1"/>
  <c r="K58" i="1"/>
  <c r="L79" i="1"/>
  <c r="L86" i="1"/>
  <c r="L45" i="1"/>
  <c r="I51" i="1"/>
  <c r="M58" i="1"/>
  <c r="K72" i="1"/>
  <c r="K94" i="1"/>
  <c r="N109" i="1"/>
  <c r="I43" i="1"/>
  <c r="J43" i="1" s="1"/>
  <c r="V43" i="1" s="1"/>
  <c r="K62" i="1"/>
  <c r="K43" i="1"/>
  <c r="O43" i="1" s="1"/>
  <c r="AE43" i="1" s="1"/>
  <c r="AH43" i="1" s="1"/>
  <c r="AK43" i="1" s="1"/>
  <c r="M65" i="1"/>
  <c r="M69" i="1"/>
  <c r="M80" i="1"/>
  <c r="J84" i="1"/>
  <c r="K87" i="1"/>
  <c r="K106" i="1"/>
  <c r="L43" i="1"/>
  <c r="Q43" i="1" s="1"/>
  <c r="K59" i="1"/>
  <c r="K73" i="1"/>
  <c r="K114" i="1"/>
  <c r="L133" i="1"/>
  <c r="P133" i="1" s="1"/>
  <c r="Q133" i="1" s="1"/>
  <c r="K46" i="1"/>
  <c r="L77" i="1"/>
  <c r="K107" i="1"/>
  <c r="K70" i="1"/>
  <c r="K76" i="1"/>
  <c r="L65" i="1"/>
  <c r="U43" i="1"/>
  <c r="K84" i="1"/>
  <c r="AP133" i="1"/>
  <c r="AP134" i="1" s="1"/>
  <c r="AP135" i="1" s="1"/>
  <c r="AP136" i="1" s="1"/>
  <c r="AP137" i="1" s="1"/>
  <c r="AP138" i="1" s="1"/>
  <c r="AP139" i="1" s="1"/>
  <c r="AP140" i="1" s="1"/>
  <c r="AP141" i="1" s="1"/>
  <c r="AP142" i="1" s="1"/>
  <c r="AP143" i="1" s="1"/>
  <c r="AP144" i="1" s="1"/>
  <c r="L88" i="1"/>
  <c r="K74" i="1"/>
  <c r="K44" i="1"/>
  <c r="K85" i="1"/>
  <c r="AP151" i="1"/>
  <c r="AP152" i="1" s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AP286" i="1" s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AP319" i="1" s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AP352" i="1" s="1"/>
  <c r="AP353" i="1" s="1"/>
  <c r="AP354" i="1" s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AP367" i="1" s="1"/>
  <c r="AP368" i="1" s="1"/>
  <c r="AP369" i="1" s="1"/>
  <c r="AP370" i="1" s="1"/>
  <c r="AP371" i="1" s="1"/>
  <c r="AP372" i="1" s="1"/>
  <c r="AP373" i="1" s="1"/>
  <c r="AP374" i="1" s="1"/>
  <c r="AP375" i="1" s="1"/>
  <c r="AP376" i="1" s="1"/>
  <c r="AP377" i="1" s="1"/>
  <c r="AP378" i="1" s="1"/>
  <c r="AP379" i="1" s="1"/>
  <c r="AP380" i="1" s="1"/>
  <c r="AP381" i="1" s="1"/>
  <c r="AP382" i="1" s="1"/>
  <c r="AP383" i="1" s="1"/>
  <c r="AP384" i="1" s="1"/>
  <c r="AP385" i="1" s="1"/>
  <c r="AP386" i="1" s="1"/>
  <c r="AP387" i="1" s="1"/>
  <c r="AP388" i="1" s="1"/>
  <c r="AP389" i="1" s="1"/>
  <c r="AP390" i="1" s="1"/>
  <c r="AP391" i="1" s="1"/>
  <c r="AP392" i="1" s="1"/>
  <c r="AP393" i="1" s="1"/>
  <c r="AP394" i="1" s="1"/>
  <c r="AP395" i="1" s="1"/>
  <c r="AP396" i="1" s="1"/>
  <c r="AP397" i="1" s="1"/>
  <c r="AP398" i="1" s="1"/>
  <c r="AP399" i="1" s="1"/>
  <c r="AP400" i="1" s="1"/>
  <c r="AP401" i="1" s="1"/>
  <c r="AP402" i="1" s="1"/>
  <c r="AP403" i="1" s="1"/>
  <c r="AP404" i="1" s="1"/>
  <c r="AP405" i="1" s="1"/>
  <c r="AP406" i="1" s="1"/>
  <c r="AP407" i="1" s="1"/>
  <c r="AP408" i="1" s="1"/>
  <c r="AP409" i="1" s="1"/>
  <c r="AP410" i="1" s="1"/>
  <c r="AP411" i="1" s="1"/>
  <c r="AP412" i="1" s="1"/>
  <c r="AP413" i="1" s="1"/>
  <c r="AP414" i="1" s="1"/>
  <c r="AP415" i="1" s="1"/>
  <c r="AP416" i="1" s="1"/>
  <c r="AP417" i="1" s="1"/>
  <c r="AP418" i="1" s="1"/>
  <c r="AP419" i="1" s="1"/>
  <c r="AP420" i="1" s="1"/>
  <c r="AP421" i="1" s="1"/>
  <c r="AP422" i="1" s="1"/>
  <c r="AP423" i="1" s="1"/>
  <c r="AP424" i="1" s="1"/>
  <c r="AP425" i="1" s="1"/>
  <c r="AP426" i="1" s="1"/>
  <c r="AP427" i="1" s="1"/>
  <c r="AP428" i="1" s="1"/>
  <c r="AP429" i="1" s="1"/>
  <c r="AP430" i="1" s="1"/>
  <c r="AP431" i="1" s="1"/>
  <c r="AP432" i="1" s="1"/>
  <c r="AP433" i="1" s="1"/>
  <c r="AP434" i="1" s="1"/>
  <c r="AP435" i="1" s="1"/>
  <c r="AP436" i="1" s="1"/>
  <c r="AP437" i="1" s="1"/>
  <c r="AP438" i="1" s="1"/>
  <c r="AP439" i="1" s="1"/>
  <c r="AP440" i="1" s="1"/>
  <c r="AP441" i="1" s="1"/>
  <c r="AP442" i="1" s="1"/>
  <c r="AP443" i="1" s="1"/>
  <c r="AP444" i="1" s="1"/>
  <c r="AP445" i="1" s="1"/>
  <c r="AP446" i="1" s="1"/>
  <c r="AP447" i="1" s="1"/>
  <c r="AP448" i="1" s="1"/>
  <c r="AP449" i="1" s="1"/>
  <c r="AP450" i="1" s="1"/>
  <c r="AP451" i="1" s="1"/>
  <c r="AP452" i="1" s="1"/>
  <c r="AP453" i="1" s="1"/>
  <c r="AP454" i="1" s="1"/>
  <c r="AP455" i="1" s="1"/>
  <c r="AP456" i="1" s="1"/>
  <c r="AP457" i="1" s="1"/>
  <c r="AP458" i="1" s="1"/>
  <c r="AP459" i="1" s="1"/>
  <c r="AP460" i="1" s="1"/>
  <c r="AP461" i="1" s="1"/>
  <c r="AP462" i="1" s="1"/>
  <c r="AP463" i="1" s="1"/>
  <c r="AP464" i="1" s="1"/>
  <c r="AP465" i="1" s="1"/>
  <c r="AP466" i="1" s="1"/>
  <c r="AP467" i="1" s="1"/>
  <c r="AP468" i="1" s="1"/>
  <c r="AP469" i="1" s="1"/>
  <c r="AP470" i="1" s="1"/>
  <c r="AP471" i="1" s="1"/>
  <c r="AP472" i="1" s="1"/>
  <c r="AP473" i="1" s="1"/>
  <c r="AP474" i="1" s="1"/>
  <c r="AP475" i="1" s="1"/>
  <c r="AP476" i="1" s="1"/>
  <c r="AP477" i="1" s="1"/>
  <c r="AP478" i="1" s="1"/>
  <c r="AP479" i="1" s="1"/>
  <c r="AP480" i="1" s="1"/>
  <c r="AP481" i="1" s="1"/>
  <c r="AP482" i="1" s="1"/>
  <c r="AP483" i="1" s="1"/>
  <c r="AP484" i="1" s="1"/>
  <c r="AP485" i="1" s="1"/>
  <c r="AP486" i="1" s="1"/>
  <c r="AP487" i="1" s="1"/>
  <c r="AP488" i="1" s="1"/>
  <c r="AP489" i="1" s="1"/>
  <c r="AP490" i="1" s="1"/>
  <c r="AP491" i="1" s="1"/>
  <c r="AP492" i="1" s="1"/>
  <c r="AP493" i="1" s="1"/>
  <c r="AP494" i="1" s="1"/>
  <c r="AP495" i="1" s="1"/>
  <c r="AP496" i="1" s="1"/>
  <c r="AP497" i="1" s="1"/>
  <c r="AP498" i="1" s="1"/>
  <c r="AP499" i="1" s="1"/>
  <c r="AP500" i="1" s="1"/>
  <c r="AP501" i="1" s="1"/>
  <c r="AP502" i="1" s="1"/>
  <c r="AP503" i="1" s="1"/>
  <c r="AP504" i="1" s="1"/>
  <c r="AP505" i="1" s="1"/>
  <c r="AP506" i="1" s="1"/>
  <c r="AP507" i="1" s="1"/>
  <c r="AP508" i="1" s="1"/>
  <c r="AP509" i="1" s="1"/>
  <c r="AP510" i="1" s="1"/>
  <c r="AP511" i="1" s="1"/>
  <c r="AP512" i="1" s="1"/>
  <c r="AP513" i="1" s="1"/>
  <c r="AP514" i="1" s="1"/>
  <c r="AP515" i="1" s="1"/>
  <c r="AP516" i="1" s="1"/>
  <c r="AP517" i="1" s="1"/>
  <c r="AP518" i="1" s="1"/>
  <c r="AP519" i="1" s="1"/>
  <c r="AP520" i="1" s="1"/>
  <c r="AP521" i="1" s="1"/>
  <c r="AP522" i="1" s="1"/>
  <c r="AP523" i="1" s="1"/>
  <c r="AP524" i="1" s="1"/>
  <c r="AP525" i="1" s="1"/>
  <c r="AP526" i="1" s="1"/>
  <c r="AP527" i="1" s="1"/>
  <c r="AP528" i="1" s="1"/>
  <c r="AP529" i="1" s="1"/>
  <c r="AP530" i="1" s="1"/>
  <c r="AP531" i="1" s="1"/>
  <c r="AP532" i="1" s="1"/>
  <c r="AP533" i="1" s="1"/>
  <c r="AP534" i="1" s="1"/>
  <c r="AP535" i="1" s="1"/>
  <c r="AP536" i="1" s="1"/>
  <c r="AP537" i="1" s="1"/>
  <c r="AP538" i="1" s="1"/>
  <c r="AP539" i="1" s="1"/>
  <c r="AP540" i="1" s="1"/>
  <c r="AP541" i="1" s="1"/>
  <c r="AP542" i="1" s="1"/>
  <c r="AP543" i="1" s="1"/>
  <c r="AP544" i="1" s="1"/>
  <c r="AP545" i="1" s="1"/>
  <c r="AP546" i="1" s="1"/>
  <c r="AP547" i="1" s="1"/>
  <c r="AP548" i="1" s="1"/>
  <c r="AP549" i="1" s="1"/>
  <c r="AP550" i="1" s="1"/>
  <c r="AP551" i="1" s="1"/>
  <c r="AP552" i="1" s="1"/>
  <c r="AP553" i="1" s="1"/>
  <c r="AP554" i="1" s="1"/>
  <c r="AP555" i="1" s="1"/>
  <c r="AP556" i="1" s="1"/>
  <c r="AP557" i="1" s="1"/>
  <c r="AP558" i="1" s="1"/>
  <c r="AP559" i="1" s="1"/>
  <c r="AP560" i="1" s="1"/>
  <c r="AP561" i="1" s="1"/>
  <c r="AP562" i="1" s="1"/>
  <c r="AP563" i="1" s="1"/>
  <c r="AP564" i="1" s="1"/>
  <c r="AP565" i="1" s="1"/>
  <c r="AP566" i="1" s="1"/>
  <c r="AP567" i="1" s="1"/>
  <c r="AP568" i="1" s="1"/>
  <c r="AP569" i="1" s="1"/>
  <c r="AP570" i="1" s="1"/>
  <c r="AP571" i="1" s="1"/>
  <c r="AP572" i="1" s="1"/>
  <c r="AP573" i="1" s="1"/>
  <c r="AP574" i="1" s="1"/>
  <c r="AP575" i="1" s="1"/>
  <c r="AP576" i="1" s="1"/>
  <c r="AP577" i="1" s="1"/>
  <c r="AP578" i="1" s="1"/>
  <c r="AP579" i="1" s="1"/>
  <c r="AP580" i="1" s="1"/>
  <c r="AP581" i="1" s="1"/>
  <c r="AP582" i="1" s="1"/>
  <c r="AP583" i="1" s="1"/>
  <c r="AP584" i="1" s="1"/>
  <c r="AP585" i="1" s="1"/>
  <c r="AP586" i="1" s="1"/>
  <c r="AP587" i="1" s="1"/>
  <c r="AP588" i="1" s="1"/>
  <c r="AP589" i="1" s="1"/>
  <c r="AP590" i="1" s="1"/>
  <c r="AP591" i="1" s="1"/>
  <c r="AP592" i="1" s="1"/>
  <c r="AP593" i="1" s="1"/>
  <c r="AP594" i="1" s="1"/>
  <c r="AP595" i="1" s="1"/>
  <c r="AP596" i="1" s="1"/>
  <c r="AP597" i="1" s="1"/>
  <c r="AP598" i="1" s="1"/>
  <c r="AP599" i="1" s="1"/>
  <c r="AP600" i="1" s="1"/>
  <c r="AP601" i="1" s="1"/>
  <c r="AP602" i="1" s="1"/>
  <c r="AP603" i="1" s="1"/>
  <c r="AP604" i="1" s="1"/>
  <c r="AP605" i="1" s="1"/>
  <c r="AP606" i="1" s="1"/>
  <c r="AP607" i="1" s="1"/>
  <c r="AP608" i="1" s="1"/>
  <c r="AP609" i="1" s="1"/>
  <c r="AP610" i="1" s="1"/>
  <c r="AP611" i="1" s="1"/>
  <c r="AP612" i="1" s="1"/>
  <c r="AP613" i="1" s="1"/>
  <c r="AP614" i="1" s="1"/>
  <c r="AP615" i="1" s="1"/>
  <c r="AP616" i="1" s="1"/>
  <c r="AP617" i="1" s="1"/>
  <c r="AP618" i="1" s="1"/>
  <c r="AP619" i="1" s="1"/>
  <c r="AP620" i="1" s="1"/>
  <c r="AP621" i="1" s="1"/>
  <c r="AP622" i="1" s="1"/>
  <c r="AP623" i="1" s="1"/>
  <c r="AP624" i="1" s="1"/>
  <c r="AP625" i="1" s="1"/>
  <c r="AP626" i="1" s="1"/>
  <c r="AP627" i="1" s="1"/>
  <c r="AP628" i="1" s="1"/>
  <c r="AP629" i="1" s="1"/>
  <c r="AP630" i="1" s="1"/>
  <c r="AP631" i="1" s="1"/>
  <c r="AP632" i="1" s="1"/>
  <c r="AP633" i="1" s="1"/>
  <c r="AP634" i="1" s="1"/>
  <c r="AP635" i="1" s="1"/>
  <c r="AP636" i="1" s="1"/>
  <c r="AP637" i="1" s="1"/>
  <c r="AP638" i="1" s="1"/>
  <c r="AP639" i="1" s="1"/>
  <c r="AP640" i="1" s="1"/>
  <c r="AP641" i="1" s="1"/>
  <c r="AP642" i="1" s="1"/>
  <c r="AP643" i="1" s="1"/>
  <c r="AP644" i="1" s="1"/>
  <c r="AP645" i="1" s="1"/>
  <c r="AP646" i="1" s="1"/>
  <c r="AP647" i="1" s="1"/>
  <c r="AP648" i="1" s="1"/>
  <c r="AP649" i="1" s="1"/>
  <c r="AP650" i="1" s="1"/>
  <c r="AP651" i="1" s="1"/>
  <c r="AP652" i="1" s="1"/>
  <c r="AP653" i="1" s="1"/>
  <c r="AP654" i="1" s="1"/>
  <c r="AP655" i="1" s="1"/>
  <c r="AP656" i="1" s="1"/>
  <c r="AP657" i="1" s="1"/>
  <c r="AP658" i="1" s="1"/>
  <c r="AP659" i="1" s="1"/>
  <c r="AP660" i="1" s="1"/>
  <c r="AP661" i="1" s="1"/>
  <c r="AP662" i="1" s="1"/>
  <c r="AP663" i="1" s="1"/>
  <c r="AP664" i="1" s="1"/>
  <c r="AP665" i="1" s="1"/>
  <c r="AP666" i="1" s="1"/>
  <c r="AP667" i="1" s="1"/>
  <c r="AP668" i="1" s="1"/>
  <c r="AP669" i="1" s="1"/>
  <c r="AP670" i="1" s="1"/>
  <c r="AP671" i="1" s="1"/>
  <c r="AP672" i="1" s="1"/>
  <c r="AP673" i="1" s="1"/>
  <c r="AP674" i="1" s="1"/>
  <c r="AP675" i="1" s="1"/>
  <c r="AP676" i="1" s="1"/>
  <c r="AP677" i="1" s="1"/>
  <c r="AP678" i="1" s="1"/>
  <c r="AP679" i="1" s="1"/>
  <c r="AP680" i="1" s="1"/>
  <c r="AP681" i="1" s="1"/>
  <c r="AP682" i="1" s="1"/>
  <c r="AP683" i="1" s="1"/>
  <c r="AP684" i="1" s="1"/>
  <c r="AP685" i="1" s="1"/>
  <c r="AP686" i="1" s="1"/>
  <c r="AP687" i="1" s="1"/>
  <c r="AP688" i="1" s="1"/>
  <c r="AP689" i="1" s="1"/>
  <c r="AP690" i="1" s="1"/>
  <c r="AP691" i="1" s="1"/>
  <c r="AP692" i="1" s="1"/>
  <c r="AP693" i="1" s="1"/>
  <c r="AP694" i="1" s="1"/>
  <c r="AP695" i="1" s="1"/>
  <c r="AP696" i="1" s="1"/>
  <c r="AP697" i="1" s="1"/>
  <c r="AP698" i="1" s="1"/>
  <c r="AP699" i="1" s="1"/>
  <c r="AP700" i="1" s="1"/>
  <c r="AP701" i="1" s="1"/>
  <c r="AP702" i="1" s="1"/>
  <c r="AP703" i="1" s="1"/>
  <c r="AP704" i="1" s="1"/>
  <c r="AP705" i="1" s="1"/>
  <c r="AP706" i="1" s="1"/>
  <c r="AP707" i="1" s="1"/>
  <c r="AP708" i="1" s="1"/>
  <c r="AP709" i="1" s="1"/>
  <c r="AP710" i="1" s="1"/>
  <c r="AP711" i="1" s="1"/>
  <c r="AP712" i="1" s="1"/>
  <c r="AP713" i="1" s="1"/>
  <c r="AP714" i="1" s="1"/>
  <c r="AP715" i="1" s="1"/>
  <c r="AP716" i="1" s="1"/>
  <c r="AP717" i="1" s="1"/>
  <c r="AP718" i="1" s="1"/>
  <c r="AP719" i="1" s="1"/>
  <c r="AP720" i="1" s="1"/>
  <c r="AP721" i="1" s="1"/>
  <c r="AP722" i="1" s="1"/>
  <c r="AP723" i="1" s="1"/>
  <c r="AP724" i="1" s="1"/>
  <c r="AP725" i="1" s="1"/>
  <c r="AP726" i="1" s="1"/>
  <c r="AP727" i="1" s="1"/>
  <c r="AP728" i="1" s="1"/>
  <c r="AP729" i="1" s="1"/>
  <c r="AP730" i="1" s="1"/>
  <c r="AP731" i="1" s="1"/>
  <c r="AP732" i="1" s="1"/>
  <c r="AP733" i="1" s="1"/>
  <c r="AP734" i="1" s="1"/>
  <c r="AP735" i="1" s="1"/>
  <c r="AP736" i="1" s="1"/>
  <c r="AP737" i="1" s="1"/>
  <c r="AP738" i="1" s="1"/>
  <c r="AP739" i="1" s="1"/>
  <c r="AP740" i="1" s="1"/>
  <c r="AP741" i="1" s="1"/>
  <c r="AP742" i="1" s="1"/>
  <c r="AP743" i="1" s="1"/>
  <c r="AP744" i="1" s="1"/>
  <c r="AP745" i="1" s="1"/>
  <c r="AP746" i="1" s="1"/>
  <c r="AP747" i="1" s="1"/>
  <c r="AP748" i="1" s="1"/>
  <c r="AP749" i="1" s="1"/>
  <c r="AP750" i="1" s="1"/>
  <c r="AP751" i="1" s="1"/>
  <c r="AP752" i="1" s="1"/>
  <c r="AP753" i="1" s="1"/>
  <c r="AP754" i="1" s="1"/>
  <c r="AP755" i="1" s="1"/>
  <c r="AP756" i="1" s="1"/>
  <c r="AP757" i="1" s="1"/>
  <c r="AP758" i="1" s="1"/>
  <c r="AP759" i="1" s="1"/>
  <c r="AP760" i="1" s="1"/>
  <c r="AP761" i="1" s="1"/>
  <c r="AP762" i="1" s="1"/>
  <c r="AP763" i="1" s="1"/>
  <c r="AP764" i="1" s="1"/>
  <c r="AP765" i="1" s="1"/>
  <c r="AP766" i="1" s="1"/>
  <c r="AP767" i="1" s="1"/>
  <c r="AP768" i="1" s="1"/>
  <c r="AP769" i="1" s="1"/>
  <c r="AP770" i="1" s="1"/>
  <c r="AP771" i="1" s="1"/>
  <c r="AP772" i="1" s="1"/>
  <c r="AP773" i="1" s="1"/>
  <c r="AP774" i="1" s="1"/>
  <c r="AP775" i="1" s="1"/>
  <c r="AP776" i="1" s="1"/>
  <c r="AP777" i="1" s="1"/>
  <c r="AP778" i="1" s="1"/>
  <c r="AP779" i="1" s="1"/>
  <c r="AP780" i="1" s="1"/>
  <c r="AP781" i="1" s="1"/>
  <c r="AP782" i="1" s="1"/>
  <c r="AP783" i="1" s="1"/>
  <c r="AP784" i="1" s="1"/>
  <c r="AP785" i="1" s="1"/>
  <c r="AP786" i="1" s="1"/>
  <c r="AP787" i="1" s="1"/>
  <c r="AP788" i="1" s="1"/>
  <c r="AP789" i="1" s="1"/>
  <c r="AP790" i="1" s="1"/>
  <c r="AP791" i="1" s="1"/>
  <c r="AP792" i="1" s="1"/>
  <c r="AP793" i="1" s="1"/>
  <c r="AP794" i="1" s="1"/>
  <c r="AP795" i="1" s="1"/>
  <c r="AP796" i="1" s="1"/>
  <c r="AP797" i="1" s="1"/>
  <c r="AP798" i="1" s="1"/>
  <c r="AP799" i="1" s="1"/>
  <c r="AP800" i="1" s="1"/>
  <c r="AP801" i="1" s="1"/>
  <c r="AP802" i="1" s="1"/>
  <c r="AP803" i="1" s="1"/>
  <c r="AP804" i="1" s="1"/>
  <c r="AP805" i="1" s="1"/>
  <c r="AP806" i="1" s="1"/>
  <c r="AP807" i="1" s="1"/>
  <c r="AP808" i="1" s="1"/>
  <c r="AP809" i="1" s="1"/>
  <c r="AP810" i="1" s="1"/>
  <c r="AP811" i="1" s="1"/>
  <c r="AP812" i="1" s="1"/>
  <c r="AP813" i="1" s="1"/>
  <c r="AP814" i="1" s="1"/>
  <c r="AP815" i="1" s="1"/>
  <c r="AP816" i="1" s="1"/>
  <c r="AP817" i="1" s="1"/>
  <c r="AP818" i="1" s="1"/>
  <c r="AP819" i="1" s="1"/>
  <c r="AP820" i="1" s="1"/>
  <c r="AP821" i="1" s="1"/>
  <c r="AP822" i="1" s="1"/>
  <c r="AP823" i="1" s="1"/>
  <c r="AP824" i="1" s="1"/>
  <c r="AP825" i="1" s="1"/>
  <c r="AP826" i="1" s="1"/>
  <c r="AP827" i="1" s="1"/>
  <c r="AP828" i="1" s="1"/>
  <c r="AP829" i="1" s="1"/>
  <c r="AP830" i="1" s="1"/>
  <c r="AP831" i="1" s="1"/>
  <c r="AP832" i="1" s="1"/>
  <c r="AP833" i="1" s="1"/>
  <c r="AP834" i="1" s="1"/>
  <c r="AP835" i="1" s="1"/>
  <c r="AP836" i="1" s="1"/>
  <c r="AP837" i="1" s="1"/>
  <c r="AP838" i="1" s="1"/>
  <c r="AP839" i="1" s="1"/>
  <c r="AP840" i="1" s="1"/>
  <c r="AP841" i="1" s="1"/>
  <c r="AP842" i="1" s="1"/>
  <c r="AP843" i="1" s="1"/>
  <c r="AP844" i="1" s="1"/>
  <c r="AP845" i="1" s="1"/>
  <c r="AP846" i="1" s="1"/>
  <c r="AP847" i="1" s="1"/>
  <c r="AP848" i="1" s="1"/>
  <c r="AP849" i="1" s="1"/>
  <c r="AP850" i="1" s="1"/>
  <c r="AP851" i="1" s="1"/>
  <c r="AP852" i="1" s="1"/>
  <c r="AP853" i="1" s="1"/>
  <c r="AP854" i="1" s="1"/>
  <c r="AP855" i="1" s="1"/>
  <c r="AP856" i="1" s="1"/>
  <c r="AP857" i="1" s="1"/>
  <c r="AP858" i="1" s="1"/>
  <c r="AP859" i="1" s="1"/>
  <c r="AP860" i="1" s="1"/>
  <c r="AP861" i="1" s="1"/>
  <c r="AP862" i="1" s="1"/>
  <c r="AP863" i="1" s="1"/>
  <c r="AP864" i="1" s="1"/>
  <c r="AP865" i="1" s="1"/>
  <c r="AP866" i="1" s="1"/>
  <c r="AP867" i="1" s="1"/>
  <c r="AP868" i="1" s="1"/>
  <c r="AP869" i="1" s="1"/>
  <c r="AP870" i="1" s="1"/>
  <c r="AP871" i="1" s="1"/>
  <c r="AP872" i="1" s="1"/>
  <c r="AP873" i="1" s="1"/>
  <c r="AP874" i="1" s="1"/>
  <c r="AP875" i="1" s="1"/>
  <c r="AP876" i="1" s="1"/>
  <c r="AP877" i="1" s="1"/>
  <c r="AP878" i="1" s="1"/>
  <c r="AP879" i="1" s="1"/>
  <c r="AP880" i="1" s="1"/>
  <c r="AP881" i="1" s="1"/>
  <c r="AP882" i="1" s="1"/>
  <c r="AP883" i="1" s="1"/>
  <c r="AP884" i="1" s="1"/>
  <c r="AP885" i="1" s="1"/>
  <c r="AP886" i="1" s="1"/>
  <c r="AP887" i="1" s="1"/>
  <c r="AP888" i="1" s="1"/>
  <c r="AP889" i="1" s="1"/>
  <c r="AP890" i="1" s="1"/>
  <c r="AP891" i="1" s="1"/>
  <c r="AP892" i="1" s="1"/>
  <c r="AP893" i="1" s="1"/>
  <c r="AP894" i="1" s="1"/>
  <c r="AP895" i="1" s="1"/>
  <c r="AP896" i="1" s="1"/>
  <c r="AP897" i="1" s="1"/>
  <c r="AP898" i="1" s="1"/>
  <c r="AP899" i="1" s="1"/>
  <c r="AP900" i="1" s="1"/>
  <c r="AP901" i="1" s="1"/>
  <c r="AP902" i="1" s="1"/>
  <c r="AP903" i="1" s="1"/>
  <c r="AP904" i="1" s="1"/>
  <c r="AP905" i="1" s="1"/>
  <c r="AP906" i="1" s="1"/>
  <c r="AP907" i="1" s="1"/>
  <c r="AP908" i="1" s="1"/>
  <c r="AP909" i="1" s="1"/>
  <c r="AP910" i="1" s="1"/>
  <c r="AP911" i="1" s="1"/>
  <c r="AP912" i="1" s="1"/>
  <c r="AP913" i="1" s="1"/>
  <c r="AP914" i="1" s="1"/>
  <c r="AP915" i="1" s="1"/>
  <c r="AP916" i="1" s="1"/>
  <c r="AP917" i="1" s="1"/>
  <c r="AP918" i="1" s="1"/>
  <c r="AP919" i="1" s="1"/>
  <c r="AP920" i="1" s="1"/>
  <c r="AP921" i="1" s="1"/>
  <c r="AP922" i="1" s="1"/>
  <c r="AP923" i="1" s="1"/>
  <c r="AP924" i="1" s="1"/>
  <c r="AP925" i="1" s="1"/>
  <c r="AP926" i="1" s="1"/>
  <c r="AP927" i="1" s="1"/>
  <c r="AP928" i="1" s="1"/>
  <c r="AP929" i="1" s="1"/>
  <c r="AP930" i="1" s="1"/>
  <c r="AP931" i="1" s="1"/>
  <c r="AP932" i="1" s="1"/>
  <c r="AP933" i="1" s="1"/>
  <c r="AP934" i="1" s="1"/>
  <c r="AP935" i="1" s="1"/>
  <c r="AP936" i="1" s="1"/>
  <c r="AP937" i="1" s="1"/>
  <c r="AP938" i="1" s="1"/>
  <c r="AP939" i="1" s="1"/>
  <c r="AP940" i="1" s="1"/>
  <c r="AP941" i="1" s="1"/>
  <c r="AP942" i="1" s="1"/>
  <c r="AP943" i="1" s="1"/>
  <c r="AP944" i="1" s="1"/>
  <c r="AP945" i="1" s="1"/>
  <c r="AP946" i="1" s="1"/>
  <c r="AP947" i="1" s="1"/>
  <c r="AP948" i="1" s="1"/>
  <c r="AP949" i="1" s="1"/>
  <c r="AP950" i="1" s="1"/>
  <c r="AP951" i="1" s="1"/>
  <c r="AP952" i="1" s="1"/>
  <c r="AP953" i="1" s="1"/>
  <c r="AP954" i="1" s="1"/>
  <c r="AP955" i="1" s="1"/>
  <c r="AP956" i="1" s="1"/>
  <c r="AP957" i="1" s="1"/>
  <c r="AP958" i="1" s="1"/>
  <c r="AP959" i="1" s="1"/>
  <c r="AP960" i="1" s="1"/>
  <c r="AP961" i="1" s="1"/>
  <c r="AP962" i="1" s="1"/>
  <c r="AP963" i="1" s="1"/>
  <c r="AP964" i="1" s="1"/>
  <c r="AP965" i="1" s="1"/>
  <c r="AP966" i="1" s="1"/>
  <c r="AP967" i="1" s="1"/>
  <c r="AP968" i="1" s="1"/>
  <c r="AP969" i="1" s="1"/>
  <c r="AP970" i="1" s="1"/>
  <c r="AP971" i="1" s="1"/>
  <c r="AP972" i="1" s="1"/>
  <c r="AP973" i="1" s="1"/>
  <c r="AP974" i="1" s="1"/>
  <c r="AP975" i="1" s="1"/>
  <c r="AP976" i="1" s="1"/>
  <c r="AP977" i="1" s="1"/>
  <c r="AP978" i="1" s="1"/>
  <c r="AP979" i="1" s="1"/>
  <c r="AP980" i="1" s="1"/>
  <c r="AP981" i="1" s="1"/>
  <c r="AP982" i="1" s="1"/>
  <c r="AP983" i="1" s="1"/>
  <c r="AP984" i="1" s="1"/>
  <c r="AP985" i="1" s="1"/>
  <c r="AP986" i="1" s="1"/>
  <c r="AP987" i="1" s="1"/>
  <c r="AP988" i="1" s="1"/>
  <c r="AP989" i="1" s="1"/>
  <c r="AP990" i="1" s="1"/>
  <c r="AP991" i="1" s="1"/>
  <c r="AP992" i="1" s="1"/>
  <c r="AP993" i="1" s="1"/>
  <c r="AP994" i="1" s="1"/>
  <c r="AP995" i="1" s="1"/>
  <c r="AP996" i="1" s="1"/>
  <c r="AP997" i="1" s="1"/>
  <c r="AP998" i="1" s="1"/>
  <c r="AP999" i="1" s="1"/>
  <c r="AP1000" i="1" s="1"/>
  <c r="AP1001" i="1" s="1"/>
  <c r="AP1002" i="1" s="1"/>
  <c r="AP1003" i="1" s="1"/>
  <c r="AP1004" i="1" s="1"/>
  <c r="AP1005" i="1" s="1"/>
  <c r="AP1006" i="1" s="1"/>
  <c r="AP1007" i="1" s="1"/>
  <c r="AP1008" i="1" s="1"/>
  <c r="AP1009" i="1" s="1"/>
  <c r="AP1010" i="1" s="1"/>
  <c r="AP1011" i="1" s="1"/>
  <c r="AP1012" i="1" s="1"/>
  <c r="AP1013" i="1" s="1"/>
  <c r="AP1014" i="1" s="1"/>
  <c r="AP1015" i="1" s="1"/>
  <c r="AP1016" i="1" s="1"/>
  <c r="AP1017" i="1" s="1"/>
  <c r="AP1018" i="1" s="1"/>
  <c r="AP1019" i="1" s="1"/>
  <c r="AP1020" i="1" s="1"/>
  <c r="AP1021" i="1" s="1"/>
  <c r="AP1022" i="1" s="1"/>
  <c r="AP1023" i="1" s="1"/>
  <c r="AP1024" i="1" s="1"/>
  <c r="AP1025" i="1" s="1"/>
  <c r="AP1026" i="1" s="1"/>
  <c r="AP1027" i="1" s="1"/>
  <c r="AP1028" i="1" s="1"/>
  <c r="AP1029" i="1" s="1"/>
  <c r="AP1030" i="1" s="1"/>
  <c r="AP1031" i="1" s="1"/>
  <c r="AP1032" i="1" s="1"/>
  <c r="AP1033" i="1" s="1"/>
  <c r="AP1034" i="1" s="1"/>
  <c r="AP1035" i="1" s="1"/>
  <c r="AP1036" i="1" s="1"/>
  <c r="AP1037" i="1" s="1"/>
  <c r="AP1038" i="1" s="1"/>
  <c r="AP1039" i="1" s="1"/>
  <c r="AP1040" i="1" s="1"/>
  <c r="AP1041" i="1" s="1"/>
  <c r="AP1042" i="1" s="1"/>
  <c r="AP1043" i="1" s="1"/>
  <c r="AP1044" i="1" s="1"/>
  <c r="AP1045" i="1" s="1"/>
  <c r="AP1046" i="1" s="1"/>
  <c r="AP1047" i="1" s="1"/>
  <c r="AP1048" i="1" s="1"/>
  <c r="AP1049" i="1" s="1"/>
  <c r="AP1050" i="1" s="1"/>
  <c r="AP1051" i="1" s="1"/>
  <c r="AP1052" i="1" s="1"/>
  <c r="AP1053" i="1" s="1"/>
  <c r="AP1054" i="1" s="1"/>
  <c r="AP1055" i="1" s="1"/>
  <c r="AP1056" i="1" s="1"/>
  <c r="AP1057" i="1" s="1"/>
  <c r="AP1058" i="1" s="1"/>
  <c r="AP1059" i="1" s="1"/>
  <c r="AP1060" i="1" s="1"/>
  <c r="AP1061" i="1" s="1"/>
  <c r="AP1062" i="1" s="1"/>
  <c r="AP1063" i="1" s="1"/>
  <c r="AP1064" i="1" s="1"/>
  <c r="AP1065" i="1" s="1"/>
  <c r="AP1066" i="1" s="1"/>
  <c r="AP1067" i="1" s="1"/>
  <c r="AP1068" i="1" s="1"/>
  <c r="AP1069" i="1" s="1"/>
  <c r="AP1070" i="1" s="1"/>
  <c r="AP1071" i="1" s="1"/>
  <c r="AP1072" i="1" s="1"/>
  <c r="AP1073" i="1" s="1"/>
  <c r="AP1074" i="1" s="1"/>
  <c r="AP1075" i="1" s="1"/>
  <c r="AP1076" i="1" s="1"/>
  <c r="AP1077" i="1" s="1"/>
  <c r="AP1078" i="1" s="1"/>
  <c r="AP1079" i="1" s="1"/>
  <c r="AP1080" i="1" s="1"/>
  <c r="AP1081" i="1" s="1"/>
  <c r="AP1082" i="1" s="1"/>
  <c r="AP1083" i="1" s="1"/>
  <c r="AP1084" i="1" s="1"/>
  <c r="AP1085" i="1" s="1"/>
  <c r="AP1086" i="1" s="1"/>
  <c r="AP1087" i="1" s="1"/>
  <c r="AP1088" i="1" s="1"/>
  <c r="AP1089" i="1" s="1"/>
  <c r="AP1090" i="1" s="1"/>
  <c r="AP1091" i="1" s="1"/>
  <c r="AP1092" i="1" s="1"/>
  <c r="AP1093" i="1" s="1"/>
  <c r="AP1094" i="1" s="1"/>
  <c r="AP1095" i="1" s="1"/>
  <c r="AP1096" i="1" s="1"/>
  <c r="AP1097" i="1" s="1"/>
  <c r="AP1098" i="1" s="1"/>
  <c r="AP1099" i="1" s="1"/>
  <c r="AP1100" i="1" s="1"/>
  <c r="AP1101" i="1" s="1"/>
  <c r="AP1102" i="1" s="1"/>
  <c r="AP1103" i="1" s="1"/>
  <c r="AP1104" i="1" s="1"/>
  <c r="AP1105" i="1" s="1"/>
  <c r="AP1106" i="1" s="1"/>
  <c r="AP1107" i="1" s="1"/>
  <c r="AP1108" i="1" s="1"/>
  <c r="AP1109" i="1" s="1"/>
  <c r="AP1110" i="1" s="1"/>
  <c r="AP1111" i="1" s="1"/>
  <c r="AP1112" i="1" s="1"/>
  <c r="AP1113" i="1" s="1"/>
  <c r="AP1114" i="1" s="1"/>
  <c r="AP1115" i="1" s="1"/>
  <c r="AP1116" i="1" s="1"/>
  <c r="AP1117" i="1" s="1"/>
  <c r="AP1118" i="1" s="1"/>
  <c r="AP1119" i="1" s="1"/>
  <c r="AP1120" i="1" s="1"/>
  <c r="AP1121" i="1" s="1"/>
  <c r="AP1122" i="1" s="1"/>
  <c r="AP1123" i="1" s="1"/>
  <c r="AP1124" i="1" s="1"/>
  <c r="AP1125" i="1" s="1"/>
  <c r="AP1126" i="1" s="1"/>
  <c r="AP1127" i="1" s="1"/>
  <c r="AP1128" i="1" s="1"/>
  <c r="AP1129" i="1" s="1"/>
  <c r="AP1130" i="1" s="1"/>
  <c r="AP1131" i="1" s="1"/>
  <c r="AP1132" i="1" s="1"/>
  <c r="AP1133" i="1" s="1"/>
  <c r="AP1134" i="1" s="1"/>
  <c r="AP1135" i="1" s="1"/>
  <c r="AP1136" i="1" s="1"/>
  <c r="AP1137" i="1" s="1"/>
  <c r="AP1138" i="1" s="1"/>
  <c r="AP1139" i="1" s="1"/>
  <c r="AP1140" i="1" s="1"/>
  <c r="AP1141" i="1" s="1"/>
  <c r="AP1142" i="1" s="1"/>
  <c r="AP1143" i="1" s="1"/>
  <c r="AP1144" i="1" s="1"/>
  <c r="AP1145" i="1" s="1"/>
  <c r="AP1146" i="1" s="1"/>
  <c r="AP1147" i="1" s="1"/>
  <c r="AP1148" i="1" s="1"/>
  <c r="AP1149" i="1" s="1"/>
  <c r="AP1150" i="1" s="1"/>
  <c r="AP1151" i="1" s="1"/>
  <c r="AP1152" i="1" s="1"/>
  <c r="AP1153" i="1" s="1"/>
  <c r="AP1154" i="1" s="1"/>
  <c r="AP1155" i="1" s="1"/>
  <c r="AP1156" i="1" s="1"/>
  <c r="AP1157" i="1" s="1"/>
  <c r="AP1158" i="1" s="1"/>
  <c r="AP1159" i="1" s="1"/>
  <c r="AP1160" i="1" s="1"/>
  <c r="AP1161" i="1" s="1"/>
  <c r="AP1162" i="1" s="1"/>
  <c r="AP1163" i="1" s="1"/>
  <c r="AP1164" i="1" s="1"/>
  <c r="AP1165" i="1" s="1"/>
  <c r="AP1166" i="1" s="1"/>
  <c r="AP1167" i="1" s="1"/>
  <c r="AP1168" i="1" s="1"/>
  <c r="AP1169" i="1" s="1"/>
  <c r="AP1170" i="1" s="1"/>
  <c r="AP1171" i="1" s="1"/>
  <c r="AP1172" i="1" s="1"/>
  <c r="AP1173" i="1" s="1"/>
  <c r="AP1174" i="1" s="1"/>
  <c r="AP1175" i="1" s="1"/>
  <c r="AP1176" i="1" s="1"/>
  <c r="AP1177" i="1" s="1"/>
  <c r="AP1178" i="1" s="1"/>
  <c r="AP1179" i="1" s="1"/>
  <c r="AP1180" i="1" s="1"/>
  <c r="AP1181" i="1" s="1"/>
  <c r="AP1182" i="1" s="1"/>
  <c r="AP1183" i="1" s="1"/>
  <c r="AP1184" i="1" s="1"/>
  <c r="AP1185" i="1" s="1"/>
  <c r="AP1186" i="1" s="1"/>
  <c r="AP1187" i="1" s="1"/>
  <c r="AP1188" i="1" s="1"/>
  <c r="AP1189" i="1" s="1"/>
  <c r="AP1190" i="1" s="1"/>
  <c r="AP1191" i="1" s="1"/>
  <c r="AP1192" i="1" s="1"/>
  <c r="AP1193" i="1" s="1"/>
  <c r="AP1194" i="1" s="1"/>
  <c r="AP1195" i="1" s="1"/>
  <c r="AP1196" i="1" s="1"/>
  <c r="AP1197" i="1" s="1"/>
  <c r="AP1198" i="1" s="1"/>
  <c r="AP1199" i="1" s="1"/>
  <c r="AP1200" i="1" s="1"/>
  <c r="AP1201" i="1" s="1"/>
  <c r="AP1202" i="1" s="1"/>
  <c r="AP1203" i="1" s="1"/>
  <c r="AP1204" i="1" s="1"/>
  <c r="AP1205" i="1" s="1"/>
  <c r="AP1206" i="1" s="1"/>
  <c r="AP1207" i="1" s="1"/>
  <c r="AP1208" i="1" s="1"/>
  <c r="AP1209" i="1" s="1"/>
  <c r="AP1210" i="1" s="1"/>
  <c r="AP1211" i="1" s="1"/>
  <c r="AP1212" i="1" s="1"/>
  <c r="AP1213" i="1" s="1"/>
  <c r="AP1214" i="1" s="1"/>
  <c r="AP1215" i="1" s="1"/>
  <c r="AP1216" i="1" s="1"/>
  <c r="AP1217" i="1" s="1"/>
  <c r="AP1218" i="1" s="1"/>
  <c r="AP1219" i="1" s="1"/>
  <c r="AP1220" i="1" s="1"/>
  <c r="AP1221" i="1" s="1"/>
  <c r="AP1222" i="1" s="1"/>
  <c r="AP1223" i="1" s="1"/>
  <c r="AP1224" i="1" s="1"/>
  <c r="AP1225" i="1" s="1"/>
  <c r="AP1226" i="1" s="1"/>
  <c r="AP1227" i="1" s="1"/>
  <c r="AP1228" i="1" s="1"/>
  <c r="AP1229" i="1" s="1"/>
  <c r="AP1230" i="1" s="1"/>
  <c r="AP1231" i="1" s="1"/>
  <c r="AP1232" i="1" s="1"/>
  <c r="AP1233" i="1" s="1"/>
  <c r="AP1234" i="1" s="1"/>
  <c r="AP1235" i="1" s="1"/>
  <c r="AP1236" i="1" s="1"/>
  <c r="AP1237" i="1" s="1"/>
  <c r="AP1238" i="1" s="1"/>
  <c r="AP1239" i="1" s="1"/>
  <c r="AP1240" i="1" s="1"/>
  <c r="AP1241" i="1" s="1"/>
  <c r="AP1242" i="1" s="1"/>
  <c r="AP1243" i="1" s="1"/>
  <c r="AP1244" i="1" s="1"/>
  <c r="AP1245" i="1" s="1"/>
  <c r="AP1246" i="1" s="1"/>
  <c r="AP1247" i="1" s="1"/>
  <c r="AP1248" i="1" s="1"/>
  <c r="AP1249" i="1" s="1"/>
  <c r="AP1250" i="1" s="1"/>
  <c r="AP1251" i="1" s="1"/>
  <c r="AP1252" i="1" s="1"/>
  <c r="AP1253" i="1" s="1"/>
  <c r="AP1254" i="1" s="1"/>
  <c r="AP1255" i="1" s="1"/>
  <c r="AP1256" i="1" s="1"/>
  <c r="AP1257" i="1" s="1"/>
  <c r="AP1258" i="1" s="1"/>
  <c r="AP1259" i="1" s="1"/>
  <c r="AP1260" i="1" s="1"/>
  <c r="AP1261" i="1" s="1"/>
  <c r="AP1262" i="1" s="1"/>
  <c r="AP1263" i="1" s="1"/>
  <c r="AP1264" i="1" s="1"/>
  <c r="AP1265" i="1" s="1"/>
  <c r="AP1266" i="1" s="1"/>
  <c r="AP1267" i="1" s="1"/>
  <c r="AP1268" i="1" s="1"/>
  <c r="AP1269" i="1" s="1"/>
  <c r="AP1270" i="1" s="1"/>
  <c r="AP1271" i="1" s="1"/>
  <c r="AP1272" i="1" s="1"/>
  <c r="AP1273" i="1" s="1"/>
  <c r="AP1274" i="1" s="1"/>
  <c r="AP1275" i="1" s="1"/>
  <c r="AP1276" i="1" s="1"/>
  <c r="AP1277" i="1" s="1"/>
  <c r="AP1278" i="1" s="1"/>
  <c r="AP1279" i="1" s="1"/>
  <c r="AP1280" i="1" s="1"/>
  <c r="AP1281" i="1" s="1"/>
  <c r="AP1282" i="1" s="1"/>
  <c r="AP1283" i="1" s="1"/>
  <c r="AP1284" i="1" s="1"/>
  <c r="AP1285" i="1" s="1"/>
  <c r="AP1286" i="1" s="1"/>
  <c r="AP1287" i="1" s="1"/>
  <c r="AP1288" i="1" s="1"/>
  <c r="AP1289" i="1" s="1"/>
  <c r="AP1290" i="1" s="1"/>
  <c r="AP1291" i="1" s="1"/>
  <c r="AP1292" i="1" s="1"/>
  <c r="AP1293" i="1" s="1"/>
  <c r="AP1294" i="1" s="1"/>
  <c r="AP1295" i="1" s="1"/>
  <c r="AP1296" i="1" s="1"/>
  <c r="AP1297" i="1" s="1"/>
  <c r="AP1298" i="1" s="1"/>
  <c r="AP1299" i="1" s="1"/>
  <c r="AP1300" i="1" s="1"/>
  <c r="AP1301" i="1" s="1"/>
  <c r="AP1302" i="1" s="1"/>
  <c r="AP1303" i="1" s="1"/>
  <c r="AP1304" i="1" s="1"/>
  <c r="AP1305" i="1" s="1"/>
  <c r="AP1306" i="1" s="1"/>
  <c r="AP1307" i="1" s="1"/>
  <c r="AP1308" i="1" s="1"/>
  <c r="AP1309" i="1" s="1"/>
  <c r="AP1310" i="1" s="1"/>
  <c r="AP1311" i="1" s="1"/>
  <c r="AP1312" i="1" s="1"/>
  <c r="AP1313" i="1" s="1"/>
  <c r="AP1314" i="1" s="1"/>
  <c r="AP1315" i="1" s="1"/>
  <c r="AP1316" i="1" s="1"/>
  <c r="AP1317" i="1" s="1"/>
  <c r="AP1318" i="1" s="1"/>
  <c r="AP1319" i="1" s="1"/>
  <c r="AP1320" i="1" s="1"/>
  <c r="AP1321" i="1" s="1"/>
  <c r="AP1322" i="1" s="1"/>
  <c r="AP1323" i="1" s="1"/>
  <c r="AP1324" i="1" s="1"/>
  <c r="AP1325" i="1" s="1"/>
  <c r="AP1326" i="1" s="1"/>
  <c r="AP1327" i="1" s="1"/>
  <c r="AP1328" i="1" s="1"/>
  <c r="AP1329" i="1" s="1"/>
  <c r="AP1330" i="1" s="1"/>
  <c r="AP1331" i="1" s="1"/>
  <c r="AP1332" i="1" s="1"/>
  <c r="AP1333" i="1" s="1"/>
  <c r="AP1334" i="1" s="1"/>
  <c r="AP1335" i="1" s="1"/>
  <c r="AP1336" i="1" s="1"/>
  <c r="AP1337" i="1" s="1"/>
  <c r="AP1338" i="1" s="1"/>
  <c r="AP1339" i="1" s="1"/>
  <c r="AP1340" i="1" s="1"/>
  <c r="AP1341" i="1" s="1"/>
  <c r="AP1342" i="1" s="1"/>
  <c r="AP1343" i="1" s="1"/>
  <c r="AP1344" i="1" s="1"/>
  <c r="AP1345" i="1" s="1"/>
  <c r="AP1346" i="1" s="1"/>
  <c r="AP1347" i="1" s="1"/>
  <c r="AP1348" i="1" s="1"/>
  <c r="AP1349" i="1" s="1"/>
  <c r="AP1350" i="1" s="1"/>
  <c r="AP1351" i="1" s="1"/>
  <c r="AP1352" i="1" s="1"/>
  <c r="AP1353" i="1" s="1"/>
  <c r="AP1354" i="1" s="1"/>
  <c r="AP1355" i="1" s="1"/>
  <c r="AP1356" i="1" s="1"/>
  <c r="AP1357" i="1" s="1"/>
  <c r="AP1358" i="1" s="1"/>
  <c r="AP1359" i="1" s="1"/>
  <c r="AP1360" i="1" s="1"/>
  <c r="AP1361" i="1" s="1"/>
  <c r="AP1362" i="1" s="1"/>
  <c r="AP1363" i="1" s="1"/>
  <c r="AP1364" i="1" s="1"/>
  <c r="AP1365" i="1" s="1"/>
  <c r="AP1366" i="1" s="1"/>
  <c r="AP1367" i="1" s="1"/>
  <c r="AP1368" i="1" s="1"/>
  <c r="AP1369" i="1" s="1"/>
  <c r="AP1370" i="1" s="1"/>
  <c r="AP1371" i="1" s="1"/>
  <c r="AP1372" i="1" s="1"/>
  <c r="AP1373" i="1" s="1"/>
  <c r="AP1374" i="1" s="1"/>
  <c r="AP1375" i="1" s="1"/>
  <c r="AP1376" i="1" s="1"/>
  <c r="AP1377" i="1" s="1"/>
  <c r="AP1378" i="1" s="1"/>
  <c r="AP1379" i="1" s="1"/>
  <c r="AP1380" i="1" s="1"/>
  <c r="AP1381" i="1" s="1"/>
  <c r="AP1382" i="1" s="1"/>
  <c r="AP1383" i="1" s="1"/>
  <c r="AP1384" i="1" s="1"/>
  <c r="AP1385" i="1" s="1"/>
  <c r="AP1386" i="1" s="1"/>
  <c r="AP1387" i="1" s="1"/>
  <c r="AP1388" i="1" s="1"/>
  <c r="AP1389" i="1" s="1"/>
  <c r="AP1390" i="1" s="1"/>
  <c r="AP1391" i="1" s="1"/>
  <c r="AP1392" i="1" s="1"/>
  <c r="AP1393" i="1" s="1"/>
  <c r="AP1394" i="1" s="1"/>
  <c r="AP1395" i="1" s="1"/>
  <c r="AP1396" i="1" s="1"/>
  <c r="AP1397" i="1" s="1"/>
  <c r="AP1398" i="1" s="1"/>
  <c r="AP1399" i="1" s="1"/>
  <c r="AP1400" i="1" s="1"/>
  <c r="AP1401" i="1" s="1"/>
  <c r="AP1402" i="1" s="1"/>
  <c r="AP1403" i="1" s="1"/>
  <c r="AP1404" i="1" s="1"/>
  <c r="AP1405" i="1" s="1"/>
  <c r="AP1406" i="1" s="1"/>
  <c r="AP1407" i="1" s="1"/>
  <c r="AP1408" i="1" s="1"/>
  <c r="AP1409" i="1" s="1"/>
  <c r="AP1410" i="1" s="1"/>
  <c r="AP1411" i="1" s="1"/>
  <c r="AP1412" i="1" s="1"/>
  <c r="AP1413" i="1" s="1"/>
  <c r="AP1414" i="1" s="1"/>
  <c r="AP1415" i="1" s="1"/>
  <c r="AP1416" i="1" s="1"/>
  <c r="AP1417" i="1" s="1"/>
  <c r="AP1418" i="1" s="1"/>
  <c r="AP1419" i="1" s="1"/>
  <c r="AP1420" i="1" s="1"/>
  <c r="AP1421" i="1" s="1"/>
  <c r="AP1422" i="1" s="1"/>
  <c r="AP1423" i="1" s="1"/>
  <c r="AP1424" i="1" s="1"/>
  <c r="AP1425" i="1" s="1"/>
  <c r="AP1426" i="1" s="1"/>
  <c r="AP1427" i="1" s="1"/>
  <c r="AP1428" i="1" s="1"/>
  <c r="AP1429" i="1" s="1"/>
  <c r="AP1430" i="1" s="1"/>
  <c r="AP1431" i="1" s="1"/>
  <c r="AP1432" i="1" s="1"/>
  <c r="AP1433" i="1" s="1"/>
  <c r="AP1434" i="1" s="1"/>
  <c r="AP1435" i="1" s="1"/>
  <c r="AP1436" i="1" s="1"/>
  <c r="AP1437" i="1" s="1"/>
  <c r="AP1438" i="1" s="1"/>
  <c r="AP1439" i="1" s="1"/>
  <c r="AP1440" i="1" s="1"/>
  <c r="AP1441" i="1" s="1"/>
  <c r="AP1442" i="1" s="1"/>
  <c r="AP1443" i="1" s="1"/>
  <c r="AP1444" i="1" s="1"/>
  <c r="AP1445" i="1" s="1"/>
  <c r="AP1446" i="1" s="1"/>
  <c r="AP1447" i="1" s="1"/>
  <c r="AP1448" i="1" s="1"/>
  <c r="AP1449" i="1" s="1"/>
  <c r="AP1450" i="1" s="1"/>
  <c r="AP1451" i="1" s="1"/>
  <c r="AP1452" i="1" s="1"/>
  <c r="AP1453" i="1" s="1"/>
  <c r="AP1454" i="1" s="1"/>
  <c r="AP1455" i="1" s="1"/>
  <c r="AP1456" i="1" s="1"/>
  <c r="AP1457" i="1" s="1"/>
  <c r="AP1458" i="1" s="1"/>
  <c r="AP1459" i="1" s="1"/>
  <c r="AP1460" i="1" s="1"/>
  <c r="AP1461" i="1" s="1"/>
  <c r="AP1462" i="1" s="1"/>
  <c r="AP1463" i="1" s="1"/>
  <c r="AP1464" i="1" s="1"/>
  <c r="AP1465" i="1" s="1"/>
  <c r="AP1466" i="1" s="1"/>
  <c r="AP1467" i="1" s="1"/>
  <c r="AP1468" i="1" s="1"/>
  <c r="AP1469" i="1" s="1"/>
  <c r="AP1470" i="1" s="1"/>
  <c r="AP1471" i="1" s="1"/>
  <c r="AP1472" i="1" s="1"/>
  <c r="AP1473" i="1" s="1"/>
  <c r="AP1474" i="1" s="1"/>
  <c r="AP1475" i="1" s="1"/>
  <c r="AP1476" i="1" s="1"/>
  <c r="AP1477" i="1" s="1"/>
  <c r="AP1478" i="1" s="1"/>
  <c r="AP1479" i="1" s="1"/>
  <c r="AP1480" i="1" s="1"/>
  <c r="AP1481" i="1" s="1"/>
  <c r="AP1482" i="1" s="1"/>
  <c r="AP1483" i="1" s="1"/>
  <c r="AP1484" i="1" s="1"/>
  <c r="AP1485" i="1" s="1"/>
  <c r="AP1486" i="1" s="1"/>
  <c r="AP1487" i="1" s="1"/>
  <c r="AP1488" i="1" s="1"/>
  <c r="AP1489" i="1" s="1"/>
  <c r="AP1490" i="1" s="1"/>
  <c r="AP1491" i="1" s="1"/>
  <c r="AP1492" i="1" s="1"/>
  <c r="AP1493" i="1" s="1"/>
  <c r="AP1494" i="1" s="1"/>
  <c r="AP1495" i="1" s="1"/>
  <c r="AP1496" i="1" s="1"/>
  <c r="AP1497" i="1" s="1"/>
  <c r="AP1498" i="1" s="1"/>
  <c r="AP1499" i="1" s="1"/>
  <c r="AP1500" i="1" s="1"/>
  <c r="AP1501" i="1" s="1"/>
  <c r="AP1502" i="1" s="1"/>
  <c r="AP1503" i="1" s="1"/>
  <c r="AP1504" i="1" s="1"/>
  <c r="AP1505" i="1" s="1"/>
  <c r="AP1506" i="1" s="1"/>
  <c r="AP1507" i="1" s="1"/>
  <c r="AP1508" i="1" s="1"/>
  <c r="AP1509" i="1" s="1"/>
  <c r="AP1510" i="1" s="1"/>
  <c r="AP1511" i="1" s="1"/>
  <c r="AP1512" i="1" s="1"/>
  <c r="AP1513" i="1" s="1"/>
  <c r="AP1514" i="1" s="1"/>
  <c r="AP1515" i="1" s="1"/>
  <c r="AP1516" i="1" s="1"/>
  <c r="AP1517" i="1" s="1"/>
  <c r="AP1518" i="1" s="1"/>
  <c r="AP1519" i="1" s="1"/>
  <c r="AP1520" i="1" s="1"/>
  <c r="AP1521" i="1" s="1"/>
  <c r="AP1522" i="1" s="1"/>
  <c r="AP1523" i="1" s="1"/>
  <c r="AP1524" i="1" s="1"/>
  <c r="AP1525" i="1" s="1"/>
  <c r="AP1526" i="1" s="1"/>
  <c r="AP1527" i="1" s="1"/>
  <c r="AP1528" i="1" s="1"/>
  <c r="AP1529" i="1" s="1"/>
  <c r="AP1530" i="1" s="1"/>
  <c r="AP1531" i="1" s="1"/>
  <c r="AP1532" i="1" s="1"/>
  <c r="AP1533" i="1" s="1"/>
  <c r="P43" i="1"/>
  <c r="L47" i="1"/>
  <c r="I54" i="1"/>
  <c r="K64" i="1"/>
  <c r="K67" i="1"/>
  <c r="K82" i="1"/>
  <c r="M89" i="1"/>
  <c r="J97" i="1"/>
  <c r="N108" i="1"/>
  <c r="K116" i="1"/>
  <c r="K65" i="1"/>
  <c r="I95" i="1"/>
  <c r="J95" i="1" s="1"/>
  <c r="AP1539" i="1"/>
  <c r="AP1540" i="1" s="1"/>
  <c r="AP1541" i="1" s="1"/>
  <c r="AP1542" i="1" s="1"/>
  <c r="AP1543" i="1" s="1"/>
  <c r="AP1544" i="1" s="1"/>
  <c r="AP1545" i="1" s="1"/>
  <c r="AP1546" i="1" s="1"/>
  <c r="AP1547" i="1" s="1"/>
  <c r="AP1548" i="1" s="1"/>
  <c r="AP1549" i="1" s="1"/>
  <c r="AP1550" i="1" s="1"/>
  <c r="AP1551" i="1" s="1"/>
  <c r="AP1552" i="1" s="1"/>
  <c r="AP1553" i="1" s="1"/>
  <c r="AP1554" i="1" s="1"/>
  <c r="AP1555" i="1" s="1"/>
  <c r="AP1556" i="1" s="1"/>
  <c r="AP1557" i="1" s="1"/>
  <c r="K52" i="1"/>
  <c r="I74" i="1"/>
  <c r="J74" i="1" s="1"/>
  <c r="K77" i="1"/>
  <c r="L46" i="1"/>
  <c r="I96" i="1"/>
  <c r="M46" i="1"/>
  <c r="K56" i="1"/>
  <c r="K63" i="1"/>
  <c r="I53" i="1"/>
  <c r="J53" i="1" s="1"/>
  <c r="L63" i="1"/>
  <c r="M88" i="1"/>
  <c r="L44" i="1"/>
  <c r="K53" i="1"/>
  <c r="K78" i="1"/>
  <c r="M44" i="1"/>
  <c r="K47" i="1"/>
  <c r="I86" i="1"/>
  <c r="J86" i="1" s="1"/>
  <c r="M49" i="1"/>
  <c r="K66" i="1"/>
  <c r="I85" i="1"/>
  <c r="J85" i="1" s="1"/>
  <c r="M107" i="1"/>
  <c r="I75" i="1"/>
  <c r="J75" i="1" s="1"/>
  <c r="K57" i="1"/>
  <c r="M47" i="1"/>
  <c r="K50" i="1"/>
  <c r="K61" i="1"/>
  <c r="L64" i="1"/>
  <c r="N89" i="1"/>
  <c r="N101" i="1"/>
  <c r="N47" i="1"/>
  <c r="N50" i="1"/>
  <c r="N61" i="1"/>
  <c r="M64" i="1"/>
  <c r="W43" i="1"/>
  <c r="AC43" i="1"/>
  <c r="AG43" i="1" s="1"/>
  <c r="I59" i="1"/>
  <c r="J59" i="1" s="1"/>
  <c r="J52" i="1"/>
  <c r="K1563" i="1"/>
  <c r="H1560" i="1"/>
  <c r="N35" i="1"/>
  <c r="J64" i="1"/>
  <c r="I60" i="1"/>
  <c r="J60" i="1" s="1"/>
  <c r="I91" i="1"/>
  <c r="J91" i="1" s="1"/>
  <c r="I47" i="1"/>
  <c r="J47" i="1" s="1"/>
  <c r="I107" i="1"/>
  <c r="J107" i="1" s="1"/>
  <c r="J120" i="1"/>
  <c r="I120" i="1"/>
  <c r="J96" i="1"/>
  <c r="I114" i="1"/>
  <c r="J114" i="1" s="1"/>
  <c r="I118" i="1"/>
  <c r="J118" i="1"/>
  <c r="O32" i="1"/>
  <c r="I116" i="1"/>
  <c r="J116" i="1" s="1"/>
  <c r="S1648" i="1"/>
  <c r="T1648" i="1"/>
  <c r="R1648" i="1"/>
  <c r="P1648" i="1"/>
  <c r="Q1648" i="1" s="1"/>
  <c r="O1648" i="1"/>
  <c r="N1648" i="1"/>
  <c r="M1648" i="1"/>
  <c r="I48" i="1"/>
  <c r="I82" i="1"/>
  <c r="J82" i="1" s="1"/>
  <c r="I93" i="1"/>
  <c r="J93" i="1" s="1"/>
  <c r="I100" i="1"/>
  <c r="J100" i="1" s="1"/>
  <c r="L107" i="1"/>
  <c r="I109" i="1"/>
  <c r="J109" i="1" s="1"/>
  <c r="I45" i="1"/>
  <c r="J45" i="1" s="1"/>
  <c r="I88" i="1"/>
  <c r="J88" i="1" s="1"/>
  <c r="I102" i="1"/>
  <c r="J102" i="1" s="1"/>
  <c r="J51" i="1"/>
  <c r="N45" i="1"/>
  <c r="L48" i="1"/>
  <c r="I76" i="1"/>
  <c r="J76" i="1" s="1"/>
  <c r="M100" i="1"/>
  <c r="M109" i="1"/>
  <c r="K133" i="1"/>
  <c r="I111" i="1"/>
  <c r="J111" i="1" s="1"/>
  <c r="J83" i="1"/>
  <c r="I80" i="1"/>
  <c r="I52" i="1"/>
  <c r="G57" i="1"/>
  <c r="G58" i="1"/>
  <c r="I61" i="1"/>
  <c r="J61" i="1" s="1"/>
  <c r="I62" i="1"/>
  <c r="J62" i="1" s="1"/>
  <c r="I63" i="1"/>
  <c r="J63" i="1" s="1"/>
  <c r="I64" i="1"/>
  <c r="I65" i="1"/>
  <c r="J65" i="1" s="1"/>
  <c r="I66" i="1"/>
  <c r="J66" i="1" s="1"/>
  <c r="N79" i="1"/>
  <c r="N88" i="1"/>
  <c r="I121" i="1"/>
  <c r="J121" i="1" s="1"/>
  <c r="I49" i="1"/>
  <c r="J49" i="1" s="1"/>
  <c r="J56" i="1"/>
  <c r="I67" i="1"/>
  <c r="J67" i="1" s="1"/>
  <c r="N90" i="1"/>
  <c r="K150" i="1"/>
  <c r="H147" i="1"/>
  <c r="J54" i="1"/>
  <c r="I55" i="1"/>
  <c r="J55" i="1" s="1"/>
  <c r="L59" i="1"/>
  <c r="M60" i="1"/>
  <c r="I68" i="1"/>
  <c r="J68" i="1" s="1"/>
  <c r="I69" i="1"/>
  <c r="J69" i="1" s="1"/>
  <c r="I119" i="1"/>
  <c r="J119" i="1" s="1"/>
  <c r="I81" i="1"/>
  <c r="J81" i="1" s="1"/>
  <c r="I87" i="1"/>
  <c r="J87" i="1" s="1"/>
  <c r="L57" i="1"/>
  <c r="L66" i="1"/>
  <c r="L67" i="1"/>
  <c r="L68" i="1"/>
  <c r="I71" i="1"/>
  <c r="J71" i="1" s="1"/>
  <c r="J99" i="1"/>
  <c r="L106" i="1"/>
  <c r="I108" i="1"/>
  <c r="J108" i="1" s="1"/>
  <c r="I113" i="1"/>
  <c r="J113" i="1" s="1"/>
  <c r="I115" i="1"/>
  <c r="J115" i="1" s="1"/>
  <c r="I78" i="1"/>
  <c r="J78" i="1" s="1"/>
  <c r="N49" i="1"/>
  <c r="L53" i="1"/>
  <c r="M56" i="1"/>
  <c r="N57" i="1"/>
  <c r="N65" i="1"/>
  <c r="M66" i="1"/>
  <c r="M67" i="1"/>
  <c r="N69" i="1"/>
  <c r="I72" i="1"/>
  <c r="J72" i="1" s="1"/>
  <c r="N81" i="1"/>
  <c r="I73" i="1"/>
  <c r="J73" i="1" s="1"/>
  <c r="W1557" i="1"/>
  <c r="L116" i="1"/>
  <c r="L118" i="1"/>
  <c r="L119" i="1"/>
  <c r="L121" i="1"/>
  <c r="L122" i="1"/>
  <c r="L109" i="1"/>
  <c r="L89" i="1"/>
  <c r="L69" i="1"/>
  <c r="L49" i="1"/>
  <c r="L110" i="1"/>
  <c r="L90" i="1"/>
  <c r="L70" i="1"/>
  <c r="L50" i="1"/>
  <c r="L111" i="1"/>
  <c r="L91" i="1"/>
  <c r="L71" i="1"/>
  <c r="L51" i="1"/>
  <c r="L117" i="1"/>
  <c r="L112" i="1"/>
  <c r="L92" i="1"/>
  <c r="L72" i="1"/>
  <c r="L52" i="1"/>
  <c r="L93" i="1"/>
  <c r="L73" i="1"/>
  <c r="L94" i="1"/>
  <c r="L74" i="1"/>
  <c r="L54" i="1"/>
  <c r="L113" i="1"/>
  <c r="L95" i="1"/>
  <c r="L75" i="1"/>
  <c r="L96" i="1"/>
  <c r="L76" i="1"/>
  <c r="L56" i="1"/>
  <c r="L97" i="1"/>
  <c r="L114" i="1"/>
  <c r="L98" i="1"/>
  <c r="L78" i="1"/>
  <c r="L58" i="1"/>
  <c r="L100" i="1"/>
  <c r="L80" i="1"/>
  <c r="L60" i="1"/>
  <c r="L115" i="1"/>
  <c r="L101" i="1"/>
  <c r="L81" i="1"/>
  <c r="L61" i="1"/>
  <c r="L102" i="1"/>
  <c r="L82" i="1"/>
  <c r="L62" i="1"/>
  <c r="L120" i="1"/>
  <c r="L103" i="1"/>
  <c r="L83" i="1"/>
  <c r="L104" i="1"/>
  <c r="L84" i="1"/>
  <c r="L105" i="1"/>
  <c r="L85" i="1"/>
  <c r="I44" i="1"/>
  <c r="J44" i="1" s="1"/>
  <c r="W1601" i="1"/>
  <c r="M117" i="1"/>
  <c r="M119" i="1"/>
  <c r="M120" i="1"/>
  <c r="M122" i="1"/>
  <c r="M110" i="1"/>
  <c r="M90" i="1"/>
  <c r="M70" i="1"/>
  <c r="M50" i="1"/>
  <c r="M72" i="1"/>
  <c r="M52" i="1"/>
  <c r="M111" i="1"/>
  <c r="M91" i="1"/>
  <c r="M71" i="1"/>
  <c r="M51" i="1"/>
  <c r="M112" i="1"/>
  <c r="M92" i="1"/>
  <c r="M93" i="1"/>
  <c r="M73" i="1"/>
  <c r="M53" i="1"/>
  <c r="M54" i="1"/>
  <c r="M94" i="1"/>
  <c r="M74" i="1"/>
  <c r="M113" i="1"/>
  <c r="M95" i="1"/>
  <c r="M75" i="1"/>
  <c r="M55" i="1"/>
  <c r="M121" i="1"/>
  <c r="M96" i="1"/>
  <c r="M76" i="1"/>
  <c r="M97" i="1"/>
  <c r="M77" i="1"/>
  <c r="M57" i="1"/>
  <c r="M114" i="1"/>
  <c r="M98" i="1"/>
  <c r="M99" i="1"/>
  <c r="M79" i="1"/>
  <c r="M59" i="1"/>
  <c r="M118" i="1"/>
  <c r="M115" i="1"/>
  <c r="M101" i="1"/>
  <c r="M81" i="1"/>
  <c r="M61" i="1"/>
  <c r="M102" i="1"/>
  <c r="M82" i="1"/>
  <c r="M62" i="1"/>
  <c r="M43" i="1"/>
  <c r="M103" i="1"/>
  <c r="M83" i="1"/>
  <c r="M63" i="1"/>
  <c r="M104" i="1"/>
  <c r="M84" i="1"/>
  <c r="M105" i="1"/>
  <c r="M85" i="1"/>
  <c r="M116" i="1"/>
  <c r="M106" i="1"/>
  <c r="M86" i="1"/>
  <c r="N46" i="1"/>
  <c r="N66" i="1"/>
  <c r="N67" i="1"/>
  <c r="N68" i="1"/>
  <c r="N70" i="1"/>
  <c r="M78" i="1"/>
  <c r="L87" i="1"/>
  <c r="L99" i="1"/>
  <c r="I101" i="1"/>
  <c r="J101" i="1" s="1"/>
  <c r="J103" i="1"/>
  <c r="L108" i="1"/>
  <c r="I70" i="1"/>
  <c r="J70" i="1" s="1"/>
  <c r="W1642" i="1"/>
  <c r="N118" i="1"/>
  <c r="N120" i="1"/>
  <c r="N121" i="1"/>
  <c r="N111" i="1"/>
  <c r="N91" i="1"/>
  <c r="N71" i="1"/>
  <c r="N51" i="1"/>
  <c r="N119" i="1"/>
  <c r="N112" i="1"/>
  <c r="N92" i="1"/>
  <c r="N72" i="1"/>
  <c r="N52" i="1"/>
  <c r="N117" i="1"/>
  <c r="N93" i="1"/>
  <c r="N73" i="1"/>
  <c r="N53" i="1"/>
  <c r="N94" i="1"/>
  <c r="N74" i="1"/>
  <c r="N54" i="1"/>
  <c r="N55" i="1"/>
  <c r="N113" i="1"/>
  <c r="N95" i="1"/>
  <c r="N75" i="1"/>
  <c r="N96" i="1"/>
  <c r="N76" i="1"/>
  <c r="N56" i="1"/>
  <c r="N97" i="1"/>
  <c r="N77" i="1"/>
  <c r="N114" i="1"/>
  <c r="N98" i="1"/>
  <c r="N78" i="1"/>
  <c r="N58" i="1"/>
  <c r="N99" i="1"/>
  <c r="N100" i="1"/>
  <c r="N80" i="1"/>
  <c r="N60" i="1"/>
  <c r="N102" i="1"/>
  <c r="N82" i="1"/>
  <c r="N62" i="1"/>
  <c r="N103" i="1"/>
  <c r="N83" i="1"/>
  <c r="N63" i="1"/>
  <c r="N43" i="1"/>
  <c r="N44" i="1"/>
  <c r="N104" i="1"/>
  <c r="N84" i="1"/>
  <c r="N64" i="1"/>
  <c r="N105" i="1"/>
  <c r="N85" i="1"/>
  <c r="N116" i="1"/>
  <c r="N106" i="1"/>
  <c r="N86" i="1"/>
  <c r="N107" i="1"/>
  <c r="N87" i="1"/>
  <c r="K1539" i="1"/>
  <c r="H1536" i="1"/>
  <c r="I50" i="1"/>
  <c r="J50" i="1" s="1"/>
  <c r="M87" i="1"/>
  <c r="I89" i="1"/>
  <c r="J89" i="1" s="1"/>
  <c r="I94" i="1"/>
  <c r="J94" i="1" s="1"/>
  <c r="M108" i="1"/>
  <c r="J110" i="1"/>
  <c r="K104" i="1"/>
  <c r="K103" i="1"/>
  <c r="K102" i="1"/>
  <c r="G77" i="1"/>
  <c r="I79" i="1"/>
  <c r="J79" i="1" s="1"/>
  <c r="K81" i="1"/>
  <c r="I99" i="1"/>
  <c r="K115" i="1"/>
  <c r="K117" i="1"/>
  <c r="K118" i="1"/>
  <c r="K120" i="1"/>
  <c r="K121" i="1"/>
  <c r="K122" i="1"/>
  <c r="K60" i="1"/>
  <c r="K80" i="1"/>
  <c r="I98" i="1"/>
  <c r="J98" i="1" s="1"/>
  <c r="K100" i="1"/>
  <c r="K79" i="1"/>
  <c r="K99" i="1"/>
  <c r="K97" i="1"/>
  <c r="AA1694" i="1"/>
  <c r="Y1694" i="1"/>
  <c r="X1694" i="1"/>
  <c r="K55" i="1"/>
  <c r="K75" i="1"/>
  <c r="K95" i="1"/>
  <c r="K113" i="1"/>
  <c r="I92" i="1"/>
  <c r="J92" i="1" s="1"/>
  <c r="I112" i="1"/>
  <c r="J112" i="1" s="1"/>
  <c r="K93" i="1"/>
  <c r="I90" i="1"/>
  <c r="J90" i="1" s="1"/>
  <c r="K92" i="1"/>
  <c r="I110" i="1"/>
  <c r="K112" i="1"/>
  <c r="I117" i="1"/>
  <c r="J117" i="1" s="1"/>
  <c r="K51" i="1"/>
  <c r="K71" i="1"/>
  <c r="K91" i="1"/>
  <c r="K111" i="1"/>
  <c r="K90" i="1"/>
  <c r="K110" i="1"/>
  <c r="K119" i="1"/>
  <c r="K49" i="1"/>
  <c r="K69" i="1"/>
  <c r="K89" i="1"/>
  <c r="K109" i="1"/>
  <c r="K48" i="1"/>
  <c r="K68" i="1"/>
  <c r="K88" i="1"/>
  <c r="K108" i="1"/>
  <c r="AP1659" i="1"/>
  <c r="AP1660" i="1" s="1"/>
  <c r="AP1661" i="1" s="1"/>
  <c r="AP1662" i="1" s="1"/>
  <c r="AP1663" i="1" s="1"/>
  <c r="AP1664" i="1" s="1"/>
  <c r="AP1665" i="1" s="1"/>
  <c r="AP1666" i="1" s="1"/>
  <c r="AP1667" i="1" s="1"/>
  <c r="AP1668" i="1" s="1"/>
  <c r="AP1669" i="1" s="1"/>
  <c r="AP1670" i="1" s="1"/>
  <c r="AP1671" i="1" s="1"/>
  <c r="AP1672" i="1" s="1"/>
  <c r="AP1673" i="1" s="1"/>
  <c r="AP1674" i="1" s="1"/>
  <c r="AP1675" i="1" s="1"/>
  <c r="AP1676" i="1" s="1"/>
  <c r="AP1677" i="1" s="1"/>
  <c r="AP1678" i="1" s="1"/>
  <c r="AP1679" i="1" s="1"/>
  <c r="AP1680" i="1" s="1"/>
  <c r="AP1681" i="1" s="1"/>
  <c r="AP1682" i="1" s="1"/>
  <c r="AP1683" i="1" s="1"/>
  <c r="AP1684" i="1" s="1"/>
  <c r="AP1685" i="1" s="1"/>
  <c r="AP1686" i="1" s="1"/>
  <c r="AP1687" i="1" s="1"/>
  <c r="AP1688" i="1" s="1"/>
  <c r="AP1689" i="1" s="1"/>
  <c r="AP1690" i="1" s="1"/>
  <c r="AP1691" i="1" s="1"/>
  <c r="AP1692" i="1" s="1"/>
  <c r="AP1693" i="1" s="1"/>
  <c r="AP1694" i="1" s="1"/>
  <c r="AA43" i="1" l="1"/>
  <c r="S43" i="1"/>
  <c r="T133" i="1"/>
  <c r="T43" i="1"/>
  <c r="N133" i="1"/>
  <c r="M133" i="1"/>
  <c r="AO43" i="1"/>
  <c r="AM43" i="1"/>
  <c r="D44" i="1" s="1"/>
  <c r="H1604" i="1"/>
  <c r="K1607" i="1"/>
  <c r="J48" i="1"/>
  <c r="K1564" i="1"/>
  <c r="J80" i="1"/>
  <c r="K151" i="1"/>
  <c r="AA1642" i="1"/>
  <c r="Y1642" i="1"/>
  <c r="X1642" i="1"/>
  <c r="AA1601" i="1"/>
  <c r="Y1601" i="1"/>
  <c r="X1601" i="1"/>
  <c r="K1540" i="1"/>
  <c r="S133" i="1"/>
  <c r="R133" i="1"/>
  <c r="O133" i="1"/>
  <c r="K134" i="1"/>
  <c r="I57" i="1"/>
  <c r="J57" i="1"/>
  <c r="X43" i="1"/>
  <c r="AD43" i="1"/>
  <c r="AA1557" i="1"/>
  <c r="Y1557" i="1"/>
  <c r="X1557" i="1"/>
  <c r="J58" i="1"/>
  <c r="I58" i="1"/>
  <c r="I77" i="1"/>
  <c r="U44" i="1" l="1"/>
  <c r="Q44" i="1"/>
  <c r="O44" i="1"/>
  <c r="AE44" i="1" s="1"/>
  <c r="AH44" i="1" s="1"/>
  <c r="AI43" i="1"/>
  <c r="AL43" i="1" s="1"/>
  <c r="AB43" i="1"/>
  <c r="K152" i="1"/>
  <c r="K1608" i="1"/>
  <c r="J77" i="1"/>
  <c r="K1565" i="1"/>
  <c r="K135" i="1"/>
  <c r="K1541" i="1"/>
  <c r="K1542" i="1" l="1"/>
  <c r="K153" i="1"/>
  <c r="K136" i="1"/>
  <c r="AN43" i="1"/>
  <c r="E44" i="1" s="1"/>
  <c r="AP43" i="1"/>
  <c r="K1609" i="1"/>
  <c r="K1566" i="1"/>
  <c r="K137" i="1" l="1"/>
  <c r="K1610" i="1"/>
  <c r="V44" i="1"/>
  <c r="P44" i="1"/>
  <c r="S44" i="1"/>
  <c r="T44" i="1"/>
  <c r="R44" i="1"/>
  <c r="AF44" i="1" s="1"/>
  <c r="AJ44" i="1" s="1"/>
  <c r="K154" i="1"/>
  <c r="K1567" i="1"/>
  <c r="K1543" i="1"/>
  <c r="K1568" i="1" l="1"/>
  <c r="K1611" i="1"/>
  <c r="K1544" i="1"/>
  <c r="K155" i="1"/>
  <c r="K138" i="1"/>
  <c r="X44" i="1"/>
  <c r="AD44" i="1"/>
  <c r="AC44" i="1"/>
  <c r="W44" i="1"/>
  <c r="AI44" i="1" l="1"/>
  <c r="AL44" i="1" s="1"/>
  <c r="AB44" i="1"/>
  <c r="K156" i="1"/>
  <c r="K1612" i="1"/>
  <c r="AG44" i="1"/>
  <c r="AK44" i="1" s="1"/>
  <c r="AA44" i="1"/>
  <c r="K1545" i="1"/>
  <c r="K139" i="1"/>
  <c r="K1569" i="1"/>
  <c r="K1613" i="1" l="1"/>
  <c r="K1546" i="1"/>
  <c r="K140" i="1"/>
  <c r="K1570" i="1"/>
  <c r="K157" i="1"/>
  <c r="AO44" i="1"/>
  <c r="AM44" i="1"/>
  <c r="D45" i="1" s="1"/>
  <c r="AP44" i="1"/>
  <c r="AN44" i="1"/>
  <c r="E45" i="1" s="1"/>
  <c r="U45" i="1" l="1"/>
  <c r="R45" i="1"/>
  <c r="AF45" i="1" s="1"/>
  <c r="AJ45" i="1" s="1"/>
  <c r="Q45" i="1"/>
  <c r="O45" i="1"/>
  <c r="AE45" i="1" s="1"/>
  <c r="AH45" i="1" s="1"/>
  <c r="K1614" i="1"/>
  <c r="K1547" i="1"/>
  <c r="P45" i="1"/>
  <c r="V45" i="1"/>
  <c r="S45" i="1"/>
  <c r="T45" i="1"/>
  <c r="K158" i="1"/>
  <c r="K141" i="1"/>
  <c r="AD45" i="1" l="1"/>
  <c r="X45" i="1"/>
  <c r="K159" i="1"/>
  <c r="K1548" i="1"/>
  <c r="K1615" i="1"/>
  <c r="AC45" i="1"/>
  <c r="W45" i="1"/>
  <c r="K142" i="1"/>
  <c r="K143" i="1" l="1"/>
  <c r="K1549" i="1"/>
  <c r="AG45" i="1"/>
  <c r="AK45" i="1" s="1"/>
  <c r="AA45" i="1"/>
  <c r="K160" i="1"/>
  <c r="K1616" i="1"/>
  <c r="AI45" i="1"/>
  <c r="AL45" i="1" s="1"/>
  <c r="AB45" i="1"/>
  <c r="AO45" i="1" l="1"/>
  <c r="AM45" i="1"/>
  <c r="D46" i="1" s="1"/>
  <c r="AP45" i="1"/>
  <c r="AN45" i="1"/>
  <c r="E46" i="1" s="1"/>
  <c r="K1550" i="1"/>
  <c r="K144" i="1"/>
  <c r="K161" i="1"/>
  <c r="V46" i="1" l="1"/>
  <c r="P46" i="1"/>
  <c r="S46" i="1"/>
  <c r="T46" i="1"/>
  <c r="K162" i="1"/>
  <c r="K1551" i="1"/>
  <c r="P31" i="1"/>
  <c r="R46" i="1"/>
  <c r="AF46" i="1" s="1"/>
  <c r="AJ46" i="1" s="1"/>
  <c r="U46" i="1"/>
  <c r="O46" i="1"/>
  <c r="AE46" i="1" s="1"/>
  <c r="AH46" i="1" s="1"/>
  <c r="Q46" i="1"/>
  <c r="K1552" i="1" l="1"/>
  <c r="AD46" i="1"/>
  <c r="X46" i="1"/>
  <c r="K163" i="1"/>
  <c r="AC46" i="1"/>
  <c r="W46" i="1"/>
  <c r="K164" i="1" l="1"/>
  <c r="AI46" i="1"/>
  <c r="AL46" i="1" s="1"/>
  <c r="AB46" i="1"/>
  <c r="AG46" i="1"/>
  <c r="AK46" i="1" s="1"/>
  <c r="AA46" i="1"/>
  <c r="K1553" i="1"/>
  <c r="AP46" i="1" l="1"/>
  <c r="AN46" i="1"/>
  <c r="E47" i="1" s="1"/>
  <c r="AO46" i="1"/>
  <c r="AM46" i="1"/>
  <c r="D47" i="1" s="1"/>
  <c r="K1554" i="1"/>
  <c r="K165" i="1"/>
  <c r="K1555" i="1" l="1"/>
  <c r="K166" i="1"/>
  <c r="R47" i="1"/>
  <c r="AF47" i="1" s="1"/>
  <c r="AJ47" i="1" s="1"/>
  <c r="U47" i="1"/>
  <c r="O47" i="1"/>
  <c r="AE47" i="1" s="1"/>
  <c r="AH47" i="1" s="1"/>
  <c r="Q47" i="1"/>
  <c r="V47" i="1"/>
  <c r="P47" i="1"/>
  <c r="S47" i="1"/>
  <c r="T47" i="1"/>
  <c r="AD47" i="1" l="1"/>
  <c r="X47" i="1"/>
  <c r="AC47" i="1"/>
  <c r="W47" i="1"/>
  <c r="K167" i="1"/>
  <c r="K1556" i="1"/>
  <c r="K168" i="1" l="1"/>
  <c r="AG47" i="1"/>
  <c r="AK47" i="1" s="1"/>
  <c r="AA47" i="1"/>
  <c r="K1557" i="1"/>
  <c r="AI47" i="1"/>
  <c r="AL47" i="1" s="1"/>
  <c r="AB47" i="1"/>
  <c r="AC1557" i="1" l="1"/>
  <c r="Z1557" i="1"/>
  <c r="AD1557" i="1"/>
  <c r="AE1557" i="1"/>
  <c r="AB1557" i="1"/>
  <c r="K169" i="1"/>
  <c r="AO47" i="1"/>
  <c r="AM47" i="1"/>
  <c r="D48" i="1" s="1"/>
  <c r="AP47" i="1"/>
  <c r="AN47" i="1"/>
  <c r="E48" i="1" s="1"/>
  <c r="V48" i="1" l="1"/>
  <c r="P48" i="1"/>
  <c r="S48" i="1"/>
  <c r="T48" i="1"/>
  <c r="K170" i="1"/>
  <c r="R48" i="1"/>
  <c r="AF48" i="1" s="1"/>
  <c r="AJ48" i="1" s="1"/>
  <c r="U48" i="1"/>
  <c r="O48" i="1"/>
  <c r="AE48" i="1" s="1"/>
  <c r="AH48" i="1" s="1"/>
  <c r="Q48" i="1"/>
  <c r="K171" i="1" l="1"/>
  <c r="W48" i="1"/>
  <c r="AC48" i="1"/>
  <c r="AD48" i="1"/>
  <c r="X48" i="1"/>
  <c r="AG48" i="1" l="1"/>
  <c r="AK48" i="1" s="1"/>
  <c r="AA48" i="1"/>
  <c r="AI48" i="1"/>
  <c r="AL48" i="1" s="1"/>
  <c r="AB48" i="1"/>
  <c r="K172" i="1"/>
  <c r="AP48" i="1" l="1"/>
  <c r="AN48" i="1"/>
  <c r="E49" i="1" s="1"/>
  <c r="K173" i="1"/>
  <c r="AO48" i="1"/>
  <c r="AM48" i="1"/>
  <c r="D49" i="1" s="1"/>
  <c r="K174" i="1" l="1"/>
  <c r="P49" i="1"/>
  <c r="V49" i="1"/>
  <c r="T49" i="1"/>
  <c r="S49" i="1"/>
  <c r="U49" i="1"/>
  <c r="R49" i="1"/>
  <c r="AF49" i="1" s="1"/>
  <c r="AJ49" i="1" s="1"/>
  <c r="Q49" i="1"/>
  <c r="O49" i="1"/>
  <c r="AE49" i="1" s="1"/>
  <c r="AH49" i="1" s="1"/>
  <c r="W49" i="1" l="1"/>
  <c r="AC49" i="1"/>
  <c r="AD49" i="1"/>
  <c r="X49" i="1"/>
  <c r="K175" i="1"/>
  <c r="AG49" i="1" l="1"/>
  <c r="AK49" i="1" s="1"/>
  <c r="AA49" i="1"/>
  <c r="K176" i="1"/>
  <c r="AI49" i="1"/>
  <c r="AL49" i="1" s="1"/>
  <c r="AB49" i="1"/>
  <c r="AP49" i="1" l="1"/>
  <c r="AN49" i="1"/>
  <c r="E50" i="1" s="1"/>
  <c r="K177" i="1"/>
  <c r="AO49" i="1"/>
  <c r="AM49" i="1"/>
  <c r="D50" i="1" s="1"/>
  <c r="U50" i="1" l="1"/>
  <c r="R50" i="1"/>
  <c r="AF50" i="1" s="1"/>
  <c r="AJ50" i="1" s="1"/>
  <c r="O50" i="1"/>
  <c r="AE50" i="1" s="1"/>
  <c r="AH50" i="1" s="1"/>
  <c r="Q50" i="1"/>
  <c r="V50" i="1"/>
  <c r="P50" i="1"/>
  <c r="S50" i="1"/>
  <c r="T50" i="1"/>
  <c r="K178" i="1"/>
  <c r="AD50" i="1" l="1"/>
  <c r="X50" i="1"/>
  <c r="AC50" i="1"/>
  <c r="W50" i="1"/>
  <c r="K179" i="1"/>
  <c r="K180" i="1" l="1"/>
  <c r="AG50" i="1"/>
  <c r="AK50" i="1" s="1"/>
  <c r="AA50" i="1"/>
  <c r="AI50" i="1"/>
  <c r="AL50" i="1" s="1"/>
  <c r="AB50" i="1"/>
  <c r="AP50" i="1" l="1"/>
  <c r="AN50" i="1"/>
  <c r="E51" i="1" s="1"/>
  <c r="AO50" i="1"/>
  <c r="AM50" i="1"/>
  <c r="D51" i="1" s="1"/>
  <c r="K181" i="1"/>
  <c r="U51" i="1" l="1"/>
  <c r="R51" i="1"/>
  <c r="AF51" i="1" s="1"/>
  <c r="AJ51" i="1" s="1"/>
  <c r="Q51" i="1"/>
  <c r="O51" i="1"/>
  <c r="AE51" i="1" s="1"/>
  <c r="AH51" i="1" s="1"/>
  <c r="V51" i="1"/>
  <c r="P51" i="1"/>
  <c r="S51" i="1"/>
  <c r="T51" i="1"/>
  <c r="K182" i="1"/>
  <c r="AD51" i="1" l="1"/>
  <c r="X51" i="1"/>
  <c r="AC51" i="1"/>
  <c r="W51" i="1"/>
  <c r="K183" i="1"/>
  <c r="K184" i="1" l="1"/>
  <c r="AG51" i="1"/>
  <c r="AK51" i="1" s="1"/>
  <c r="AA51" i="1"/>
  <c r="AI51" i="1"/>
  <c r="AL51" i="1" s="1"/>
  <c r="AB51" i="1"/>
  <c r="AP51" i="1" l="1"/>
  <c r="AN51" i="1"/>
  <c r="E52" i="1" s="1"/>
  <c r="AO51" i="1"/>
  <c r="AM51" i="1"/>
  <c r="D52" i="1" s="1"/>
  <c r="K185" i="1"/>
  <c r="U52" i="1" l="1"/>
  <c r="R52" i="1"/>
  <c r="AF52" i="1" s="1"/>
  <c r="AJ52" i="1" s="1"/>
  <c r="O52" i="1"/>
  <c r="AE52" i="1" s="1"/>
  <c r="AH52" i="1" s="1"/>
  <c r="Q52" i="1"/>
  <c r="V52" i="1"/>
  <c r="P52" i="1"/>
  <c r="T52" i="1"/>
  <c r="S52" i="1"/>
  <c r="K186" i="1"/>
  <c r="W52" i="1" l="1"/>
  <c r="AC52" i="1"/>
  <c r="K187" i="1"/>
  <c r="AD52" i="1"/>
  <c r="X52" i="1"/>
  <c r="AI52" i="1" l="1"/>
  <c r="AL52" i="1" s="1"/>
  <c r="AB52" i="1"/>
  <c r="K188" i="1"/>
  <c r="AG52" i="1"/>
  <c r="AK52" i="1" s="1"/>
  <c r="AA52" i="1"/>
  <c r="AO52" i="1" l="1"/>
  <c r="AM52" i="1"/>
  <c r="D53" i="1" s="1"/>
  <c r="K189" i="1"/>
  <c r="AP52" i="1"/>
  <c r="AN52" i="1"/>
  <c r="E53" i="1" s="1"/>
  <c r="P53" i="1" l="1"/>
  <c r="V53" i="1"/>
  <c r="S53" i="1"/>
  <c r="T53" i="1"/>
  <c r="R53" i="1"/>
  <c r="AF53" i="1" s="1"/>
  <c r="AJ53" i="1" s="1"/>
  <c r="U53" i="1"/>
  <c r="O53" i="1"/>
  <c r="AE53" i="1" s="1"/>
  <c r="AH53" i="1" s="1"/>
  <c r="Q53" i="1"/>
  <c r="K190" i="1"/>
  <c r="X53" i="1" l="1"/>
  <c r="AD53" i="1"/>
  <c r="K191" i="1"/>
  <c r="AC53" i="1"/>
  <c r="W53" i="1"/>
  <c r="AG53" i="1" l="1"/>
  <c r="AK53" i="1" s="1"/>
  <c r="AA53" i="1"/>
  <c r="K192" i="1"/>
  <c r="AI53" i="1"/>
  <c r="AL53" i="1" s="1"/>
  <c r="AB53" i="1"/>
  <c r="AP53" i="1" l="1"/>
  <c r="AN53" i="1"/>
  <c r="E54" i="1" s="1"/>
  <c r="K193" i="1"/>
  <c r="AO53" i="1"/>
  <c r="AM53" i="1"/>
  <c r="D54" i="1" s="1"/>
  <c r="R54" i="1" l="1"/>
  <c r="AF54" i="1" s="1"/>
  <c r="AJ54" i="1" s="1"/>
  <c r="U54" i="1"/>
  <c r="O54" i="1"/>
  <c r="AE54" i="1" s="1"/>
  <c r="AH54" i="1" s="1"/>
  <c r="Q54" i="1"/>
  <c r="K194" i="1"/>
  <c r="P54" i="1"/>
  <c r="V54" i="1"/>
  <c r="S54" i="1"/>
  <c r="T54" i="1"/>
  <c r="AD54" i="1" l="1"/>
  <c r="X54" i="1"/>
  <c r="AC54" i="1"/>
  <c r="W54" i="1"/>
  <c r="K195" i="1"/>
  <c r="K196" i="1" l="1"/>
  <c r="AG54" i="1"/>
  <c r="AK54" i="1" s="1"/>
  <c r="AA54" i="1"/>
  <c r="AI54" i="1"/>
  <c r="AL54" i="1" s="1"/>
  <c r="AB54" i="1"/>
  <c r="AO54" i="1" l="1"/>
  <c r="AM54" i="1"/>
  <c r="D55" i="1" s="1"/>
  <c r="K197" i="1"/>
  <c r="AP54" i="1"/>
  <c r="AN54" i="1"/>
  <c r="E55" i="1" s="1"/>
  <c r="P55" i="1" l="1"/>
  <c r="V55" i="1"/>
  <c r="S55" i="1"/>
  <c r="T55" i="1"/>
  <c r="K198" i="1"/>
  <c r="R55" i="1"/>
  <c r="AF55" i="1" s="1"/>
  <c r="AJ55" i="1" s="1"/>
  <c r="U55" i="1"/>
  <c r="Q55" i="1"/>
  <c r="O55" i="1"/>
  <c r="AE55" i="1" s="1"/>
  <c r="AH55" i="1" s="1"/>
  <c r="AD55" i="1" l="1"/>
  <c r="X55" i="1"/>
  <c r="AC55" i="1"/>
  <c r="W55" i="1"/>
  <c r="K199" i="1"/>
  <c r="K200" i="1" l="1"/>
  <c r="AG55" i="1"/>
  <c r="AK55" i="1" s="1"/>
  <c r="AA55" i="1"/>
  <c r="AI55" i="1"/>
  <c r="AL55" i="1" s="1"/>
  <c r="AB55" i="1"/>
  <c r="AP55" i="1" l="1"/>
  <c r="AN55" i="1"/>
  <c r="E56" i="1" s="1"/>
  <c r="AO55" i="1"/>
  <c r="AM55" i="1"/>
  <c r="D56" i="1" s="1"/>
  <c r="K201" i="1"/>
  <c r="P56" i="1" l="1"/>
  <c r="V56" i="1"/>
  <c r="T56" i="1"/>
  <c r="S56" i="1"/>
  <c r="K202" i="1"/>
  <c r="R56" i="1"/>
  <c r="AF56" i="1" s="1"/>
  <c r="AJ56" i="1" s="1"/>
  <c r="U56" i="1"/>
  <c r="O56" i="1"/>
  <c r="AE56" i="1" s="1"/>
  <c r="AH56" i="1" s="1"/>
  <c r="Q56" i="1"/>
  <c r="K203" i="1" l="1"/>
  <c r="AC56" i="1"/>
  <c r="W56" i="1"/>
  <c r="AD56" i="1"/>
  <c r="X56" i="1"/>
  <c r="AI56" i="1" l="1"/>
  <c r="AL56" i="1" s="1"/>
  <c r="AB56" i="1"/>
  <c r="AG56" i="1"/>
  <c r="AK56" i="1" s="1"/>
  <c r="AA56" i="1"/>
  <c r="K204" i="1"/>
  <c r="K205" i="1" l="1"/>
  <c r="AO56" i="1"/>
  <c r="AM56" i="1"/>
  <c r="D57" i="1" s="1"/>
  <c r="AP56" i="1"/>
  <c r="AN56" i="1"/>
  <c r="E57" i="1" s="1"/>
  <c r="R57" i="1" l="1"/>
  <c r="AF57" i="1" s="1"/>
  <c r="AJ57" i="1" s="1"/>
  <c r="U57" i="1"/>
  <c r="O57" i="1"/>
  <c r="AE57" i="1" s="1"/>
  <c r="AH57" i="1" s="1"/>
  <c r="Q57" i="1"/>
  <c r="P57" i="1"/>
  <c r="V57" i="1"/>
  <c r="S57" i="1"/>
  <c r="T57" i="1"/>
  <c r="K206" i="1"/>
  <c r="AD57" i="1" l="1"/>
  <c r="X57" i="1"/>
  <c r="AC57" i="1"/>
  <c r="W57" i="1"/>
  <c r="K207" i="1"/>
  <c r="K208" i="1" l="1"/>
  <c r="AG57" i="1"/>
  <c r="AK57" i="1" s="1"/>
  <c r="AA57" i="1"/>
  <c r="AI57" i="1"/>
  <c r="AL57" i="1" s="1"/>
  <c r="AB57" i="1"/>
  <c r="AO57" i="1" l="1"/>
  <c r="AM57" i="1"/>
  <c r="D58" i="1" s="1"/>
  <c r="AP57" i="1"/>
  <c r="AN57" i="1"/>
  <c r="E58" i="1" s="1"/>
  <c r="K209" i="1"/>
  <c r="K210" i="1" l="1"/>
  <c r="U58" i="1"/>
  <c r="R58" i="1"/>
  <c r="AF58" i="1" s="1"/>
  <c r="AJ58" i="1" s="1"/>
  <c r="O58" i="1"/>
  <c r="AE58" i="1" s="1"/>
  <c r="AH58" i="1" s="1"/>
  <c r="Q58" i="1"/>
  <c r="P58" i="1"/>
  <c r="V58" i="1"/>
  <c r="T58" i="1"/>
  <c r="S58" i="1"/>
  <c r="W58" i="1" l="1"/>
  <c r="AC58" i="1"/>
  <c r="AD58" i="1"/>
  <c r="X58" i="1"/>
  <c r="K211" i="1"/>
  <c r="AG58" i="1" l="1"/>
  <c r="AK58" i="1" s="1"/>
  <c r="AA58" i="1"/>
  <c r="K212" i="1"/>
  <c r="AI58" i="1"/>
  <c r="AL58" i="1" s="1"/>
  <c r="AB58" i="1"/>
  <c r="AP58" i="1" l="1"/>
  <c r="AN58" i="1"/>
  <c r="E59" i="1" s="1"/>
  <c r="K213" i="1"/>
  <c r="AO58" i="1"/>
  <c r="AM58" i="1"/>
  <c r="D59" i="1" s="1"/>
  <c r="V59" i="1" l="1"/>
  <c r="P59" i="1"/>
  <c r="S59" i="1"/>
  <c r="T59" i="1"/>
  <c r="U59" i="1"/>
  <c r="R59" i="1"/>
  <c r="AF59" i="1" s="1"/>
  <c r="AJ59" i="1" s="1"/>
  <c r="O59" i="1"/>
  <c r="AE59" i="1" s="1"/>
  <c r="AH59" i="1" s="1"/>
  <c r="Q59" i="1"/>
  <c r="K214" i="1"/>
  <c r="K215" i="1" l="1"/>
  <c r="W59" i="1"/>
  <c r="AC59" i="1"/>
  <c r="X59" i="1"/>
  <c r="AD59" i="1"/>
  <c r="AI59" i="1" l="1"/>
  <c r="AL59" i="1" s="1"/>
  <c r="AB59" i="1"/>
  <c r="AG59" i="1"/>
  <c r="AK59" i="1" s="1"/>
  <c r="AA59" i="1"/>
  <c r="K216" i="1"/>
  <c r="K217" i="1" l="1"/>
  <c r="AO59" i="1"/>
  <c r="AM59" i="1"/>
  <c r="D60" i="1" s="1"/>
  <c r="AP59" i="1"/>
  <c r="AN59" i="1"/>
  <c r="E60" i="1" s="1"/>
  <c r="V60" i="1" l="1"/>
  <c r="P60" i="1"/>
  <c r="S60" i="1"/>
  <c r="T60" i="1"/>
  <c r="U60" i="1"/>
  <c r="R60" i="1"/>
  <c r="AF60" i="1" s="1"/>
  <c r="AJ60" i="1" s="1"/>
  <c r="O60" i="1"/>
  <c r="AE60" i="1" s="1"/>
  <c r="AH60" i="1" s="1"/>
  <c r="Q60" i="1"/>
  <c r="K218" i="1"/>
  <c r="X60" i="1" l="1"/>
  <c r="AD60" i="1"/>
  <c r="K219" i="1"/>
  <c r="W60" i="1"/>
  <c r="AC60" i="1"/>
  <c r="AG60" i="1" l="1"/>
  <c r="AK60" i="1" s="1"/>
  <c r="AA60" i="1"/>
  <c r="K220" i="1"/>
  <c r="AI60" i="1"/>
  <c r="AL60" i="1" s="1"/>
  <c r="AB60" i="1"/>
  <c r="K221" i="1" l="1"/>
  <c r="AP60" i="1"/>
  <c r="AN60" i="1"/>
  <c r="E61" i="1" s="1"/>
  <c r="AO60" i="1"/>
  <c r="AM60" i="1"/>
  <c r="D61" i="1" s="1"/>
  <c r="U61" i="1" l="1"/>
  <c r="R61" i="1"/>
  <c r="AF61" i="1" s="1"/>
  <c r="AJ61" i="1" s="1"/>
  <c r="O61" i="1"/>
  <c r="AE61" i="1" s="1"/>
  <c r="AH61" i="1" s="1"/>
  <c r="Q61" i="1"/>
  <c r="V61" i="1"/>
  <c r="P61" i="1"/>
  <c r="S61" i="1"/>
  <c r="T61" i="1"/>
  <c r="K222" i="1"/>
  <c r="K223" i="1" l="1"/>
  <c r="X61" i="1"/>
  <c r="AD61" i="1"/>
  <c r="W61" i="1"/>
  <c r="AC61" i="1"/>
  <c r="AG61" i="1" l="1"/>
  <c r="AK61" i="1" s="1"/>
  <c r="AA61" i="1"/>
  <c r="AI61" i="1"/>
  <c r="AL61" i="1" s="1"/>
  <c r="AB61" i="1"/>
  <c r="K224" i="1"/>
  <c r="AP61" i="1" l="1"/>
  <c r="AN61" i="1"/>
  <c r="E62" i="1" s="1"/>
  <c r="K225" i="1"/>
  <c r="AO61" i="1"/>
  <c r="AM61" i="1"/>
  <c r="D62" i="1" s="1"/>
  <c r="V62" i="1" l="1"/>
  <c r="P62" i="1"/>
  <c r="T62" i="1"/>
  <c r="S62" i="1"/>
  <c r="U62" i="1"/>
  <c r="R62" i="1"/>
  <c r="AF62" i="1" s="1"/>
  <c r="AJ62" i="1" s="1"/>
  <c r="O62" i="1"/>
  <c r="AE62" i="1" s="1"/>
  <c r="AH62" i="1" s="1"/>
  <c r="Q62" i="1"/>
  <c r="K226" i="1"/>
  <c r="X62" i="1" l="1"/>
  <c r="AD62" i="1"/>
  <c r="W62" i="1"/>
  <c r="AC62" i="1"/>
  <c r="K227" i="1"/>
  <c r="AI62" i="1" l="1"/>
  <c r="AL62" i="1" s="1"/>
  <c r="AB62" i="1"/>
  <c r="K228" i="1"/>
  <c r="AG62" i="1"/>
  <c r="AK62" i="1" s="1"/>
  <c r="AA62" i="1"/>
  <c r="K229" i="1" l="1"/>
  <c r="AO62" i="1"/>
  <c r="AM62" i="1"/>
  <c r="D63" i="1" s="1"/>
  <c r="AP62" i="1"/>
  <c r="AN62" i="1"/>
  <c r="E63" i="1" s="1"/>
  <c r="U63" i="1" l="1"/>
  <c r="R63" i="1"/>
  <c r="AF63" i="1" s="1"/>
  <c r="AJ63" i="1" s="1"/>
  <c r="Q63" i="1"/>
  <c r="O63" i="1"/>
  <c r="AE63" i="1" s="1"/>
  <c r="AH63" i="1" s="1"/>
  <c r="V63" i="1"/>
  <c r="P63" i="1"/>
  <c r="S63" i="1"/>
  <c r="T63" i="1"/>
  <c r="K230" i="1"/>
  <c r="K231" i="1" l="1"/>
  <c r="W63" i="1"/>
  <c r="AC63" i="1"/>
  <c r="X63" i="1"/>
  <c r="AD63" i="1"/>
  <c r="AI63" i="1" l="1"/>
  <c r="AL63" i="1" s="1"/>
  <c r="AB63" i="1"/>
  <c r="AG63" i="1"/>
  <c r="AK63" i="1" s="1"/>
  <c r="AA63" i="1"/>
  <c r="K232" i="1"/>
  <c r="AO63" i="1" l="1"/>
  <c r="AM63" i="1"/>
  <c r="D64" i="1" s="1"/>
  <c r="K233" i="1"/>
  <c r="AP63" i="1"/>
  <c r="AN63" i="1"/>
  <c r="E64" i="1" s="1"/>
  <c r="V64" i="1" l="1"/>
  <c r="P64" i="1"/>
  <c r="S64" i="1"/>
  <c r="T64" i="1"/>
  <c r="R64" i="1"/>
  <c r="AF64" i="1" s="1"/>
  <c r="AJ64" i="1" s="1"/>
  <c r="U64" i="1"/>
  <c r="Q64" i="1"/>
  <c r="O64" i="1"/>
  <c r="AE64" i="1" s="1"/>
  <c r="AH64" i="1" s="1"/>
  <c r="K234" i="1"/>
  <c r="K235" i="1" l="1"/>
  <c r="X64" i="1"/>
  <c r="AD64" i="1"/>
  <c r="AC64" i="1"/>
  <c r="W64" i="1"/>
  <c r="AG64" i="1" l="1"/>
  <c r="AK64" i="1" s="1"/>
  <c r="AA64" i="1"/>
  <c r="AI64" i="1"/>
  <c r="AL64" i="1" s="1"/>
  <c r="AB64" i="1"/>
  <c r="K236" i="1"/>
  <c r="K237" i="1" l="1"/>
  <c r="AP64" i="1"/>
  <c r="AN64" i="1"/>
  <c r="E65" i="1" s="1"/>
  <c r="AO64" i="1"/>
  <c r="AM64" i="1"/>
  <c r="D65" i="1" s="1"/>
  <c r="P65" i="1" l="1"/>
  <c r="V65" i="1"/>
  <c r="S65" i="1"/>
  <c r="T65" i="1"/>
  <c r="K238" i="1"/>
  <c r="U65" i="1"/>
  <c r="R65" i="1"/>
  <c r="AF65" i="1" s="1"/>
  <c r="AJ65" i="1" s="1"/>
  <c r="Q65" i="1"/>
  <c r="O65" i="1"/>
  <c r="AE65" i="1" s="1"/>
  <c r="AH65" i="1" s="1"/>
  <c r="K239" i="1" l="1"/>
  <c r="AD65" i="1"/>
  <c r="X65" i="1"/>
  <c r="AC65" i="1"/>
  <c r="W65" i="1"/>
  <c r="AG65" i="1" l="1"/>
  <c r="AK65" i="1" s="1"/>
  <c r="AA65" i="1"/>
  <c r="AI65" i="1"/>
  <c r="AL65" i="1" s="1"/>
  <c r="AB65" i="1"/>
  <c r="K240" i="1"/>
  <c r="K241" i="1" l="1"/>
  <c r="AP65" i="1"/>
  <c r="AN65" i="1"/>
  <c r="E66" i="1" s="1"/>
  <c r="AO65" i="1"/>
  <c r="AM65" i="1"/>
  <c r="D66" i="1" s="1"/>
  <c r="R66" i="1" l="1"/>
  <c r="AF66" i="1" s="1"/>
  <c r="AJ66" i="1" s="1"/>
  <c r="U66" i="1"/>
  <c r="O66" i="1"/>
  <c r="AE66" i="1" s="1"/>
  <c r="AH66" i="1" s="1"/>
  <c r="Q66" i="1"/>
  <c r="K242" i="1"/>
  <c r="V66" i="1"/>
  <c r="P66" i="1"/>
  <c r="T66" i="1"/>
  <c r="S66" i="1"/>
  <c r="AC66" i="1" l="1"/>
  <c r="W66" i="1"/>
  <c r="K243" i="1"/>
  <c r="AD66" i="1"/>
  <c r="X66" i="1"/>
  <c r="AI66" i="1" l="1"/>
  <c r="AL66" i="1" s="1"/>
  <c r="AB66" i="1"/>
  <c r="K244" i="1"/>
  <c r="AG66" i="1"/>
  <c r="AK66" i="1" s="1"/>
  <c r="AA66" i="1"/>
  <c r="K245" i="1" l="1"/>
  <c r="AO66" i="1"/>
  <c r="AM66" i="1"/>
  <c r="D67" i="1" s="1"/>
  <c r="AP66" i="1"/>
  <c r="AN66" i="1"/>
  <c r="E67" i="1" s="1"/>
  <c r="V67" i="1" l="1"/>
  <c r="P67" i="1"/>
  <c r="S67" i="1"/>
  <c r="T67" i="1"/>
  <c r="U67" i="1"/>
  <c r="R67" i="1"/>
  <c r="AF67" i="1" s="1"/>
  <c r="AJ67" i="1" s="1"/>
  <c r="O67" i="1"/>
  <c r="AE67" i="1" s="1"/>
  <c r="AH67" i="1" s="1"/>
  <c r="Q67" i="1"/>
  <c r="K246" i="1"/>
  <c r="K247" i="1" l="1"/>
  <c r="AC67" i="1"/>
  <c r="W67" i="1"/>
  <c r="AD67" i="1"/>
  <c r="X67" i="1"/>
  <c r="AI67" i="1" l="1"/>
  <c r="AL67" i="1" s="1"/>
  <c r="AB67" i="1"/>
  <c r="AG67" i="1"/>
  <c r="AK67" i="1" s="1"/>
  <c r="AA67" i="1"/>
  <c r="K248" i="1"/>
  <c r="AO67" i="1" l="1"/>
  <c r="AM67" i="1"/>
  <c r="D68" i="1" s="1"/>
  <c r="K249" i="1"/>
  <c r="AP67" i="1"/>
  <c r="AN67" i="1"/>
  <c r="E68" i="1" s="1"/>
  <c r="R68" i="1" l="1"/>
  <c r="AF68" i="1" s="1"/>
  <c r="AJ68" i="1" s="1"/>
  <c r="U68" i="1"/>
  <c r="O68" i="1"/>
  <c r="AE68" i="1" s="1"/>
  <c r="AH68" i="1" s="1"/>
  <c r="Q68" i="1"/>
  <c r="V68" i="1"/>
  <c r="P68" i="1"/>
  <c r="S68" i="1"/>
  <c r="T68" i="1"/>
  <c r="K250" i="1"/>
  <c r="K251" i="1" l="1"/>
  <c r="AD68" i="1"/>
  <c r="X68" i="1"/>
  <c r="AC68" i="1"/>
  <c r="W68" i="1"/>
  <c r="AG68" i="1" l="1"/>
  <c r="AK68" i="1" s="1"/>
  <c r="AA68" i="1"/>
  <c r="AI68" i="1"/>
  <c r="AL68" i="1" s="1"/>
  <c r="AB68" i="1"/>
  <c r="K252" i="1"/>
  <c r="AP68" i="1" l="1"/>
  <c r="AN68" i="1"/>
  <c r="E69" i="1" s="1"/>
  <c r="K253" i="1"/>
  <c r="AO68" i="1"/>
  <c r="AM68" i="1"/>
  <c r="D69" i="1" s="1"/>
  <c r="U69" i="1" l="1"/>
  <c r="R69" i="1"/>
  <c r="AF69" i="1" s="1"/>
  <c r="AJ69" i="1" s="1"/>
  <c r="O69" i="1"/>
  <c r="AE69" i="1" s="1"/>
  <c r="AH69" i="1" s="1"/>
  <c r="Q69" i="1"/>
  <c r="P69" i="1"/>
  <c r="V69" i="1"/>
  <c r="S69" i="1"/>
  <c r="T69" i="1"/>
  <c r="K254" i="1"/>
  <c r="K255" i="1" l="1"/>
  <c r="AD69" i="1"/>
  <c r="X69" i="1"/>
  <c r="AC69" i="1"/>
  <c r="W69" i="1"/>
  <c r="AG69" i="1" l="1"/>
  <c r="AK69" i="1" s="1"/>
  <c r="AA69" i="1"/>
  <c r="AI69" i="1"/>
  <c r="AL69" i="1" s="1"/>
  <c r="AB69" i="1"/>
  <c r="K256" i="1"/>
  <c r="K257" i="1" l="1"/>
  <c r="AP69" i="1"/>
  <c r="AN69" i="1"/>
  <c r="E70" i="1" s="1"/>
  <c r="AO69" i="1"/>
  <c r="AM69" i="1"/>
  <c r="D70" i="1" s="1"/>
  <c r="U70" i="1" l="1"/>
  <c r="O70" i="1"/>
  <c r="AE70" i="1" s="1"/>
  <c r="AH70" i="1" s="1"/>
  <c r="R70" i="1"/>
  <c r="AF70" i="1" s="1"/>
  <c r="AJ70" i="1" s="1"/>
  <c r="Q70" i="1"/>
  <c r="V70" i="1"/>
  <c r="P70" i="1"/>
  <c r="T70" i="1"/>
  <c r="S70" i="1"/>
  <c r="K258" i="1"/>
  <c r="AD70" i="1" l="1"/>
  <c r="X70" i="1"/>
  <c r="AC70" i="1"/>
  <c r="W70" i="1"/>
  <c r="K259" i="1"/>
  <c r="K260" i="1" l="1"/>
  <c r="AG70" i="1"/>
  <c r="AK70" i="1" s="1"/>
  <c r="AA70" i="1"/>
  <c r="AI70" i="1"/>
  <c r="AL70" i="1" s="1"/>
  <c r="AB70" i="1"/>
  <c r="AO70" i="1" l="1"/>
  <c r="AM70" i="1"/>
  <c r="D71" i="1" s="1"/>
  <c r="AP70" i="1"/>
  <c r="AN70" i="1"/>
  <c r="E71" i="1" s="1"/>
  <c r="K261" i="1"/>
  <c r="K262" i="1" l="1"/>
  <c r="V71" i="1"/>
  <c r="P71" i="1"/>
  <c r="S71" i="1"/>
  <c r="T71" i="1"/>
  <c r="U71" i="1"/>
  <c r="R71" i="1"/>
  <c r="AF71" i="1" s="1"/>
  <c r="AJ71" i="1" s="1"/>
  <c r="Q71" i="1"/>
  <c r="O71" i="1"/>
  <c r="AE71" i="1" s="1"/>
  <c r="AH71" i="1" s="1"/>
  <c r="AC71" i="1" l="1"/>
  <c r="W71" i="1"/>
  <c r="X71" i="1"/>
  <c r="AD71" i="1"/>
  <c r="K263" i="1"/>
  <c r="K264" i="1" l="1"/>
  <c r="AI71" i="1"/>
  <c r="AL71" i="1" s="1"/>
  <c r="AB71" i="1"/>
  <c r="AG71" i="1"/>
  <c r="AK71" i="1" s="1"/>
  <c r="AA71" i="1"/>
  <c r="AO71" i="1" l="1"/>
  <c r="AM71" i="1"/>
  <c r="D72" i="1" s="1"/>
  <c r="AP71" i="1"/>
  <c r="AN71" i="1"/>
  <c r="E72" i="1" s="1"/>
  <c r="K265" i="1"/>
  <c r="K266" i="1" l="1"/>
  <c r="V72" i="1"/>
  <c r="P72" i="1"/>
  <c r="S72" i="1"/>
  <c r="T72" i="1"/>
  <c r="U72" i="1"/>
  <c r="R72" i="1"/>
  <c r="AF72" i="1" s="1"/>
  <c r="AJ72" i="1" s="1"/>
  <c r="O72" i="1"/>
  <c r="AE72" i="1" s="1"/>
  <c r="AH72" i="1" s="1"/>
  <c r="Q72" i="1"/>
  <c r="AD72" i="1" l="1"/>
  <c r="X72" i="1"/>
  <c r="W72" i="1"/>
  <c r="AC72" i="1"/>
  <c r="K267" i="1"/>
  <c r="K268" i="1" l="1"/>
  <c r="AG72" i="1"/>
  <c r="AK72" i="1" s="1"/>
  <c r="AA72" i="1"/>
  <c r="AI72" i="1"/>
  <c r="AL72" i="1" s="1"/>
  <c r="AB72" i="1"/>
  <c r="AO72" i="1" l="1"/>
  <c r="AM72" i="1"/>
  <c r="D73" i="1" s="1"/>
  <c r="AP72" i="1"/>
  <c r="AN72" i="1"/>
  <c r="E73" i="1" s="1"/>
  <c r="K269" i="1"/>
  <c r="R73" i="1" l="1"/>
  <c r="AF73" i="1" s="1"/>
  <c r="AJ73" i="1" s="1"/>
  <c r="U73" i="1"/>
  <c r="O73" i="1"/>
  <c r="AE73" i="1" s="1"/>
  <c r="AH73" i="1" s="1"/>
  <c r="Q73" i="1"/>
  <c r="K270" i="1"/>
  <c r="P73" i="1"/>
  <c r="V73" i="1"/>
  <c r="T73" i="1"/>
  <c r="S73" i="1"/>
  <c r="K271" i="1" l="1"/>
  <c r="AC73" i="1"/>
  <c r="W73" i="1"/>
  <c r="X73" i="1"/>
  <c r="AD73" i="1"/>
  <c r="AI73" i="1" l="1"/>
  <c r="AL73" i="1" s="1"/>
  <c r="AB73" i="1"/>
  <c r="AG73" i="1"/>
  <c r="AK73" i="1" s="1"/>
  <c r="AA73" i="1"/>
  <c r="K272" i="1"/>
  <c r="K273" i="1" l="1"/>
  <c r="AO73" i="1"/>
  <c r="AM73" i="1"/>
  <c r="D74" i="1" s="1"/>
  <c r="AP73" i="1"/>
  <c r="AN73" i="1"/>
  <c r="E74" i="1" s="1"/>
  <c r="P74" i="1" l="1"/>
  <c r="V74" i="1"/>
  <c r="T74" i="1"/>
  <c r="S74" i="1"/>
  <c r="U74" i="1"/>
  <c r="R74" i="1"/>
  <c r="AF74" i="1" s="1"/>
  <c r="AJ74" i="1" s="1"/>
  <c r="O74" i="1"/>
  <c r="AE74" i="1" s="1"/>
  <c r="AH74" i="1" s="1"/>
  <c r="Q74" i="1"/>
  <c r="K274" i="1"/>
  <c r="K275" i="1" l="1"/>
  <c r="AD74" i="1"/>
  <c r="X74" i="1"/>
  <c r="W74" i="1"/>
  <c r="AC74" i="1"/>
  <c r="AI74" i="1" l="1"/>
  <c r="AL74" i="1" s="1"/>
  <c r="AB74" i="1"/>
  <c r="AG74" i="1"/>
  <c r="AK74" i="1" s="1"/>
  <c r="AA74" i="1"/>
  <c r="K276" i="1"/>
  <c r="K277" i="1" l="1"/>
  <c r="AO74" i="1"/>
  <c r="AM74" i="1"/>
  <c r="D75" i="1" s="1"/>
  <c r="AP74" i="1"/>
  <c r="AN74" i="1"/>
  <c r="E75" i="1" s="1"/>
  <c r="P75" i="1" l="1"/>
  <c r="V75" i="1"/>
  <c r="S75" i="1"/>
  <c r="T75" i="1"/>
  <c r="R75" i="1"/>
  <c r="AF75" i="1" s="1"/>
  <c r="AJ75" i="1" s="1"/>
  <c r="U75" i="1"/>
  <c r="Q75" i="1"/>
  <c r="O75" i="1"/>
  <c r="AE75" i="1" s="1"/>
  <c r="AH75" i="1" s="1"/>
  <c r="K278" i="1"/>
  <c r="K279" i="1" l="1"/>
  <c r="AD75" i="1"/>
  <c r="X75" i="1"/>
  <c r="AC75" i="1"/>
  <c r="W75" i="1"/>
  <c r="AG75" i="1" l="1"/>
  <c r="AK75" i="1" s="1"/>
  <c r="AA75" i="1"/>
  <c r="K280" i="1"/>
  <c r="AI75" i="1"/>
  <c r="AL75" i="1" s="1"/>
  <c r="AB75" i="1"/>
  <c r="AP75" i="1" l="1"/>
  <c r="AN75" i="1"/>
  <c r="E76" i="1" s="1"/>
  <c r="K281" i="1"/>
  <c r="AO75" i="1"/>
  <c r="AM75" i="1"/>
  <c r="D76" i="1" s="1"/>
  <c r="K282" i="1" l="1"/>
  <c r="P76" i="1"/>
  <c r="V76" i="1"/>
  <c r="S76" i="1"/>
  <c r="T76" i="1"/>
  <c r="R76" i="1"/>
  <c r="AF76" i="1" s="1"/>
  <c r="AJ76" i="1" s="1"/>
  <c r="U76" i="1"/>
  <c r="O76" i="1"/>
  <c r="AE76" i="1" s="1"/>
  <c r="AH76" i="1" s="1"/>
  <c r="Q76" i="1"/>
  <c r="AC76" i="1" l="1"/>
  <c r="W76" i="1"/>
  <c r="AD76" i="1"/>
  <c r="X76" i="1"/>
  <c r="K283" i="1"/>
  <c r="K284" i="1" l="1"/>
  <c r="AI76" i="1"/>
  <c r="AL76" i="1" s="1"/>
  <c r="AB76" i="1"/>
  <c r="AG76" i="1"/>
  <c r="AK76" i="1" s="1"/>
  <c r="AA76" i="1"/>
  <c r="AP76" i="1" l="1"/>
  <c r="AN76" i="1"/>
  <c r="E77" i="1" s="1"/>
  <c r="AO76" i="1"/>
  <c r="AM76" i="1"/>
  <c r="D77" i="1" s="1"/>
  <c r="K285" i="1"/>
  <c r="K286" i="1" l="1"/>
  <c r="P77" i="1"/>
  <c r="V77" i="1"/>
  <c r="S77" i="1"/>
  <c r="T77" i="1"/>
  <c r="R77" i="1"/>
  <c r="AF77" i="1" s="1"/>
  <c r="AJ77" i="1" s="1"/>
  <c r="U77" i="1"/>
  <c r="Q77" i="1"/>
  <c r="O77" i="1"/>
  <c r="AE77" i="1" s="1"/>
  <c r="AH77" i="1" s="1"/>
  <c r="AD77" i="1" l="1"/>
  <c r="X77" i="1"/>
  <c r="AC77" i="1"/>
  <c r="W77" i="1"/>
  <c r="K287" i="1"/>
  <c r="K288" i="1" l="1"/>
  <c r="AG77" i="1"/>
  <c r="AK77" i="1" s="1"/>
  <c r="AA77" i="1"/>
  <c r="AI77" i="1"/>
  <c r="AL77" i="1" s="1"/>
  <c r="AB77" i="1"/>
  <c r="AP77" i="1" l="1"/>
  <c r="AN77" i="1"/>
  <c r="E78" i="1" s="1"/>
  <c r="AO77" i="1"/>
  <c r="AM77" i="1"/>
  <c r="D78" i="1" s="1"/>
  <c r="K289" i="1"/>
  <c r="K290" i="1" l="1"/>
  <c r="U78" i="1"/>
  <c r="R78" i="1"/>
  <c r="AF78" i="1" s="1"/>
  <c r="AJ78" i="1" s="1"/>
  <c r="O78" i="1"/>
  <c r="AE78" i="1" s="1"/>
  <c r="AH78" i="1" s="1"/>
  <c r="Q78" i="1"/>
  <c r="P78" i="1"/>
  <c r="V78" i="1"/>
  <c r="S78" i="1"/>
  <c r="T78" i="1"/>
  <c r="AD78" i="1" l="1"/>
  <c r="X78" i="1"/>
  <c r="AC78" i="1"/>
  <c r="W78" i="1"/>
  <c r="K291" i="1"/>
  <c r="K292" i="1" l="1"/>
  <c r="AG78" i="1"/>
  <c r="AK78" i="1" s="1"/>
  <c r="AA78" i="1"/>
  <c r="AI78" i="1"/>
  <c r="AL78" i="1" s="1"/>
  <c r="AB78" i="1"/>
  <c r="AP78" i="1" l="1"/>
  <c r="AN78" i="1"/>
  <c r="E79" i="1" s="1"/>
  <c r="K293" i="1"/>
  <c r="AO78" i="1"/>
  <c r="AM78" i="1"/>
  <c r="D79" i="1" s="1"/>
  <c r="U79" i="1" l="1"/>
  <c r="R79" i="1"/>
  <c r="AF79" i="1" s="1"/>
  <c r="AJ79" i="1" s="1"/>
  <c r="Q79" i="1"/>
  <c r="O79" i="1"/>
  <c r="AE79" i="1" s="1"/>
  <c r="AH79" i="1" s="1"/>
  <c r="V79" i="1"/>
  <c r="P79" i="1"/>
  <c r="S79" i="1"/>
  <c r="T79" i="1"/>
  <c r="K294" i="1"/>
  <c r="AC79" i="1" l="1"/>
  <c r="W79" i="1"/>
  <c r="K295" i="1"/>
  <c r="AD79" i="1"/>
  <c r="X79" i="1"/>
  <c r="AI79" i="1" l="1"/>
  <c r="AL79" i="1" s="1"/>
  <c r="AB79" i="1"/>
  <c r="K296" i="1"/>
  <c r="AG79" i="1"/>
  <c r="AK79" i="1" s="1"/>
  <c r="AA79" i="1"/>
  <c r="AO79" i="1" l="1"/>
  <c r="AM79" i="1"/>
  <c r="D80" i="1" s="1"/>
  <c r="K297" i="1"/>
  <c r="AP79" i="1"/>
  <c r="AN79" i="1"/>
  <c r="E80" i="1" s="1"/>
  <c r="K298" i="1" l="1"/>
  <c r="U80" i="1"/>
  <c r="R80" i="1"/>
  <c r="AF80" i="1" s="1"/>
  <c r="AJ80" i="1" s="1"/>
  <c r="Q80" i="1"/>
  <c r="O80" i="1"/>
  <c r="AE80" i="1" s="1"/>
  <c r="AH80" i="1" s="1"/>
  <c r="V80" i="1"/>
  <c r="P80" i="1"/>
  <c r="T80" i="1"/>
  <c r="S80" i="1"/>
  <c r="K299" i="1" l="1"/>
  <c r="W80" i="1"/>
  <c r="AC80" i="1"/>
  <c r="AD80" i="1"/>
  <c r="X80" i="1"/>
  <c r="AI80" i="1" l="1"/>
  <c r="AL80" i="1" s="1"/>
  <c r="AB80" i="1"/>
  <c r="AG80" i="1"/>
  <c r="AK80" i="1" s="1"/>
  <c r="AA80" i="1"/>
  <c r="K300" i="1"/>
  <c r="AO80" i="1" l="1"/>
  <c r="AM80" i="1"/>
  <c r="D81" i="1" s="1"/>
  <c r="K301" i="1"/>
  <c r="AP80" i="1"/>
  <c r="AN80" i="1"/>
  <c r="E81" i="1" s="1"/>
  <c r="V81" i="1" l="1"/>
  <c r="P81" i="1"/>
  <c r="S81" i="1"/>
  <c r="T81" i="1"/>
  <c r="K302" i="1"/>
  <c r="U81" i="1"/>
  <c r="R81" i="1"/>
  <c r="AF81" i="1" s="1"/>
  <c r="AJ81" i="1" s="1"/>
  <c r="Q81" i="1"/>
  <c r="O81" i="1"/>
  <c r="AE81" i="1" s="1"/>
  <c r="AH81" i="1" s="1"/>
  <c r="K303" i="1" l="1"/>
  <c r="X81" i="1"/>
  <c r="AD81" i="1"/>
  <c r="W81" i="1"/>
  <c r="AC81" i="1"/>
  <c r="AI81" i="1" l="1"/>
  <c r="AL81" i="1" s="1"/>
  <c r="AB81" i="1"/>
  <c r="AG81" i="1"/>
  <c r="AK81" i="1" s="1"/>
  <c r="AA81" i="1"/>
  <c r="K304" i="1"/>
  <c r="K305" i="1" l="1"/>
  <c r="AO81" i="1"/>
  <c r="AM81" i="1"/>
  <c r="D82" i="1" s="1"/>
  <c r="AP81" i="1"/>
  <c r="AN81" i="1"/>
  <c r="E82" i="1" s="1"/>
  <c r="U82" i="1" l="1"/>
  <c r="R82" i="1"/>
  <c r="AF82" i="1" s="1"/>
  <c r="AJ82" i="1" s="1"/>
  <c r="O82" i="1"/>
  <c r="AE82" i="1" s="1"/>
  <c r="AH82" i="1" s="1"/>
  <c r="Q82" i="1"/>
  <c r="V82" i="1"/>
  <c r="P82" i="1"/>
  <c r="T82" i="1"/>
  <c r="S82" i="1"/>
  <c r="K306" i="1"/>
  <c r="X82" i="1" l="1"/>
  <c r="AD82" i="1"/>
  <c r="W82" i="1"/>
  <c r="AC82" i="1"/>
  <c r="K307" i="1"/>
  <c r="K308" i="1" l="1"/>
  <c r="AI82" i="1"/>
  <c r="AL82" i="1" s="1"/>
  <c r="AB82" i="1"/>
  <c r="AG82" i="1"/>
  <c r="AK82" i="1" s="1"/>
  <c r="AA82" i="1"/>
  <c r="AO82" i="1" l="1"/>
  <c r="AM82" i="1"/>
  <c r="D83" i="1" s="1"/>
  <c r="AP82" i="1"/>
  <c r="AN82" i="1"/>
  <c r="E83" i="1" s="1"/>
  <c r="K309" i="1"/>
  <c r="K310" i="1" l="1"/>
  <c r="V83" i="1"/>
  <c r="P83" i="1"/>
  <c r="S83" i="1"/>
  <c r="T83" i="1"/>
  <c r="U83" i="1"/>
  <c r="R83" i="1"/>
  <c r="AF83" i="1" s="1"/>
  <c r="AJ83" i="1" s="1"/>
  <c r="O83" i="1"/>
  <c r="AE83" i="1" s="1"/>
  <c r="AH83" i="1" s="1"/>
  <c r="Q83" i="1"/>
  <c r="X83" i="1" l="1"/>
  <c r="AD83" i="1"/>
  <c r="W83" i="1"/>
  <c r="AC83" i="1"/>
  <c r="K311" i="1"/>
  <c r="AI83" i="1" l="1"/>
  <c r="AL83" i="1" s="1"/>
  <c r="AB83" i="1"/>
  <c r="K312" i="1"/>
  <c r="AG83" i="1"/>
  <c r="AK83" i="1" s="1"/>
  <c r="AA83" i="1"/>
  <c r="AO83" i="1" l="1"/>
  <c r="AM83" i="1"/>
  <c r="D84" i="1" s="1"/>
  <c r="K313" i="1"/>
  <c r="AP83" i="1"/>
  <c r="AN83" i="1"/>
  <c r="E84" i="1" s="1"/>
  <c r="V84" i="1" l="1"/>
  <c r="P84" i="1"/>
  <c r="S84" i="1"/>
  <c r="T84" i="1"/>
  <c r="U84" i="1"/>
  <c r="R84" i="1"/>
  <c r="AF84" i="1" s="1"/>
  <c r="AJ84" i="1" s="1"/>
  <c r="O84" i="1"/>
  <c r="AE84" i="1" s="1"/>
  <c r="AH84" i="1" s="1"/>
  <c r="Q84" i="1"/>
  <c r="K314" i="1"/>
  <c r="X84" i="1" l="1"/>
  <c r="AD84" i="1"/>
  <c r="AC84" i="1"/>
  <c r="W84" i="1"/>
  <c r="K315" i="1"/>
  <c r="K316" i="1" l="1"/>
  <c r="AI84" i="1"/>
  <c r="AL84" i="1" s="1"/>
  <c r="AB84" i="1"/>
  <c r="AG84" i="1"/>
  <c r="AK84" i="1" s="1"/>
  <c r="AA84" i="1"/>
  <c r="AO84" i="1" l="1"/>
  <c r="AM84" i="1"/>
  <c r="D85" i="1" s="1"/>
  <c r="AP84" i="1"/>
  <c r="AN84" i="1"/>
  <c r="E85" i="1" s="1"/>
  <c r="K317" i="1"/>
  <c r="U85" i="1" l="1"/>
  <c r="R85" i="1"/>
  <c r="AF85" i="1" s="1"/>
  <c r="AJ85" i="1" s="1"/>
  <c r="O85" i="1"/>
  <c r="AE85" i="1" s="1"/>
  <c r="AH85" i="1" s="1"/>
  <c r="Q85" i="1"/>
  <c r="K318" i="1"/>
  <c r="V85" i="1"/>
  <c r="P85" i="1"/>
  <c r="T85" i="1"/>
  <c r="S85" i="1"/>
  <c r="AC85" i="1" l="1"/>
  <c r="W85" i="1"/>
  <c r="K319" i="1"/>
  <c r="AD85" i="1"/>
  <c r="X85" i="1"/>
  <c r="AI85" i="1" l="1"/>
  <c r="AL85" i="1" s="1"/>
  <c r="AB85" i="1"/>
  <c r="K320" i="1"/>
  <c r="AG85" i="1"/>
  <c r="AK85" i="1" s="1"/>
  <c r="AA85" i="1"/>
  <c r="AO85" i="1" l="1"/>
  <c r="AM85" i="1"/>
  <c r="D86" i="1" s="1"/>
  <c r="K321" i="1"/>
  <c r="AP85" i="1"/>
  <c r="AN85" i="1"/>
  <c r="E86" i="1" s="1"/>
  <c r="R86" i="1" l="1"/>
  <c r="AF86" i="1" s="1"/>
  <c r="AJ86" i="1" s="1"/>
  <c r="U86" i="1"/>
  <c r="O86" i="1"/>
  <c r="AE86" i="1" s="1"/>
  <c r="AH86" i="1" s="1"/>
  <c r="Q86" i="1"/>
  <c r="V86" i="1"/>
  <c r="P86" i="1"/>
  <c r="T86" i="1"/>
  <c r="S86" i="1"/>
  <c r="K322" i="1"/>
  <c r="K323" i="1" l="1"/>
  <c r="AD86" i="1"/>
  <c r="X86" i="1"/>
  <c r="AC86" i="1"/>
  <c r="W86" i="1"/>
  <c r="AG86" i="1" l="1"/>
  <c r="AK86" i="1" s="1"/>
  <c r="AA86" i="1"/>
  <c r="AI86" i="1"/>
  <c r="AL86" i="1" s="1"/>
  <c r="AB86" i="1"/>
  <c r="K324" i="1"/>
  <c r="AP86" i="1" l="1"/>
  <c r="AN86" i="1"/>
  <c r="E87" i="1" s="1"/>
  <c r="K325" i="1"/>
  <c r="AO86" i="1"/>
  <c r="AM86" i="1"/>
  <c r="D87" i="1" s="1"/>
  <c r="U87" i="1" l="1"/>
  <c r="R87" i="1"/>
  <c r="AF87" i="1" s="1"/>
  <c r="AJ87" i="1" s="1"/>
  <c r="O87" i="1"/>
  <c r="AE87" i="1" s="1"/>
  <c r="AH87" i="1" s="1"/>
  <c r="Q87" i="1"/>
  <c r="P87" i="1"/>
  <c r="V87" i="1"/>
  <c r="S87" i="1"/>
  <c r="T87" i="1"/>
  <c r="K326" i="1"/>
  <c r="AD87" i="1" l="1"/>
  <c r="X87" i="1"/>
  <c r="K327" i="1"/>
  <c r="AC87" i="1"/>
  <c r="W87" i="1"/>
  <c r="AG87" i="1" l="1"/>
  <c r="AK87" i="1" s="1"/>
  <c r="AA87" i="1"/>
  <c r="K328" i="1"/>
  <c r="AI87" i="1"/>
  <c r="AL87" i="1" s="1"/>
  <c r="AB87" i="1"/>
  <c r="AP87" i="1" l="1"/>
  <c r="AN87" i="1"/>
  <c r="E88" i="1" s="1"/>
  <c r="K329" i="1"/>
  <c r="AO87" i="1"/>
  <c r="AM87" i="1"/>
  <c r="D88" i="1" s="1"/>
  <c r="R88" i="1" l="1"/>
  <c r="AF88" i="1" s="1"/>
  <c r="AJ88" i="1" s="1"/>
  <c r="U88" i="1"/>
  <c r="Q88" i="1"/>
  <c r="O88" i="1"/>
  <c r="AE88" i="1" s="1"/>
  <c r="AH88" i="1" s="1"/>
  <c r="K330" i="1"/>
  <c r="V88" i="1"/>
  <c r="P88" i="1"/>
  <c r="S88" i="1"/>
  <c r="T88" i="1"/>
  <c r="AC88" i="1" l="1"/>
  <c r="W88" i="1"/>
  <c r="K331" i="1"/>
  <c r="AD88" i="1"/>
  <c r="X88" i="1"/>
  <c r="AI88" i="1" l="1"/>
  <c r="AL88" i="1" s="1"/>
  <c r="AB88" i="1"/>
  <c r="K332" i="1"/>
  <c r="AG88" i="1"/>
  <c r="AK88" i="1" s="1"/>
  <c r="AA88" i="1"/>
  <c r="AO88" i="1" l="1"/>
  <c r="AM88" i="1"/>
  <c r="D89" i="1" s="1"/>
  <c r="K333" i="1"/>
  <c r="AP88" i="1"/>
  <c r="AN88" i="1"/>
  <c r="E89" i="1" s="1"/>
  <c r="P89" i="1" l="1"/>
  <c r="V89" i="1"/>
  <c r="S89" i="1"/>
  <c r="T89" i="1"/>
  <c r="K334" i="1"/>
  <c r="U89" i="1"/>
  <c r="R89" i="1"/>
  <c r="AF89" i="1" s="1"/>
  <c r="AJ89" i="1" s="1"/>
  <c r="Q89" i="1"/>
  <c r="O89" i="1"/>
  <c r="AE89" i="1" s="1"/>
  <c r="AH89" i="1" s="1"/>
  <c r="K335" i="1" l="1"/>
  <c r="AD89" i="1"/>
  <c r="X89" i="1"/>
  <c r="AC89" i="1"/>
  <c r="W89" i="1"/>
  <c r="AG89" i="1" l="1"/>
  <c r="AK89" i="1" s="1"/>
  <c r="AA89" i="1"/>
  <c r="AI89" i="1"/>
  <c r="AL89" i="1" s="1"/>
  <c r="AB89" i="1"/>
  <c r="K336" i="1"/>
  <c r="AP89" i="1" l="1"/>
  <c r="AN89" i="1"/>
  <c r="E90" i="1" s="1"/>
  <c r="K337" i="1"/>
  <c r="AO89" i="1"/>
  <c r="AM89" i="1"/>
  <c r="D90" i="1" s="1"/>
  <c r="V90" i="1" l="1"/>
  <c r="P90" i="1"/>
  <c r="S90" i="1"/>
  <c r="T90" i="1"/>
  <c r="U90" i="1"/>
  <c r="R90" i="1"/>
  <c r="AF90" i="1" s="1"/>
  <c r="AJ90" i="1" s="1"/>
  <c r="Q90" i="1"/>
  <c r="O90" i="1"/>
  <c r="AE90" i="1" s="1"/>
  <c r="AH90" i="1" s="1"/>
  <c r="K338" i="1"/>
  <c r="K339" i="1" l="1"/>
  <c r="AD90" i="1"/>
  <c r="X90" i="1"/>
  <c r="AC90" i="1"/>
  <c r="W90" i="1"/>
  <c r="AI90" i="1" l="1"/>
  <c r="AL90" i="1" s="1"/>
  <c r="AB90" i="1"/>
  <c r="AG90" i="1"/>
  <c r="AK90" i="1" s="1"/>
  <c r="AA90" i="1"/>
  <c r="K340" i="1"/>
  <c r="K341" i="1" l="1"/>
  <c r="AO90" i="1"/>
  <c r="AM90" i="1"/>
  <c r="D91" i="1" s="1"/>
  <c r="AP90" i="1"/>
  <c r="AN90" i="1"/>
  <c r="E91" i="1" s="1"/>
  <c r="V91" i="1" l="1"/>
  <c r="P91" i="1"/>
  <c r="S91" i="1"/>
  <c r="T91" i="1"/>
  <c r="U91" i="1"/>
  <c r="R91" i="1"/>
  <c r="AF91" i="1" s="1"/>
  <c r="AJ91" i="1" s="1"/>
  <c r="Q91" i="1"/>
  <c r="O91" i="1"/>
  <c r="AE91" i="1" s="1"/>
  <c r="AH91" i="1" s="1"/>
  <c r="K342" i="1"/>
  <c r="AD91" i="1" l="1"/>
  <c r="X91" i="1"/>
  <c r="AC91" i="1"/>
  <c r="W91" i="1"/>
  <c r="K343" i="1"/>
  <c r="AG91" i="1" l="1"/>
  <c r="AK91" i="1" s="1"/>
  <c r="AA91" i="1"/>
  <c r="K344" i="1"/>
  <c r="AI91" i="1"/>
  <c r="AL91" i="1" s="1"/>
  <c r="AB91" i="1"/>
  <c r="AP91" i="1" l="1"/>
  <c r="AN91" i="1"/>
  <c r="E92" i="1" s="1"/>
  <c r="K345" i="1"/>
  <c r="AO91" i="1"/>
  <c r="AM91" i="1"/>
  <c r="D92" i="1" s="1"/>
  <c r="U92" i="1" l="1"/>
  <c r="R92" i="1"/>
  <c r="AF92" i="1" s="1"/>
  <c r="AJ92" i="1" s="1"/>
  <c r="O92" i="1"/>
  <c r="AE92" i="1" s="1"/>
  <c r="AH92" i="1" s="1"/>
  <c r="Q92" i="1"/>
  <c r="V92" i="1"/>
  <c r="P92" i="1"/>
  <c r="S92" i="1"/>
  <c r="T92" i="1"/>
  <c r="K346" i="1"/>
  <c r="K347" i="1" l="1"/>
  <c r="AD92" i="1"/>
  <c r="X92" i="1"/>
  <c r="AC92" i="1"/>
  <c r="W92" i="1"/>
  <c r="AI92" i="1" l="1"/>
  <c r="AL92" i="1" s="1"/>
  <c r="AB92" i="1"/>
  <c r="AG92" i="1"/>
  <c r="AK92" i="1" s="1"/>
  <c r="AA92" i="1"/>
  <c r="K348" i="1"/>
  <c r="K349" i="1" l="1"/>
  <c r="AO92" i="1"/>
  <c r="AM92" i="1"/>
  <c r="D93" i="1" s="1"/>
  <c r="AP92" i="1"/>
  <c r="AN92" i="1"/>
  <c r="E93" i="1" s="1"/>
  <c r="P93" i="1" l="1"/>
  <c r="V93" i="1"/>
  <c r="T93" i="1"/>
  <c r="S93" i="1"/>
  <c r="U93" i="1"/>
  <c r="R93" i="1"/>
  <c r="AF93" i="1" s="1"/>
  <c r="AJ93" i="1" s="1"/>
  <c r="O93" i="1"/>
  <c r="AE93" i="1" s="1"/>
  <c r="AH93" i="1" s="1"/>
  <c r="Q93" i="1"/>
  <c r="K350" i="1"/>
  <c r="AD93" i="1" l="1"/>
  <c r="X93" i="1"/>
  <c r="K351" i="1"/>
  <c r="AC93" i="1"/>
  <c r="W93" i="1"/>
  <c r="AG93" i="1" l="1"/>
  <c r="AK93" i="1" s="1"/>
  <c r="AA93" i="1"/>
  <c r="K352" i="1"/>
  <c r="AI93" i="1"/>
  <c r="AL93" i="1" s="1"/>
  <c r="AB93" i="1"/>
  <c r="AP93" i="1" l="1"/>
  <c r="AN93" i="1"/>
  <c r="E94" i="1" s="1"/>
  <c r="K353" i="1"/>
  <c r="AO93" i="1"/>
  <c r="AM93" i="1"/>
  <c r="D94" i="1" s="1"/>
  <c r="U94" i="1" l="1"/>
  <c r="R94" i="1"/>
  <c r="AF94" i="1" s="1"/>
  <c r="AJ94" i="1" s="1"/>
  <c r="O94" i="1"/>
  <c r="AE94" i="1" s="1"/>
  <c r="AH94" i="1" s="1"/>
  <c r="Q94" i="1"/>
  <c r="K354" i="1"/>
  <c r="P94" i="1"/>
  <c r="V94" i="1"/>
  <c r="S94" i="1"/>
  <c r="T94" i="1"/>
  <c r="AD94" i="1" l="1"/>
  <c r="X94" i="1"/>
  <c r="W94" i="1"/>
  <c r="AC94" i="1"/>
  <c r="K355" i="1"/>
  <c r="K356" i="1" l="1"/>
  <c r="AG94" i="1"/>
  <c r="AK94" i="1" s="1"/>
  <c r="AA94" i="1"/>
  <c r="AI94" i="1"/>
  <c r="AL94" i="1" s="1"/>
  <c r="AB94" i="1"/>
  <c r="AP94" i="1" l="1"/>
  <c r="AN94" i="1"/>
  <c r="E95" i="1" s="1"/>
  <c r="AO94" i="1"/>
  <c r="AM94" i="1"/>
  <c r="D95" i="1" s="1"/>
  <c r="K357" i="1"/>
  <c r="K358" i="1" l="1"/>
  <c r="R95" i="1"/>
  <c r="AF95" i="1" s="1"/>
  <c r="AJ95" i="1" s="1"/>
  <c r="U95" i="1"/>
  <c r="O95" i="1"/>
  <c r="AE95" i="1" s="1"/>
  <c r="AH95" i="1" s="1"/>
  <c r="Q95" i="1"/>
  <c r="P95" i="1"/>
  <c r="V95" i="1"/>
  <c r="S95" i="1"/>
  <c r="T95" i="1"/>
  <c r="X95" i="1" l="1"/>
  <c r="AD95" i="1"/>
  <c r="AC95" i="1"/>
  <c r="W95" i="1"/>
  <c r="K359" i="1"/>
  <c r="AI95" i="1" l="1"/>
  <c r="AL95" i="1" s="1"/>
  <c r="AB95" i="1"/>
  <c r="K360" i="1"/>
  <c r="AG95" i="1"/>
  <c r="AK95" i="1" s="1"/>
  <c r="AA95" i="1"/>
  <c r="AO95" i="1" l="1"/>
  <c r="AM95" i="1"/>
  <c r="D96" i="1" s="1"/>
  <c r="K361" i="1"/>
  <c r="AP95" i="1"/>
  <c r="AN95" i="1"/>
  <c r="E96" i="1" s="1"/>
  <c r="P96" i="1" l="1"/>
  <c r="V96" i="1"/>
  <c r="S96" i="1"/>
  <c r="T96" i="1"/>
  <c r="K362" i="1"/>
  <c r="R96" i="1"/>
  <c r="AF96" i="1" s="1"/>
  <c r="AJ96" i="1" s="1"/>
  <c r="U96" i="1"/>
  <c r="O96" i="1"/>
  <c r="AE96" i="1" s="1"/>
  <c r="AH96" i="1" s="1"/>
  <c r="Q96" i="1"/>
  <c r="AD96" i="1" l="1"/>
  <c r="X96" i="1"/>
  <c r="K363" i="1"/>
  <c r="AC96" i="1"/>
  <c r="W96" i="1"/>
  <c r="AG96" i="1" l="1"/>
  <c r="AK96" i="1" s="1"/>
  <c r="AA96" i="1"/>
  <c r="K364" i="1"/>
  <c r="AI96" i="1"/>
  <c r="AL96" i="1" s="1"/>
  <c r="AB96" i="1"/>
  <c r="AP96" i="1" l="1"/>
  <c r="AN96" i="1"/>
  <c r="E97" i="1" s="1"/>
  <c r="K365" i="1"/>
  <c r="AO96" i="1"/>
  <c r="AM96" i="1"/>
  <c r="D97" i="1" s="1"/>
  <c r="R97" i="1" l="1"/>
  <c r="AF97" i="1" s="1"/>
  <c r="AJ97" i="1" s="1"/>
  <c r="U97" i="1"/>
  <c r="Q97" i="1"/>
  <c r="O97" i="1"/>
  <c r="AE97" i="1" s="1"/>
  <c r="AH97" i="1" s="1"/>
  <c r="K366" i="1"/>
  <c r="P97" i="1"/>
  <c r="V97" i="1"/>
  <c r="S97" i="1"/>
  <c r="T97" i="1"/>
  <c r="AD97" i="1" l="1"/>
  <c r="X97" i="1"/>
  <c r="AC97" i="1"/>
  <c r="W97" i="1"/>
  <c r="K367" i="1"/>
  <c r="K368" i="1" l="1"/>
  <c r="AG97" i="1"/>
  <c r="AK97" i="1" s="1"/>
  <c r="AA97" i="1"/>
  <c r="AI97" i="1"/>
  <c r="AL97" i="1" s="1"/>
  <c r="AB97" i="1"/>
  <c r="AP97" i="1" l="1"/>
  <c r="AN97" i="1"/>
  <c r="E98" i="1" s="1"/>
  <c r="AO97" i="1"/>
  <c r="AM97" i="1"/>
  <c r="D98" i="1" s="1"/>
  <c r="K369" i="1"/>
  <c r="U98" i="1" l="1"/>
  <c r="R98" i="1"/>
  <c r="AF98" i="1" s="1"/>
  <c r="AJ98" i="1" s="1"/>
  <c r="O98" i="1"/>
  <c r="AE98" i="1" s="1"/>
  <c r="AH98" i="1" s="1"/>
  <c r="Q98" i="1"/>
  <c r="K370" i="1"/>
  <c r="P98" i="1"/>
  <c r="V98" i="1"/>
  <c r="T98" i="1"/>
  <c r="S98" i="1"/>
  <c r="AC98" i="1" l="1"/>
  <c r="W98" i="1"/>
  <c r="K371" i="1"/>
  <c r="AD98" i="1"/>
  <c r="X98" i="1"/>
  <c r="AI98" i="1" l="1"/>
  <c r="AL98" i="1" s="1"/>
  <c r="AB98" i="1"/>
  <c r="K372" i="1"/>
  <c r="AG98" i="1"/>
  <c r="AK98" i="1" s="1"/>
  <c r="AA98" i="1"/>
  <c r="AO98" i="1" l="1"/>
  <c r="AM98" i="1"/>
  <c r="D99" i="1" s="1"/>
  <c r="K373" i="1"/>
  <c r="AP98" i="1"/>
  <c r="AN98" i="1"/>
  <c r="E99" i="1" s="1"/>
  <c r="V99" i="1" l="1"/>
  <c r="P99" i="1"/>
  <c r="T99" i="1"/>
  <c r="S99" i="1"/>
  <c r="U99" i="1"/>
  <c r="R99" i="1"/>
  <c r="AF99" i="1" s="1"/>
  <c r="AJ99" i="1" s="1"/>
  <c r="Q99" i="1"/>
  <c r="O99" i="1"/>
  <c r="AE99" i="1" s="1"/>
  <c r="AH99" i="1" s="1"/>
  <c r="K374" i="1"/>
  <c r="AD99" i="1" l="1"/>
  <c r="X99" i="1"/>
  <c r="AC99" i="1"/>
  <c r="W99" i="1"/>
  <c r="K375" i="1"/>
  <c r="K376" i="1" l="1"/>
  <c r="AG99" i="1"/>
  <c r="AK99" i="1" s="1"/>
  <c r="AA99" i="1"/>
  <c r="AI99" i="1"/>
  <c r="AL99" i="1" s="1"/>
  <c r="AB99" i="1"/>
  <c r="AO99" i="1" l="1"/>
  <c r="AM99" i="1"/>
  <c r="D100" i="1" s="1"/>
  <c r="AP99" i="1"/>
  <c r="AN99" i="1"/>
  <c r="E100" i="1" s="1"/>
  <c r="K377" i="1"/>
  <c r="K378" i="1" l="1"/>
  <c r="V100" i="1"/>
  <c r="P100" i="1"/>
  <c r="T100" i="1"/>
  <c r="S100" i="1"/>
  <c r="U100" i="1"/>
  <c r="R100" i="1"/>
  <c r="AF100" i="1" s="1"/>
  <c r="AJ100" i="1" s="1"/>
  <c r="O100" i="1"/>
  <c r="AE100" i="1" s="1"/>
  <c r="AH100" i="1" s="1"/>
  <c r="Q100" i="1"/>
  <c r="AD100" i="1" l="1"/>
  <c r="X100" i="1"/>
  <c r="W100" i="1"/>
  <c r="AC100" i="1"/>
  <c r="K379" i="1"/>
  <c r="K380" i="1" l="1"/>
  <c r="AG100" i="1"/>
  <c r="AK100" i="1" s="1"/>
  <c r="AA100" i="1"/>
  <c r="AI100" i="1"/>
  <c r="AL100" i="1" s="1"/>
  <c r="AB100" i="1"/>
  <c r="AO100" i="1" l="1"/>
  <c r="AM100" i="1"/>
  <c r="D101" i="1" s="1"/>
  <c r="AP100" i="1"/>
  <c r="AN100" i="1"/>
  <c r="E101" i="1" s="1"/>
  <c r="K381" i="1"/>
  <c r="K382" i="1" l="1"/>
  <c r="U101" i="1"/>
  <c r="R101" i="1"/>
  <c r="AF101" i="1" s="1"/>
  <c r="AJ101" i="1" s="1"/>
  <c r="O101" i="1"/>
  <c r="AE101" i="1" s="1"/>
  <c r="AH101" i="1" s="1"/>
  <c r="Q101" i="1"/>
  <c r="V101" i="1"/>
  <c r="P101" i="1"/>
  <c r="T101" i="1"/>
  <c r="S101" i="1"/>
  <c r="W101" i="1" l="1"/>
  <c r="AC101" i="1"/>
  <c r="K383" i="1"/>
  <c r="X101" i="1"/>
  <c r="AD101" i="1"/>
  <c r="AI101" i="1" l="1"/>
  <c r="AL101" i="1" s="1"/>
  <c r="AB101" i="1"/>
  <c r="K384" i="1"/>
  <c r="AG101" i="1"/>
  <c r="AK101" i="1" s="1"/>
  <c r="AA101" i="1"/>
  <c r="K385" i="1" l="1"/>
  <c r="AO101" i="1"/>
  <c r="AM101" i="1"/>
  <c r="D102" i="1" s="1"/>
  <c r="AP101" i="1"/>
  <c r="AN101" i="1"/>
  <c r="E102" i="1" s="1"/>
  <c r="U102" i="1" l="1"/>
  <c r="R102" i="1"/>
  <c r="AF102" i="1" s="1"/>
  <c r="AJ102" i="1" s="1"/>
  <c r="Q102" i="1"/>
  <c r="O102" i="1"/>
  <c r="AE102" i="1" s="1"/>
  <c r="AH102" i="1" s="1"/>
  <c r="V102" i="1"/>
  <c r="P102" i="1"/>
  <c r="S102" i="1"/>
  <c r="T102" i="1"/>
  <c r="K386" i="1"/>
  <c r="X102" i="1" l="1"/>
  <c r="AD102" i="1"/>
  <c r="W102" i="1"/>
  <c r="AC102" i="1"/>
  <c r="K387" i="1"/>
  <c r="AI102" i="1" l="1"/>
  <c r="AL102" i="1" s="1"/>
  <c r="AB102" i="1"/>
  <c r="K388" i="1"/>
  <c r="AG102" i="1"/>
  <c r="AK102" i="1" s="1"/>
  <c r="AA102" i="1"/>
  <c r="AO102" i="1" l="1"/>
  <c r="AM102" i="1"/>
  <c r="D103" i="1" s="1"/>
  <c r="K389" i="1"/>
  <c r="AP102" i="1"/>
  <c r="AN102" i="1"/>
  <c r="E103" i="1" s="1"/>
  <c r="V103" i="1" l="1"/>
  <c r="P103" i="1"/>
  <c r="T103" i="1"/>
  <c r="S103" i="1"/>
  <c r="K390" i="1"/>
  <c r="U103" i="1"/>
  <c r="R103" i="1"/>
  <c r="AF103" i="1" s="1"/>
  <c r="AJ103" i="1" s="1"/>
  <c r="Q103" i="1"/>
  <c r="O103" i="1"/>
  <c r="AE103" i="1" s="1"/>
  <c r="AH103" i="1" s="1"/>
  <c r="K391" i="1" l="1"/>
  <c r="W103" i="1"/>
  <c r="AC103" i="1"/>
  <c r="X103" i="1"/>
  <c r="AD103" i="1"/>
  <c r="AG103" i="1" l="1"/>
  <c r="AK103" i="1" s="1"/>
  <c r="AA103" i="1"/>
  <c r="AI103" i="1"/>
  <c r="AL103" i="1" s="1"/>
  <c r="AB103" i="1"/>
  <c r="K392" i="1"/>
  <c r="K393" i="1" l="1"/>
  <c r="AP103" i="1"/>
  <c r="AN103" i="1"/>
  <c r="E104" i="1" s="1"/>
  <c r="AO103" i="1"/>
  <c r="AM103" i="1"/>
  <c r="D104" i="1" s="1"/>
  <c r="U104" i="1" l="1"/>
  <c r="R104" i="1"/>
  <c r="AF104" i="1" s="1"/>
  <c r="AJ104" i="1" s="1"/>
  <c r="O104" i="1"/>
  <c r="AE104" i="1" s="1"/>
  <c r="AH104" i="1" s="1"/>
  <c r="Q104" i="1"/>
  <c r="V104" i="1"/>
  <c r="P104" i="1"/>
  <c r="S104" i="1"/>
  <c r="T104" i="1"/>
  <c r="K394" i="1"/>
  <c r="X104" i="1" l="1"/>
  <c r="AD104" i="1"/>
  <c r="K395" i="1"/>
  <c r="AC104" i="1"/>
  <c r="W104" i="1"/>
  <c r="AI104" i="1" l="1"/>
  <c r="AL104" i="1" s="1"/>
  <c r="AB104" i="1"/>
  <c r="AG104" i="1"/>
  <c r="AK104" i="1" s="1"/>
  <c r="AA104" i="1"/>
  <c r="K396" i="1"/>
  <c r="AO104" i="1" l="1"/>
  <c r="AM104" i="1"/>
  <c r="D105" i="1" s="1"/>
  <c r="K397" i="1"/>
  <c r="AP104" i="1"/>
  <c r="AN104" i="1"/>
  <c r="E105" i="1" s="1"/>
  <c r="K398" i="1" l="1"/>
  <c r="V105" i="1"/>
  <c r="P105" i="1"/>
  <c r="T105" i="1"/>
  <c r="S105" i="1"/>
  <c r="U105" i="1"/>
  <c r="R105" i="1"/>
  <c r="AF105" i="1" s="1"/>
  <c r="AJ105" i="1" s="1"/>
  <c r="O105" i="1"/>
  <c r="AE105" i="1" s="1"/>
  <c r="AH105" i="1" s="1"/>
  <c r="Q105" i="1"/>
  <c r="AC105" i="1" l="1"/>
  <c r="W105" i="1"/>
  <c r="AD105" i="1"/>
  <c r="X105" i="1"/>
  <c r="K399" i="1"/>
  <c r="K400" i="1" l="1"/>
  <c r="AI105" i="1"/>
  <c r="AL105" i="1" s="1"/>
  <c r="AB105" i="1"/>
  <c r="AG105" i="1"/>
  <c r="AK105" i="1" s="1"/>
  <c r="AA105" i="1"/>
  <c r="AO105" i="1" l="1"/>
  <c r="AM105" i="1"/>
  <c r="D106" i="1" s="1"/>
  <c r="AP105" i="1"/>
  <c r="AN105" i="1"/>
  <c r="E106" i="1" s="1"/>
  <c r="K401" i="1"/>
  <c r="K402" i="1" l="1"/>
  <c r="U106" i="1"/>
  <c r="R106" i="1"/>
  <c r="AF106" i="1" s="1"/>
  <c r="AJ106" i="1" s="1"/>
  <c r="O106" i="1"/>
  <c r="AE106" i="1" s="1"/>
  <c r="AH106" i="1" s="1"/>
  <c r="Q106" i="1"/>
  <c r="V106" i="1"/>
  <c r="P106" i="1"/>
  <c r="T106" i="1"/>
  <c r="S106" i="1"/>
  <c r="AC106" i="1" l="1"/>
  <c r="W106" i="1"/>
  <c r="AD106" i="1"/>
  <c r="X106" i="1"/>
  <c r="K403" i="1"/>
  <c r="K404" i="1" l="1"/>
  <c r="AI106" i="1"/>
  <c r="AL106" i="1" s="1"/>
  <c r="AB106" i="1"/>
  <c r="AG106" i="1"/>
  <c r="AK106" i="1" s="1"/>
  <c r="AA106" i="1"/>
  <c r="AO106" i="1" l="1"/>
  <c r="AM106" i="1"/>
  <c r="D107" i="1" s="1"/>
  <c r="AP106" i="1"/>
  <c r="AN106" i="1"/>
  <c r="E107" i="1" s="1"/>
  <c r="K405" i="1"/>
  <c r="K406" i="1" l="1"/>
  <c r="V107" i="1"/>
  <c r="P107" i="1"/>
  <c r="S107" i="1"/>
  <c r="T107" i="1"/>
  <c r="U107" i="1"/>
  <c r="R107" i="1"/>
  <c r="AF107" i="1" s="1"/>
  <c r="AJ107" i="1" s="1"/>
  <c r="O107" i="1"/>
  <c r="AE107" i="1" s="1"/>
  <c r="AH107" i="1" s="1"/>
  <c r="Q107" i="1"/>
  <c r="AD107" i="1" l="1"/>
  <c r="X107" i="1"/>
  <c r="AC107" i="1"/>
  <c r="W107" i="1"/>
  <c r="K407" i="1"/>
  <c r="K408" i="1" l="1"/>
  <c r="AG107" i="1"/>
  <c r="AK107" i="1" s="1"/>
  <c r="AA107" i="1"/>
  <c r="AI107" i="1"/>
  <c r="AL107" i="1" s="1"/>
  <c r="AB107" i="1"/>
  <c r="AP107" i="1" l="1"/>
  <c r="AN107" i="1"/>
  <c r="E108" i="1" s="1"/>
  <c r="K409" i="1"/>
  <c r="AO107" i="1"/>
  <c r="AM107" i="1"/>
  <c r="D108" i="1" s="1"/>
  <c r="R108" i="1" l="1"/>
  <c r="AF108" i="1" s="1"/>
  <c r="AJ108" i="1" s="1"/>
  <c r="U108" i="1"/>
  <c r="Q108" i="1"/>
  <c r="O108" i="1"/>
  <c r="AE108" i="1" s="1"/>
  <c r="AH108" i="1" s="1"/>
  <c r="V108" i="1"/>
  <c r="P108" i="1"/>
  <c r="T108" i="1"/>
  <c r="S108" i="1"/>
  <c r="K410" i="1"/>
  <c r="K411" i="1" l="1"/>
  <c r="AC108" i="1"/>
  <c r="W108" i="1"/>
  <c r="AD108" i="1"/>
  <c r="X108" i="1"/>
  <c r="AI108" i="1" l="1"/>
  <c r="AL108" i="1" s="1"/>
  <c r="AB108" i="1"/>
  <c r="AG108" i="1"/>
  <c r="AK108" i="1" s="1"/>
  <c r="AA108" i="1"/>
  <c r="K412" i="1"/>
  <c r="K413" i="1" l="1"/>
  <c r="AO108" i="1"/>
  <c r="AM108" i="1"/>
  <c r="D109" i="1" s="1"/>
  <c r="AP108" i="1"/>
  <c r="AN108" i="1"/>
  <c r="E109" i="1" s="1"/>
  <c r="U109" i="1" l="1"/>
  <c r="R109" i="1"/>
  <c r="AF109" i="1" s="1"/>
  <c r="AJ109" i="1" s="1"/>
  <c r="Q109" i="1"/>
  <c r="O109" i="1"/>
  <c r="AE109" i="1" s="1"/>
  <c r="AH109" i="1" s="1"/>
  <c r="P109" i="1"/>
  <c r="V109" i="1"/>
  <c r="T109" i="1"/>
  <c r="S109" i="1"/>
  <c r="K414" i="1"/>
  <c r="K415" i="1" l="1"/>
  <c r="AD109" i="1"/>
  <c r="X109" i="1"/>
  <c r="AC109" i="1"/>
  <c r="W109" i="1"/>
  <c r="AG109" i="1" l="1"/>
  <c r="AK109" i="1" s="1"/>
  <c r="AA109" i="1"/>
  <c r="AI109" i="1"/>
  <c r="AL109" i="1" s="1"/>
  <c r="AB109" i="1"/>
  <c r="K416" i="1"/>
  <c r="AP109" i="1" l="1"/>
  <c r="AN109" i="1"/>
  <c r="E110" i="1" s="1"/>
  <c r="K417" i="1"/>
  <c r="AO109" i="1"/>
  <c r="AM109" i="1"/>
  <c r="D110" i="1" s="1"/>
  <c r="U110" i="1" l="1"/>
  <c r="R110" i="1"/>
  <c r="AF110" i="1" s="1"/>
  <c r="AJ110" i="1" s="1"/>
  <c r="O110" i="1"/>
  <c r="AE110" i="1" s="1"/>
  <c r="AH110" i="1" s="1"/>
  <c r="Q110" i="1"/>
  <c r="K418" i="1"/>
  <c r="V110" i="1"/>
  <c r="P110" i="1"/>
  <c r="T110" i="1"/>
  <c r="S110" i="1"/>
  <c r="AC110" i="1" l="1"/>
  <c r="W110" i="1"/>
  <c r="K419" i="1"/>
  <c r="AD110" i="1"/>
  <c r="X110" i="1"/>
  <c r="AI110" i="1" l="1"/>
  <c r="AL110" i="1" s="1"/>
  <c r="AB110" i="1"/>
  <c r="K420" i="1"/>
  <c r="AG110" i="1"/>
  <c r="AK110" i="1" s="1"/>
  <c r="AA110" i="1"/>
  <c r="AO110" i="1" l="1"/>
  <c r="AM110" i="1"/>
  <c r="D111" i="1" s="1"/>
  <c r="K421" i="1"/>
  <c r="AP110" i="1"/>
  <c r="AN110" i="1"/>
  <c r="E111" i="1" s="1"/>
  <c r="V111" i="1" l="1"/>
  <c r="P111" i="1"/>
  <c r="S111" i="1"/>
  <c r="T111" i="1"/>
  <c r="U111" i="1"/>
  <c r="R111" i="1"/>
  <c r="AF111" i="1" s="1"/>
  <c r="AJ111" i="1" s="1"/>
  <c r="Q111" i="1"/>
  <c r="O111" i="1"/>
  <c r="AE111" i="1" s="1"/>
  <c r="AH111" i="1" s="1"/>
  <c r="K422" i="1"/>
  <c r="AD111" i="1" l="1"/>
  <c r="X111" i="1"/>
  <c r="K423" i="1"/>
  <c r="AC111" i="1"/>
  <c r="W111" i="1"/>
  <c r="K424" i="1" l="1"/>
  <c r="AG111" i="1"/>
  <c r="AK111" i="1" s="1"/>
  <c r="AA111" i="1"/>
  <c r="AI111" i="1"/>
  <c r="AL111" i="1" s="1"/>
  <c r="AB111" i="1"/>
  <c r="AP111" i="1" l="1"/>
  <c r="AN111" i="1"/>
  <c r="E112" i="1" s="1"/>
  <c r="AO111" i="1"/>
  <c r="AM111" i="1"/>
  <c r="D112" i="1" s="1"/>
  <c r="K425" i="1"/>
  <c r="K426" i="1" l="1"/>
  <c r="U112" i="1"/>
  <c r="R112" i="1"/>
  <c r="AF112" i="1" s="1"/>
  <c r="AJ112" i="1" s="1"/>
  <c r="O112" i="1"/>
  <c r="AE112" i="1" s="1"/>
  <c r="AH112" i="1" s="1"/>
  <c r="Q112" i="1"/>
  <c r="V112" i="1"/>
  <c r="P112" i="1"/>
  <c r="T112" i="1"/>
  <c r="S112" i="1"/>
  <c r="K427" i="1" l="1"/>
  <c r="AC112" i="1"/>
  <c r="W112" i="1"/>
  <c r="AD112" i="1"/>
  <c r="X112" i="1"/>
  <c r="AG112" i="1" l="1"/>
  <c r="AK112" i="1" s="1"/>
  <c r="AA112" i="1"/>
  <c r="AI112" i="1"/>
  <c r="AL112" i="1" s="1"/>
  <c r="AB112" i="1"/>
  <c r="K428" i="1"/>
  <c r="AP112" i="1" l="1"/>
  <c r="AN112" i="1"/>
  <c r="E113" i="1" s="1"/>
  <c r="K429" i="1"/>
  <c r="AO112" i="1"/>
  <c r="AM112" i="1"/>
  <c r="D113" i="1" s="1"/>
  <c r="R113" i="1" l="1"/>
  <c r="AF113" i="1" s="1"/>
  <c r="AJ113" i="1" s="1"/>
  <c r="U113" i="1"/>
  <c r="O113" i="1"/>
  <c r="AE113" i="1" s="1"/>
  <c r="AH113" i="1" s="1"/>
  <c r="Q113" i="1"/>
  <c r="P113" i="1"/>
  <c r="V113" i="1"/>
  <c r="S113" i="1"/>
  <c r="T113" i="1"/>
  <c r="K430" i="1"/>
  <c r="X113" i="1" l="1"/>
  <c r="AD113" i="1"/>
  <c r="K431" i="1"/>
  <c r="AC113" i="1"/>
  <c r="W113" i="1"/>
  <c r="AI113" i="1" l="1"/>
  <c r="AL113" i="1" s="1"/>
  <c r="AB113" i="1"/>
  <c r="AG113" i="1"/>
  <c r="AK113" i="1" s="1"/>
  <c r="AA113" i="1"/>
  <c r="K432" i="1"/>
  <c r="AO113" i="1" l="1"/>
  <c r="AM113" i="1"/>
  <c r="D114" i="1" s="1"/>
  <c r="K433" i="1"/>
  <c r="AP113" i="1"/>
  <c r="AN113" i="1"/>
  <c r="E114" i="1" s="1"/>
  <c r="U114" i="1" l="1"/>
  <c r="R114" i="1"/>
  <c r="AF114" i="1" s="1"/>
  <c r="AJ114" i="1" s="1"/>
  <c r="O114" i="1"/>
  <c r="AE114" i="1" s="1"/>
  <c r="AH114" i="1" s="1"/>
  <c r="Q114" i="1"/>
  <c r="P114" i="1"/>
  <c r="V114" i="1"/>
  <c r="S114" i="1"/>
  <c r="T114" i="1"/>
  <c r="K434" i="1"/>
  <c r="AD114" i="1" l="1"/>
  <c r="X114" i="1"/>
  <c r="AC114" i="1"/>
  <c r="W114" i="1"/>
  <c r="K435" i="1"/>
  <c r="K436" i="1" l="1"/>
  <c r="AG114" i="1"/>
  <c r="AK114" i="1" s="1"/>
  <c r="AA114" i="1"/>
  <c r="AI114" i="1"/>
  <c r="AL114" i="1" s="1"/>
  <c r="AB114" i="1"/>
  <c r="AP114" i="1" l="1"/>
  <c r="AN114" i="1"/>
  <c r="E115" i="1" s="1"/>
  <c r="AO114" i="1"/>
  <c r="AM114" i="1"/>
  <c r="D115" i="1" s="1"/>
  <c r="K437" i="1"/>
  <c r="V115" i="1" l="1"/>
  <c r="P115" i="1"/>
  <c r="T115" i="1"/>
  <c r="S115" i="1"/>
  <c r="K438" i="1"/>
  <c r="U115" i="1"/>
  <c r="R115" i="1"/>
  <c r="AF115" i="1" s="1"/>
  <c r="AJ115" i="1" s="1"/>
  <c r="Q115" i="1"/>
  <c r="O115" i="1"/>
  <c r="AE115" i="1" s="1"/>
  <c r="AH115" i="1" s="1"/>
  <c r="K439" i="1" l="1"/>
  <c r="X115" i="1"/>
  <c r="AD115" i="1"/>
  <c r="W115" i="1"/>
  <c r="AC115" i="1"/>
  <c r="AI115" i="1" l="1"/>
  <c r="AL115" i="1" s="1"/>
  <c r="AB115" i="1"/>
  <c r="AG115" i="1"/>
  <c r="AK115" i="1" s="1"/>
  <c r="AA115" i="1"/>
  <c r="K440" i="1"/>
  <c r="K441" i="1" l="1"/>
  <c r="AO115" i="1"/>
  <c r="AM115" i="1"/>
  <c r="D116" i="1" s="1"/>
  <c r="AP115" i="1"/>
  <c r="AN115" i="1"/>
  <c r="E116" i="1" s="1"/>
  <c r="U116" i="1" l="1"/>
  <c r="R116" i="1"/>
  <c r="AF116" i="1" s="1"/>
  <c r="AJ116" i="1" s="1"/>
  <c r="O116" i="1"/>
  <c r="AE116" i="1" s="1"/>
  <c r="AH116" i="1" s="1"/>
  <c r="Q116" i="1"/>
  <c r="V116" i="1"/>
  <c r="P116" i="1"/>
  <c r="S116" i="1"/>
  <c r="T116" i="1"/>
  <c r="K442" i="1"/>
  <c r="K443" i="1" l="1"/>
  <c r="AC116" i="1"/>
  <c r="W116" i="1"/>
  <c r="AD116" i="1"/>
  <c r="X116" i="1"/>
  <c r="AG116" i="1" l="1"/>
  <c r="AK116" i="1" s="1"/>
  <c r="AA116" i="1"/>
  <c r="AI116" i="1"/>
  <c r="AL116" i="1" s="1"/>
  <c r="AB116" i="1"/>
  <c r="K444" i="1"/>
  <c r="AP116" i="1" l="1"/>
  <c r="AN116" i="1"/>
  <c r="E117" i="1" s="1"/>
  <c r="K445" i="1"/>
  <c r="AO116" i="1"/>
  <c r="AM116" i="1"/>
  <c r="D117" i="1" s="1"/>
  <c r="U117" i="1" l="1"/>
  <c r="R117" i="1"/>
  <c r="AF117" i="1" s="1"/>
  <c r="AJ117" i="1" s="1"/>
  <c r="Q117" i="1"/>
  <c r="O117" i="1"/>
  <c r="AE117" i="1" s="1"/>
  <c r="AH117" i="1" s="1"/>
  <c r="P117" i="1"/>
  <c r="V117" i="1"/>
  <c r="S117" i="1"/>
  <c r="T117" i="1"/>
  <c r="K446" i="1"/>
  <c r="AD117" i="1" l="1"/>
  <c r="X117" i="1"/>
  <c r="K447" i="1"/>
  <c r="AC117" i="1"/>
  <c r="W117" i="1"/>
  <c r="K448" i="1" l="1"/>
  <c r="AG117" i="1"/>
  <c r="AK117" i="1" s="1"/>
  <c r="AA117" i="1"/>
  <c r="AI117" i="1"/>
  <c r="AL117" i="1" s="1"/>
  <c r="AB117" i="1"/>
  <c r="AP117" i="1" l="1"/>
  <c r="AN117" i="1"/>
  <c r="E118" i="1" s="1"/>
  <c r="AO117" i="1"/>
  <c r="AM117" i="1"/>
  <c r="D118" i="1" s="1"/>
  <c r="K449" i="1"/>
  <c r="K450" i="1" l="1"/>
  <c r="U118" i="1"/>
  <c r="R118" i="1"/>
  <c r="AF118" i="1" s="1"/>
  <c r="AJ118" i="1" s="1"/>
  <c r="O118" i="1"/>
  <c r="AE118" i="1" s="1"/>
  <c r="AH118" i="1" s="1"/>
  <c r="Q118" i="1"/>
  <c r="V118" i="1"/>
  <c r="P118" i="1"/>
  <c r="S118" i="1"/>
  <c r="T118" i="1"/>
  <c r="W118" i="1" l="1"/>
  <c r="AC118" i="1"/>
  <c r="K451" i="1"/>
  <c r="AD118" i="1"/>
  <c r="X118" i="1"/>
  <c r="AI118" i="1" l="1"/>
  <c r="AL118" i="1" s="1"/>
  <c r="AB118" i="1"/>
  <c r="AG118" i="1"/>
  <c r="AK118" i="1" s="1"/>
  <c r="AA118" i="1"/>
  <c r="K452" i="1"/>
  <c r="AO118" i="1" l="1"/>
  <c r="AM118" i="1"/>
  <c r="D119" i="1" s="1"/>
  <c r="K453" i="1"/>
  <c r="AP118" i="1"/>
  <c r="AN118" i="1"/>
  <c r="E119" i="1" s="1"/>
  <c r="K454" i="1" l="1"/>
  <c r="P119" i="1"/>
  <c r="V119" i="1"/>
  <c r="S119" i="1"/>
  <c r="T119" i="1"/>
  <c r="U119" i="1"/>
  <c r="R119" i="1"/>
  <c r="AF119" i="1" s="1"/>
  <c r="AJ119" i="1" s="1"/>
  <c r="O119" i="1"/>
  <c r="AE119" i="1" s="1"/>
  <c r="AH119" i="1" s="1"/>
  <c r="Q119" i="1"/>
  <c r="AD119" i="1" l="1"/>
  <c r="X119" i="1"/>
  <c r="AC119" i="1"/>
  <c r="W119" i="1"/>
  <c r="K455" i="1"/>
  <c r="K456" i="1" l="1"/>
  <c r="AG119" i="1"/>
  <c r="AK119" i="1" s="1"/>
  <c r="AA119" i="1"/>
  <c r="AI119" i="1"/>
  <c r="AL119" i="1" s="1"/>
  <c r="AB119" i="1"/>
  <c r="AP119" i="1" l="1"/>
  <c r="AN119" i="1"/>
  <c r="E120" i="1" s="1"/>
  <c r="AO119" i="1"/>
  <c r="AM119" i="1"/>
  <c r="D120" i="1" s="1"/>
  <c r="K457" i="1"/>
  <c r="K458" i="1" l="1"/>
  <c r="P120" i="1"/>
  <c r="V120" i="1"/>
  <c r="S120" i="1"/>
  <c r="T120" i="1"/>
  <c r="U120" i="1"/>
  <c r="R120" i="1"/>
  <c r="AF120" i="1" s="1"/>
  <c r="AJ120" i="1" s="1"/>
  <c r="Q120" i="1"/>
  <c r="O120" i="1"/>
  <c r="AE120" i="1" s="1"/>
  <c r="AH120" i="1" s="1"/>
  <c r="AD120" i="1" l="1"/>
  <c r="X120" i="1"/>
  <c r="AC120" i="1"/>
  <c r="W120" i="1"/>
  <c r="K459" i="1"/>
  <c r="K460" i="1" l="1"/>
  <c r="AG120" i="1"/>
  <c r="AK120" i="1" s="1"/>
  <c r="AA120" i="1"/>
  <c r="AI120" i="1"/>
  <c r="AL120" i="1" s="1"/>
  <c r="AB120" i="1"/>
  <c r="AP120" i="1" l="1"/>
  <c r="AN120" i="1"/>
  <c r="E121" i="1" s="1"/>
  <c r="AO120" i="1"/>
  <c r="AM120" i="1"/>
  <c r="D121" i="1" s="1"/>
  <c r="K461" i="1"/>
  <c r="K462" i="1" l="1"/>
  <c r="U121" i="1"/>
  <c r="R121" i="1"/>
  <c r="AF121" i="1" s="1"/>
  <c r="AJ121" i="1" s="1"/>
  <c r="Q121" i="1"/>
  <c r="O121" i="1"/>
  <c r="AE121" i="1" s="1"/>
  <c r="AH121" i="1" s="1"/>
  <c r="V121" i="1"/>
  <c r="P121" i="1"/>
  <c r="T121" i="1"/>
  <c r="S121" i="1"/>
  <c r="AC121" i="1" l="1"/>
  <c r="W121" i="1"/>
  <c r="K463" i="1"/>
  <c r="AD121" i="1"/>
  <c r="X121" i="1"/>
  <c r="AI121" i="1" l="1"/>
  <c r="AL121" i="1" s="1"/>
  <c r="AB121" i="1"/>
  <c r="K464" i="1"/>
  <c r="AG121" i="1"/>
  <c r="AK121" i="1" s="1"/>
  <c r="AA121" i="1"/>
  <c r="AO121" i="1" l="1"/>
  <c r="AM121" i="1"/>
  <c r="D122" i="1" s="1"/>
  <c r="K465" i="1"/>
  <c r="AP121" i="1"/>
  <c r="AN121" i="1"/>
  <c r="E122" i="1" s="1"/>
  <c r="P122" i="1" l="1"/>
  <c r="V122" i="1"/>
  <c r="T122" i="1"/>
  <c r="S122" i="1"/>
  <c r="R122" i="1"/>
  <c r="AF122" i="1" s="1"/>
  <c r="AJ122" i="1" s="1"/>
  <c r="U122" i="1"/>
  <c r="Q122" i="1"/>
  <c r="O122" i="1"/>
  <c r="AE122" i="1" s="1"/>
  <c r="AH122" i="1" s="1"/>
  <c r="K466" i="1"/>
  <c r="K467" i="1" l="1"/>
  <c r="AD122" i="1"/>
  <c r="X122" i="1"/>
  <c r="AC122" i="1"/>
  <c r="W122" i="1"/>
  <c r="AG122" i="1" l="1"/>
  <c r="AK122" i="1" s="1"/>
  <c r="AA122" i="1"/>
  <c r="AI122" i="1"/>
  <c r="AL122" i="1" s="1"/>
  <c r="AB122" i="1"/>
  <c r="K468" i="1"/>
  <c r="AP122" i="1" l="1"/>
  <c r="I17" i="1" s="1"/>
  <c r="AN122" i="1"/>
  <c r="I14" i="1" s="1"/>
  <c r="K469" i="1"/>
  <c r="AO122" i="1"/>
  <c r="I16" i="1" s="1"/>
  <c r="AM122" i="1"/>
  <c r="I13" i="1" s="1"/>
  <c r="L1539" i="1" l="1"/>
  <c r="W144" i="1"/>
  <c r="L150" i="1"/>
  <c r="T32" i="1"/>
  <c r="T33" i="1"/>
  <c r="L1607" i="1"/>
  <c r="L1563" i="1"/>
  <c r="W1533" i="1"/>
  <c r="T35" i="1"/>
  <c r="K470" i="1"/>
  <c r="N1563" i="1" l="1"/>
  <c r="T1563" i="1"/>
  <c r="P1563" i="1"/>
  <c r="Q1563" i="1" s="1"/>
  <c r="M1563" i="1"/>
  <c r="R1563" i="1"/>
  <c r="O1563" i="1"/>
  <c r="S1563" i="1"/>
  <c r="P1607" i="1"/>
  <c r="Q1607" i="1" s="1"/>
  <c r="N1607" i="1"/>
  <c r="T1607" i="1"/>
  <c r="M1607" i="1"/>
  <c r="S1607" i="1"/>
  <c r="R1607" i="1"/>
  <c r="O1607" i="1"/>
  <c r="K471" i="1"/>
  <c r="Y144" i="1"/>
  <c r="AE144" i="1"/>
  <c r="AA144" i="1"/>
  <c r="AB144" i="1" s="1"/>
  <c r="X144" i="1"/>
  <c r="Z144" i="1"/>
  <c r="AC144" i="1"/>
  <c r="AD144" i="1"/>
  <c r="AA1533" i="1"/>
  <c r="Y1533" i="1"/>
  <c r="X1533" i="1"/>
  <c r="T150" i="1"/>
  <c r="P150" i="1"/>
  <c r="Q150" i="1" s="1"/>
  <c r="M150" i="1"/>
  <c r="N150" i="1"/>
  <c r="R150" i="1"/>
  <c r="O150" i="1"/>
  <c r="S150" i="1"/>
  <c r="P1539" i="1"/>
  <c r="Q1539" i="1" s="1"/>
  <c r="N1539" i="1"/>
  <c r="M1539" i="1"/>
  <c r="T1539" i="1"/>
  <c r="O1539" i="1"/>
  <c r="R1539" i="1"/>
  <c r="S1539" i="1"/>
  <c r="K472" i="1" l="1"/>
  <c r="K473" i="1" l="1"/>
  <c r="K474" i="1" l="1"/>
  <c r="K475" i="1" l="1"/>
  <c r="K476" i="1" l="1"/>
  <c r="K477" i="1" l="1"/>
  <c r="K478" i="1" l="1"/>
  <c r="K479" i="1" l="1"/>
  <c r="K480" i="1" l="1"/>
  <c r="K481" i="1" l="1"/>
  <c r="K482" i="1" l="1"/>
  <c r="K483" i="1" l="1"/>
  <c r="K484" i="1" l="1"/>
  <c r="K485" i="1" l="1"/>
  <c r="K486" i="1" l="1"/>
  <c r="K487" i="1" l="1"/>
  <c r="K488" i="1" l="1"/>
  <c r="K489" i="1" l="1"/>
  <c r="K490" i="1" l="1"/>
  <c r="K491" i="1" l="1"/>
  <c r="K492" i="1" l="1"/>
  <c r="K493" i="1" l="1"/>
  <c r="K494" i="1" l="1"/>
  <c r="K495" i="1" l="1"/>
  <c r="K496" i="1" l="1"/>
  <c r="K497" i="1" l="1"/>
  <c r="K498" i="1" l="1"/>
  <c r="K499" i="1" l="1"/>
  <c r="K500" i="1" l="1"/>
  <c r="K501" i="1" l="1"/>
  <c r="K502" i="1" l="1"/>
  <c r="K503" i="1" l="1"/>
  <c r="K504" i="1" l="1"/>
  <c r="K505" i="1" l="1"/>
  <c r="K506" i="1" l="1"/>
  <c r="K507" i="1" l="1"/>
  <c r="K508" i="1" l="1"/>
  <c r="K509" i="1" l="1"/>
  <c r="K510" i="1" l="1"/>
  <c r="K511" i="1" l="1"/>
  <c r="K512" i="1" l="1"/>
  <c r="K513" i="1" l="1"/>
  <c r="K514" i="1" l="1"/>
  <c r="K515" i="1" l="1"/>
  <c r="K516" i="1" l="1"/>
  <c r="K517" i="1" l="1"/>
  <c r="K518" i="1" l="1"/>
  <c r="K519" i="1" l="1"/>
  <c r="K520" i="1" l="1"/>
  <c r="K521" i="1" l="1"/>
  <c r="K522" i="1" l="1"/>
  <c r="K523" i="1" l="1"/>
  <c r="K524" i="1" l="1"/>
  <c r="K525" i="1" l="1"/>
  <c r="K526" i="1" l="1"/>
  <c r="K527" i="1" l="1"/>
  <c r="K528" i="1" l="1"/>
  <c r="K529" i="1" l="1"/>
  <c r="K530" i="1" l="1"/>
  <c r="K531" i="1" l="1"/>
  <c r="K532" i="1" l="1"/>
  <c r="K533" i="1" l="1"/>
  <c r="K534" i="1" l="1"/>
  <c r="K535" i="1" l="1"/>
  <c r="K536" i="1" l="1"/>
  <c r="K537" i="1" l="1"/>
  <c r="K538" i="1" l="1"/>
  <c r="K539" i="1" l="1"/>
  <c r="K540" i="1" l="1"/>
  <c r="K541" i="1" l="1"/>
  <c r="K542" i="1" l="1"/>
  <c r="K543" i="1" l="1"/>
  <c r="K544" i="1" l="1"/>
  <c r="K545" i="1" l="1"/>
  <c r="K546" i="1" l="1"/>
  <c r="K547" i="1" l="1"/>
  <c r="K548" i="1" l="1"/>
  <c r="K549" i="1" l="1"/>
  <c r="K550" i="1" l="1"/>
  <c r="K551" i="1" l="1"/>
  <c r="K552" i="1" l="1"/>
  <c r="K553" i="1" l="1"/>
  <c r="K554" i="1" l="1"/>
  <c r="K555" i="1" l="1"/>
  <c r="K556" i="1" l="1"/>
  <c r="K557" i="1" l="1"/>
  <c r="K558" i="1" l="1"/>
  <c r="K559" i="1" l="1"/>
  <c r="K560" i="1" l="1"/>
  <c r="K561" i="1" l="1"/>
  <c r="K562" i="1" l="1"/>
  <c r="K563" i="1" l="1"/>
  <c r="K564" i="1" l="1"/>
  <c r="K565" i="1" l="1"/>
  <c r="K566" i="1" l="1"/>
  <c r="K567" i="1" l="1"/>
  <c r="K568" i="1" l="1"/>
  <c r="K569" i="1" l="1"/>
  <c r="K570" i="1" l="1"/>
  <c r="K571" i="1" l="1"/>
  <c r="K572" i="1" l="1"/>
  <c r="K573" i="1" l="1"/>
  <c r="K574" i="1" l="1"/>
  <c r="K575" i="1" l="1"/>
  <c r="K576" i="1" l="1"/>
  <c r="K577" i="1" l="1"/>
  <c r="K578" i="1" l="1"/>
  <c r="K579" i="1" l="1"/>
  <c r="K580" i="1" l="1"/>
  <c r="K581" i="1" l="1"/>
  <c r="K582" i="1" l="1"/>
  <c r="K583" i="1" l="1"/>
  <c r="K584" i="1" l="1"/>
  <c r="K585" i="1" l="1"/>
  <c r="K586" i="1" l="1"/>
  <c r="K587" i="1" l="1"/>
  <c r="K588" i="1" l="1"/>
  <c r="K589" i="1" l="1"/>
  <c r="K590" i="1" l="1"/>
  <c r="K591" i="1" l="1"/>
  <c r="K592" i="1" l="1"/>
  <c r="K593" i="1" l="1"/>
  <c r="K594" i="1" l="1"/>
  <c r="K595" i="1" l="1"/>
  <c r="K596" i="1" l="1"/>
  <c r="K597" i="1" l="1"/>
  <c r="K598" i="1" l="1"/>
  <c r="K599" i="1" l="1"/>
  <c r="K600" i="1" l="1"/>
  <c r="K601" i="1" l="1"/>
  <c r="K602" i="1" l="1"/>
  <c r="K603" i="1" l="1"/>
  <c r="K604" i="1" l="1"/>
  <c r="K605" i="1" l="1"/>
  <c r="K606" i="1" l="1"/>
  <c r="K607" i="1" l="1"/>
  <c r="K608" i="1" l="1"/>
  <c r="K609" i="1" l="1"/>
  <c r="K610" i="1" l="1"/>
  <c r="K611" i="1" l="1"/>
  <c r="K612" i="1" l="1"/>
  <c r="K613" i="1" l="1"/>
  <c r="K614" i="1" l="1"/>
  <c r="K615" i="1" l="1"/>
  <c r="K616" i="1" l="1"/>
  <c r="K617" i="1" l="1"/>
  <c r="K618" i="1" l="1"/>
  <c r="K619" i="1" l="1"/>
  <c r="K620" i="1" l="1"/>
  <c r="K621" i="1" l="1"/>
  <c r="K622" i="1" l="1"/>
  <c r="K623" i="1" l="1"/>
  <c r="K624" i="1" l="1"/>
  <c r="K625" i="1" l="1"/>
  <c r="K626" i="1" l="1"/>
  <c r="K627" i="1" l="1"/>
  <c r="K628" i="1" l="1"/>
  <c r="K629" i="1" l="1"/>
  <c r="K630" i="1" l="1"/>
  <c r="K631" i="1" l="1"/>
  <c r="K632" i="1" l="1"/>
  <c r="K633" i="1" l="1"/>
  <c r="K634" i="1" l="1"/>
  <c r="K635" i="1" l="1"/>
  <c r="K636" i="1" l="1"/>
  <c r="K637" i="1" l="1"/>
  <c r="K638" i="1" l="1"/>
  <c r="K639" i="1" l="1"/>
  <c r="K640" i="1" l="1"/>
  <c r="K641" i="1" l="1"/>
  <c r="K642" i="1" l="1"/>
  <c r="K643" i="1" l="1"/>
  <c r="K644" i="1" l="1"/>
  <c r="K645" i="1" l="1"/>
  <c r="K646" i="1" l="1"/>
  <c r="K647" i="1" l="1"/>
  <c r="K648" i="1" l="1"/>
  <c r="K649" i="1" l="1"/>
  <c r="K650" i="1" l="1"/>
  <c r="K651" i="1" l="1"/>
  <c r="K652" i="1" l="1"/>
  <c r="K653" i="1" l="1"/>
  <c r="K654" i="1" l="1"/>
  <c r="K655" i="1" l="1"/>
  <c r="K656" i="1" l="1"/>
  <c r="K657" i="1" l="1"/>
  <c r="K658" i="1" l="1"/>
  <c r="K659" i="1" l="1"/>
  <c r="K660" i="1" l="1"/>
  <c r="K661" i="1" l="1"/>
  <c r="K662" i="1" l="1"/>
  <c r="K663" i="1" l="1"/>
  <c r="K664" i="1" l="1"/>
  <c r="K665" i="1" l="1"/>
  <c r="K666" i="1" l="1"/>
  <c r="K667" i="1" l="1"/>
  <c r="K668" i="1" l="1"/>
  <c r="K669" i="1" l="1"/>
  <c r="K670" i="1" l="1"/>
  <c r="K671" i="1" l="1"/>
  <c r="K672" i="1" l="1"/>
  <c r="K673" i="1" l="1"/>
  <c r="K674" i="1" l="1"/>
  <c r="K675" i="1" l="1"/>
  <c r="K676" i="1" l="1"/>
  <c r="K677" i="1" l="1"/>
  <c r="K678" i="1" l="1"/>
  <c r="K679" i="1" l="1"/>
  <c r="K680" i="1" l="1"/>
  <c r="K681" i="1" l="1"/>
  <c r="K682" i="1" l="1"/>
  <c r="K683" i="1" l="1"/>
  <c r="K684" i="1" l="1"/>
  <c r="K685" i="1" l="1"/>
  <c r="K686" i="1" l="1"/>
  <c r="K687" i="1" l="1"/>
  <c r="K688" i="1" l="1"/>
  <c r="K689" i="1" l="1"/>
  <c r="K690" i="1" l="1"/>
  <c r="K691" i="1" l="1"/>
  <c r="K692" i="1" l="1"/>
  <c r="K693" i="1" l="1"/>
  <c r="K694" i="1" l="1"/>
  <c r="K695" i="1" l="1"/>
  <c r="K696" i="1" l="1"/>
  <c r="K697" i="1" l="1"/>
  <c r="K698" i="1" l="1"/>
  <c r="K699" i="1" l="1"/>
  <c r="K700" i="1" l="1"/>
  <c r="K701" i="1" l="1"/>
  <c r="K702" i="1" l="1"/>
  <c r="K703" i="1" l="1"/>
  <c r="K704" i="1" l="1"/>
  <c r="K705" i="1" l="1"/>
  <c r="K706" i="1" l="1"/>
  <c r="K707" i="1" l="1"/>
  <c r="K708" i="1" l="1"/>
  <c r="K709" i="1" l="1"/>
  <c r="K710" i="1" l="1"/>
  <c r="K711" i="1" l="1"/>
  <c r="K712" i="1" l="1"/>
  <c r="K713" i="1" l="1"/>
  <c r="K714" i="1" l="1"/>
  <c r="K715" i="1" l="1"/>
  <c r="K716" i="1" l="1"/>
  <c r="K717" i="1" l="1"/>
  <c r="K718" i="1" l="1"/>
  <c r="K719" i="1" l="1"/>
  <c r="K720" i="1" l="1"/>
  <c r="K721" i="1" l="1"/>
  <c r="K722" i="1" l="1"/>
  <c r="K723" i="1" l="1"/>
  <c r="K724" i="1" l="1"/>
  <c r="K725" i="1" l="1"/>
  <c r="K726" i="1" l="1"/>
  <c r="K727" i="1" l="1"/>
  <c r="K728" i="1" l="1"/>
  <c r="K729" i="1" l="1"/>
  <c r="K730" i="1" l="1"/>
  <c r="K731" i="1" l="1"/>
  <c r="K732" i="1" l="1"/>
  <c r="K733" i="1" l="1"/>
  <c r="K734" i="1" l="1"/>
  <c r="K735" i="1" l="1"/>
  <c r="K736" i="1" l="1"/>
  <c r="K737" i="1" l="1"/>
  <c r="K738" i="1" l="1"/>
  <c r="K739" i="1" l="1"/>
  <c r="K740" i="1" l="1"/>
  <c r="K741" i="1" l="1"/>
  <c r="K742" i="1" l="1"/>
  <c r="K743" i="1" l="1"/>
  <c r="K744" i="1" l="1"/>
  <c r="K745" i="1" l="1"/>
  <c r="K746" i="1" l="1"/>
  <c r="K747" i="1" l="1"/>
  <c r="K748" i="1" l="1"/>
  <c r="K749" i="1" l="1"/>
  <c r="K750" i="1" l="1"/>
  <c r="K751" i="1" l="1"/>
  <c r="K752" i="1" l="1"/>
  <c r="K753" i="1" l="1"/>
  <c r="K754" i="1" l="1"/>
  <c r="K755" i="1" l="1"/>
  <c r="K756" i="1" l="1"/>
  <c r="K757" i="1" l="1"/>
  <c r="K758" i="1" l="1"/>
  <c r="K759" i="1" l="1"/>
  <c r="K760" i="1" l="1"/>
  <c r="K761" i="1" l="1"/>
  <c r="K762" i="1" l="1"/>
  <c r="K763" i="1" l="1"/>
  <c r="K764" i="1" l="1"/>
  <c r="K765" i="1" l="1"/>
  <c r="K766" i="1" l="1"/>
  <c r="K767" i="1" l="1"/>
  <c r="K768" i="1" l="1"/>
  <c r="K769" i="1" l="1"/>
  <c r="K770" i="1" l="1"/>
  <c r="K771" i="1" l="1"/>
  <c r="K772" i="1" l="1"/>
  <c r="K773" i="1" l="1"/>
  <c r="K774" i="1" l="1"/>
  <c r="K775" i="1" l="1"/>
  <c r="K776" i="1" l="1"/>
  <c r="K777" i="1" l="1"/>
  <c r="K778" i="1" l="1"/>
  <c r="K779" i="1" l="1"/>
  <c r="K780" i="1" l="1"/>
  <c r="K781" i="1" l="1"/>
  <c r="K782" i="1" l="1"/>
  <c r="K783" i="1" l="1"/>
  <c r="K784" i="1" l="1"/>
  <c r="K785" i="1" l="1"/>
  <c r="K786" i="1" l="1"/>
  <c r="K787" i="1" l="1"/>
  <c r="K788" i="1" l="1"/>
  <c r="K789" i="1" l="1"/>
  <c r="K790" i="1" l="1"/>
  <c r="K791" i="1" l="1"/>
  <c r="K792" i="1" l="1"/>
  <c r="K793" i="1" l="1"/>
  <c r="K794" i="1" l="1"/>
  <c r="K795" i="1" l="1"/>
  <c r="K796" i="1" l="1"/>
  <c r="K797" i="1" l="1"/>
  <c r="K798" i="1" l="1"/>
  <c r="K799" i="1" l="1"/>
  <c r="K800" i="1" l="1"/>
  <c r="K801" i="1" l="1"/>
  <c r="K802" i="1" l="1"/>
  <c r="K803" i="1" l="1"/>
  <c r="K804" i="1" l="1"/>
  <c r="K805" i="1" l="1"/>
  <c r="K806" i="1" l="1"/>
  <c r="K807" i="1" l="1"/>
  <c r="K808" i="1" l="1"/>
  <c r="K809" i="1" l="1"/>
  <c r="K810" i="1" l="1"/>
  <c r="K811" i="1" l="1"/>
  <c r="K812" i="1" l="1"/>
  <c r="K813" i="1" l="1"/>
  <c r="K814" i="1" l="1"/>
  <c r="K815" i="1" l="1"/>
  <c r="K816" i="1" l="1"/>
  <c r="K817" i="1" l="1"/>
  <c r="K818" i="1" l="1"/>
  <c r="K819" i="1" l="1"/>
  <c r="K820" i="1" l="1"/>
  <c r="K821" i="1" l="1"/>
  <c r="K822" i="1" l="1"/>
  <c r="K823" i="1" l="1"/>
  <c r="K824" i="1" l="1"/>
  <c r="K825" i="1" l="1"/>
  <c r="K826" i="1" l="1"/>
  <c r="K827" i="1" l="1"/>
  <c r="K828" i="1" l="1"/>
  <c r="K829" i="1" l="1"/>
  <c r="K830" i="1" l="1"/>
  <c r="K831" i="1" l="1"/>
  <c r="K832" i="1" l="1"/>
  <c r="K833" i="1" l="1"/>
  <c r="K834" i="1" l="1"/>
  <c r="K835" i="1" l="1"/>
  <c r="K836" i="1" l="1"/>
  <c r="K837" i="1" l="1"/>
  <c r="K838" i="1" l="1"/>
  <c r="K839" i="1" l="1"/>
  <c r="K840" i="1" l="1"/>
  <c r="K841" i="1" l="1"/>
  <c r="K842" i="1" l="1"/>
  <c r="K843" i="1" l="1"/>
  <c r="K844" i="1" l="1"/>
  <c r="K845" i="1" l="1"/>
  <c r="K846" i="1" l="1"/>
  <c r="K847" i="1" l="1"/>
  <c r="K848" i="1" l="1"/>
  <c r="K849" i="1" l="1"/>
  <c r="K850" i="1" l="1"/>
  <c r="K851" i="1" l="1"/>
  <c r="K852" i="1" l="1"/>
  <c r="K853" i="1" l="1"/>
  <c r="K854" i="1" l="1"/>
  <c r="K855" i="1" l="1"/>
  <c r="K856" i="1" l="1"/>
  <c r="K857" i="1" l="1"/>
  <c r="K858" i="1" l="1"/>
  <c r="K859" i="1" l="1"/>
  <c r="K860" i="1" l="1"/>
  <c r="K861" i="1" l="1"/>
  <c r="K862" i="1" l="1"/>
  <c r="K863" i="1" l="1"/>
  <c r="K864" i="1" l="1"/>
  <c r="K865" i="1" l="1"/>
  <c r="K866" i="1" l="1"/>
  <c r="K867" i="1" l="1"/>
  <c r="K868" i="1" l="1"/>
  <c r="K869" i="1" l="1"/>
  <c r="K870" i="1" l="1"/>
  <c r="K871" i="1" l="1"/>
  <c r="K872" i="1" l="1"/>
  <c r="K873" i="1" l="1"/>
  <c r="K874" i="1" l="1"/>
  <c r="K875" i="1" l="1"/>
  <c r="K876" i="1" l="1"/>
  <c r="K877" i="1" l="1"/>
  <c r="K878" i="1" l="1"/>
  <c r="K879" i="1" l="1"/>
  <c r="K880" i="1" l="1"/>
  <c r="K881" i="1" l="1"/>
  <c r="K882" i="1" l="1"/>
  <c r="K883" i="1" l="1"/>
  <c r="K884" i="1" l="1"/>
  <c r="K885" i="1" l="1"/>
  <c r="K886" i="1" l="1"/>
  <c r="K887" i="1" l="1"/>
  <c r="K888" i="1" l="1"/>
  <c r="K889" i="1" l="1"/>
  <c r="K890" i="1" l="1"/>
  <c r="K891" i="1" l="1"/>
  <c r="K892" i="1" l="1"/>
  <c r="K893" i="1" l="1"/>
  <c r="K894" i="1" l="1"/>
  <c r="K895" i="1" l="1"/>
  <c r="K896" i="1" l="1"/>
  <c r="K897" i="1" l="1"/>
  <c r="K898" i="1" l="1"/>
  <c r="K899" i="1" l="1"/>
  <c r="K900" i="1" l="1"/>
  <c r="K901" i="1" l="1"/>
  <c r="K902" i="1" l="1"/>
  <c r="K903" i="1" l="1"/>
  <c r="K904" i="1" l="1"/>
  <c r="K905" i="1" l="1"/>
  <c r="K906" i="1" l="1"/>
  <c r="K907" i="1" l="1"/>
  <c r="K908" i="1" l="1"/>
  <c r="K909" i="1" l="1"/>
  <c r="K910" i="1" l="1"/>
  <c r="K911" i="1" l="1"/>
  <c r="K912" i="1" l="1"/>
  <c r="K913" i="1" l="1"/>
  <c r="K914" i="1" l="1"/>
  <c r="K915" i="1" l="1"/>
  <c r="K916" i="1" l="1"/>
  <c r="K917" i="1" l="1"/>
  <c r="K918" i="1" l="1"/>
  <c r="K919" i="1" l="1"/>
  <c r="K920" i="1" l="1"/>
  <c r="K921" i="1" l="1"/>
  <c r="K922" i="1" l="1"/>
  <c r="K923" i="1" l="1"/>
  <c r="K924" i="1" l="1"/>
  <c r="K925" i="1" l="1"/>
  <c r="K926" i="1" l="1"/>
  <c r="K927" i="1" l="1"/>
  <c r="K928" i="1" l="1"/>
  <c r="K929" i="1" l="1"/>
  <c r="K930" i="1" l="1"/>
  <c r="K931" i="1" l="1"/>
  <c r="K932" i="1" l="1"/>
  <c r="K933" i="1" l="1"/>
  <c r="K934" i="1" l="1"/>
  <c r="K935" i="1" l="1"/>
  <c r="K936" i="1" l="1"/>
  <c r="K937" i="1" l="1"/>
  <c r="K938" i="1" l="1"/>
  <c r="K939" i="1" l="1"/>
  <c r="K940" i="1" l="1"/>
  <c r="K941" i="1" l="1"/>
  <c r="K942" i="1" l="1"/>
  <c r="K943" i="1" l="1"/>
  <c r="K944" i="1" l="1"/>
  <c r="K945" i="1" l="1"/>
  <c r="K946" i="1" l="1"/>
  <c r="K947" i="1" l="1"/>
  <c r="K948" i="1" l="1"/>
  <c r="K949" i="1" l="1"/>
  <c r="K950" i="1" l="1"/>
  <c r="K951" i="1" l="1"/>
  <c r="K952" i="1" l="1"/>
  <c r="K953" i="1" l="1"/>
  <c r="K954" i="1" l="1"/>
  <c r="K955" i="1" l="1"/>
  <c r="K956" i="1" l="1"/>
  <c r="K957" i="1" l="1"/>
  <c r="K958" i="1" l="1"/>
  <c r="K959" i="1" l="1"/>
  <c r="K960" i="1" l="1"/>
  <c r="K961" i="1" l="1"/>
  <c r="K962" i="1" l="1"/>
  <c r="K963" i="1" l="1"/>
  <c r="K964" i="1" l="1"/>
  <c r="K965" i="1" l="1"/>
  <c r="K966" i="1" l="1"/>
  <c r="K967" i="1" l="1"/>
  <c r="K968" i="1" l="1"/>
  <c r="K969" i="1" l="1"/>
  <c r="K970" i="1" l="1"/>
  <c r="K971" i="1" l="1"/>
  <c r="K972" i="1" l="1"/>
  <c r="K973" i="1" l="1"/>
  <c r="K974" i="1" l="1"/>
  <c r="K975" i="1" l="1"/>
  <c r="K976" i="1" l="1"/>
  <c r="K977" i="1" l="1"/>
  <c r="K978" i="1" l="1"/>
  <c r="K979" i="1" l="1"/>
  <c r="K980" i="1" l="1"/>
  <c r="K981" i="1" l="1"/>
  <c r="K982" i="1" l="1"/>
  <c r="K983" i="1" l="1"/>
  <c r="K984" i="1" l="1"/>
  <c r="K985" i="1" l="1"/>
  <c r="K986" i="1" l="1"/>
  <c r="K987" i="1" l="1"/>
  <c r="K988" i="1" l="1"/>
  <c r="K989" i="1" l="1"/>
  <c r="K990" i="1" l="1"/>
  <c r="K991" i="1" l="1"/>
  <c r="K992" i="1" l="1"/>
  <c r="K993" i="1" l="1"/>
  <c r="K994" i="1" l="1"/>
  <c r="K995" i="1" l="1"/>
  <c r="K996" i="1" l="1"/>
  <c r="K997" i="1" l="1"/>
  <c r="K998" i="1" l="1"/>
  <c r="K999" i="1" l="1"/>
  <c r="K1000" i="1" l="1"/>
  <c r="K1001" i="1" l="1"/>
  <c r="K1002" i="1" l="1"/>
  <c r="K1003" i="1" l="1"/>
  <c r="K1004" i="1" l="1"/>
  <c r="K1005" i="1" l="1"/>
  <c r="K1006" i="1" l="1"/>
  <c r="K1007" i="1" l="1"/>
  <c r="K1008" i="1" l="1"/>
  <c r="K1009" i="1" l="1"/>
  <c r="K1010" i="1" l="1"/>
  <c r="K1011" i="1" l="1"/>
  <c r="K1012" i="1" l="1"/>
  <c r="K1013" i="1" l="1"/>
  <c r="K1014" i="1" l="1"/>
  <c r="K1015" i="1" l="1"/>
  <c r="K1016" i="1" l="1"/>
  <c r="K1017" i="1" l="1"/>
  <c r="K1018" i="1" l="1"/>
  <c r="K1019" i="1" l="1"/>
  <c r="K1020" i="1" l="1"/>
  <c r="K1021" i="1" l="1"/>
  <c r="K1022" i="1" l="1"/>
  <c r="K1023" i="1" l="1"/>
  <c r="K1024" i="1" l="1"/>
  <c r="K1025" i="1" l="1"/>
  <c r="K1026" i="1" l="1"/>
  <c r="K1027" i="1" l="1"/>
  <c r="K1028" i="1" l="1"/>
  <c r="K1029" i="1" l="1"/>
  <c r="K1030" i="1" l="1"/>
  <c r="K1031" i="1" l="1"/>
  <c r="K1032" i="1" l="1"/>
  <c r="K1033" i="1" l="1"/>
  <c r="K1034" i="1" l="1"/>
  <c r="K1035" i="1" l="1"/>
  <c r="K1036" i="1" l="1"/>
  <c r="K1037" i="1" l="1"/>
  <c r="K1038" i="1" l="1"/>
  <c r="K1039" i="1" l="1"/>
  <c r="K1040" i="1" l="1"/>
  <c r="K1041" i="1" l="1"/>
  <c r="K1042" i="1" l="1"/>
  <c r="K1043" i="1" l="1"/>
  <c r="K1044" i="1" l="1"/>
  <c r="K1045" i="1" l="1"/>
  <c r="K1046" i="1" l="1"/>
  <c r="K1047" i="1" l="1"/>
  <c r="K1048" i="1" l="1"/>
  <c r="K1049" i="1" l="1"/>
  <c r="K1050" i="1" l="1"/>
  <c r="K1051" i="1" l="1"/>
  <c r="K1052" i="1" l="1"/>
  <c r="K1053" i="1" l="1"/>
  <c r="K1054" i="1" l="1"/>
  <c r="K1055" i="1" l="1"/>
  <c r="K1056" i="1" l="1"/>
  <c r="K1057" i="1" l="1"/>
  <c r="K1058" i="1" l="1"/>
  <c r="K1059" i="1" l="1"/>
  <c r="K1060" i="1" l="1"/>
  <c r="K1061" i="1" l="1"/>
  <c r="K1062" i="1" l="1"/>
  <c r="K1063" i="1" l="1"/>
  <c r="K1064" i="1" l="1"/>
  <c r="K1065" i="1" l="1"/>
  <c r="K1066" i="1" l="1"/>
  <c r="K1067" i="1" l="1"/>
  <c r="K1068" i="1" l="1"/>
  <c r="K1069" i="1" l="1"/>
  <c r="K1070" i="1" l="1"/>
  <c r="K1071" i="1" l="1"/>
  <c r="K1072" i="1" l="1"/>
  <c r="K1073" i="1" l="1"/>
  <c r="K1074" i="1" l="1"/>
  <c r="K1075" i="1" l="1"/>
  <c r="K1076" i="1" l="1"/>
  <c r="K1077" i="1" l="1"/>
  <c r="K1078" i="1" l="1"/>
  <c r="K1079" i="1" l="1"/>
  <c r="K1080" i="1" l="1"/>
  <c r="K1081" i="1" l="1"/>
  <c r="K1082" i="1" l="1"/>
  <c r="K1083" i="1" l="1"/>
  <c r="K1084" i="1" l="1"/>
  <c r="K1085" i="1" l="1"/>
  <c r="K1086" i="1" l="1"/>
  <c r="K1087" i="1" l="1"/>
  <c r="K1088" i="1" l="1"/>
  <c r="K1089" i="1" l="1"/>
  <c r="K1090" i="1" l="1"/>
  <c r="K1091" i="1" l="1"/>
  <c r="K1092" i="1" l="1"/>
  <c r="K1093" i="1" l="1"/>
  <c r="K1094" i="1" l="1"/>
  <c r="K1095" i="1" l="1"/>
  <c r="K1096" i="1" l="1"/>
  <c r="K1097" i="1" l="1"/>
  <c r="K1098" i="1" l="1"/>
  <c r="K1099" i="1" l="1"/>
  <c r="K1100" i="1" l="1"/>
  <c r="K1101" i="1" l="1"/>
  <c r="K1102" i="1" l="1"/>
  <c r="K1103" i="1" l="1"/>
  <c r="K1104" i="1" l="1"/>
  <c r="K1105" i="1" l="1"/>
  <c r="K1106" i="1" l="1"/>
  <c r="K1107" i="1" l="1"/>
  <c r="K1108" i="1" l="1"/>
  <c r="K1109" i="1" l="1"/>
  <c r="K1110" i="1" l="1"/>
  <c r="K1111" i="1" l="1"/>
  <c r="K1112" i="1" l="1"/>
  <c r="K1113" i="1" l="1"/>
  <c r="K1114" i="1" l="1"/>
  <c r="K1115" i="1" l="1"/>
  <c r="K1116" i="1" l="1"/>
  <c r="K1117" i="1" l="1"/>
  <c r="K1118" i="1" l="1"/>
  <c r="K1119" i="1" l="1"/>
  <c r="K1120" i="1" l="1"/>
  <c r="K1121" i="1" l="1"/>
  <c r="K1122" i="1" l="1"/>
  <c r="K1123" i="1" l="1"/>
  <c r="K1124" i="1" l="1"/>
  <c r="K1125" i="1" l="1"/>
  <c r="K1126" i="1" l="1"/>
  <c r="K1127" i="1" l="1"/>
  <c r="K1128" i="1" l="1"/>
  <c r="K1129" i="1" l="1"/>
  <c r="K1130" i="1" l="1"/>
  <c r="K1131" i="1" l="1"/>
  <c r="K1132" i="1" l="1"/>
  <c r="K1133" i="1" l="1"/>
  <c r="K1134" i="1" l="1"/>
  <c r="K1135" i="1" l="1"/>
  <c r="K1136" i="1" l="1"/>
  <c r="K1137" i="1" l="1"/>
  <c r="K1138" i="1" l="1"/>
  <c r="K1139" i="1" l="1"/>
  <c r="K1140" i="1" l="1"/>
  <c r="K1141" i="1" l="1"/>
  <c r="K1142" i="1" l="1"/>
  <c r="K1143" i="1" l="1"/>
  <c r="K1144" i="1" l="1"/>
  <c r="K1145" i="1" l="1"/>
  <c r="K1146" i="1" l="1"/>
  <c r="K1147" i="1" l="1"/>
  <c r="K1148" i="1" l="1"/>
  <c r="K1149" i="1" l="1"/>
  <c r="K1150" i="1" l="1"/>
  <c r="K1151" i="1" l="1"/>
  <c r="K1152" i="1" l="1"/>
  <c r="K1153" i="1" l="1"/>
  <c r="K1154" i="1" l="1"/>
  <c r="K1155" i="1" l="1"/>
  <c r="K1156" i="1" l="1"/>
  <c r="K1157" i="1" l="1"/>
  <c r="K1158" i="1" l="1"/>
  <c r="K1159" i="1" l="1"/>
  <c r="K1160" i="1" l="1"/>
  <c r="K1161" i="1" l="1"/>
  <c r="K1162" i="1" l="1"/>
  <c r="K1163" i="1" l="1"/>
  <c r="K1164" i="1" l="1"/>
  <c r="K1165" i="1" l="1"/>
  <c r="K1166" i="1" l="1"/>
  <c r="K1167" i="1" l="1"/>
  <c r="K1168" i="1" l="1"/>
  <c r="K1169" i="1" l="1"/>
  <c r="K1170" i="1" l="1"/>
  <c r="K1171" i="1" l="1"/>
  <c r="K1172" i="1" l="1"/>
  <c r="K1173" i="1" l="1"/>
  <c r="K1174" i="1" l="1"/>
  <c r="K1175" i="1" l="1"/>
  <c r="K1176" i="1" l="1"/>
  <c r="K1177" i="1" l="1"/>
  <c r="K1178" i="1" l="1"/>
  <c r="K1179" i="1" l="1"/>
  <c r="K1180" i="1" l="1"/>
  <c r="K1181" i="1" l="1"/>
  <c r="K1182" i="1" l="1"/>
  <c r="K1183" i="1" l="1"/>
  <c r="K1184" i="1" l="1"/>
  <c r="K1185" i="1" l="1"/>
  <c r="K1186" i="1" l="1"/>
  <c r="K1187" i="1" l="1"/>
  <c r="K1188" i="1" l="1"/>
  <c r="K1189" i="1" l="1"/>
  <c r="K1190" i="1" l="1"/>
  <c r="K1191" i="1" l="1"/>
  <c r="K1192" i="1" l="1"/>
  <c r="K1193" i="1" l="1"/>
  <c r="K1194" i="1" l="1"/>
  <c r="K1195" i="1" l="1"/>
  <c r="K1196" i="1" l="1"/>
  <c r="K1197" i="1" l="1"/>
  <c r="K1198" i="1" l="1"/>
  <c r="K1199" i="1" l="1"/>
  <c r="K1200" i="1" l="1"/>
  <c r="K1201" i="1" l="1"/>
  <c r="K1202" i="1" l="1"/>
  <c r="K1203" i="1" l="1"/>
  <c r="K1204" i="1" l="1"/>
  <c r="K1205" i="1" l="1"/>
  <c r="K1206" i="1" l="1"/>
  <c r="K1207" i="1" l="1"/>
  <c r="K1208" i="1" l="1"/>
  <c r="K1209" i="1" l="1"/>
  <c r="K1210" i="1" l="1"/>
  <c r="K1211" i="1" l="1"/>
  <c r="K1212" i="1" l="1"/>
  <c r="K1213" i="1" l="1"/>
  <c r="K1214" i="1" l="1"/>
  <c r="K1215" i="1" l="1"/>
  <c r="K1216" i="1" l="1"/>
  <c r="K1217" i="1" l="1"/>
  <c r="K1218" i="1" l="1"/>
  <c r="K1219" i="1" l="1"/>
  <c r="K1220" i="1" l="1"/>
  <c r="K1221" i="1" l="1"/>
  <c r="K1222" i="1" l="1"/>
  <c r="K1223" i="1" l="1"/>
  <c r="K1224" i="1" l="1"/>
  <c r="K1225" i="1" l="1"/>
  <c r="K1226" i="1" l="1"/>
  <c r="K1227" i="1" l="1"/>
  <c r="K1228" i="1" l="1"/>
  <c r="K1229" i="1" l="1"/>
  <c r="K1230" i="1" l="1"/>
  <c r="K1231" i="1" l="1"/>
  <c r="K1232" i="1" l="1"/>
  <c r="K1233" i="1" l="1"/>
  <c r="K1234" i="1" l="1"/>
  <c r="K1235" i="1" l="1"/>
  <c r="K1236" i="1" l="1"/>
  <c r="K1237" i="1" l="1"/>
  <c r="K1238" i="1" l="1"/>
  <c r="K1239" i="1" l="1"/>
  <c r="K1240" i="1" l="1"/>
  <c r="K1241" i="1" l="1"/>
  <c r="K1242" i="1" l="1"/>
  <c r="K1243" i="1" l="1"/>
  <c r="K1244" i="1" l="1"/>
  <c r="K1245" i="1" l="1"/>
  <c r="K1246" i="1" l="1"/>
  <c r="K1247" i="1" l="1"/>
  <c r="K1248" i="1" l="1"/>
  <c r="K1249" i="1" l="1"/>
  <c r="K1250" i="1" l="1"/>
  <c r="K1251" i="1" l="1"/>
  <c r="K1252" i="1" l="1"/>
  <c r="K1253" i="1" l="1"/>
  <c r="K1254" i="1" l="1"/>
  <c r="K1255" i="1" l="1"/>
  <c r="K1256" i="1" l="1"/>
  <c r="K1257" i="1" l="1"/>
  <c r="K1258" i="1" l="1"/>
  <c r="K1259" i="1" l="1"/>
  <c r="K1260" i="1" l="1"/>
  <c r="K1261" i="1" l="1"/>
  <c r="K1262" i="1" l="1"/>
  <c r="K1263" i="1" l="1"/>
  <c r="K1264" i="1" l="1"/>
  <c r="K1265" i="1" l="1"/>
  <c r="K1266" i="1" l="1"/>
  <c r="K1267" i="1" l="1"/>
  <c r="K1268" i="1" l="1"/>
  <c r="K1269" i="1" l="1"/>
  <c r="K1270" i="1" l="1"/>
  <c r="K1271" i="1" l="1"/>
  <c r="K1272" i="1" l="1"/>
  <c r="K1273" i="1" l="1"/>
  <c r="K1274" i="1" l="1"/>
  <c r="K1275" i="1" l="1"/>
  <c r="K1276" i="1" l="1"/>
  <c r="K1277" i="1" l="1"/>
  <c r="K1278" i="1" l="1"/>
  <c r="K1279" i="1" l="1"/>
  <c r="K1280" i="1" l="1"/>
  <c r="K1281" i="1" l="1"/>
  <c r="K1282" i="1" l="1"/>
  <c r="K1283" i="1" l="1"/>
  <c r="K1284" i="1" l="1"/>
  <c r="K1285" i="1" l="1"/>
  <c r="K1286" i="1" l="1"/>
  <c r="K1287" i="1" l="1"/>
  <c r="K1288" i="1" l="1"/>
  <c r="K1289" i="1" l="1"/>
  <c r="K1290" i="1" l="1"/>
  <c r="K1291" i="1" l="1"/>
  <c r="K1292" i="1" l="1"/>
  <c r="K1293" i="1" l="1"/>
  <c r="K1294" i="1" l="1"/>
  <c r="K1295" i="1" l="1"/>
  <c r="K1296" i="1" l="1"/>
  <c r="K1297" i="1" l="1"/>
  <c r="K1298" i="1" l="1"/>
  <c r="K1299" i="1" l="1"/>
  <c r="K1300" i="1" l="1"/>
  <c r="K1301" i="1" l="1"/>
  <c r="K1302" i="1" l="1"/>
  <c r="K1303" i="1" l="1"/>
  <c r="K1304" i="1" l="1"/>
  <c r="K1305" i="1" l="1"/>
  <c r="K1306" i="1" l="1"/>
  <c r="K1307" i="1" l="1"/>
  <c r="K1308" i="1" l="1"/>
  <c r="K1309" i="1" l="1"/>
  <c r="K1310" i="1" l="1"/>
  <c r="K1311" i="1" l="1"/>
  <c r="K1312" i="1" l="1"/>
  <c r="K1313" i="1" l="1"/>
  <c r="K1314" i="1" l="1"/>
  <c r="K1315" i="1" l="1"/>
  <c r="K1316" i="1" l="1"/>
  <c r="K1317" i="1" l="1"/>
  <c r="K1318" i="1" l="1"/>
  <c r="K1319" i="1" l="1"/>
  <c r="K1320" i="1" l="1"/>
  <c r="K1321" i="1" l="1"/>
  <c r="K1322" i="1" l="1"/>
  <c r="K1323" i="1" l="1"/>
  <c r="K1324" i="1" l="1"/>
  <c r="K1325" i="1" l="1"/>
  <c r="K1326" i="1" l="1"/>
  <c r="K1327" i="1" l="1"/>
  <c r="K1328" i="1" l="1"/>
  <c r="K1329" i="1" l="1"/>
  <c r="K1330" i="1" l="1"/>
  <c r="K1331" i="1" l="1"/>
  <c r="K1332" i="1" l="1"/>
  <c r="K1333" i="1" l="1"/>
  <c r="K1334" i="1" l="1"/>
  <c r="K1335" i="1" l="1"/>
  <c r="K1336" i="1" l="1"/>
  <c r="K1337" i="1" l="1"/>
  <c r="K1338" i="1" l="1"/>
  <c r="K1339" i="1" l="1"/>
  <c r="K1340" i="1" l="1"/>
  <c r="K1341" i="1" l="1"/>
  <c r="K1342" i="1" l="1"/>
  <c r="K1343" i="1" l="1"/>
  <c r="K1344" i="1" l="1"/>
  <c r="K1345" i="1" l="1"/>
  <c r="K1346" i="1" l="1"/>
  <c r="K1347" i="1" l="1"/>
  <c r="K1348" i="1" l="1"/>
  <c r="K1349" i="1" l="1"/>
  <c r="K1350" i="1" l="1"/>
  <c r="K1351" i="1" l="1"/>
  <c r="K1352" i="1" l="1"/>
  <c r="K1353" i="1" l="1"/>
  <c r="K1354" i="1" l="1"/>
  <c r="K1355" i="1" l="1"/>
  <c r="K1356" i="1" l="1"/>
  <c r="K1357" i="1" l="1"/>
  <c r="K1358" i="1" l="1"/>
  <c r="K1359" i="1" l="1"/>
  <c r="K1360" i="1" l="1"/>
  <c r="K1361" i="1" l="1"/>
  <c r="K1362" i="1" l="1"/>
  <c r="K1363" i="1" l="1"/>
  <c r="K1364" i="1" l="1"/>
  <c r="K1365" i="1" l="1"/>
  <c r="K1366" i="1" l="1"/>
  <c r="K1367" i="1" l="1"/>
  <c r="K1368" i="1" l="1"/>
  <c r="K1369" i="1" l="1"/>
  <c r="K1370" i="1" l="1"/>
  <c r="K1371" i="1" l="1"/>
  <c r="K1372" i="1" l="1"/>
  <c r="K1373" i="1" l="1"/>
  <c r="K1374" i="1" l="1"/>
  <c r="K1375" i="1" l="1"/>
  <c r="K1376" i="1" l="1"/>
  <c r="K1377" i="1" l="1"/>
  <c r="K1378" i="1" l="1"/>
  <c r="K1379" i="1" l="1"/>
  <c r="K1380" i="1" l="1"/>
  <c r="K1381" i="1" l="1"/>
  <c r="K1382" i="1" l="1"/>
  <c r="K1383" i="1" l="1"/>
  <c r="K1384" i="1" l="1"/>
  <c r="K1385" i="1" l="1"/>
  <c r="K1386" i="1" l="1"/>
  <c r="K1387" i="1" l="1"/>
  <c r="K1388" i="1" l="1"/>
  <c r="K1389" i="1" l="1"/>
  <c r="K1390" i="1" l="1"/>
  <c r="K1391" i="1" l="1"/>
  <c r="K1392" i="1" l="1"/>
  <c r="K1393" i="1" l="1"/>
  <c r="K1394" i="1" l="1"/>
  <c r="K1395" i="1" l="1"/>
  <c r="K1396" i="1" l="1"/>
  <c r="K1397" i="1" l="1"/>
  <c r="K1398" i="1" l="1"/>
  <c r="K1399" i="1" l="1"/>
  <c r="K1400" i="1" l="1"/>
  <c r="K1401" i="1" l="1"/>
  <c r="K1402" i="1" l="1"/>
  <c r="K1403" i="1" l="1"/>
  <c r="K1404" i="1" l="1"/>
  <c r="K1405" i="1" l="1"/>
  <c r="K1406" i="1" l="1"/>
  <c r="K1407" i="1" l="1"/>
  <c r="K1408" i="1" l="1"/>
  <c r="K1409" i="1" l="1"/>
  <c r="K1410" i="1" l="1"/>
  <c r="K1411" i="1" l="1"/>
  <c r="K1412" i="1" l="1"/>
  <c r="K1413" i="1" l="1"/>
  <c r="K1414" i="1" l="1"/>
  <c r="K1415" i="1" l="1"/>
  <c r="K1416" i="1" l="1"/>
  <c r="K1417" i="1" l="1"/>
  <c r="K1418" i="1" l="1"/>
  <c r="K1419" i="1" l="1"/>
  <c r="K1420" i="1" l="1"/>
  <c r="K1421" i="1" l="1"/>
  <c r="K1422" i="1" l="1"/>
  <c r="K1423" i="1" l="1"/>
  <c r="K1424" i="1" l="1"/>
  <c r="K1425" i="1" l="1"/>
  <c r="K1426" i="1" l="1"/>
  <c r="K1427" i="1" l="1"/>
  <c r="K1428" i="1" l="1"/>
  <c r="K1429" i="1" l="1"/>
  <c r="K1430" i="1" l="1"/>
  <c r="K1431" i="1" l="1"/>
  <c r="K1432" i="1" l="1"/>
  <c r="K1433" i="1" l="1"/>
  <c r="K1434" i="1" l="1"/>
  <c r="K1435" i="1" l="1"/>
  <c r="K1436" i="1" l="1"/>
  <c r="K1437" i="1" l="1"/>
  <c r="K1438" i="1" l="1"/>
  <c r="K1439" i="1" l="1"/>
  <c r="K1440" i="1" l="1"/>
  <c r="K1441" i="1" l="1"/>
  <c r="K1442" i="1" l="1"/>
  <c r="K1443" i="1" l="1"/>
  <c r="K1444" i="1" l="1"/>
  <c r="K1445" i="1" l="1"/>
  <c r="K1446" i="1" l="1"/>
  <c r="K1447" i="1" l="1"/>
  <c r="K1448" i="1" l="1"/>
  <c r="K1449" i="1" l="1"/>
  <c r="K1450" i="1" l="1"/>
  <c r="K1451" i="1" l="1"/>
  <c r="K1452" i="1" l="1"/>
  <c r="K1453" i="1" l="1"/>
  <c r="K1454" i="1" l="1"/>
  <c r="K1455" i="1" l="1"/>
  <c r="K1456" i="1" l="1"/>
  <c r="K1457" i="1" l="1"/>
  <c r="K1458" i="1" l="1"/>
  <c r="K1459" i="1" l="1"/>
  <c r="K1460" i="1" l="1"/>
  <c r="K1461" i="1" l="1"/>
  <c r="K1462" i="1" l="1"/>
  <c r="K1463" i="1" l="1"/>
  <c r="K1464" i="1" l="1"/>
  <c r="K1465" i="1" l="1"/>
  <c r="K1466" i="1" l="1"/>
  <c r="K1467" i="1" l="1"/>
  <c r="K1468" i="1" l="1"/>
  <c r="K1469" i="1" l="1"/>
  <c r="K1470" i="1" l="1"/>
  <c r="K1471" i="1" l="1"/>
  <c r="K1472" i="1" l="1"/>
  <c r="K1473" i="1" l="1"/>
  <c r="K1474" i="1" l="1"/>
  <c r="K1475" i="1" l="1"/>
  <c r="K1476" i="1" l="1"/>
  <c r="K1477" i="1" l="1"/>
  <c r="K1478" i="1" l="1"/>
  <c r="K1479" i="1" l="1"/>
  <c r="K1480" i="1" l="1"/>
  <c r="K1481" i="1" l="1"/>
  <c r="K1482" i="1" l="1"/>
  <c r="K1483" i="1" l="1"/>
  <c r="K1484" i="1" l="1"/>
  <c r="K1485" i="1" l="1"/>
  <c r="K1486" i="1" l="1"/>
  <c r="K1487" i="1" l="1"/>
  <c r="K1488" i="1" l="1"/>
  <c r="K1489" i="1" l="1"/>
  <c r="K1490" i="1" l="1"/>
  <c r="K1491" i="1" l="1"/>
  <c r="K1492" i="1" l="1"/>
  <c r="K1493" i="1" l="1"/>
  <c r="K1494" i="1" l="1"/>
  <c r="K1495" i="1" l="1"/>
  <c r="K1496" i="1" l="1"/>
  <c r="K1497" i="1" l="1"/>
  <c r="K1498" i="1" l="1"/>
  <c r="K1499" i="1" l="1"/>
  <c r="K1500" i="1" l="1"/>
  <c r="K1501" i="1" l="1"/>
  <c r="K1502" i="1" l="1"/>
  <c r="K1503" i="1" l="1"/>
  <c r="K1504" i="1" l="1"/>
  <c r="K1505" i="1" l="1"/>
  <c r="K1506" i="1" l="1"/>
  <c r="K1507" i="1" l="1"/>
  <c r="K1508" i="1" l="1"/>
  <c r="K1509" i="1" l="1"/>
  <c r="K1510" i="1" l="1"/>
  <c r="K1511" i="1" l="1"/>
  <c r="K1512" i="1" l="1"/>
  <c r="K1513" i="1" l="1"/>
  <c r="K1514" i="1" l="1"/>
  <c r="K1515" i="1" l="1"/>
  <c r="K1516" i="1" l="1"/>
  <c r="K1517" i="1" l="1"/>
  <c r="K1518" i="1" l="1"/>
  <c r="K1519" i="1" l="1"/>
  <c r="K1520" i="1" l="1"/>
  <c r="K1521" i="1" l="1"/>
  <c r="K1522" i="1" l="1"/>
  <c r="K1523" i="1" l="1"/>
  <c r="K1524" i="1" l="1"/>
  <c r="K1525" i="1" l="1"/>
  <c r="K1526" i="1" l="1"/>
  <c r="K1527" i="1" l="1"/>
  <c r="K1528" i="1" l="1"/>
  <c r="K1529" i="1" l="1"/>
  <c r="K1530" i="1" l="1"/>
  <c r="K1531" i="1" l="1"/>
  <c r="K1532" i="1" l="1"/>
  <c r="K1533" i="1" l="1"/>
  <c r="AD1533" i="1" l="1"/>
  <c r="AC1533" i="1"/>
  <c r="Z1533" i="1"/>
  <c r="P32" i="1"/>
  <c r="AE1533" i="1"/>
  <c r="AB1533" i="1"/>
  <c r="I15" i="1"/>
  <c r="L31" i="1"/>
  <c r="M31" i="1"/>
  <c r="Q31" i="1"/>
  <c r="R31" i="1"/>
  <c r="S31" i="1"/>
  <c r="U31" i="1"/>
  <c r="L32" i="1"/>
  <c r="M32" i="1"/>
  <c r="Q32" i="1"/>
  <c r="R32" i="1"/>
  <c r="S32" i="1"/>
  <c r="U32" i="1"/>
  <c r="L33" i="1"/>
  <c r="M33" i="1"/>
  <c r="Q33" i="1"/>
  <c r="R33" i="1"/>
  <c r="S33" i="1"/>
  <c r="U33" i="1"/>
  <c r="L34" i="1"/>
  <c r="M34" i="1"/>
  <c r="O34" i="1"/>
  <c r="P34" i="1"/>
  <c r="Q34" i="1"/>
  <c r="R34" i="1"/>
  <c r="S34" i="1"/>
  <c r="U34" i="1"/>
  <c r="L35" i="1"/>
  <c r="M35" i="1"/>
  <c r="O35" i="1"/>
  <c r="Q35" i="1"/>
  <c r="R35" i="1"/>
  <c r="S35" i="1"/>
  <c r="U35" i="1"/>
  <c r="L36" i="1"/>
  <c r="M36" i="1"/>
  <c r="N36" i="1"/>
  <c r="P36" i="1"/>
  <c r="Q36" i="1"/>
  <c r="R36" i="1"/>
  <c r="S36" i="1"/>
  <c r="U36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Q133" i="1"/>
  <c r="AR133" i="1"/>
  <c r="AS133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Q134" i="1"/>
  <c r="AR134" i="1"/>
  <c r="AS134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Q135" i="1"/>
  <c r="AR135" i="1"/>
  <c r="AS135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Q136" i="1"/>
  <c r="AR136" i="1"/>
  <c r="AS136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Q137" i="1"/>
  <c r="AR137" i="1"/>
  <c r="AS137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Q138" i="1"/>
  <c r="AR138" i="1"/>
  <c r="AS138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Q139" i="1"/>
  <c r="AR139" i="1"/>
  <c r="AS139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Q140" i="1"/>
  <c r="AR140" i="1"/>
  <c r="AS140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Q141" i="1"/>
  <c r="AR141" i="1"/>
  <c r="AS141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Q142" i="1"/>
  <c r="AR142" i="1"/>
  <c r="AS142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Q143" i="1"/>
  <c r="AR143" i="1"/>
  <c r="AS143" i="1"/>
  <c r="L144" i="1"/>
  <c r="M144" i="1"/>
  <c r="N144" i="1"/>
  <c r="O144" i="1"/>
  <c r="P144" i="1"/>
  <c r="Q144" i="1"/>
  <c r="R144" i="1"/>
  <c r="S144" i="1"/>
  <c r="T144" i="1"/>
  <c r="U144" i="1"/>
  <c r="V144" i="1"/>
  <c r="AH144" i="1"/>
  <c r="AI144" i="1"/>
  <c r="AJ144" i="1"/>
  <c r="AQ144" i="1"/>
  <c r="AR144" i="1"/>
  <c r="AS144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Q150" i="1"/>
  <c r="AR150" i="1"/>
  <c r="AS150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Q151" i="1"/>
  <c r="AR151" i="1"/>
  <c r="AS151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Q152" i="1"/>
  <c r="AR152" i="1"/>
  <c r="AS152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Q153" i="1"/>
  <c r="AR153" i="1"/>
  <c r="AS153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Q154" i="1"/>
  <c r="AR154" i="1"/>
  <c r="AS154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Q155" i="1"/>
  <c r="AR155" i="1"/>
  <c r="AS155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Q156" i="1"/>
  <c r="AR156" i="1"/>
  <c r="AS156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Q157" i="1"/>
  <c r="AR157" i="1"/>
  <c r="AS157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Q158" i="1"/>
  <c r="AR158" i="1"/>
  <c r="AS158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Q159" i="1"/>
  <c r="AR159" i="1"/>
  <c r="AS159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Q160" i="1"/>
  <c r="AR160" i="1"/>
  <c r="AS160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Q161" i="1"/>
  <c r="AR161" i="1"/>
  <c r="AS161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Q162" i="1"/>
  <c r="AR162" i="1"/>
  <c r="AS162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Q163" i="1"/>
  <c r="AR163" i="1"/>
  <c r="AS163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Q164" i="1"/>
  <c r="AR164" i="1"/>
  <c r="AS164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Q165" i="1"/>
  <c r="AR165" i="1"/>
  <c r="AS165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Q166" i="1"/>
  <c r="AR166" i="1"/>
  <c r="AS166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Q167" i="1"/>
  <c r="AR167" i="1"/>
  <c r="AS167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Q168" i="1"/>
  <c r="AR168" i="1"/>
  <c r="AS168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Q169" i="1"/>
  <c r="AR169" i="1"/>
  <c r="AS169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Q170" i="1"/>
  <c r="AR170" i="1"/>
  <c r="AS170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Q171" i="1"/>
  <c r="AR171" i="1"/>
  <c r="AS171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Q172" i="1"/>
  <c r="AR172" i="1"/>
  <c r="AS172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Q173" i="1"/>
  <c r="AR173" i="1"/>
  <c r="AS173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Q174" i="1"/>
  <c r="AR174" i="1"/>
  <c r="AS174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Q175" i="1"/>
  <c r="AR175" i="1"/>
  <c r="AS175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Q176" i="1"/>
  <c r="AR176" i="1"/>
  <c r="AS176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Q177" i="1"/>
  <c r="AR177" i="1"/>
  <c r="AS177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Q178" i="1"/>
  <c r="AR178" i="1"/>
  <c r="AS178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Q179" i="1"/>
  <c r="AR179" i="1"/>
  <c r="AS179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Q180" i="1"/>
  <c r="AR180" i="1"/>
  <c r="AS180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Q181" i="1"/>
  <c r="AR181" i="1"/>
  <c r="AS181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Q182" i="1"/>
  <c r="AR182" i="1"/>
  <c r="AS182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Q183" i="1"/>
  <c r="AR183" i="1"/>
  <c r="AS183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Q184" i="1"/>
  <c r="AR184" i="1"/>
  <c r="AS184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Q185" i="1"/>
  <c r="AR185" i="1"/>
  <c r="AS185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Q186" i="1"/>
  <c r="AR186" i="1"/>
  <c r="AS186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Q187" i="1"/>
  <c r="AR187" i="1"/>
  <c r="AS187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Q188" i="1"/>
  <c r="AR188" i="1"/>
  <c r="AS188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Q189" i="1"/>
  <c r="AR189" i="1"/>
  <c r="AS189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Q190" i="1"/>
  <c r="AR190" i="1"/>
  <c r="AS190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Q191" i="1"/>
  <c r="AR191" i="1"/>
  <c r="AS191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Q192" i="1"/>
  <c r="AR192" i="1"/>
  <c r="AS192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Q193" i="1"/>
  <c r="AR193" i="1"/>
  <c r="AS193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Q194" i="1"/>
  <c r="AR194" i="1"/>
  <c r="AS194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Q195" i="1"/>
  <c r="AR195" i="1"/>
  <c r="AS195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Q196" i="1"/>
  <c r="AR196" i="1"/>
  <c r="AS196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Q197" i="1"/>
  <c r="AR197" i="1"/>
  <c r="AS197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Q198" i="1"/>
  <c r="AR198" i="1"/>
  <c r="AS198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Q199" i="1"/>
  <c r="AR199" i="1"/>
  <c r="AS199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Q200" i="1"/>
  <c r="AR200" i="1"/>
  <c r="AS200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Q201" i="1"/>
  <c r="AR201" i="1"/>
  <c r="AS201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Q202" i="1"/>
  <c r="AR202" i="1"/>
  <c r="AS202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Q203" i="1"/>
  <c r="AR203" i="1"/>
  <c r="AS203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Q204" i="1"/>
  <c r="AR204" i="1"/>
  <c r="AS204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Q205" i="1"/>
  <c r="AR205" i="1"/>
  <c r="AS205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Q206" i="1"/>
  <c r="AR206" i="1"/>
  <c r="AS206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Q207" i="1"/>
  <c r="AR207" i="1"/>
  <c r="AS207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Q208" i="1"/>
  <c r="AR208" i="1"/>
  <c r="AS208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Q209" i="1"/>
  <c r="AR209" i="1"/>
  <c r="AS209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Q210" i="1"/>
  <c r="AR210" i="1"/>
  <c r="AS210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Q211" i="1"/>
  <c r="AR211" i="1"/>
  <c r="AS211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Q212" i="1"/>
  <c r="AR212" i="1"/>
  <c r="AS212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Q213" i="1"/>
  <c r="AR213" i="1"/>
  <c r="AS213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Q214" i="1"/>
  <c r="AR214" i="1"/>
  <c r="AS214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Q215" i="1"/>
  <c r="AR215" i="1"/>
  <c r="AS215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Q216" i="1"/>
  <c r="AR216" i="1"/>
  <c r="AS216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Q217" i="1"/>
  <c r="AR217" i="1"/>
  <c r="AS217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Q218" i="1"/>
  <c r="AR218" i="1"/>
  <c r="AS218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Q219" i="1"/>
  <c r="AR219" i="1"/>
  <c r="AS219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Q220" i="1"/>
  <c r="AR220" i="1"/>
  <c r="AS220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Q221" i="1"/>
  <c r="AR221" i="1"/>
  <c r="AS221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Q222" i="1"/>
  <c r="AR222" i="1"/>
  <c r="AS222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Q223" i="1"/>
  <c r="AR223" i="1"/>
  <c r="AS223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Q224" i="1"/>
  <c r="AR224" i="1"/>
  <c r="AS224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Q225" i="1"/>
  <c r="AR225" i="1"/>
  <c r="AS225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Q226" i="1"/>
  <c r="AR226" i="1"/>
  <c r="AS226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Q227" i="1"/>
  <c r="AR227" i="1"/>
  <c r="AS227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Q228" i="1"/>
  <c r="AR228" i="1"/>
  <c r="AS228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Q229" i="1"/>
  <c r="AR229" i="1"/>
  <c r="AS229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Q230" i="1"/>
  <c r="AR230" i="1"/>
  <c r="AS230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Q231" i="1"/>
  <c r="AR231" i="1"/>
  <c r="AS231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Q232" i="1"/>
  <c r="AR232" i="1"/>
  <c r="AS232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Q233" i="1"/>
  <c r="AR233" i="1"/>
  <c r="AS233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Q234" i="1"/>
  <c r="AR234" i="1"/>
  <c r="AS234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Q235" i="1"/>
  <c r="AR235" i="1"/>
  <c r="AS235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Q236" i="1"/>
  <c r="AR236" i="1"/>
  <c r="AS236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Q237" i="1"/>
  <c r="AR237" i="1"/>
  <c r="AS237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Q238" i="1"/>
  <c r="AR238" i="1"/>
  <c r="AS238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Q239" i="1"/>
  <c r="AR239" i="1"/>
  <c r="AS239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Q240" i="1"/>
  <c r="AR240" i="1"/>
  <c r="AS240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Q241" i="1"/>
  <c r="AR241" i="1"/>
  <c r="AS241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Q242" i="1"/>
  <c r="AR242" i="1"/>
  <c r="AS242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Q243" i="1"/>
  <c r="AR243" i="1"/>
  <c r="AS243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Q244" i="1"/>
  <c r="AR244" i="1"/>
  <c r="AS244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Q245" i="1"/>
  <c r="AR245" i="1"/>
  <c r="AS245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Q246" i="1"/>
  <c r="AR246" i="1"/>
  <c r="AS246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Q247" i="1"/>
  <c r="AR247" i="1"/>
  <c r="AS247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Q248" i="1"/>
  <c r="AR248" i="1"/>
  <c r="AS248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Q249" i="1"/>
  <c r="AR249" i="1"/>
  <c r="AS249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Q250" i="1"/>
  <c r="AR250" i="1"/>
  <c r="AS250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Q251" i="1"/>
  <c r="AR251" i="1"/>
  <c r="AS251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Q252" i="1"/>
  <c r="AR252" i="1"/>
  <c r="AS252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Q253" i="1"/>
  <c r="AR253" i="1"/>
  <c r="AS253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Q254" i="1"/>
  <c r="AR254" i="1"/>
  <c r="AS254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Q255" i="1"/>
  <c r="AR255" i="1"/>
  <c r="AS255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Q256" i="1"/>
  <c r="AR256" i="1"/>
  <c r="AS256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Q257" i="1"/>
  <c r="AR257" i="1"/>
  <c r="AS257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Q258" i="1"/>
  <c r="AR258" i="1"/>
  <c r="AS258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Q259" i="1"/>
  <c r="AR259" i="1"/>
  <c r="AS259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Q260" i="1"/>
  <c r="AR260" i="1"/>
  <c r="AS260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Q261" i="1"/>
  <c r="AR261" i="1"/>
  <c r="AS261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Q262" i="1"/>
  <c r="AR262" i="1"/>
  <c r="AS262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Q263" i="1"/>
  <c r="AR263" i="1"/>
  <c r="AS263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Q264" i="1"/>
  <c r="AR264" i="1"/>
  <c r="AS264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Q265" i="1"/>
  <c r="AR265" i="1"/>
  <c r="AS265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Q266" i="1"/>
  <c r="AR266" i="1"/>
  <c r="AS266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Q267" i="1"/>
  <c r="AR267" i="1"/>
  <c r="AS267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Q268" i="1"/>
  <c r="AR268" i="1"/>
  <c r="AS268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Q269" i="1"/>
  <c r="AR269" i="1"/>
  <c r="AS269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Q270" i="1"/>
  <c r="AR270" i="1"/>
  <c r="AS270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Q271" i="1"/>
  <c r="AR271" i="1"/>
  <c r="AS271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Q272" i="1"/>
  <c r="AR272" i="1"/>
  <c r="AS272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Q273" i="1"/>
  <c r="AR273" i="1"/>
  <c r="AS273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Q274" i="1"/>
  <c r="AR274" i="1"/>
  <c r="AS274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Q275" i="1"/>
  <c r="AR275" i="1"/>
  <c r="AS275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Q276" i="1"/>
  <c r="AR276" i="1"/>
  <c r="AS276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Q277" i="1"/>
  <c r="AR277" i="1"/>
  <c r="AS277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Q278" i="1"/>
  <c r="AR278" i="1"/>
  <c r="AS278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Q279" i="1"/>
  <c r="AR279" i="1"/>
  <c r="AS279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Q280" i="1"/>
  <c r="AR280" i="1"/>
  <c r="AS280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Q281" i="1"/>
  <c r="AR281" i="1"/>
  <c r="AS281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Q282" i="1"/>
  <c r="AR282" i="1"/>
  <c r="AS282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Q283" i="1"/>
  <c r="AR283" i="1"/>
  <c r="AS283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Q284" i="1"/>
  <c r="AR284" i="1"/>
  <c r="AS284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Q285" i="1"/>
  <c r="AR285" i="1"/>
  <c r="AS285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Q286" i="1"/>
  <c r="AR286" i="1"/>
  <c r="AS286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Q287" i="1"/>
  <c r="AR287" i="1"/>
  <c r="AS287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Q288" i="1"/>
  <c r="AR288" i="1"/>
  <c r="AS288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Q289" i="1"/>
  <c r="AR289" i="1"/>
  <c r="AS289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Q290" i="1"/>
  <c r="AR290" i="1"/>
  <c r="AS290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Q291" i="1"/>
  <c r="AR291" i="1"/>
  <c r="AS291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Q292" i="1"/>
  <c r="AR292" i="1"/>
  <c r="AS292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Q293" i="1"/>
  <c r="AR293" i="1"/>
  <c r="AS293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Q294" i="1"/>
  <c r="AR294" i="1"/>
  <c r="AS294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Q295" i="1"/>
  <c r="AR295" i="1"/>
  <c r="AS295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Q296" i="1"/>
  <c r="AR296" i="1"/>
  <c r="AS296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Q297" i="1"/>
  <c r="AR297" i="1"/>
  <c r="AS297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Q298" i="1"/>
  <c r="AR298" i="1"/>
  <c r="AS298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Q299" i="1"/>
  <c r="AR299" i="1"/>
  <c r="AS299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Q300" i="1"/>
  <c r="AR300" i="1"/>
  <c r="AS300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Q301" i="1"/>
  <c r="AR301" i="1"/>
  <c r="AS301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Q302" i="1"/>
  <c r="AR302" i="1"/>
  <c r="AS302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Q303" i="1"/>
  <c r="AR303" i="1"/>
  <c r="AS303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Q304" i="1"/>
  <c r="AR304" i="1"/>
  <c r="AS304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Q305" i="1"/>
  <c r="AR305" i="1"/>
  <c r="AS305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Q306" i="1"/>
  <c r="AR306" i="1"/>
  <c r="AS306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Q307" i="1"/>
  <c r="AR307" i="1"/>
  <c r="AS307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Q308" i="1"/>
  <c r="AR308" i="1"/>
  <c r="AS308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Q309" i="1"/>
  <c r="AR309" i="1"/>
  <c r="AS309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Q310" i="1"/>
  <c r="AR310" i="1"/>
  <c r="AS310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Q311" i="1"/>
  <c r="AR311" i="1"/>
  <c r="AS311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Q312" i="1"/>
  <c r="AR312" i="1"/>
  <c r="AS312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Q313" i="1"/>
  <c r="AR313" i="1"/>
  <c r="AS313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Q314" i="1"/>
  <c r="AR314" i="1"/>
  <c r="AS314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Q315" i="1"/>
  <c r="AR315" i="1"/>
  <c r="AS315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Q316" i="1"/>
  <c r="AR316" i="1"/>
  <c r="AS316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Q317" i="1"/>
  <c r="AR317" i="1"/>
  <c r="AS317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Q318" i="1"/>
  <c r="AR318" i="1"/>
  <c r="AS318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Q319" i="1"/>
  <c r="AR319" i="1"/>
  <c r="AS319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Q320" i="1"/>
  <c r="AR320" i="1"/>
  <c r="AS320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Q321" i="1"/>
  <c r="AR321" i="1"/>
  <c r="AS321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Q322" i="1"/>
  <c r="AR322" i="1"/>
  <c r="AS322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Q323" i="1"/>
  <c r="AR323" i="1"/>
  <c r="AS323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Q324" i="1"/>
  <c r="AR324" i="1"/>
  <c r="AS324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Q325" i="1"/>
  <c r="AR325" i="1"/>
  <c r="AS325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Q326" i="1"/>
  <c r="AR326" i="1"/>
  <c r="AS326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Q327" i="1"/>
  <c r="AR327" i="1"/>
  <c r="AS327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Q328" i="1"/>
  <c r="AR328" i="1"/>
  <c r="AS328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Q329" i="1"/>
  <c r="AR329" i="1"/>
  <c r="AS329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Q330" i="1"/>
  <c r="AR330" i="1"/>
  <c r="AS330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Q331" i="1"/>
  <c r="AR331" i="1"/>
  <c r="AS331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Q332" i="1"/>
  <c r="AR332" i="1"/>
  <c r="AS332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Q333" i="1"/>
  <c r="AR333" i="1"/>
  <c r="AS333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Q334" i="1"/>
  <c r="AR334" i="1"/>
  <c r="AS334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Q335" i="1"/>
  <c r="AR335" i="1"/>
  <c r="AS335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Q336" i="1"/>
  <c r="AR336" i="1"/>
  <c r="AS336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Q337" i="1"/>
  <c r="AR337" i="1"/>
  <c r="AS337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Q338" i="1"/>
  <c r="AR338" i="1"/>
  <c r="AS338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Q339" i="1"/>
  <c r="AR339" i="1"/>
  <c r="AS339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Q340" i="1"/>
  <c r="AR340" i="1"/>
  <c r="AS340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Q341" i="1"/>
  <c r="AR341" i="1"/>
  <c r="AS341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Q342" i="1"/>
  <c r="AR342" i="1"/>
  <c r="AS342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Q343" i="1"/>
  <c r="AR343" i="1"/>
  <c r="AS343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Q344" i="1"/>
  <c r="AR344" i="1"/>
  <c r="AS344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Q345" i="1"/>
  <c r="AR345" i="1"/>
  <c r="AS345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Q346" i="1"/>
  <c r="AR346" i="1"/>
  <c r="AS346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Q347" i="1"/>
  <c r="AR347" i="1"/>
  <c r="AS347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Q348" i="1"/>
  <c r="AR348" i="1"/>
  <c r="AS348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Q349" i="1"/>
  <c r="AR349" i="1"/>
  <c r="AS349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Q350" i="1"/>
  <c r="AR350" i="1"/>
  <c r="AS350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Q351" i="1"/>
  <c r="AR351" i="1"/>
  <c r="AS351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Q352" i="1"/>
  <c r="AR352" i="1"/>
  <c r="AS352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Q353" i="1"/>
  <c r="AR353" i="1"/>
  <c r="AS353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Q354" i="1"/>
  <c r="AR354" i="1"/>
  <c r="AS354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Q355" i="1"/>
  <c r="AR355" i="1"/>
  <c r="AS355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Q356" i="1"/>
  <c r="AR356" i="1"/>
  <c r="AS356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Q357" i="1"/>
  <c r="AR357" i="1"/>
  <c r="AS357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Q358" i="1"/>
  <c r="AR358" i="1"/>
  <c r="AS358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Q359" i="1"/>
  <c r="AR359" i="1"/>
  <c r="AS359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Q360" i="1"/>
  <c r="AR360" i="1"/>
  <c r="AS360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Q361" i="1"/>
  <c r="AR361" i="1"/>
  <c r="AS361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Q362" i="1"/>
  <c r="AR362" i="1"/>
  <c r="AS362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Q363" i="1"/>
  <c r="AR363" i="1"/>
  <c r="AS363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Q364" i="1"/>
  <c r="AR364" i="1"/>
  <c r="AS364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Q365" i="1"/>
  <c r="AR365" i="1"/>
  <c r="AS365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Q366" i="1"/>
  <c r="AR366" i="1"/>
  <c r="AS366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Q367" i="1"/>
  <c r="AR367" i="1"/>
  <c r="AS367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Q368" i="1"/>
  <c r="AR368" i="1"/>
  <c r="AS368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Q369" i="1"/>
  <c r="AR369" i="1"/>
  <c r="AS369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Q370" i="1"/>
  <c r="AR370" i="1"/>
  <c r="AS370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Q371" i="1"/>
  <c r="AR371" i="1"/>
  <c r="AS371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Q372" i="1"/>
  <c r="AR372" i="1"/>
  <c r="AS372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Q373" i="1"/>
  <c r="AR373" i="1"/>
  <c r="AS373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Q374" i="1"/>
  <c r="AR374" i="1"/>
  <c r="AS374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Q375" i="1"/>
  <c r="AR375" i="1"/>
  <c r="AS375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Q376" i="1"/>
  <c r="AR376" i="1"/>
  <c r="AS376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Q377" i="1"/>
  <c r="AR377" i="1"/>
  <c r="AS377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Q378" i="1"/>
  <c r="AR378" i="1"/>
  <c r="AS378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Q379" i="1"/>
  <c r="AR379" i="1"/>
  <c r="AS379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Q380" i="1"/>
  <c r="AR380" i="1"/>
  <c r="AS380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Q381" i="1"/>
  <c r="AR381" i="1"/>
  <c r="AS381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Q382" i="1"/>
  <c r="AR382" i="1"/>
  <c r="AS382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Q383" i="1"/>
  <c r="AR383" i="1"/>
  <c r="AS383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Q384" i="1"/>
  <c r="AR384" i="1"/>
  <c r="AS384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Q385" i="1"/>
  <c r="AR385" i="1"/>
  <c r="AS385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Q386" i="1"/>
  <c r="AR386" i="1"/>
  <c r="AS386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Q387" i="1"/>
  <c r="AR387" i="1"/>
  <c r="AS387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Q388" i="1"/>
  <c r="AR388" i="1"/>
  <c r="AS388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Q389" i="1"/>
  <c r="AR389" i="1"/>
  <c r="AS389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Q390" i="1"/>
  <c r="AR390" i="1"/>
  <c r="AS390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Q391" i="1"/>
  <c r="AR391" i="1"/>
  <c r="AS391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Q392" i="1"/>
  <c r="AR392" i="1"/>
  <c r="AS392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Q393" i="1"/>
  <c r="AR393" i="1"/>
  <c r="AS393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Q394" i="1"/>
  <c r="AR394" i="1"/>
  <c r="AS394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Q395" i="1"/>
  <c r="AR395" i="1"/>
  <c r="AS395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Q396" i="1"/>
  <c r="AR396" i="1"/>
  <c r="AS396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Q397" i="1"/>
  <c r="AR397" i="1"/>
  <c r="AS397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Q398" i="1"/>
  <c r="AR398" i="1"/>
  <c r="AS398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Q399" i="1"/>
  <c r="AR399" i="1"/>
  <c r="AS399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Q400" i="1"/>
  <c r="AR400" i="1"/>
  <c r="AS400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Q401" i="1"/>
  <c r="AR401" i="1"/>
  <c r="AS401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Q402" i="1"/>
  <c r="AR402" i="1"/>
  <c r="AS402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Q403" i="1"/>
  <c r="AR403" i="1"/>
  <c r="AS403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Q404" i="1"/>
  <c r="AR404" i="1"/>
  <c r="AS404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Q405" i="1"/>
  <c r="AR405" i="1"/>
  <c r="AS405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Q406" i="1"/>
  <c r="AR406" i="1"/>
  <c r="AS406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Q407" i="1"/>
  <c r="AR407" i="1"/>
  <c r="AS407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Q408" i="1"/>
  <c r="AR408" i="1"/>
  <c r="AS408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Q409" i="1"/>
  <c r="AR409" i="1"/>
  <c r="AS409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Q410" i="1"/>
  <c r="AR410" i="1"/>
  <c r="AS410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Q411" i="1"/>
  <c r="AR411" i="1"/>
  <c r="AS411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Q412" i="1"/>
  <c r="AR412" i="1"/>
  <c r="AS412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Q413" i="1"/>
  <c r="AR413" i="1"/>
  <c r="AS413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Q414" i="1"/>
  <c r="AR414" i="1"/>
  <c r="AS414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Q415" i="1"/>
  <c r="AR415" i="1"/>
  <c r="AS415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Q416" i="1"/>
  <c r="AR416" i="1"/>
  <c r="AS416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Q417" i="1"/>
  <c r="AR417" i="1"/>
  <c r="AS417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Q418" i="1"/>
  <c r="AR418" i="1"/>
  <c r="AS418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Q419" i="1"/>
  <c r="AR419" i="1"/>
  <c r="AS419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Q420" i="1"/>
  <c r="AR420" i="1"/>
  <c r="AS420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Q421" i="1"/>
  <c r="AR421" i="1"/>
  <c r="AS421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Q422" i="1"/>
  <c r="AR422" i="1"/>
  <c r="AS422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Q423" i="1"/>
  <c r="AR423" i="1"/>
  <c r="AS423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Q424" i="1"/>
  <c r="AR424" i="1"/>
  <c r="AS424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Q425" i="1"/>
  <c r="AR425" i="1"/>
  <c r="AS425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Q426" i="1"/>
  <c r="AR426" i="1"/>
  <c r="AS426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Q427" i="1"/>
  <c r="AR427" i="1"/>
  <c r="AS427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Q428" i="1"/>
  <c r="AR428" i="1"/>
  <c r="AS428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Q429" i="1"/>
  <c r="AR429" i="1"/>
  <c r="AS429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Q430" i="1"/>
  <c r="AR430" i="1"/>
  <c r="AS430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Q431" i="1"/>
  <c r="AR431" i="1"/>
  <c r="AS431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Q432" i="1"/>
  <c r="AR432" i="1"/>
  <c r="AS432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Q433" i="1"/>
  <c r="AR433" i="1"/>
  <c r="AS433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Q434" i="1"/>
  <c r="AR434" i="1"/>
  <c r="AS434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Q435" i="1"/>
  <c r="AR435" i="1"/>
  <c r="AS435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Q436" i="1"/>
  <c r="AR436" i="1"/>
  <c r="AS436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Q437" i="1"/>
  <c r="AR437" i="1"/>
  <c r="AS437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Q438" i="1"/>
  <c r="AR438" i="1"/>
  <c r="AS438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Q439" i="1"/>
  <c r="AR439" i="1"/>
  <c r="AS439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Q440" i="1"/>
  <c r="AR440" i="1"/>
  <c r="AS440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Q441" i="1"/>
  <c r="AR441" i="1"/>
  <c r="AS441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Q442" i="1"/>
  <c r="AR442" i="1"/>
  <c r="AS442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Q443" i="1"/>
  <c r="AR443" i="1"/>
  <c r="AS443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Q444" i="1"/>
  <c r="AR444" i="1"/>
  <c r="AS444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Q445" i="1"/>
  <c r="AR445" i="1"/>
  <c r="AS445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Q446" i="1"/>
  <c r="AR446" i="1"/>
  <c r="AS446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Q447" i="1"/>
  <c r="AR447" i="1"/>
  <c r="AS447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Q448" i="1"/>
  <c r="AR448" i="1"/>
  <c r="AS448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Q449" i="1"/>
  <c r="AR449" i="1"/>
  <c r="AS449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Q450" i="1"/>
  <c r="AR450" i="1"/>
  <c r="AS450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Q451" i="1"/>
  <c r="AR451" i="1"/>
  <c r="AS451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Q452" i="1"/>
  <c r="AR452" i="1"/>
  <c r="AS452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Q453" i="1"/>
  <c r="AR453" i="1"/>
  <c r="AS453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Q454" i="1"/>
  <c r="AR454" i="1"/>
  <c r="AS454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Q455" i="1"/>
  <c r="AR455" i="1"/>
  <c r="AS455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Q456" i="1"/>
  <c r="AR456" i="1"/>
  <c r="AS456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Q457" i="1"/>
  <c r="AR457" i="1"/>
  <c r="AS457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Q458" i="1"/>
  <c r="AR458" i="1"/>
  <c r="AS458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Q459" i="1"/>
  <c r="AR459" i="1"/>
  <c r="AS459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Q460" i="1"/>
  <c r="AR460" i="1"/>
  <c r="AS460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Q461" i="1"/>
  <c r="AR461" i="1"/>
  <c r="AS461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Q462" i="1"/>
  <c r="AR462" i="1"/>
  <c r="AS462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Q463" i="1"/>
  <c r="AR463" i="1"/>
  <c r="AS463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Q464" i="1"/>
  <c r="AR464" i="1"/>
  <c r="AS464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Q465" i="1"/>
  <c r="AR465" i="1"/>
  <c r="AS465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Q466" i="1"/>
  <c r="AR466" i="1"/>
  <c r="AS466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Q467" i="1"/>
  <c r="AR467" i="1"/>
  <c r="AS467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Q468" i="1"/>
  <c r="AR468" i="1"/>
  <c r="AS468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Q469" i="1"/>
  <c r="AR469" i="1"/>
  <c r="AS469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Q470" i="1"/>
  <c r="AR470" i="1"/>
  <c r="AS470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Q471" i="1"/>
  <c r="AR471" i="1"/>
  <c r="AS471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Q472" i="1"/>
  <c r="AR472" i="1"/>
  <c r="AS472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Q473" i="1"/>
  <c r="AR473" i="1"/>
  <c r="AS473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Q474" i="1"/>
  <c r="AR474" i="1"/>
  <c r="AS474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Q475" i="1"/>
  <c r="AR475" i="1"/>
  <c r="AS475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Q476" i="1"/>
  <c r="AR476" i="1"/>
  <c r="AS476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Q477" i="1"/>
  <c r="AR477" i="1"/>
  <c r="AS477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Q478" i="1"/>
  <c r="AR478" i="1"/>
  <c r="AS478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Q479" i="1"/>
  <c r="AR479" i="1"/>
  <c r="AS479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Q480" i="1"/>
  <c r="AR480" i="1"/>
  <c r="AS480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Q481" i="1"/>
  <c r="AR481" i="1"/>
  <c r="AS481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Q482" i="1"/>
  <c r="AR482" i="1"/>
  <c r="AS482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Q483" i="1"/>
  <c r="AR483" i="1"/>
  <c r="AS483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Q484" i="1"/>
  <c r="AR484" i="1"/>
  <c r="AS484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Q485" i="1"/>
  <c r="AR485" i="1"/>
  <c r="AS485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Q486" i="1"/>
  <c r="AR486" i="1"/>
  <c r="AS486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Q487" i="1"/>
  <c r="AR487" i="1"/>
  <c r="AS487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Q488" i="1"/>
  <c r="AR488" i="1"/>
  <c r="AS488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Q489" i="1"/>
  <c r="AR489" i="1"/>
  <c r="AS489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Q490" i="1"/>
  <c r="AR490" i="1"/>
  <c r="AS490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Q491" i="1"/>
  <c r="AR491" i="1"/>
  <c r="AS491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Q492" i="1"/>
  <c r="AR492" i="1"/>
  <c r="AS492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Q493" i="1"/>
  <c r="AR493" i="1"/>
  <c r="AS493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Q494" i="1"/>
  <c r="AR494" i="1"/>
  <c r="AS494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Q495" i="1"/>
  <c r="AR495" i="1"/>
  <c r="AS495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Q496" i="1"/>
  <c r="AR496" i="1"/>
  <c r="AS496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Q497" i="1"/>
  <c r="AR497" i="1"/>
  <c r="AS497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Q498" i="1"/>
  <c r="AR498" i="1"/>
  <c r="AS498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Q499" i="1"/>
  <c r="AR499" i="1"/>
  <c r="AS499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Q500" i="1"/>
  <c r="AR500" i="1"/>
  <c r="AS500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Q501" i="1"/>
  <c r="AR501" i="1"/>
  <c r="AS501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Q502" i="1"/>
  <c r="AR502" i="1"/>
  <c r="AS502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Q503" i="1"/>
  <c r="AR503" i="1"/>
  <c r="AS503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Q504" i="1"/>
  <c r="AR504" i="1"/>
  <c r="AS504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Q505" i="1"/>
  <c r="AR505" i="1"/>
  <c r="AS505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Q506" i="1"/>
  <c r="AR506" i="1"/>
  <c r="AS506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Q507" i="1"/>
  <c r="AR507" i="1"/>
  <c r="AS507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Q508" i="1"/>
  <c r="AR508" i="1"/>
  <c r="AS508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Q509" i="1"/>
  <c r="AR509" i="1"/>
  <c r="AS509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Q510" i="1"/>
  <c r="AR510" i="1"/>
  <c r="AS510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Q511" i="1"/>
  <c r="AR511" i="1"/>
  <c r="AS511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Q512" i="1"/>
  <c r="AR512" i="1"/>
  <c r="AS512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Q513" i="1"/>
  <c r="AR513" i="1"/>
  <c r="AS513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Q514" i="1"/>
  <c r="AR514" i="1"/>
  <c r="AS514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Q515" i="1"/>
  <c r="AR515" i="1"/>
  <c r="AS515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Q516" i="1"/>
  <c r="AR516" i="1"/>
  <c r="AS516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Q517" i="1"/>
  <c r="AR517" i="1"/>
  <c r="AS517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Q518" i="1"/>
  <c r="AR518" i="1"/>
  <c r="AS518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Q519" i="1"/>
  <c r="AR519" i="1"/>
  <c r="AS519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Q520" i="1"/>
  <c r="AR520" i="1"/>
  <c r="AS520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Q521" i="1"/>
  <c r="AR521" i="1"/>
  <c r="AS521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Q522" i="1"/>
  <c r="AR522" i="1"/>
  <c r="AS522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Q523" i="1"/>
  <c r="AR523" i="1"/>
  <c r="AS523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Q524" i="1"/>
  <c r="AR524" i="1"/>
  <c r="AS524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Q525" i="1"/>
  <c r="AR525" i="1"/>
  <c r="AS525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Q526" i="1"/>
  <c r="AR526" i="1"/>
  <c r="AS526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Q527" i="1"/>
  <c r="AR527" i="1"/>
  <c r="AS527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Q528" i="1"/>
  <c r="AR528" i="1"/>
  <c r="AS528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Q529" i="1"/>
  <c r="AR529" i="1"/>
  <c r="AS529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Q530" i="1"/>
  <c r="AR530" i="1"/>
  <c r="AS530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Q531" i="1"/>
  <c r="AR531" i="1"/>
  <c r="AS531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Q532" i="1"/>
  <c r="AR532" i="1"/>
  <c r="AS532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Q533" i="1"/>
  <c r="AR533" i="1"/>
  <c r="AS533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Q534" i="1"/>
  <c r="AR534" i="1"/>
  <c r="AS534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Q535" i="1"/>
  <c r="AR535" i="1"/>
  <c r="AS535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Q536" i="1"/>
  <c r="AR536" i="1"/>
  <c r="AS536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Q537" i="1"/>
  <c r="AR537" i="1"/>
  <c r="AS537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Q538" i="1"/>
  <c r="AR538" i="1"/>
  <c r="AS538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Q539" i="1"/>
  <c r="AR539" i="1"/>
  <c r="AS539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Q540" i="1"/>
  <c r="AR540" i="1"/>
  <c r="AS540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Q541" i="1"/>
  <c r="AR541" i="1"/>
  <c r="AS541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Q542" i="1"/>
  <c r="AR542" i="1"/>
  <c r="AS542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Q543" i="1"/>
  <c r="AR543" i="1"/>
  <c r="AS543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Q544" i="1"/>
  <c r="AR544" i="1"/>
  <c r="AS544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Q545" i="1"/>
  <c r="AR545" i="1"/>
  <c r="AS545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Q546" i="1"/>
  <c r="AR546" i="1"/>
  <c r="AS546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Q547" i="1"/>
  <c r="AR547" i="1"/>
  <c r="AS547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Q548" i="1"/>
  <c r="AR548" i="1"/>
  <c r="AS548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Q549" i="1"/>
  <c r="AR549" i="1"/>
  <c r="AS549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Q550" i="1"/>
  <c r="AR550" i="1"/>
  <c r="AS550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Q551" i="1"/>
  <c r="AR551" i="1"/>
  <c r="AS551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Q552" i="1"/>
  <c r="AR552" i="1"/>
  <c r="AS552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Q553" i="1"/>
  <c r="AR553" i="1"/>
  <c r="AS553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Q554" i="1"/>
  <c r="AR554" i="1"/>
  <c r="AS554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Q555" i="1"/>
  <c r="AR555" i="1"/>
  <c r="AS555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Q556" i="1"/>
  <c r="AR556" i="1"/>
  <c r="AS556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Q557" i="1"/>
  <c r="AR557" i="1"/>
  <c r="AS557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Q558" i="1"/>
  <c r="AR558" i="1"/>
  <c r="AS558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Q559" i="1"/>
  <c r="AR559" i="1"/>
  <c r="AS559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Q560" i="1"/>
  <c r="AR560" i="1"/>
  <c r="AS560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Q561" i="1"/>
  <c r="AR561" i="1"/>
  <c r="AS561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Q562" i="1"/>
  <c r="AR562" i="1"/>
  <c r="AS562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Q563" i="1"/>
  <c r="AR563" i="1"/>
  <c r="AS563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Q564" i="1"/>
  <c r="AR564" i="1"/>
  <c r="AS564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Q565" i="1"/>
  <c r="AR565" i="1"/>
  <c r="AS565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Q566" i="1"/>
  <c r="AR566" i="1"/>
  <c r="AS566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Q567" i="1"/>
  <c r="AR567" i="1"/>
  <c r="AS567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Q568" i="1"/>
  <c r="AR568" i="1"/>
  <c r="AS568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Q569" i="1"/>
  <c r="AR569" i="1"/>
  <c r="AS569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Q570" i="1"/>
  <c r="AR570" i="1"/>
  <c r="AS570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Q571" i="1"/>
  <c r="AR571" i="1"/>
  <c r="AS571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Q572" i="1"/>
  <c r="AR572" i="1"/>
  <c r="AS572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Q573" i="1"/>
  <c r="AR573" i="1"/>
  <c r="AS573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Q574" i="1"/>
  <c r="AR574" i="1"/>
  <c r="AS574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Q575" i="1"/>
  <c r="AR575" i="1"/>
  <c r="AS575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Q576" i="1"/>
  <c r="AR576" i="1"/>
  <c r="AS576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Q577" i="1"/>
  <c r="AR577" i="1"/>
  <c r="AS577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Q578" i="1"/>
  <c r="AR578" i="1"/>
  <c r="AS578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Q579" i="1"/>
  <c r="AR579" i="1"/>
  <c r="AS579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Q580" i="1"/>
  <c r="AR580" i="1"/>
  <c r="AS580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Q581" i="1"/>
  <c r="AR581" i="1"/>
  <c r="AS581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Q582" i="1"/>
  <c r="AR582" i="1"/>
  <c r="AS582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Q583" i="1"/>
  <c r="AR583" i="1"/>
  <c r="AS583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Q584" i="1"/>
  <c r="AR584" i="1"/>
  <c r="AS584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Q585" i="1"/>
  <c r="AR585" i="1"/>
  <c r="AS585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Q586" i="1"/>
  <c r="AR586" i="1"/>
  <c r="AS586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Q587" i="1"/>
  <c r="AR587" i="1"/>
  <c r="AS587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Q588" i="1"/>
  <c r="AR588" i="1"/>
  <c r="AS588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Q589" i="1"/>
  <c r="AR589" i="1"/>
  <c r="AS589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Q590" i="1"/>
  <c r="AR590" i="1"/>
  <c r="AS590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Q591" i="1"/>
  <c r="AR591" i="1"/>
  <c r="AS591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Q592" i="1"/>
  <c r="AR592" i="1"/>
  <c r="AS592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Q593" i="1"/>
  <c r="AR593" i="1"/>
  <c r="AS593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Q594" i="1"/>
  <c r="AR594" i="1"/>
  <c r="AS594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Q595" i="1"/>
  <c r="AR595" i="1"/>
  <c r="AS595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Q596" i="1"/>
  <c r="AR596" i="1"/>
  <c r="AS596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Q597" i="1"/>
  <c r="AR597" i="1"/>
  <c r="AS597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Q598" i="1"/>
  <c r="AR598" i="1"/>
  <c r="AS598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Q599" i="1"/>
  <c r="AR599" i="1"/>
  <c r="AS599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Q600" i="1"/>
  <c r="AR600" i="1"/>
  <c r="AS600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Q601" i="1"/>
  <c r="AR601" i="1"/>
  <c r="AS601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Q602" i="1"/>
  <c r="AR602" i="1"/>
  <c r="AS602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Q603" i="1"/>
  <c r="AR603" i="1"/>
  <c r="AS603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Q604" i="1"/>
  <c r="AR604" i="1"/>
  <c r="AS604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Q605" i="1"/>
  <c r="AR605" i="1"/>
  <c r="AS605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Q606" i="1"/>
  <c r="AR606" i="1"/>
  <c r="AS606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Q607" i="1"/>
  <c r="AR607" i="1"/>
  <c r="AS607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Q608" i="1"/>
  <c r="AR608" i="1"/>
  <c r="AS608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Q609" i="1"/>
  <c r="AR609" i="1"/>
  <c r="AS609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Q610" i="1"/>
  <c r="AR610" i="1"/>
  <c r="AS610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Q611" i="1"/>
  <c r="AR611" i="1"/>
  <c r="AS611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Q612" i="1"/>
  <c r="AR612" i="1"/>
  <c r="AS612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Q613" i="1"/>
  <c r="AR613" i="1"/>
  <c r="AS613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Q614" i="1"/>
  <c r="AR614" i="1"/>
  <c r="AS614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Q615" i="1"/>
  <c r="AR615" i="1"/>
  <c r="AS615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Q616" i="1"/>
  <c r="AR616" i="1"/>
  <c r="AS616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Q617" i="1"/>
  <c r="AR617" i="1"/>
  <c r="AS617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Q618" i="1"/>
  <c r="AR618" i="1"/>
  <c r="AS618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Q619" i="1"/>
  <c r="AR619" i="1"/>
  <c r="AS619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Q620" i="1"/>
  <c r="AR620" i="1"/>
  <c r="AS620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Q621" i="1"/>
  <c r="AR621" i="1"/>
  <c r="AS621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Q622" i="1"/>
  <c r="AR622" i="1"/>
  <c r="AS622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Q623" i="1"/>
  <c r="AR623" i="1"/>
  <c r="AS623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Q624" i="1"/>
  <c r="AR624" i="1"/>
  <c r="AS624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Q625" i="1"/>
  <c r="AR625" i="1"/>
  <c r="AS625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Q626" i="1"/>
  <c r="AR626" i="1"/>
  <c r="AS626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Q627" i="1"/>
  <c r="AR627" i="1"/>
  <c r="AS627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Q628" i="1"/>
  <c r="AR628" i="1"/>
  <c r="AS628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Q629" i="1"/>
  <c r="AR629" i="1"/>
  <c r="AS629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Q630" i="1"/>
  <c r="AR630" i="1"/>
  <c r="AS630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Q631" i="1"/>
  <c r="AR631" i="1"/>
  <c r="AS631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Q632" i="1"/>
  <c r="AR632" i="1"/>
  <c r="AS632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Q633" i="1"/>
  <c r="AR633" i="1"/>
  <c r="AS633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Q634" i="1"/>
  <c r="AR634" i="1"/>
  <c r="AS634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Q635" i="1"/>
  <c r="AR635" i="1"/>
  <c r="AS635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Q636" i="1"/>
  <c r="AR636" i="1"/>
  <c r="AS636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Q637" i="1"/>
  <c r="AR637" i="1"/>
  <c r="AS637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Q638" i="1"/>
  <c r="AR638" i="1"/>
  <c r="AS638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Q639" i="1"/>
  <c r="AR639" i="1"/>
  <c r="AS639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Q640" i="1"/>
  <c r="AR640" i="1"/>
  <c r="AS640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Q641" i="1"/>
  <c r="AR641" i="1"/>
  <c r="AS641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Q642" i="1"/>
  <c r="AR642" i="1"/>
  <c r="AS642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Q643" i="1"/>
  <c r="AR643" i="1"/>
  <c r="AS643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Q644" i="1"/>
  <c r="AR644" i="1"/>
  <c r="AS644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Q645" i="1"/>
  <c r="AR645" i="1"/>
  <c r="AS645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Q646" i="1"/>
  <c r="AR646" i="1"/>
  <c r="AS646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Q647" i="1"/>
  <c r="AR647" i="1"/>
  <c r="AS647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Q648" i="1"/>
  <c r="AR648" i="1"/>
  <c r="AS648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Q649" i="1"/>
  <c r="AR649" i="1"/>
  <c r="AS649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Q650" i="1"/>
  <c r="AR650" i="1"/>
  <c r="AS650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Q651" i="1"/>
  <c r="AR651" i="1"/>
  <c r="AS651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Q652" i="1"/>
  <c r="AR652" i="1"/>
  <c r="AS652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Q653" i="1"/>
  <c r="AR653" i="1"/>
  <c r="AS653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Q654" i="1"/>
  <c r="AR654" i="1"/>
  <c r="AS654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Q655" i="1"/>
  <c r="AR655" i="1"/>
  <c r="AS655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Q656" i="1"/>
  <c r="AR656" i="1"/>
  <c r="AS656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Q657" i="1"/>
  <c r="AR657" i="1"/>
  <c r="AS657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Q658" i="1"/>
  <c r="AR658" i="1"/>
  <c r="AS658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Q659" i="1"/>
  <c r="AR659" i="1"/>
  <c r="AS659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Q660" i="1"/>
  <c r="AR660" i="1"/>
  <c r="AS660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Q661" i="1"/>
  <c r="AR661" i="1"/>
  <c r="AS661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Q662" i="1"/>
  <c r="AR662" i="1"/>
  <c r="AS662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Q663" i="1"/>
  <c r="AR663" i="1"/>
  <c r="AS663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Q664" i="1"/>
  <c r="AR664" i="1"/>
  <c r="AS664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Q665" i="1"/>
  <c r="AR665" i="1"/>
  <c r="AS665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Q666" i="1"/>
  <c r="AR666" i="1"/>
  <c r="AS666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Q667" i="1"/>
  <c r="AR667" i="1"/>
  <c r="AS667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Q668" i="1"/>
  <c r="AR668" i="1"/>
  <c r="AS668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Q669" i="1"/>
  <c r="AR669" i="1"/>
  <c r="AS669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Q670" i="1"/>
  <c r="AR670" i="1"/>
  <c r="AS670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Q671" i="1"/>
  <c r="AR671" i="1"/>
  <c r="AS671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Q672" i="1"/>
  <c r="AR672" i="1"/>
  <c r="AS672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Q673" i="1"/>
  <c r="AR673" i="1"/>
  <c r="AS673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Q674" i="1"/>
  <c r="AR674" i="1"/>
  <c r="AS674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Q675" i="1"/>
  <c r="AR675" i="1"/>
  <c r="AS675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Q676" i="1"/>
  <c r="AR676" i="1"/>
  <c r="AS676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Q677" i="1"/>
  <c r="AR677" i="1"/>
  <c r="AS677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Q678" i="1"/>
  <c r="AR678" i="1"/>
  <c r="AS678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Q679" i="1"/>
  <c r="AR679" i="1"/>
  <c r="AS679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Q680" i="1"/>
  <c r="AR680" i="1"/>
  <c r="AS680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Q681" i="1"/>
  <c r="AR681" i="1"/>
  <c r="AS681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Q682" i="1"/>
  <c r="AR682" i="1"/>
  <c r="AS682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Q683" i="1"/>
  <c r="AR683" i="1"/>
  <c r="AS683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Q684" i="1"/>
  <c r="AR684" i="1"/>
  <c r="AS684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Q685" i="1"/>
  <c r="AR685" i="1"/>
  <c r="AS685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Q686" i="1"/>
  <c r="AR686" i="1"/>
  <c r="AS686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Q687" i="1"/>
  <c r="AR687" i="1"/>
  <c r="AS687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Q688" i="1"/>
  <c r="AR688" i="1"/>
  <c r="AS688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Q689" i="1"/>
  <c r="AR689" i="1"/>
  <c r="AS689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Q690" i="1"/>
  <c r="AR690" i="1"/>
  <c r="AS690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Q691" i="1"/>
  <c r="AR691" i="1"/>
  <c r="AS691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Q692" i="1"/>
  <c r="AR692" i="1"/>
  <c r="AS692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Q693" i="1"/>
  <c r="AR693" i="1"/>
  <c r="AS693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Q694" i="1"/>
  <c r="AR694" i="1"/>
  <c r="AS694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Q695" i="1"/>
  <c r="AR695" i="1"/>
  <c r="AS695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Q696" i="1"/>
  <c r="AR696" i="1"/>
  <c r="AS696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Q697" i="1"/>
  <c r="AR697" i="1"/>
  <c r="AS697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Q698" i="1"/>
  <c r="AR698" i="1"/>
  <c r="AS698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Q699" i="1"/>
  <c r="AR699" i="1"/>
  <c r="AS699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Q700" i="1"/>
  <c r="AR700" i="1"/>
  <c r="AS700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Q701" i="1"/>
  <c r="AR701" i="1"/>
  <c r="AS701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Q702" i="1"/>
  <c r="AR702" i="1"/>
  <c r="AS702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Q703" i="1"/>
  <c r="AR703" i="1"/>
  <c r="AS703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Q704" i="1"/>
  <c r="AR704" i="1"/>
  <c r="AS704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Q705" i="1"/>
  <c r="AR705" i="1"/>
  <c r="AS705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Q706" i="1"/>
  <c r="AR706" i="1"/>
  <c r="AS706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Q707" i="1"/>
  <c r="AR707" i="1"/>
  <c r="AS707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Q708" i="1"/>
  <c r="AR708" i="1"/>
  <c r="AS708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Q709" i="1"/>
  <c r="AR709" i="1"/>
  <c r="AS709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Q710" i="1"/>
  <c r="AR710" i="1"/>
  <c r="AS710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Q711" i="1"/>
  <c r="AR711" i="1"/>
  <c r="AS711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Q712" i="1"/>
  <c r="AR712" i="1"/>
  <c r="AS712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Q713" i="1"/>
  <c r="AR713" i="1"/>
  <c r="AS713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Q714" i="1"/>
  <c r="AR714" i="1"/>
  <c r="AS714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Q715" i="1"/>
  <c r="AR715" i="1"/>
  <c r="AS715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Q716" i="1"/>
  <c r="AR716" i="1"/>
  <c r="AS716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Q717" i="1"/>
  <c r="AR717" i="1"/>
  <c r="AS717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Q718" i="1"/>
  <c r="AR718" i="1"/>
  <c r="AS718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Q719" i="1"/>
  <c r="AR719" i="1"/>
  <c r="AS719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Q720" i="1"/>
  <c r="AR720" i="1"/>
  <c r="AS720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Q721" i="1"/>
  <c r="AR721" i="1"/>
  <c r="AS721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Q722" i="1"/>
  <c r="AR722" i="1"/>
  <c r="AS722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Q723" i="1"/>
  <c r="AR723" i="1"/>
  <c r="AS723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Q724" i="1"/>
  <c r="AR724" i="1"/>
  <c r="AS724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Q725" i="1"/>
  <c r="AR725" i="1"/>
  <c r="AS725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Q726" i="1"/>
  <c r="AR726" i="1"/>
  <c r="AS726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Q727" i="1"/>
  <c r="AR727" i="1"/>
  <c r="AS727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Q728" i="1"/>
  <c r="AR728" i="1"/>
  <c r="AS728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Q729" i="1"/>
  <c r="AR729" i="1"/>
  <c r="AS729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Q730" i="1"/>
  <c r="AR730" i="1"/>
  <c r="AS730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Q731" i="1"/>
  <c r="AR731" i="1"/>
  <c r="AS731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Q732" i="1"/>
  <c r="AR732" i="1"/>
  <c r="AS732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Q733" i="1"/>
  <c r="AR733" i="1"/>
  <c r="AS733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Q734" i="1"/>
  <c r="AR734" i="1"/>
  <c r="AS734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Q735" i="1"/>
  <c r="AR735" i="1"/>
  <c r="AS735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Q736" i="1"/>
  <c r="AR736" i="1"/>
  <c r="AS736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Q737" i="1"/>
  <c r="AR737" i="1"/>
  <c r="AS737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Q738" i="1"/>
  <c r="AR738" i="1"/>
  <c r="AS738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Q739" i="1"/>
  <c r="AR739" i="1"/>
  <c r="AS739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Q740" i="1"/>
  <c r="AR740" i="1"/>
  <c r="AS740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Q741" i="1"/>
  <c r="AR741" i="1"/>
  <c r="AS741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Q742" i="1"/>
  <c r="AR742" i="1"/>
  <c r="AS742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Q743" i="1"/>
  <c r="AR743" i="1"/>
  <c r="AS743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Q744" i="1"/>
  <c r="AR744" i="1"/>
  <c r="AS744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Q745" i="1"/>
  <c r="AR745" i="1"/>
  <c r="AS745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Q746" i="1"/>
  <c r="AR746" i="1"/>
  <c r="AS746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Q747" i="1"/>
  <c r="AR747" i="1"/>
  <c r="AS747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Q748" i="1"/>
  <c r="AR748" i="1"/>
  <c r="AS748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Q749" i="1"/>
  <c r="AR749" i="1"/>
  <c r="AS749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Q750" i="1"/>
  <c r="AR750" i="1"/>
  <c r="AS750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Q751" i="1"/>
  <c r="AR751" i="1"/>
  <c r="AS751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Q752" i="1"/>
  <c r="AR752" i="1"/>
  <c r="AS752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Q753" i="1"/>
  <c r="AR753" i="1"/>
  <c r="AS753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Q754" i="1"/>
  <c r="AR754" i="1"/>
  <c r="AS754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Q755" i="1"/>
  <c r="AR755" i="1"/>
  <c r="AS755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Q756" i="1"/>
  <c r="AR756" i="1"/>
  <c r="AS756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Q757" i="1"/>
  <c r="AR757" i="1"/>
  <c r="AS757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Q758" i="1"/>
  <c r="AR758" i="1"/>
  <c r="AS758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Q759" i="1"/>
  <c r="AR759" i="1"/>
  <c r="AS759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J760" i="1"/>
  <c r="AQ760" i="1"/>
  <c r="AR760" i="1"/>
  <c r="AS760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J761" i="1"/>
  <c r="AQ761" i="1"/>
  <c r="AR761" i="1"/>
  <c r="AS761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Q762" i="1"/>
  <c r="AR762" i="1"/>
  <c r="AS762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Q763" i="1"/>
  <c r="AR763" i="1"/>
  <c r="AS763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J764" i="1"/>
  <c r="AQ764" i="1"/>
  <c r="AR764" i="1"/>
  <c r="AS764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Q765" i="1"/>
  <c r="AR765" i="1"/>
  <c r="AS765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J766" i="1"/>
  <c r="AQ766" i="1"/>
  <c r="AR766" i="1"/>
  <c r="AS766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J767" i="1"/>
  <c r="AQ767" i="1"/>
  <c r="AR767" i="1"/>
  <c r="AS767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J768" i="1"/>
  <c r="AQ768" i="1"/>
  <c r="AR768" i="1"/>
  <c r="AS768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J769" i="1"/>
  <c r="AQ769" i="1"/>
  <c r="AR769" i="1"/>
  <c r="AS769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J770" i="1"/>
  <c r="AQ770" i="1"/>
  <c r="AR770" i="1"/>
  <c r="AS770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J771" i="1"/>
  <c r="AQ771" i="1"/>
  <c r="AR771" i="1"/>
  <c r="AS771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J772" i="1"/>
  <c r="AQ772" i="1"/>
  <c r="AR772" i="1"/>
  <c r="AS772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J773" i="1"/>
  <c r="AQ773" i="1"/>
  <c r="AR773" i="1"/>
  <c r="AS773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Q774" i="1"/>
  <c r="AR774" i="1"/>
  <c r="AS774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J775" i="1"/>
  <c r="AQ775" i="1"/>
  <c r="AR775" i="1"/>
  <c r="AS775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J776" i="1"/>
  <c r="AQ776" i="1"/>
  <c r="AR776" i="1"/>
  <c r="AS776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J777" i="1"/>
  <c r="AQ777" i="1"/>
  <c r="AR777" i="1"/>
  <c r="AS777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J778" i="1"/>
  <c r="AQ778" i="1"/>
  <c r="AR778" i="1"/>
  <c r="AS778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J779" i="1"/>
  <c r="AQ779" i="1"/>
  <c r="AR779" i="1"/>
  <c r="AS779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J780" i="1"/>
  <c r="AQ780" i="1"/>
  <c r="AR780" i="1"/>
  <c r="AS780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J781" i="1"/>
  <c r="AQ781" i="1"/>
  <c r="AR781" i="1"/>
  <c r="AS781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J782" i="1"/>
  <c r="AQ782" i="1"/>
  <c r="AR782" i="1"/>
  <c r="AS782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J783" i="1"/>
  <c r="AQ783" i="1"/>
  <c r="AR783" i="1"/>
  <c r="AS783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J784" i="1"/>
  <c r="AQ784" i="1"/>
  <c r="AR784" i="1"/>
  <c r="AS784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J785" i="1"/>
  <c r="AQ785" i="1"/>
  <c r="AR785" i="1"/>
  <c r="AS785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J786" i="1"/>
  <c r="AQ786" i="1"/>
  <c r="AR786" i="1"/>
  <c r="AS786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J787" i="1"/>
  <c r="AQ787" i="1"/>
  <c r="AR787" i="1"/>
  <c r="AS787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J788" i="1"/>
  <c r="AQ788" i="1"/>
  <c r="AR788" i="1"/>
  <c r="AS788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J789" i="1"/>
  <c r="AQ789" i="1"/>
  <c r="AR789" i="1"/>
  <c r="AS789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J790" i="1"/>
  <c r="AQ790" i="1"/>
  <c r="AR790" i="1"/>
  <c r="AS790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J791" i="1"/>
  <c r="AQ791" i="1"/>
  <c r="AR791" i="1"/>
  <c r="AS791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J792" i="1"/>
  <c r="AQ792" i="1"/>
  <c r="AR792" i="1"/>
  <c r="AS792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J793" i="1"/>
  <c r="AQ793" i="1"/>
  <c r="AR793" i="1"/>
  <c r="AS793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Q794" i="1"/>
  <c r="AR794" i="1"/>
  <c r="AS794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J795" i="1"/>
  <c r="AQ795" i="1"/>
  <c r="AR795" i="1"/>
  <c r="AS795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J796" i="1"/>
  <c r="AQ796" i="1"/>
  <c r="AR796" i="1"/>
  <c r="AS796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Q797" i="1"/>
  <c r="AR797" i="1"/>
  <c r="AS797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J798" i="1"/>
  <c r="AQ798" i="1"/>
  <c r="AR798" i="1"/>
  <c r="AS798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J799" i="1"/>
  <c r="AQ799" i="1"/>
  <c r="AR799" i="1"/>
  <c r="AS799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J800" i="1"/>
  <c r="AQ800" i="1"/>
  <c r="AR800" i="1"/>
  <c r="AS800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J801" i="1"/>
  <c r="AQ801" i="1"/>
  <c r="AR801" i="1"/>
  <c r="AS801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J802" i="1"/>
  <c r="AQ802" i="1"/>
  <c r="AR802" i="1"/>
  <c r="AS802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J803" i="1"/>
  <c r="AQ803" i="1"/>
  <c r="AR803" i="1"/>
  <c r="AS803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J804" i="1"/>
  <c r="AQ804" i="1"/>
  <c r="AR804" i="1"/>
  <c r="AS804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J805" i="1"/>
  <c r="AQ805" i="1"/>
  <c r="AR805" i="1"/>
  <c r="AS805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J806" i="1"/>
  <c r="AQ806" i="1"/>
  <c r="AR806" i="1"/>
  <c r="AS806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J807" i="1"/>
  <c r="AQ807" i="1"/>
  <c r="AR807" i="1"/>
  <c r="AS807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J808" i="1"/>
  <c r="AQ808" i="1"/>
  <c r="AR808" i="1"/>
  <c r="AS808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J809" i="1"/>
  <c r="AQ809" i="1"/>
  <c r="AR809" i="1"/>
  <c r="AS809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J810" i="1"/>
  <c r="AQ810" i="1"/>
  <c r="AR810" i="1"/>
  <c r="AS810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J811" i="1"/>
  <c r="AQ811" i="1"/>
  <c r="AR811" i="1"/>
  <c r="AS811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J812" i="1"/>
  <c r="AQ812" i="1"/>
  <c r="AR812" i="1"/>
  <c r="AS812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J813" i="1"/>
  <c r="AQ813" i="1"/>
  <c r="AR813" i="1"/>
  <c r="AS813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J814" i="1"/>
  <c r="AQ814" i="1"/>
  <c r="AR814" i="1"/>
  <c r="AS814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J815" i="1"/>
  <c r="AQ815" i="1"/>
  <c r="AR815" i="1"/>
  <c r="AS815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J816" i="1"/>
  <c r="AQ816" i="1"/>
  <c r="AR816" i="1"/>
  <c r="AS816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J817" i="1"/>
  <c r="AQ817" i="1"/>
  <c r="AR817" i="1"/>
  <c r="AS817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J818" i="1"/>
  <c r="AQ818" i="1"/>
  <c r="AR818" i="1"/>
  <c r="AS818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J819" i="1"/>
  <c r="AQ819" i="1"/>
  <c r="AR819" i="1"/>
  <c r="AS819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J820" i="1"/>
  <c r="AQ820" i="1"/>
  <c r="AR820" i="1"/>
  <c r="AS820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J821" i="1"/>
  <c r="AQ821" i="1"/>
  <c r="AR821" i="1"/>
  <c r="AS821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J822" i="1"/>
  <c r="AQ822" i="1"/>
  <c r="AR822" i="1"/>
  <c r="AS822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J823" i="1"/>
  <c r="AQ823" i="1"/>
  <c r="AR823" i="1"/>
  <c r="AS823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J824" i="1"/>
  <c r="AQ824" i="1"/>
  <c r="AR824" i="1"/>
  <c r="AS824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J825" i="1"/>
  <c r="AQ825" i="1"/>
  <c r="AR825" i="1"/>
  <c r="AS825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J826" i="1"/>
  <c r="AQ826" i="1"/>
  <c r="AR826" i="1"/>
  <c r="AS826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J827" i="1"/>
  <c r="AQ827" i="1"/>
  <c r="AR827" i="1"/>
  <c r="AS827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J828" i="1"/>
  <c r="AQ828" i="1"/>
  <c r="AR828" i="1"/>
  <c r="AS828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J829" i="1"/>
  <c r="AQ829" i="1"/>
  <c r="AR829" i="1"/>
  <c r="AS829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J830" i="1"/>
  <c r="AQ830" i="1"/>
  <c r="AR830" i="1"/>
  <c r="AS830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J831" i="1"/>
  <c r="AQ831" i="1"/>
  <c r="AR831" i="1"/>
  <c r="AS831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J832" i="1"/>
  <c r="AQ832" i="1"/>
  <c r="AR832" i="1"/>
  <c r="AS832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J833" i="1"/>
  <c r="AQ833" i="1"/>
  <c r="AR833" i="1"/>
  <c r="AS833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J834" i="1"/>
  <c r="AQ834" i="1"/>
  <c r="AR834" i="1"/>
  <c r="AS834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J835" i="1"/>
  <c r="AQ835" i="1"/>
  <c r="AR835" i="1"/>
  <c r="AS835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J836" i="1"/>
  <c r="AQ836" i="1"/>
  <c r="AR836" i="1"/>
  <c r="AS836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J837" i="1"/>
  <c r="AQ837" i="1"/>
  <c r="AR837" i="1"/>
  <c r="AS837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J838" i="1"/>
  <c r="AQ838" i="1"/>
  <c r="AR838" i="1"/>
  <c r="AS838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J839" i="1"/>
  <c r="AQ839" i="1"/>
  <c r="AR839" i="1"/>
  <c r="AS839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J840" i="1"/>
  <c r="AQ840" i="1"/>
  <c r="AR840" i="1"/>
  <c r="AS840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J841" i="1"/>
  <c r="AQ841" i="1"/>
  <c r="AR841" i="1"/>
  <c r="AS841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J842" i="1"/>
  <c r="AQ842" i="1"/>
  <c r="AR842" i="1"/>
  <c r="AS842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J843" i="1"/>
  <c r="AQ843" i="1"/>
  <c r="AR843" i="1"/>
  <c r="AS843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J844" i="1"/>
  <c r="AQ844" i="1"/>
  <c r="AR844" i="1"/>
  <c r="AS844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J845" i="1"/>
  <c r="AQ845" i="1"/>
  <c r="AR845" i="1"/>
  <c r="AS845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J846" i="1"/>
  <c r="AQ846" i="1"/>
  <c r="AR846" i="1"/>
  <c r="AS846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J847" i="1"/>
  <c r="AQ847" i="1"/>
  <c r="AR847" i="1"/>
  <c r="AS847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J848" i="1"/>
  <c r="AQ848" i="1"/>
  <c r="AR848" i="1"/>
  <c r="AS848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J849" i="1"/>
  <c r="AQ849" i="1"/>
  <c r="AR849" i="1"/>
  <c r="AS849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J850" i="1"/>
  <c r="AQ850" i="1"/>
  <c r="AR850" i="1"/>
  <c r="AS850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J851" i="1"/>
  <c r="AQ851" i="1"/>
  <c r="AR851" i="1"/>
  <c r="AS851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J852" i="1"/>
  <c r="AQ852" i="1"/>
  <c r="AR852" i="1"/>
  <c r="AS852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J853" i="1"/>
  <c r="AQ853" i="1"/>
  <c r="AR853" i="1"/>
  <c r="AS853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J854" i="1"/>
  <c r="AQ854" i="1"/>
  <c r="AR854" i="1"/>
  <c r="AS854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J855" i="1"/>
  <c r="AQ855" i="1"/>
  <c r="AR855" i="1"/>
  <c r="AS855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J856" i="1"/>
  <c r="AQ856" i="1"/>
  <c r="AR856" i="1"/>
  <c r="AS856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J857" i="1"/>
  <c r="AQ857" i="1"/>
  <c r="AR857" i="1"/>
  <c r="AS857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J858" i="1"/>
  <c r="AQ858" i="1"/>
  <c r="AR858" i="1"/>
  <c r="AS858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J859" i="1"/>
  <c r="AQ859" i="1"/>
  <c r="AR859" i="1"/>
  <c r="AS859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J860" i="1"/>
  <c r="AQ860" i="1"/>
  <c r="AR860" i="1"/>
  <c r="AS860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J861" i="1"/>
  <c r="AQ861" i="1"/>
  <c r="AR861" i="1"/>
  <c r="AS861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J862" i="1"/>
  <c r="AQ862" i="1"/>
  <c r="AR862" i="1"/>
  <c r="AS862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J863" i="1"/>
  <c r="AQ863" i="1"/>
  <c r="AR863" i="1"/>
  <c r="AS863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Q864" i="1"/>
  <c r="AR864" i="1"/>
  <c r="AS864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J865" i="1"/>
  <c r="AQ865" i="1"/>
  <c r="AR865" i="1"/>
  <c r="AS865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J866" i="1"/>
  <c r="AQ866" i="1"/>
  <c r="AR866" i="1"/>
  <c r="AS866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J867" i="1"/>
  <c r="AQ867" i="1"/>
  <c r="AR867" i="1"/>
  <c r="AS867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J868" i="1"/>
  <c r="AQ868" i="1"/>
  <c r="AR868" i="1"/>
  <c r="AS868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J869" i="1"/>
  <c r="AQ869" i="1"/>
  <c r="AR869" i="1"/>
  <c r="AS869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J870" i="1"/>
  <c r="AQ870" i="1"/>
  <c r="AR870" i="1"/>
  <c r="AS870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J871" i="1"/>
  <c r="AQ871" i="1"/>
  <c r="AR871" i="1"/>
  <c r="AS871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J872" i="1"/>
  <c r="AQ872" i="1"/>
  <c r="AR872" i="1"/>
  <c r="AS872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J873" i="1"/>
  <c r="AQ873" i="1"/>
  <c r="AR873" i="1"/>
  <c r="AS873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J874" i="1"/>
  <c r="AQ874" i="1"/>
  <c r="AR874" i="1"/>
  <c r="AS874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J875" i="1"/>
  <c r="AQ875" i="1"/>
  <c r="AR875" i="1"/>
  <c r="AS875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J876" i="1"/>
  <c r="AQ876" i="1"/>
  <c r="AR876" i="1"/>
  <c r="AS876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J877" i="1"/>
  <c r="AQ877" i="1"/>
  <c r="AR877" i="1"/>
  <c r="AS877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J878" i="1"/>
  <c r="AQ878" i="1"/>
  <c r="AR878" i="1"/>
  <c r="AS878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J879" i="1"/>
  <c r="AQ879" i="1"/>
  <c r="AR879" i="1"/>
  <c r="AS879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J880" i="1"/>
  <c r="AQ880" i="1"/>
  <c r="AR880" i="1"/>
  <c r="AS880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J881" i="1"/>
  <c r="AQ881" i="1"/>
  <c r="AR881" i="1"/>
  <c r="AS881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J882" i="1"/>
  <c r="AQ882" i="1"/>
  <c r="AR882" i="1"/>
  <c r="AS882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J883" i="1"/>
  <c r="AQ883" i="1"/>
  <c r="AR883" i="1"/>
  <c r="AS883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J884" i="1"/>
  <c r="AQ884" i="1"/>
  <c r="AR884" i="1"/>
  <c r="AS884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J885" i="1"/>
  <c r="AQ885" i="1"/>
  <c r="AR885" i="1"/>
  <c r="AS885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J886" i="1"/>
  <c r="AQ886" i="1"/>
  <c r="AR886" i="1"/>
  <c r="AS886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J887" i="1"/>
  <c r="AQ887" i="1"/>
  <c r="AR887" i="1"/>
  <c r="AS887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J888" i="1"/>
  <c r="AQ888" i="1"/>
  <c r="AR888" i="1"/>
  <c r="AS888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J889" i="1"/>
  <c r="AQ889" i="1"/>
  <c r="AR889" i="1"/>
  <c r="AS889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J890" i="1"/>
  <c r="AQ890" i="1"/>
  <c r="AR890" i="1"/>
  <c r="AS890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J891" i="1"/>
  <c r="AQ891" i="1"/>
  <c r="AR891" i="1"/>
  <c r="AS891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J892" i="1"/>
  <c r="AQ892" i="1"/>
  <c r="AR892" i="1"/>
  <c r="AS892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J893" i="1"/>
  <c r="AQ893" i="1"/>
  <c r="AR893" i="1"/>
  <c r="AS893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J894" i="1"/>
  <c r="AQ894" i="1"/>
  <c r="AR894" i="1"/>
  <c r="AS894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J895" i="1"/>
  <c r="AQ895" i="1"/>
  <c r="AR895" i="1"/>
  <c r="AS895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J896" i="1"/>
  <c r="AQ896" i="1"/>
  <c r="AR896" i="1"/>
  <c r="AS896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J897" i="1"/>
  <c r="AQ897" i="1"/>
  <c r="AR897" i="1"/>
  <c r="AS897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J898" i="1"/>
  <c r="AQ898" i="1"/>
  <c r="AR898" i="1"/>
  <c r="AS898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J899" i="1"/>
  <c r="AQ899" i="1"/>
  <c r="AR899" i="1"/>
  <c r="AS899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J900" i="1"/>
  <c r="AQ900" i="1"/>
  <c r="AR900" i="1"/>
  <c r="AS900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J901" i="1"/>
  <c r="AQ901" i="1"/>
  <c r="AR901" i="1"/>
  <c r="AS901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J902" i="1"/>
  <c r="AQ902" i="1"/>
  <c r="AR902" i="1"/>
  <c r="AS902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J903" i="1"/>
  <c r="AQ903" i="1"/>
  <c r="AR903" i="1"/>
  <c r="AS903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J904" i="1"/>
  <c r="AQ904" i="1"/>
  <c r="AR904" i="1"/>
  <c r="AS904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J905" i="1"/>
  <c r="AQ905" i="1"/>
  <c r="AR905" i="1"/>
  <c r="AS905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J906" i="1"/>
  <c r="AQ906" i="1"/>
  <c r="AR906" i="1"/>
  <c r="AS906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J907" i="1"/>
  <c r="AQ907" i="1"/>
  <c r="AR907" i="1"/>
  <c r="AS907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J908" i="1"/>
  <c r="AQ908" i="1"/>
  <c r="AR908" i="1"/>
  <c r="AS908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J909" i="1"/>
  <c r="AQ909" i="1"/>
  <c r="AR909" i="1"/>
  <c r="AS909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J910" i="1"/>
  <c r="AQ910" i="1"/>
  <c r="AR910" i="1"/>
  <c r="AS910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J911" i="1"/>
  <c r="AQ911" i="1"/>
  <c r="AR911" i="1"/>
  <c r="AS911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J912" i="1"/>
  <c r="AQ912" i="1"/>
  <c r="AR912" i="1"/>
  <c r="AS912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J913" i="1"/>
  <c r="AQ913" i="1"/>
  <c r="AR913" i="1"/>
  <c r="AS913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J914" i="1"/>
  <c r="AQ914" i="1"/>
  <c r="AR914" i="1"/>
  <c r="AS914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J915" i="1"/>
  <c r="AQ915" i="1"/>
  <c r="AR915" i="1"/>
  <c r="AS915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J916" i="1"/>
  <c r="AQ916" i="1"/>
  <c r="AR916" i="1"/>
  <c r="AS916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J917" i="1"/>
  <c r="AQ917" i="1"/>
  <c r="AR917" i="1"/>
  <c r="AS917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J918" i="1"/>
  <c r="AQ918" i="1"/>
  <c r="AR918" i="1"/>
  <c r="AS918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J919" i="1"/>
  <c r="AQ919" i="1"/>
  <c r="AR919" i="1"/>
  <c r="AS919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J920" i="1"/>
  <c r="AQ920" i="1"/>
  <c r="AR920" i="1"/>
  <c r="AS920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J921" i="1"/>
  <c r="AQ921" i="1"/>
  <c r="AR921" i="1"/>
  <c r="AS921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J922" i="1"/>
  <c r="AQ922" i="1"/>
  <c r="AR922" i="1"/>
  <c r="AS922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J923" i="1"/>
  <c r="AQ923" i="1"/>
  <c r="AR923" i="1"/>
  <c r="AS923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J924" i="1"/>
  <c r="AQ924" i="1"/>
  <c r="AR924" i="1"/>
  <c r="AS924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J925" i="1"/>
  <c r="AQ925" i="1"/>
  <c r="AR925" i="1"/>
  <c r="AS925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J926" i="1"/>
  <c r="AQ926" i="1"/>
  <c r="AR926" i="1"/>
  <c r="AS926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J927" i="1"/>
  <c r="AQ927" i="1"/>
  <c r="AR927" i="1"/>
  <c r="AS927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J928" i="1"/>
  <c r="AQ928" i="1"/>
  <c r="AR928" i="1"/>
  <c r="AS928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J929" i="1"/>
  <c r="AQ929" i="1"/>
  <c r="AR929" i="1"/>
  <c r="AS929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J930" i="1"/>
  <c r="AQ930" i="1"/>
  <c r="AR930" i="1"/>
  <c r="AS930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J931" i="1"/>
  <c r="AQ931" i="1"/>
  <c r="AR931" i="1"/>
  <c r="AS931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J932" i="1"/>
  <c r="AQ932" i="1"/>
  <c r="AR932" i="1"/>
  <c r="AS932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J933" i="1"/>
  <c r="AQ933" i="1"/>
  <c r="AR933" i="1"/>
  <c r="AS933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J934" i="1"/>
  <c r="AQ934" i="1"/>
  <c r="AR934" i="1"/>
  <c r="AS934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J935" i="1"/>
  <c r="AQ935" i="1"/>
  <c r="AR935" i="1"/>
  <c r="AS935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J936" i="1"/>
  <c r="AQ936" i="1"/>
  <c r="AR936" i="1"/>
  <c r="AS936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J937" i="1"/>
  <c r="AQ937" i="1"/>
  <c r="AR937" i="1"/>
  <c r="AS937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J938" i="1"/>
  <c r="AQ938" i="1"/>
  <c r="AR938" i="1"/>
  <c r="AS938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J939" i="1"/>
  <c r="AQ939" i="1"/>
  <c r="AR939" i="1"/>
  <c r="AS939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J940" i="1"/>
  <c r="AQ940" i="1"/>
  <c r="AR940" i="1"/>
  <c r="AS940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J941" i="1"/>
  <c r="AQ941" i="1"/>
  <c r="AR941" i="1"/>
  <c r="AS941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J942" i="1"/>
  <c r="AQ942" i="1"/>
  <c r="AR942" i="1"/>
  <c r="AS942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J943" i="1"/>
  <c r="AQ943" i="1"/>
  <c r="AR943" i="1"/>
  <c r="AS943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J944" i="1"/>
  <c r="AQ944" i="1"/>
  <c r="AR944" i="1"/>
  <c r="AS944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J945" i="1"/>
  <c r="AQ945" i="1"/>
  <c r="AR945" i="1"/>
  <c r="AS945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J946" i="1"/>
  <c r="AQ946" i="1"/>
  <c r="AR946" i="1"/>
  <c r="AS946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J947" i="1"/>
  <c r="AQ947" i="1"/>
  <c r="AR947" i="1"/>
  <c r="AS947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J948" i="1"/>
  <c r="AQ948" i="1"/>
  <c r="AR948" i="1"/>
  <c r="AS948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J949" i="1"/>
  <c r="AQ949" i="1"/>
  <c r="AR949" i="1"/>
  <c r="AS949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J950" i="1"/>
  <c r="AQ950" i="1"/>
  <c r="AR950" i="1"/>
  <c r="AS950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J951" i="1"/>
  <c r="AQ951" i="1"/>
  <c r="AR951" i="1"/>
  <c r="AS951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J952" i="1"/>
  <c r="AQ952" i="1"/>
  <c r="AR952" i="1"/>
  <c r="AS952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J953" i="1"/>
  <c r="AQ953" i="1"/>
  <c r="AR953" i="1"/>
  <c r="AS953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J954" i="1"/>
  <c r="AQ954" i="1"/>
  <c r="AR954" i="1"/>
  <c r="AS954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J955" i="1"/>
  <c r="AQ955" i="1"/>
  <c r="AR955" i="1"/>
  <c r="AS955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J956" i="1"/>
  <c r="AQ956" i="1"/>
  <c r="AR956" i="1"/>
  <c r="AS956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J957" i="1"/>
  <c r="AQ957" i="1"/>
  <c r="AR957" i="1"/>
  <c r="AS957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J958" i="1"/>
  <c r="AQ958" i="1"/>
  <c r="AR958" i="1"/>
  <c r="AS958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J959" i="1"/>
  <c r="AQ959" i="1"/>
  <c r="AR959" i="1"/>
  <c r="AS959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J960" i="1"/>
  <c r="AQ960" i="1"/>
  <c r="AR960" i="1"/>
  <c r="AS960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J961" i="1"/>
  <c r="AQ961" i="1"/>
  <c r="AR961" i="1"/>
  <c r="AS961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J962" i="1"/>
  <c r="AQ962" i="1"/>
  <c r="AR962" i="1"/>
  <c r="AS962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J963" i="1"/>
  <c r="AQ963" i="1"/>
  <c r="AR963" i="1"/>
  <c r="AS963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J964" i="1"/>
  <c r="AQ964" i="1"/>
  <c r="AR964" i="1"/>
  <c r="AS964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J965" i="1"/>
  <c r="AQ965" i="1"/>
  <c r="AR965" i="1"/>
  <c r="AS965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J966" i="1"/>
  <c r="AQ966" i="1"/>
  <c r="AR966" i="1"/>
  <c r="AS966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J967" i="1"/>
  <c r="AQ967" i="1"/>
  <c r="AR967" i="1"/>
  <c r="AS967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J968" i="1"/>
  <c r="AQ968" i="1"/>
  <c r="AR968" i="1"/>
  <c r="AS968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J969" i="1"/>
  <c r="AQ969" i="1"/>
  <c r="AR969" i="1"/>
  <c r="AS969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J970" i="1"/>
  <c r="AQ970" i="1"/>
  <c r="AR970" i="1"/>
  <c r="AS970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J971" i="1"/>
  <c r="AQ971" i="1"/>
  <c r="AR971" i="1"/>
  <c r="AS971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J972" i="1"/>
  <c r="AQ972" i="1"/>
  <c r="AR972" i="1"/>
  <c r="AS972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J973" i="1"/>
  <c r="AQ973" i="1"/>
  <c r="AR973" i="1"/>
  <c r="AS973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J974" i="1"/>
  <c r="AQ974" i="1"/>
  <c r="AR974" i="1"/>
  <c r="AS974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J975" i="1"/>
  <c r="AQ975" i="1"/>
  <c r="AR975" i="1"/>
  <c r="AS975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J976" i="1"/>
  <c r="AQ976" i="1"/>
  <c r="AR976" i="1"/>
  <c r="AS976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J977" i="1"/>
  <c r="AQ977" i="1"/>
  <c r="AR977" i="1"/>
  <c r="AS977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J978" i="1"/>
  <c r="AQ978" i="1"/>
  <c r="AR978" i="1"/>
  <c r="AS978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J979" i="1"/>
  <c r="AQ979" i="1"/>
  <c r="AR979" i="1"/>
  <c r="AS979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J980" i="1"/>
  <c r="AQ980" i="1"/>
  <c r="AR980" i="1"/>
  <c r="AS980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J981" i="1"/>
  <c r="AQ981" i="1"/>
  <c r="AR981" i="1"/>
  <c r="AS981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J982" i="1"/>
  <c r="AQ982" i="1"/>
  <c r="AR982" i="1"/>
  <c r="AS982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J983" i="1"/>
  <c r="AQ983" i="1"/>
  <c r="AR983" i="1"/>
  <c r="AS983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J984" i="1"/>
  <c r="AQ984" i="1"/>
  <c r="AR984" i="1"/>
  <c r="AS984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J985" i="1"/>
  <c r="AQ985" i="1"/>
  <c r="AR985" i="1"/>
  <c r="AS985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J986" i="1"/>
  <c r="AQ986" i="1"/>
  <c r="AR986" i="1"/>
  <c r="AS986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J987" i="1"/>
  <c r="AQ987" i="1"/>
  <c r="AR987" i="1"/>
  <c r="AS987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J988" i="1"/>
  <c r="AQ988" i="1"/>
  <c r="AR988" i="1"/>
  <c r="AS988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J989" i="1"/>
  <c r="AQ989" i="1"/>
  <c r="AR989" i="1"/>
  <c r="AS989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J990" i="1"/>
  <c r="AQ990" i="1"/>
  <c r="AR990" i="1"/>
  <c r="AS990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J991" i="1"/>
  <c r="AQ991" i="1"/>
  <c r="AR991" i="1"/>
  <c r="AS991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J992" i="1"/>
  <c r="AQ992" i="1"/>
  <c r="AR992" i="1"/>
  <c r="AS992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J993" i="1"/>
  <c r="AQ993" i="1"/>
  <c r="AR993" i="1"/>
  <c r="AS993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J994" i="1"/>
  <c r="AQ994" i="1"/>
  <c r="AR994" i="1"/>
  <c r="AS994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J995" i="1"/>
  <c r="AQ995" i="1"/>
  <c r="AR995" i="1"/>
  <c r="AS995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J996" i="1"/>
  <c r="AQ996" i="1"/>
  <c r="AR996" i="1"/>
  <c r="AS996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J997" i="1"/>
  <c r="AQ997" i="1"/>
  <c r="AR997" i="1"/>
  <c r="AS997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J998" i="1"/>
  <c r="AQ998" i="1"/>
  <c r="AR998" i="1"/>
  <c r="AS998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J999" i="1"/>
  <c r="AQ999" i="1"/>
  <c r="AR999" i="1"/>
  <c r="AS999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J1000" i="1"/>
  <c r="AQ1000" i="1"/>
  <c r="AR1000" i="1"/>
  <c r="AS1000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J1001" i="1"/>
  <c r="AQ1001" i="1"/>
  <c r="AR1001" i="1"/>
  <c r="AS1001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J1002" i="1"/>
  <c r="AQ1002" i="1"/>
  <c r="AR1002" i="1"/>
  <c r="AS1002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J1003" i="1"/>
  <c r="AQ1003" i="1"/>
  <c r="AR1003" i="1"/>
  <c r="AS1003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J1004" i="1"/>
  <c r="AQ1004" i="1"/>
  <c r="AR1004" i="1"/>
  <c r="AS1004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J1005" i="1"/>
  <c r="AQ1005" i="1"/>
  <c r="AR1005" i="1"/>
  <c r="AS1005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J1006" i="1"/>
  <c r="AQ1006" i="1"/>
  <c r="AR1006" i="1"/>
  <c r="AS1006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J1007" i="1"/>
  <c r="AQ1007" i="1"/>
  <c r="AR1007" i="1"/>
  <c r="AS1007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J1008" i="1"/>
  <c r="AQ1008" i="1"/>
  <c r="AR1008" i="1"/>
  <c r="AS1008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J1009" i="1"/>
  <c r="AQ1009" i="1"/>
  <c r="AR1009" i="1"/>
  <c r="AS1009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J1010" i="1"/>
  <c r="AQ1010" i="1"/>
  <c r="AR1010" i="1"/>
  <c r="AS1010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J1011" i="1"/>
  <c r="AQ1011" i="1"/>
  <c r="AR1011" i="1"/>
  <c r="AS1011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J1012" i="1"/>
  <c r="AQ1012" i="1"/>
  <c r="AR1012" i="1"/>
  <c r="AS1012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J1013" i="1"/>
  <c r="AQ1013" i="1"/>
  <c r="AR1013" i="1"/>
  <c r="AS1013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J1014" i="1"/>
  <c r="AQ1014" i="1"/>
  <c r="AR1014" i="1"/>
  <c r="AS1014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J1015" i="1"/>
  <c r="AQ1015" i="1"/>
  <c r="AR1015" i="1"/>
  <c r="AS1015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J1016" i="1"/>
  <c r="AQ1016" i="1"/>
  <c r="AR1016" i="1"/>
  <c r="AS1016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J1017" i="1"/>
  <c r="AQ1017" i="1"/>
  <c r="AR1017" i="1"/>
  <c r="AS1017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J1018" i="1"/>
  <c r="AQ1018" i="1"/>
  <c r="AR1018" i="1"/>
  <c r="AS1018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J1019" i="1"/>
  <c r="AQ1019" i="1"/>
  <c r="AR1019" i="1"/>
  <c r="AS1019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J1020" i="1"/>
  <c r="AQ1020" i="1"/>
  <c r="AR1020" i="1"/>
  <c r="AS1020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J1021" i="1"/>
  <c r="AQ1021" i="1"/>
  <c r="AR1021" i="1"/>
  <c r="AS1021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J1022" i="1"/>
  <c r="AQ1022" i="1"/>
  <c r="AR1022" i="1"/>
  <c r="AS1022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J1023" i="1"/>
  <c r="AQ1023" i="1"/>
  <c r="AR1023" i="1"/>
  <c r="AS1023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J1024" i="1"/>
  <c r="AQ1024" i="1"/>
  <c r="AR1024" i="1"/>
  <c r="AS1024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J1025" i="1"/>
  <c r="AQ1025" i="1"/>
  <c r="AR1025" i="1"/>
  <c r="AS1025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J1026" i="1"/>
  <c r="AQ1026" i="1"/>
  <c r="AR1026" i="1"/>
  <c r="AS1026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J1027" i="1"/>
  <c r="AQ1027" i="1"/>
  <c r="AR1027" i="1"/>
  <c r="AS1027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J1028" i="1"/>
  <c r="AQ1028" i="1"/>
  <c r="AR1028" i="1"/>
  <c r="AS1028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J1029" i="1"/>
  <c r="AQ1029" i="1"/>
  <c r="AR1029" i="1"/>
  <c r="AS1029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J1030" i="1"/>
  <c r="AQ1030" i="1"/>
  <c r="AR1030" i="1"/>
  <c r="AS1030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J1031" i="1"/>
  <c r="AQ1031" i="1"/>
  <c r="AR1031" i="1"/>
  <c r="AS1031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J1032" i="1"/>
  <c r="AQ1032" i="1"/>
  <c r="AR1032" i="1"/>
  <c r="AS1032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J1033" i="1"/>
  <c r="AQ1033" i="1"/>
  <c r="AR1033" i="1"/>
  <c r="AS1033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Q1034" i="1"/>
  <c r="AR1034" i="1"/>
  <c r="AS1034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J1035" i="1"/>
  <c r="AQ1035" i="1"/>
  <c r="AR1035" i="1"/>
  <c r="AS1035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J1036" i="1"/>
  <c r="AQ1036" i="1"/>
  <c r="AR1036" i="1"/>
  <c r="AS1036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J1037" i="1"/>
  <c r="AQ1037" i="1"/>
  <c r="AR1037" i="1"/>
  <c r="AS1037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J1038" i="1"/>
  <c r="AQ1038" i="1"/>
  <c r="AR1038" i="1"/>
  <c r="AS1038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J1039" i="1"/>
  <c r="AQ1039" i="1"/>
  <c r="AR1039" i="1"/>
  <c r="AS1039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J1040" i="1"/>
  <c r="AQ1040" i="1"/>
  <c r="AR1040" i="1"/>
  <c r="AS1040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J1041" i="1"/>
  <c r="AQ1041" i="1"/>
  <c r="AR1041" i="1"/>
  <c r="AS1041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J1042" i="1"/>
  <c r="AQ1042" i="1"/>
  <c r="AR1042" i="1"/>
  <c r="AS1042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J1043" i="1"/>
  <c r="AQ1043" i="1"/>
  <c r="AR1043" i="1"/>
  <c r="AS1043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J1044" i="1"/>
  <c r="AQ1044" i="1"/>
  <c r="AR1044" i="1"/>
  <c r="AS1044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J1045" i="1"/>
  <c r="AQ1045" i="1"/>
  <c r="AR1045" i="1"/>
  <c r="AS1045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J1046" i="1"/>
  <c r="AQ1046" i="1"/>
  <c r="AR1046" i="1"/>
  <c r="AS1046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J1047" i="1"/>
  <c r="AQ1047" i="1"/>
  <c r="AR1047" i="1"/>
  <c r="AS1047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J1048" i="1"/>
  <c r="AQ1048" i="1"/>
  <c r="AR1048" i="1"/>
  <c r="AS1048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J1049" i="1"/>
  <c r="AQ1049" i="1"/>
  <c r="AR1049" i="1"/>
  <c r="AS1049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J1050" i="1"/>
  <c r="AQ1050" i="1"/>
  <c r="AR1050" i="1"/>
  <c r="AS1050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J1051" i="1"/>
  <c r="AQ1051" i="1"/>
  <c r="AR1051" i="1"/>
  <c r="AS1051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J1052" i="1"/>
  <c r="AQ1052" i="1"/>
  <c r="AR1052" i="1"/>
  <c r="AS1052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J1053" i="1"/>
  <c r="AQ1053" i="1"/>
  <c r="AR1053" i="1"/>
  <c r="AS1053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J1054" i="1"/>
  <c r="AQ1054" i="1"/>
  <c r="AR1054" i="1"/>
  <c r="AS1054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J1055" i="1"/>
  <c r="AQ1055" i="1"/>
  <c r="AR1055" i="1"/>
  <c r="AS1055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J1056" i="1"/>
  <c r="AQ1056" i="1"/>
  <c r="AR1056" i="1"/>
  <c r="AS1056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J1057" i="1"/>
  <c r="AQ1057" i="1"/>
  <c r="AR1057" i="1"/>
  <c r="AS1057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J1058" i="1"/>
  <c r="AQ1058" i="1"/>
  <c r="AR1058" i="1"/>
  <c r="AS1058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J1059" i="1"/>
  <c r="AQ1059" i="1"/>
  <c r="AR1059" i="1"/>
  <c r="AS1059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J1060" i="1"/>
  <c r="AQ1060" i="1"/>
  <c r="AR1060" i="1"/>
  <c r="AS1060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J1061" i="1"/>
  <c r="AQ1061" i="1"/>
  <c r="AR1061" i="1"/>
  <c r="AS1061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J1062" i="1"/>
  <c r="AQ1062" i="1"/>
  <c r="AR1062" i="1"/>
  <c r="AS1062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J1063" i="1"/>
  <c r="AQ1063" i="1"/>
  <c r="AR1063" i="1"/>
  <c r="AS1063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J1064" i="1"/>
  <c r="AQ1064" i="1"/>
  <c r="AR1064" i="1"/>
  <c r="AS1064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J1065" i="1"/>
  <c r="AQ1065" i="1"/>
  <c r="AR1065" i="1"/>
  <c r="AS1065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J1066" i="1"/>
  <c r="AQ1066" i="1"/>
  <c r="AR1066" i="1"/>
  <c r="AS1066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J1067" i="1"/>
  <c r="AQ1067" i="1"/>
  <c r="AR1067" i="1"/>
  <c r="AS1067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J1068" i="1"/>
  <c r="AQ1068" i="1"/>
  <c r="AR1068" i="1"/>
  <c r="AS1068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J1069" i="1"/>
  <c r="AQ1069" i="1"/>
  <c r="AR1069" i="1"/>
  <c r="AS1069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J1070" i="1"/>
  <c r="AQ1070" i="1"/>
  <c r="AR1070" i="1"/>
  <c r="AS1070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J1071" i="1"/>
  <c r="AQ1071" i="1"/>
  <c r="AR1071" i="1"/>
  <c r="AS1071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J1072" i="1"/>
  <c r="AQ1072" i="1"/>
  <c r="AR1072" i="1"/>
  <c r="AS1072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J1073" i="1"/>
  <c r="AQ1073" i="1"/>
  <c r="AR1073" i="1"/>
  <c r="AS1073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J1074" i="1"/>
  <c r="AQ1074" i="1"/>
  <c r="AR1074" i="1"/>
  <c r="AS1074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J1075" i="1"/>
  <c r="AQ1075" i="1"/>
  <c r="AR1075" i="1"/>
  <c r="AS1075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J1076" i="1"/>
  <c r="AQ1076" i="1"/>
  <c r="AR1076" i="1"/>
  <c r="AS1076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J1077" i="1"/>
  <c r="AQ1077" i="1"/>
  <c r="AR1077" i="1"/>
  <c r="AS1077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J1078" i="1"/>
  <c r="AQ1078" i="1"/>
  <c r="AR1078" i="1"/>
  <c r="AS1078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J1079" i="1"/>
  <c r="AQ1079" i="1"/>
  <c r="AR1079" i="1"/>
  <c r="AS1079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J1080" i="1"/>
  <c r="AQ1080" i="1"/>
  <c r="AR1080" i="1"/>
  <c r="AS1080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J1081" i="1"/>
  <c r="AQ1081" i="1"/>
  <c r="AR1081" i="1"/>
  <c r="AS1081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J1082" i="1"/>
  <c r="AQ1082" i="1"/>
  <c r="AR1082" i="1"/>
  <c r="AS1082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J1083" i="1"/>
  <c r="AQ1083" i="1"/>
  <c r="AR1083" i="1"/>
  <c r="AS1083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J1084" i="1"/>
  <c r="AQ1084" i="1"/>
  <c r="AR1084" i="1"/>
  <c r="AS1084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J1085" i="1"/>
  <c r="AQ1085" i="1"/>
  <c r="AR1085" i="1"/>
  <c r="AS1085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J1086" i="1"/>
  <c r="AQ1086" i="1"/>
  <c r="AR1086" i="1"/>
  <c r="AS1086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J1087" i="1"/>
  <c r="AQ1087" i="1"/>
  <c r="AR1087" i="1"/>
  <c r="AS1087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J1088" i="1"/>
  <c r="AQ1088" i="1"/>
  <c r="AR1088" i="1"/>
  <c r="AS1088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J1089" i="1"/>
  <c r="AQ1089" i="1"/>
  <c r="AR1089" i="1"/>
  <c r="AS1089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J1090" i="1"/>
  <c r="AQ1090" i="1"/>
  <c r="AR1090" i="1"/>
  <c r="AS1090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J1091" i="1"/>
  <c r="AQ1091" i="1"/>
  <c r="AR1091" i="1"/>
  <c r="AS1091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J1092" i="1"/>
  <c r="AQ1092" i="1"/>
  <c r="AR1092" i="1"/>
  <c r="AS1092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J1093" i="1"/>
  <c r="AQ1093" i="1"/>
  <c r="AR1093" i="1"/>
  <c r="AS1093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J1094" i="1"/>
  <c r="AQ1094" i="1"/>
  <c r="AR1094" i="1"/>
  <c r="AS1094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J1095" i="1"/>
  <c r="AQ1095" i="1"/>
  <c r="AR1095" i="1"/>
  <c r="AS1095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J1096" i="1"/>
  <c r="AQ1096" i="1"/>
  <c r="AR1096" i="1"/>
  <c r="AS1096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J1097" i="1"/>
  <c r="AQ1097" i="1"/>
  <c r="AR1097" i="1"/>
  <c r="AS1097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J1098" i="1"/>
  <c r="AQ1098" i="1"/>
  <c r="AR1098" i="1"/>
  <c r="AS1098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J1099" i="1"/>
  <c r="AQ1099" i="1"/>
  <c r="AR1099" i="1"/>
  <c r="AS1099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J1100" i="1"/>
  <c r="AQ1100" i="1"/>
  <c r="AR1100" i="1"/>
  <c r="AS1100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J1101" i="1"/>
  <c r="AQ1101" i="1"/>
  <c r="AR1101" i="1"/>
  <c r="AS1101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J1102" i="1"/>
  <c r="AQ1102" i="1"/>
  <c r="AR1102" i="1"/>
  <c r="AS1102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J1103" i="1"/>
  <c r="AQ1103" i="1"/>
  <c r="AR1103" i="1"/>
  <c r="AS1103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J1104" i="1"/>
  <c r="AQ1104" i="1"/>
  <c r="AR1104" i="1"/>
  <c r="AS1104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J1105" i="1"/>
  <c r="AQ1105" i="1"/>
  <c r="AR1105" i="1"/>
  <c r="AS1105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J1106" i="1"/>
  <c r="AQ1106" i="1"/>
  <c r="AR1106" i="1"/>
  <c r="AS1106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J1107" i="1"/>
  <c r="AQ1107" i="1"/>
  <c r="AR1107" i="1"/>
  <c r="AS1107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J1108" i="1"/>
  <c r="AQ1108" i="1"/>
  <c r="AR1108" i="1"/>
  <c r="AS1108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J1109" i="1"/>
  <c r="AQ1109" i="1"/>
  <c r="AR1109" i="1"/>
  <c r="AS1109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J1110" i="1"/>
  <c r="AQ1110" i="1"/>
  <c r="AR1110" i="1"/>
  <c r="AS1110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J1111" i="1"/>
  <c r="AQ1111" i="1"/>
  <c r="AR1111" i="1"/>
  <c r="AS1111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J1112" i="1"/>
  <c r="AQ1112" i="1"/>
  <c r="AR1112" i="1"/>
  <c r="AS1112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J1113" i="1"/>
  <c r="AQ1113" i="1"/>
  <c r="AR1113" i="1"/>
  <c r="AS1113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J1114" i="1"/>
  <c r="AQ1114" i="1"/>
  <c r="AR1114" i="1"/>
  <c r="AS1114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J1115" i="1"/>
  <c r="AQ1115" i="1"/>
  <c r="AR1115" i="1"/>
  <c r="AS1115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J1116" i="1"/>
  <c r="AQ1116" i="1"/>
  <c r="AR1116" i="1"/>
  <c r="AS1116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J1117" i="1"/>
  <c r="AQ1117" i="1"/>
  <c r="AR1117" i="1"/>
  <c r="AS1117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J1118" i="1"/>
  <c r="AQ1118" i="1"/>
  <c r="AR1118" i="1"/>
  <c r="AS1118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J1119" i="1"/>
  <c r="AQ1119" i="1"/>
  <c r="AR1119" i="1"/>
  <c r="AS1119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J1120" i="1"/>
  <c r="AQ1120" i="1"/>
  <c r="AR1120" i="1"/>
  <c r="AS1120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J1121" i="1"/>
  <c r="AQ1121" i="1"/>
  <c r="AR1121" i="1"/>
  <c r="AS1121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J1122" i="1"/>
  <c r="AQ1122" i="1"/>
  <c r="AR1122" i="1"/>
  <c r="AS1122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J1123" i="1"/>
  <c r="AQ1123" i="1"/>
  <c r="AR1123" i="1"/>
  <c r="AS1123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J1124" i="1"/>
  <c r="AQ1124" i="1"/>
  <c r="AR1124" i="1"/>
  <c r="AS1124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J1125" i="1"/>
  <c r="AQ1125" i="1"/>
  <c r="AR1125" i="1"/>
  <c r="AS1125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J1126" i="1"/>
  <c r="AQ1126" i="1"/>
  <c r="AR1126" i="1"/>
  <c r="AS1126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J1127" i="1"/>
  <c r="AQ1127" i="1"/>
  <c r="AR1127" i="1"/>
  <c r="AS1127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J1128" i="1"/>
  <c r="AQ1128" i="1"/>
  <c r="AR1128" i="1"/>
  <c r="AS1128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J1129" i="1"/>
  <c r="AQ1129" i="1"/>
  <c r="AR1129" i="1"/>
  <c r="AS1129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J1130" i="1"/>
  <c r="AQ1130" i="1"/>
  <c r="AR1130" i="1"/>
  <c r="AS1130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J1131" i="1"/>
  <c r="AQ1131" i="1"/>
  <c r="AR1131" i="1"/>
  <c r="AS1131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J1132" i="1"/>
  <c r="AQ1132" i="1"/>
  <c r="AR1132" i="1"/>
  <c r="AS1132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J1133" i="1"/>
  <c r="AQ1133" i="1"/>
  <c r="AR1133" i="1"/>
  <c r="AS1133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J1134" i="1"/>
  <c r="AQ1134" i="1"/>
  <c r="AR1134" i="1"/>
  <c r="AS1134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J1135" i="1"/>
  <c r="AQ1135" i="1"/>
  <c r="AR1135" i="1"/>
  <c r="AS1135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J1136" i="1"/>
  <c r="AQ1136" i="1"/>
  <c r="AR1136" i="1"/>
  <c r="AS1136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J1137" i="1"/>
  <c r="AQ1137" i="1"/>
  <c r="AR1137" i="1"/>
  <c r="AS1137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J1138" i="1"/>
  <c r="AQ1138" i="1"/>
  <c r="AR1138" i="1"/>
  <c r="AS1138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J1139" i="1"/>
  <c r="AQ1139" i="1"/>
  <c r="AR1139" i="1"/>
  <c r="AS1139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J1140" i="1"/>
  <c r="AQ1140" i="1"/>
  <c r="AR1140" i="1"/>
  <c r="AS1140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J1141" i="1"/>
  <c r="AQ1141" i="1"/>
  <c r="AR1141" i="1"/>
  <c r="AS1141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J1142" i="1"/>
  <c r="AQ1142" i="1"/>
  <c r="AR1142" i="1"/>
  <c r="AS1142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J1143" i="1"/>
  <c r="AQ1143" i="1"/>
  <c r="AR1143" i="1"/>
  <c r="AS1143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J1144" i="1"/>
  <c r="AQ1144" i="1"/>
  <c r="AR1144" i="1"/>
  <c r="AS1144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J1145" i="1"/>
  <c r="AQ1145" i="1"/>
  <c r="AR1145" i="1"/>
  <c r="AS1145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J1146" i="1"/>
  <c r="AQ1146" i="1"/>
  <c r="AR1146" i="1"/>
  <c r="AS1146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J1147" i="1"/>
  <c r="AQ1147" i="1"/>
  <c r="AR1147" i="1"/>
  <c r="AS1147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J1148" i="1"/>
  <c r="AQ1148" i="1"/>
  <c r="AR1148" i="1"/>
  <c r="AS1148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J1149" i="1"/>
  <c r="AQ1149" i="1"/>
  <c r="AR1149" i="1"/>
  <c r="AS1149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J1150" i="1"/>
  <c r="AQ1150" i="1"/>
  <c r="AR1150" i="1"/>
  <c r="AS1150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J1151" i="1"/>
  <c r="AQ1151" i="1"/>
  <c r="AR1151" i="1"/>
  <c r="AS1151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J1152" i="1"/>
  <c r="AQ1152" i="1"/>
  <c r="AR1152" i="1"/>
  <c r="AS1152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J1153" i="1"/>
  <c r="AQ1153" i="1"/>
  <c r="AR1153" i="1"/>
  <c r="AS1153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J1154" i="1"/>
  <c r="AQ1154" i="1"/>
  <c r="AR1154" i="1"/>
  <c r="AS1154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J1155" i="1"/>
  <c r="AQ1155" i="1"/>
  <c r="AR1155" i="1"/>
  <c r="AS1155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J1156" i="1"/>
  <c r="AQ1156" i="1"/>
  <c r="AR1156" i="1"/>
  <c r="AS1156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J1157" i="1"/>
  <c r="AQ1157" i="1"/>
  <c r="AR1157" i="1"/>
  <c r="AS1157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J1158" i="1"/>
  <c r="AQ1158" i="1"/>
  <c r="AR1158" i="1"/>
  <c r="AS1158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J1159" i="1"/>
  <c r="AQ1159" i="1"/>
  <c r="AR1159" i="1"/>
  <c r="AS1159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J1160" i="1"/>
  <c r="AQ1160" i="1"/>
  <c r="AR1160" i="1"/>
  <c r="AS1160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J1161" i="1"/>
  <c r="AQ1161" i="1"/>
  <c r="AR1161" i="1"/>
  <c r="AS1161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J1162" i="1"/>
  <c r="AQ1162" i="1"/>
  <c r="AR1162" i="1"/>
  <c r="AS1162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J1163" i="1"/>
  <c r="AQ1163" i="1"/>
  <c r="AR1163" i="1"/>
  <c r="AS1163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J1164" i="1"/>
  <c r="AQ1164" i="1"/>
  <c r="AR1164" i="1"/>
  <c r="AS1164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J1165" i="1"/>
  <c r="AQ1165" i="1"/>
  <c r="AR1165" i="1"/>
  <c r="AS1165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J1166" i="1"/>
  <c r="AQ1166" i="1"/>
  <c r="AR1166" i="1"/>
  <c r="AS1166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J1167" i="1"/>
  <c r="AQ1167" i="1"/>
  <c r="AR1167" i="1"/>
  <c r="AS1167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J1168" i="1"/>
  <c r="AQ1168" i="1"/>
  <c r="AR1168" i="1"/>
  <c r="AS1168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J1169" i="1"/>
  <c r="AQ1169" i="1"/>
  <c r="AR1169" i="1"/>
  <c r="AS1169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J1170" i="1"/>
  <c r="AQ1170" i="1"/>
  <c r="AR1170" i="1"/>
  <c r="AS1170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J1171" i="1"/>
  <c r="AQ1171" i="1"/>
  <c r="AR1171" i="1"/>
  <c r="AS1171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J1172" i="1"/>
  <c r="AQ1172" i="1"/>
  <c r="AR1172" i="1"/>
  <c r="AS1172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J1173" i="1"/>
  <c r="AQ1173" i="1"/>
  <c r="AR1173" i="1"/>
  <c r="AS1173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J1174" i="1"/>
  <c r="AQ1174" i="1"/>
  <c r="AR1174" i="1"/>
  <c r="AS1174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J1175" i="1"/>
  <c r="AQ1175" i="1"/>
  <c r="AR1175" i="1"/>
  <c r="AS1175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J1176" i="1"/>
  <c r="AQ1176" i="1"/>
  <c r="AR1176" i="1"/>
  <c r="AS1176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J1177" i="1"/>
  <c r="AQ1177" i="1"/>
  <c r="AR1177" i="1"/>
  <c r="AS1177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J1178" i="1"/>
  <c r="AQ1178" i="1"/>
  <c r="AR1178" i="1"/>
  <c r="AS1178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J1179" i="1"/>
  <c r="AQ1179" i="1"/>
  <c r="AR1179" i="1"/>
  <c r="AS1179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J1180" i="1"/>
  <c r="AQ1180" i="1"/>
  <c r="AR1180" i="1"/>
  <c r="AS1180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J1181" i="1"/>
  <c r="AQ1181" i="1"/>
  <c r="AR1181" i="1"/>
  <c r="AS1181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J1182" i="1"/>
  <c r="AQ1182" i="1"/>
  <c r="AR1182" i="1"/>
  <c r="AS1182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J1183" i="1"/>
  <c r="AQ1183" i="1"/>
  <c r="AR1183" i="1"/>
  <c r="AS1183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J1184" i="1"/>
  <c r="AQ1184" i="1"/>
  <c r="AR1184" i="1"/>
  <c r="AS1184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J1185" i="1"/>
  <c r="AQ1185" i="1"/>
  <c r="AR1185" i="1"/>
  <c r="AS1185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Q1186" i="1"/>
  <c r="AR1186" i="1"/>
  <c r="AS1186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J1187" i="1"/>
  <c r="AQ1187" i="1"/>
  <c r="AR1187" i="1"/>
  <c r="AS1187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J1188" i="1"/>
  <c r="AQ1188" i="1"/>
  <c r="AR1188" i="1"/>
  <c r="AS1188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J1189" i="1"/>
  <c r="AQ1189" i="1"/>
  <c r="AR1189" i="1"/>
  <c r="AS1189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J1190" i="1"/>
  <c r="AQ1190" i="1"/>
  <c r="AR1190" i="1"/>
  <c r="AS1190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J1191" i="1"/>
  <c r="AQ1191" i="1"/>
  <c r="AR1191" i="1"/>
  <c r="AS1191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J1192" i="1"/>
  <c r="AQ1192" i="1"/>
  <c r="AR1192" i="1"/>
  <c r="AS1192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J1193" i="1"/>
  <c r="AQ1193" i="1"/>
  <c r="AR1193" i="1"/>
  <c r="AS1193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J1194" i="1"/>
  <c r="AQ1194" i="1"/>
  <c r="AR1194" i="1"/>
  <c r="AS1194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J1195" i="1"/>
  <c r="AQ1195" i="1"/>
  <c r="AR1195" i="1"/>
  <c r="AS1195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J1196" i="1"/>
  <c r="AQ1196" i="1"/>
  <c r="AR1196" i="1"/>
  <c r="AS1196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J1197" i="1"/>
  <c r="AQ1197" i="1"/>
  <c r="AR1197" i="1"/>
  <c r="AS1197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J1198" i="1"/>
  <c r="AQ1198" i="1"/>
  <c r="AR1198" i="1"/>
  <c r="AS1198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J1199" i="1"/>
  <c r="AQ1199" i="1"/>
  <c r="AR1199" i="1"/>
  <c r="AS1199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J1200" i="1"/>
  <c r="AQ1200" i="1"/>
  <c r="AR1200" i="1"/>
  <c r="AS1200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J1201" i="1"/>
  <c r="AQ1201" i="1"/>
  <c r="AR1201" i="1"/>
  <c r="AS1201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J1202" i="1"/>
  <c r="AQ1202" i="1"/>
  <c r="AR1202" i="1"/>
  <c r="AS1202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J1203" i="1"/>
  <c r="AQ1203" i="1"/>
  <c r="AR1203" i="1"/>
  <c r="AS1203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J1204" i="1"/>
  <c r="AQ1204" i="1"/>
  <c r="AR1204" i="1"/>
  <c r="AS1204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J1205" i="1"/>
  <c r="AQ1205" i="1"/>
  <c r="AR1205" i="1"/>
  <c r="AS1205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J1206" i="1"/>
  <c r="AQ1206" i="1"/>
  <c r="AR1206" i="1"/>
  <c r="AS1206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J1207" i="1"/>
  <c r="AQ1207" i="1"/>
  <c r="AR1207" i="1"/>
  <c r="AS1207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J1208" i="1"/>
  <c r="AQ1208" i="1"/>
  <c r="AR1208" i="1"/>
  <c r="AS1208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J1209" i="1"/>
  <c r="AQ1209" i="1"/>
  <c r="AR1209" i="1"/>
  <c r="AS1209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J1210" i="1"/>
  <c r="AQ1210" i="1"/>
  <c r="AR1210" i="1"/>
  <c r="AS1210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J1211" i="1"/>
  <c r="AQ1211" i="1"/>
  <c r="AR1211" i="1"/>
  <c r="AS1211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J1212" i="1"/>
  <c r="AQ1212" i="1"/>
  <c r="AR1212" i="1"/>
  <c r="AS1212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J1213" i="1"/>
  <c r="AQ1213" i="1"/>
  <c r="AR1213" i="1"/>
  <c r="AS1213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J1214" i="1"/>
  <c r="AQ1214" i="1"/>
  <c r="AR1214" i="1"/>
  <c r="AS1214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J1215" i="1"/>
  <c r="AQ1215" i="1"/>
  <c r="AR1215" i="1"/>
  <c r="AS1215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J1216" i="1"/>
  <c r="AQ1216" i="1"/>
  <c r="AR1216" i="1"/>
  <c r="AS1216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J1217" i="1"/>
  <c r="AQ1217" i="1"/>
  <c r="AR1217" i="1"/>
  <c r="AS1217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J1218" i="1"/>
  <c r="AQ1218" i="1"/>
  <c r="AR1218" i="1"/>
  <c r="AS1218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J1219" i="1"/>
  <c r="AQ1219" i="1"/>
  <c r="AR1219" i="1"/>
  <c r="AS1219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J1220" i="1"/>
  <c r="AQ1220" i="1"/>
  <c r="AR1220" i="1"/>
  <c r="AS1220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J1221" i="1"/>
  <c r="AQ1221" i="1"/>
  <c r="AR1221" i="1"/>
  <c r="AS1221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J1222" i="1"/>
  <c r="AQ1222" i="1"/>
  <c r="AR1222" i="1"/>
  <c r="AS1222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J1223" i="1"/>
  <c r="AQ1223" i="1"/>
  <c r="AR1223" i="1"/>
  <c r="AS1223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J1224" i="1"/>
  <c r="AQ1224" i="1"/>
  <c r="AR1224" i="1"/>
  <c r="AS1224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J1225" i="1"/>
  <c r="AQ1225" i="1"/>
  <c r="AR1225" i="1"/>
  <c r="AS1225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J1226" i="1"/>
  <c r="AQ1226" i="1"/>
  <c r="AR1226" i="1"/>
  <c r="AS1226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J1227" i="1"/>
  <c r="AQ1227" i="1"/>
  <c r="AR1227" i="1"/>
  <c r="AS1227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J1228" i="1"/>
  <c r="AQ1228" i="1"/>
  <c r="AR1228" i="1"/>
  <c r="AS1228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J1229" i="1"/>
  <c r="AQ1229" i="1"/>
  <c r="AR1229" i="1"/>
  <c r="AS1229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J1230" i="1"/>
  <c r="AQ1230" i="1"/>
  <c r="AR1230" i="1"/>
  <c r="AS1230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J1231" i="1"/>
  <c r="AQ1231" i="1"/>
  <c r="AR1231" i="1"/>
  <c r="AS1231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J1232" i="1"/>
  <c r="AQ1232" i="1"/>
  <c r="AR1232" i="1"/>
  <c r="AS1232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J1233" i="1"/>
  <c r="AQ1233" i="1"/>
  <c r="AR1233" i="1"/>
  <c r="AS1233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J1234" i="1"/>
  <c r="AQ1234" i="1"/>
  <c r="AR1234" i="1"/>
  <c r="AS1234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J1235" i="1"/>
  <c r="AQ1235" i="1"/>
  <c r="AR1235" i="1"/>
  <c r="AS1235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J1236" i="1"/>
  <c r="AQ1236" i="1"/>
  <c r="AR1236" i="1"/>
  <c r="AS1236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J1237" i="1"/>
  <c r="AQ1237" i="1"/>
  <c r="AR1237" i="1"/>
  <c r="AS1237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J1238" i="1"/>
  <c r="AQ1238" i="1"/>
  <c r="AR1238" i="1"/>
  <c r="AS1238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J1239" i="1"/>
  <c r="AQ1239" i="1"/>
  <c r="AR1239" i="1"/>
  <c r="AS1239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J1240" i="1"/>
  <c r="AQ1240" i="1"/>
  <c r="AR1240" i="1"/>
  <c r="AS1240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J1241" i="1"/>
  <c r="AQ1241" i="1"/>
  <c r="AR1241" i="1"/>
  <c r="AS1241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J1242" i="1"/>
  <c r="AQ1242" i="1"/>
  <c r="AR1242" i="1"/>
  <c r="AS1242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J1243" i="1"/>
  <c r="AQ1243" i="1"/>
  <c r="AR1243" i="1"/>
  <c r="AS1243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J1244" i="1"/>
  <c r="AQ1244" i="1"/>
  <c r="AR1244" i="1"/>
  <c r="AS1244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J1245" i="1"/>
  <c r="AQ1245" i="1"/>
  <c r="AR1245" i="1"/>
  <c r="AS1245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J1246" i="1"/>
  <c r="AQ1246" i="1"/>
  <c r="AR1246" i="1"/>
  <c r="AS1246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J1247" i="1"/>
  <c r="AQ1247" i="1"/>
  <c r="AR1247" i="1"/>
  <c r="AS1247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J1248" i="1"/>
  <c r="AQ1248" i="1"/>
  <c r="AR1248" i="1"/>
  <c r="AS1248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J1249" i="1"/>
  <c r="AQ1249" i="1"/>
  <c r="AR1249" i="1"/>
  <c r="AS1249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J1250" i="1"/>
  <c r="AQ1250" i="1"/>
  <c r="AR1250" i="1"/>
  <c r="AS1250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J1251" i="1"/>
  <c r="AQ1251" i="1"/>
  <c r="AR1251" i="1"/>
  <c r="AS1251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J1252" i="1"/>
  <c r="AQ1252" i="1"/>
  <c r="AR1252" i="1"/>
  <c r="AS1252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J1253" i="1"/>
  <c r="AQ1253" i="1"/>
  <c r="AR1253" i="1"/>
  <c r="AS1253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J1254" i="1"/>
  <c r="AQ1254" i="1"/>
  <c r="AR1254" i="1"/>
  <c r="AS1254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J1255" i="1"/>
  <c r="AQ1255" i="1"/>
  <c r="AR1255" i="1"/>
  <c r="AS1255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J1256" i="1"/>
  <c r="AQ1256" i="1"/>
  <c r="AR1256" i="1"/>
  <c r="AS1256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J1257" i="1"/>
  <c r="AQ1257" i="1"/>
  <c r="AR1257" i="1"/>
  <c r="AS1257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J1258" i="1"/>
  <c r="AQ1258" i="1"/>
  <c r="AR1258" i="1"/>
  <c r="AS1258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J1259" i="1"/>
  <c r="AQ1259" i="1"/>
  <c r="AR1259" i="1"/>
  <c r="AS1259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J1260" i="1"/>
  <c r="AQ1260" i="1"/>
  <c r="AR1260" i="1"/>
  <c r="AS1260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J1261" i="1"/>
  <c r="AQ1261" i="1"/>
  <c r="AR1261" i="1"/>
  <c r="AS1261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J1262" i="1"/>
  <c r="AQ1262" i="1"/>
  <c r="AR1262" i="1"/>
  <c r="AS1262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J1263" i="1"/>
  <c r="AQ1263" i="1"/>
  <c r="AR1263" i="1"/>
  <c r="AS1263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J1264" i="1"/>
  <c r="AQ1264" i="1"/>
  <c r="AR1264" i="1"/>
  <c r="AS1264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J1265" i="1"/>
  <c r="AQ1265" i="1"/>
  <c r="AR1265" i="1"/>
  <c r="AS1265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J1266" i="1"/>
  <c r="AQ1266" i="1"/>
  <c r="AR1266" i="1"/>
  <c r="AS1266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J1267" i="1"/>
  <c r="AQ1267" i="1"/>
  <c r="AR1267" i="1"/>
  <c r="AS1267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J1268" i="1"/>
  <c r="AQ1268" i="1"/>
  <c r="AR1268" i="1"/>
  <c r="AS1268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J1269" i="1"/>
  <c r="AQ1269" i="1"/>
  <c r="AR1269" i="1"/>
  <c r="AS1269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J1270" i="1"/>
  <c r="AQ1270" i="1"/>
  <c r="AR1270" i="1"/>
  <c r="AS1270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J1271" i="1"/>
  <c r="AQ1271" i="1"/>
  <c r="AR1271" i="1"/>
  <c r="AS1271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J1272" i="1"/>
  <c r="AQ1272" i="1"/>
  <c r="AR1272" i="1"/>
  <c r="AS1272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J1273" i="1"/>
  <c r="AQ1273" i="1"/>
  <c r="AR1273" i="1"/>
  <c r="AS1273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J1274" i="1"/>
  <c r="AQ1274" i="1"/>
  <c r="AR1274" i="1"/>
  <c r="AS1274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J1275" i="1"/>
  <c r="AQ1275" i="1"/>
  <c r="AR1275" i="1"/>
  <c r="AS1275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J1276" i="1"/>
  <c r="AQ1276" i="1"/>
  <c r="AR1276" i="1"/>
  <c r="AS1276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J1277" i="1"/>
  <c r="AQ1277" i="1"/>
  <c r="AR1277" i="1"/>
  <c r="AS1277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J1278" i="1"/>
  <c r="AQ1278" i="1"/>
  <c r="AR1278" i="1"/>
  <c r="AS1278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J1279" i="1"/>
  <c r="AQ1279" i="1"/>
  <c r="AR1279" i="1"/>
  <c r="AS1279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J1280" i="1"/>
  <c r="AQ1280" i="1"/>
  <c r="AR1280" i="1"/>
  <c r="AS1280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J1281" i="1"/>
  <c r="AQ1281" i="1"/>
  <c r="AR1281" i="1"/>
  <c r="AS1281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J1282" i="1"/>
  <c r="AQ1282" i="1"/>
  <c r="AR1282" i="1"/>
  <c r="AS1282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J1283" i="1"/>
  <c r="AQ1283" i="1"/>
  <c r="AR1283" i="1"/>
  <c r="AS1283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J1284" i="1"/>
  <c r="AQ1284" i="1"/>
  <c r="AR1284" i="1"/>
  <c r="AS1284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J1285" i="1"/>
  <c r="AQ1285" i="1"/>
  <c r="AR1285" i="1"/>
  <c r="AS1285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J1286" i="1"/>
  <c r="AQ1286" i="1"/>
  <c r="AR1286" i="1"/>
  <c r="AS1286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J1287" i="1"/>
  <c r="AQ1287" i="1"/>
  <c r="AR1287" i="1"/>
  <c r="AS1287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J1288" i="1"/>
  <c r="AQ1288" i="1"/>
  <c r="AR1288" i="1"/>
  <c r="AS1288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J1289" i="1"/>
  <c r="AQ1289" i="1"/>
  <c r="AR1289" i="1"/>
  <c r="AS1289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J1290" i="1"/>
  <c r="AQ1290" i="1"/>
  <c r="AR1290" i="1"/>
  <c r="AS1290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J1291" i="1"/>
  <c r="AQ1291" i="1"/>
  <c r="AR1291" i="1"/>
  <c r="AS1291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J1292" i="1"/>
  <c r="AQ1292" i="1"/>
  <c r="AR1292" i="1"/>
  <c r="AS1292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J1293" i="1"/>
  <c r="AQ1293" i="1"/>
  <c r="AR1293" i="1"/>
  <c r="AS1293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J1294" i="1"/>
  <c r="AQ1294" i="1"/>
  <c r="AR1294" i="1"/>
  <c r="AS1294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J1295" i="1"/>
  <c r="AQ1295" i="1"/>
  <c r="AR1295" i="1"/>
  <c r="AS1295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J1296" i="1"/>
  <c r="AQ1296" i="1"/>
  <c r="AR1296" i="1"/>
  <c r="AS1296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J1297" i="1"/>
  <c r="AQ1297" i="1"/>
  <c r="AR1297" i="1"/>
  <c r="AS1297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J1298" i="1"/>
  <c r="AQ1298" i="1"/>
  <c r="AR1298" i="1"/>
  <c r="AS1298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J1299" i="1"/>
  <c r="AQ1299" i="1"/>
  <c r="AR1299" i="1"/>
  <c r="AS1299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J1300" i="1"/>
  <c r="AQ1300" i="1"/>
  <c r="AR1300" i="1"/>
  <c r="AS1300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J1301" i="1"/>
  <c r="AQ1301" i="1"/>
  <c r="AR1301" i="1"/>
  <c r="AS1301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J1302" i="1"/>
  <c r="AQ1302" i="1"/>
  <c r="AR1302" i="1"/>
  <c r="AS1302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J1303" i="1"/>
  <c r="AQ1303" i="1"/>
  <c r="AR1303" i="1"/>
  <c r="AS1303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J1304" i="1"/>
  <c r="AQ1304" i="1"/>
  <c r="AR1304" i="1"/>
  <c r="AS1304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J1305" i="1"/>
  <c r="AQ1305" i="1"/>
  <c r="AR1305" i="1"/>
  <c r="AS1305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J1306" i="1"/>
  <c r="AQ1306" i="1"/>
  <c r="AR1306" i="1"/>
  <c r="AS1306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J1307" i="1"/>
  <c r="AQ1307" i="1"/>
  <c r="AR1307" i="1"/>
  <c r="AS1307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J1308" i="1"/>
  <c r="AQ1308" i="1"/>
  <c r="AR1308" i="1"/>
  <c r="AS1308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J1309" i="1"/>
  <c r="AQ1309" i="1"/>
  <c r="AR1309" i="1"/>
  <c r="AS1309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J1310" i="1"/>
  <c r="AQ1310" i="1"/>
  <c r="AR1310" i="1"/>
  <c r="AS1310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J1311" i="1"/>
  <c r="AQ1311" i="1"/>
  <c r="AR1311" i="1"/>
  <c r="AS1311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J1312" i="1"/>
  <c r="AQ1312" i="1"/>
  <c r="AR1312" i="1"/>
  <c r="AS1312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J1313" i="1"/>
  <c r="AQ1313" i="1"/>
  <c r="AR1313" i="1"/>
  <c r="AS1313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J1314" i="1"/>
  <c r="AQ1314" i="1"/>
  <c r="AR1314" i="1"/>
  <c r="AS1314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J1315" i="1"/>
  <c r="AQ1315" i="1"/>
  <c r="AR1315" i="1"/>
  <c r="AS1315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J1316" i="1"/>
  <c r="AQ1316" i="1"/>
  <c r="AR1316" i="1"/>
  <c r="AS1316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J1317" i="1"/>
  <c r="AQ1317" i="1"/>
  <c r="AR1317" i="1"/>
  <c r="AS1317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J1318" i="1"/>
  <c r="AQ1318" i="1"/>
  <c r="AR1318" i="1"/>
  <c r="AS1318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J1319" i="1"/>
  <c r="AQ1319" i="1"/>
  <c r="AR1319" i="1"/>
  <c r="AS1319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J1320" i="1"/>
  <c r="AQ1320" i="1"/>
  <c r="AR1320" i="1"/>
  <c r="AS1320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J1321" i="1"/>
  <c r="AQ1321" i="1"/>
  <c r="AR1321" i="1"/>
  <c r="AS1321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J1322" i="1"/>
  <c r="AQ1322" i="1"/>
  <c r="AR1322" i="1"/>
  <c r="AS1322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J1323" i="1"/>
  <c r="AQ1323" i="1"/>
  <c r="AR1323" i="1"/>
  <c r="AS1323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J1324" i="1"/>
  <c r="AQ1324" i="1"/>
  <c r="AR1324" i="1"/>
  <c r="AS1324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J1325" i="1"/>
  <c r="AQ1325" i="1"/>
  <c r="AR1325" i="1"/>
  <c r="AS1325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J1326" i="1"/>
  <c r="AQ1326" i="1"/>
  <c r="AR1326" i="1"/>
  <c r="AS1326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J1327" i="1"/>
  <c r="AQ1327" i="1"/>
  <c r="AR1327" i="1"/>
  <c r="AS1327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J1328" i="1"/>
  <c r="AQ1328" i="1"/>
  <c r="AR1328" i="1"/>
  <c r="AS1328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J1329" i="1"/>
  <c r="AQ1329" i="1"/>
  <c r="AR1329" i="1"/>
  <c r="AS1329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J1330" i="1"/>
  <c r="AQ1330" i="1"/>
  <c r="AR1330" i="1"/>
  <c r="AS1330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J1331" i="1"/>
  <c r="AQ1331" i="1"/>
  <c r="AR1331" i="1"/>
  <c r="AS1331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J1332" i="1"/>
  <c r="AQ1332" i="1"/>
  <c r="AR1332" i="1"/>
  <c r="AS1332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J1333" i="1"/>
  <c r="AQ1333" i="1"/>
  <c r="AR1333" i="1"/>
  <c r="AS1333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J1334" i="1"/>
  <c r="AQ1334" i="1"/>
  <c r="AR1334" i="1"/>
  <c r="AS1334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J1335" i="1"/>
  <c r="AQ1335" i="1"/>
  <c r="AR1335" i="1"/>
  <c r="AS1335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J1336" i="1"/>
  <c r="AQ1336" i="1"/>
  <c r="AR1336" i="1"/>
  <c r="AS1336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J1337" i="1"/>
  <c r="AQ1337" i="1"/>
  <c r="AR1337" i="1"/>
  <c r="AS1337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J1338" i="1"/>
  <c r="AQ1338" i="1"/>
  <c r="AR1338" i="1"/>
  <c r="AS1338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J1339" i="1"/>
  <c r="AQ1339" i="1"/>
  <c r="AR1339" i="1"/>
  <c r="AS1339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J1340" i="1"/>
  <c r="AQ1340" i="1"/>
  <c r="AR1340" i="1"/>
  <c r="AS1340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J1341" i="1"/>
  <c r="AQ1341" i="1"/>
  <c r="AR1341" i="1"/>
  <c r="AS1341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J1342" i="1"/>
  <c r="AQ1342" i="1"/>
  <c r="AR1342" i="1"/>
  <c r="AS1342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J1343" i="1"/>
  <c r="AQ1343" i="1"/>
  <c r="AR1343" i="1"/>
  <c r="AS1343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J1344" i="1"/>
  <c r="AQ1344" i="1"/>
  <c r="AR1344" i="1"/>
  <c r="AS1344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J1345" i="1"/>
  <c r="AQ1345" i="1"/>
  <c r="AR1345" i="1"/>
  <c r="AS1345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J1346" i="1"/>
  <c r="AQ1346" i="1"/>
  <c r="AR1346" i="1"/>
  <c r="AS1346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J1347" i="1"/>
  <c r="AQ1347" i="1"/>
  <c r="AR1347" i="1"/>
  <c r="AS1347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J1348" i="1"/>
  <c r="AQ1348" i="1"/>
  <c r="AR1348" i="1"/>
  <c r="AS1348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J1349" i="1"/>
  <c r="AQ1349" i="1"/>
  <c r="AR1349" i="1"/>
  <c r="AS1349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J1350" i="1"/>
  <c r="AQ1350" i="1"/>
  <c r="AR1350" i="1"/>
  <c r="AS1350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J1351" i="1"/>
  <c r="AQ1351" i="1"/>
  <c r="AR1351" i="1"/>
  <c r="AS1351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J1352" i="1"/>
  <c r="AQ1352" i="1"/>
  <c r="AR1352" i="1"/>
  <c r="AS1352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J1353" i="1"/>
  <c r="AQ1353" i="1"/>
  <c r="AR1353" i="1"/>
  <c r="AS1353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J1354" i="1"/>
  <c r="AQ1354" i="1"/>
  <c r="AR1354" i="1"/>
  <c r="AS1354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J1355" i="1"/>
  <c r="AQ1355" i="1"/>
  <c r="AR1355" i="1"/>
  <c r="AS1355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J1356" i="1"/>
  <c r="AQ1356" i="1"/>
  <c r="AR1356" i="1"/>
  <c r="AS1356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J1357" i="1"/>
  <c r="AQ1357" i="1"/>
  <c r="AR1357" i="1"/>
  <c r="AS1357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J1358" i="1"/>
  <c r="AQ1358" i="1"/>
  <c r="AR1358" i="1"/>
  <c r="AS1358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J1359" i="1"/>
  <c r="AQ1359" i="1"/>
  <c r="AR1359" i="1"/>
  <c r="AS1359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J1360" i="1"/>
  <c r="AQ1360" i="1"/>
  <c r="AR1360" i="1"/>
  <c r="AS1360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J1361" i="1"/>
  <c r="AQ1361" i="1"/>
  <c r="AR1361" i="1"/>
  <c r="AS1361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J1362" i="1"/>
  <c r="AQ1362" i="1"/>
  <c r="AR1362" i="1"/>
  <c r="AS1362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J1363" i="1"/>
  <c r="AQ1363" i="1"/>
  <c r="AR1363" i="1"/>
  <c r="AS1363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J1364" i="1"/>
  <c r="AQ1364" i="1"/>
  <c r="AR1364" i="1"/>
  <c r="AS1364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J1365" i="1"/>
  <c r="AQ1365" i="1"/>
  <c r="AR1365" i="1"/>
  <c r="AS1365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J1366" i="1"/>
  <c r="AQ1366" i="1"/>
  <c r="AR1366" i="1"/>
  <c r="AS1366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J1367" i="1"/>
  <c r="AQ1367" i="1"/>
  <c r="AR1367" i="1"/>
  <c r="AS1367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J1368" i="1"/>
  <c r="AQ1368" i="1"/>
  <c r="AR1368" i="1"/>
  <c r="AS1368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J1369" i="1"/>
  <c r="AQ1369" i="1"/>
  <c r="AR1369" i="1"/>
  <c r="AS1369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J1370" i="1"/>
  <c r="AQ1370" i="1"/>
  <c r="AR1370" i="1"/>
  <c r="AS1370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J1371" i="1"/>
  <c r="AQ1371" i="1"/>
  <c r="AR1371" i="1"/>
  <c r="AS1371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J1372" i="1"/>
  <c r="AQ1372" i="1"/>
  <c r="AR1372" i="1"/>
  <c r="AS1372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J1373" i="1"/>
  <c r="AQ1373" i="1"/>
  <c r="AR1373" i="1"/>
  <c r="AS1373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J1374" i="1"/>
  <c r="AQ1374" i="1"/>
  <c r="AR1374" i="1"/>
  <c r="AS1374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J1375" i="1"/>
  <c r="AQ1375" i="1"/>
  <c r="AR1375" i="1"/>
  <c r="AS1375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J1376" i="1"/>
  <c r="AQ1376" i="1"/>
  <c r="AR1376" i="1"/>
  <c r="AS1376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J1377" i="1"/>
  <c r="AQ1377" i="1"/>
  <c r="AR1377" i="1"/>
  <c r="AS1377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J1378" i="1"/>
  <c r="AQ1378" i="1"/>
  <c r="AR1378" i="1"/>
  <c r="AS1378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J1379" i="1"/>
  <c r="AQ1379" i="1"/>
  <c r="AR1379" i="1"/>
  <c r="AS1379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J1380" i="1"/>
  <c r="AQ1380" i="1"/>
  <c r="AR1380" i="1"/>
  <c r="AS1380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J1381" i="1"/>
  <c r="AQ1381" i="1"/>
  <c r="AR1381" i="1"/>
  <c r="AS1381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J1382" i="1"/>
  <c r="AQ1382" i="1"/>
  <c r="AR1382" i="1"/>
  <c r="AS1382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J1383" i="1"/>
  <c r="AQ1383" i="1"/>
  <c r="AR1383" i="1"/>
  <c r="AS1383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J1384" i="1"/>
  <c r="AQ1384" i="1"/>
  <c r="AR1384" i="1"/>
  <c r="AS1384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J1385" i="1"/>
  <c r="AQ1385" i="1"/>
  <c r="AR1385" i="1"/>
  <c r="AS1385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J1386" i="1"/>
  <c r="AQ1386" i="1"/>
  <c r="AR1386" i="1"/>
  <c r="AS1386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J1387" i="1"/>
  <c r="AQ1387" i="1"/>
  <c r="AR1387" i="1"/>
  <c r="AS1387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J1388" i="1"/>
  <c r="AQ1388" i="1"/>
  <c r="AR1388" i="1"/>
  <c r="AS1388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J1389" i="1"/>
  <c r="AQ1389" i="1"/>
  <c r="AR1389" i="1"/>
  <c r="AS1389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J1390" i="1"/>
  <c r="AQ1390" i="1"/>
  <c r="AR1390" i="1"/>
  <c r="AS1390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J1391" i="1"/>
  <c r="AQ1391" i="1"/>
  <c r="AR1391" i="1"/>
  <c r="AS1391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J1392" i="1"/>
  <c r="AQ1392" i="1"/>
  <c r="AR1392" i="1"/>
  <c r="AS1392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J1393" i="1"/>
  <c r="AQ1393" i="1"/>
  <c r="AR1393" i="1"/>
  <c r="AS1393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J1394" i="1"/>
  <c r="AQ1394" i="1"/>
  <c r="AR1394" i="1"/>
  <c r="AS1394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J1395" i="1"/>
  <c r="AQ1395" i="1"/>
  <c r="AR1395" i="1"/>
  <c r="AS1395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J1396" i="1"/>
  <c r="AQ1396" i="1"/>
  <c r="AR1396" i="1"/>
  <c r="AS1396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J1397" i="1"/>
  <c r="AQ1397" i="1"/>
  <c r="AR1397" i="1"/>
  <c r="AS1397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J1398" i="1"/>
  <c r="AQ1398" i="1"/>
  <c r="AR1398" i="1"/>
  <c r="AS1398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J1399" i="1"/>
  <c r="AQ1399" i="1"/>
  <c r="AR1399" i="1"/>
  <c r="AS1399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J1400" i="1"/>
  <c r="AQ1400" i="1"/>
  <c r="AR1400" i="1"/>
  <c r="AS1400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J1401" i="1"/>
  <c r="AQ1401" i="1"/>
  <c r="AR1401" i="1"/>
  <c r="AS1401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J1402" i="1"/>
  <c r="AQ1402" i="1"/>
  <c r="AR1402" i="1"/>
  <c r="AS1402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J1403" i="1"/>
  <c r="AQ1403" i="1"/>
  <c r="AR1403" i="1"/>
  <c r="AS1403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J1404" i="1"/>
  <c r="AQ1404" i="1"/>
  <c r="AR1404" i="1"/>
  <c r="AS1404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J1405" i="1"/>
  <c r="AQ1405" i="1"/>
  <c r="AR1405" i="1"/>
  <c r="AS1405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J1406" i="1"/>
  <c r="AQ1406" i="1"/>
  <c r="AR1406" i="1"/>
  <c r="AS1406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J1407" i="1"/>
  <c r="AQ1407" i="1"/>
  <c r="AR1407" i="1"/>
  <c r="AS1407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J1408" i="1"/>
  <c r="AQ1408" i="1"/>
  <c r="AR1408" i="1"/>
  <c r="AS1408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J1409" i="1"/>
  <c r="AQ1409" i="1"/>
  <c r="AR1409" i="1"/>
  <c r="AS1409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J1410" i="1"/>
  <c r="AQ1410" i="1"/>
  <c r="AR1410" i="1"/>
  <c r="AS1410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J1411" i="1"/>
  <c r="AQ1411" i="1"/>
  <c r="AR1411" i="1"/>
  <c r="AS1411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J1412" i="1"/>
  <c r="AQ1412" i="1"/>
  <c r="AR1412" i="1"/>
  <c r="AS1412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J1413" i="1"/>
  <c r="AQ1413" i="1"/>
  <c r="AR1413" i="1"/>
  <c r="AS1413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J1414" i="1"/>
  <c r="AQ1414" i="1"/>
  <c r="AR1414" i="1"/>
  <c r="AS1414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J1415" i="1"/>
  <c r="AQ1415" i="1"/>
  <c r="AR1415" i="1"/>
  <c r="AS1415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J1416" i="1"/>
  <c r="AQ1416" i="1"/>
  <c r="AR1416" i="1"/>
  <c r="AS1416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J1417" i="1"/>
  <c r="AQ1417" i="1"/>
  <c r="AR1417" i="1"/>
  <c r="AS1417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J1418" i="1"/>
  <c r="AQ1418" i="1"/>
  <c r="AR1418" i="1"/>
  <c r="AS1418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J1419" i="1"/>
  <c r="AQ1419" i="1"/>
  <c r="AR1419" i="1"/>
  <c r="AS1419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J1420" i="1"/>
  <c r="AQ1420" i="1"/>
  <c r="AR1420" i="1"/>
  <c r="AS1420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J1421" i="1"/>
  <c r="AQ1421" i="1"/>
  <c r="AR1421" i="1"/>
  <c r="AS1421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J1422" i="1"/>
  <c r="AQ1422" i="1"/>
  <c r="AR1422" i="1"/>
  <c r="AS1422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J1423" i="1"/>
  <c r="AQ1423" i="1"/>
  <c r="AR1423" i="1"/>
  <c r="AS1423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J1424" i="1"/>
  <c r="AQ1424" i="1"/>
  <c r="AR1424" i="1"/>
  <c r="AS1424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J1425" i="1"/>
  <c r="AQ1425" i="1"/>
  <c r="AR1425" i="1"/>
  <c r="AS1425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J1426" i="1"/>
  <c r="AQ1426" i="1"/>
  <c r="AR1426" i="1"/>
  <c r="AS1426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J1427" i="1"/>
  <c r="AQ1427" i="1"/>
  <c r="AR1427" i="1"/>
  <c r="AS1427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J1428" i="1"/>
  <c r="AQ1428" i="1"/>
  <c r="AR1428" i="1"/>
  <c r="AS1428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J1429" i="1"/>
  <c r="AQ1429" i="1"/>
  <c r="AR1429" i="1"/>
  <c r="AS1429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J1430" i="1"/>
  <c r="AQ1430" i="1"/>
  <c r="AR1430" i="1"/>
  <c r="AS1430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J1431" i="1"/>
  <c r="AQ1431" i="1"/>
  <c r="AR1431" i="1"/>
  <c r="AS1431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J1432" i="1"/>
  <c r="AQ1432" i="1"/>
  <c r="AR1432" i="1"/>
  <c r="AS1432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J1433" i="1"/>
  <c r="AQ1433" i="1"/>
  <c r="AR1433" i="1"/>
  <c r="AS1433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J1434" i="1"/>
  <c r="AQ1434" i="1"/>
  <c r="AR1434" i="1"/>
  <c r="AS1434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J1435" i="1"/>
  <c r="AQ1435" i="1"/>
  <c r="AR1435" i="1"/>
  <c r="AS1435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J1436" i="1"/>
  <c r="AQ1436" i="1"/>
  <c r="AR1436" i="1"/>
  <c r="AS1436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J1437" i="1"/>
  <c r="AQ1437" i="1"/>
  <c r="AR1437" i="1"/>
  <c r="AS1437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J1438" i="1"/>
  <c r="AQ1438" i="1"/>
  <c r="AR1438" i="1"/>
  <c r="AS1438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J1439" i="1"/>
  <c r="AQ1439" i="1"/>
  <c r="AR1439" i="1"/>
  <c r="AS1439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J1440" i="1"/>
  <c r="AQ1440" i="1"/>
  <c r="AR1440" i="1"/>
  <c r="AS1440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J1441" i="1"/>
  <c r="AQ1441" i="1"/>
  <c r="AR1441" i="1"/>
  <c r="AS1441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J1442" i="1"/>
  <c r="AQ1442" i="1"/>
  <c r="AR1442" i="1"/>
  <c r="AS1442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J1443" i="1"/>
  <c r="AQ1443" i="1"/>
  <c r="AR1443" i="1"/>
  <c r="AS1443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J1444" i="1"/>
  <c r="AQ1444" i="1"/>
  <c r="AR1444" i="1"/>
  <c r="AS1444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J1445" i="1"/>
  <c r="AQ1445" i="1"/>
  <c r="AR1445" i="1"/>
  <c r="AS1445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J1446" i="1"/>
  <c r="AQ1446" i="1"/>
  <c r="AR1446" i="1"/>
  <c r="AS1446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J1447" i="1"/>
  <c r="AQ1447" i="1"/>
  <c r="AR1447" i="1"/>
  <c r="AS1447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J1448" i="1"/>
  <c r="AQ1448" i="1"/>
  <c r="AR1448" i="1"/>
  <c r="AS1448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J1449" i="1"/>
  <c r="AQ1449" i="1"/>
  <c r="AR1449" i="1"/>
  <c r="AS1449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J1450" i="1"/>
  <c r="AQ1450" i="1"/>
  <c r="AR1450" i="1"/>
  <c r="AS1450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J1451" i="1"/>
  <c r="AQ1451" i="1"/>
  <c r="AR1451" i="1"/>
  <c r="AS1451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J1452" i="1"/>
  <c r="AQ1452" i="1"/>
  <c r="AR1452" i="1"/>
  <c r="AS1452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J1453" i="1"/>
  <c r="AQ1453" i="1"/>
  <c r="AR1453" i="1"/>
  <c r="AS1453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J1454" i="1"/>
  <c r="AQ1454" i="1"/>
  <c r="AR1454" i="1"/>
  <c r="AS1454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J1455" i="1"/>
  <c r="AQ1455" i="1"/>
  <c r="AR1455" i="1"/>
  <c r="AS1455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J1456" i="1"/>
  <c r="AQ1456" i="1"/>
  <c r="AR1456" i="1"/>
  <c r="AS1456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J1457" i="1"/>
  <c r="AQ1457" i="1"/>
  <c r="AR1457" i="1"/>
  <c r="AS1457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J1458" i="1"/>
  <c r="AQ1458" i="1"/>
  <c r="AR1458" i="1"/>
  <c r="AS1458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J1459" i="1"/>
  <c r="AQ1459" i="1"/>
  <c r="AR1459" i="1"/>
  <c r="AS1459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J1460" i="1"/>
  <c r="AQ1460" i="1"/>
  <c r="AR1460" i="1"/>
  <c r="AS1460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J1461" i="1"/>
  <c r="AQ1461" i="1"/>
  <c r="AR1461" i="1"/>
  <c r="AS1461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J1462" i="1"/>
  <c r="AQ1462" i="1"/>
  <c r="AR1462" i="1"/>
  <c r="AS1462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J1463" i="1"/>
  <c r="AQ1463" i="1"/>
  <c r="AR1463" i="1"/>
  <c r="AS1463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J1464" i="1"/>
  <c r="AQ1464" i="1"/>
  <c r="AR1464" i="1"/>
  <c r="AS1464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J1465" i="1"/>
  <c r="AQ1465" i="1"/>
  <c r="AR1465" i="1"/>
  <c r="AS1465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J1466" i="1"/>
  <c r="AQ1466" i="1"/>
  <c r="AR1466" i="1"/>
  <c r="AS1466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J1467" i="1"/>
  <c r="AQ1467" i="1"/>
  <c r="AR1467" i="1"/>
  <c r="AS1467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J1468" i="1"/>
  <c r="AQ1468" i="1"/>
  <c r="AR1468" i="1"/>
  <c r="AS1468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J1469" i="1"/>
  <c r="AQ1469" i="1"/>
  <c r="AR1469" i="1"/>
  <c r="AS1469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J1470" i="1"/>
  <c r="AQ1470" i="1"/>
  <c r="AR1470" i="1"/>
  <c r="AS1470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J1471" i="1"/>
  <c r="AQ1471" i="1"/>
  <c r="AR1471" i="1"/>
  <c r="AS1471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J1472" i="1"/>
  <c r="AQ1472" i="1"/>
  <c r="AR1472" i="1"/>
  <c r="AS1472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J1473" i="1"/>
  <c r="AQ1473" i="1"/>
  <c r="AR1473" i="1"/>
  <c r="AS1473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J1474" i="1"/>
  <c r="AQ1474" i="1"/>
  <c r="AR1474" i="1"/>
  <c r="AS1474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J1475" i="1"/>
  <c r="AQ1475" i="1"/>
  <c r="AR1475" i="1"/>
  <c r="AS1475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J1476" i="1"/>
  <c r="AQ1476" i="1"/>
  <c r="AR1476" i="1"/>
  <c r="AS1476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J1477" i="1"/>
  <c r="AQ1477" i="1"/>
  <c r="AR1477" i="1"/>
  <c r="AS1477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J1478" i="1"/>
  <c r="AQ1478" i="1"/>
  <c r="AR1478" i="1"/>
  <c r="AS1478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J1479" i="1"/>
  <c r="AQ1479" i="1"/>
  <c r="AR1479" i="1"/>
  <c r="AS1479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J1480" i="1"/>
  <c r="AQ1480" i="1"/>
  <c r="AR1480" i="1"/>
  <c r="AS1480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J1481" i="1"/>
  <c r="AQ1481" i="1"/>
  <c r="AR1481" i="1"/>
  <c r="AS1481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J1482" i="1"/>
  <c r="AQ1482" i="1"/>
  <c r="AR1482" i="1"/>
  <c r="AS1482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J1483" i="1"/>
  <c r="AQ1483" i="1"/>
  <c r="AR1483" i="1"/>
  <c r="AS1483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J1484" i="1"/>
  <c r="AQ1484" i="1"/>
  <c r="AR1484" i="1"/>
  <c r="AS1484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J1485" i="1"/>
  <c r="AQ1485" i="1"/>
  <c r="AR1485" i="1"/>
  <c r="AS1485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J1486" i="1"/>
  <c r="AQ1486" i="1"/>
  <c r="AR1486" i="1"/>
  <c r="AS1486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J1487" i="1"/>
  <c r="AQ1487" i="1"/>
  <c r="AR1487" i="1"/>
  <c r="AS1487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J1488" i="1"/>
  <c r="AQ1488" i="1"/>
  <c r="AR1488" i="1"/>
  <c r="AS1488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J1489" i="1"/>
  <c r="AQ1489" i="1"/>
  <c r="AR1489" i="1"/>
  <c r="AS1489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J1490" i="1"/>
  <c r="AQ1490" i="1"/>
  <c r="AR1490" i="1"/>
  <c r="AS1490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J1491" i="1"/>
  <c r="AQ1491" i="1"/>
  <c r="AR1491" i="1"/>
  <c r="AS1491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J1492" i="1"/>
  <c r="AQ1492" i="1"/>
  <c r="AR1492" i="1"/>
  <c r="AS1492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J1493" i="1"/>
  <c r="AQ1493" i="1"/>
  <c r="AR1493" i="1"/>
  <c r="AS1493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J1494" i="1"/>
  <c r="AQ1494" i="1"/>
  <c r="AR1494" i="1"/>
  <c r="AS1494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J1495" i="1"/>
  <c r="AQ1495" i="1"/>
  <c r="AR1495" i="1"/>
  <c r="AS1495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J1496" i="1"/>
  <c r="AQ1496" i="1"/>
  <c r="AR1496" i="1"/>
  <c r="AS1496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J1497" i="1"/>
  <c r="AQ1497" i="1"/>
  <c r="AR1497" i="1"/>
  <c r="AS1497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J1498" i="1"/>
  <c r="AQ1498" i="1"/>
  <c r="AR1498" i="1"/>
  <c r="AS1498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J1499" i="1"/>
  <c r="AQ1499" i="1"/>
  <c r="AR1499" i="1"/>
  <c r="AS1499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J1500" i="1"/>
  <c r="AQ1500" i="1"/>
  <c r="AR1500" i="1"/>
  <c r="AS1500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J1501" i="1"/>
  <c r="AQ1501" i="1"/>
  <c r="AR1501" i="1"/>
  <c r="AS1501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J1502" i="1"/>
  <c r="AQ1502" i="1"/>
  <c r="AR1502" i="1"/>
  <c r="AS1502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J1503" i="1"/>
  <c r="AQ1503" i="1"/>
  <c r="AR1503" i="1"/>
  <c r="AS1503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J1504" i="1"/>
  <c r="AQ1504" i="1"/>
  <c r="AR1504" i="1"/>
  <c r="AS1504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J1505" i="1"/>
  <c r="AQ1505" i="1"/>
  <c r="AR1505" i="1"/>
  <c r="AS1505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J1506" i="1"/>
  <c r="AQ1506" i="1"/>
  <c r="AR1506" i="1"/>
  <c r="AS1506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J1507" i="1"/>
  <c r="AQ1507" i="1"/>
  <c r="AR1507" i="1"/>
  <c r="AS1507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J1508" i="1"/>
  <c r="AQ1508" i="1"/>
  <c r="AR1508" i="1"/>
  <c r="AS1508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J1509" i="1"/>
  <c r="AQ1509" i="1"/>
  <c r="AR1509" i="1"/>
  <c r="AS1509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J1510" i="1"/>
  <c r="AQ1510" i="1"/>
  <c r="AR1510" i="1"/>
  <c r="AS1510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J1511" i="1"/>
  <c r="AQ1511" i="1"/>
  <c r="AR1511" i="1"/>
  <c r="AS1511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J1512" i="1"/>
  <c r="AQ1512" i="1"/>
  <c r="AR1512" i="1"/>
  <c r="AS1512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J1513" i="1"/>
  <c r="AQ1513" i="1"/>
  <c r="AR1513" i="1"/>
  <c r="AS1513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J1514" i="1"/>
  <c r="AQ1514" i="1"/>
  <c r="AR1514" i="1"/>
  <c r="AS1514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J1515" i="1"/>
  <c r="AQ1515" i="1"/>
  <c r="AR1515" i="1"/>
  <c r="AS1515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J1516" i="1"/>
  <c r="AQ1516" i="1"/>
  <c r="AR1516" i="1"/>
  <c r="AS1516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J1517" i="1"/>
  <c r="AQ1517" i="1"/>
  <c r="AR1517" i="1"/>
  <c r="AS1517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J1518" i="1"/>
  <c r="AQ1518" i="1"/>
  <c r="AR1518" i="1"/>
  <c r="AS1518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J1519" i="1"/>
  <c r="AQ1519" i="1"/>
  <c r="AR1519" i="1"/>
  <c r="AS1519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J1520" i="1"/>
  <c r="AQ1520" i="1"/>
  <c r="AR1520" i="1"/>
  <c r="AS1520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J1521" i="1"/>
  <c r="AQ1521" i="1"/>
  <c r="AR1521" i="1"/>
  <c r="AS1521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J1522" i="1"/>
  <c r="AQ1522" i="1"/>
  <c r="AR1522" i="1"/>
  <c r="AS1522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J1523" i="1"/>
  <c r="AQ1523" i="1"/>
  <c r="AR1523" i="1"/>
  <c r="AS1523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J1524" i="1"/>
  <c r="AQ1524" i="1"/>
  <c r="AR1524" i="1"/>
  <c r="AS1524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J1525" i="1"/>
  <c r="AQ1525" i="1"/>
  <c r="AR1525" i="1"/>
  <c r="AS1525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J1526" i="1"/>
  <c r="AQ1526" i="1"/>
  <c r="AR1526" i="1"/>
  <c r="AS1526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J1527" i="1"/>
  <c r="AQ1527" i="1"/>
  <c r="AR1527" i="1"/>
  <c r="AS1527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J1528" i="1"/>
  <c r="AQ1528" i="1"/>
  <c r="AR1528" i="1"/>
  <c r="AS1528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J1529" i="1"/>
  <c r="AQ1529" i="1"/>
  <c r="AR1529" i="1"/>
  <c r="AS1529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J1530" i="1"/>
  <c r="AQ1530" i="1"/>
  <c r="AR1530" i="1"/>
  <c r="AS1530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J1531" i="1"/>
  <c r="AQ1531" i="1"/>
  <c r="AR1531" i="1"/>
  <c r="AS1531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J1532" i="1"/>
  <c r="AQ1532" i="1"/>
  <c r="AR1532" i="1"/>
  <c r="AS1532" i="1"/>
  <c r="L1533" i="1"/>
  <c r="M1533" i="1"/>
  <c r="N1533" i="1"/>
  <c r="O1533" i="1"/>
  <c r="P1533" i="1"/>
  <c r="Q1533" i="1"/>
  <c r="R1533" i="1"/>
  <c r="S1533" i="1"/>
  <c r="T1533" i="1"/>
  <c r="U1533" i="1"/>
  <c r="V1533" i="1"/>
  <c r="AH1533" i="1"/>
  <c r="AI1533" i="1"/>
  <c r="AJ1533" i="1"/>
  <c r="AQ1533" i="1"/>
  <c r="AR1533" i="1"/>
  <c r="AS1533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J1539" i="1"/>
  <c r="AQ1539" i="1"/>
  <c r="AR1539" i="1"/>
  <c r="AS1539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J1540" i="1"/>
  <c r="AQ1540" i="1"/>
  <c r="AR1540" i="1"/>
  <c r="AS1540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J1541" i="1"/>
  <c r="AQ1541" i="1"/>
  <c r="AR1541" i="1"/>
  <c r="AS1541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J1542" i="1"/>
  <c r="AQ1542" i="1"/>
  <c r="AR1542" i="1"/>
  <c r="AS1542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J1543" i="1"/>
  <c r="AQ1543" i="1"/>
  <c r="AR1543" i="1"/>
  <c r="AS1543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J1544" i="1"/>
  <c r="AQ1544" i="1"/>
  <c r="AR1544" i="1"/>
  <c r="AS1544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J1545" i="1"/>
  <c r="AQ1545" i="1"/>
  <c r="AR1545" i="1"/>
  <c r="AS1545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J1546" i="1"/>
  <c r="AQ1546" i="1"/>
  <c r="AR1546" i="1"/>
  <c r="AS1546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J1547" i="1"/>
  <c r="AQ1547" i="1"/>
  <c r="AR1547" i="1"/>
  <c r="AS1547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J1548" i="1"/>
  <c r="AQ1548" i="1"/>
  <c r="AR1548" i="1"/>
  <c r="AS1548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J1549" i="1"/>
  <c r="AQ1549" i="1"/>
  <c r="AR1549" i="1"/>
  <c r="AS1549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J1550" i="1"/>
  <c r="AQ1550" i="1"/>
  <c r="AR1550" i="1"/>
  <c r="AS1550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J1551" i="1"/>
  <c r="AQ1551" i="1"/>
  <c r="AR1551" i="1"/>
  <c r="AS1551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J1552" i="1"/>
  <c r="AQ1552" i="1"/>
  <c r="AR1552" i="1"/>
  <c r="AS1552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J1553" i="1"/>
  <c r="AQ1553" i="1"/>
  <c r="AR1553" i="1"/>
  <c r="AS1553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J1554" i="1"/>
  <c r="AQ1554" i="1"/>
  <c r="AR1554" i="1"/>
  <c r="AS1554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J1555" i="1"/>
  <c r="AQ1555" i="1"/>
  <c r="AR1555" i="1"/>
  <c r="AS1555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J1556" i="1"/>
  <c r="AQ1556" i="1"/>
  <c r="AR1556" i="1"/>
  <c r="AS1556" i="1"/>
  <c r="L1557" i="1"/>
  <c r="M1557" i="1"/>
  <c r="N1557" i="1"/>
  <c r="O1557" i="1"/>
  <c r="P1557" i="1"/>
  <c r="Q1557" i="1"/>
  <c r="R1557" i="1"/>
  <c r="S1557" i="1"/>
  <c r="T1557" i="1"/>
  <c r="U1557" i="1"/>
  <c r="V1557" i="1"/>
  <c r="AH1557" i="1"/>
  <c r="AI1557" i="1"/>
  <c r="AJ1557" i="1"/>
  <c r="AQ1557" i="1"/>
  <c r="AR1557" i="1"/>
  <c r="AS1557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J1563" i="1"/>
  <c r="AQ1563" i="1"/>
  <c r="AR1563" i="1"/>
  <c r="AS1563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J1564" i="1"/>
  <c r="AQ1564" i="1"/>
  <c r="AR1564" i="1"/>
  <c r="AS1564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J1565" i="1"/>
  <c r="AQ1565" i="1"/>
  <c r="AR1565" i="1"/>
  <c r="AS1565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J1566" i="1"/>
  <c r="AQ1566" i="1"/>
  <c r="AR1566" i="1"/>
  <c r="AS1566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J1567" i="1"/>
  <c r="AQ1567" i="1"/>
  <c r="AR1567" i="1"/>
  <c r="AS1567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J1568" i="1"/>
  <c r="AQ1568" i="1"/>
  <c r="AR1568" i="1"/>
  <c r="AS1568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J1569" i="1"/>
  <c r="AQ1569" i="1"/>
  <c r="AR1569" i="1"/>
  <c r="AS1569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J1570" i="1"/>
  <c r="AM1570" i="1"/>
  <c r="AO1570" i="1"/>
  <c r="AP1570" i="1"/>
  <c r="AQ1570" i="1"/>
  <c r="AR1570" i="1"/>
  <c r="AS1570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J1571" i="1"/>
  <c r="AM1571" i="1"/>
  <c r="AO1571" i="1"/>
  <c r="AP1571" i="1"/>
  <c r="AQ1571" i="1"/>
  <c r="AR1571" i="1"/>
  <c r="AS1571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J1572" i="1"/>
  <c r="AM1572" i="1"/>
  <c r="AO1572" i="1"/>
  <c r="AP1572" i="1"/>
  <c r="AQ1572" i="1"/>
  <c r="AR1572" i="1"/>
  <c r="AS1572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J1573" i="1"/>
  <c r="AM1573" i="1"/>
  <c r="AO1573" i="1"/>
  <c r="AP1573" i="1"/>
  <c r="AQ1573" i="1"/>
  <c r="AR1573" i="1"/>
  <c r="AS1573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J1574" i="1"/>
  <c r="AM1574" i="1"/>
  <c r="AO1574" i="1"/>
  <c r="AP1574" i="1"/>
  <c r="AQ1574" i="1"/>
  <c r="AR1574" i="1"/>
  <c r="AS1574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J1575" i="1"/>
  <c r="AM1575" i="1"/>
  <c r="AO1575" i="1"/>
  <c r="AP1575" i="1"/>
  <c r="AQ1575" i="1"/>
  <c r="AR1575" i="1"/>
  <c r="AS1575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J1576" i="1"/>
  <c r="AM1576" i="1"/>
  <c r="AO1576" i="1"/>
  <c r="AP1576" i="1"/>
  <c r="AQ1576" i="1"/>
  <c r="AR1576" i="1"/>
  <c r="AS1576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J1577" i="1"/>
  <c r="AM1577" i="1"/>
  <c r="AO1577" i="1"/>
  <c r="AP1577" i="1"/>
  <c r="AQ1577" i="1"/>
  <c r="AR1577" i="1"/>
  <c r="AS1577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J1578" i="1"/>
  <c r="AM1578" i="1"/>
  <c r="AO1578" i="1"/>
  <c r="AP1578" i="1"/>
  <c r="AQ1578" i="1"/>
  <c r="AR1578" i="1"/>
  <c r="AS1578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J1579" i="1"/>
  <c r="AM1579" i="1"/>
  <c r="AO1579" i="1"/>
  <c r="AP1579" i="1"/>
  <c r="AQ1579" i="1"/>
  <c r="AR1579" i="1"/>
  <c r="AS1579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J1580" i="1"/>
  <c r="AM1580" i="1"/>
  <c r="AO1580" i="1"/>
  <c r="AP1580" i="1"/>
  <c r="AQ1580" i="1"/>
  <c r="AR1580" i="1"/>
  <c r="AS1580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J1581" i="1"/>
  <c r="AM1581" i="1"/>
  <c r="AO1581" i="1"/>
  <c r="AP1581" i="1"/>
  <c r="AQ1581" i="1"/>
  <c r="AR1581" i="1"/>
  <c r="AS1581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J1582" i="1"/>
  <c r="AM1582" i="1"/>
  <c r="AO1582" i="1"/>
  <c r="AP1582" i="1"/>
  <c r="AQ1582" i="1"/>
  <c r="AR1582" i="1"/>
  <c r="AS1582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J1583" i="1"/>
  <c r="AM1583" i="1"/>
  <c r="AO1583" i="1"/>
  <c r="AP1583" i="1"/>
  <c r="AQ1583" i="1"/>
  <c r="AR1583" i="1"/>
  <c r="AS1583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J1584" i="1"/>
  <c r="AM1584" i="1"/>
  <c r="AO1584" i="1"/>
  <c r="AP1584" i="1"/>
  <c r="AQ1584" i="1"/>
  <c r="AR1584" i="1"/>
  <c r="AS1584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J1585" i="1"/>
  <c r="AM1585" i="1"/>
  <c r="AO1585" i="1"/>
  <c r="AP1585" i="1"/>
  <c r="AQ1585" i="1"/>
  <c r="AR1585" i="1"/>
  <c r="AS1585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J1586" i="1"/>
  <c r="AM1586" i="1"/>
  <c r="AO1586" i="1"/>
  <c r="AP1586" i="1"/>
  <c r="AQ1586" i="1"/>
  <c r="AR1586" i="1"/>
  <c r="AS1586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J1587" i="1"/>
  <c r="AM1587" i="1"/>
  <c r="AO1587" i="1"/>
  <c r="AP1587" i="1"/>
  <c r="AQ1587" i="1"/>
  <c r="AR1587" i="1"/>
  <c r="AS1587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J1588" i="1"/>
  <c r="AM1588" i="1"/>
  <c r="AO1588" i="1"/>
  <c r="AP1588" i="1"/>
  <c r="AQ1588" i="1"/>
  <c r="AR1588" i="1"/>
  <c r="AS1588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J1589" i="1"/>
  <c r="AM1589" i="1"/>
  <c r="AO1589" i="1"/>
  <c r="AP1589" i="1"/>
  <c r="AQ1589" i="1"/>
  <c r="AR1589" i="1"/>
  <c r="AS1589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J1590" i="1"/>
  <c r="AM1590" i="1"/>
  <c r="AO1590" i="1"/>
  <c r="AP1590" i="1"/>
  <c r="AQ1590" i="1"/>
  <c r="AR1590" i="1"/>
  <c r="AS1590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J1591" i="1"/>
  <c r="AM1591" i="1"/>
  <c r="AO1591" i="1"/>
  <c r="AP1591" i="1"/>
  <c r="AQ1591" i="1"/>
  <c r="AR1591" i="1"/>
  <c r="AS1591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J1592" i="1"/>
  <c r="AM1592" i="1"/>
  <c r="AO1592" i="1"/>
  <c r="AP1592" i="1"/>
  <c r="AQ1592" i="1"/>
  <c r="AR1592" i="1"/>
  <c r="AS1592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J1593" i="1"/>
  <c r="AM1593" i="1"/>
  <c r="AO1593" i="1"/>
  <c r="AP1593" i="1"/>
  <c r="AQ1593" i="1"/>
  <c r="AR1593" i="1"/>
  <c r="AS1593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J1594" i="1"/>
  <c r="AM1594" i="1"/>
  <c r="AO1594" i="1"/>
  <c r="AP1594" i="1"/>
  <c r="AQ1594" i="1"/>
  <c r="AR1594" i="1"/>
  <c r="AS1594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J1595" i="1"/>
  <c r="AM1595" i="1"/>
  <c r="AO1595" i="1"/>
  <c r="AP1595" i="1"/>
  <c r="AQ1595" i="1"/>
  <c r="AR1595" i="1"/>
  <c r="AS1595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J1596" i="1"/>
  <c r="AP1596" i="1"/>
  <c r="AQ1596" i="1"/>
  <c r="AR1596" i="1"/>
  <c r="AS1596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J1597" i="1"/>
  <c r="AP1597" i="1"/>
  <c r="AQ1597" i="1"/>
  <c r="AR1597" i="1"/>
  <c r="AS1597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J1598" i="1"/>
  <c r="AP1598" i="1"/>
  <c r="AQ1598" i="1"/>
  <c r="AR1598" i="1"/>
  <c r="AS1598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J1599" i="1"/>
  <c r="AP1599" i="1"/>
  <c r="AQ1599" i="1"/>
  <c r="AR1599" i="1"/>
  <c r="AS1599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J1600" i="1"/>
  <c r="AP1600" i="1"/>
  <c r="AQ1600" i="1"/>
  <c r="AR1600" i="1"/>
  <c r="AS1600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Z1601" i="1"/>
  <c r="AB1601" i="1"/>
  <c r="AC1601" i="1"/>
  <c r="AD1601" i="1"/>
  <c r="AE1601" i="1"/>
  <c r="AH1601" i="1"/>
  <c r="AI1601" i="1"/>
  <c r="AJ1601" i="1"/>
  <c r="AP1601" i="1"/>
  <c r="AQ1601" i="1"/>
  <c r="AR1601" i="1"/>
  <c r="AS1601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J1607" i="1"/>
  <c r="AQ1607" i="1"/>
  <c r="AR1607" i="1"/>
  <c r="AS1607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J1608" i="1"/>
  <c r="AQ1608" i="1"/>
  <c r="AR1608" i="1"/>
  <c r="AS1608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J1609" i="1"/>
  <c r="AQ1609" i="1"/>
  <c r="AR1609" i="1"/>
  <c r="AS1609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J1610" i="1"/>
  <c r="AQ1610" i="1"/>
  <c r="AR1610" i="1"/>
  <c r="AS1610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J1611" i="1"/>
  <c r="AQ1611" i="1"/>
  <c r="AR1611" i="1"/>
  <c r="AS1611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J1612" i="1"/>
  <c r="AQ1612" i="1"/>
  <c r="AR1612" i="1"/>
  <c r="AS1612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J1613" i="1"/>
  <c r="AQ1613" i="1"/>
  <c r="AR1613" i="1"/>
  <c r="AS1613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J1614" i="1"/>
  <c r="AQ1614" i="1"/>
  <c r="AR1614" i="1"/>
  <c r="AS1614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J1615" i="1"/>
  <c r="AQ1615" i="1"/>
  <c r="AR1615" i="1"/>
  <c r="AS1615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J1616" i="1"/>
  <c r="AN1616" i="1"/>
  <c r="AO1616" i="1"/>
  <c r="AP1616" i="1"/>
  <c r="AQ1616" i="1"/>
  <c r="AR1616" i="1"/>
  <c r="AS1616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J1617" i="1"/>
  <c r="AN1617" i="1"/>
  <c r="AO1617" i="1"/>
  <c r="AP1617" i="1"/>
  <c r="AQ1617" i="1"/>
  <c r="AR1617" i="1"/>
  <c r="AS1617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J1618" i="1"/>
  <c r="AN1618" i="1"/>
  <c r="AO1618" i="1"/>
  <c r="AP1618" i="1"/>
  <c r="AQ1618" i="1"/>
  <c r="AR1618" i="1"/>
  <c r="AS1618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J1619" i="1"/>
  <c r="AN1619" i="1"/>
  <c r="AO1619" i="1"/>
  <c r="AP1619" i="1"/>
  <c r="AQ1619" i="1"/>
  <c r="AR1619" i="1"/>
  <c r="AS1619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J1620" i="1"/>
  <c r="AN1620" i="1"/>
  <c r="AO1620" i="1"/>
  <c r="AP1620" i="1"/>
  <c r="AQ1620" i="1"/>
  <c r="AR1620" i="1"/>
  <c r="AS1620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J1621" i="1"/>
  <c r="AN1621" i="1"/>
  <c r="AO1621" i="1"/>
  <c r="AP1621" i="1"/>
  <c r="AQ1621" i="1"/>
  <c r="AR1621" i="1"/>
  <c r="AS1621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J1622" i="1"/>
  <c r="AN1622" i="1"/>
  <c r="AO1622" i="1"/>
  <c r="AP1622" i="1"/>
  <c r="AQ1622" i="1"/>
  <c r="AR1622" i="1"/>
  <c r="AS1622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J1623" i="1"/>
  <c r="AN1623" i="1"/>
  <c r="AO1623" i="1"/>
  <c r="AP1623" i="1"/>
  <c r="AQ1623" i="1"/>
  <c r="AR1623" i="1"/>
  <c r="AS1623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J1624" i="1"/>
  <c r="AN1624" i="1"/>
  <c r="AO1624" i="1"/>
  <c r="AP1624" i="1"/>
  <c r="AQ1624" i="1"/>
  <c r="AR1624" i="1"/>
  <c r="AS1624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J1625" i="1"/>
  <c r="AN1625" i="1"/>
  <c r="AO1625" i="1"/>
  <c r="AP1625" i="1"/>
  <c r="AQ1625" i="1"/>
  <c r="AR1625" i="1"/>
  <c r="AS1625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J1626" i="1"/>
  <c r="AN1626" i="1"/>
  <c r="AO1626" i="1"/>
  <c r="AP1626" i="1"/>
  <c r="AQ1626" i="1"/>
  <c r="AR1626" i="1"/>
  <c r="AS1626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J1627" i="1"/>
  <c r="AN1627" i="1"/>
  <c r="AO1627" i="1"/>
  <c r="AP1627" i="1"/>
  <c r="AQ1627" i="1"/>
  <c r="AR1627" i="1"/>
  <c r="AS1627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J1628" i="1"/>
  <c r="AN1628" i="1"/>
  <c r="AO1628" i="1"/>
  <c r="AP1628" i="1"/>
  <c r="AQ1628" i="1"/>
  <c r="AR1628" i="1"/>
  <c r="AS1628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J1629" i="1"/>
  <c r="AN1629" i="1"/>
  <c r="AO1629" i="1"/>
  <c r="AP1629" i="1"/>
  <c r="AQ1629" i="1"/>
  <c r="AR1629" i="1"/>
  <c r="AS1629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J1630" i="1"/>
  <c r="AN1630" i="1"/>
  <c r="AO1630" i="1"/>
  <c r="AP1630" i="1"/>
  <c r="AQ1630" i="1"/>
  <c r="AR1630" i="1"/>
  <c r="AS1630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J1631" i="1"/>
  <c r="AN1631" i="1"/>
  <c r="AO1631" i="1"/>
  <c r="AP1631" i="1"/>
  <c r="AQ1631" i="1"/>
  <c r="AR1631" i="1"/>
  <c r="AS1631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J1632" i="1"/>
  <c r="AN1632" i="1"/>
  <c r="AO1632" i="1"/>
  <c r="AP1632" i="1"/>
  <c r="AQ1632" i="1"/>
  <c r="AR1632" i="1"/>
  <c r="AS1632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J1633" i="1"/>
  <c r="AN1633" i="1"/>
  <c r="AO1633" i="1"/>
  <c r="AP1633" i="1"/>
  <c r="AQ1633" i="1"/>
  <c r="AR1633" i="1"/>
  <c r="AS1633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J1634" i="1"/>
  <c r="AN1634" i="1"/>
  <c r="AO1634" i="1"/>
  <c r="AP1634" i="1"/>
  <c r="AQ1634" i="1"/>
  <c r="AR1634" i="1"/>
  <c r="AS1634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J1635" i="1"/>
  <c r="AN1635" i="1"/>
  <c r="AO1635" i="1"/>
  <c r="AP1635" i="1"/>
  <c r="AQ1635" i="1"/>
  <c r="AR1635" i="1"/>
  <c r="AS1635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J1636" i="1"/>
  <c r="AN1636" i="1"/>
  <c r="AO1636" i="1"/>
  <c r="AP1636" i="1"/>
  <c r="AQ1636" i="1"/>
  <c r="AR1636" i="1"/>
  <c r="AS1636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J1637" i="1"/>
  <c r="AN1637" i="1"/>
  <c r="AO1637" i="1"/>
  <c r="AP1637" i="1"/>
  <c r="AQ1637" i="1"/>
  <c r="AR1637" i="1"/>
  <c r="AS1637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J1638" i="1"/>
  <c r="AN1638" i="1"/>
  <c r="AO1638" i="1"/>
  <c r="AP1638" i="1"/>
  <c r="AQ1638" i="1"/>
  <c r="AR1638" i="1"/>
  <c r="AS1638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J1639" i="1"/>
  <c r="AN1639" i="1"/>
  <c r="AO1639" i="1"/>
  <c r="AP1639" i="1"/>
  <c r="AQ1639" i="1"/>
  <c r="AR1639" i="1"/>
  <c r="AS1639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J1640" i="1"/>
  <c r="AN1640" i="1"/>
  <c r="AO1640" i="1"/>
  <c r="AP1640" i="1"/>
  <c r="AQ1640" i="1"/>
  <c r="AR1640" i="1"/>
  <c r="AS1640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J1641" i="1"/>
  <c r="AN1641" i="1"/>
  <c r="AO1641" i="1"/>
  <c r="AP1641" i="1"/>
  <c r="AQ1641" i="1"/>
  <c r="AR1641" i="1"/>
  <c r="AS1641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Z1642" i="1"/>
  <c r="AB1642" i="1"/>
  <c r="AC1642" i="1"/>
  <c r="AD1642" i="1"/>
  <c r="AE1642" i="1"/>
  <c r="AH1642" i="1"/>
  <c r="AI1642" i="1"/>
  <c r="AJ1642" i="1"/>
  <c r="AN1642" i="1"/>
  <c r="AO1642" i="1"/>
  <c r="AP1642" i="1"/>
  <c r="AQ1642" i="1"/>
  <c r="AR1642" i="1"/>
  <c r="AS1642" i="1"/>
  <c r="H1645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J1648" i="1"/>
  <c r="AQ1648" i="1"/>
  <c r="AR1648" i="1"/>
  <c r="AS1648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J1649" i="1"/>
  <c r="AQ1649" i="1"/>
  <c r="AR1649" i="1"/>
  <c r="AS1649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J1650" i="1"/>
  <c r="AQ1650" i="1"/>
  <c r="AR1650" i="1"/>
  <c r="AS1650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J1651" i="1"/>
  <c r="AQ1651" i="1"/>
  <c r="AR1651" i="1"/>
  <c r="AS1651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J1652" i="1"/>
  <c r="AQ1652" i="1"/>
  <c r="AR1652" i="1"/>
  <c r="AS1652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J1653" i="1"/>
  <c r="AQ1653" i="1"/>
  <c r="AR1653" i="1"/>
  <c r="AS1653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J1654" i="1"/>
  <c r="AQ1654" i="1"/>
  <c r="AR1654" i="1"/>
  <c r="AS1654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J1655" i="1"/>
  <c r="AQ1655" i="1"/>
  <c r="AR1655" i="1"/>
  <c r="AS1655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J1656" i="1"/>
  <c r="AQ1656" i="1"/>
  <c r="AR1656" i="1"/>
  <c r="AS1656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J1657" i="1"/>
  <c r="AQ1657" i="1"/>
  <c r="AR1657" i="1"/>
  <c r="AS1657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J1658" i="1"/>
  <c r="AQ1658" i="1"/>
  <c r="AR1658" i="1"/>
  <c r="AS1658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J1659" i="1"/>
  <c r="AQ1659" i="1"/>
  <c r="AR1659" i="1"/>
  <c r="AS1659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J1660" i="1"/>
  <c r="AQ1660" i="1"/>
  <c r="AR1660" i="1"/>
  <c r="AS1660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J1661" i="1"/>
  <c r="AQ1661" i="1"/>
  <c r="AR1661" i="1"/>
  <c r="AS1661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J1662" i="1"/>
  <c r="AQ1662" i="1"/>
  <c r="AR1662" i="1"/>
  <c r="AS1662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J1663" i="1"/>
  <c r="AQ1663" i="1"/>
  <c r="AR1663" i="1"/>
  <c r="AS1663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J1664" i="1"/>
  <c r="AQ1664" i="1"/>
  <c r="AR1664" i="1"/>
  <c r="AS1664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J1665" i="1"/>
  <c r="AQ1665" i="1"/>
  <c r="AR1665" i="1"/>
  <c r="AS1665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J1666" i="1"/>
  <c r="AQ1666" i="1"/>
  <c r="AR1666" i="1"/>
  <c r="AS1666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J1667" i="1"/>
  <c r="AQ1667" i="1"/>
  <c r="AR1667" i="1"/>
  <c r="AS1667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J1668" i="1"/>
  <c r="AQ1668" i="1"/>
  <c r="AR1668" i="1"/>
  <c r="AS1668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J1669" i="1"/>
  <c r="AQ1669" i="1"/>
  <c r="AR1669" i="1"/>
  <c r="AS1669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J1670" i="1"/>
  <c r="AQ1670" i="1"/>
  <c r="AR1670" i="1"/>
  <c r="AS1670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J1671" i="1"/>
  <c r="AQ1671" i="1"/>
  <c r="AR1671" i="1"/>
  <c r="AS1671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J1672" i="1"/>
  <c r="AQ1672" i="1"/>
  <c r="AR1672" i="1"/>
  <c r="AS1672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J1673" i="1"/>
  <c r="AQ1673" i="1"/>
  <c r="AR1673" i="1"/>
  <c r="AS1673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J1674" i="1"/>
  <c r="AQ1674" i="1"/>
  <c r="AR1674" i="1"/>
  <c r="AS1674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J1675" i="1"/>
  <c r="AQ1675" i="1"/>
  <c r="AR1675" i="1"/>
  <c r="AS1675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J1676" i="1"/>
  <c r="AQ1676" i="1"/>
  <c r="AR1676" i="1"/>
  <c r="AS1676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J1677" i="1"/>
  <c r="AQ1677" i="1"/>
  <c r="AR1677" i="1"/>
  <c r="AS1677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J1678" i="1"/>
  <c r="AQ1678" i="1"/>
  <c r="AR1678" i="1"/>
  <c r="AS1678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J1679" i="1"/>
  <c r="AQ1679" i="1"/>
  <c r="AR1679" i="1"/>
  <c r="AS1679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J1680" i="1"/>
  <c r="AQ1680" i="1"/>
  <c r="AR1680" i="1"/>
  <c r="AS1680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J1681" i="1"/>
  <c r="AQ1681" i="1"/>
  <c r="AR1681" i="1"/>
  <c r="AS1681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J1682" i="1"/>
  <c r="AQ1682" i="1"/>
  <c r="AR1682" i="1"/>
  <c r="AS1682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J1683" i="1"/>
  <c r="AQ1683" i="1"/>
  <c r="AR1683" i="1"/>
  <c r="AS1683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J1684" i="1"/>
  <c r="AQ1684" i="1"/>
  <c r="AR1684" i="1"/>
  <c r="AS1684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J1685" i="1"/>
  <c r="AQ1685" i="1"/>
  <c r="AR1685" i="1"/>
  <c r="AS1685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J1686" i="1"/>
  <c r="AQ1686" i="1"/>
  <c r="AR1686" i="1"/>
  <c r="AS1686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J1687" i="1"/>
  <c r="AQ1687" i="1"/>
  <c r="AR1687" i="1"/>
  <c r="AS1687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J1688" i="1"/>
  <c r="AQ1688" i="1"/>
  <c r="AR1688" i="1"/>
  <c r="AS1688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J1689" i="1"/>
  <c r="AQ1689" i="1"/>
  <c r="AR1689" i="1"/>
  <c r="AS1689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J1690" i="1"/>
  <c r="AQ1690" i="1"/>
  <c r="AR1690" i="1"/>
  <c r="AS1690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J1691" i="1"/>
  <c r="AQ1691" i="1"/>
  <c r="AR1691" i="1"/>
  <c r="AS1691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J1692" i="1"/>
  <c r="AQ1692" i="1"/>
  <c r="AR1692" i="1"/>
  <c r="AS1692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J1693" i="1"/>
  <c r="AQ1693" i="1"/>
  <c r="AR1693" i="1"/>
  <c r="AS1693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Z1694" i="1"/>
  <c r="AB1694" i="1"/>
  <c r="AC1694" i="1"/>
  <c r="AD1694" i="1"/>
  <c r="AE1694" i="1"/>
  <c r="AH1694" i="1"/>
  <c r="AI1694" i="1"/>
  <c r="AJ1694" i="1"/>
  <c r="AQ1694" i="1"/>
  <c r="AR1694" i="1"/>
  <c r="AS1694" i="1"/>
</calcChain>
</file>

<file path=xl/sharedStrings.xml><?xml version="1.0" encoding="utf-8"?>
<sst xmlns="http://schemas.openxmlformats.org/spreadsheetml/2006/main" count="2298" uniqueCount="198">
  <si>
    <t>1D Steady Open Channel Network Solver</t>
  </si>
  <si>
    <t>Two-pass steady 1D workbook: subcritical backwater, supercritical forewater, mixed-flow specific-force selection, and spill routing to drain.</t>
  </si>
  <si>
    <t>Parameter</t>
  </si>
  <si>
    <t>Unit</t>
  </si>
  <si>
    <t>Value</t>
  </si>
  <si>
    <t>Fundamental Inputs</t>
  </si>
  <si>
    <t>Boundary</t>
  </si>
  <si>
    <t>Segment</t>
  </si>
  <si>
    <t>End</t>
  </si>
  <si>
    <t>Type</t>
  </si>
  <si>
    <t>Resolved Stage</t>
  </si>
  <si>
    <t>Remarks</t>
  </si>
  <si>
    <t>Total inflow Q</t>
  </si>
  <si>
    <t>m3/s</t>
  </si>
  <si>
    <t>Acceleration g</t>
  </si>
  <si>
    <t>m/s2</t>
  </si>
  <si>
    <t>Inlet-UsProject</t>
  </si>
  <si>
    <t>UsProject</t>
  </si>
  <si>
    <t>start</t>
  </si>
  <si>
    <t>Known WSE</t>
  </si>
  <si>
    <t>Master inlet boundary</t>
  </si>
  <si>
    <t>Manning n</t>
  </si>
  <si>
    <t>-</t>
  </si>
  <si>
    <t>Density rho</t>
  </si>
  <si>
    <t>kg/m3</t>
  </si>
  <si>
    <t>Outlet-UsExit</t>
  </si>
  <si>
    <t>UsExit</t>
  </si>
  <si>
    <t>end</t>
  </si>
  <si>
    <t>None</t>
  </si>
  <si>
    <t>Master outlet boundary</t>
  </si>
  <si>
    <t>Default bank slope</t>
  </si>
  <si>
    <t>H:V</t>
  </si>
  <si>
    <t>Allowed BC types</t>
  </si>
  <si>
    <t>Known WSE / Known Depth / Normal Depth / Critical Depth / None / Spill End / Spill Zero</t>
  </si>
  <si>
    <t>Outlet-forebay</t>
  </si>
  <si>
    <t>forebay</t>
  </si>
  <si>
    <t>Expansion coeff Ke</t>
  </si>
  <si>
    <t>Outlet-sidechannel</t>
  </si>
  <si>
    <t>sidechannel</t>
  </si>
  <si>
    <t>Spill End</t>
  </si>
  <si>
    <t>Contraction coeff Kc</t>
  </si>
  <si>
    <t>Inlet-drain</t>
  </si>
  <si>
    <t>drain</t>
  </si>
  <si>
    <t>Spill Zero</t>
  </si>
  <si>
    <t>Bend coeff Kb</t>
  </si>
  <si>
    <t>Outlet-drain</t>
  </si>
  <si>
    <t>Junction coeff base</t>
  </si>
  <si>
    <t>Final alpha J1</t>
  </si>
  <si>
    <t>Spill coeff Cw</t>
  </si>
  <si>
    <t>Final alpha J2</t>
  </si>
  <si>
    <t>Stage relaxation</t>
  </si>
  <si>
    <t>Final J1 WSE</t>
  </si>
  <si>
    <t>m</t>
  </si>
  <si>
    <t>Split relaxation</t>
  </si>
  <si>
    <t>Final J2 WSE</t>
  </si>
  <si>
    <t>Momentum weight</t>
  </si>
  <si>
    <t>Total spill to drain</t>
  </si>
  <si>
    <t>Minimum depth</t>
  </si>
  <si>
    <t>J1 mixed residual</t>
  </si>
  <si>
    <t>Boundary slope</t>
  </si>
  <si>
    <t>J2 mixed residual</t>
  </si>
  <si>
    <t>Profile relaxation</t>
  </si>
  <si>
    <t>Profile tolerance</t>
  </si>
  <si>
    <t>Reset (0: Hold, 1: Eval)</t>
  </si>
  <si>
    <t>J1 initial WSE</t>
  </si>
  <si>
    <t>J2 initial WSE</t>
  </si>
  <si>
    <t>alpha J1 initial</t>
  </si>
  <si>
    <t>alpha J2 initial</t>
  </si>
  <si>
    <t>Junction Internal Boundary Conditions</t>
  </si>
  <si>
    <t>Junction solver follows mixed-flow split logic: subcritical branch backwater, supercritical upstream forewater, then specific-force control selection.</t>
  </si>
  <si>
    <t>From</t>
  </si>
  <si>
    <t>To</t>
  </si>
  <si>
    <t>Pts</t>
  </si>
  <si>
    <t>Length</t>
  </si>
  <si>
    <t>b_start</t>
  </si>
  <si>
    <t>b_end</t>
  </si>
  <si>
    <t>z_start</t>
  </si>
  <si>
    <t>z_end</t>
  </si>
  <si>
    <t>bed_start</t>
  </si>
  <si>
    <t>bed_end</t>
  </si>
  <si>
    <t>WS_start</t>
  </si>
  <si>
    <t>WS_end</t>
  </si>
  <si>
    <t>Q_in</t>
  </si>
  <si>
    <t>Q_spill</t>
  </si>
  <si>
    <t>Q_out</t>
  </si>
  <si>
    <t>y_avg</t>
  </si>
  <si>
    <t>Sf_avg</t>
  </si>
  <si>
    <t>hf</t>
  </si>
  <si>
    <t>h_junc</t>
  </si>
  <si>
    <t>h_total</t>
  </si>
  <si>
    <t>Profile</t>
  </si>
  <si>
    <t>Start ang</t>
  </si>
  <si>
    <t>End ang</t>
  </si>
  <si>
    <t>Inlet</t>
  </si>
  <si>
    <t>Junction1</t>
  </si>
  <si>
    <t>Mixed</t>
  </si>
  <si>
    <t>waterway</t>
  </si>
  <si>
    <t>Junction2</t>
  </si>
  <si>
    <t>Outlet</t>
  </si>
  <si>
    <t>0</t>
  </si>
  <si>
    <t>Iter</t>
  </si>
  <si>
    <t>alpha1</t>
  </si>
  <si>
    <t>alpha2</t>
  </si>
  <si>
    <t>J1_ws</t>
  </si>
  <si>
    <t>J2_ws</t>
  </si>
  <si>
    <t>Q_UsProject</t>
  </si>
  <si>
    <t>Q_waterway</t>
  </si>
  <si>
    <t>Q_UsExit</t>
  </si>
  <si>
    <t>Q_forebay</t>
  </si>
  <si>
    <t>Q_sidechannel</t>
  </si>
  <si>
    <t>WS_inlet</t>
  </si>
  <si>
    <t>WS_UsExit</t>
  </si>
  <si>
    <t>WS_forebay</t>
  </si>
  <si>
    <t>WS_sidechannel</t>
  </si>
  <si>
    <t>J1 from UsProject</t>
  </si>
  <si>
    <t>J1 from waterway</t>
  </si>
  <si>
    <t>J1 from UsExit</t>
  </si>
  <si>
    <t>J2 from waterway</t>
  </si>
  <si>
    <t>J2 from forebay</t>
  </si>
  <si>
    <t>J2 from sidechannel</t>
  </si>
  <si>
    <t>Mom J1</t>
  </si>
  <si>
    <t>Mom J2</t>
  </si>
  <si>
    <t>Err J1</t>
  </si>
  <si>
    <t>Err J2</t>
  </si>
  <si>
    <t>alpha1 next</t>
  </si>
  <si>
    <t>alpha2 next</t>
  </si>
  <si>
    <t>J1 next sub</t>
  </si>
  <si>
    <t>J2 next sub</t>
  </si>
  <si>
    <t>J1 sub stage</t>
  </si>
  <si>
    <t>J2 sub stage</t>
  </si>
  <si>
    <t>J1 super stage</t>
  </si>
  <si>
    <t>J2 super stage</t>
  </si>
  <si>
    <t>SF J1 sub</t>
  </si>
  <si>
    <t>SF J1 super</t>
  </si>
  <si>
    <t>SF J2 sub</t>
  </si>
  <si>
    <t>SF J2 super</t>
  </si>
  <si>
    <t>J1 control</t>
  </si>
  <si>
    <t>J2 control</t>
  </si>
  <si>
    <t>J1 next mixed</t>
  </si>
  <si>
    <t>J2 next mixed</t>
  </si>
  <si>
    <t>Segment: UsProject</t>
  </si>
  <si>
    <t>m length</t>
  </si>
  <si>
    <t>profile</t>
  </si>
  <si>
    <t>SN</t>
  </si>
  <si>
    <t>Dist</t>
  </si>
  <si>
    <t>Easting</t>
  </si>
  <si>
    <t>Northing</t>
  </si>
  <si>
    <t>Bed Z</t>
  </si>
  <si>
    <t>Width</t>
  </si>
  <si>
    <t>Side z</t>
  </si>
  <si>
    <t>Def Ang</t>
  </si>
  <si>
    <t>dx</t>
  </si>
  <si>
    <t>Q_used</t>
  </si>
  <si>
    <t>y_super</t>
  </si>
  <si>
    <t>A_super</t>
  </si>
  <si>
    <t>R_super</t>
  </si>
  <si>
    <t>v_super</t>
  </si>
  <si>
    <t>WS_super</t>
  </si>
  <si>
    <t>EG_super</t>
  </si>
  <si>
    <t>Sf_super</t>
  </si>
  <si>
    <t>Fr_super</t>
  </si>
  <si>
    <t>M_super</t>
  </si>
  <si>
    <t>Err_super</t>
  </si>
  <si>
    <t>Done_super</t>
  </si>
  <si>
    <t>y_sub</t>
  </si>
  <si>
    <t>A_sub</t>
  </si>
  <si>
    <t>R_sub</t>
  </si>
  <si>
    <t>v_sub</t>
  </si>
  <si>
    <t>WS_sub</t>
  </si>
  <si>
    <t>EG_sub</t>
  </si>
  <si>
    <t>Sf_sub</t>
  </si>
  <si>
    <t>Fr_sub</t>
  </si>
  <si>
    <t>M_sub</t>
  </si>
  <si>
    <t>Err_sub</t>
  </si>
  <si>
    <t>Done_sub</t>
  </si>
  <si>
    <t>y_final</t>
  </si>
  <si>
    <t>WS_final</t>
  </si>
  <si>
    <t>EG_final</t>
  </si>
  <si>
    <t>Crest_L</t>
  </si>
  <si>
    <t>Crest_R</t>
  </si>
  <si>
    <t>Spill_L</t>
  </si>
  <si>
    <t>Spill_R</t>
  </si>
  <si>
    <t>Spill_Q</t>
  </si>
  <si>
    <t>Cum_spill</t>
  </si>
  <si>
    <t>Fr_final</t>
  </si>
  <si>
    <t>Regime</t>
  </si>
  <si>
    <t>Sf_final</t>
  </si>
  <si>
    <t>deg</t>
  </si>
  <si>
    <t>m2</t>
  </si>
  <si>
    <t>m/s</t>
  </si>
  <si>
    <t>m3</t>
  </si>
  <si>
    <t>Normal</t>
  </si>
  <si>
    <t>Junction</t>
  </si>
  <si>
    <t>Segment: waterway</t>
  </si>
  <si>
    <t>Segment: UsExit</t>
  </si>
  <si>
    <t>Segment: forebay</t>
  </si>
  <si>
    <t>Segment: sidechannel</t>
  </si>
  <si>
    <t>Segment: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</si>
</sst>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8F7"/>
      </patternFill>
    </fill>
    <fill>
      <patternFill patternType="solid">
        <fgColor rgb="FFF5F5F5"/>
      </patternFill>
    </fill>
    <fill>
      <patternFill patternType="solid">
        <fgColor rgb="FFF2FAEB"/>
      </patternFill>
    </fill>
    <fill>
      <patternFill patternType="solid">
        <fgColor rgb="FFF5F0E0"/>
      </patternFill>
    </fill>
    <fill>
      <patternFill patternType="solid">
        <fgColor rgb="FFED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94"/>
  <sheetViews>
    <sheetView tabSelected="1" topLeftCell="A6" workbookViewId="0">
      <selection activeCell="D20" sqref="D20"/>
    </sheetView>
  </sheetViews>
  <sheetFormatPr defaultRowHeight="14.5" x14ac:dyDescent="0.35"/>
  <cols>
    <col min="1" max="4" width="14" customWidth="1"/>
    <col min="5" max="10" width="12" customWidth="1"/>
    <col min="11" max="17" width="18" customWidth="1"/>
    <col min="18" max="45" width="13" customWidth="1"/>
  </cols>
  <sheetData>
    <row r="1" spans="1:17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7" x14ac:dyDescent="0.35">
      <c r="A3" t="s">
        <v>1</v>
      </c>
    </row>
    <row r="4" spans="1:17" x14ac:dyDescent="0.35">
      <c r="B4" s="2" t="s">
        <v>2</v>
      </c>
      <c r="C4" s="2" t="s">
        <v>3</v>
      </c>
      <c r="D4" s="2" t="s">
        <v>4</v>
      </c>
      <c r="H4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4</v>
      </c>
      <c r="P4" s="3" t="s">
        <v>10</v>
      </c>
      <c r="Q4" s="3" t="s">
        <v>11</v>
      </c>
    </row>
    <row r="5" spans="1:17" x14ac:dyDescent="0.35">
      <c r="B5" s="2" t="s">
        <v>12</v>
      </c>
      <c r="C5" s="2" t="s">
        <v>13</v>
      </c>
      <c r="D5" s="2">
        <v>51</v>
      </c>
      <c r="G5" t="s">
        <v>14</v>
      </c>
      <c r="H5" t="s">
        <v>15</v>
      </c>
      <c r="I5">
        <v>9.81</v>
      </c>
      <c r="K5" s="3" t="s">
        <v>16</v>
      </c>
      <c r="L5" s="3" t="s">
        <v>17</v>
      </c>
      <c r="M5" s="3" t="s">
        <v>18</v>
      </c>
      <c r="N5" s="3" t="s">
        <v>19</v>
      </c>
      <c r="O5" s="3">
        <v>637</v>
      </c>
      <c r="P5" s="3">
        <f>IF(OR(N5="Known WSE",N5="Known WS"),O5,IF(N5="Known Depth",(J31)+(O5),IF(N5="Normal Depth",(J31)+(MAX($D$16,POWER((ABS(N31)*$D$6)/(MAX(F31,0.1)*SQRT(MAX(ABS((K31-J31)/MAX(E31,0.000001)),$D$17))),3/5))),IF(N5="Critical Depth",(J31)+(MAX($D$16,POWER((ABS(N31)^2)/($I$5*MAX(F31,0.1)^2),1/3))),IF(OR(N5="None",N5="Spill End",N5="Spill Zero"),(J31)+$D$16,(J31)+(MAX($D$16,POWER((ABS(N31)*$D$6)/(MAX(F31,0.1)*SQRT(MAX(ABS((K31-J31)/MAX(E31,0.000001)),$D$17))),3/5))))))))</f>
        <v>637</v>
      </c>
      <c r="Q5" s="3" t="s">
        <v>20</v>
      </c>
    </row>
    <row r="6" spans="1:17" x14ac:dyDescent="0.35">
      <c r="B6" s="2" t="s">
        <v>21</v>
      </c>
      <c r="C6" s="2" t="s">
        <v>22</v>
      </c>
      <c r="D6" s="2">
        <v>1.4999999999999999E-2</v>
      </c>
      <c r="G6" t="s">
        <v>23</v>
      </c>
      <c r="H6" t="s">
        <v>24</v>
      </c>
      <c r="I6">
        <v>998.2</v>
      </c>
      <c r="K6" s="3" t="s">
        <v>25</v>
      </c>
      <c r="L6" s="3" t="s">
        <v>26</v>
      </c>
      <c r="M6" s="3" t="s">
        <v>27</v>
      </c>
      <c r="N6" s="3" t="s">
        <v>28</v>
      </c>
      <c r="O6" s="3"/>
      <c r="P6" s="3">
        <f>IF(OR(N6="Known WSE",N6="Known WS"),O6,IF(N6="Known Depth",(K33)+(O6),IF(N6="Normal Depth",(K33)+(MAX($D$16,POWER((ABS(P33)*$D$6)/(MAX(G33,0.1)*SQRT(MAX(ABS((K33-J33)/MAX(E33,0.000001)),$D$17))),3/5))),IF(N6="Critical Depth",(K33)+(MAX($D$16,POWER((ABS(P33)^2)/($I$5*MAX(G33,0.1)^2),1/3))),IF(OR(N6="None",N6="Spill End",N6="Spill Zero"),(K33)+$D$16,(K33)+(MAX($D$16,POWER((ABS(P33)*$D$6)/(MAX(G33,0.1)*SQRT(MAX(ABS((K33-J33)/MAX(E33,0.000001)),$D$17))),3/5))))))))</f>
        <v>634.3119999999999</v>
      </c>
      <c r="Q6" s="3" t="s">
        <v>29</v>
      </c>
    </row>
    <row r="7" spans="1:17" x14ac:dyDescent="0.35">
      <c r="B7" s="2" t="s">
        <v>30</v>
      </c>
      <c r="C7" s="2" t="s">
        <v>31</v>
      </c>
      <c r="D7" s="2">
        <v>0</v>
      </c>
      <c r="G7" t="s">
        <v>32</v>
      </c>
      <c r="H7" t="s">
        <v>22</v>
      </c>
      <c r="I7" t="s">
        <v>33</v>
      </c>
      <c r="K7" s="3" t="s">
        <v>34</v>
      </c>
      <c r="L7" s="3" t="s">
        <v>35</v>
      </c>
      <c r="M7" s="3" t="s">
        <v>27</v>
      </c>
      <c r="N7" s="3" t="s">
        <v>19</v>
      </c>
      <c r="O7" s="3">
        <v>635.5</v>
      </c>
      <c r="P7" s="3">
        <f>IF(OR(N7="Known WSE",N7="Known WS"),O7,IF(N7="Known Depth",(K34)+(O7),IF(N7="Normal Depth",(K34)+(MAX($D$16,POWER((ABS(P34)*$D$6)/(MAX(G34,0.1)*SQRT(MAX(ABS((K34-J34)/MAX(E34,0.000001)),$D$17))),3/5))),IF(N7="Critical Depth",(K34)+(MAX($D$16,POWER((ABS(P34)^2)/($I$5*MAX(G34,0.1)^2),1/3))),IF(OR(N7="None",N7="Spill End",N7="Spill Zero"),(K34)+$D$16,(K34)+(MAX($D$16,POWER((ABS(P34)*$D$6)/(MAX(G34,0.1)*SQRT(MAX(ABS((K34-J34)/MAX(E34,0.000001)),$D$17))),3/5))))))))</f>
        <v>635.5</v>
      </c>
      <c r="Q7" s="3" t="s">
        <v>29</v>
      </c>
    </row>
    <row r="8" spans="1:17" x14ac:dyDescent="0.35">
      <c r="B8" s="2" t="s">
        <v>36</v>
      </c>
      <c r="C8" s="2" t="s">
        <v>22</v>
      </c>
      <c r="D8" s="2">
        <v>0.3</v>
      </c>
      <c r="K8" s="3" t="s">
        <v>37</v>
      </c>
      <c r="L8" s="3" t="s">
        <v>38</v>
      </c>
      <c r="M8" s="3" t="s">
        <v>27</v>
      </c>
      <c r="N8" s="3" t="s">
        <v>39</v>
      </c>
      <c r="O8" s="3"/>
      <c r="P8" s="3">
        <f>IF(OR(N8="Known WSE",N8="Known WS"),O8,IF(N8="Known Depth",(K35)+(O8),IF(N8="Normal Depth",(K35)+(MAX($D$16,POWER((ABS(P35)*$D$6)/(MAX(G35,0.1)*SQRT(MAX(ABS((K35-J35)/MAX(E35,0.000001)),$D$17))),3/5))),IF(N8="Critical Depth",(K35)+(MAX($D$16,POWER((ABS(P35)^2)/($I$5*MAX(G35,0.1)^2),1/3))),IF(OR(N8="None",N8="Spill End",N8="Spill Zero"),(K35)+$D$16,(K35)+(MAX($D$16,POWER((ABS(P35)*$D$6)/(MAX(G35,0.1)*SQRT(MAX(ABS((K35-J35)/MAX(E35,0.000001)),$D$17))),3/5))))))))</f>
        <v>631.54999999999995</v>
      </c>
      <c r="Q8" s="3" t="s">
        <v>29</v>
      </c>
    </row>
    <row r="9" spans="1:17" x14ac:dyDescent="0.35">
      <c r="B9" s="2" t="s">
        <v>40</v>
      </c>
      <c r="C9" s="2" t="s">
        <v>22</v>
      </c>
      <c r="D9" s="2">
        <v>0.1</v>
      </c>
      <c r="K9" s="3" t="s">
        <v>41</v>
      </c>
      <c r="L9" s="3" t="s">
        <v>42</v>
      </c>
      <c r="M9" s="3" t="s">
        <v>18</v>
      </c>
      <c r="N9" s="3" t="s">
        <v>43</v>
      </c>
      <c r="O9" s="3"/>
      <c r="P9" s="3">
        <f>IF(OR(N9="Known WSE",N9="Known WS"),O9,IF(N9="Known Depth",(J36)+(O9),IF(N9="Normal Depth",(J36)+(MAX($D$16,POWER((ABS(N36)*$D$6)/(MAX(F36,0.1)*SQRT(MAX(ABS((K36-J36)/MAX(E36,0.000001)),$D$17))),3/5))),IF(N9="Critical Depth",(J36)+(MAX($D$16,POWER((ABS(N36)^2)/($I$5*MAX(F36,0.1)^2),1/3))),IF(OR(N9="None",N9="Spill End",N9="Spill Zero"),(J36)+$D$16,(J36)+(MAX($D$16,POWER((ABS(N36)*$D$6)/(MAX(F36,0.1)*SQRT(MAX(ABS((K36-J36)/MAX(E36,0.000001)),$D$17))),3/5))))))))</f>
        <v>631.54999999999995</v>
      </c>
      <c r="Q9" s="3" t="s">
        <v>20</v>
      </c>
    </row>
    <row r="10" spans="1:17" x14ac:dyDescent="0.35">
      <c r="B10" s="2" t="s">
        <v>44</v>
      </c>
      <c r="C10" s="2" t="s">
        <v>22</v>
      </c>
      <c r="D10" s="2">
        <v>0.15</v>
      </c>
      <c r="K10" s="3" t="s">
        <v>45</v>
      </c>
      <c r="L10" s="3" t="s">
        <v>42</v>
      </c>
      <c r="M10" s="3" t="s">
        <v>27</v>
      </c>
      <c r="N10" s="3" t="s">
        <v>19</v>
      </c>
      <c r="O10" s="3">
        <v>625</v>
      </c>
      <c r="P10" s="3">
        <f>IF(OR(N10="Known WSE",N10="Known WS"),O10,IF(N10="Known Depth",(K36)+(O10),IF(N10="Normal Depth",(K36)+(MAX($D$16,POWER((ABS(P36)*$D$6)/(MAX(G36,0.1)*SQRT(MAX(ABS((K36-J36)/MAX(E36,0.000001)),$D$17))),3/5))),IF(N10="Critical Depth",(K36)+(MAX($D$16,POWER((ABS(P36)^2)/($I$5*MAX(G36,0.1)^2),1/3))),IF(OR(N10="None",N10="Spill End",N10="Spill Zero"),(K36)+$D$16,(K36)+(MAX($D$16,POWER((ABS(P36)*$D$6)/(MAX(G36,0.1)*SQRT(MAX(ABS((K36-J36)/MAX(E36,0.000001)),$D$17))),3/5))))))))</f>
        <v>625</v>
      </c>
      <c r="Q10" s="3" t="s">
        <v>29</v>
      </c>
    </row>
    <row r="11" spans="1:17" x14ac:dyDescent="0.35">
      <c r="B11" s="2" t="s">
        <v>46</v>
      </c>
      <c r="C11" s="2" t="s">
        <v>22</v>
      </c>
      <c r="D11" s="2">
        <v>0.75</v>
      </c>
      <c r="G11" t="s">
        <v>47</v>
      </c>
      <c r="H11" t="s">
        <v>22</v>
      </c>
      <c r="I11">
        <f>Y122</f>
        <v>0</v>
      </c>
      <c r="K11" s="3"/>
      <c r="L11" s="3"/>
      <c r="M11" s="3"/>
      <c r="N11" s="3"/>
      <c r="O11" s="3"/>
      <c r="P11" s="3"/>
      <c r="Q11" s="3"/>
    </row>
    <row r="12" spans="1:17" x14ac:dyDescent="0.35">
      <c r="B12" s="2" t="s">
        <v>48</v>
      </c>
      <c r="C12" s="2" t="s">
        <v>22</v>
      </c>
      <c r="D12" s="2">
        <v>1.7</v>
      </c>
      <c r="G12" t="s">
        <v>49</v>
      </c>
      <c r="H12" t="s">
        <v>22</v>
      </c>
      <c r="I12">
        <f>Z122</f>
        <v>0</v>
      </c>
      <c r="K12" s="3"/>
      <c r="L12" s="3"/>
      <c r="M12" s="3"/>
      <c r="N12" s="3"/>
      <c r="O12" s="3"/>
      <c r="P12" s="3"/>
      <c r="Q12" s="3"/>
    </row>
    <row r="13" spans="1:17" x14ac:dyDescent="0.35">
      <c r="B13" s="2" t="s">
        <v>50</v>
      </c>
      <c r="C13" s="2" t="s">
        <v>22</v>
      </c>
      <c r="D13" s="2">
        <v>0.35</v>
      </c>
      <c r="G13" t="s">
        <v>51</v>
      </c>
      <c r="H13" t="s">
        <v>52</v>
      </c>
      <c r="I13">
        <f>AM122</f>
        <v>52432.141837663621</v>
      </c>
      <c r="K13" s="3"/>
      <c r="L13" s="3"/>
      <c r="M13" s="3"/>
      <c r="N13" s="3"/>
      <c r="O13" s="3"/>
      <c r="P13" s="3"/>
      <c r="Q13" s="3"/>
    </row>
    <row r="14" spans="1:17" x14ac:dyDescent="0.35">
      <c r="B14" s="2" t="s">
        <v>53</v>
      </c>
      <c r="C14" s="2" t="s">
        <v>22</v>
      </c>
      <c r="D14" s="2">
        <v>0.08</v>
      </c>
      <c r="G14" t="s">
        <v>54</v>
      </c>
      <c r="H14" t="s">
        <v>52</v>
      </c>
      <c r="I14">
        <f>AN122</f>
        <v>52432.14183766341</v>
      </c>
      <c r="K14" s="3"/>
      <c r="L14" s="3"/>
      <c r="M14" s="3"/>
      <c r="N14" s="3"/>
      <c r="O14" s="3"/>
      <c r="P14" s="3"/>
      <c r="Q14" s="3"/>
    </row>
    <row r="15" spans="1:17" x14ac:dyDescent="0.35">
      <c r="B15" s="2" t="s">
        <v>55</v>
      </c>
      <c r="C15" s="2" t="s">
        <v>22</v>
      </c>
      <c r="D15" s="2">
        <v>0.05</v>
      </c>
      <c r="G15" t="s">
        <v>56</v>
      </c>
      <c r="H15" t="s">
        <v>13</v>
      </c>
      <c r="I15">
        <f ca="1">N36</f>
        <v>0</v>
      </c>
      <c r="K15" s="3"/>
      <c r="L15" s="3"/>
      <c r="M15" s="3"/>
      <c r="N15" s="3"/>
      <c r="O15" s="3"/>
      <c r="P15" s="3"/>
      <c r="Q15" s="3"/>
    </row>
    <row r="16" spans="1:17" x14ac:dyDescent="0.35">
      <c r="B16" s="2" t="s">
        <v>57</v>
      </c>
      <c r="C16" s="2" t="s">
        <v>52</v>
      </c>
      <c r="D16" s="2">
        <v>0.05</v>
      </c>
      <c r="G16" t="s">
        <v>58</v>
      </c>
      <c r="H16" t="s">
        <v>52</v>
      </c>
      <c r="I16">
        <f>AO122</f>
        <v>3.4197000786662102E-10</v>
      </c>
      <c r="K16" s="3"/>
      <c r="L16" s="3"/>
      <c r="M16" s="3"/>
      <c r="N16" s="3"/>
      <c r="O16" s="3"/>
      <c r="P16" s="3"/>
      <c r="Q16" s="3"/>
    </row>
    <row r="17" spans="1:24" x14ac:dyDescent="0.35">
      <c r="B17" s="2" t="s">
        <v>59</v>
      </c>
      <c r="C17" s="2" t="s">
        <v>22</v>
      </c>
      <c r="D17" s="2">
        <v>1E-3</v>
      </c>
      <c r="G17" t="s">
        <v>60</v>
      </c>
      <c r="H17" t="s">
        <v>52</v>
      </c>
      <c r="I17">
        <f>AP122</f>
        <v>3.4197000786662102E-10</v>
      </c>
      <c r="K17" s="3"/>
      <c r="L17" s="3"/>
      <c r="M17" s="3"/>
      <c r="N17" s="3"/>
      <c r="O17" s="3"/>
      <c r="P17" s="3"/>
      <c r="Q17" s="3"/>
    </row>
    <row r="18" spans="1:24" x14ac:dyDescent="0.35">
      <c r="B18" s="2" t="s">
        <v>61</v>
      </c>
      <c r="C18" s="2" t="s">
        <v>22</v>
      </c>
      <c r="D18" s="2">
        <v>0.15</v>
      </c>
      <c r="K18" s="3"/>
      <c r="L18" s="3"/>
      <c r="M18" s="3"/>
      <c r="N18" s="3"/>
      <c r="O18" s="3"/>
      <c r="P18" s="3"/>
      <c r="Q18" s="3"/>
    </row>
    <row r="19" spans="1:24" x14ac:dyDescent="0.35">
      <c r="B19" s="2" t="s">
        <v>62</v>
      </c>
      <c r="C19" s="2" t="s">
        <v>52</v>
      </c>
      <c r="D19" s="2">
        <v>1E-3</v>
      </c>
      <c r="K19" s="3"/>
      <c r="L19" s="3"/>
      <c r="M19" s="3"/>
      <c r="N19" s="3"/>
      <c r="O19" s="3"/>
      <c r="P19" s="3"/>
      <c r="Q19" s="3"/>
    </row>
    <row r="20" spans="1:24" x14ac:dyDescent="0.35">
      <c r="B20" s="2" t="s">
        <v>63</v>
      </c>
      <c r="C20" s="2" t="s">
        <v>22</v>
      </c>
      <c r="D20" s="2">
        <v>1</v>
      </c>
      <c r="K20" s="3"/>
      <c r="L20" s="3"/>
      <c r="M20" s="3"/>
      <c r="N20" s="3"/>
      <c r="O20" s="3"/>
      <c r="P20" s="3"/>
      <c r="Q20" s="3"/>
    </row>
    <row r="21" spans="1:24" x14ac:dyDescent="0.35">
      <c r="B21" s="2" t="s">
        <v>64</v>
      </c>
      <c r="C21" s="2" t="s">
        <v>52</v>
      </c>
      <c r="D21" s="2">
        <v>634.29999999999995</v>
      </c>
    </row>
    <row r="22" spans="1:24" x14ac:dyDescent="0.35">
      <c r="B22" s="2" t="s">
        <v>65</v>
      </c>
      <c r="C22" s="2" t="s">
        <v>52</v>
      </c>
      <c r="D22" s="2">
        <v>631.9</v>
      </c>
    </row>
    <row r="23" spans="1:24" x14ac:dyDescent="0.35">
      <c r="B23" s="2" t="s">
        <v>66</v>
      </c>
      <c r="C23" s="2" t="s">
        <v>22</v>
      </c>
      <c r="D23" s="2">
        <v>0.65</v>
      </c>
    </row>
    <row r="24" spans="1:24" x14ac:dyDescent="0.35">
      <c r="B24" s="2" t="s">
        <v>67</v>
      </c>
      <c r="C24" s="2" t="s">
        <v>22</v>
      </c>
      <c r="D24" s="2">
        <v>0.65</v>
      </c>
    </row>
    <row r="26" spans="1:24" x14ac:dyDescent="0.35">
      <c r="A26" t="s">
        <v>68</v>
      </c>
    </row>
    <row r="27" spans="1:24" x14ac:dyDescent="0.35">
      <c r="A27" t="s">
        <v>69</v>
      </c>
    </row>
    <row r="30" spans="1:24" x14ac:dyDescent="0.35">
      <c r="A30" s="4" t="s">
        <v>7</v>
      </c>
      <c r="B30" s="4" t="s">
        <v>70</v>
      </c>
      <c r="C30" s="4" t="s">
        <v>71</v>
      </c>
      <c r="D30" s="4" t="s">
        <v>72</v>
      </c>
      <c r="E30" s="4" t="s">
        <v>73</v>
      </c>
      <c r="F30" s="4" t="s">
        <v>74</v>
      </c>
      <c r="G30" s="4" t="s">
        <v>75</v>
      </c>
      <c r="H30" s="4" t="s">
        <v>76</v>
      </c>
      <c r="I30" s="4" t="s">
        <v>77</v>
      </c>
      <c r="J30" s="4" t="s">
        <v>78</v>
      </c>
      <c r="K30" s="4" t="s">
        <v>79</v>
      </c>
      <c r="L30" s="4" t="s">
        <v>80</v>
      </c>
      <c r="M30" s="4" t="s">
        <v>81</v>
      </c>
      <c r="N30" s="4" t="s">
        <v>82</v>
      </c>
      <c r="O30" s="4" t="s">
        <v>83</v>
      </c>
      <c r="P30" s="4" t="s">
        <v>84</v>
      </c>
      <c r="Q30" s="4" t="s">
        <v>85</v>
      </c>
      <c r="R30" s="4" t="s">
        <v>86</v>
      </c>
      <c r="S30" s="4" t="s">
        <v>87</v>
      </c>
      <c r="T30" s="4" t="s">
        <v>88</v>
      </c>
      <c r="U30" s="4" t="s">
        <v>89</v>
      </c>
      <c r="V30" s="4" t="s">
        <v>90</v>
      </c>
      <c r="W30" s="4" t="s">
        <v>91</v>
      </c>
      <c r="X30" s="4" t="s">
        <v>92</v>
      </c>
    </row>
    <row r="31" spans="1:24" x14ac:dyDescent="0.35">
      <c r="A31" t="s">
        <v>17</v>
      </c>
      <c r="B31" t="s">
        <v>93</v>
      </c>
      <c r="C31" t="s">
        <v>94</v>
      </c>
      <c r="D31">
        <v>12</v>
      </c>
      <c r="E31">
        <v>10.742000000000001</v>
      </c>
      <c r="F31">
        <v>6.0030000000000001</v>
      </c>
      <c r="G31">
        <v>6.5579999999999998</v>
      </c>
      <c r="H31">
        <v>0</v>
      </c>
      <c r="I31">
        <v>0</v>
      </c>
      <c r="J31">
        <v>634.32000000000005</v>
      </c>
      <c r="K31">
        <v>634.298</v>
      </c>
      <c r="L31" t="e">
        <f ca="1">AI133</f>
        <v>#VALUE!</v>
      </c>
      <c r="M31" t="e">
        <f ca="1">AI144</f>
        <v>#VALUE!</v>
      </c>
      <c r="N31">
        <f>$D$5</f>
        <v>51</v>
      </c>
      <c r="O31">
        <f>SUM(AO133:AO144)</f>
        <v>0</v>
      </c>
      <c r="P31">
        <f>MAX(0,K144-AO144)</f>
        <v>51</v>
      </c>
      <c r="Q31" t="e">
        <f ca="1">AVERAGE(AH133:AH144)</f>
        <v>#VALUE!</v>
      </c>
      <c r="R31" t="e">
        <f ca="1">AVERAGE(AS133:AS144)</f>
        <v>#VALUE!</v>
      </c>
      <c r="S31" t="e">
        <f t="shared" ref="S31:S36" ca="1" si="0">E31*R31</f>
        <v>#VALUE!</v>
      </c>
      <c r="T31">
        <v>0</v>
      </c>
      <c r="U31" t="e">
        <f t="shared" ref="U31:U36" ca="1" si="1">S31+T31</f>
        <v>#VALUE!</v>
      </c>
      <c r="V31" t="s">
        <v>95</v>
      </c>
      <c r="W31">
        <v>-118.02500000000001</v>
      </c>
      <c r="X31">
        <v>-117.982</v>
      </c>
    </row>
    <row r="32" spans="1:24" x14ac:dyDescent="0.35">
      <c r="A32" t="s">
        <v>96</v>
      </c>
      <c r="B32" t="s">
        <v>94</v>
      </c>
      <c r="C32" t="s">
        <v>97</v>
      </c>
      <c r="D32">
        <v>1384</v>
      </c>
      <c r="E32">
        <v>1382.3979999999999</v>
      </c>
      <c r="F32">
        <v>6.5579999999999998</v>
      </c>
      <c r="G32">
        <v>10.206</v>
      </c>
      <c r="H32">
        <v>0</v>
      </c>
      <c r="I32">
        <v>0</v>
      </c>
      <c r="J32">
        <v>634.298</v>
      </c>
      <c r="K32">
        <v>631.875</v>
      </c>
      <c r="L32" t="e">
        <f ca="1">AI150</f>
        <v>#VALUE!</v>
      </c>
      <c r="M32" t="e">
        <f ca="1">AI1533</f>
        <v>#VALUE!</v>
      </c>
      <c r="N32">
        <f>IF(N6="None",$D$5,$D$5*$I$11)</f>
        <v>51</v>
      </c>
      <c r="O32">
        <f>SUM(AO150:AO1533)</f>
        <v>0</v>
      </c>
      <c r="P32">
        <f>MAX(0,K1533-AO1533)</f>
        <v>51</v>
      </c>
      <c r="Q32" t="e">
        <f ca="1">AVERAGE(AH150:AH1533)</f>
        <v>#VALUE!</v>
      </c>
      <c r="R32" t="e">
        <f ca="1">AVERAGE(AS150:AS1533)</f>
        <v>#VALUE!</v>
      </c>
      <c r="S32" t="e">
        <f t="shared" ca="1" si="0"/>
        <v>#VALUE!</v>
      </c>
      <c r="T32">
        <f>($D$11*0.13607488*(ABS(N33)/MAX(ABS($D$5),0.000001))^2*MAX(((ABS(N32)/MAX(((F32)+(H32)*(MAX($D$16,($I$13)-(J32))))*(MAX($D$16,($I$13)-(J32))),0.000001))^2)/(2*$I$5),((ABS(N32)/MAX(((G32)+(I32)*(MAX($D$16,($I$14)-(K32))))*(MAX($D$16,($I$14)-(K32))),0.000001))^2)/(2*$I$5)))</f>
        <v>0</v>
      </c>
      <c r="U32" t="e">
        <f t="shared" ca="1" si="1"/>
        <v>#VALUE!</v>
      </c>
      <c r="V32" t="s">
        <v>95</v>
      </c>
      <c r="W32">
        <v>-161.27500000000001</v>
      </c>
      <c r="X32">
        <v>-90</v>
      </c>
    </row>
    <row r="33" spans="1:42" x14ac:dyDescent="0.35">
      <c r="A33" t="s">
        <v>26</v>
      </c>
      <c r="B33" t="s">
        <v>94</v>
      </c>
      <c r="C33" t="s">
        <v>98</v>
      </c>
      <c r="D33">
        <v>19</v>
      </c>
      <c r="E33">
        <v>17.254999999999999</v>
      </c>
      <c r="F33">
        <v>6.5579999999999998</v>
      </c>
      <c r="G33">
        <v>5.9939999999999998</v>
      </c>
      <c r="H33">
        <v>0</v>
      </c>
      <c r="I33">
        <v>0</v>
      </c>
      <c r="J33">
        <v>634.298</v>
      </c>
      <c r="K33">
        <v>634.26199999999994</v>
      </c>
      <c r="L33" t="e">
        <f ca="1">AI1539</f>
        <v>#VALUE!</v>
      </c>
      <c r="M33" t="e">
        <f ca="1">AI1557</f>
        <v>#VALUE!</v>
      </c>
      <c r="N33">
        <f>IF(N6="None",0,$D$5-N32)</f>
        <v>0</v>
      </c>
      <c r="O33">
        <f>SUM(AO1539:AO1557)</f>
        <v>0</v>
      </c>
      <c r="P33">
        <v>0</v>
      </c>
      <c r="Q33" t="e">
        <f ca="1">AVERAGE(AH1539:AH1557)</f>
        <v>#VALUE!</v>
      </c>
      <c r="R33" t="e">
        <f ca="1">AVERAGE(AS1539:AS1557)</f>
        <v>#VALUE!</v>
      </c>
      <c r="S33" t="e">
        <f t="shared" ca="1" si="0"/>
        <v>#VALUE!</v>
      </c>
      <c r="T33">
        <f>($D$11*0.00000015*(ABS(N32)/MAX(ABS($D$5),0.000001))^2*MAX(((ABS(N33)/MAX(((F33)+(H33)*(MAX($D$16,($I$13)-(J33))))*(MAX($D$16,($I$13)-(J33))),0.000001))^2)/(2*$I$5),((ABS(N33)/MAX(((G33)+(I33)*(MAX($D$16,(P6)-(K33))))*(MAX($D$16,(P6)-(K33))),0.000001))^2)/(2*$I$5)))</f>
        <v>0</v>
      </c>
      <c r="U33" t="e">
        <f t="shared" ca="1" si="1"/>
        <v>#VALUE!</v>
      </c>
      <c r="V33" t="s">
        <v>95</v>
      </c>
      <c r="W33">
        <v>-118.02500000000001</v>
      </c>
      <c r="X33">
        <v>-117.874</v>
      </c>
    </row>
    <row r="34" spans="1:42" x14ac:dyDescent="0.35">
      <c r="A34" t="s">
        <v>35</v>
      </c>
      <c r="B34" t="s">
        <v>97</v>
      </c>
      <c r="C34" t="s">
        <v>98</v>
      </c>
      <c r="D34">
        <v>39</v>
      </c>
      <c r="E34">
        <v>38</v>
      </c>
      <c r="F34">
        <v>10.206</v>
      </c>
      <c r="G34">
        <v>5.0049999999999999</v>
      </c>
      <c r="H34">
        <v>0</v>
      </c>
      <c r="I34">
        <v>0</v>
      </c>
      <c r="J34">
        <v>631.875</v>
      </c>
      <c r="K34">
        <v>621.97799999999995</v>
      </c>
      <c r="L34" t="e">
        <f ca="1">AI1563</f>
        <v>#VALUE!</v>
      </c>
      <c r="M34" t="e">
        <f ca="1">AI1601</f>
        <v>#VALUE!</v>
      </c>
      <c r="N34">
        <f>IF(AND(N7="None",N8="None"),0,IF(N8="None",N32,IF(N7="None",0,N32*$I$12)))</f>
        <v>0</v>
      </c>
      <c r="O34" t="e">
        <f ca="1">SUM(AO1563:AO1601)</f>
        <v>#VALUE!</v>
      </c>
      <c r="P34" t="e">
        <f ca="1">MAX(0,K1601-AO1601)</f>
        <v>#VALUE!</v>
      </c>
      <c r="Q34" t="e">
        <f ca="1">AVERAGE(AH1563:AH1601)</f>
        <v>#VALUE!</v>
      </c>
      <c r="R34" t="e">
        <f ca="1">AVERAGE(AS1563:AS1601)</f>
        <v>#VALUE!</v>
      </c>
      <c r="S34" t="e">
        <f t="shared" ca="1" si="0"/>
        <v>#VALUE!</v>
      </c>
      <c r="T34">
        <f>0</f>
        <v>0</v>
      </c>
      <c r="U34" t="e">
        <f t="shared" ca="1" si="1"/>
        <v>#VALUE!</v>
      </c>
      <c r="V34" t="s">
        <v>95</v>
      </c>
      <c r="W34">
        <v>-90</v>
      </c>
      <c r="X34">
        <v>-90</v>
      </c>
    </row>
    <row r="35" spans="1:42" x14ac:dyDescent="0.35">
      <c r="A35" t="s">
        <v>38</v>
      </c>
      <c r="B35" t="s">
        <v>97</v>
      </c>
      <c r="C35" t="s">
        <v>98</v>
      </c>
      <c r="D35">
        <v>36</v>
      </c>
      <c r="E35">
        <v>34.930999999999997</v>
      </c>
      <c r="F35">
        <v>10.206</v>
      </c>
      <c r="G35">
        <v>3.82</v>
      </c>
      <c r="H35">
        <v>0</v>
      </c>
      <c r="I35">
        <v>0</v>
      </c>
      <c r="J35">
        <v>631.5</v>
      </c>
      <c r="K35">
        <v>631.5</v>
      </c>
      <c r="L35" t="e">
        <f ca="1">AI1607</f>
        <v>#VALUE!</v>
      </c>
      <c r="M35" t="e">
        <f ca="1">AI1642</f>
        <v>#VALUE!</v>
      </c>
      <c r="N35">
        <f>IF(AND(N7="None",N8="None"),0,IF(N8="None",0,IF(N7="None",N32,N32-N34)))</f>
        <v>51</v>
      </c>
      <c r="O35" t="e">
        <f ca="1">SUM(AO1607:AO1642)</f>
        <v>#VALUE!</v>
      </c>
      <c r="P35">
        <v>0</v>
      </c>
      <c r="Q35" t="e">
        <f ca="1">AVERAGE(AH1607:AH1642)</f>
        <v>#VALUE!</v>
      </c>
      <c r="R35" t="e">
        <f ca="1">AVERAGE(AS1607:AS1642)</f>
        <v>#VALUE!</v>
      </c>
      <c r="S35" t="e">
        <f t="shared" ca="1" si="0"/>
        <v>#VALUE!</v>
      </c>
      <c r="T35">
        <f>($D$11*0.34699541*(ABS(N34)/MAX(ABS(N32),0.000001))^2*MAX(((ABS(N35)/MAX(((F35)+(H35)*(MAX($D$16,($I$14)-(J35))))*(MAX($D$16,($I$14)-(J35))),0.000001))^2)/(2*$I$5),((ABS(N35)/MAX(((G35)+(I35)*(MAX($D$16,(P8)-(K35))))*(MAX($D$16,(P8)-(K35))),0.000001))^2)/(2*$I$5)))</f>
        <v>0</v>
      </c>
      <c r="U35" t="e">
        <f t="shared" ca="1" si="1"/>
        <v>#VALUE!</v>
      </c>
      <c r="V35" t="s">
        <v>95</v>
      </c>
      <c r="W35">
        <v>-17.818999999999999</v>
      </c>
      <c r="X35">
        <v>-85.754999999999995</v>
      </c>
    </row>
    <row r="36" spans="1:42" x14ac:dyDescent="0.35">
      <c r="A36" t="s">
        <v>42</v>
      </c>
      <c r="B36" t="s">
        <v>93</v>
      </c>
      <c r="C36" t="s">
        <v>98</v>
      </c>
      <c r="D36">
        <v>47</v>
      </c>
      <c r="E36">
        <v>45.363</v>
      </c>
      <c r="F36">
        <v>2.0499999999999998</v>
      </c>
      <c r="G36">
        <v>3.2</v>
      </c>
      <c r="H36">
        <v>0</v>
      </c>
      <c r="I36">
        <v>0</v>
      </c>
      <c r="J36">
        <v>631.5</v>
      </c>
      <c r="K36">
        <v>622</v>
      </c>
      <c r="L36" t="e">
        <f ca="1">AI1648</f>
        <v>#VALUE!</v>
      </c>
      <c r="M36" t="e">
        <f ca="1">AI1694</f>
        <v>#VALUE!</v>
      </c>
      <c r="N36" t="e">
        <f ca="1">O34+O35</f>
        <v>#VALUE!</v>
      </c>
      <c r="O36" t="s">
        <v>99</v>
      </c>
      <c r="P36" t="e">
        <f ca="1">MAX(0,K1694-AO1694)</f>
        <v>#VALUE!</v>
      </c>
      <c r="Q36" t="e">
        <f ca="1">AVERAGE(AH1648:AH1694)</f>
        <v>#VALUE!</v>
      </c>
      <c r="R36" t="e">
        <f ca="1">AVERAGE(AS1648:AS1694)</f>
        <v>#VALUE!</v>
      </c>
      <c r="S36" t="e">
        <f t="shared" ca="1" si="0"/>
        <v>#VALUE!</v>
      </c>
      <c r="T36">
        <v>0</v>
      </c>
      <c r="U36" t="e">
        <f t="shared" ca="1" si="1"/>
        <v>#VALUE!</v>
      </c>
      <c r="V36" t="s">
        <v>95</v>
      </c>
      <c r="W36">
        <v>-65.100999999999999</v>
      </c>
      <c r="X36">
        <v>-90.405000000000001</v>
      </c>
    </row>
    <row r="42" spans="1:42" x14ac:dyDescent="0.35">
      <c r="A42" s="5" t="s">
        <v>100</v>
      </c>
      <c r="B42" s="5" t="s">
        <v>101</v>
      </c>
      <c r="C42" s="5" t="s">
        <v>102</v>
      </c>
      <c r="D42" s="5" t="s">
        <v>103</v>
      </c>
      <c r="E42" s="5" t="s">
        <v>104</v>
      </c>
      <c r="F42" s="5" t="s">
        <v>105</v>
      </c>
      <c r="G42" s="5" t="s">
        <v>106</v>
      </c>
      <c r="H42" s="5" t="s">
        <v>107</v>
      </c>
      <c r="I42" s="5" t="s">
        <v>108</v>
      </c>
      <c r="J42" s="5" t="s">
        <v>109</v>
      </c>
      <c r="K42" s="5" t="s">
        <v>110</v>
      </c>
      <c r="L42" s="5" t="s">
        <v>111</v>
      </c>
      <c r="M42" s="5" t="s">
        <v>112</v>
      </c>
      <c r="N42" s="5" t="s">
        <v>113</v>
      </c>
      <c r="O42" s="5" t="s">
        <v>114</v>
      </c>
      <c r="P42" s="5" t="s">
        <v>115</v>
      </c>
      <c r="Q42" s="5" t="s">
        <v>116</v>
      </c>
      <c r="R42" s="5" t="s">
        <v>117</v>
      </c>
      <c r="S42" s="5" t="s">
        <v>118</v>
      </c>
      <c r="T42" s="5" t="s">
        <v>119</v>
      </c>
      <c r="U42" s="5" t="s">
        <v>120</v>
      </c>
      <c r="V42" s="5" t="s">
        <v>121</v>
      </c>
      <c r="W42" s="5" t="s">
        <v>122</v>
      </c>
      <c r="X42" s="5" t="s">
        <v>123</v>
      </c>
      <c r="Y42" s="5" t="s">
        <v>124</v>
      </c>
      <c r="Z42" s="5" t="s">
        <v>125</v>
      </c>
      <c r="AA42" s="5" t="s">
        <v>126</v>
      </c>
      <c r="AB42" s="5" t="s">
        <v>127</v>
      </c>
      <c r="AC42" s="5" t="s">
        <v>128</v>
      </c>
      <c r="AD42" s="5" t="s">
        <v>129</v>
      </c>
      <c r="AE42" s="5" t="s">
        <v>130</v>
      </c>
      <c r="AF42" s="5" t="s">
        <v>131</v>
      </c>
      <c r="AG42" s="5" t="s">
        <v>132</v>
      </c>
      <c r="AH42" s="5" t="s">
        <v>133</v>
      </c>
      <c r="AI42" s="5" t="s">
        <v>134</v>
      </c>
      <c r="AJ42" s="5" t="s">
        <v>135</v>
      </c>
      <c r="AK42" s="5" t="s">
        <v>136</v>
      </c>
      <c r="AL42" s="5" t="s">
        <v>137</v>
      </c>
      <c r="AM42" s="5" t="s">
        <v>138</v>
      </c>
      <c r="AN42" s="5" t="s">
        <v>139</v>
      </c>
      <c r="AO42" s="5" t="s">
        <v>58</v>
      </c>
      <c r="AP42" s="5" t="s">
        <v>60</v>
      </c>
    </row>
    <row r="43" spans="1:42" x14ac:dyDescent="0.35">
      <c r="A43">
        <v>0</v>
      </c>
      <c r="B43">
        <f>$D$23</f>
        <v>0.65</v>
      </c>
      <c r="C43">
        <f>$D$24</f>
        <v>0.65</v>
      </c>
      <c r="D43">
        <f>$D$21</f>
        <v>634.29999999999995</v>
      </c>
      <c r="E43">
        <f>$D$22</f>
        <v>631.9</v>
      </c>
      <c r="F43">
        <f t="shared" ref="F43:F74" si="2">$D$5</f>
        <v>51</v>
      </c>
      <c r="G43">
        <f>IF(N6="None",F43,MAX(0,F43*B43))</f>
        <v>51</v>
      </c>
      <c r="H43">
        <f>IF(N6="None",0,MAX(0,F43-G43))</f>
        <v>0</v>
      </c>
      <c r="I43">
        <f>IF(AND(N7="None",N8="None"),0,IF(N8="None",G43,IF(N7="None",0,MAX(0,G43*C43))))</f>
        <v>33.15</v>
      </c>
      <c r="J43">
        <f>IF(AND(N7="None",N8="None"),0,IF(N8="None",0,IF(N7="None",G43,MAX(0,G43-I43))))</f>
        <v>17.850000000000001</v>
      </c>
      <c r="K43">
        <f>P5</f>
        <v>637</v>
      </c>
      <c r="L43">
        <f>P6</f>
        <v>634.3119999999999</v>
      </c>
      <c r="M43">
        <f>P7</f>
        <v>635.5</v>
      </c>
      <c r="N43">
        <f>P8</f>
        <v>631.54999999999995</v>
      </c>
      <c r="O43">
        <f>K43+((ABS(F43)/MAX(((F31)+(H31)*(MAX($D$16,(K43)-(J31))))*(MAX($D$16,(K43)-(J31))),0.000001))^2)/(2*$I$5)-((E31)*((((ABS(F43)*$D$6)/(MAX(((F31)+(H31)*(MAX($D$16,(K43)-(J31))))*(MAX($D$16,(K43)-(J31))),0.000001)*MAX(((((F31)+(H31)*(MAX($D$16,(K43)-(J31))))*(MAX($D$16,(K43)-(J31))))/MAX((F31)+2*(MAX($D$16,(K43)-(J31)))*SQRT(1+(H31)^2),0.000001))^(2/3),0.000001)))^2)+(((ABS(F43)*$D$6)/(MAX(((G31)+(I31)*(MAX($D$16,(D43)-(K31))))*(MAX($D$16,(D43)-(K31))),0.000001)*MAX(((((G31)+(I31)*(MAX($D$16,(D43)-(K31))))*(MAX($D$16,(D43)-(K31))))/MAX((G31)+2*(MAX($D$16,(D43)-(K31)))*SQRT(1+(I31)^2),0.000001))^(2/3),0.000001)))^2))/2)+(IF((ABS(F43)/MAX(((G31)+(I31)*(MAX($D$16,(D43)-(K31))))*(MAX($D$16,(D43)-(K31))),0.000001))&gt;(ABS(F43)/MAX(((F31)+(H31)*(MAX($D$16,(K43)-(J31))))*(MAX($D$16,(K43)-(J31))),0.000001)),$D$9*((((ABS(F43)/MAX(((G31)+(I31)*(MAX($D$16,(D43)-(K31))))*(MAX($D$16,(D43)-(K31))),0.000001))^2)/(2*$I$5))-(((ABS(F43)/MAX(((F31)+(H31)*(MAX($D$16,(K43)-(J31))))*(MAX($D$16,(K43)-(J31))),0.000001))^2)/(2*$I$5))),$D$8*((((ABS(F43)/MAX(((F31)+(H31)*(MAX($D$16,(K43)-(J31))))*(MAX($D$16,(K43)-(J31))),0.000001))^2)/(2*$I$5))-(((ABS(F43)/MAX(((G31)+(I31)*(MAX($D$16,(D43)-(K31))))*(MAX($D$16,(D43)-(K31))),0.000001))^2)/(2*$I$5)))))+($D$10*(ABS((X31)-(W31))/90)*MAX(((ABS(F43)/MAX(((F31)+(H31)*(MAX($D$16,(K43)-(J31))))*(MAX($D$16,(K43)-(J31))),0.000001))^2)/(2*$I$5),((ABS(F43)/MAX(((G31)+(I31)*(MAX($D$16,(D43)-(K31))))*(MAX($D$16,(D43)-(K31))),0.000001))^2)/(2*$I$5)))+(0)-((ABS(F43)/MAX(((G31)+(I31)*(MAX($D$16,(D43)-(K31))))*(MAX($D$16,(D43)-(K31))),0.000001))^2)/(2*$I$5)</f>
        <v>-2091.5872404992097</v>
      </c>
      <c r="P43">
        <f>E43+((ABS(G43)/MAX(((G32)+(I32)*(MAX($D$16,(E43)-(K32))))*(MAX($D$16,(E43)-(K32))),0.000001))^2)/(2*$I$5)+((E32)*((((ABS(G43)*$D$6)/(MAX(((F32)+(H32)*(MAX($D$16,(D43)-(J32))))*(MAX($D$16,(D43)-(J32))),0.000001)*MAX(((((F32)+(H32)*(MAX($D$16,(D43)-(J32))))*(MAX($D$16,(D43)-(J32))))/MAX((F32)+2*(MAX($D$16,(D43)-(J32)))*SQRT(1+(H32)^2),0.000001))^(2/3),0.000001)))^2)+(((ABS(G43)*$D$6)/(MAX(((G32)+(I32)*(MAX($D$16,(E43)-(K32))))*(MAX($D$16,(E43)-(K32))),0.000001)*MAX(((((G32)+(I32)*(MAX($D$16,(E43)-(K32))))*(MAX($D$16,(E43)-(K32))))/MAX((G32)+2*(MAX($D$16,(E43)-(K32)))*SQRT(1+(I32)^2),0.000001))^(2/3),0.000001)))^2))/2)+(IF((ABS(G43)/MAX(((G32)+(I32)*(MAX($D$16,(E43)-(K32))))*(MAX($D$16,(E43)-(K32))),0.000001))&gt;(ABS(G43)/MAX(((F32)+(H32)*(MAX($D$16,(D43)-(J32))))*(MAX($D$16,(D43)-(J32))),0.000001)),$D$9*((((ABS(G43)/MAX(((G32)+(I32)*(MAX($D$16,(E43)-(K32))))*(MAX($D$16,(E43)-(K32))),0.000001))^2)/(2*$I$5))-(((ABS(G43)/MAX(((F32)+(H32)*(MAX($D$16,(D43)-(J32))))*(MAX($D$16,(D43)-(J32))),0.000001))^2)/(2*$I$5))),$D$8*((((ABS(G43)/MAX(((F32)+(H32)*(MAX($D$16,(D43)-(J32))))*(MAX($D$16,(D43)-(J32))),0.000001))^2)/(2*$I$5))-(((ABS(G43)/MAX(((G32)+(I32)*(MAX($D$16,(E43)-(K32))))*(MAX($D$16,(E43)-(K32))),0.000001))^2)/(2*$I$5)))))+($D$10*(ABS((X32)-(W32))/90)*MAX(((ABS(G43)/MAX(((F32)+(H32)*(MAX($D$16,(D43)-(J32))))*(MAX($D$16,(D43)-(J32))),0.000001))^2)/(2*$I$5),((ABS(G43)/MAX(((G32)+(I32)*(MAX($D$16,(E43)-(K32))))*(MAX($D$16,(E43)-(K32))),0.000001))^2)/(2*$I$5)))+(($D$11*0.13607488*(ABS(H43)/MAX(ABS(F43),0.000001))^2*MAX(((ABS(G43)/MAX(((F32)+(H32)*(MAX($D$16,(D43)-(J32))))*(MAX($D$16,(D43)-(J32))),0.000001))^2)/(2*$I$5),((ABS(G43)/MAX(((G32)+(I32)*(MAX($D$16,(E43)-(K32))))*(MAX($D$16,(E43)-(K32))),0.000001))^2)/(2*$I$5))))-((ABS(G43)/MAX(((F32)+(H32)*(MAX($D$16,(D43)-(J32))))*(MAX($D$16,(D43)-(J32))),0.000001))^2)/(2*$I$5)</f>
        <v>294112.33893061354</v>
      </c>
      <c r="Q43">
        <f>L43+((ABS(H43)/MAX(((G33)+(I33)*(MAX($D$16,(L43)-(K33))))*(MAX($D$16,(L43)-(K33))),0.000001))^2)/(2*$I$5)+((E33)*((((ABS(H43)*$D$6)/(MAX(((F33)+(H33)*(MAX($D$16,(D43)-(J33))))*(MAX($D$16,(D43)-(J33))),0.000001)*MAX(((((F33)+(H33)*(MAX($D$16,(D43)-(J33))))*(MAX($D$16,(D43)-(J33))))/MAX((F33)+2*(MAX($D$16,(D43)-(J33)))*SQRT(1+(H33)^2),0.000001))^(2/3),0.000001)))^2)+(((ABS(H43)*$D$6)/(MAX(((G33)+(I33)*(MAX($D$16,(L43)-(K33))))*(MAX($D$16,(L43)-(K33))),0.000001)*MAX(((((G33)+(I33)*(MAX($D$16,(L43)-(K33))))*(MAX($D$16,(L43)-(K33))))/MAX((G33)+2*(MAX($D$16,(L43)-(K33)))*SQRT(1+(I33)^2),0.000001))^(2/3),0.000001)))^2))/2)+(IF((ABS(H43)/MAX(((G33)+(I33)*(MAX($D$16,(L43)-(K33))))*(MAX($D$16,(L43)-(K33))),0.000001))&gt;(ABS(H43)/MAX(((F33)+(H33)*(MAX($D$16,(D43)-(J33))))*(MAX($D$16,(D43)-(J33))),0.000001)),$D$9*((((ABS(H43)/MAX(((G33)+(I33)*(MAX($D$16,(L43)-(K33))))*(MAX($D$16,(L43)-(K33))),0.000001))^2)/(2*$I$5))-(((ABS(H43)/MAX(((F33)+(H33)*(MAX($D$16,(D43)-(J33))))*(MAX($D$16,(D43)-(J33))),0.000001))^2)/(2*$I$5))),$D$8*((((ABS(H43)/MAX(((F33)+(H33)*(MAX($D$16,(D43)-(J33))))*(MAX($D$16,(D43)-(J33))),0.000001))^2)/(2*$I$5))-(((ABS(H43)/MAX(((G33)+(I33)*(MAX($D$16,(L43)-(K33))))*(MAX($D$16,(L43)-(K33))),0.000001))^2)/(2*$I$5)))))+($D$10*(ABS((X33)-(W33))/90)*MAX(((ABS(H43)/MAX(((F33)+(H33)*(MAX($D$16,(D43)-(J33))))*(MAX($D$16,(D43)-(J33))),0.000001))^2)/(2*$I$5),((ABS(H43)/MAX(((G33)+(I33)*(MAX($D$16,(L43)-(K33))))*(MAX($D$16,(L43)-(K33))),0.000001))^2)/(2*$I$5)))+(($D$11*0.00000015*(ABS(G43)/MAX(ABS(F43),0.000001))^2*MAX(((ABS(H43)/MAX(((F33)+(H33)*(MAX($D$16,(D43)-(J33))))*(MAX($D$16,(D43)-(J33))),0.000001))^2)/(2*$I$5),((ABS(H43)/MAX(((G33)+(I33)*(MAX($D$16,(L43)-(K33))))*(MAX($D$16,(L43)-(K33))),0.000001))^2)/(2*$I$5))))-((ABS(H43)/MAX(((F33)+(H33)*(MAX($D$16,(D43)-(J33))))*(MAX($D$16,(D43)-(J33))),0.000001))^2)/(2*$I$5)</f>
        <v>634.3119999999999</v>
      </c>
      <c r="R43">
        <f>D43+((ABS(G43)/MAX(((F32)+(H32)*(MAX($D$16,(D43)-(J32))))*(MAX($D$16,(D43)-(J32))),0.000001))^2)/(2*$I$5)-((E32)*((((ABS(G43)*$D$6)/(MAX(((F32)+(H32)*(MAX($D$16,(D43)-(J32))))*(MAX($D$16,(D43)-(J32))),0.000001)*MAX(((((F32)+(H32)*(MAX($D$16,(D43)-(J32))))*(MAX($D$16,(D43)-(J32))))/MAX((F32)+2*(MAX($D$16,(D43)-(J32)))*SQRT(1+(H32)^2),0.000001))^(2/3),0.000001)))^2)+(((ABS(G43)*$D$6)/(MAX(((G32)+(I32)*(MAX($D$16,(E43)-(K32))))*(MAX($D$16,(E43)-(K32))),0.000001)*MAX(((((G32)+(I32)*(MAX($D$16,(E43)-(K32))))*(MAX($D$16,(E43)-(K32))))/MAX((G32)+2*(MAX($D$16,(E43)-(K32)))*SQRT(1+(I32)^2),0.000001))^(2/3),0.000001)))^2))/2)+(IF((ABS(G43)/MAX(((G32)+(I32)*(MAX($D$16,(E43)-(K32))))*(MAX($D$16,(E43)-(K32))),0.000001))&gt;(ABS(G43)/MAX(((F32)+(H32)*(MAX($D$16,(D43)-(J32))))*(MAX($D$16,(D43)-(J32))),0.000001)),$D$9*((((ABS(G43)/MAX(((G32)+(I32)*(MAX($D$16,(E43)-(K32))))*(MAX($D$16,(E43)-(K32))),0.000001))^2)/(2*$I$5))-(((ABS(G43)/MAX(((F32)+(H32)*(MAX($D$16,(D43)-(J32))))*(MAX($D$16,(D43)-(J32))),0.000001))^2)/(2*$I$5))),$D$8*((((ABS(G43)/MAX(((F32)+(H32)*(MAX($D$16,(D43)-(J32))))*(MAX($D$16,(D43)-(J32))),0.000001))^2)/(2*$I$5))-(((ABS(G43)/MAX(((G32)+(I32)*(MAX($D$16,(E43)-(K32))))*(MAX($D$16,(E43)-(K32))),0.000001))^2)/(2*$I$5)))))+($D$10*(ABS((X32)-(W32))/90)*MAX(((ABS(G43)/MAX(((F32)+(H32)*(MAX($D$16,(D43)-(J32))))*(MAX($D$16,(D43)-(J32))),0.000001))^2)/(2*$I$5),((ABS(G43)/MAX(((G32)+(I32)*(MAX($D$16,(E43)-(K32))))*(MAX($D$16,(E43)-(K32))),0.000001))^2)/(2*$I$5)))+(($D$11*0.13607488*(ABS(H43)/MAX(ABS(F43),0.000001))^2*MAX(((ABS(G43)/MAX(((F32)+(H32)*(MAX($D$16,(D43)-(J32))))*(MAX($D$16,(D43)-(J32))),0.000001))^2)/(2*$I$5),((ABS(G43)/MAX(((G32)+(I32)*(MAX($D$16,(E43)-(K32))))*(MAX($D$16,(E43)-(K32))),0.000001))^2)/(2*$I$5))))-((ABS(G43)/MAX(((G32)+(I32)*(MAX($D$16,(E43)-(K32))))*(MAX($D$16,(E43)-(K32))),0.000001))^2)/(2*$I$5)</f>
        <v>-292118.86046378763</v>
      </c>
      <c r="S43">
        <f>M43+((ABS(I43)/MAX(((G34)+(I34)*(MAX($D$16,(M43)-(K34))))*(MAX($D$16,(M43)-(K34))),0.000001))^2)/(2*$I$5)+((E34)*((((ABS(I43)*$D$6)/(MAX(((F34)+(H34)*(MAX($D$16,(E43)-(J34))))*(MAX($D$16,(E43)-(J34))),0.000001)*MAX(((((F34)+(H34)*(MAX($D$16,(E43)-(J34))))*(MAX($D$16,(E43)-(J34))))/MAX((F34)+2*(MAX($D$16,(E43)-(J34)))*SQRT(1+(H34)^2),0.000001))^(2/3),0.000001)))^2)+(((ABS(I43)*$D$6)/(MAX(((G34)+(I34)*(MAX($D$16,(M43)-(K34))))*(MAX($D$16,(M43)-(K34))),0.000001)*MAX(((((G34)+(I34)*(MAX($D$16,(M43)-(K34))))*(MAX($D$16,(M43)-(K34))))/MAX((G34)+2*(MAX($D$16,(M43)-(K34)))*SQRT(1+(I34)^2),0.000001))^(2/3),0.000001)))^2))/2)+(IF((ABS(I43)/MAX(((G34)+(I34)*(MAX($D$16,(M43)-(K34))))*(MAX($D$16,(M43)-(K34))),0.000001))&gt;(ABS(I43)/MAX(((F34)+(H34)*(MAX($D$16,(E43)-(J34))))*(MAX($D$16,(E43)-(J34))),0.000001)),$D$9*((((ABS(I43)/MAX(((G34)+(I34)*(MAX($D$16,(M43)-(K34))))*(MAX($D$16,(M43)-(K34))),0.000001))^2)/(2*$I$5))-(((ABS(I43)/MAX(((F34)+(H34)*(MAX($D$16,(E43)-(J34))))*(MAX($D$16,(E43)-(J34))),0.000001))^2)/(2*$I$5))),$D$8*((((ABS(I43)/MAX(((F34)+(H34)*(MAX($D$16,(E43)-(J34))))*(MAX($D$16,(E43)-(J34))),0.000001))^2)/(2*$I$5))-(((ABS(I43)/MAX(((G34)+(I34)*(MAX($D$16,(M43)-(K34))))*(MAX($D$16,(M43)-(K34))),0.000001))^2)/(2*$I$5)))))+($D$10*(ABS((X34)-(W34))/90)*MAX(((ABS(I43)/MAX(((F34)+(H34)*(MAX($D$16,(E43)-(J34))))*(MAX($D$16,(E43)-(J34))),0.000001))^2)/(2*$I$5),((ABS(I43)/MAX(((G34)+(I34)*(MAX($D$16,(M43)-(K34))))*(MAX($D$16,(M43)-(K34))),0.000001))^2)/(2*$I$5)))+(0)-((ABS(I43)/MAX(((F34)+(H34)*(MAX($D$16,(E43)-(J34))))*(MAX($D$16,(E43)-(J34))),0.000001))^2)/(2*$I$5)</f>
        <v>1477.1598400346709</v>
      </c>
      <c r="T43">
        <f>N43+((ABS(J43)/MAX(((G35)+(I35)*(MAX($D$16,(N43)-(K35))))*(MAX($D$16,(N43)-(K35))),0.000001))^2)/(2*$I$5)+((E35)*((((ABS(J43)*$D$6)/(MAX(((F35)+(H35)*(MAX($D$16,(E43)-(J35))))*(MAX($D$16,(E43)-(J35))),0.000001)*MAX(((((F35)+(H35)*(MAX($D$16,(E43)-(J35))))*(MAX($D$16,(E43)-(J35))))/MAX((F35)+2*(MAX($D$16,(E43)-(J35)))*SQRT(1+(H35)^2),0.000001))^(2/3),0.000001)))^2)+(((ABS(J43)*$D$6)/(MAX(((G35)+(I35)*(MAX($D$16,(N43)-(K35))))*(MAX($D$16,(N43)-(K35))),0.000001)*MAX(((((G35)+(I35)*(MAX($D$16,(N43)-(K35))))*(MAX($D$16,(N43)-(K35))))/MAX((G35)+2*(MAX($D$16,(N43)-(K35)))*SQRT(1+(I35)^2),0.000001))^(2/3),0.000001)))^2))/2)+(IF((ABS(J43)/MAX(((G35)+(I35)*(MAX($D$16,(N43)-(K35))))*(MAX($D$16,(N43)-(K35))),0.000001))&gt;(ABS(J43)/MAX(((F35)+(H35)*(MAX($D$16,(E43)-(J35))))*(MAX($D$16,(E43)-(J35))),0.000001)),$D$9*((((ABS(J43)/MAX(((G35)+(I35)*(MAX($D$16,(N43)-(K35))))*(MAX($D$16,(N43)-(K35))),0.000001))^2)/(2*$I$5))-(((ABS(J43)/MAX(((F35)+(H35)*(MAX($D$16,(E43)-(J35))))*(MAX($D$16,(E43)-(J35))),0.000001))^2)/(2*$I$5))),$D$8*((((ABS(J43)/MAX(((F35)+(H35)*(MAX($D$16,(E43)-(J35))))*(MAX($D$16,(E43)-(J35))),0.000001))^2)/(2*$I$5))-(((ABS(J43)/MAX(((G35)+(I35)*(MAX($D$16,(N43)-(K35))))*(MAX($D$16,(N43)-(K35))),0.000001))^2)/(2*$I$5)))))+($D$10*(ABS((X35)-(W35))/90)*MAX(((ABS(J43)/MAX(((F35)+(H35)*(MAX($D$16,(E43)-(J35))))*(MAX($D$16,(E43)-(J35))),0.000001))^2)/(2*$I$5),((ABS(J43)/MAX(((G35)+(I35)*(MAX($D$16,(N43)-(K35))))*(MAX($D$16,(N43)-(K35))),0.000001))^2)/(2*$I$5)))+(($D$11*0.34699541*(ABS(I43)/MAX(ABS(G43),0.000001))^2*MAX(((ABS(J43)/MAX(((F35)+(H35)*(MAX($D$16,(E43)-(J35))))*(MAX($D$16,(E43)-(J35))),0.000001))^2)/(2*$I$5),((ABS(J43)/MAX(((G35)+(I35)*(MAX($D$16,(N43)-(K35))))*(MAX($D$16,(N43)-(K35))),0.000001))^2)/(2*$I$5))))-((ABS(J43)/MAX(((F35)+(H35)*(MAX($D$16,(E43)-(J35))))*(MAX($D$16,(E43)-(J35))),0.000001))^2)/(2*$I$5)</f>
        <v>3148.3858552655356</v>
      </c>
      <c r="U43">
        <f>(((((F32)*(MAX($D$16,(D43)-(J32)))^2)/2+(H32)*(MAX($D$16,(D43)-(J32)))^3/3+(ABS(G43)^2)/($I$5*MAX(((F32)+(H32)*(MAX($D$16,(D43)-(J32))))*(MAX($D$16,(D43)-(J32))),0.000001)))*0.72785025)-((((F33)*(MAX($D$16,(D43)-(J33)))^2)/2+(H33)*(MAX($D$16,(D43)-(J33)))^3/3+(ABS(H43)^2)/($I$5*MAX(((F33)+(H33)*(MAX($D$16,(D43)-(J33))))*(MAX($D$16,(D43)-(J33))),0.000001)))*0.99999971))/MAX(((G31)*(MAX($D$16,(D43)-(K31)))^2)/2+(I31)*(MAX($D$16,(D43)-(K31)))^3/3+(ABS(F43)^2)/($I$5*MAX(((G31)+(I31)*(MAX($D$16,(D43)-(K31))))*(MAX($D$16,(D43)-(K31))),0.000001)),0.000001)</f>
        <v>0.72784011212415178</v>
      </c>
      <c r="V43">
        <f>(((((F34)*(MAX($D$16,(E43)-(J34)))^2)/2+(H34)*(MAX($D$16,(E43)-(J34)))^3/3+(ABS(I43)^2)/($I$5*MAX(((F34)+(H34)*(MAX($D$16,(E43)-(J34))))*(MAX($D$16,(E43)-(J34))),0.000001)))*1)-((((F35)*(MAX($D$16,(E43)-(J35)))^2)/2+(H35)*(MAX($D$16,(E43)-(J35)))^3/3+(ABS(J43)^2)/($I$5*MAX(((F35)+(H35)*(MAX($D$16,(E43)-(J35))))*(MAX($D$16,(E43)-(J35))),0.000001)))*0.30600918))/MAX(((G32)*(MAX($D$16,(E43)-(K32)))^2)/2+(I32)*(MAX($D$16,(E43)-(K32)))^3/3+(ABS(G43)^2)/($I$5*MAX(((G32)+(I32)*(MAX($D$16,(E43)-(K32))))*(MAX($D$16,(E43)-(K32))),0.000001)),0.000001)</f>
        <v>0.41734766354790165</v>
      </c>
      <c r="W43">
        <f>IF(N6="None",ABS(P43-D43),MAX(ABS(P43-D43),ABS(Q43-D43)))</f>
        <v>293478.03893061355</v>
      </c>
      <c r="X43">
        <f>IF(AND(N7="None",N8="None"),0,IF(N8="None",ABS(S43-E43),IF(N7="None",ABS(T43-E43),MAX(ABS(S43-E43),ABS(T43-E43)))))</f>
        <v>2516.4858552655355</v>
      </c>
      <c r="AA43">
        <f t="shared" ref="AA43:AA74" si="3">D43+$D$13*(AC43-D43)</f>
        <v>103351.61362571474</v>
      </c>
      <c r="AB43">
        <f t="shared" ref="AB43:AB74" si="4">E43+$D$13*(AD43-E43)</f>
        <v>1512.6700493429373</v>
      </c>
      <c r="AC43">
        <f>IF(N6="None",P43,MAX(P43,Q43))</f>
        <v>294112.33893061354</v>
      </c>
      <c r="AD43">
        <f>IF(AND(N7="None",N8="None"),E43,IF(N8="None",S43,IF(N7="None",T43,MAX(S43,T43))))</f>
        <v>3148.3858552655356</v>
      </c>
      <c r="AE43">
        <f t="shared" ref="AE43:AE74" si="5">O43</f>
        <v>-2091.5872404992097</v>
      </c>
      <c r="AF43">
        <f t="shared" ref="AF43:AF74" si="6">R43</f>
        <v>-292118.86046378763</v>
      </c>
      <c r="AG43">
        <f>((G31)*(MAX($D$16,(AC43)-(K31)))^2)/2+(I31)*(MAX($D$16,(AC43)-(K31)))^3/3+(ABS(F43)^2)/($I$5*MAX(((G31)+(I31)*(MAX($D$16,(AC43)-(K31))))*(MAX($D$16,(AC43)-(K31))),0.000001))</f>
        <v>282418173107.27612</v>
      </c>
      <c r="AH43">
        <f>((G31)*(MAX($D$16,(AE43)-(K31)))^2)/2+(I31)*(MAX($D$16,(AE43)-(K31)))^3/3+(ABS(F43)^2)/($I$5*MAX(((G31)+(I31)*(MAX($D$16,(AE43)-(K31))))*(MAX($D$16,(AE43)-(K31))),0.000001))</f>
        <v>808.60110594434002</v>
      </c>
      <c r="AI43">
        <f>((G32)*(MAX($D$16,(AD43)-(K32)))^2)/2+(I32)*(MAX($D$16,(AD43)-(K32)))^3/3+(ABS(G43)^2)/($I$5*MAX(((G32)+(I32)*(MAX($D$16,(AD43)-(K32))))*(MAX($D$16,(AD43)-(K32))),0.000001))</f>
        <v>32316415.602790587</v>
      </c>
      <c r="AJ43">
        <f>((G32)*(MAX($D$16,(AF43)-(K32)))^2)/2+(I32)*(MAX($D$16,(AF43)-(K32)))^3/3+(ABS(G43)^2)/($I$5*MAX(((G32)+(I32)*(MAX($D$16,(AF43)-(K32))))*(MAX($D$16,(AF43)-(K32))),0.000001))</f>
        <v>519.58480272613974</v>
      </c>
      <c r="AK43" t="str">
        <f t="shared" ref="AK43:AK74" si="7">IF(AH43&gt;=AG43,"Supercritical","Subcritical")</f>
        <v>Subcritical</v>
      </c>
      <c r="AL43" t="str">
        <f t="shared" ref="AL43:AL74" si="8">IF(AJ43&gt;=AI43,"Supercritical","Subcritical")</f>
        <v>Subcritical</v>
      </c>
      <c r="AM43">
        <f t="shared" ref="AM43:AM74" si="9">D43+$D$13*(IF(AK43="Supercritical",AE43,AC43)-D43)</f>
        <v>103351.61362571474</v>
      </c>
      <c r="AN43">
        <f t="shared" ref="AN43:AN74" si="10">E43+$D$13*(IF(AL43="Supercritical",AF43,AD43)-E43)</f>
        <v>1512.6700493429373</v>
      </c>
      <c r="AO43">
        <f t="shared" ref="AO43:AO74" si="11">ABS(IF(AK43="Supercritical",AE43,AC43)-D43)</f>
        <v>293478.03893061355</v>
      </c>
      <c r="AP43">
        <f t="shared" ref="AP43:AP74" si="12">ABS(IF(AL43="Supercritical",AF43,AD43)-E43)</f>
        <v>2516.4858552655355</v>
      </c>
    </row>
    <row r="44" spans="1:42" x14ac:dyDescent="0.35">
      <c r="A44">
        <v>1</v>
      </c>
      <c r="B44">
        <f t="shared" ref="B44:B75" si="13">Y43</f>
        <v>0</v>
      </c>
      <c r="C44">
        <f t="shared" ref="C44:C75" si="14">Z43</f>
        <v>0</v>
      </c>
      <c r="D44">
        <f t="shared" ref="D44:D75" si="15">AM43</f>
        <v>103351.61362571474</v>
      </c>
      <c r="E44">
        <f t="shared" ref="E44:E75" si="16">AN43</f>
        <v>1512.6700493429373</v>
      </c>
      <c r="F44">
        <f t="shared" si="2"/>
        <v>51</v>
      </c>
      <c r="G44">
        <f>IF(N6="None",F44,MAX(0,F44*B44))</f>
        <v>51</v>
      </c>
      <c r="H44">
        <f>IF(N6="None",0,MAX(0,F44-G44))</f>
        <v>0</v>
      </c>
      <c r="I44">
        <f>IF(AND(N7="None",N8="None"),0,IF(N8="None",G44,IF(N7="None",0,MAX(0,G44*C44))))</f>
        <v>0</v>
      </c>
      <c r="J44">
        <f>IF(AND(N7="None",N8="None"),0,IF(N8="None",0,IF(N7="None",G44,MAX(0,G44-I44))))</f>
        <v>51</v>
      </c>
      <c r="K44">
        <f>P5</f>
        <v>637</v>
      </c>
      <c r="L44">
        <f>P6</f>
        <v>634.3119999999999</v>
      </c>
      <c r="M44">
        <f>P7</f>
        <v>635.5</v>
      </c>
      <c r="N44">
        <f>P8</f>
        <v>631.54999999999995</v>
      </c>
      <c r="O44">
        <f>K44+((ABS(F44)/MAX(((F31)+(H31)*(MAX($D$16,(K44)-(J31))))*(MAX($D$16,(K44)-(J31))),0.000001))^2)/(2*$I$5)-((E31)*((((ABS(F44)*$D$6)/(MAX(((F31)+(H31)*(MAX($D$16,(K44)-(J31))))*(MAX($D$16,(K44)-(J31))),0.000001)*MAX(((((F31)+(H31)*(MAX($D$16,(K44)-(J31))))*(MAX($D$16,(K44)-(J31))))/MAX((F31)+2*(MAX($D$16,(K44)-(J31)))*SQRT(1+(H31)^2),0.000001))^(2/3),0.000001)))^2)+(((ABS(F44)*$D$6)/(MAX(((G31)+(I31)*(MAX($D$16,(D44)-(K31))))*(MAX($D$16,(D44)-(K31))),0.000001)*MAX(((((G31)+(I31)*(MAX($D$16,(D44)-(K31))))*(MAX($D$16,(D44)-(K31))))/MAX((G31)+2*(MAX($D$16,(D44)-(K31)))*SQRT(1+(I31)^2),0.000001))^(2/3),0.000001)))^2))/2)+(IF((ABS(F44)/MAX(((G31)+(I31)*(MAX($D$16,(D44)-(K31))))*(MAX($D$16,(D44)-(K31))),0.000001))&gt;(ABS(F44)/MAX(((F31)+(H31)*(MAX($D$16,(K44)-(J31))))*(MAX($D$16,(K44)-(J31))),0.000001)),$D$9*((((ABS(F44)/MAX(((G31)+(I31)*(MAX($D$16,(D44)-(K31))))*(MAX($D$16,(D44)-(K31))),0.000001))^2)/(2*$I$5))-(((ABS(F44)/MAX(((F31)+(H31)*(MAX($D$16,(K44)-(J31))))*(MAX($D$16,(K44)-(J31))),0.000001))^2)/(2*$I$5))),$D$8*((((ABS(F44)/MAX(((F31)+(H31)*(MAX($D$16,(K44)-(J31))))*(MAX($D$16,(K44)-(J31))),0.000001))^2)/(2*$I$5))-(((ABS(F44)/MAX(((G31)+(I31)*(MAX($D$16,(D44)-(K31))))*(MAX($D$16,(D44)-(K31))),0.000001))^2)/(2*$I$5)))))+($D$10*(ABS((X31)-(W31))/90)*MAX(((ABS(F44)/MAX(((F31)+(H31)*(MAX($D$16,(K44)-(J31))))*(MAX($D$16,(K44)-(J31))),0.000001))^2)/(2*$I$5),((ABS(F44)/MAX(((G31)+(I31)*(MAX($D$16,(D44)-(K31))))*(MAX($D$16,(D44)-(K31))),0.000001))^2)/(2*$I$5)))+(0)-((ABS(F44)/MAX(((G31)+(I31)*(MAX($D$16,(D44)-(K31))))*(MAX($D$16,(D44)-(K31))),0.000001))^2)/(2*$I$5)</f>
        <v>637.65825101201608</v>
      </c>
      <c r="P44">
        <f>E44+((ABS(G44)/MAX(((G32)+(I32)*(MAX($D$16,(E44)-(K32))))*(MAX($D$16,(E44)-(K32))),0.000001))^2)/(2*$I$5)+((E32)*((((ABS(G44)*$D$6)/(MAX(((F32)+(H32)*(MAX($D$16,(D44)-(J32))))*(MAX($D$16,(D44)-(J32))),0.000001)*MAX(((((F32)+(H32)*(MAX($D$16,(D44)-(J32))))*(MAX($D$16,(D44)-(J32))))/MAX((F32)+2*(MAX($D$16,(D44)-(J32)))*SQRT(1+(H32)^2),0.000001))^(2/3),0.000001)))^2)+(((ABS(G44)*$D$6)/(MAX(((G32)+(I32)*(MAX($D$16,(E44)-(K32))))*(MAX($D$16,(E44)-(K32))),0.000001)*MAX(((((G32)+(I32)*(MAX($D$16,(E44)-(K32))))*(MAX($D$16,(E44)-(K32))))/MAX((G32)+2*(MAX($D$16,(E44)-(K32)))*SQRT(1+(I32)^2),0.000001))^(2/3),0.000001)))^2))/2)+(IF((ABS(G44)/MAX(((G32)+(I32)*(MAX($D$16,(E44)-(K32))))*(MAX($D$16,(E44)-(K32))),0.000001))&gt;(ABS(G44)/MAX(((F32)+(H32)*(MAX($D$16,(D44)-(J32))))*(MAX($D$16,(D44)-(J32))),0.000001)),$D$9*((((ABS(G44)/MAX(((G32)+(I32)*(MAX($D$16,(E44)-(K32))))*(MAX($D$16,(E44)-(K32))),0.000001))^2)/(2*$I$5))-(((ABS(G44)/MAX(((F32)+(H32)*(MAX($D$16,(D44)-(J32))))*(MAX($D$16,(D44)-(J32))),0.000001))^2)/(2*$I$5))),$D$8*((((ABS(G44)/MAX(((F32)+(H32)*(MAX($D$16,(D44)-(J32))))*(MAX($D$16,(D44)-(J32))),0.000001))^2)/(2*$I$5))-(((ABS(G44)/MAX(((G32)+(I32)*(MAX($D$16,(E44)-(K32))))*(MAX($D$16,(E44)-(K32))),0.000001))^2)/(2*$I$5)))))+($D$10*(ABS((X32)-(W32))/90)*MAX(((ABS(G44)/MAX(((F32)+(H32)*(MAX($D$16,(D44)-(J32))))*(MAX($D$16,(D44)-(J32))),0.000001))^2)/(2*$I$5),((ABS(G44)/MAX(((G32)+(I32)*(MAX($D$16,(E44)-(K32))))*(MAX($D$16,(E44)-(K32))),0.000001))^2)/(2*$I$5)))+(($D$11*0.13607488*(ABS(H44)/MAX(ABS(F44),0.000001))^2*MAX(((ABS(G44)/MAX(((F32)+(H32)*(MAX($D$16,(D44)-(J32))))*(MAX($D$16,(D44)-(J32))),0.000001))^2)/(2*$I$5),((ABS(G44)/MAX(((G32)+(I32)*(MAX($D$16,(E44)-(K32))))*(MAX($D$16,(E44)-(K32))),0.000001))^2)/(2*$I$5))))-((ABS(G44)/MAX(((F32)+(H32)*(MAX($D$16,(D44)-(J32))))*(MAX($D$16,(D44)-(J32))),0.000001))^2)/(2*$I$5)</f>
        <v>1512.6700519164194</v>
      </c>
      <c r="Q44">
        <f>L44+((ABS(H44)/MAX(((G33)+(I33)*(MAX($D$16,(L44)-(K33))))*(MAX($D$16,(L44)-(K33))),0.000001))^2)/(2*$I$5)+((E33)*((((ABS(H44)*$D$6)/(MAX(((F33)+(H33)*(MAX($D$16,(D44)-(J33))))*(MAX($D$16,(D44)-(J33))),0.000001)*MAX(((((F33)+(H33)*(MAX($D$16,(D44)-(J33))))*(MAX($D$16,(D44)-(J33))))/MAX((F33)+2*(MAX($D$16,(D44)-(J33)))*SQRT(1+(H33)^2),0.000001))^(2/3),0.000001)))^2)+(((ABS(H44)*$D$6)/(MAX(((G33)+(I33)*(MAX($D$16,(L44)-(K33))))*(MAX($D$16,(L44)-(K33))),0.000001)*MAX(((((G33)+(I33)*(MAX($D$16,(L44)-(K33))))*(MAX($D$16,(L44)-(K33))))/MAX((G33)+2*(MAX($D$16,(L44)-(K33)))*SQRT(1+(I33)^2),0.000001))^(2/3),0.000001)))^2))/2)+(IF((ABS(H44)/MAX(((G33)+(I33)*(MAX($D$16,(L44)-(K33))))*(MAX($D$16,(L44)-(K33))),0.000001))&gt;(ABS(H44)/MAX(((F33)+(H33)*(MAX($D$16,(D44)-(J33))))*(MAX($D$16,(D44)-(J33))),0.000001)),$D$9*((((ABS(H44)/MAX(((G33)+(I33)*(MAX($D$16,(L44)-(K33))))*(MAX($D$16,(L44)-(K33))),0.000001))^2)/(2*$I$5))-(((ABS(H44)/MAX(((F33)+(H33)*(MAX($D$16,(D44)-(J33))))*(MAX($D$16,(D44)-(J33))),0.000001))^2)/(2*$I$5))),$D$8*((((ABS(H44)/MAX(((F33)+(H33)*(MAX($D$16,(D44)-(J33))))*(MAX($D$16,(D44)-(J33))),0.000001))^2)/(2*$I$5))-(((ABS(H44)/MAX(((G33)+(I33)*(MAX($D$16,(L44)-(K33))))*(MAX($D$16,(L44)-(K33))),0.000001))^2)/(2*$I$5)))))+($D$10*(ABS((X33)-(W33))/90)*MAX(((ABS(H44)/MAX(((F33)+(H33)*(MAX($D$16,(D44)-(J33))))*(MAX($D$16,(D44)-(J33))),0.000001))^2)/(2*$I$5),((ABS(H44)/MAX(((G33)+(I33)*(MAX($D$16,(L44)-(K33))))*(MAX($D$16,(L44)-(K33))),0.000001))^2)/(2*$I$5)))+(($D$11*0.00000015*(ABS(G44)/MAX(ABS(F44),0.000001))^2*MAX(((ABS(H44)/MAX(((F33)+(H33)*(MAX($D$16,(D44)-(J33))))*(MAX($D$16,(D44)-(J33))),0.000001))^2)/(2*$I$5),((ABS(H44)/MAX(((G33)+(I33)*(MAX($D$16,(L44)-(K33))))*(MAX($D$16,(L44)-(K33))),0.000001))^2)/(2*$I$5))))-((ABS(H44)/MAX(((F33)+(H33)*(MAX($D$16,(D44)-(J33))))*(MAX($D$16,(D44)-(J33))),0.000001))^2)/(2*$I$5)</f>
        <v>634.3119999999999</v>
      </c>
      <c r="R44">
        <f>D44+((ABS(G44)/MAX(((F32)+(H32)*(MAX($D$16,(D44)-(J32))))*(MAX($D$16,(D44)-(J32))),0.000001))^2)/(2*$I$5)-((E32)*((((ABS(G44)*$D$6)/(MAX(((F32)+(H32)*(MAX($D$16,(D44)-(J32))))*(MAX($D$16,(D44)-(J32))),0.000001)*MAX(((((F32)+(H32)*(MAX($D$16,(D44)-(J32))))*(MAX($D$16,(D44)-(J32))))/MAX((F32)+2*(MAX($D$16,(D44)-(J32)))*SQRT(1+(H32)^2),0.000001))^(2/3),0.000001)))^2)+(((ABS(G44)*$D$6)/(MAX(((G32)+(I32)*(MAX($D$16,(E44)-(K32))))*(MAX($D$16,(E44)-(K32))),0.000001)*MAX(((((G32)+(I32)*(MAX($D$16,(E44)-(K32))))*(MAX($D$16,(E44)-(K32))))/MAX((G32)+2*(MAX($D$16,(E44)-(K32)))*SQRT(1+(I32)^2),0.000001))^(2/3),0.000001)))^2))/2)+(IF((ABS(G44)/MAX(((G32)+(I32)*(MAX($D$16,(E44)-(K32))))*(MAX($D$16,(E44)-(K32))),0.000001))&gt;(ABS(G44)/MAX(((F32)+(H32)*(MAX($D$16,(D44)-(J32))))*(MAX($D$16,(D44)-(J32))),0.000001)),$D$9*((((ABS(G44)/MAX(((G32)+(I32)*(MAX($D$16,(E44)-(K32))))*(MAX($D$16,(E44)-(K32))),0.000001))^2)/(2*$I$5))-(((ABS(G44)/MAX(((F32)+(H32)*(MAX($D$16,(D44)-(J32))))*(MAX($D$16,(D44)-(J32))),0.000001))^2)/(2*$I$5))),$D$8*((((ABS(G44)/MAX(((F32)+(H32)*(MAX($D$16,(D44)-(J32))))*(MAX($D$16,(D44)-(J32))),0.000001))^2)/(2*$I$5))-(((ABS(G44)/MAX(((G32)+(I32)*(MAX($D$16,(E44)-(K32))))*(MAX($D$16,(E44)-(K32))),0.000001))^2)/(2*$I$5)))))+($D$10*(ABS((X32)-(W32))/90)*MAX(((ABS(G44)/MAX(((F32)+(H32)*(MAX($D$16,(D44)-(J32))))*(MAX($D$16,(D44)-(J32))),0.000001))^2)/(2*$I$5),((ABS(G44)/MAX(((G32)+(I32)*(MAX($D$16,(E44)-(K32))))*(MAX($D$16,(E44)-(K32))),0.000001))^2)/(2*$I$5)))+(($D$11*0.13607488*(ABS(H44)/MAX(ABS(F44),0.000001))^2*MAX(((ABS(G44)/MAX(((F32)+(H32)*(MAX($D$16,(D44)-(J32))))*(MAX($D$16,(D44)-(J32))),0.000001))^2)/(2*$I$5),((ABS(G44)/MAX(((G32)+(I32)*(MAX($D$16,(E44)-(K32))))*(MAX($D$16,(E44)-(K32))),0.000001))^2)/(2*$I$5))))-((ABS(G44)/MAX(((G32)+(I32)*(MAX($D$16,(E44)-(K32))))*(MAX($D$16,(E44)-(K32))),0.000001))^2)/(2*$I$5)</f>
        <v>103351.61362385908</v>
      </c>
      <c r="S44">
        <f>M44+((ABS(I44)/MAX(((G34)+(I34)*(MAX($D$16,(M44)-(K34))))*(MAX($D$16,(M44)-(K34))),0.000001))^2)/(2*$I$5)+((E34)*((((ABS(I44)*$D$6)/(MAX(((F34)+(H34)*(MAX($D$16,(E44)-(J34))))*(MAX($D$16,(E44)-(J34))),0.000001)*MAX(((((F34)+(H34)*(MAX($D$16,(E44)-(J34))))*(MAX($D$16,(E44)-(J34))))/MAX((F34)+2*(MAX($D$16,(E44)-(J34)))*SQRT(1+(H34)^2),0.000001))^(2/3),0.000001)))^2)+(((ABS(I44)*$D$6)/(MAX(((G34)+(I34)*(MAX($D$16,(M44)-(K34))))*(MAX($D$16,(M44)-(K34))),0.000001)*MAX(((((G34)+(I34)*(MAX($D$16,(M44)-(K34))))*(MAX($D$16,(M44)-(K34))))/MAX((G34)+2*(MAX($D$16,(M44)-(K34)))*SQRT(1+(I34)^2),0.000001))^(2/3),0.000001)))^2))/2)+(IF((ABS(I44)/MAX(((G34)+(I34)*(MAX($D$16,(M44)-(K34))))*(MAX($D$16,(M44)-(K34))),0.000001))&gt;(ABS(I44)/MAX(((F34)+(H34)*(MAX($D$16,(E44)-(J34))))*(MAX($D$16,(E44)-(J34))),0.000001)),$D$9*((((ABS(I44)/MAX(((G34)+(I34)*(MAX($D$16,(M44)-(K34))))*(MAX($D$16,(M44)-(K34))),0.000001))^2)/(2*$I$5))-(((ABS(I44)/MAX(((F34)+(H34)*(MAX($D$16,(E44)-(J34))))*(MAX($D$16,(E44)-(J34))),0.000001))^2)/(2*$I$5))),$D$8*((((ABS(I44)/MAX(((F34)+(H34)*(MAX($D$16,(E44)-(J34))))*(MAX($D$16,(E44)-(J34))),0.000001))^2)/(2*$I$5))-(((ABS(I44)/MAX(((G34)+(I34)*(MAX($D$16,(M44)-(K34))))*(MAX($D$16,(M44)-(K34))),0.000001))^2)/(2*$I$5)))))+($D$10*(ABS((X34)-(W34))/90)*MAX(((ABS(I44)/MAX(((F34)+(H34)*(MAX($D$16,(E44)-(J34))))*(MAX($D$16,(E44)-(J34))),0.000001))^2)/(2*$I$5),((ABS(I44)/MAX(((G34)+(I34)*(MAX($D$16,(M44)-(K34))))*(MAX($D$16,(M44)-(K34))),0.000001))^2)/(2*$I$5)))+(0)-((ABS(I44)/MAX(((F34)+(H34)*(MAX($D$16,(E44)-(J34))))*(MAX($D$16,(E44)-(J34))),0.000001))^2)/(2*$I$5)</f>
        <v>635.5</v>
      </c>
      <c r="T44">
        <f>N44+((ABS(J44)/MAX(((G35)+(I35)*(MAX($D$16,(N44)-(K35))))*(MAX($D$16,(N44)-(K35))),0.000001))^2)/(2*$I$5)+((E35)*((((ABS(J44)*$D$6)/(MAX(((F35)+(H35)*(MAX($D$16,(E44)-(J35))))*(MAX($D$16,(E44)-(J35))),0.000001)*MAX(((((F35)+(H35)*(MAX($D$16,(E44)-(J35))))*(MAX($D$16,(E44)-(J35))))/MAX((F35)+2*(MAX($D$16,(E44)-(J35)))*SQRT(1+(H35)^2),0.000001))^(2/3),0.000001)))^2)+(((ABS(J44)*$D$6)/(MAX(((G35)+(I35)*(MAX($D$16,(N44)-(K35))))*(MAX($D$16,(N44)-(K35))),0.000001)*MAX(((((G35)+(I35)*(MAX($D$16,(N44)-(K35))))*(MAX($D$16,(N44)-(K35))))/MAX((G35)+2*(MAX($D$16,(N44)-(K35)))*SQRT(1+(I35)^2),0.000001))^(2/3),0.000001)))^2))/2)+(IF((ABS(J44)/MAX(((G35)+(I35)*(MAX($D$16,(N44)-(K35))))*(MAX($D$16,(N44)-(K35))),0.000001))&gt;(ABS(J44)/MAX(((F35)+(H35)*(MAX($D$16,(E44)-(J35))))*(MAX($D$16,(E44)-(J35))),0.000001)),$D$9*((((ABS(J44)/MAX(((G35)+(I35)*(MAX($D$16,(N44)-(K35))))*(MAX($D$16,(N44)-(K35))),0.000001))^2)/(2*$I$5))-(((ABS(J44)/MAX(((F35)+(H35)*(MAX($D$16,(E44)-(J35))))*(MAX($D$16,(E44)-(J35))),0.000001))^2)/(2*$I$5))),$D$8*((((ABS(J44)/MAX(((F35)+(H35)*(MAX($D$16,(E44)-(J35))))*(MAX($D$16,(E44)-(J35))),0.000001))^2)/(2*$I$5))-(((ABS(J44)/MAX(((G35)+(I35)*(MAX($D$16,(N44)-(K35))))*(MAX($D$16,(N44)-(K35))),0.000001))^2)/(2*$I$5)))))+($D$10*(ABS((X35)-(W35))/90)*MAX(((ABS(J44)/MAX(((F35)+(H35)*(MAX($D$16,(E44)-(J35))))*(MAX($D$16,(E44)-(J35))),0.000001))^2)/(2*$I$5),((ABS(J44)/MAX(((G35)+(I35)*(MAX($D$16,(N44)-(K35))))*(MAX($D$16,(N44)-(K35))),0.000001))^2)/(2*$I$5)))+(($D$11*0.34699541*(ABS(I44)/MAX(ABS(G44),0.000001))^2*MAX(((ABS(J44)/MAX(((F35)+(H35)*(MAX($D$16,(E44)-(J35))))*(MAX($D$16,(E44)-(J35))),0.000001))^2)/(2*$I$5),((ABS(J44)/MAX(((G35)+(I35)*(MAX($D$16,(N44)-(K35))))*(MAX($D$16,(N44)-(K35))),0.000001))^2)/(2*$I$5))))-((ABS(J44)/MAX(((F35)+(H35)*(MAX($D$16,(E44)-(J35))))*(MAX($D$16,(E44)-(J35))),0.000001))^2)/(2*$I$5)</f>
        <v>20784.033522135363</v>
      </c>
      <c r="U44">
        <f>(((((F32)*(MAX($D$16,(D44)-(J32)))^2)/2+(H32)*(MAX($D$16,(D44)-(J32)))^3/3+(ABS(G44)^2)/($I$5*MAX(((F32)+(H32)*(MAX($D$16,(D44)-(J32))))*(MAX($D$16,(D44)-(J32))),0.000001)))*0.72785025)-((((F33)*(MAX($D$16,(D44)-(J33)))^2)/2+(H33)*(MAX($D$16,(D44)-(J33)))^3/3+(ABS(H44)^2)/($I$5*MAX(((F33)+(H33)*(MAX($D$16,(D44)-(J33))))*(MAX($D$16,(D44)-(J33))),0.000001)))*0.99999971))/MAX(((G31)*(MAX($D$16,(D44)-(K31)))^2)/2+(I31)*(MAX($D$16,(D44)-(K31)))^3/3+(ABS(F44)^2)/($I$5*MAX(((G31)+(I31)*(MAX($D$16,(D44)-(K31))))*(MAX($D$16,(D44)-(K31))),0.000001)),0.000001)</f>
        <v>-0.27214945999998846</v>
      </c>
      <c r="V44">
        <f>(((((F34)*(MAX($D$16,(E44)-(J34)))^2)/2+(H34)*(MAX($D$16,(E44)-(J34)))^3/3+(ABS(I44)^2)/($I$5*MAX(((F34)+(H34)*(MAX($D$16,(E44)-(J34))))*(MAX($D$16,(E44)-(J34))),0.000001)))*1)-((((F35)*(MAX($D$16,(E44)-(J35)))^2)/2+(H35)*(MAX($D$16,(E44)-(J35)))^3/3+(ABS(J44)^2)/($I$5*MAX(((F35)+(H35)*(MAX($D$16,(E44)-(J35))))*(MAX($D$16,(E44)-(J35))),0.000001)))*0.30600918))/MAX(((G32)*(MAX($D$16,(E44)-(K32)))^2)/2+(I32)*(MAX($D$16,(E44)-(K32)))^3/3+(ABS(G44)^2)/($I$5*MAX(((G32)+(I32)*(MAX($D$16,(E44)-(K32))))*(MAX($D$16,(E44)-(K32))),0.000001)),0.000001)</f>
        <v>0.69373018921972329</v>
      </c>
      <c r="W44">
        <f>IF(N6="None",ABS(P44-D44),MAX(ABS(P44-D44),ABS(Q44-D44)))</f>
        <v>101838.94357379833</v>
      </c>
      <c r="X44">
        <f>IF(AND(N7="None",N8="None"),0,IF(N8="None",ABS(S44-E44),IF(N7="None",ABS(T44-E44),MAX(ABS(S44-E44),ABS(T44-E44)))))</f>
        <v>19271.363472792425</v>
      </c>
      <c r="AA44">
        <f t="shared" si="3"/>
        <v>67707.983374885342</v>
      </c>
      <c r="AB44">
        <f t="shared" si="4"/>
        <v>8257.6472648202853</v>
      </c>
      <c r="AC44">
        <f>IF(N6="None",P44,MAX(P44,Q44))</f>
        <v>1512.6700519164194</v>
      </c>
      <c r="AD44">
        <f>IF(AND(N7="None",N8="None"),E44,IF(N8="None",S44,IF(N7="None",T44,MAX(S44,T44))))</f>
        <v>20784.033522135363</v>
      </c>
      <c r="AE44">
        <f t="shared" si="5"/>
        <v>637.65825101201608</v>
      </c>
      <c r="AF44">
        <f t="shared" si="6"/>
        <v>103351.61362385908</v>
      </c>
      <c r="AG44">
        <f>((G31)*(MAX($D$16,(AC44)-(K31)))^2)/2+(I31)*(MAX($D$16,(AC44)-(K31)))^3/3+(ABS(F44)^2)/($I$5*MAX(((G31)+(I31)*(MAX($D$16,(AC44)-(K31))))*(MAX($D$16,(AC44)-(K31))),0.000001))</f>
        <v>2529871.3825745238</v>
      </c>
      <c r="AH44">
        <f>((G31)*(MAX($D$16,(AE44)-(K31)))^2)/2+(I31)*(MAX($D$16,(AE44)-(K31)))^3/3+(ABS(F44)^2)/($I$5*MAX(((G31)+(I31)*(MAX($D$16,(AE44)-(K31))))*(MAX($D$16,(AE44)-(K31))),0.000001))</f>
        <v>49.055863350204703</v>
      </c>
      <c r="AI44">
        <f>((G32)*(MAX($D$16,(AD44)-(K32)))^2)/2+(I32)*(MAX($D$16,(AD44)-(K32)))^3/3+(ABS(G44)^2)/($I$5*MAX(((G32)+(I32)*(MAX($D$16,(AD44)-(K32))))*(MAX($D$16,(AD44)-(K32))),0.000001))</f>
        <v>2072376743.2970848</v>
      </c>
      <c r="AJ44">
        <f>((G32)*(MAX($D$16,(AF44)-(K32)))^2)/2+(I32)*(MAX($D$16,(AF44)-(K32)))^3/3+(ABS(G44)^2)/($I$5*MAX(((G32)+(I32)*(MAX($D$16,(AF44)-(K32))))*(MAX($D$16,(AF44)-(K32))),0.000001))</f>
        <v>53843512019.174141</v>
      </c>
      <c r="AK44" t="str">
        <f t="shared" si="7"/>
        <v>Subcritical</v>
      </c>
      <c r="AL44" t="str">
        <f t="shared" si="8"/>
        <v>Supercritical</v>
      </c>
      <c r="AM44">
        <f t="shared" si="9"/>
        <v>67707.983374885342</v>
      </c>
      <c r="AN44">
        <f t="shared" si="10"/>
        <v>37156.300300423587</v>
      </c>
      <c r="AO44">
        <f t="shared" si="11"/>
        <v>101838.94357379833</v>
      </c>
      <c r="AP44">
        <f t="shared" si="12"/>
        <v>101838.94357451615</v>
      </c>
    </row>
    <row r="45" spans="1:42" x14ac:dyDescent="0.35">
      <c r="A45">
        <v>2</v>
      </c>
      <c r="B45">
        <f t="shared" si="13"/>
        <v>0</v>
      </c>
      <c r="C45">
        <f t="shared" si="14"/>
        <v>0</v>
      </c>
      <c r="D45">
        <f t="shared" si="15"/>
        <v>67707.983374885342</v>
      </c>
      <c r="E45">
        <f t="shared" si="16"/>
        <v>37156.300300423587</v>
      </c>
      <c r="F45">
        <f t="shared" si="2"/>
        <v>51</v>
      </c>
      <c r="G45">
        <f>IF(N6="None",F45,MAX(0,F45*B45))</f>
        <v>51</v>
      </c>
      <c r="H45">
        <f>IF(N6="None",0,MAX(0,F45-G45))</f>
        <v>0</v>
      </c>
      <c r="I45">
        <f>IF(AND(N7="None",N8="None"),0,IF(N8="None",G45,IF(N7="None",0,MAX(0,G45*C45))))</f>
        <v>0</v>
      </c>
      <c r="J45">
        <f>IF(AND(N7="None",N8="None"),0,IF(N8="None",0,IF(N7="None",G45,MAX(0,G45-I45))))</f>
        <v>51</v>
      </c>
      <c r="K45">
        <f>P5</f>
        <v>637</v>
      </c>
      <c r="L45">
        <f>P6</f>
        <v>634.3119999999999</v>
      </c>
      <c r="M45">
        <f>P7</f>
        <v>635.5</v>
      </c>
      <c r="N45">
        <f>P8</f>
        <v>631.54999999999995</v>
      </c>
      <c r="O45">
        <f>K45+((ABS(F45)/MAX(((F31)+(H31)*(MAX($D$16,(K45)-(J31))))*(MAX($D$16,(K45)-(J31))),0.000001))^2)/(2*$I$5)-((E31)*((((ABS(F45)*$D$6)/(MAX(((F31)+(H31)*(MAX($D$16,(K45)-(J31))))*(MAX($D$16,(K45)-(J31))),0.000001)*MAX(((((F31)+(H31)*(MAX($D$16,(K45)-(J31))))*(MAX($D$16,(K45)-(J31))))/MAX((F31)+2*(MAX($D$16,(K45)-(J31)))*SQRT(1+(H31)^2),0.000001))^(2/3),0.000001)))^2)+(((ABS(F45)*$D$6)/(MAX(((G31)+(I31)*(MAX($D$16,(D45)-(K31))))*(MAX($D$16,(D45)-(K31))),0.000001)*MAX(((((G31)+(I31)*(MAX($D$16,(D45)-(K31))))*(MAX($D$16,(D45)-(K31))))/MAX((G31)+2*(MAX($D$16,(D45)-(K31)))*SQRT(1+(I31)^2),0.000001))^(2/3),0.000001)))^2))/2)+(IF((ABS(F45)/MAX(((G31)+(I31)*(MAX($D$16,(D45)-(K31))))*(MAX($D$16,(D45)-(K31))),0.000001))&gt;(ABS(F45)/MAX(((F31)+(H31)*(MAX($D$16,(K45)-(J31))))*(MAX($D$16,(K45)-(J31))),0.000001)),$D$9*((((ABS(F45)/MAX(((G31)+(I31)*(MAX($D$16,(D45)-(K31))))*(MAX($D$16,(D45)-(K31))),0.000001))^2)/(2*$I$5))-(((ABS(F45)/MAX(((F31)+(H31)*(MAX($D$16,(K45)-(J31))))*(MAX($D$16,(K45)-(J31))),0.000001))^2)/(2*$I$5))),$D$8*((((ABS(F45)/MAX(((F31)+(H31)*(MAX($D$16,(K45)-(J31))))*(MAX($D$16,(K45)-(J31))),0.000001))^2)/(2*$I$5))-(((ABS(F45)/MAX(((G31)+(I31)*(MAX($D$16,(D45)-(K31))))*(MAX($D$16,(D45)-(K31))),0.000001))^2)/(2*$I$5)))))+($D$10*(ABS((X31)-(W31))/90)*MAX(((ABS(F45)/MAX(((F31)+(H31)*(MAX($D$16,(K45)-(J31))))*(MAX($D$16,(K45)-(J31))),0.000001))^2)/(2*$I$5),((ABS(F45)/MAX(((G31)+(I31)*(MAX($D$16,(D45)-(K31))))*(MAX($D$16,(D45)-(K31))),0.000001))^2)/(2*$I$5)))+(0)-((ABS(F45)/MAX(((G31)+(I31)*(MAX($D$16,(D45)-(K31))))*(MAX($D$16,(D45)-(K31))),0.000001))^2)/(2*$I$5)</f>
        <v>637.65825101150335</v>
      </c>
      <c r="P45">
        <f>E45+((ABS(G45)/MAX(((G32)+(I32)*(MAX($D$16,(E45)-(K32))))*(MAX($D$16,(E45)-(K32))),0.000001))^2)/(2*$I$5)+((E32)*((((ABS(G45)*$D$6)/(MAX(((F32)+(H32)*(MAX($D$16,(D45)-(J32))))*(MAX($D$16,(D45)-(J32))),0.000001)*MAX(((((F32)+(H32)*(MAX($D$16,(D45)-(J32))))*(MAX($D$16,(D45)-(J32))))/MAX((F32)+2*(MAX($D$16,(D45)-(J32)))*SQRT(1+(H32)^2),0.000001))^(2/3),0.000001)))^2)+(((ABS(G45)*$D$6)/(MAX(((G32)+(I32)*(MAX($D$16,(E45)-(K32))))*(MAX($D$16,(E45)-(K32))),0.000001)*MAX(((((G32)+(I32)*(MAX($D$16,(E45)-(K32))))*(MAX($D$16,(E45)-(K32))))/MAX((G32)+2*(MAX($D$16,(E45)-(K32)))*SQRT(1+(I32)^2),0.000001))^(2/3),0.000001)))^2))/2)+(IF((ABS(G45)/MAX(((G32)+(I32)*(MAX($D$16,(E45)-(K32))))*(MAX($D$16,(E45)-(K32))),0.000001))&gt;(ABS(G45)/MAX(((F32)+(H32)*(MAX($D$16,(D45)-(J32))))*(MAX($D$16,(D45)-(J32))),0.000001)),$D$9*((((ABS(G45)/MAX(((G32)+(I32)*(MAX($D$16,(E45)-(K32))))*(MAX($D$16,(E45)-(K32))),0.000001))^2)/(2*$I$5))-(((ABS(G45)/MAX(((F32)+(H32)*(MAX($D$16,(D45)-(J32))))*(MAX($D$16,(D45)-(J32))),0.000001))^2)/(2*$I$5))),$D$8*((((ABS(G45)/MAX(((F32)+(H32)*(MAX($D$16,(D45)-(J32))))*(MAX($D$16,(D45)-(J32))),0.000001))^2)/(2*$I$5))-(((ABS(G45)/MAX(((G32)+(I32)*(MAX($D$16,(E45)-(K32))))*(MAX($D$16,(E45)-(K32))),0.000001))^2)/(2*$I$5)))))+($D$10*(ABS((X32)-(W32))/90)*MAX(((ABS(G45)/MAX(((F32)+(H32)*(MAX($D$16,(D45)-(J32))))*(MAX($D$16,(D45)-(J32))),0.000001))^2)/(2*$I$5),((ABS(G45)/MAX(((G32)+(I32)*(MAX($D$16,(E45)-(K32))))*(MAX($D$16,(E45)-(K32))),0.000001))^2)/(2*$I$5)))+(($D$11*0.13607488*(ABS(H45)/MAX(ABS(F45),0.000001))^2*MAX(((ABS(G45)/MAX(((F32)+(H32)*(MAX($D$16,(D45)-(J32))))*(MAX($D$16,(D45)-(J32))),0.000001))^2)/(2*$I$5),((ABS(G45)/MAX(((G32)+(I32)*(MAX($D$16,(E45)-(K32))))*(MAX($D$16,(E45)-(K32))),0.000001))^2)/(2*$I$5))))-((ABS(G45)/MAX(((F32)+(H32)*(MAX($D$16,(D45)-(J32))))*(MAX($D$16,(D45)-(J32))),0.000001))^2)/(2*$I$5)</f>
        <v>37156.300300424766</v>
      </c>
      <c r="Q45">
        <f>L45+((ABS(H45)/MAX(((G33)+(I33)*(MAX($D$16,(L45)-(K33))))*(MAX($D$16,(L45)-(K33))),0.000001))^2)/(2*$I$5)+((E33)*((((ABS(H45)*$D$6)/(MAX(((F33)+(H33)*(MAX($D$16,(D45)-(J33))))*(MAX($D$16,(D45)-(J33))),0.000001)*MAX(((((F33)+(H33)*(MAX($D$16,(D45)-(J33))))*(MAX($D$16,(D45)-(J33))))/MAX((F33)+2*(MAX($D$16,(D45)-(J33)))*SQRT(1+(H33)^2),0.000001))^(2/3),0.000001)))^2)+(((ABS(H45)*$D$6)/(MAX(((G33)+(I33)*(MAX($D$16,(L45)-(K33))))*(MAX($D$16,(L45)-(K33))),0.000001)*MAX(((((G33)+(I33)*(MAX($D$16,(L45)-(K33))))*(MAX($D$16,(L45)-(K33))))/MAX((G33)+2*(MAX($D$16,(L45)-(K33)))*SQRT(1+(I33)^2),0.000001))^(2/3),0.000001)))^2))/2)+(IF((ABS(H45)/MAX(((G33)+(I33)*(MAX($D$16,(L45)-(K33))))*(MAX($D$16,(L45)-(K33))),0.000001))&gt;(ABS(H45)/MAX(((F33)+(H33)*(MAX($D$16,(D45)-(J33))))*(MAX($D$16,(D45)-(J33))),0.000001)),$D$9*((((ABS(H45)/MAX(((G33)+(I33)*(MAX($D$16,(L45)-(K33))))*(MAX($D$16,(L45)-(K33))),0.000001))^2)/(2*$I$5))-(((ABS(H45)/MAX(((F33)+(H33)*(MAX($D$16,(D45)-(J33))))*(MAX($D$16,(D45)-(J33))),0.000001))^2)/(2*$I$5))),$D$8*((((ABS(H45)/MAX(((F33)+(H33)*(MAX($D$16,(D45)-(J33))))*(MAX($D$16,(D45)-(J33))),0.000001))^2)/(2*$I$5))-(((ABS(H45)/MAX(((G33)+(I33)*(MAX($D$16,(L45)-(K33))))*(MAX($D$16,(L45)-(K33))),0.000001))^2)/(2*$I$5)))))+($D$10*(ABS((X33)-(W33))/90)*MAX(((ABS(H45)/MAX(((F33)+(H33)*(MAX($D$16,(D45)-(J33))))*(MAX($D$16,(D45)-(J33))),0.000001))^2)/(2*$I$5),((ABS(H45)/MAX(((G33)+(I33)*(MAX($D$16,(L45)-(K33))))*(MAX($D$16,(L45)-(K33))),0.000001))^2)/(2*$I$5)))+(($D$11*0.00000015*(ABS(G45)/MAX(ABS(F45),0.000001))^2*MAX(((ABS(H45)/MAX(((F33)+(H33)*(MAX($D$16,(D45)-(J33))))*(MAX($D$16,(D45)-(J33))),0.000001))^2)/(2*$I$5),((ABS(H45)/MAX(((G33)+(I33)*(MAX($D$16,(L45)-(K33))))*(MAX($D$16,(L45)-(K33))),0.000001))^2)/(2*$I$5))))-((ABS(H45)/MAX(((F33)+(H33)*(MAX($D$16,(D45)-(J33))))*(MAX($D$16,(D45)-(J33))),0.000001))^2)/(2*$I$5)</f>
        <v>634.3119999999999</v>
      </c>
      <c r="R45">
        <f>D45+((ABS(G45)/MAX(((F32)+(H32)*(MAX($D$16,(D45)-(J32))))*(MAX($D$16,(D45)-(J32))),0.000001))^2)/(2*$I$5)-((E32)*((((ABS(G45)*$D$6)/(MAX(((F32)+(H32)*(MAX($D$16,(D45)-(J32))))*(MAX($D$16,(D45)-(J32))),0.000001)*MAX(((((F32)+(H32)*(MAX($D$16,(D45)-(J32))))*(MAX($D$16,(D45)-(J32))))/MAX((F32)+2*(MAX($D$16,(D45)-(J32)))*SQRT(1+(H32)^2),0.000001))^(2/3),0.000001)))^2)+(((ABS(G45)*$D$6)/(MAX(((G32)+(I32)*(MAX($D$16,(E45)-(K32))))*(MAX($D$16,(E45)-(K32))),0.000001)*MAX(((((G32)+(I32)*(MAX($D$16,(E45)-(K32))))*(MAX($D$16,(E45)-(K32))))/MAX((G32)+2*(MAX($D$16,(E45)-(K32)))*SQRT(1+(I32)^2),0.000001))^(2/3),0.000001)))^2))/2)+(IF((ABS(G45)/MAX(((G32)+(I32)*(MAX($D$16,(E45)-(K32))))*(MAX($D$16,(E45)-(K32))),0.000001))&gt;(ABS(G45)/MAX(((F32)+(H32)*(MAX($D$16,(D45)-(J32))))*(MAX($D$16,(D45)-(J32))),0.000001)),$D$9*((((ABS(G45)/MAX(((G32)+(I32)*(MAX($D$16,(E45)-(K32))))*(MAX($D$16,(E45)-(K32))),0.000001))^2)/(2*$I$5))-(((ABS(G45)/MAX(((F32)+(H32)*(MAX($D$16,(D45)-(J32))))*(MAX($D$16,(D45)-(J32))),0.000001))^2)/(2*$I$5))),$D$8*((((ABS(G45)/MAX(((F32)+(H32)*(MAX($D$16,(D45)-(J32))))*(MAX($D$16,(D45)-(J32))),0.000001))^2)/(2*$I$5))-(((ABS(G45)/MAX(((G32)+(I32)*(MAX($D$16,(E45)-(K32))))*(MAX($D$16,(E45)-(K32))),0.000001))^2)/(2*$I$5)))))+($D$10*(ABS((X32)-(W32))/90)*MAX(((ABS(G45)/MAX(((F32)+(H32)*(MAX($D$16,(D45)-(J32))))*(MAX($D$16,(D45)-(J32))),0.000001))^2)/(2*$I$5),((ABS(G45)/MAX(((G32)+(I32)*(MAX($D$16,(E45)-(K32))))*(MAX($D$16,(E45)-(K32))),0.000001))^2)/(2*$I$5)))+(($D$11*0.13607488*(ABS(H45)/MAX(ABS(F45),0.000001))^2*MAX(((ABS(G45)/MAX(((F32)+(H32)*(MAX($D$16,(D45)-(J32))))*(MAX($D$16,(D45)-(J32))),0.000001))^2)/(2*$I$5),((ABS(G45)/MAX(((G32)+(I32)*(MAX($D$16,(E45)-(K32))))*(MAX($D$16,(E45)-(K32))),0.000001))^2)/(2*$I$5))))-((ABS(G45)/MAX(((G32)+(I32)*(MAX($D$16,(E45)-(K32))))*(MAX($D$16,(E45)-(K32))),0.000001))^2)/(2*$I$5)</f>
        <v>67707.983374884454</v>
      </c>
      <c r="S45">
        <f>M45+((ABS(I45)/MAX(((G34)+(I34)*(MAX($D$16,(M45)-(K34))))*(MAX($D$16,(M45)-(K34))),0.000001))^2)/(2*$I$5)+((E34)*((((ABS(I45)*$D$6)/(MAX(((F34)+(H34)*(MAX($D$16,(E45)-(J34))))*(MAX($D$16,(E45)-(J34))),0.000001)*MAX(((((F34)+(H34)*(MAX($D$16,(E45)-(J34))))*(MAX($D$16,(E45)-(J34))))/MAX((F34)+2*(MAX($D$16,(E45)-(J34)))*SQRT(1+(H34)^2),0.000001))^(2/3),0.000001)))^2)+(((ABS(I45)*$D$6)/(MAX(((G34)+(I34)*(MAX($D$16,(M45)-(K34))))*(MAX($D$16,(M45)-(K34))),0.000001)*MAX(((((G34)+(I34)*(MAX($D$16,(M45)-(K34))))*(MAX($D$16,(M45)-(K34))))/MAX((G34)+2*(MAX($D$16,(M45)-(K34)))*SQRT(1+(I34)^2),0.000001))^(2/3),0.000001)))^2))/2)+(IF((ABS(I45)/MAX(((G34)+(I34)*(MAX($D$16,(M45)-(K34))))*(MAX($D$16,(M45)-(K34))),0.000001))&gt;(ABS(I45)/MAX(((F34)+(H34)*(MAX($D$16,(E45)-(J34))))*(MAX($D$16,(E45)-(J34))),0.000001)),$D$9*((((ABS(I45)/MAX(((G34)+(I34)*(MAX($D$16,(M45)-(K34))))*(MAX($D$16,(M45)-(K34))),0.000001))^2)/(2*$I$5))-(((ABS(I45)/MAX(((F34)+(H34)*(MAX($D$16,(E45)-(J34))))*(MAX($D$16,(E45)-(J34))),0.000001))^2)/(2*$I$5))),$D$8*((((ABS(I45)/MAX(((F34)+(H34)*(MAX($D$16,(E45)-(J34))))*(MAX($D$16,(E45)-(J34))),0.000001))^2)/(2*$I$5))-(((ABS(I45)/MAX(((G34)+(I34)*(MAX($D$16,(M45)-(K34))))*(MAX($D$16,(M45)-(K34))),0.000001))^2)/(2*$I$5)))))+($D$10*(ABS((X34)-(W34))/90)*MAX(((ABS(I45)/MAX(((F34)+(H34)*(MAX($D$16,(E45)-(J34))))*(MAX($D$16,(E45)-(J34))),0.000001))^2)/(2*$I$5),((ABS(I45)/MAX(((G34)+(I34)*(MAX($D$16,(M45)-(K34))))*(MAX($D$16,(M45)-(K34))),0.000001))^2)/(2*$I$5)))+(0)-((ABS(I45)/MAX(((F34)+(H34)*(MAX($D$16,(E45)-(J34))))*(MAX($D$16,(E45)-(J34))),0.000001))^2)/(2*$I$5)</f>
        <v>635.5</v>
      </c>
      <c r="T45">
        <f>N45+((ABS(J45)/MAX(((G35)+(I35)*(MAX($D$16,(N45)-(K35))))*(MAX($D$16,(N45)-(K35))),0.000001))^2)/(2*$I$5)+((E35)*((((ABS(J45)*$D$6)/(MAX(((F35)+(H35)*(MAX($D$16,(E45)-(J35))))*(MAX($D$16,(E45)-(J35))),0.000001)*MAX(((((F35)+(H35)*(MAX($D$16,(E45)-(J35))))*(MAX($D$16,(E45)-(J35))))/MAX((F35)+2*(MAX($D$16,(E45)-(J35)))*SQRT(1+(H35)^2),0.000001))^(2/3),0.000001)))^2)+(((ABS(J45)*$D$6)/(MAX(((G35)+(I35)*(MAX($D$16,(N45)-(K35))))*(MAX($D$16,(N45)-(K35))),0.000001)*MAX(((((G35)+(I35)*(MAX($D$16,(N45)-(K35))))*(MAX($D$16,(N45)-(K35))))/MAX((G35)+2*(MAX($D$16,(N45)-(K35)))*SQRT(1+(I35)^2),0.000001))^(2/3),0.000001)))^2))/2)+(IF((ABS(J45)/MAX(((G35)+(I35)*(MAX($D$16,(N45)-(K35))))*(MAX($D$16,(N45)-(K35))),0.000001))&gt;(ABS(J45)/MAX(((F35)+(H35)*(MAX($D$16,(E45)-(J35))))*(MAX($D$16,(E45)-(J35))),0.000001)),$D$9*((((ABS(J45)/MAX(((G35)+(I35)*(MAX($D$16,(N45)-(K35))))*(MAX($D$16,(N45)-(K35))),0.000001))^2)/(2*$I$5))-(((ABS(J45)/MAX(((F35)+(H35)*(MAX($D$16,(E45)-(J35))))*(MAX($D$16,(E45)-(J35))),0.000001))^2)/(2*$I$5))),$D$8*((((ABS(J45)/MAX(((F35)+(H35)*(MAX($D$16,(E45)-(J35))))*(MAX($D$16,(E45)-(J35))),0.000001))^2)/(2*$I$5))-(((ABS(J45)/MAX(((G35)+(I35)*(MAX($D$16,(N45)-(K35))))*(MAX($D$16,(N45)-(K35))),0.000001))^2)/(2*$I$5)))))+($D$10*(ABS((X35)-(W35))/90)*MAX(((ABS(J45)/MAX(((F35)+(H35)*(MAX($D$16,(E45)-(J35))))*(MAX($D$16,(E45)-(J35))),0.000001))^2)/(2*$I$5),((ABS(J45)/MAX(((G35)+(I35)*(MAX($D$16,(N45)-(K35))))*(MAX($D$16,(N45)-(K35))),0.000001))^2)/(2*$I$5)))+(($D$11*0.34699541*(ABS(I45)/MAX(ABS(G45),0.000001))^2*MAX(((ABS(J45)/MAX(((F35)+(H35)*(MAX($D$16,(E45)-(J35))))*(MAX($D$16,(E45)-(J35))),0.000001))^2)/(2*$I$5),((ABS(J45)/MAX(((G35)+(I35)*(MAX($D$16,(N45)-(K35))))*(MAX($D$16,(N45)-(K35))),0.000001))^2)/(2*$I$5))))-((ABS(J45)/MAX(((F35)+(H35)*(MAX($D$16,(E45)-(J35))))*(MAX($D$16,(E45)-(J35))),0.000001))^2)/(2*$I$5)</f>
        <v>20784.033523922859</v>
      </c>
      <c r="U45">
        <f>(((((F32)*(MAX($D$16,(D45)-(J32)))^2)/2+(H32)*(MAX($D$16,(D45)-(J32)))^3/3+(ABS(G45)^2)/($I$5*MAX(((F32)+(H32)*(MAX($D$16,(D45)-(J32))))*(MAX($D$16,(D45)-(J32))),0.000001)))*0.72785025)-((((F33)*(MAX($D$16,(D45)-(J33)))^2)/2+(H33)*(MAX($D$16,(D45)-(J33)))^3/3+(ABS(H45)^2)/($I$5*MAX(((F33)+(H33)*(MAX($D$16,(D45)-(J33))))*(MAX($D$16,(D45)-(J33))),0.000001)))*0.99999971))/MAX(((G31)*(MAX($D$16,(D45)-(K31)))^2)/2+(I31)*(MAX($D$16,(D45)-(K31)))^3/3+(ABS(F45)^2)/($I$5*MAX(((G31)+(I31)*(MAX($D$16,(D45)-(K31))))*(MAX($D$16,(D45)-(K31))),0.000001)),0.000001)</f>
        <v>-0.27214945999995899</v>
      </c>
      <c r="V45">
        <f>(((((F34)*(MAX($D$16,(E45)-(J34)))^2)/2+(H34)*(MAX($D$16,(E45)-(J34)))^3/3+(ABS(I45)^2)/($I$5*MAX(((F34)+(H34)*(MAX($D$16,(E45)-(J34))))*(MAX($D$16,(E45)-(J34))),0.000001)))*1)-((((F35)*(MAX($D$16,(E45)-(J35)))^2)/2+(H35)*(MAX($D$16,(E45)-(J35)))^3/3+(ABS(J45)^2)/($I$5*MAX(((F35)+(H35)*(MAX($D$16,(E45)-(J35))))*(MAX($D$16,(E45)-(J35))),0.000001)))*0.30600918))/MAX(((G32)*(MAX($D$16,(E45)-(K32)))^2)/2+(I32)*(MAX($D$16,(E45)-(K32)))^3/3+(ABS(G45)^2)/($I$5*MAX(((G32)+(I32)*(MAX($D$16,(E45)-(K32))))*(MAX($D$16,(E45)-(K32))),0.000001)),0.000001)</f>
        <v>0.69398453631271084</v>
      </c>
      <c r="W45">
        <f>IF(N6="None",ABS(P45-D45),MAX(ABS(P45-D45),ABS(Q45-D45)))</f>
        <v>30551.683074460576</v>
      </c>
      <c r="X45">
        <f>IF(AND(N7="None",N8="None"),0,IF(N8="None",ABS(S45-E45),IF(N7="None",ABS(T45-E45),MAX(ABS(S45-E45),ABS(T45-E45)))))</f>
        <v>36520.800300423587</v>
      </c>
      <c r="AA45">
        <f t="shared" si="3"/>
        <v>57014.89429882414</v>
      </c>
      <c r="AB45">
        <f t="shared" si="4"/>
        <v>31426.006928648334</v>
      </c>
      <c r="AC45">
        <f>IF(N6="None",P45,MAX(P45,Q45))</f>
        <v>37156.300300424766</v>
      </c>
      <c r="AD45">
        <f>IF(AND(N7="None",N8="None"),E45,IF(N8="None",S45,IF(N7="None",T45,MAX(S45,T45))))</f>
        <v>20784.033523922859</v>
      </c>
      <c r="AE45">
        <f t="shared" si="5"/>
        <v>637.65825101150335</v>
      </c>
      <c r="AF45">
        <f t="shared" si="6"/>
        <v>67707.983374884454</v>
      </c>
      <c r="AG45">
        <f>((G31)*(MAX($D$16,(AC45)-(K31)))^2)/2+(I31)*(MAX($D$16,(AC45)-(K31)))^3/3+(ABS(F45)^2)/($I$5*MAX(((G31)+(I31)*(MAX($D$16,(AC45)-(K31))))*(MAX($D$16,(AC45)-(K31))),0.000001))</f>
        <v>4373715962.0147953</v>
      </c>
      <c r="AH45">
        <f>((G31)*(MAX($D$16,(AE45)-(K31)))^2)/2+(I31)*(MAX($D$16,(AE45)-(K31)))^3/3+(ABS(F45)^2)/($I$5*MAX(((G31)+(I31)*(MAX($D$16,(AE45)-(K31))))*(MAX($D$16,(AE45)-(K31))),0.000001))</f>
        <v>49.055863340741837</v>
      </c>
      <c r="AI45">
        <f>((G32)*(MAX($D$16,(AD45)-(K32)))^2)/2+(I32)*(MAX($D$16,(AD45)-(K32)))^3/3+(ABS(G45)^2)/($I$5*MAX(((G32)+(I32)*(MAX($D$16,(AD45)-(K32))))*(MAX($D$16,(AD45)-(K32))),0.000001))</f>
        <v>2072376743.6647243</v>
      </c>
      <c r="AJ45">
        <f>((G32)*(MAX($D$16,(AF45)-(K32)))^2)/2+(I32)*(MAX($D$16,(AF45)-(K32)))^3/3+(ABS(G45)^2)/($I$5*MAX(((G32)+(I32)*(MAX($D$16,(AF45)-(K32))))*(MAX($D$16,(AF45)-(K32))),0.000001))</f>
        <v>22959439618.012691</v>
      </c>
      <c r="AK45" t="str">
        <f t="shared" si="7"/>
        <v>Subcritical</v>
      </c>
      <c r="AL45" t="str">
        <f t="shared" si="8"/>
        <v>Supercritical</v>
      </c>
      <c r="AM45">
        <f t="shared" si="9"/>
        <v>57014.89429882414</v>
      </c>
      <c r="AN45">
        <f t="shared" si="10"/>
        <v>47849.389376484891</v>
      </c>
      <c r="AO45">
        <f t="shared" si="11"/>
        <v>30551.683074460576</v>
      </c>
      <c r="AP45">
        <f t="shared" si="12"/>
        <v>30551.683074460867</v>
      </c>
    </row>
    <row r="46" spans="1:42" x14ac:dyDescent="0.35">
      <c r="A46">
        <v>3</v>
      </c>
      <c r="B46">
        <f t="shared" si="13"/>
        <v>0</v>
      </c>
      <c r="C46">
        <f t="shared" si="14"/>
        <v>0</v>
      </c>
      <c r="D46">
        <f t="shared" si="15"/>
        <v>57014.89429882414</v>
      </c>
      <c r="E46">
        <f t="shared" si="16"/>
        <v>47849.389376484891</v>
      </c>
      <c r="F46">
        <f t="shared" si="2"/>
        <v>51</v>
      </c>
      <c r="G46">
        <f>IF(N6="None",F46,MAX(0,F46*B46))</f>
        <v>51</v>
      </c>
      <c r="H46">
        <f>IF(N6="None",0,MAX(0,F46-G46))</f>
        <v>0</v>
      </c>
      <c r="I46">
        <f>IF(AND(N7="None",N8="None"),0,IF(N8="None",G46,IF(N7="None",0,MAX(0,G46*C46))))</f>
        <v>0</v>
      </c>
      <c r="J46">
        <f>IF(AND(N7="None",N8="None"),0,IF(N8="None",0,IF(N7="None",G46,MAX(0,G46-I46))))</f>
        <v>51</v>
      </c>
      <c r="K46">
        <f>P5</f>
        <v>637</v>
      </c>
      <c r="L46">
        <f>P6</f>
        <v>634.3119999999999</v>
      </c>
      <c r="M46">
        <f>P7</f>
        <v>635.5</v>
      </c>
      <c r="N46">
        <f>P8</f>
        <v>631.54999999999995</v>
      </c>
      <c r="O46">
        <f>K46+((ABS(F46)/MAX(((F31)+(H31)*(MAX($D$16,(K46)-(J31))))*(MAX($D$16,(K46)-(J31))),0.000001))^2)/(2*$I$5)-((E31)*((((ABS(F46)*$D$6)/(MAX(((F31)+(H31)*(MAX($D$16,(K46)-(J31))))*(MAX($D$16,(K46)-(J31))),0.000001)*MAX(((((F31)+(H31)*(MAX($D$16,(K46)-(J31))))*(MAX($D$16,(K46)-(J31))))/MAX((F31)+2*(MAX($D$16,(K46)-(J31)))*SQRT(1+(H31)^2),0.000001))^(2/3),0.000001)))^2)+(((ABS(F46)*$D$6)/(MAX(((G31)+(I31)*(MAX($D$16,(D46)-(K31))))*(MAX($D$16,(D46)-(K31))),0.000001)*MAX(((((G31)+(I31)*(MAX($D$16,(D46)-(K31))))*(MAX($D$16,(D46)-(K31))))/MAX((G31)+2*(MAX($D$16,(D46)-(K31)))*SQRT(1+(I31)^2),0.000001))^(2/3),0.000001)))^2))/2)+(IF((ABS(F46)/MAX(((G31)+(I31)*(MAX($D$16,(D46)-(K31))))*(MAX($D$16,(D46)-(K31))),0.000001))&gt;(ABS(F46)/MAX(((F31)+(H31)*(MAX($D$16,(K46)-(J31))))*(MAX($D$16,(K46)-(J31))),0.000001)),$D$9*((((ABS(F46)/MAX(((G31)+(I31)*(MAX($D$16,(D46)-(K31))))*(MAX($D$16,(D46)-(K31))),0.000001))^2)/(2*$I$5))-(((ABS(F46)/MAX(((F31)+(H31)*(MAX($D$16,(K46)-(J31))))*(MAX($D$16,(K46)-(J31))),0.000001))^2)/(2*$I$5))),$D$8*((((ABS(F46)/MAX(((F31)+(H31)*(MAX($D$16,(K46)-(J31))))*(MAX($D$16,(K46)-(J31))),0.000001))^2)/(2*$I$5))-(((ABS(F46)/MAX(((G31)+(I31)*(MAX($D$16,(D46)-(K31))))*(MAX($D$16,(D46)-(K31))),0.000001))^2)/(2*$I$5)))))+($D$10*(ABS((X31)-(W31))/90)*MAX(((ABS(F46)/MAX(((F31)+(H31)*(MAX($D$16,(K46)-(J31))))*(MAX($D$16,(K46)-(J31))),0.000001))^2)/(2*$I$5),((ABS(F46)/MAX(((G31)+(I31)*(MAX($D$16,(D46)-(K31))))*(MAX($D$16,(D46)-(K31))),0.000001))^2)/(2*$I$5)))+(0)-((ABS(F46)/MAX(((G31)+(I31)*(MAX($D$16,(D46)-(K31))))*(MAX($D$16,(D46)-(K31))),0.000001))^2)/(2*$I$5)</f>
        <v>637.65825101113205</v>
      </c>
      <c r="P46">
        <f>E46+((ABS(G46)/MAX(((G32)+(I32)*(MAX($D$16,(E46)-(K32))))*(MAX($D$16,(E46)-(K32))),0.000001))^2)/(2*$I$5)+((E32)*((((ABS(G46)*$D$6)/(MAX(((F32)+(H32)*(MAX($D$16,(D46)-(J32))))*(MAX($D$16,(D46)-(J32))),0.000001)*MAX(((((F32)+(H32)*(MAX($D$16,(D46)-(J32))))*(MAX($D$16,(D46)-(J32))))/MAX((F32)+2*(MAX($D$16,(D46)-(J32)))*SQRT(1+(H32)^2),0.000001))^(2/3),0.000001)))^2)+(((ABS(G46)*$D$6)/(MAX(((G32)+(I32)*(MAX($D$16,(E46)-(K32))))*(MAX($D$16,(E46)-(K32))),0.000001)*MAX(((((G32)+(I32)*(MAX($D$16,(E46)-(K32))))*(MAX($D$16,(E46)-(K32))))/MAX((G32)+2*(MAX($D$16,(E46)-(K32)))*SQRT(1+(I32)^2),0.000001))^(2/3),0.000001)))^2))/2)+(IF((ABS(G46)/MAX(((G32)+(I32)*(MAX($D$16,(E46)-(K32))))*(MAX($D$16,(E46)-(K32))),0.000001))&gt;(ABS(G46)/MAX(((F32)+(H32)*(MAX($D$16,(D46)-(J32))))*(MAX($D$16,(D46)-(J32))),0.000001)),$D$9*((((ABS(G46)/MAX(((G32)+(I32)*(MAX($D$16,(E46)-(K32))))*(MAX($D$16,(E46)-(K32))),0.000001))^2)/(2*$I$5))-(((ABS(G46)/MAX(((F32)+(H32)*(MAX($D$16,(D46)-(J32))))*(MAX($D$16,(D46)-(J32))),0.000001))^2)/(2*$I$5))),$D$8*((((ABS(G46)/MAX(((F32)+(H32)*(MAX($D$16,(D46)-(J32))))*(MAX($D$16,(D46)-(J32))),0.000001))^2)/(2*$I$5))-(((ABS(G46)/MAX(((G32)+(I32)*(MAX($D$16,(E46)-(K32))))*(MAX($D$16,(E46)-(K32))),0.000001))^2)/(2*$I$5)))))+($D$10*(ABS((X32)-(W32))/90)*MAX(((ABS(G46)/MAX(((F32)+(H32)*(MAX($D$16,(D46)-(J32))))*(MAX($D$16,(D46)-(J32))),0.000001))^2)/(2*$I$5),((ABS(G46)/MAX(((G32)+(I32)*(MAX($D$16,(E46)-(K32))))*(MAX($D$16,(E46)-(K32))),0.000001))^2)/(2*$I$5)))+(($D$11*0.13607488*(ABS(H46)/MAX(ABS(F46),0.000001))^2*MAX(((ABS(G46)/MAX(((F32)+(H32)*(MAX($D$16,(D46)-(J32))))*(MAX($D$16,(D46)-(J32))),0.000001))^2)/(2*$I$5),((ABS(G46)/MAX(((G32)+(I32)*(MAX($D$16,(E46)-(K32))))*(MAX($D$16,(E46)-(K32))),0.000001))^2)/(2*$I$5))))-((ABS(G46)/MAX(((F32)+(H32)*(MAX($D$16,(D46)-(J32))))*(MAX($D$16,(D46)-(J32))),0.000001))^2)/(2*$I$5)</f>
        <v>47849.389376485531</v>
      </c>
      <c r="Q46">
        <f>L46+((ABS(H46)/MAX(((G33)+(I33)*(MAX($D$16,(L46)-(K33))))*(MAX($D$16,(L46)-(K33))),0.000001))^2)/(2*$I$5)+((E33)*((((ABS(H46)*$D$6)/(MAX(((F33)+(H33)*(MAX($D$16,(D46)-(J33))))*(MAX($D$16,(D46)-(J33))),0.000001)*MAX(((((F33)+(H33)*(MAX($D$16,(D46)-(J33))))*(MAX($D$16,(D46)-(J33))))/MAX((F33)+2*(MAX($D$16,(D46)-(J33)))*SQRT(1+(H33)^2),0.000001))^(2/3),0.000001)))^2)+(((ABS(H46)*$D$6)/(MAX(((G33)+(I33)*(MAX($D$16,(L46)-(K33))))*(MAX($D$16,(L46)-(K33))),0.000001)*MAX(((((G33)+(I33)*(MAX($D$16,(L46)-(K33))))*(MAX($D$16,(L46)-(K33))))/MAX((G33)+2*(MAX($D$16,(L46)-(K33)))*SQRT(1+(I33)^2),0.000001))^(2/3),0.000001)))^2))/2)+(IF((ABS(H46)/MAX(((G33)+(I33)*(MAX($D$16,(L46)-(K33))))*(MAX($D$16,(L46)-(K33))),0.000001))&gt;(ABS(H46)/MAX(((F33)+(H33)*(MAX($D$16,(D46)-(J33))))*(MAX($D$16,(D46)-(J33))),0.000001)),$D$9*((((ABS(H46)/MAX(((G33)+(I33)*(MAX($D$16,(L46)-(K33))))*(MAX($D$16,(L46)-(K33))),0.000001))^2)/(2*$I$5))-(((ABS(H46)/MAX(((F33)+(H33)*(MAX($D$16,(D46)-(J33))))*(MAX($D$16,(D46)-(J33))),0.000001))^2)/(2*$I$5))),$D$8*((((ABS(H46)/MAX(((F33)+(H33)*(MAX($D$16,(D46)-(J33))))*(MAX($D$16,(D46)-(J33))),0.000001))^2)/(2*$I$5))-(((ABS(H46)/MAX(((G33)+(I33)*(MAX($D$16,(L46)-(K33))))*(MAX($D$16,(L46)-(K33))),0.000001))^2)/(2*$I$5)))))+($D$10*(ABS((X33)-(W33))/90)*MAX(((ABS(H46)/MAX(((F33)+(H33)*(MAX($D$16,(D46)-(J33))))*(MAX($D$16,(D46)-(J33))),0.000001))^2)/(2*$I$5),((ABS(H46)/MAX(((G33)+(I33)*(MAX($D$16,(L46)-(K33))))*(MAX($D$16,(L46)-(K33))),0.000001))^2)/(2*$I$5)))+(($D$11*0.00000015*(ABS(G46)/MAX(ABS(F46),0.000001))^2*MAX(((ABS(H46)/MAX(((F33)+(H33)*(MAX($D$16,(D46)-(J33))))*(MAX($D$16,(D46)-(J33))),0.000001))^2)/(2*$I$5),((ABS(H46)/MAX(((G33)+(I33)*(MAX($D$16,(L46)-(K33))))*(MAX($D$16,(L46)-(K33))),0.000001))^2)/(2*$I$5))))-((ABS(H46)/MAX(((F33)+(H33)*(MAX($D$16,(D46)-(J33))))*(MAX($D$16,(D46)-(J33))),0.000001))^2)/(2*$I$5)</f>
        <v>634.3119999999999</v>
      </c>
      <c r="R46">
        <f>D46+((ABS(G46)/MAX(((F32)+(H32)*(MAX($D$16,(D46)-(J32))))*(MAX($D$16,(D46)-(J32))),0.000001))^2)/(2*$I$5)-((E32)*((((ABS(G46)*$D$6)/(MAX(((F32)+(H32)*(MAX($D$16,(D46)-(J32))))*(MAX($D$16,(D46)-(J32))),0.000001)*MAX(((((F32)+(H32)*(MAX($D$16,(D46)-(J32))))*(MAX($D$16,(D46)-(J32))))/MAX((F32)+2*(MAX($D$16,(D46)-(J32)))*SQRT(1+(H32)^2),0.000001))^(2/3),0.000001)))^2)+(((ABS(G46)*$D$6)/(MAX(((G32)+(I32)*(MAX($D$16,(E46)-(K32))))*(MAX($D$16,(E46)-(K32))),0.000001)*MAX(((((G32)+(I32)*(MAX($D$16,(E46)-(K32))))*(MAX($D$16,(E46)-(K32))))/MAX((G32)+2*(MAX($D$16,(E46)-(K32)))*SQRT(1+(I32)^2),0.000001))^(2/3),0.000001)))^2))/2)+(IF((ABS(G46)/MAX(((G32)+(I32)*(MAX($D$16,(E46)-(K32))))*(MAX($D$16,(E46)-(K32))),0.000001))&gt;(ABS(G46)/MAX(((F32)+(H32)*(MAX($D$16,(D46)-(J32))))*(MAX($D$16,(D46)-(J32))),0.000001)),$D$9*((((ABS(G46)/MAX(((G32)+(I32)*(MAX($D$16,(E46)-(K32))))*(MAX($D$16,(E46)-(K32))),0.000001))^2)/(2*$I$5))-(((ABS(G46)/MAX(((F32)+(H32)*(MAX($D$16,(D46)-(J32))))*(MAX($D$16,(D46)-(J32))),0.000001))^2)/(2*$I$5))),$D$8*((((ABS(G46)/MAX(((F32)+(H32)*(MAX($D$16,(D46)-(J32))))*(MAX($D$16,(D46)-(J32))),0.000001))^2)/(2*$I$5))-(((ABS(G46)/MAX(((G32)+(I32)*(MAX($D$16,(E46)-(K32))))*(MAX($D$16,(E46)-(K32))),0.000001))^2)/(2*$I$5)))))+($D$10*(ABS((X32)-(W32))/90)*MAX(((ABS(G46)/MAX(((F32)+(H32)*(MAX($D$16,(D46)-(J32))))*(MAX($D$16,(D46)-(J32))),0.000001))^2)/(2*$I$5),((ABS(G46)/MAX(((G32)+(I32)*(MAX($D$16,(E46)-(K32))))*(MAX($D$16,(E46)-(K32))),0.000001))^2)/(2*$I$5)))+(($D$11*0.13607488*(ABS(H46)/MAX(ABS(F46),0.000001))^2*MAX(((ABS(G46)/MAX(((F32)+(H32)*(MAX($D$16,(D46)-(J32))))*(MAX($D$16,(D46)-(J32))),0.000001))^2)/(2*$I$5),((ABS(G46)/MAX(((G32)+(I32)*(MAX($D$16,(E46)-(K32))))*(MAX($D$16,(E46)-(K32))),0.000001))^2)/(2*$I$5))))-((ABS(G46)/MAX(((G32)+(I32)*(MAX($D$16,(E46)-(K32))))*(MAX($D$16,(E46)-(K32))),0.000001))^2)/(2*$I$5)</f>
        <v>57014.894298823965</v>
      </c>
      <c r="S46">
        <f>M46+((ABS(I46)/MAX(((G34)+(I34)*(MAX($D$16,(M46)-(K34))))*(MAX($D$16,(M46)-(K34))),0.000001))^2)/(2*$I$5)+((E34)*((((ABS(I46)*$D$6)/(MAX(((F34)+(H34)*(MAX($D$16,(E46)-(J34))))*(MAX($D$16,(E46)-(J34))),0.000001)*MAX(((((F34)+(H34)*(MAX($D$16,(E46)-(J34))))*(MAX($D$16,(E46)-(J34))))/MAX((F34)+2*(MAX($D$16,(E46)-(J34)))*SQRT(1+(H34)^2),0.000001))^(2/3),0.000001)))^2)+(((ABS(I46)*$D$6)/(MAX(((G34)+(I34)*(MAX($D$16,(M46)-(K34))))*(MAX($D$16,(M46)-(K34))),0.000001)*MAX(((((G34)+(I34)*(MAX($D$16,(M46)-(K34))))*(MAX($D$16,(M46)-(K34))))/MAX((G34)+2*(MAX($D$16,(M46)-(K34)))*SQRT(1+(I34)^2),0.000001))^(2/3),0.000001)))^2))/2)+(IF((ABS(I46)/MAX(((G34)+(I34)*(MAX($D$16,(M46)-(K34))))*(MAX($D$16,(M46)-(K34))),0.000001))&gt;(ABS(I46)/MAX(((F34)+(H34)*(MAX($D$16,(E46)-(J34))))*(MAX($D$16,(E46)-(J34))),0.000001)),$D$9*((((ABS(I46)/MAX(((G34)+(I34)*(MAX($D$16,(M46)-(K34))))*(MAX($D$16,(M46)-(K34))),0.000001))^2)/(2*$I$5))-(((ABS(I46)/MAX(((F34)+(H34)*(MAX($D$16,(E46)-(J34))))*(MAX($D$16,(E46)-(J34))),0.000001))^2)/(2*$I$5))),$D$8*((((ABS(I46)/MAX(((F34)+(H34)*(MAX($D$16,(E46)-(J34))))*(MAX($D$16,(E46)-(J34))),0.000001))^2)/(2*$I$5))-(((ABS(I46)/MAX(((G34)+(I34)*(MAX($D$16,(M46)-(K34))))*(MAX($D$16,(M46)-(K34))),0.000001))^2)/(2*$I$5)))))+($D$10*(ABS((X34)-(W34))/90)*MAX(((ABS(I46)/MAX(((F34)+(H34)*(MAX($D$16,(E46)-(J34))))*(MAX($D$16,(E46)-(J34))),0.000001))^2)/(2*$I$5),((ABS(I46)/MAX(((G34)+(I34)*(MAX($D$16,(M46)-(K34))))*(MAX($D$16,(M46)-(K34))),0.000001))^2)/(2*$I$5)))+(0)-((ABS(I46)/MAX(((F34)+(H34)*(MAX($D$16,(E46)-(J34))))*(MAX($D$16,(E46)-(J34))),0.000001))^2)/(2*$I$5)</f>
        <v>635.5</v>
      </c>
      <c r="T46">
        <f>N46+((ABS(J46)/MAX(((G35)+(I35)*(MAX($D$16,(N46)-(K35))))*(MAX($D$16,(N46)-(K35))),0.000001))^2)/(2*$I$5)+((E35)*((((ABS(J46)*$D$6)/(MAX(((F35)+(H35)*(MAX($D$16,(E46)-(J35))))*(MAX($D$16,(E46)-(J35))),0.000001)*MAX(((((F35)+(H35)*(MAX($D$16,(E46)-(J35))))*(MAX($D$16,(E46)-(J35))))/MAX((F35)+2*(MAX($D$16,(E46)-(J35)))*SQRT(1+(H35)^2),0.000001))^(2/3),0.000001)))^2)+(((ABS(J46)*$D$6)/(MAX(((G35)+(I35)*(MAX($D$16,(N46)-(K35))))*(MAX($D$16,(N46)-(K35))),0.000001)*MAX(((((G35)+(I35)*(MAX($D$16,(N46)-(K35))))*(MAX($D$16,(N46)-(K35))))/MAX((G35)+2*(MAX($D$16,(N46)-(K35)))*SQRT(1+(I35)^2),0.000001))^(2/3),0.000001)))^2))/2)+(IF((ABS(J46)/MAX(((G35)+(I35)*(MAX($D$16,(N46)-(K35))))*(MAX($D$16,(N46)-(K35))),0.000001))&gt;(ABS(J46)/MAX(((F35)+(H35)*(MAX($D$16,(E46)-(J35))))*(MAX($D$16,(E46)-(J35))),0.000001)),$D$9*((((ABS(J46)/MAX(((G35)+(I35)*(MAX($D$16,(N46)-(K35))))*(MAX($D$16,(N46)-(K35))),0.000001))^2)/(2*$I$5))-(((ABS(J46)/MAX(((F35)+(H35)*(MAX($D$16,(E46)-(J35))))*(MAX($D$16,(E46)-(J35))),0.000001))^2)/(2*$I$5))),$D$8*((((ABS(J46)/MAX(((F35)+(H35)*(MAX($D$16,(E46)-(J35))))*(MAX($D$16,(E46)-(J35))),0.000001))^2)/(2*$I$5))-(((ABS(J46)/MAX(((G35)+(I35)*(MAX($D$16,(N46)-(K35))))*(MAX($D$16,(N46)-(K35))),0.000001))^2)/(2*$I$5)))))+($D$10*(ABS((X35)-(W35))/90)*MAX(((ABS(J46)/MAX(((F35)+(H35)*(MAX($D$16,(E46)-(J35))))*(MAX($D$16,(E46)-(J35))),0.000001))^2)/(2*$I$5),((ABS(J46)/MAX(((G35)+(I35)*(MAX($D$16,(N46)-(K35))))*(MAX($D$16,(N46)-(K35))),0.000001))^2)/(2*$I$5)))+(($D$11*0.34699541*(ABS(I46)/MAX(ABS(G46),0.000001))^2*MAX(((ABS(J46)/MAX(((F35)+(H35)*(MAX($D$16,(E46)-(J35))))*(MAX($D$16,(E46)-(J35))),0.000001))^2)/(2*$I$5),((ABS(J46)/MAX(((G35)+(I35)*(MAX($D$16,(N46)-(K35))))*(MAX($D$16,(N46)-(K35))),0.000001))^2)/(2*$I$5))))-((ABS(J46)/MAX(((F35)+(H35)*(MAX($D$16,(E46)-(J35))))*(MAX($D$16,(E46)-(J35))),0.000001))^2)/(2*$I$5)</f>
        <v>20784.033523923277</v>
      </c>
      <c r="U46">
        <f>(((((F32)*(MAX($D$16,(D46)-(J32)))^2)/2+(H32)*(MAX($D$16,(D46)-(J32)))^3/3+(ABS(G46)^2)/($I$5*MAX(((F32)+(H32)*(MAX($D$16,(D46)-(J32))))*(MAX($D$16,(D46)-(J32))),0.000001)))*0.72785025)-((((F33)*(MAX($D$16,(D46)-(J33)))^2)/2+(H33)*(MAX($D$16,(D46)-(J33)))^3/3+(ABS(H46)^2)/($I$5*MAX(((F33)+(H33)*(MAX($D$16,(D46)-(J33))))*(MAX($D$16,(D46)-(J33))),0.000001)))*0.99999971))/MAX(((G31)*(MAX($D$16,(D46)-(K31)))^2)/2+(I31)*(MAX($D$16,(D46)-(K31)))^3/3+(ABS(F46)^2)/($I$5*MAX(((G31)+(I31)*(MAX($D$16,(D46)-(K31))))*(MAX($D$16,(D46)-(K31))),0.000001)),0.000001)</f>
        <v>-0.27214945999993123</v>
      </c>
      <c r="V46">
        <f>(((((F34)*(MAX($D$16,(E46)-(J34)))^2)/2+(H34)*(MAX($D$16,(E46)-(J34)))^3/3+(ABS(I46)^2)/($I$5*MAX(((F34)+(H34)*(MAX($D$16,(E46)-(J34))))*(MAX($D$16,(E46)-(J34))),0.000001)))*1)-((((F35)*(MAX($D$16,(E46)-(J35)))^2)/2+(H35)*(MAX($D$16,(E46)-(J35)))^3/3+(ABS(J46)^2)/($I$5*MAX(((F35)+(H35)*(MAX($D$16,(E46)-(J35))))*(MAX($D$16,(E46)-(J35))),0.000001)))*0.30600918))/MAX(((G32)*(MAX($D$16,(E46)-(K32)))^2)/2+(I32)*(MAX($D$16,(E46)-(K32)))^3/3+(ABS(G46)^2)/($I$5*MAX(((G32)+(I32)*(MAX($D$16,(E46)-(K32))))*(MAX($D$16,(E46)-(K32))),0.000001)),0.000001)</f>
        <v>0.69398595935026697</v>
      </c>
      <c r="W46">
        <f>IF(N6="None",ABS(P46-D46),MAX(ABS(P46-D46),ABS(Q46-D46)))</f>
        <v>9165.5049223386086</v>
      </c>
      <c r="X46">
        <f>IF(AND(N7="None",N8="None"),0,IF(N8="None",ABS(S46-E46),IF(N7="None",ABS(T46-E46),MAX(ABS(S46-E46),ABS(T46-E46)))))</f>
        <v>47213.889376484891</v>
      </c>
      <c r="AA46">
        <f t="shared" si="3"/>
        <v>53806.967576005627</v>
      </c>
      <c r="AB46">
        <f t="shared" si="4"/>
        <v>38376.51482808833</v>
      </c>
      <c r="AC46">
        <f>IF(N6="None",P46,MAX(P46,Q46))</f>
        <v>47849.389376485531</v>
      </c>
      <c r="AD46">
        <f>IF(AND(N7="None",N8="None"),E46,IF(N8="None",S46,IF(N7="None",T46,MAX(S46,T46))))</f>
        <v>20784.033523923277</v>
      </c>
      <c r="AE46">
        <f t="shared" si="5"/>
        <v>637.65825101113205</v>
      </c>
      <c r="AF46">
        <f t="shared" si="6"/>
        <v>57014.894298823965</v>
      </c>
      <c r="AG46">
        <f>((G31)*(MAX($D$16,(AC46)-(K31)))^2)/2+(I31)*(MAX($D$16,(AC46)-(K31)))^3/3+(ABS(F46)^2)/($I$5*MAX(((G31)+(I31)*(MAX($D$16,(AC46)-(K31))))*(MAX($D$16,(AC46)-(K31))),0.000001))</f>
        <v>7309759455.2499657</v>
      </c>
      <c r="AH46">
        <f>((G31)*(MAX($D$16,(AE46)-(K31)))^2)/2+(I31)*(MAX($D$16,(AE46)-(K31)))^3/3+(ABS(F46)^2)/($I$5*MAX(((G31)+(I31)*(MAX($D$16,(AE46)-(K31))))*(MAX($D$16,(AE46)-(K31))),0.000001))</f>
        <v>49.055863333889135</v>
      </c>
      <c r="AI46">
        <f>((G32)*(MAX($D$16,(AD46)-(K32)))^2)/2+(I32)*(MAX($D$16,(AD46)-(K32)))^3/3+(ABS(G46)^2)/($I$5*MAX(((G32)+(I32)*(MAX($D$16,(AD46)-(K32))))*(MAX($D$16,(AD46)-(K32))),0.000001))</f>
        <v>2072376743.6648104</v>
      </c>
      <c r="AJ46">
        <f>((G32)*(MAX($D$16,(AF46)-(K32)))^2)/2+(I32)*(MAX($D$16,(AF46)-(K32)))^3/3+(ABS(G46)^2)/($I$5*MAX(((G32)+(I32)*(MAX($D$16,(AF46)-(K32))))*(MAX($D$16,(AF46)-(K32))),0.000001))</f>
        <v>16222665947.37915</v>
      </c>
      <c r="AK46" t="str">
        <f t="shared" si="7"/>
        <v>Subcritical</v>
      </c>
      <c r="AL46" t="str">
        <f t="shared" si="8"/>
        <v>Supercritical</v>
      </c>
      <c r="AM46">
        <f t="shared" si="9"/>
        <v>53806.967576005627</v>
      </c>
      <c r="AN46">
        <f t="shared" si="10"/>
        <v>51057.316099303564</v>
      </c>
      <c r="AO46">
        <f t="shared" si="11"/>
        <v>9165.5049223386086</v>
      </c>
      <c r="AP46">
        <f t="shared" si="12"/>
        <v>9165.5049223390743</v>
      </c>
    </row>
    <row r="47" spans="1:42" x14ac:dyDescent="0.35">
      <c r="A47">
        <v>4</v>
      </c>
      <c r="B47">
        <f t="shared" si="13"/>
        <v>0</v>
      </c>
      <c r="C47">
        <f t="shared" si="14"/>
        <v>0</v>
      </c>
      <c r="D47">
        <f t="shared" si="15"/>
        <v>53806.967576005627</v>
      </c>
      <c r="E47">
        <f t="shared" si="16"/>
        <v>51057.316099303564</v>
      </c>
      <c r="F47">
        <f t="shared" si="2"/>
        <v>51</v>
      </c>
      <c r="G47">
        <f>IF(N6="None",F47,MAX(0,F47*B47))</f>
        <v>51</v>
      </c>
      <c r="H47">
        <f>IF(N6="None",0,MAX(0,F47-G47))</f>
        <v>0</v>
      </c>
      <c r="I47">
        <f>IF(AND(N7="None",N8="None"),0,IF(N8="None",G47,IF(N7="None",0,MAX(0,G47*C47))))</f>
        <v>0</v>
      </c>
      <c r="J47">
        <f>IF(AND(N7="None",N8="None"),0,IF(N8="None",0,IF(N7="None",G47,MAX(0,G47-I47))))</f>
        <v>51</v>
      </c>
      <c r="K47">
        <f>P5</f>
        <v>637</v>
      </c>
      <c r="L47">
        <f>P6</f>
        <v>634.3119999999999</v>
      </c>
      <c r="M47">
        <f>P7</f>
        <v>635.5</v>
      </c>
      <c r="N47">
        <f>P8</f>
        <v>631.54999999999995</v>
      </c>
      <c r="O47">
        <f>K47+((ABS(F47)/MAX(((F31)+(H31)*(MAX($D$16,(K47)-(J31))))*(MAX($D$16,(K47)-(J31))),0.000001))^2)/(2*$I$5)-((E31)*((((ABS(F47)*$D$6)/(MAX(((F31)+(H31)*(MAX($D$16,(K47)-(J31))))*(MAX($D$16,(K47)-(J31))),0.000001)*MAX(((((F31)+(H31)*(MAX($D$16,(K47)-(J31))))*(MAX($D$16,(K47)-(J31))))/MAX((F31)+2*(MAX($D$16,(K47)-(J31)))*SQRT(1+(H31)^2),0.000001))^(2/3),0.000001)))^2)+(((ABS(F47)*$D$6)/(MAX(((G31)+(I31)*(MAX($D$16,(D47)-(K31))))*(MAX($D$16,(D47)-(K31))),0.000001)*MAX(((((G31)+(I31)*(MAX($D$16,(D47)-(K31))))*(MAX($D$16,(D47)-(K31))))/MAX((G31)+2*(MAX($D$16,(D47)-(K31)))*SQRT(1+(I31)^2),0.000001))^(2/3),0.000001)))^2))/2)+(IF((ABS(F47)/MAX(((G31)+(I31)*(MAX($D$16,(D47)-(K31))))*(MAX($D$16,(D47)-(K31))),0.000001))&gt;(ABS(F47)/MAX(((F31)+(H31)*(MAX($D$16,(K47)-(J31))))*(MAX($D$16,(K47)-(J31))),0.000001)),$D$9*((((ABS(F47)/MAX(((G31)+(I31)*(MAX($D$16,(D47)-(K31))))*(MAX($D$16,(D47)-(K31))),0.000001))^2)/(2*$I$5))-(((ABS(F47)/MAX(((F31)+(H31)*(MAX($D$16,(K47)-(J31))))*(MAX($D$16,(K47)-(J31))),0.000001))^2)/(2*$I$5))),$D$8*((((ABS(F47)/MAX(((F31)+(H31)*(MAX($D$16,(K47)-(J31))))*(MAX($D$16,(K47)-(J31))),0.000001))^2)/(2*$I$5))-(((ABS(F47)/MAX(((G31)+(I31)*(MAX($D$16,(D47)-(K31))))*(MAX($D$16,(D47)-(K31))),0.000001))^2)/(2*$I$5)))))+($D$10*(ABS((X31)-(W31))/90)*MAX(((ABS(F47)/MAX(((F31)+(H31)*(MAX($D$16,(K47)-(J31))))*(MAX($D$16,(K47)-(J31))),0.000001))^2)/(2*$I$5),((ABS(F47)/MAX(((G31)+(I31)*(MAX($D$16,(D47)-(K31))))*(MAX($D$16,(D47)-(K31))),0.000001))^2)/(2*$I$5)))+(0)-((ABS(F47)/MAX(((G31)+(I31)*(MAX($D$16,(D47)-(K31))))*(MAX($D$16,(D47)-(K31))),0.000001))^2)/(2*$I$5)</f>
        <v>637.65825101097471</v>
      </c>
      <c r="P47">
        <f>E47+((ABS(G47)/MAX(((G32)+(I32)*(MAX($D$16,(E47)-(K32))))*(MAX($D$16,(E47)-(K32))),0.000001))^2)/(2*$I$5)+((E32)*((((ABS(G47)*$D$6)/(MAX(((F32)+(H32)*(MAX($D$16,(D47)-(J32))))*(MAX($D$16,(D47)-(J32))),0.000001)*MAX(((((F32)+(H32)*(MAX($D$16,(D47)-(J32))))*(MAX($D$16,(D47)-(J32))))/MAX((F32)+2*(MAX($D$16,(D47)-(J32)))*SQRT(1+(H32)^2),0.000001))^(2/3),0.000001)))^2)+(((ABS(G47)*$D$6)/(MAX(((G32)+(I32)*(MAX($D$16,(E47)-(K32))))*(MAX($D$16,(E47)-(K32))),0.000001)*MAX(((((G32)+(I32)*(MAX($D$16,(E47)-(K32))))*(MAX($D$16,(E47)-(K32))))/MAX((G32)+2*(MAX($D$16,(E47)-(K32)))*SQRT(1+(I32)^2),0.000001))^(2/3),0.000001)))^2))/2)+(IF((ABS(G47)/MAX(((G32)+(I32)*(MAX($D$16,(E47)-(K32))))*(MAX($D$16,(E47)-(K32))),0.000001))&gt;(ABS(G47)/MAX(((F32)+(H32)*(MAX($D$16,(D47)-(J32))))*(MAX($D$16,(D47)-(J32))),0.000001)),$D$9*((((ABS(G47)/MAX(((G32)+(I32)*(MAX($D$16,(E47)-(K32))))*(MAX($D$16,(E47)-(K32))),0.000001))^2)/(2*$I$5))-(((ABS(G47)/MAX(((F32)+(H32)*(MAX($D$16,(D47)-(J32))))*(MAX($D$16,(D47)-(J32))),0.000001))^2)/(2*$I$5))),$D$8*((((ABS(G47)/MAX(((F32)+(H32)*(MAX($D$16,(D47)-(J32))))*(MAX($D$16,(D47)-(J32))),0.000001))^2)/(2*$I$5))-(((ABS(G47)/MAX(((G32)+(I32)*(MAX($D$16,(E47)-(K32))))*(MAX($D$16,(E47)-(K32))),0.000001))^2)/(2*$I$5)))))+($D$10*(ABS((X32)-(W32))/90)*MAX(((ABS(G47)/MAX(((F32)+(H32)*(MAX($D$16,(D47)-(J32))))*(MAX($D$16,(D47)-(J32))),0.000001))^2)/(2*$I$5),((ABS(G47)/MAX(((G32)+(I32)*(MAX($D$16,(E47)-(K32))))*(MAX($D$16,(E47)-(K32))),0.000001))^2)/(2*$I$5)))+(($D$11*0.13607488*(ABS(H47)/MAX(ABS(F47),0.000001))^2*MAX(((ABS(G47)/MAX(((F32)+(H32)*(MAX($D$16,(D47)-(J32))))*(MAX($D$16,(D47)-(J32))),0.000001))^2)/(2*$I$5),((ABS(G47)/MAX(((G32)+(I32)*(MAX($D$16,(E47)-(K32))))*(MAX($D$16,(E47)-(K32))),0.000001))^2)/(2*$I$5))))-((ABS(G47)/MAX(((F32)+(H32)*(MAX($D$16,(D47)-(J32))))*(MAX($D$16,(D47)-(J32))),0.000001))^2)/(2*$I$5)</f>
        <v>51057.316099304138</v>
      </c>
      <c r="Q47">
        <f>L47+((ABS(H47)/MAX(((G33)+(I33)*(MAX($D$16,(L47)-(K33))))*(MAX($D$16,(L47)-(K33))),0.000001))^2)/(2*$I$5)+((E33)*((((ABS(H47)*$D$6)/(MAX(((F33)+(H33)*(MAX($D$16,(D47)-(J33))))*(MAX($D$16,(D47)-(J33))),0.000001)*MAX(((((F33)+(H33)*(MAX($D$16,(D47)-(J33))))*(MAX($D$16,(D47)-(J33))))/MAX((F33)+2*(MAX($D$16,(D47)-(J33)))*SQRT(1+(H33)^2),0.000001))^(2/3),0.000001)))^2)+(((ABS(H47)*$D$6)/(MAX(((G33)+(I33)*(MAX($D$16,(L47)-(K33))))*(MAX($D$16,(L47)-(K33))),0.000001)*MAX(((((G33)+(I33)*(MAX($D$16,(L47)-(K33))))*(MAX($D$16,(L47)-(K33))))/MAX((G33)+2*(MAX($D$16,(L47)-(K33)))*SQRT(1+(I33)^2),0.000001))^(2/3),0.000001)))^2))/2)+(IF((ABS(H47)/MAX(((G33)+(I33)*(MAX($D$16,(L47)-(K33))))*(MAX($D$16,(L47)-(K33))),0.000001))&gt;(ABS(H47)/MAX(((F33)+(H33)*(MAX($D$16,(D47)-(J33))))*(MAX($D$16,(D47)-(J33))),0.000001)),$D$9*((((ABS(H47)/MAX(((G33)+(I33)*(MAX($D$16,(L47)-(K33))))*(MAX($D$16,(L47)-(K33))),0.000001))^2)/(2*$I$5))-(((ABS(H47)/MAX(((F33)+(H33)*(MAX($D$16,(D47)-(J33))))*(MAX($D$16,(D47)-(J33))),0.000001))^2)/(2*$I$5))),$D$8*((((ABS(H47)/MAX(((F33)+(H33)*(MAX($D$16,(D47)-(J33))))*(MAX($D$16,(D47)-(J33))),0.000001))^2)/(2*$I$5))-(((ABS(H47)/MAX(((G33)+(I33)*(MAX($D$16,(L47)-(K33))))*(MAX($D$16,(L47)-(K33))),0.000001))^2)/(2*$I$5)))))+($D$10*(ABS((X33)-(W33))/90)*MAX(((ABS(H47)/MAX(((F33)+(H33)*(MAX($D$16,(D47)-(J33))))*(MAX($D$16,(D47)-(J33))),0.000001))^2)/(2*$I$5),((ABS(H47)/MAX(((G33)+(I33)*(MAX($D$16,(L47)-(K33))))*(MAX($D$16,(L47)-(K33))),0.000001))^2)/(2*$I$5)))+(($D$11*0.00000015*(ABS(G47)/MAX(ABS(F47),0.000001))^2*MAX(((ABS(H47)/MAX(((F33)+(H33)*(MAX($D$16,(D47)-(J33))))*(MAX($D$16,(D47)-(J33))),0.000001))^2)/(2*$I$5),((ABS(H47)/MAX(((G33)+(I33)*(MAX($D$16,(L47)-(K33))))*(MAX($D$16,(L47)-(K33))),0.000001))^2)/(2*$I$5))))-((ABS(H47)/MAX(((F33)+(H33)*(MAX($D$16,(D47)-(J33))))*(MAX($D$16,(D47)-(J33))),0.000001))^2)/(2*$I$5)</f>
        <v>634.3119999999999</v>
      </c>
      <c r="R47">
        <f>D47+((ABS(G47)/MAX(((F32)+(H32)*(MAX($D$16,(D47)-(J32))))*(MAX($D$16,(D47)-(J32))),0.000001))^2)/(2*$I$5)-((E32)*((((ABS(G47)*$D$6)/(MAX(((F32)+(H32)*(MAX($D$16,(D47)-(J32))))*(MAX($D$16,(D47)-(J32))),0.000001)*MAX(((((F32)+(H32)*(MAX($D$16,(D47)-(J32))))*(MAX($D$16,(D47)-(J32))))/MAX((F32)+2*(MAX($D$16,(D47)-(J32)))*SQRT(1+(H32)^2),0.000001))^(2/3),0.000001)))^2)+(((ABS(G47)*$D$6)/(MAX(((G32)+(I32)*(MAX($D$16,(E47)-(K32))))*(MAX($D$16,(E47)-(K32))),0.000001)*MAX(((((G32)+(I32)*(MAX($D$16,(E47)-(K32))))*(MAX($D$16,(E47)-(K32))))/MAX((G32)+2*(MAX($D$16,(E47)-(K32)))*SQRT(1+(I32)^2),0.000001))^(2/3),0.000001)))^2))/2)+(IF((ABS(G47)/MAX(((G32)+(I32)*(MAX($D$16,(E47)-(K32))))*(MAX($D$16,(E47)-(K32))),0.000001))&gt;(ABS(G47)/MAX(((F32)+(H32)*(MAX($D$16,(D47)-(J32))))*(MAX($D$16,(D47)-(J32))),0.000001)),$D$9*((((ABS(G47)/MAX(((G32)+(I32)*(MAX($D$16,(E47)-(K32))))*(MAX($D$16,(E47)-(K32))),0.000001))^2)/(2*$I$5))-(((ABS(G47)/MAX(((F32)+(H32)*(MAX($D$16,(D47)-(J32))))*(MAX($D$16,(D47)-(J32))),0.000001))^2)/(2*$I$5))),$D$8*((((ABS(G47)/MAX(((F32)+(H32)*(MAX($D$16,(D47)-(J32))))*(MAX($D$16,(D47)-(J32))),0.000001))^2)/(2*$I$5))-(((ABS(G47)/MAX(((G32)+(I32)*(MAX($D$16,(E47)-(K32))))*(MAX($D$16,(E47)-(K32))),0.000001))^2)/(2*$I$5)))))+($D$10*(ABS((X32)-(W32))/90)*MAX(((ABS(G47)/MAX(((F32)+(H32)*(MAX($D$16,(D47)-(J32))))*(MAX($D$16,(D47)-(J32))),0.000001))^2)/(2*$I$5),((ABS(G47)/MAX(((G32)+(I32)*(MAX($D$16,(E47)-(K32))))*(MAX($D$16,(E47)-(K32))),0.000001))^2)/(2*$I$5)))+(($D$11*0.13607488*(ABS(H47)/MAX(ABS(F47),0.000001))^2*MAX(((ABS(G47)/MAX(((F32)+(H32)*(MAX($D$16,(D47)-(J32))))*(MAX($D$16,(D47)-(J32))),0.000001))^2)/(2*$I$5),((ABS(G47)/MAX(((G32)+(I32)*(MAX($D$16,(E47)-(K32))))*(MAX($D$16,(E47)-(K32))),0.000001))^2)/(2*$I$5))))-((ABS(G47)/MAX(((G32)+(I32)*(MAX($D$16,(E47)-(K32))))*(MAX($D$16,(E47)-(K32))),0.000001))^2)/(2*$I$5)</f>
        <v>53806.967576005663</v>
      </c>
      <c r="S47">
        <f>M47+((ABS(I47)/MAX(((G34)+(I34)*(MAX($D$16,(M47)-(K34))))*(MAX($D$16,(M47)-(K34))),0.000001))^2)/(2*$I$5)+((E34)*((((ABS(I47)*$D$6)/(MAX(((F34)+(H34)*(MAX($D$16,(E47)-(J34))))*(MAX($D$16,(E47)-(J34))),0.000001)*MAX(((((F34)+(H34)*(MAX($D$16,(E47)-(J34))))*(MAX($D$16,(E47)-(J34))))/MAX((F34)+2*(MAX($D$16,(E47)-(J34)))*SQRT(1+(H34)^2),0.000001))^(2/3),0.000001)))^2)+(((ABS(I47)*$D$6)/(MAX(((G34)+(I34)*(MAX($D$16,(M47)-(K34))))*(MAX($D$16,(M47)-(K34))),0.000001)*MAX(((((G34)+(I34)*(MAX($D$16,(M47)-(K34))))*(MAX($D$16,(M47)-(K34))))/MAX((G34)+2*(MAX($D$16,(M47)-(K34)))*SQRT(1+(I34)^2),0.000001))^(2/3),0.000001)))^2))/2)+(IF((ABS(I47)/MAX(((G34)+(I34)*(MAX($D$16,(M47)-(K34))))*(MAX($D$16,(M47)-(K34))),0.000001))&gt;(ABS(I47)/MAX(((F34)+(H34)*(MAX($D$16,(E47)-(J34))))*(MAX($D$16,(E47)-(J34))),0.000001)),$D$9*((((ABS(I47)/MAX(((G34)+(I34)*(MAX($D$16,(M47)-(K34))))*(MAX($D$16,(M47)-(K34))),0.000001))^2)/(2*$I$5))-(((ABS(I47)/MAX(((F34)+(H34)*(MAX($D$16,(E47)-(J34))))*(MAX($D$16,(E47)-(J34))),0.000001))^2)/(2*$I$5))),$D$8*((((ABS(I47)/MAX(((F34)+(H34)*(MAX($D$16,(E47)-(J34))))*(MAX($D$16,(E47)-(J34))),0.000001))^2)/(2*$I$5))-(((ABS(I47)/MAX(((G34)+(I34)*(MAX($D$16,(M47)-(K34))))*(MAX($D$16,(M47)-(K34))),0.000001))^2)/(2*$I$5)))))+($D$10*(ABS((X34)-(W34))/90)*MAX(((ABS(I47)/MAX(((F34)+(H34)*(MAX($D$16,(E47)-(J34))))*(MAX($D$16,(E47)-(J34))),0.000001))^2)/(2*$I$5),((ABS(I47)/MAX(((G34)+(I34)*(MAX($D$16,(M47)-(K34))))*(MAX($D$16,(M47)-(K34))),0.000001))^2)/(2*$I$5)))+(0)-((ABS(I47)/MAX(((F34)+(H34)*(MAX($D$16,(E47)-(J34))))*(MAX($D$16,(E47)-(J34))),0.000001))^2)/(2*$I$5)</f>
        <v>635.5</v>
      </c>
      <c r="T47">
        <f>N47+((ABS(J47)/MAX(((G35)+(I35)*(MAX($D$16,(N47)-(K35))))*(MAX($D$16,(N47)-(K35))),0.000001))^2)/(2*$I$5)+((E35)*((((ABS(J47)*$D$6)/(MAX(((F35)+(H35)*(MAX($D$16,(E47)-(J35))))*(MAX($D$16,(E47)-(J35))),0.000001)*MAX(((((F35)+(H35)*(MAX($D$16,(E47)-(J35))))*(MAX($D$16,(E47)-(J35))))/MAX((F35)+2*(MAX($D$16,(E47)-(J35)))*SQRT(1+(H35)^2),0.000001))^(2/3),0.000001)))^2)+(((ABS(J47)*$D$6)/(MAX(((G35)+(I35)*(MAX($D$16,(N47)-(K35))))*(MAX($D$16,(N47)-(K35))),0.000001)*MAX(((((G35)+(I35)*(MAX($D$16,(N47)-(K35))))*(MAX($D$16,(N47)-(K35))))/MAX((G35)+2*(MAX($D$16,(N47)-(K35)))*SQRT(1+(I35)^2),0.000001))^(2/3),0.000001)))^2))/2)+(IF((ABS(J47)/MAX(((G35)+(I35)*(MAX($D$16,(N47)-(K35))))*(MAX($D$16,(N47)-(K35))),0.000001))&gt;(ABS(J47)/MAX(((F35)+(H35)*(MAX($D$16,(E47)-(J35))))*(MAX($D$16,(E47)-(J35))),0.000001)),$D$9*((((ABS(J47)/MAX(((G35)+(I35)*(MAX($D$16,(N47)-(K35))))*(MAX($D$16,(N47)-(K35))),0.000001))^2)/(2*$I$5))-(((ABS(J47)/MAX(((F35)+(H35)*(MAX($D$16,(E47)-(J35))))*(MAX($D$16,(E47)-(J35))),0.000001))^2)/(2*$I$5))),$D$8*((((ABS(J47)/MAX(((F35)+(H35)*(MAX($D$16,(E47)-(J35))))*(MAX($D$16,(E47)-(J35))),0.000001))^2)/(2*$I$5))-(((ABS(J47)/MAX(((G35)+(I35)*(MAX($D$16,(N47)-(K35))))*(MAX($D$16,(N47)-(K35))),0.000001))^2)/(2*$I$5)))))+($D$10*(ABS((X35)-(W35))/90)*MAX(((ABS(J47)/MAX(((F35)+(H35)*(MAX($D$16,(E47)-(J35))))*(MAX($D$16,(E47)-(J35))),0.000001))^2)/(2*$I$5),((ABS(J47)/MAX(((G35)+(I35)*(MAX($D$16,(N47)-(K35))))*(MAX($D$16,(N47)-(K35))),0.000001))^2)/(2*$I$5)))+(($D$11*0.34699541*(ABS(I47)/MAX(ABS(G47),0.000001))^2*MAX(((ABS(J47)/MAX(((F35)+(H35)*(MAX($D$16,(E47)-(J35))))*(MAX($D$16,(E47)-(J35))),0.000001))^2)/(2*$I$5),((ABS(J47)/MAX(((G35)+(I35)*(MAX($D$16,(N47)-(K35))))*(MAX($D$16,(N47)-(K35))),0.000001))^2)/(2*$I$5))))-((ABS(J47)/MAX(((F35)+(H35)*(MAX($D$16,(E47)-(J35))))*(MAX($D$16,(E47)-(J35))),0.000001))^2)/(2*$I$5)</f>
        <v>20784.03352392335</v>
      </c>
      <c r="U47">
        <f>(((((F32)*(MAX($D$16,(D47)-(J32)))^2)/2+(H32)*(MAX($D$16,(D47)-(J32)))^3/3+(ABS(G47)^2)/($I$5*MAX(((F32)+(H32)*(MAX($D$16,(D47)-(J32))))*(MAX($D$16,(D47)-(J32))),0.000001)))*0.72785025)-((((F33)*(MAX($D$16,(D47)-(J33)))^2)/2+(H33)*(MAX($D$16,(D47)-(J33)))^3/3+(ABS(H47)^2)/($I$5*MAX(((F33)+(H33)*(MAX($D$16,(D47)-(J33))))*(MAX($D$16,(D47)-(J33))),0.000001)))*0.99999971))/MAX(((G31)*(MAX($D$16,(D47)-(K31)))^2)/2+(I31)*(MAX($D$16,(D47)-(K31)))^3/3+(ABS(F47)^2)/($I$5*MAX(((G31)+(I31)*(MAX($D$16,(D47)-(K31))))*(MAX($D$16,(D47)-(K31))),0.000001)),0.000001)</f>
        <v>-0.27214945999991791</v>
      </c>
      <c r="V47">
        <f>(((((F34)*(MAX($D$16,(E47)-(J34)))^2)/2+(H34)*(MAX($D$16,(E47)-(J34)))^3/3+(ABS(I47)^2)/($I$5*MAX(((F34)+(H34)*(MAX($D$16,(E47)-(J34))))*(MAX($D$16,(E47)-(J34))),0.000001)))*1)-((((F35)*(MAX($D$16,(E47)-(J35)))^2)/2+(H35)*(MAX($D$16,(E47)-(J35)))^3/3+(ABS(J47)^2)/($I$5*MAX(((F35)+(H35)*(MAX($D$16,(E47)-(J35))))*(MAX($D$16,(E47)-(J35))),0.000001)))*0.30600918))/MAX(((G32)*(MAX($D$16,(E47)-(K32)))^2)/2+(I32)*(MAX($D$16,(E47)-(K32)))^3/3+(ABS(G47)^2)/($I$5*MAX(((G32)+(I32)*(MAX($D$16,(E47)-(K32))))*(MAX($D$16,(E47)-(K32))),0.000001)),0.000001)</f>
        <v>0.69398626857247869</v>
      </c>
      <c r="W47">
        <f>IF(N6="None",ABS(P47-D47),MAX(ABS(P47-D47),ABS(Q47-D47)))</f>
        <v>2749.6514767014887</v>
      </c>
      <c r="X47">
        <f>IF(AND(N7="None",N8="None"),0,IF(N8="None",ABS(S47-E47),IF(N7="None",ABS(T47-E47),MAX(ABS(S47-E47),ABS(T47-E47)))))</f>
        <v>50421.816099303564</v>
      </c>
      <c r="AA47">
        <f t="shared" si="3"/>
        <v>52844.589559160107</v>
      </c>
      <c r="AB47">
        <f t="shared" si="4"/>
        <v>40461.667197920491</v>
      </c>
      <c r="AC47">
        <f>IF(N6="None",P47,MAX(P47,Q47))</f>
        <v>51057.316099304138</v>
      </c>
      <c r="AD47">
        <f>IF(AND(N7="None",N8="None"),E47,IF(N8="None",S47,IF(N7="None",T47,MAX(S47,T47))))</f>
        <v>20784.03352392335</v>
      </c>
      <c r="AE47">
        <f t="shared" si="5"/>
        <v>637.65825101097471</v>
      </c>
      <c r="AF47">
        <f t="shared" si="6"/>
        <v>53806.967576005663</v>
      </c>
      <c r="AG47">
        <f>((G31)*(MAX($D$16,(AC47)-(K31)))^2)/2+(I31)*(MAX($D$16,(AC47)-(K31)))^3/3+(ABS(F47)^2)/($I$5*MAX(((G31)+(I31)*(MAX($D$16,(AC47)-(K31))))*(MAX($D$16,(AC47)-(K31))),0.000001))</f>
        <v>8336794393.1627874</v>
      </c>
      <c r="AH47">
        <f>((G31)*(MAX($D$16,(AE47)-(K31)))^2)/2+(I31)*(MAX($D$16,(AE47)-(K31)))^3/3+(ABS(F47)^2)/($I$5*MAX(((G31)+(I31)*(MAX($D$16,(AE47)-(K31))))*(MAX($D$16,(AE47)-(K31))),0.000001))</f>
        <v>49.055863330985233</v>
      </c>
      <c r="AI47">
        <f>((G32)*(MAX($D$16,(AD47)-(K32)))^2)/2+(I32)*(MAX($D$16,(AD47)-(K32)))^3/3+(ABS(G47)^2)/($I$5*MAX(((G32)+(I32)*(MAX($D$16,(AD47)-(K32))))*(MAX($D$16,(AD47)-(K32))),0.000001))</f>
        <v>2072376743.6648252</v>
      </c>
      <c r="AJ47">
        <f>((G32)*(MAX($D$16,(AF47)-(K32)))^2)/2+(I32)*(MAX($D$16,(AF47)-(K32)))^3/3+(ABS(G47)^2)/($I$5*MAX(((G32)+(I32)*(MAX($D$16,(AF47)-(K32))))*(MAX($D$16,(AF47)-(K32))),0.000001))</f>
        <v>14429194170.792427</v>
      </c>
      <c r="AK47" t="str">
        <f t="shared" si="7"/>
        <v>Subcritical</v>
      </c>
      <c r="AL47" t="str">
        <f t="shared" si="8"/>
        <v>Supercritical</v>
      </c>
      <c r="AM47">
        <f t="shared" si="9"/>
        <v>52844.589559160107</v>
      </c>
      <c r="AN47">
        <f t="shared" si="10"/>
        <v>52019.694116149301</v>
      </c>
      <c r="AO47">
        <f t="shared" si="11"/>
        <v>2749.6514767014887</v>
      </c>
      <c r="AP47">
        <f t="shared" si="12"/>
        <v>2749.6514767020999</v>
      </c>
    </row>
    <row r="48" spans="1:42" x14ac:dyDescent="0.35">
      <c r="A48">
        <v>5</v>
      </c>
      <c r="B48">
        <f t="shared" si="13"/>
        <v>0</v>
      </c>
      <c r="C48">
        <f t="shared" si="14"/>
        <v>0</v>
      </c>
      <c r="D48">
        <f t="shared" si="15"/>
        <v>52844.589559160107</v>
      </c>
      <c r="E48">
        <f t="shared" si="16"/>
        <v>52019.694116149301</v>
      </c>
      <c r="F48">
        <f t="shared" si="2"/>
        <v>51</v>
      </c>
      <c r="G48">
        <f>IF(N6="None",F48,MAX(0,F48*B48))</f>
        <v>51</v>
      </c>
      <c r="H48">
        <f>IF(N6="None",0,MAX(0,F48-G48))</f>
        <v>0</v>
      </c>
      <c r="I48">
        <f>IF(AND(N7="None",N8="None"),0,IF(N8="None",G48,IF(N7="None",0,MAX(0,G48*C48))))</f>
        <v>0</v>
      </c>
      <c r="J48">
        <f>IF(AND(N7="None",N8="None"),0,IF(N8="None",0,IF(N7="None",G48,MAX(0,G48-I48))))</f>
        <v>51</v>
      </c>
      <c r="K48">
        <f>P5</f>
        <v>637</v>
      </c>
      <c r="L48">
        <f>P6</f>
        <v>634.3119999999999</v>
      </c>
      <c r="M48">
        <f>P7</f>
        <v>635.5</v>
      </c>
      <c r="N48">
        <f>P8</f>
        <v>631.54999999999995</v>
      </c>
      <c r="O48">
        <f>K48+((ABS(F48)/MAX(((F31)+(H31)*(MAX($D$16,(K48)-(J31))))*(MAX($D$16,(K48)-(J31))),0.000001))^2)/(2*$I$5)-((E31)*((((ABS(F48)*$D$6)/(MAX(((F31)+(H31)*(MAX($D$16,(K48)-(J31))))*(MAX($D$16,(K48)-(J31))),0.000001)*MAX(((((F31)+(H31)*(MAX($D$16,(K48)-(J31))))*(MAX($D$16,(K48)-(J31))))/MAX((F31)+2*(MAX($D$16,(K48)-(J31)))*SQRT(1+(H31)^2),0.000001))^(2/3),0.000001)))^2)+(((ABS(F48)*$D$6)/(MAX(((G31)+(I31)*(MAX($D$16,(D48)-(K31))))*(MAX($D$16,(D48)-(K31))),0.000001)*MAX(((((G31)+(I31)*(MAX($D$16,(D48)-(K31))))*(MAX($D$16,(D48)-(K31))))/MAX((G31)+2*(MAX($D$16,(D48)-(K31)))*SQRT(1+(I31)^2),0.000001))^(2/3),0.000001)))^2))/2)+(IF((ABS(F48)/MAX(((G31)+(I31)*(MAX($D$16,(D48)-(K31))))*(MAX($D$16,(D48)-(K31))),0.000001))&gt;(ABS(F48)/MAX(((F31)+(H31)*(MAX($D$16,(K48)-(J31))))*(MAX($D$16,(K48)-(J31))),0.000001)),$D$9*((((ABS(F48)/MAX(((G31)+(I31)*(MAX($D$16,(D48)-(K31))))*(MAX($D$16,(D48)-(K31))),0.000001))^2)/(2*$I$5))-(((ABS(F48)/MAX(((F31)+(H31)*(MAX($D$16,(K48)-(J31))))*(MAX($D$16,(K48)-(J31))),0.000001))^2)/(2*$I$5))),$D$8*((((ABS(F48)/MAX(((F31)+(H31)*(MAX($D$16,(K48)-(J31))))*(MAX($D$16,(K48)-(J31))),0.000001))^2)/(2*$I$5))-(((ABS(F48)/MAX(((G31)+(I31)*(MAX($D$16,(D48)-(K31))))*(MAX($D$16,(D48)-(K31))),0.000001))^2)/(2*$I$5)))))+($D$10*(ABS((X31)-(W31))/90)*MAX(((ABS(F48)/MAX(((F31)+(H31)*(MAX($D$16,(K48)-(J31))))*(MAX($D$16,(K48)-(J31))),0.000001))^2)/(2*$I$5),((ABS(F48)/MAX(((G31)+(I31)*(MAX($D$16,(D48)-(K31))))*(MAX($D$16,(D48)-(K31))),0.000001))^2)/(2*$I$5)))+(0)-((ABS(F48)/MAX(((G31)+(I31)*(MAX($D$16,(D48)-(K31))))*(MAX($D$16,(D48)-(K31))),0.000001))^2)/(2*$I$5)</f>
        <v>637.65825101092184</v>
      </c>
      <c r="P48">
        <f>E48+((ABS(G48)/MAX(((G32)+(I32)*(MAX($D$16,(E48)-(K32))))*(MAX($D$16,(E48)-(K32))),0.000001))^2)/(2*$I$5)+((E32)*((((ABS(G48)*$D$6)/(MAX(((F32)+(H32)*(MAX($D$16,(D48)-(J32))))*(MAX($D$16,(D48)-(J32))),0.000001)*MAX(((((F32)+(H32)*(MAX($D$16,(D48)-(J32))))*(MAX($D$16,(D48)-(J32))))/MAX((F32)+2*(MAX($D$16,(D48)-(J32)))*SQRT(1+(H32)^2),0.000001))^(2/3),0.000001)))^2)+(((ABS(G48)*$D$6)/(MAX(((G32)+(I32)*(MAX($D$16,(E48)-(K32))))*(MAX($D$16,(E48)-(K32))),0.000001)*MAX(((((G32)+(I32)*(MAX($D$16,(E48)-(K32))))*(MAX($D$16,(E48)-(K32))))/MAX((G32)+2*(MAX($D$16,(E48)-(K32)))*SQRT(1+(I32)^2),0.000001))^(2/3),0.000001)))^2))/2)+(IF((ABS(G48)/MAX(((G32)+(I32)*(MAX($D$16,(E48)-(K32))))*(MAX($D$16,(E48)-(K32))),0.000001))&gt;(ABS(G48)/MAX(((F32)+(H32)*(MAX($D$16,(D48)-(J32))))*(MAX($D$16,(D48)-(J32))),0.000001)),$D$9*((((ABS(G48)/MAX(((G32)+(I32)*(MAX($D$16,(E48)-(K32))))*(MAX($D$16,(E48)-(K32))),0.000001))^2)/(2*$I$5))-(((ABS(G48)/MAX(((F32)+(H32)*(MAX($D$16,(D48)-(J32))))*(MAX($D$16,(D48)-(J32))),0.000001))^2)/(2*$I$5))),$D$8*((((ABS(G48)/MAX(((F32)+(H32)*(MAX($D$16,(D48)-(J32))))*(MAX($D$16,(D48)-(J32))),0.000001))^2)/(2*$I$5))-(((ABS(G48)/MAX(((G32)+(I32)*(MAX($D$16,(E48)-(K32))))*(MAX($D$16,(E48)-(K32))),0.000001))^2)/(2*$I$5)))))+($D$10*(ABS((X32)-(W32))/90)*MAX(((ABS(G48)/MAX(((F32)+(H32)*(MAX($D$16,(D48)-(J32))))*(MAX($D$16,(D48)-(J32))),0.000001))^2)/(2*$I$5),((ABS(G48)/MAX(((G32)+(I32)*(MAX($D$16,(E48)-(K32))))*(MAX($D$16,(E48)-(K32))),0.000001))^2)/(2*$I$5)))+(($D$11*0.13607488*(ABS(H48)/MAX(ABS(F48),0.000001))^2*MAX(((ABS(G48)/MAX(((F32)+(H32)*(MAX($D$16,(D48)-(J32))))*(MAX($D$16,(D48)-(J32))),0.000001))^2)/(2*$I$5),((ABS(G48)/MAX(((G32)+(I32)*(MAX($D$16,(E48)-(K32))))*(MAX($D$16,(E48)-(K32))),0.000001))^2)/(2*$I$5))))-((ABS(G48)/MAX(((F32)+(H32)*(MAX($D$16,(D48)-(J32))))*(MAX($D$16,(D48)-(J32))),0.000001))^2)/(2*$I$5)</f>
        <v>52019.694116149854</v>
      </c>
      <c r="Q48">
        <f>L48+((ABS(H48)/MAX(((G33)+(I33)*(MAX($D$16,(L48)-(K33))))*(MAX($D$16,(L48)-(K33))),0.000001))^2)/(2*$I$5)+((E33)*((((ABS(H48)*$D$6)/(MAX(((F33)+(H33)*(MAX($D$16,(D48)-(J33))))*(MAX($D$16,(D48)-(J33))),0.000001)*MAX(((((F33)+(H33)*(MAX($D$16,(D48)-(J33))))*(MAX($D$16,(D48)-(J33))))/MAX((F33)+2*(MAX($D$16,(D48)-(J33)))*SQRT(1+(H33)^2),0.000001))^(2/3),0.000001)))^2)+(((ABS(H48)*$D$6)/(MAX(((G33)+(I33)*(MAX($D$16,(L48)-(K33))))*(MAX($D$16,(L48)-(K33))),0.000001)*MAX(((((G33)+(I33)*(MAX($D$16,(L48)-(K33))))*(MAX($D$16,(L48)-(K33))))/MAX((G33)+2*(MAX($D$16,(L48)-(K33)))*SQRT(1+(I33)^2),0.000001))^(2/3),0.000001)))^2))/2)+(IF((ABS(H48)/MAX(((G33)+(I33)*(MAX($D$16,(L48)-(K33))))*(MAX($D$16,(L48)-(K33))),0.000001))&gt;(ABS(H48)/MAX(((F33)+(H33)*(MAX($D$16,(D48)-(J33))))*(MAX($D$16,(D48)-(J33))),0.000001)),$D$9*((((ABS(H48)/MAX(((G33)+(I33)*(MAX($D$16,(L48)-(K33))))*(MAX($D$16,(L48)-(K33))),0.000001))^2)/(2*$I$5))-(((ABS(H48)/MAX(((F33)+(H33)*(MAX($D$16,(D48)-(J33))))*(MAX($D$16,(D48)-(J33))),0.000001))^2)/(2*$I$5))),$D$8*((((ABS(H48)/MAX(((F33)+(H33)*(MAX($D$16,(D48)-(J33))))*(MAX($D$16,(D48)-(J33))),0.000001))^2)/(2*$I$5))-(((ABS(H48)/MAX(((G33)+(I33)*(MAX($D$16,(L48)-(K33))))*(MAX($D$16,(L48)-(K33))),0.000001))^2)/(2*$I$5)))))+($D$10*(ABS((X33)-(W33))/90)*MAX(((ABS(H48)/MAX(((F33)+(H33)*(MAX($D$16,(D48)-(J33))))*(MAX($D$16,(D48)-(J33))),0.000001))^2)/(2*$I$5),((ABS(H48)/MAX(((G33)+(I33)*(MAX($D$16,(L48)-(K33))))*(MAX($D$16,(L48)-(K33))),0.000001))^2)/(2*$I$5)))+(($D$11*0.00000015*(ABS(G48)/MAX(ABS(F48),0.000001))^2*MAX(((ABS(H48)/MAX(((F33)+(H33)*(MAX($D$16,(D48)-(J33))))*(MAX($D$16,(D48)-(J33))),0.000001))^2)/(2*$I$5),((ABS(H48)/MAX(((G33)+(I33)*(MAX($D$16,(L48)-(K33))))*(MAX($D$16,(L48)-(K33))),0.000001))^2)/(2*$I$5))))-((ABS(H48)/MAX(((F33)+(H33)*(MAX($D$16,(D48)-(J33))))*(MAX($D$16,(D48)-(J33))),0.000001))^2)/(2*$I$5)</f>
        <v>634.3119999999999</v>
      </c>
      <c r="R48">
        <f>D48+((ABS(G48)/MAX(((F32)+(H32)*(MAX($D$16,(D48)-(J32))))*(MAX($D$16,(D48)-(J32))),0.000001))^2)/(2*$I$5)-((E32)*((((ABS(G48)*$D$6)/(MAX(((F32)+(H32)*(MAX($D$16,(D48)-(J32))))*(MAX($D$16,(D48)-(J32))),0.000001)*MAX(((((F32)+(H32)*(MAX($D$16,(D48)-(J32))))*(MAX($D$16,(D48)-(J32))))/MAX((F32)+2*(MAX($D$16,(D48)-(J32)))*SQRT(1+(H32)^2),0.000001))^(2/3),0.000001)))^2)+(((ABS(G48)*$D$6)/(MAX(((G32)+(I32)*(MAX($D$16,(E48)-(K32))))*(MAX($D$16,(E48)-(K32))),0.000001)*MAX(((((G32)+(I32)*(MAX($D$16,(E48)-(K32))))*(MAX($D$16,(E48)-(K32))))/MAX((G32)+2*(MAX($D$16,(E48)-(K32)))*SQRT(1+(I32)^2),0.000001))^(2/3),0.000001)))^2))/2)+(IF((ABS(G48)/MAX(((G32)+(I32)*(MAX($D$16,(E48)-(K32))))*(MAX($D$16,(E48)-(K32))),0.000001))&gt;(ABS(G48)/MAX(((F32)+(H32)*(MAX($D$16,(D48)-(J32))))*(MAX($D$16,(D48)-(J32))),0.000001)),$D$9*((((ABS(G48)/MAX(((G32)+(I32)*(MAX($D$16,(E48)-(K32))))*(MAX($D$16,(E48)-(K32))),0.000001))^2)/(2*$I$5))-(((ABS(G48)/MAX(((F32)+(H32)*(MAX($D$16,(D48)-(J32))))*(MAX($D$16,(D48)-(J32))),0.000001))^2)/(2*$I$5))),$D$8*((((ABS(G48)/MAX(((F32)+(H32)*(MAX($D$16,(D48)-(J32))))*(MAX($D$16,(D48)-(J32))),0.000001))^2)/(2*$I$5))-(((ABS(G48)/MAX(((G32)+(I32)*(MAX($D$16,(E48)-(K32))))*(MAX($D$16,(E48)-(K32))),0.000001))^2)/(2*$I$5)))))+($D$10*(ABS((X32)-(W32))/90)*MAX(((ABS(G48)/MAX(((F32)+(H32)*(MAX($D$16,(D48)-(J32))))*(MAX($D$16,(D48)-(J32))),0.000001))^2)/(2*$I$5),((ABS(G48)/MAX(((G32)+(I32)*(MAX($D$16,(E48)-(K32))))*(MAX($D$16,(E48)-(K32))),0.000001))^2)/(2*$I$5)))+(($D$11*0.13607488*(ABS(H48)/MAX(ABS(F48),0.000001))^2*MAX(((ABS(G48)/MAX(((F32)+(H32)*(MAX($D$16,(D48)-(J32))))*(MAX($D$16,(D48)-(J32))),0.000001))^2)/(2*$I$5),((ABS(G48)/MAX(((G32)+(I32)*(MAX($D$16,(E48)-(K32))))*(MAX($D$16,(E48)-(K32))),0.000001))^2)/(2*$I$5))))-((ABS(G48)/MAX(((G32)+(I32)*(MAX($D$16,(E48)-(K32))))*(MAX($D$16,(E48)-(K32))),0.000001))^2)/(2*$I$5)</f>
        <v>52844.589559160209</v>
      </c>
      <c r="S48">
        <f>M48+((ABS(I48)/MAX(((G34)+(I34)*(MAX($D$16,(M48)-(K34))))*(MAX($D$16,(M48)-(K34))),0.000001))^2)/(2*$I$5)+((E34)*((((ABS(I48)*$D$6)/(MAX(((F34)+(H34)*(MAX($D$16,(E48)-(J34))))*(MAX($D$16,(E48)-(J34))),0.000001)*MAX(((((F34)+(H34)*(MAX($D$16,(E48)-(J34))))*(MAX($D$16,(E48)-(J34))))/MAX((F34)+2*(MAX($D$16,(E48)-(J34)))*SQRT(1+(H34)^2),0.000001))^(2/3),0.000001)))^2)+(((ABS(I48)*$D$6)/(MAX(((G34)+(I34)*(MAX($D$16,(M48)-(K34))))*(MAX($D$16,(M48)-(K34))),0.000001)*MAX(((((G34)+(I34)*(MAX($D$16,(M48)-(K34))))*(MAX($D$16,(M48)-(K34))))/MAX((G34)+2*(MAX($D$16,(M48)-(K34)))*SQRT(1+(I34)^2),0.000001))^(2/3),0.000001)))^2))/2)+(IF((ABS(I48)/MAX(((G34)+(I34)*(MAX($D$16,(M48)-(K34))))*(MAX($D$16,(M48)-(K34))),0.000001))&gt;(ABS(I48)/MAX(((F34)+(H34)*(MAX($D$16,(E48)-(J34))))*(MAX($D$16,(E48)-(J34))),0.000001)),$D$9*((((ABS(I48)/MAX(((G34)+(I34)*(MAX($D$16,(M48)-(K34))))*(MAX($D$16,(M48)-(K34))),0.000001))^2)/(2*$I$5))-(((ABS(I48)/MAX(((F34)+(H34)*(MAX($D$16,(E48)-(J34))))*(MAX($D$16,(E48)-(J34))),0.000001))^2)/(2*$I$5))),$D$8*((((ABS(I48)/MAX(((F34)+(H34)*(MAX($D$16,(E48)-(J34))))*(MAX($D$16,(E48)-(J34))),0.000001))^2)/(2*$I$5))-(((ABS(I48)/MAX(((G34)+(I34)*(MAX($D$16,(M48)-(K34))))*(MAX($D$16,(M48)-(K34))),0.000001))^2)/(2*$I$5)))))+($D$10*(ABS((X34)-(W34))/90)*MAX(((ABS(I48)/MAX(((F34)+(H34)*(MAX($D$16,(E48)-(J34))))*(MAX($D$16,(E48)-(J34))),0.000001))^2)/(2*$I$5),((ABS(I48)/MAX(((G34)+(I34)*(MAX($D$16,(M48)-(K34))))*(MAX($D$16,(M48)-(K34))),0.000001))^2)/(2*$I$5)))+(0)-((ABS(I48)/MAX(((F34)+(H34)*(MAX($D$16,(E48)-(J34))))*(MAX($D$16,(E48)-(J34))),0.000001))^2)/(2*$I$5)</f>
        <v>635.5</v>
      </c>
      <c r="T48">
        <f>N48+((ABS(J48)/MAX(((G35)+(I35)*(MAX($D$16,(N48)-(K35))))*(MAX($D$16,(N48)-(K35))),0.000001))^2)/(2*$I$5)+((E35)*((((ABS(J48)*$D$6)/(MAX(((F35)+(H35)*(MAX($D$16,(E48)-(J35))))*(MAX($D$16,(E48)-(J35))),0.000001)*MAX(((((F35)+(H35)*(MAX($D$16,(E48)-(J35))))*(MAX($D$16,(E48)-(J35))))/MAX((F35)+2*(MAX($D$16,(E48)-(J35)))*SQRT(1+(H35)^2),0.000001))^(2/3),0.000001)))^2)+(((ABS(J48)*$D$6)/(MAX(((G35)+(I35)*(MAX($D$16,(N48)-(K35))))*(MAX($D$16,(N48)-(K35))),0.000001)*MAX(((((G35)+(I35)*(MAX($D$16,(N48)-(K35))))*(MAX($D$16,(N48)-(K35))))/MAX((G35)+2*(MAX($D$16,(N48)-(K35)))*SQRT(1+(I35)^2),0.000001))^(2/3),0.000001)))^2))/2)+(IF((ABS(J48)/MAX(((G35)+(I35)*(MAX($D$16,(N48)-(K35))))*(MAX($D$16,(N48)-(K35))),0.000001))&gt;(ABS(J48)/MAX(((F35)+(H35)*(MAX($D$16,(E48)-(J35))))*(MAX($D$16,(E48)-(J35))),0.000001)),$D$9*((((ABS(J48)/MAX(((G35)+(I35)*(MAX($D$16,(N48)-(K35))))*(MAX($D$16,(N48)-(K35))),0.000001))^2)/(2*$I$5))-(((ABS(J48)/MAX(((F35)+(H35)*(MAX($D$16,(E48)-(J35))))*(MAX($D$16,(E48)-(J35))),0.000001))^2)/(2*$I$5))),$D$8*((((ABS(J48)/MAX(((F35)+(H35)*(MAX($D$16,(E48)-(J35))))*(MAX($D$16,(E48)-(J35))),0.000001))^2)/(2*$I$5))-(((ABS(J48)/MAX(((G35)+(I35)*(MAX($D$16,(N48)-(K35))))*(MAX($D$16,(N48)-(K35))),0.000001))^2)/(2*$I$5)))))+($D$10*(ABS((X35)-(W35))/90)*MAX(((ABS(J48)/MAX(((F35)+(H35)*(MAX($D$16,(E48)-(J35))))*(MAX($D$16,(E48)-(J35))),0.000001))^2)/(2*$I$5),((ABS(J48)/MAX(((G35)+(I35)*(MAX($D$16,(N48)-(K35))))*(MAX($D$16,(N48)-(K35))),0.000001))^2)/(2*$I$5)))+(($D$11*0.34699541*(ABS(I48)/MAX(ABS(G48),0.000001))^2*MAX(((ABS(J48)/MAX(((F35)+(H35)*(MAX($D$16,(E48)-(J35))))*(MAX($D$16,(E48)-(J35))),0.000001))^2)/(2*$I$5),((ABS(J48)/MAX(((G35)+(I35)*(MAX($D$16,(N48)-(K35))))*(MAX($D$16,(N48)-(K35))),0.000001))^2)/(2*$I$5))))-((ABS(J48)/MAX(((F35)+(H35)*(MAX($D$16,(E48)-(J35))))*(MAX($D$16,(E48)-(J35))),0.000001))^2)/(2*$I$5)</f>
        <v>20784.033523923375</v>
      </c>
      <c r="U48">
        <f>(((((F32)*(MAX($D$16,(D48)-(J32)))^2)/2+(H32)*(MAX($D$16,(D48)-(J32)))^3/3+(ABS(G48)^2)/($I$5*MAX(((F32)+(H32)*(MAX($D$16,(D48)-(J32))))*(MAX($D$16,(D48)-(J32))),0.000001)))*0.72785025)-((((F33)*(MAX($D$16,(D48)-(J33)))^2)/2+(H33)*(MAX($D$16,(D48)-(J33)))^3/3+(ABS(H48)^2)/($I$5*MAX(((F33)+(H33)*(MAX($D$16,(D48)-(J33))))*(MAX($D$16,(D48)-(J33))),0.000001)))*0.99999971))/MAX(((G31)*(MAX($D$16,(D48)-(K31)))^2)/2+(I31)*(MAX($D$16,(D48)-(K31)))^3/3+(ABS(F48)^2)/($I$5*MAX(((G31)+(I31)*(MAX($D$16,(D48)-(K31))))*(MAX($D$16,(D48)-(K31))),0.000001)),0.000001)</f>
        <v>-0.2721494599999133</v>
      </c>
      <c r="V48">
        <f>(((((F34)*(MAX($D$16,(E48)-(J34)))^2)/2+(H34)*(MAX($D$16,(E48)-(J34)))^3/3+(ABS(I48)^2)/($I$5*MAX(((F34)+(H34)*(MAX($D$16,(E48)-(J34))))*(MAX($D$16,(E48)-(J34))),0.000001)))*1)-((((F35)*(MAX($D$16,(E48)-(J35)))^2)/2+(H35)*(MAX($D$16,(E48)-(J35)))^3/3+(ABS(J48)^2)/($I$5*MAX(((F35)+(H35)*(MAX($D$16,(E48)-(J35))))*(MAX($D$16,(E48)-(J35))),0.000001)))*0.30600918))/MAX(((G32)*(MAX($D$16,(E48)-(K32)))^2)/2+(I32)*(MAX($D$16,(E48)-(K32)))^3/3+(ABS(G48)^2)/($I$5*MAX(((G32)+(I32)*(MAX($D$16,(E48)-(K32))))*(MAX($D$16,(E48)-(K32))),0.000001)),0.000001)</f>
        <v>0.69398635381076912</v>
      </c>
      <c r="W48">
        <f>IF(N6="None",ABS(P48-D48),MAX(ABS(P48-D48),ABS(Q48-D48)))</f>
        <v>824.89544301025308</v>
      </c>
      <c r="X48">
        <f>IF(AND(N7="None",N8="None"),0,IF(N8="None",ABS(S48-E48),IF(N7="None",ABS(T48-E48),MAX(ABS(S48-E48),ABS(T48-E48)))))</f>
        <v>51384.194116149301</v>
      </c>
      <c r="AA48">
        <f t="shared" si="3"/>
        <v>52555.876154106518</v>
      </c>
      <c r="AB48">
        <f t="shared" si="4"/>
        <v>41087.212908870228</v>
      </c>
      <c r="AC48">
        <f>IF(N6="None",P48,MAX(P48,Q48))</f>
        <v>52019.694116149854</v>
      </c>
      <c r="AD48">
        <f>IF(AND(N7="None",N8="None"),E48,IF(N8="None",S48,IF(N7="None",T48,MAX(S48,T48))))</f>
        <v>20784.033523923375</v>
      </c>
      <c r="AE48">
        <f t="shared" si="5"/>
        <v>637.65825101092184</v>
      </c>
      <c r="AF48">
        <f t="shared" si="6"/>
        <v>52844.589559160209</v>
      </c>
      <c r="AG48">
        <f>((G31)*(MAX($D$16,(AC48)-(K31)))^2)/2+(I31)*(MAX($D$16,(AC48)-(K31)))^3/3+(ABS(F48)^2)/($I$5*MAX(((G31)+(I31)*(MAX($D$16,(AC48)-(K31))))*(MAX($D$16,(AC48)-(K31))),0.000001))</f>
        <v>8658064844.6314754</v>
      </c>
      <c r="AH48">
        <f>((G31)*(MAX($D$16,(AE48)-(K31)))^2)/2+(I31)*(MAX($D$16,(AE48)-(K31)))^3/3+(ABS(F48)^2)/($I$5*MAX(((G31)+(I31)*(MAX($D$16,(AE48)-(K31))))*(MAX($D$16,(AE48)-(K31))),0.000001))</f>
        <v>49.055863330009579</v>
      </c>
      <c r="AI48">
        <f>((G32)*(MAX($D$16,(AD48)-(K32)))^2)/2+(I32)*(MAX($D$16,(AD48)-(K32)))^3/3+(ABS(G48)^2)/($I$5*MAX(((G32)+(I32)*(MAX($D$16,(AD48)-(K32))))*(MAX($D$16,(AD48)-(K32))),0.000001))</f>
        <v>2072376743.6648307</v>
      </c>
      <c r="AJ48">
        <f>((G32)*(MAX($D$16,(AF48)-(K32)))^2)/2+(I32)*(MAX($D$16,(AF48)-(K32)))^3/3+(ABS(G48)^2)/($I$5*MAX(((G32)+(I32)*(MAX($D$16,(AF48)-(K32))))*(MAX($D$16,(AF48)-(K32))),0.000001))</f>
        <v>13911633067.030743</v>
      </c>
      <c r="AK48" t="str">
        <f t="shared" si="7"/>
        <v>Subcritical</v>
      </c>
      <c r="AL48" t="str">
        <f t="shared" si="8"/>
        <v>Supercritical</v>
      </c>
      <c r="AM48">
        <f t="shared" si="9"/>
        <v>52555.876154106518</v>
      </c>
      <c r="AN48">
        <f t="shared" si="10"/>
        <v>52308.407521203117</v>
      </c>
      <c r="AO48">
        <f t="shared" si="11"/>
        <v>824.89544301025308</v>
      </c>
      <c r="AP48">
        <f t="shared" si="12"/>
        <v>824.89544301090791</v>
      </c>
    </row>
    <row r="49" spans="1:42" x14ac:dyDescent="0.35">
      <c r="A49">
        <v>6</v>
      </c>
      <c r="B49">
        <f t="shared" si="13"/>
        <v>0</v>
      </c>
      <c r="C49">
        <f t="shared" si="14"/>
        <v>0</v>
      </c>
      <c r="D49">
        <f t="shared" si="15"/>
        <v>52555.876154106518</v>
      </c>
      <c r="E49">
        <f t="shared" si="16"/>
        <v>52308.407521203117</v>
      </c>
      <c r="F49">
        <f t="shared" si="2"/>
        <v>51</v>
      </c>
      <c r="G49">
        <f>IF(N6="None",F49,MAX(0,F49*B49))</f>
        <v>51</v>
      </c>
      <c r="H49">
        <f>IF(N6="None",0,MAX(0,F49-G49))</f>
        <v>0</v>
      </c>
      <c r="I49">
        <f>IF(AND(N7="None",N8="None"),0,IF(N8="None",G49,IF(N7="None",0,MAX(0,G49*C49))))</f>
        <v>0</v>
      </c>
      <c r="J49">
        <f>IF(AND(N7="None",N8="None"),0,IF(N8="None",0,IF(N7="None",G49,MAX(0,G49-I49))))</f>
        <v>51</v>
      </c>
      <c r="K49">
        <f>P5</f>
        <v>637</v>
      </c>
      <c r="L49">
        <f>P6</f>
        <v>634.3119999999999</v>
      </c>
      <c r="M49">
        <f>P7</f>
        <v>635.5</v>
      </c>
      <c r="N49">
        <f>P8</f>
        <v>631.54999999999995</v>
      </c>
      <c r="O49">
        <f>K49+((ABS(F49)/MAX(((F31)+(H31)*(MAX($D$16,(K49)-(J31))))*(MAX($D$16,(K49)-(J31))),0.000001))^2)/(2*$I$5)-((E31)*((((ABS(F49)*$D$6)/(MAX(((F31)+(H31)*(MAX($D$16,(K49)-(J31))))*(MAX($D$16,(K49)-(J31))),0.000001)*MAX(((((F31)+(H31)*(MAX($D$16,(K49)-(J31))))*(MAX($D$16,(K49)-(J31))))/MAX((F31)+2*(MAX($D$16,(K49)-(J31)))*SQRT(1+(H31)^2),0.000001))^(2/3),0.000001)))^2)+(((ABS(F49)*$D$6)/(MAX(((G31)+(I31)*(MAX($D$16,(D49)-(K31))))*(MAX($D$16,(D49)-(K31))),0.000001)*MAX(((((G31)+(I31)*(MAX($D$16,(D49)-(K31))))*(MAX($D$16,(D49)-(K31))))/MAX((G31)+2*(MAX($D$16,(D49)-(K31)))*SQRT(1+(I31)^2),0.000001))^(2/3),0.000001)))^2))/2)+(IF((ABS(F49)/MAX(((G31)+(I31)*(MAX($D$16,(D49)-(K31))))*(MAX($D$16,(D49)-(K31))),0.000001))&gt;(ABS(F49)/MAX(((F31)+(H31)*(MAX($D$16,(K49)-(J31))))*(MAX($D$16,(K49)-(J31))),0.000001)),$D$9*((((ABS(F49)/MAX(((G31)+(I31)*(MAX($D$16,(D49)-(K31))))*(MAX($D$16,(D49)-(K31))),0.000001))^2)/(2*$I$5))-(((ABS(F49)/MAX(((F31)+(H31)*(MAX($D$16,(K49)-(J31))))*(MAX($D$16,(K49)-(J31))),0.000001))^2)/(2*$I$5))),$D$8*((((ABS(F49)/MAX(((F31)+(H31)*(MAX($D$16,(K49)-(J31))))*(MAX($D$16,(K49)-(J31))),0.000001))^2)/(2*$I$5))-(((ABS(F49)/MAX(((G31)+(I31)*(MAX($D$16,(D49)-(K31))))*(MAX($D$16,(D49)-(K31))),0.000001))^2)/(2*$I$5)))))+($D$10*(ABS((X31)-(W31))/90)*MAX(((ABS(F49)/MAX(((F31)+(H31)*(MAX($D$16,(K49)-(J31))))*(MAX($D$16,(K49)-(J31))),0.000001))^2)/(2*$I$5),((ABS(F49)/MAX(((G31)+(I31)*(MAX($D$16,(D49)-(K31))))*(MAX($D$16,(D49)-(K31))),0.000001))^2)/(2*$I$5)))+(0)-((ABS(F49)/MAX(((G31)+(I31)*(MAX($D$16,(D49)-(K31))))*(MAX($D$16,(D49)-(K31))),0.000001))^2)/(2*$I$5)</f>
        <v>637.65825101090536</v>
      </c>
      <c r="P49">
        <f>E49+((ABS(G49)/MAX(((G32)+(I32)*(MAX($D$16,(E49)-(K32))))*(MAX($D$16,(E49)-(K32))),0.000001))^2)/(2*$I$5)+((E32)*((((ABS(G49)*$D$6)/(MAX(((F32)+(H32)*(MAX($D$16,(D49)-(J32))))*(MAX($D$16,(D49)-(J32))),0.000001)*MAX(((((F32)+(H32)*(MAX($D$16,(D49)-(J32))))*(MAX($D$16,(D49)-(J32))))/MAX((F32)+2*(MAX($D$16,(D49)-(J32)))*SQRT(1+(H32)^2),0.000001))^(2/3),0.000001)))^2)+(((ABS(G49)*$D$6)/(MAX(((G32)+(I32)*(MAX($D$16,(E49)-(K32))))*(MAX($D$16,(E49)-(K32))),0.000001)*MAX(((((G32)+(I32)*(MAX($D$16,(E49)-(K32))))*(MAX($D$16,(E49)-(K32))))/MAX((G32)+2*(MAX($D$16,(E49)-(K32)))*SQRT(1+(I32)^2),0.000001))^(2/3),0.000001)))^2))/2)+(IF((ABS(G49)/MAX(((G32)+(I32)*(MAX($D$16,(E49)-(K32))))*(MAX($D$16,(E49)-(K32))),0.000001))&gt;(ABS(G49)/MAX(((F32)+(H32)*(MAX($D$16,(D49)-(J32))))*(MAX($D$16,(D49)-(J32))),0.000001)),$D$9*((((ABS(G49)/MAX(((G32)+(I32)*(MAX($D$16,(E49)-(K32))))*(MAX($D$16,(E49)-(K32))),0.000001))^2)/(2*$I$5))-(((ABS(G49)/MAX(((F32)+(H32)*(MAX($D$16,(D49)-(J32))))*(MAX($D$16,(D49)-(J32))),0.000001))^2)/(2*$I$5))),$D$8*((((ABS(G49)/MAX(((F32)+(H32)*(MAX($D$16,(D49)-(J32))))*(MAX($D$16,(D49)-(J32))),0.000001))^2)/(2*$I$5))-(((ABS(G49)/MAX(((G32)+(I32)*(MAX($D$16,(E49)-(K32))))*(MAX($D$16,(E49)-(K32))),0.000001))^2)/(2*$I$5)))))+($D$10*(ABS((X32)-(W32))/90)*MAX(((ABS(G49)/MAX(((F32)+(H32)*(MAX($D$16,(D49)-(J32))))*(MAX($D$16,(D49)-(J32))),0.000001))^2)/(2*$I$5),((ABS(G49)/MAX(((G32)+(I32)*(MAX($D$16,(E49)-(K32))))*(MAX($D$16,(E49)-(K32))),0.000001))^2)/(2*$I$5)))+(($D$11*0.13607488*(ABS(H49)/MAX(ABS(F49),0.000001))^2*MAX(((ABS(G49)/MAX(((F32)+(H32)*(MAX($D$16,(D49)-(J32))))*(MAX($D$16,(D49)-(J32))),0.000001))^2)/(2*$I$5),((ABS(G49)/MAX(((G32)+(I32)*(MAX($D$16,(E49)-(K32))))*(MAX($D$16,(E49)-(K32))),0.000001))^2)/(2*$I$5))))-((ABS(G49)/MAX(((F32)+(H32)*(MAX($D$16,(D49)-(J32))))*(MAX($D$16,(D49)-(J32))),0.000001))^2)/(2*$I$5)</f>
        <v>52308.40752120367</v>
      </c>
      <c r="Q49">
        <f>L49+((ABS(H49)/MAX(((G33)+(I33)*(MAX($D$16,(L49)-(K33))))*(MAX($D$16,(L49)-(K33))),0.000001))^2)/(2*$I$5)+((E33)*((((ABS(H49)*$D$6)/(MAX(((F33)+(H33)*(MAX($D$16,(D49)-(J33))))*(MAX($D$16,(D49)-(J33))),0.000001)*MAX(((((F33)+(H33)*(MAX($D$16,(D49)-(J33))))*(MAX($D$16,(D49)-(J33))))/MAX((F33)+2*(MAX($D$16,(D49)-(J33)))*SQRT(1+(H33)^2),0.000001))^(2/3),0.000001)))^2)+(((ABS(H49)*$D$6)/(MAX(((G33)+(I33)*(MAX($D$16,(L49)-(K33))))*(MAX($D$16,(L49)-(K33))),0.000001)*MAX(((((G33)+(I33)*(MAX($D$16,(L49)-(K33))))*(MAX($D$16,(L49)-(K33))))/MAX((G33)+2*(MAX($D$16,(L49)-(K33)))*SQRT(1+(I33)^2),0.000001))^(2/3),0.000001)))^2))/2)+(IF((ABS(H49)/MAX(((G33)+(I33)*(MAX($D$16,(L49)-(K33))))*(MAX($D$16,(L49)-(K33))),0.000001))&gt;(ABS(H49)/MAX(((F33)+(H33)*(MAX($D$16,(D49)-(J33))))*(MAX($D$16,(D49)-(J33))),0.000001)),$D$9*((((ABS(H49)/MAX(((G33)+(I33)*(MAX($D$16,(L49)-(K33))))*(MAX($D$16,(L49)-(K33))),0.000001))^2)/(2*$I$5))-(((ABS(H49)/MAX(((F33)+(H33)*(MAX($D$16,(D49)-(J33))))*(MAX($D$16,(D49)-(J33))),0.000001))^2)/(2*$I$5))),$D$8*((((ABS(H49)/MAX(((F33)+(H33)*(MAX($D$16,(D49)-(J33))))*(MAX($D$16,(D49)-(J33))),0.000001))^2)/(2*$I$5))-(((ABS(H49)/MAX(((G33)+(I33)*(MAX($D$16,(L49)-(K33))))*(MAX($D$16,(L49)-(K33))),0.000001))^2)/(2*$I$5)))))+($D$10*(ABS((X33)-(W33))/90)*MAX(((ABS(H49)/MAX(((F33)+(H33)*(MAX($D$16,(D49)-(J33))))*(MAX($D$16,(D49)-(J33))),0.000001))^2)/(2*$I$5),((ABS(H49)/MAX(((G33)+(I33)*(MAX($D$16,(L49)-(K33))))*(MAX($D$16,(L49)-(K33))),0.000001))^2)/(2*$I$5)))+(($D$11*0.00000015*(ABS(G49)/MAX(ABS(F49),0.000001))^2*MAX(((ABS(H49)/MAX(((F33)+(H33)*(MAX($D$16,(D49)-(J33))))*(MAX($D$16,(D49)-(J33))),0.000001))^2)/(2*$I$5),((ABS(H49)/MAX(((G33)+(I33)*(MAX($D$16,(L49)-(K33))))*(MAX($D$16,(L49)-(K33))),0.000001))^2)/(2*$I$5))))-((ABS(H49)/MAX(((F33)+(H33)*(MAX($D$16,(D49)-(J33))))*(MAX($D$16,(D49)-(J33))),0.000001))^2)/(2*$I$5)</f>
        <v>634.3119999999999</v>
      </c>
      <c r="R49">
        <f>D49+((ABS(G49)/MAX(((F32)+(H32)*(MAX($D$16,(D49)-(J32))))*(MAX($D$16,(D49)-(J32))),0.000001))^2)/(2*$I$5)-((E32)*((((ABS(G49)*$D$6)/(MAX(((F32)+(H32)*(MAX($D$16,(D49)-(J32))))*(MAX($D$16,(D49)-(J32))),0.000001)*MAX(((((F32)+(H32)*(MAX($D$16,(D49)-(J32))))*(MAX($D$16,(D49)-(J32))))/MAX((F32)+2*(MAX($D$16,(D49)-(J32)))*SQRT(1+(H32)^2),0.000001))^(2/3),0.000001)))^2)+(((ABS(G49)*$D$6)/(MAX(((G32)+(I32)*(MAX($D$16,(E49)-(K32))))*(MAX($D$16,(E49)-(K32))),0.000001)*MAX(((((G32)+(I32)*(MAX($D$16,(E49)-(K32))))*(MAX($D$16,(E49)-(K32))))/MAX((G32)+2*(MAX($D$16,(E49)-(K32)))*SQRT(1+(I32)^2),0.000001))^(2/3),0.000001)))^2))/2)+(IF((ABS(G49)/MAX(((G32)+(I32)*(MAX($D$16,(E49)-(K32))))*(MAX($D$16,(E49)-(K32))),0.000001))&gt;(ABS(G49)/MAX(((F32)+(H32)*(MAX($D$16,(D49)-(J32))))*(MAX($D$16,(D49)-(J32))),0.000001)),$D$9*((((ABS(G49)/MAX(((G32)+(I32)*(MAX($D$16,(E49)-(K32))))*(MAX($D$16,(E49)-(K32))),0.000001))^2)/(2*$I$5))-(((ABS(G49)/MAX(((F32)+(H32)*(MAX($D$16,(D49)-(J32))))*(MAX($D$16,(D49)-(J32))),0.000001))^2)/(2*$I$5))),$D$8*((((ABS(G49)/MAX(((F32)+(H32)*(MAX($D$16,(D49)-(J32))))*(MAX($D$16,(D49)-(J32))),0.000001))^2)/(2*$I$5))-(((ABS(G49)/MAX(((G32)+(I32)*(MAX($D$16,(E49)-(K32))))*(MAX($D$16,(E49)-(K32))),0.000001))^2)/(2*$I$5)))))+($D$10*(ABS((X32)-(W32))/90)*MAX(((ABS(G49)/MAX(((F32)+(H32)*(MAX($D$16,(D49)-(J32))))*(MAX($D$16,(D49)-(J32))),0.000001))^2)/(2*$I$5),((ABS(G49)/MAX(((G32)+(I32)*(MAX($D$16,(E49)-(K32))))*(MAX($D$16,(E49)-(K32))),0.000001))^2)/(2*$I$5)))+(($D$11*0.13607488*(ABS(H49)/MAX(ABS(F49),0.000001))^2*MAX(((ABS(G49)/MAX(((F32)+(H32)*(MAX($D$16,(D49)-(J32))))*(MAX($D$16,(D49)-(J32))),0.000001))^2)/(2*$I$5),((ABS(G49)/MAX(((G32)+(I32)*(MAX($D$16,(E49)-(K32))))*(MAX($D$16,(E49)-(K32))),0.000001))^2)/(2*$I$5))))-((ABS(G49)/MAX(((G32)+(I32)*(MAX($D$16,(E49)-(K32))))*(MAX($D$16,(E49)-(K32))),0.000001))^2)/(2*$I$5)</f>
        <v>52555.876154106634</v>
      </c>
      <c r="S49">
        <f>M49+((ABS(I49)/MAX(((G34)+(I34)*(MAX($D$16,(M49)-(K34))))*(MAX($D$16,(M49)-(K34))),0.000001))^2)/(2*$I$5)+((E34)*((((ABS(I49)*$D$6)/(MAX(((F34)+(H34)*(MAX($D$16,(E49)-(J34))))*(MAX($D$16,(E49)-(J34))),0.000001)*MAX(((((F34)+(H34)*(MAX($D$16,(E49)-(J34))))*(MAX($D$16,(E49)-(J34))))/MAX((F34)+2*(MAX($D$16,(E49)-(J34)))*SQRT(1+(H34)^2),0.000001))^(2/3),0.000001)))^2)+(((ABS(I49)*$D$6)/(MAX(((G34)+(I34)*(MAX($D$16,(M49)-(K34))))*(MAX($D$16,(M49)-(K34))),0.000001)*MAX(((((G34)+(I34)*(MAX($D$16,(M49)-(K34))))*(MAX($D$16,(M49)-(K34))))/MAX((G34)+2*(MAX($D$16,(M49)-(K34)))*SQRT(1+(I34)^2),0.000001))^(2/3),0.000001)))^2))/2)+(IF((ABS(I49)/MAX(((G34)+(I34)*(MAX($D$16,(M49)-(K34))))*(MAX($D$16,(M49)-(K34))),0.000001))&gt;(ABS(I49)/MAX(((F34)+(H34)*(MAX($D$16,(E49)-(J34))))*(MAX($D$16,(E49)-(J34))),0.000001)),$D$9*((((ABS(I49)/MAX(((G34)+(I34)*(MAX($D$16,(M49)-(K34))))*(MAX($D$16,(M49)-(K34))),0.000001))^2)/(2*$I$5))-(((ABS(I49)/MAX(((F34)+(H34)*(MAX($D$16,(E49)-(J34))))*(MAX($D$16,(E49)-(J34))),0.000001))^2)/(2*$I$5))),$D$8*((((ABS(I49)/MAX(((F34)+(H34)*(MAX($D$16,(E49)-(J34))))*(MAX($D$16,(E49)-(J34))),0.000001))^2)/(2*$I$5))-(((ABS(I49)/MAX(((G34)+(I34)*(MAX($D$16,(M49)-(K34))))*(MAX($D$16,(M49)-(K34))),0.000001))^2)/(2*$I$5)))))+($D$10*(ABS((X34)-(W34))/90)*MAX(((ABS(I49)/MAX(((F34)+(H34)*(MAX($D$16,(E49)-(J34))))*(MAX($D$16,(E49)-(J34))),0.000001))^2)/(2*$I$5),((ABS(I49)/MAX(((G34)+(I34)*(MAX($D$16,(M49)-(K34))))*(MAX($D$16,(M49)-(K34))),0.000001))^2)/(2*$I$5)))+(0)-((ABS(I49)/MAX(((F34)+(H34)*(MAX($D$16,(E49)-(J34))))*(MAX($D$16,(E49)-(J34))),0.000001))^2)/(2*$I$5)</f>
        <v>635.5</v>
      </c>
      <c r="T49">
        <f>N49+((ABS(J49)/MAX(((G35)+(I35)*(MAX($D$16,(N49)-(K35))))*(MAX($D$16,(N49)-(K35))),0.000001))^2)/(2*$I$5)+((E35)*((((ABS(J49)*$D$6)/(MAX(((F35)+(H35)*(MAX($D$16,(E49)-(J35))))*(MAX($D$16,(E49)-(J35))),0.000001)*MAX(((((F35)+(H35)*(MAX($D$16,(E49)-(J35))))*(MAX($D$16,(E49)-(J35))))/MAX((F35)+2*(MAX($D$16,(E49)-(J35)))*SQRT(1+(H35)^2),0.000001))^(2/3),0.000001)))^2)+(((ABS(J49)*$D$6)/(MAX(((G35)+(I35)*(MAX($D$16,(N49)-(K35))))*(MAX($D$16,(N49)-(K35))),0.000001)*MAX(((((G35)+(I35)*(MAX($D$16,(N49)-(K35))))*(MAX($D$16,(N49)-(K35))))/MAX((G35)+2*(MAX($D$16,(N49)-(K35)))*SQRT(1+(I35)^2),0.000001))^(2/3),0.000001)))^2))/2)+(IF((ABS(J49)/MAX(((G35)+(I35)*(MAX($D$16,(N49)-(K35))))*(MAX($D$16,(N49)-(K35))),0.000001))&gt;(ABS(J49)/MAX(((F35)+(H35)*(MAX($D$16,(E49)-(J35))))*(MAX($D$16,(E49)-(J35))),0.000001)),$D$9*((((ABS(J49)/MAX(((G35)+(I35)*(MAX($D$16,(N49)-(K35))))*(MAX($D$16,(N49)-(K35))),0.000001))^2)/(2*$I$5))-(((ABS(J49)/MAX(((F35)+(H35)*(MAX($D$16,(E49)-(J35))))*(MAX($D$16,(E49)-(J35))),0.000001))^2)/(2*$I$5))),$D$8*((((ABS(J49)/MAX(((F35)+(H35)*(MAX($D$16,(E49)-(J35))))*(MAX($D$16,(E49)-(J35))),0.000001))^2)/(2*$I$5))-(((ABS(J49)/MAX(((G35)+(I35)*(MAX($D$16,(N49)-(K35))))*(MAX($D$16,(N49)-(K35))),0.000001))^2)/(2*$I$5)))))+($D$10*(ABS((X35)-(W35))/90)*MAX(((ABS(J49)/MAX(((F35)+(H35)*(MAX($D$16,(E49)-(J35))))*(MAX($D$16,(E49)-(J35))),0.000001))^2)/(2*$I$5),((ABS(J49)/MAX(((G35)+(I35)*(MAX($D$16,(N49)-(K35))))*(MAX($D$16,(N49)-(K35))),0.000001))^2)/(2*$I$5)))+(($D$11*0.34699541*(ABS(I49)/MAX(ABS(G49),0.000001))^2*MAX(((ABS(J49)/MAX(((F35)+(H35)*(MAX($D$16,(E49)-(J35))))*(MAX($D$16,(E49)-(J35))),0.000001))^2)/(2*$I$5),((ABS(J49)/MAX(((G35)+(I35)*(MAX($D$16,(N49)-(K35))))*(MAX($D$16,(N49)-(K35))),0.000001))^2)/(2*$I$5))))-((ABS(J49)/MAX(((F35)+(H35)*(MAX($D$16,(E49)-(J35))))*(MAX($D$16,(E49)-(J35))),0.000001))^2)/(2*$I$5)</f>
        <v>20784.033523923379</v>
      </c>
      <c r="U49">
        <f>(((((F32)*(MAX($D$16,(D49)-(J32)))^2)/2+(H32)*(MAX($D$16,(D49)-(J32)))^3/3+(ABS(G49)^2)/($I$5*MAX(((F32)+(H32)*(MAX($D$16,(D49)-(J32))))*(MAX($D$16,(D49)-(J32))),0.000001)))*0.72785025)-((((F33)*(MAX($D$16,(D49)-(J33)))^2)/2+(H33)*(MAX($D$16,(D49)-(J33)))^3/3+(ABS(H49)^2)/($I$5*MAX(((F33)+(H33)*(MAX($D$16,(D49)-(J33))))*(MAX($D$16,(D49)-(J33))),0.000001)))*0.99999971))/MAX(((G31)*(MAX($D$16,(D49)-(K31)))^2)/2+(I31)*(MAX($D$16,(D49)-(K31)))^3/3+(ABS(F49)^2)/($I$5*MAX(((G31)+(I31)*(MAX($D$16,(D49)-(K31))))*(MAX($D$16,(D49)-(K31))),0.000001)),0.000001)</f>
        <v>-0.27214945999991186</v>
      </c>
      <c r="V49">
        <f>(((((F34)*(MAX($D$16,(E49)-(J34)))^2)/2+(H34)*(MAX($D$16,(E49)-(J34)))^3/3+(ABS(I49)^2)/($I$5*MAX(((F34)+(H34)*(MAX($D$16,(E49)-(J34))))*(MAX($D$16,(E49)-(J34))),0.000001)))*1)-((((F35)*(MAX($D$16,(E49)-(J35)))^2)/2+(H35)*(MAX($D$16,(E49)-(J35)))^3/3+(ABS(J49)^2)/($I$5*MAX(((F35)+(H35)*(MAX($D$16,(E49)-(J35))))*(MAX($D$16,(E49)-(J35))),0.000001)))*0.30600918))/MAX(((G32)*(MAX($D$16,(E49)-(K32)))^2)/2+(I32)*(MAX($D$16,(E49)-(K32)))^3/3+(ABS(G49)^2)/($I$5*MAX(((G32)+(I32)*(MAX($D$16,(E49)-(K32))))*(MAX($D$16,(E49)-(K32))),0.000001)),0.000001)</f>
        <v>0.69398637876316682</v>
      </c>
      <c r="W49">
        <f>IF(N6="None",ABS(P49-D49),MAX(ABS(P49-D49),ABS(Q49-D49)))</f>
        <v>247.46863290284819</v>
      </c>
      <c r="X49">
        <f>IF(AND(N7="None",N8="None"),0,IF(N8="None",ABS(S49-E49),IF(N7="None",ABS(T49-E49),MAX(ABS(S49-E49),ABS(T49-E49)))))</f>
        <v>51672.907521203117</v>
      </c>
      <c r="AA49">
        <f t="shared" si="3"/>
        <v>52469.26213259052</v>
      </c>
      <c r="AB49">
        <f t="shared" si="4"/>
        <v>41274.876622155207</v>
      </c>
      <c r="AC49">
        <f>IF(N6="None",P49,MAX(P49,Q49))</f>
        <v>52308.40752120367</v>
      </c>
      <c r="AD49">
        <f>IF(AND(N7="None",N8="None"),E49,IF(N8="None",S49,IF(N7="None",T49,MAX(S49,T49))))</f>
        <v>20784.033523923379</v>
      </c>
      <c r="AE49">
        <f t="shared" si="5"/>
        <v>637.65825101090536</v>
      </c>
      <c r="AF49">
        <f t="shared" si="6"/>
        <v>52555.876154106634</v>
      </c>
      <c r="AG49">
        <f>((G31)*(MAX($D$16,(AC49)-(K31)))^2)/2+(I31)*(MAX($D$16,(AC49)-(K31)))^3/3+(ABS(F49)^2)/($I$5*MAX(((G31)+(I31)*(MAX($D$16,(AC49)-(K31))))*(MAX($D$16,(AC49)-(K31))),0.000001))</f>
        <v>8755630377.3806458</v>
      </c>
      <c r="AH49">
        <f>((G31)*(MAX($D$16,(AE49)-(K31)))^2)/2+(I31)*(MAX($D$16,(AE49)-(K31)))^3/3+(ABS(F49)^2)/($I$5*MAX(((G31)+(I31)*(MAX($D$16,(AE49)-(K31))))*(MAX($D$16,(AE49)-(K31))),0.000001))</f>
        <v>49.055863329705332</v>
      </c>
      <c r="AI49">
        <f>((G32)*(MAX($D$16,(AD49)-(K32)))^2)/2+(I32)*(MAX($D$16,(AD49)-(K32)))^3/3+(ABS(G49)^2)/($I$5*MAX(((G32)+(I32)*(MAX($D$16,(AD49)-(K32))))*(MAX($D$16,(AD49)-(K32))),0.000001))</f>
        <v>2072376743.6648314</v>
      </c>
      <c r="AJ49">
        <f>((G32)*(MAX($D$16,(AF49)-(K32)))^2)/2+(I32)*(MAX($D$16,(AF49)-(K32)))^3/3+(ABS(G49)^2)/($I$5*MAX(((G32)+(I32)*(MAX($D$16,(AF49)-(K32))))*(MAX($D$16,(AF49)-(K32))),0.000001))</f>
        <v>13758207974.531555</v>
      </c>
      <c r="AK49" t="str">
        <f t="shared" si="7"/>
        <v>Subcritical</v>
      </c>
      <c r="AL49" t="str">
        <f t="shared" si="8"/>
        <v>Supercritical</v>
      </c>
      <c r="AM49">
        <f t="shared" si="9"/>
        <v>52469.26213259052</v>
      </c>
      <c r="AN49">
        <f t="shared" si="10"/>
        <v>52395.021542719347</v>
      </c>
      <c r="AO49">
        <f t="shared" si="11"/>
        <v>247.46863290284819</v>
      </c>
      <c r="AP49">
        <f t="shared" si="12"/>
        <v>247.46863290351757</v>
      </c>
    </row>
    <row r="50" spans="1:42" x14ac:dyDescent="0.35">
      <c r="A50">
        <v>7</v>
      </c>
      <c r="B50">
        <f t="shared" si="13"/>
        <v>0</v>
      </c>
      <c r="C50">
        <f t="shared" si="14"/>
        <v>0</v>
      </c>
      <c r="D50">
        <f t="shared" si="15"/>
        <v>52469.26213259052</v>
      </c>
      <c r="E50">
        <f t="shared" si="16"/>
        <v>52395.021542719347</v>
      </c>
      <c r="F50">
        <f t="shared" si="2"/>
        <v>51</v>
      </c>
      <c r="G50">
        <f>IF(N6="None",F50,MAX(0,F50*B50))</f>
        <v>51</v>
      </c>
      <c r="H50">
        <f>IF(N6="None",0,MAX(0,F50-G50))</f>
        <v>0</v>
      </c>
      <c r="I50">
        <f>IF(AND(N7="None",N8="None"),0,IF(N8="None",G50,IF(N7="None",0,MAX(0,G50*C50))))</f>
        <v>0</v>
      </c>
      <c r="J50">
        <f>IF(AND(N7="None",N8="None"),0,IF(N8="None",0,IF(N7="None",G50,MAX(0,G50-I50))))</f>
        <v>51</v>
      </c>
      <c r="K50">
        <f>P5</f>
        <v>637</v>
      </c>
      <c r="L50">
        <f>P6</f>
        <v>634.3119999999999</v>
      </c>
      <c r="M50">
        <f>P7</f>
        <v>635.5</v>
      </c>
      <c r="N50">
        <f>P8</f>
        <v>631.54999999999995</v>
      </c>
      <c r="O50">
        <f>K50+((ABS(F50)/MAX(((F31)+(H31)*(MAX($D$16,(K50)-(J31))))*(MAX($D$16,(K50)-(J31))),0.000001))^2)/(2*$I$5)-((E31)*((((ABS(F50)*$D$6)/(MAX(((F31)+(H31)*(MAX($D$16,(K50)-(J31))))*(MAX($D$16,(K50)-(J31))),0.000001)*MAX(((((F31)+(H31)*(MAX($D$16,(K50)-(J31))))*(MAX($D$16,(K50)-(J31))))/MAX((F31)+2*(MAX($D$16,(K50)-(J31)))*SQRT(1+(H31)^2),0.000001))^(2/3),0.000001)))^2)+(((ABS(F50)*$D$6)/(MAX(((G31)+(I31)*(MAX($D$16,(D50)-(K31))))*(MAX($D$16,(D50)-(K31))),0.000001)*MAX(((((G31)+(I31)*(MAX($D$16,(D50)-(K31))))*(MAX($D$16,(D50)-(K31))))/MAX((G31)+2*(MAX($D$16,(D50)-(K31)))*SQRT(1+(I31)^2),0.000001))^(2/3),0.000001)))^2))/2)+(IF((ABS(F50)/MAX(((G31)+(I31)*(MAX($D$16,(D50)-(K31))))*(MAX($D$16,(D50)-(K31))),0.000001))&gt;(ABS(F50)/MAX(((F31)+(H31)*(MAX($D$16,(K50)-(J31))))*(MAX($D$16,(K50)-(J31))),0.000001)),$D$9*((((ABS(F50)/MAX(((G31)+(I31)*(MAX($D$16,(D50)-(K31))))*(MAX($D$16,(D50)-(K31))),0.000001))^2)/(2*$I$5))-(((ABS(F50)/MAX(((F31)+(H31)*(MAX($D$16,(K50)-(J31))))*(MAX($D$16,(K50)-(J31))),0.000001))^2)/(2*$I$5))),$D$8*((((ABS(F50)/MAX(((F31)+(H31)*(MAX($D$16,(K50)-(J31))))*(MAX($D$16,(K50)-(J31))),0.000001))^2)/(2*$I$5))-(((ABS(F50)/MAX(((G31)+(I31)*(MAX($D$16,(D50)-(K31))))*(MAX($D$16,(D50)-(K31))),0.000001))^2)/(2*$I$5)))))+($D$10*(ABS((X31)-(W31))/90)*MAX(((ABS(F50)/MAX(((F31)+(H31)*(MAX($D$16,(K50)-(J31))))*(MAX($D$16,(K50)-(J31))),0.000001))^2)/(2*$I$5),((ABS(F50)/MAX(((G31)+(I31)*(MAX($D$16,(D50)-(K31))))*(MAX($D$16,(D50)-(K31))),0.000001))^2)/(2*$I$5)))+(0)-((ABS(F50)/MAX(((G31)+(I31)*(MAX($D$16,(D50)-(K31))))*(MAX($D$16,(D50)-(K31))),0.000001))^2)/(2*$I$5)</f>
        <v>637.65825101090047</v>
      </c>
      <c r="P50">
        <f>E50+((ABS(G50)/MAX(((G32)+(I32)*(MAX($D$16,(E50)-(K32))))*(MAX($D$16,(E50)-(K32))),0.000001))^2)/(2*$I$5)+((E32)*((((ABS(G50)*$D$6)/(MAX(((F32)+(H32)*(MAX($D$16,(D50)-(J32))))*(MAX($D$16,(D50)-(J32))),0.000001)*MAX(((((F32)+(H32)*(MAX($D$16,(D50)-(J32))))*(MAX($D$16,(D50)-(J32))))/MAX((F32)+2*(MAX($D$16,(D50)-(J32)))*SQRT(1+(H32)^2),0.000001))^(2/3),0.000001)))^2)+(((ABS(G50)*$D$6)/(MAX(((G32)+(I32)*(MAX($D$16,(E50)-(K32))))*(MAX($D$16,(E50)-(K32))),0.000001)*MAX(((((G32)+(I32)*(MAX($D$16,(E50)-(K32))))*(MAX($D$16,(E50)-(K32))))/MAX((G32)+2*(MAX($D$16,(E50)-(K32)))*SQRT(1+(I32)^2),0.000001))^(2/3),0.000001)))^2))/2)+(IF((ABS(G50)/MAX(((G32)+(I32)*(MAX($D$16,(E50)-(K32))))*(MAX($D$16,(E50)-(K32))),0.000001))&gt;(ABS(G50)/MAX(((F32)+(H32)*(MAX($D$16,(D50)-(J32))))*(MAX($D$16,(D50)-(J32))),0.000001)),$D$9*((((ABS(G50)/MAX(((G32)+(I32)*(MAX($D$16,(E50)-(K32))))*(MAX($D$16,(E50)-(K32))),0.000001))^2)/(2*$I$5))-(((ABS(G50)/MAX(((F32)+(H32)*(MAX($D$16,(D50)-(J32))))*(MAX($D$16,(D50)-(J32))),0.000001))^2)/(2*$I$5))),$D$8*((((ABS(G50)/MAX(((F32)+(H32)*(MAX($D$16,(D50)-(J32))))*(MAX($D$16,(D50)-(J32))),0.000001))^2)/(2*$I$5))-(((ABS(G50)/MAX(((G32)+(I32)*(MAX($D$16,(E50)-(K32))))*(MAX($D$16,(E50)-(K32))),0.000001))^2)/(2*$I$5)))))+($D$10*(ABS((X32)-(W32))/90)*MAX(((ABS(G50)/MAX(((F32)+(H32)*(MAX($D$16,(D50)-(J32))))*(MAX($D$16,(D50)-(J32))),0.000001))^2)/(2*$I$5),((ABS(G50)/MAX(((G32)+(I32)*(MAX($D$16,(E50)-(K32))))*(MAX($D$16,(E50)-(K32))),0.000001))^2)/(2*$I$5)))+(($D$11*0.13607488*(ABS(H50)/MAX(ABS(F50),0.000001))^2*MAX(((ABS(G50)/MAX(((F32)+(H32)*(MAX($D$16,(D50)-(J32))))*(MAX($D$16,(D50)-(J32))),0.000001))^2)/(2*$I$5),((ABS(G50)/MAX(((G32)+(I32)*(MAX($D$16,(E50)-(K32))))*(MAX($D$16,(E50)-(K32))),0.000001))^2)/(2*$I$5))))-((ABS(G50)/MAX(((F32)+(H32)*(MAX($D$16,(D50)-(J32))))*(MAX($D$16,(D50)-(J32))),0.000001))^2)/(2*$I$5)</f>
        <v>52395.021542719893</v>
      </c>
      <c r="Q50">
        <f>L50+((ABS(H50)/MAX(((G33)+(I33)*(MAX($D$16,(L50)-(K33))))*(MAX($D$16,(L50)-(K33))),0.000001))^2)/(2*$I$5)+((E33)*((((ABS(H50)*$D$6)/(MAX(((F33)+(H33)*(MAX($D$16,(D50)-(J33))))*(MAX($D$16,(D50)-(J33))),0.000001)*MAX(((((F33)+(H33)*(MAX($D$16,(D50)-(J33))))*(MAX($D$16,(D50)-(J33))))/MAX((F33)+2*(MAX($D$16,(D50)-(J33)))*SQRT(1+(H33)^2),0.000001))^(2/3),0.000001)))^2)+(((ABS(H50)*$D$6)/(MAX(((G33)+(I33)*(MAX($D$16,(L50)-(K33))))*(MAX($D$16,(L50)-(K33))),0.000001)*MAX(((((G33)+(I33)*(MAX($D$16,(L50)-(K33))))*(MAX($D$16,(L50)-(K33))))/MAX((G33)+2*(MAX($D$16,(L50)-(K33)))*SQRT(1+(I33)^2),0.000001))^(2/3),0.000001)))^2))/2)+(IF((ABS(H50)/MAX(((G33)+(I33)*(MAX($D$16,(L50)-(K33))))*(MAX($D$16,(L50)-(K33))),0.000001))&gt;(ABS(H50)/MAX(((F33)+(H33)*(MAX($D$16,(D50)-(J33))))*(MAX($D$16,(D50)-(J33))),0.000001)),$D$9*((((ABS(H50)/MAX(((G33)+(I33)*(MAX($D$16,(L50)-(K33))))*(MAX($D$16,(L50)-(K33))),0.000001))^2)/(2*$I$5))-(((ABS(H50)/MAX(((F33)+(H33)*(MAX($D$16,(D50)-(J33))))*(MAX($D$16,(D50)-(J33))),0.000001))^2)/(2*$I$5))),$D$8*((((ABS(H50)/MAX(((F33)+(H33)*(MAX($D$16,(D50)-(J33))))*(MAX($D$16,(D50)-(J33))),0.000001))^2)/(2*$I$5))-(((ABS(H50)/MAX(((G33)+(I33)*(MAX($D$16,(L50)-(K33))))*(MAX($D$16,(L50)-(K33))),0.000001))^2)/(2*$I$5)))))+($D$10*(ABS((X33)-(W33))/90)*MAX(((ABS(H50)/MAX(((F33)+(H33)*(MAX($D$16,(D50)-(J33))))*(MAX($D$16,(D50)-(J33))),0.000001))^2)/(2*$I$5),((ABS(H50)/MAX(((G33)+(I33)*(MAX($D$16,(L50)-(K33))))*(MAX($D$16,(L50)-(K33))),0.000001))^2)/(2*$I$5)))+(($D$11*0.00000015*(ABS(G50)/MAX(ABS(F50),0.000001))^2*MAX(((ABS(H50)/MAX(((F33)+(H33)*(MAX($D$16,(D50)-(J33))))*(MAX($D$16,(D50)-(J33))),0.000001))^2)/(2*$I$5),((ABS(H50)/MAX(((G33)+(I33)*(MAX($D$16,(L50)-(K33))))*(MAX($D$16,(L50)-(K33))),0.000001))^2)/(2*$I$5))))-((ABS(H50)/MAX(((F33)+(H33)*(MAX($D$16,(D50)-(J33))))*(MAX($D$16,(D50)-(J33))),0.000001))^2)/(2*$I$5)</f>
        <v>634.3119999999999</v>
      </c>
      <c r="R50">
        <f>D50+((ABS(G50)/MAX(((F32)+(H32)*(MAX($D$16,(D50)-(J32))))*(MAX($D$16,(D50)-(J32))),0.000001))^2)/(2*$I$5)-((E32)*((((ABS(G50)*$D$6)/(MAX(((F32)+(H32)*(MAX($D$16,(D50)-(J32))))*(MAX($D$16,(D50)-(J32))),0.000001)*MAX(((((F32)+(H32)*(MAX($D$16,(D50)-(J32))))*(MAX($D$16,(D50)-(J32))))/MAX((F32)+2*(MAX($D$16,(D50)-(J32)))*SQRT(1+(H32)^2),0.000001))^(2/3),0.000001)))^2)+(((ABS(G50)*$D$6)/(MAX(((G32)+(I32)*(MAX($D$16,(E50)-(K32))))*(MAX($D$16,(E50)-(K32))),0.000001)*MAX(((((G32)+(I32)*(MAX($D$16,(E50)-(K32))))*(MAX($D$16,(E50)-(K32))))/MAX((G32)+2*(MAX($D$16,(E50)-(K32)))*SQRT(1+(I32)^2),0.000001))^(2/3),0.000001)))^2))/2)+(IF((ABS(G50)/MAX(((G32)+(I32)*(MAX($D$16,(E50)-(K32))))*(MAX($D$16,(E50)-(K32))),0.000001))&gt;(ABS(G50)/MAX(((F32)+(H32)*(MAX($D$16,(D50)-(J32))))*(MAX($D$16,(D50)-(J32))),0.000001)),$D$9*((((ABS(G50)/MAX(((G32)+(I32)*(MAX($D$16,(E50)-(K32))))*(MAX($D$16,(E50)-(K32))),0.000001))^2)/(2*$I$5))-(((ABS(G50)/MAX(((F32)+(H32)*(MAX($D$16,(D50)-(J32))))*(MAX($D$16,(D50)-(J32))),0.000001))^2)/(2*$I$5))),$D$8*((((ABS(G50)/MAX(((F32)+(H32)*(MAX($D$16,(D50)-(J32))))*(MAX($D$16,(D50)-(J32))),0.000001))^2)/(2*$I$5))-(((ABS(G50)/MAX(((G32)+(I32)*(MAX($D$16,(E50)-(K32))))*(MAX($D$16,(E50)-(K32))),0.000001))^2)/(2*$I$5)))))+($D$10*(ABS((X32)-(W32))/90)*MAX(((ABS(G50)/MAX(((F32)+(H32)*(MAX($D$16,(D50)-(J32))))*(MAX($D$16,(D50)-(J32))),0.000001))^2)/(2*$I$5),((ABS(G50)/MAX(((G32)+(I32)*(MAX($D$16,(E50)-(K32))))*(MAX($D$16,(E50)-(K32))),0.000001))^2)/(2*$I$5)))+(($D$11*0.13607488*(ABS(H50)/MAX(ABS(F50),0.000001))^2*MAX(((ABS(G50)/MAX(((F32)+(H32)*(MAX($D$16,(D50)-(J32))))*(MAX($D$16,(D50)-(J32))),0.000001))^2)/(2*$I$5),((ABS(G50)/MAX(((G32)+(I32)*(MAX($D$16,(E50)-(K32))))*(MAX($D$16,(E50)-(K32))),0.000001))^2)/(2*$I$5))))-((ABS(G50)/MAX(((G32)+(I32)*(MAX($D$16,(E50)-(K32))))*(MAX($D$16,(E50)-(K32))),0.000001))^2)/(2*$I$5)</f>
        <v>52469.262132590658</v>
      </c>
      <c r="S50">
        <f>M50+((ABS(I50)/MAX(((G34)+(I34)*(MAX($D$16,(M50)-(K34))))*(MAX($D$16,(M50)-(K34))),0.000001))^2)/(2*$I$5)+((E34)*((((ABS(I50)*$D$6)/(MAX(((F34)+(H34)*(MAX($D$16,(E50)-(J34))))*(MAX($D$16,(E50)-(J34))),0.000001)*MAX(((((F34)+(H34)*(MAX($D$16,(E50)-(J34))))*(MAX($D$16,(E50)-(J34))))/MAX((F34)+2*(MAX($D$16,(E50)-(J34)))*SQRT(1+(H34)^2),0.000001))^(2/3),0.000001)))^2)+(((ABS(I50)*$D$6)/(MAX(((G34)+(I34)*(MAX($D$16,(M50)-(K34))))*(MAX($D$16,(M50)-(K34))),0.000001)*MAX(((((G34)+(I34)*(MAX($D$16,(M50)-(K34))))*(MAX($D$16,(M50)-(K34))))/MAX((G34)+2*(MAX($D$16,(M50)-(K34)))*SQRT(1+(I34)^2),0.000001))^(2/3),0.000001)))^2))/2)+(IF((ABS(I50)/MAX(((G34)+(I34)*(MAX($D$16,(M50)-(K34))))*(MAX($D$16,(M50)-(K34))),0.000001))&gt;(ABS(I50)/MAX(((F34)+(H34)*(MAX($D$16,(E50)-(J34))))*(MAX($D$16,(E50)-(J34))),0.000001)),$D$9*((((ABS(I50)/MAX(((G34)+(I34)*(MAX($D$16,(M50)-(K34))))*(MAX($D$16,(M50)-(K34))),0.000001))^2)/(2*$I$5))-(((ABS(I50)/MAX(((F34)+(H34)*(MAX($D$16,(E50)-(J34))))*(MAX($D$16,(E50)-(J34))),0.000001))^2)/(2*$I$5))),$D$8*((((ABS(I50)/MAX(((F34)+(H34)*(MAX($D$16,(E50)-(J34))))*(MAX($D$16,(E50)-(J34))),0.000001))^2)/(2*$I$5))-(((ABS(I50)/MAX(((G34)+(I34)*(MAX($D$16,(M50)-(K34))))*(MAX($D$16,(M50)-(K34))),0.000001))^2)/(2*$I$5)))))+($D$10*(ABS((X34)-(W34))/90)*MAX(((ABS(I50)/MAX(((F34)+(H34)*(MAX($D$16,(E50)-(J34))))*(MAX($D$16,(E50)-(J34))),0.000001))^2)/(2*$I$5),((ABS(I50)/MAX(((G34)+(I34)*(MAX($D$16,(M50)-(K34))))*(MAX($D$16,(M50)-(K34))),0.000001))^2)/(2*$I$5)))+(0)-((ABS(I50)/MAX(((F34)+(H34)*(MAX($D$16,(E50)-(J34))))*(MAX($D$16,(E50)-(J34))),0.000001))^2)/(2*$I$5)</f>
        <v>635.5</v>
      </c>
      <c r="T50">
        <f>N50+((ABS(J50)/MAX(((G35)+(I35)*(MAX($D$16,(N50)-(K35))))*(MAX($D$16,(N50)-(K35))),0.000001))^2)/(2*$I$5)+((E35)*((((ABS(J50)*$D$6)/(MAX(((F35)+(H35)*(MAX($D$16,(E50)-(J35))))*(MAX($D$16,(E50)-(J35))),0.000001)*MAX(((((F35)+(H35)*(MAX($D$16,(E50)-(J35))))*(MAX($D$16,(E50)-(J35))))/MAX((F35)+2*(MAX($D$16,(E50)-(J35)))*SQRT(1+(H35)^2),0.000001))^(2/3),0.000001)))^2)+(((ABS(J50)*$D$6)/(MAX(((G35)+(I35)*(MAX($D$16,(N50)-(K35))))*(MAX($D$16,(N50)-(K35))),0.000001)*MAX(((((G35)+(I35)*(MAX($D$16,(N50)-(K35))))*(MAX($D$16,(N50)-(K35))))/MAX((G35)+2*(MAX($D$16,(N50)-(K35)))*SQRT(1+(I35)^2),0.000001))^(2/3),0.000001)))^2))/2)+(IF((ABS(J50)/MAX(((G35)+(I35)*(MAX($D$16,(N50)-(K35))))*(MAX($D$16,(N50)-(K35))),0.000001))&gt;(ABS(J50)/MAX(((F35)+(H35)*(MAX($D$16,(E50)-(J35))))*(MAX($D$16,(E50)-(J35))),0.000001)),$D$9*((((ABS(J50)/MAX(((G35)+(I35)*(MAX($D$16,(N50)-(K35))))*(MAX($D$16,(N50)-(K35))),0.000001))^2)/(2*$I$5))-(((ABS(J50)/MAX(((F35)+(H35)*(MAX($D$16,(E50)-(J35))))*(MAX($D$16,(E50)-(J35))),0.000001))^2)/(2*$I$5))),$D$8*((((ABS(J50)/MAX(((F35)+(H35)*(MAX($D$16,(E50)-(J35))))*(MAX($D$16,(E50)-(J35))),0.000001))^2)/(2*$I$5))-(((ABS(J50)/MAX(((G35)+(I35)*(MAX($D$16,(N50)-(K35))))*(MAX($D$16,(N50)-(K35))),0.000001))^2)/(2*$I$5)))))+($D$10*(ABS((X35)-(W35))/90)*MAX(((ABS(J50)/MAX(((F35)+(H35)*(MAX($D$16,(E50)-(J35))))*(MAX($D$16,(E50)-(J35))),0.000001))^2)/(2*$I$5),((ABS(J50)/MAX(((G35)+(I35)*(MAX($D$16,(N50)-(K35))))*(MAX($D$16,(N50)-(K35))),0.000001))^2)/(2*$I$5)))+(($D$11*0.34699541*(ABS(I50)/MAX(ABS(G50),0.000001))^2*MAX(((ABS(J50)/MAX(((F35)+(H35)*(MAX($D$16,(E50)-(J35))))*(MAX($D$16,(E50)-(J35))),0.000001))^2)/(2*$I$5),((ABS(J50)/MAX(((G35)+(I35)*(MAX($D$16,(N50)-(K35))))*(MAX($D$16,(N50)-(K35))),0.000001))^2)/(2*$I$5))))-((ABS(J50)/MAX(((F35)+(H35)*(MAX($D$16,(E50)-(J35))))*(MAX($D$16,(E50)-(J35))),0.000001))^2)/(2*$I$5)</f>
        <v>20784.033523923379</v>
      </c>
      <c r="U50">
        <f>(((((F32)*(MAX($D$16,(D50)-(J32)))^2)/2+(H32)*(MAX($D$16,(D50)-(J32)))^3/3+(ABS(G50)^2)/($I$5*MAX(((F32)+(H32)*(MAX($D$16,(D50)-(J32))))*(MAX($D$16,(D50)-(J32))),0.000001)))*0.72785025)-((((F33)*(MAX($D$16,(D50)-(J33)))^2)/2+(H33)*(MAX($D$16,(D50)-(J33)))^3/3+(ABS(H50)^2)/($I$5*MAX(((F33)+(H33)*(MAX($D$16,(D50)-(J33))))*(MAX($D$16,(D50)-(J33))),0.000001)))*0.99999971))/MAX(((G31)*(MAX($D$16,(D50)-(K31)))^2)/2+(I31)*(MAX($D$16,(D50)-(K31)))^3/3+(ABS(F50)^2)/($I$5*MAX(((G31)+(I31)*(MAX($D$16,(D50)-(K31))))*(MAX($D$16,(D50)-(K31))),0.000001)),0.000001)</f>
        <v>-0.27214945999991141</v>
      </c>
      <c r="V50">
        <f>(((((F34)*(MAX($D$16,(E50)-(J34)))^2)/2+(H34)*(MAX($D$16,(E50)-(J34)))^3/3+(ABS(I50)^2)/($I$5*MAX(((F34)+(H34)*(MAX($D$16,(E50)-(J34))))*(MAX($D$16,(E50)-(J34))),0.000001)))*1)-((((F35)*(MAX($D$16,(E50)-(J35)))^2)/2+(H35)*(MAX($D$16,(E50)-(J35)))^3/3+(ABS(J50)^2)/($I$5*MAX(((F35)+(H35)*(MAX($D$16,(E50)-(J35))))*(MAX($D$16,(E50)-(J35))),0.000001)))*0.30600918))/MAX(((G32)*(MAX($D$16,(E50)-(K32)))^2)/2+(I32)*(MAX($D$16,(E50)-(K32)))^3/3+(ABS(G50)^2)/($I$5*MAX(((G32)+(I32)*(MAX($D$16,(E50)-(K32))))*(MAX($D$16,(E50)-(K32))),0.000001)),0.000001)</f>
        <v>0.69398638619460828</v>
      </c>
      <c r="W50">
        <f>IF(N6="None",ABS(P50-D50),MAX(ABS(P50-D50),ABS(Q50-D50)))</f>
        <v>74.240589870627446</v>
      </c>
      <c r="X50">
        <f>IF(AND(N7="None",N8="None"),0,IF(N8="None",ABS(S50-E50),IF(N7="None",ABS(T50-E50),MAX(ABS(S50-E50),ABS(T50-E50)))))</f>
        <v>51759.521542719347</v>
      </c>
      <c r="AA50">
        <f t="shared" si="3"/>
        <v>52443.277926135801</v>
      </c>
      <c r="AB50">
        <f t="shared" si="4"/>
        <v>41331.175736140758</v>
      </c>
      <c r="AC50">
        <f>IF(N6="None",P50,MAX(P50,Q50))</f>
        <v>52395.021542719893</v>
      </c>
      <c r="AD50">
        <f>IF(AND(N7="None",N8="None"),E50,IF(N8="None",S50,IF(N7="None",T50,MAX(S50,T50))))</f>
        <v>20784.033523923379</v>
      </c>
      <c r="AE50">
        <f t="shared" si="5"/>
        <v>637.65825101090047</v>
      </c>
      <c r="AF50">
        <f t="shared" si="6"/>
        <v>52469.262132590658</v>
      </c>
      <c r="AG50">
        <f>((G31)*(MAX($D$16,(AC50)-(K31)))^2)/2+(I31)*(MAX($D$16,(AC50)-(K31)))^3/3+(ABS(F50)^2)/($I$5*MAX(((G31)+(I31)*(MAX($D$16,(AC50)-(K31))))*(MAX($D$16,(AC50)-(K31))),0.000001))</f>
        <v>8785006632.9631939</v>
      </c>
      <c r="AH50">
        <f>((G31)*(MAX($D$16,(AE50)-(K31)))^2)/2+(I31)*(MAX($D$16,(AE50)-(K31)))^3/3+(ABS(F50)^2)/($I$5*MAX(((G31)+(I31)*(MAX($D$16,(AE50)-(K31))))*(MAX($D$16,(AE50)-(K31))),0.000001))</f>
        <v>49.055863329615121</v>
      </c>
      <c r="AI50">
        <f>((G32)*(MAX($D$16,(AD50)-(K32)))^2)/2+(I32)*(MAX($D$16,(AD50)-(K32)))^3/3+(ABS(G50)^2)/($I$5*MAX(((G32)+(I32)*(MAX($D$16,(AD50)-(K32))))*(MAX($D$16,(AD50)-(K32))),0.000001))</f>
        <v>2072376743.6648314</v>
      </c>
      <c r="AJ50">
        <f>((G32)*(MAX($D$16,(AF50)-(K32)))^2)/2+(I32)*(MAX($D$16,(AF50)-(K32)))^3/3+(ABS(G50)^2)/($I$5*MAX(((G32)+(I32)*(MAX($D$16,(AF50)-(K32))))*(MAX($D$16,(AF50)-(K32))),0.000001))</f>
        <v>13712346338.258488</v>
      </c>
      <c r="AK50" t="str">
        <f t="shared" si="7"/>
        <v>Subcritical</v>
      </c>
      <c r="AL50" t="str">
        <f t="shared" si="8"/>
        <v>Supercritical</v>
      </c>
      <c r="AM50">
        <f t="shared" si="9"/>
        <v>52443.277926135801</v>
      </c>
      <c r="AN50">
        <f t="shared" si="10"/>
        <v>52421.005749174306</v>
      </c>
      <c r="AO50">
        <f t="shared" si="11"/>
        <v>74.240589870627446</v>
      </c>
      <c r="AP50">
        <f t="shared" si="12"/>
        <v>74.240589871311386</v>
      </c>
    </row>
    <row r="51" spans="1:42" x14ac:dyDescent="0.35">
      <c r="A51">
        <v>8</v>
      </c>
      <c r="B51">
        <f t="shared" si="13"/>
        <v>0</v>
      </c>
      <c r="C51">
        <f t="shared" si="14"/>
        <v>0</v>
      </c>
      <c r="D51">
        <f t="shared" si="15"/>
        <v>52443.277926135801</v>
      </c>
      <c r="E51">
        <f t="shared" si="16"/>
        <v>52421.005749174306</v>
      </c>
      <c r="F51">
        <f t="shared" si="2"/>
        <v>51</v>
      </c>
      <c r="G51">
        <f>IF(N6="None",F51,MAX(0,F51*B51))</f>
        <v>51</v>
      </c>
      <c r="H51">
        <f>IF(N6="None",0,MAX(0,F51-G51))</f>
        <v>0</v>
      </c>
      <c r="I51">
        <f>IF(AND(N7="None",N8="None"),0,IF(N8="None",G51,IF(N7="None",0,MAX(0,G51*C51))))</f>
        <v>0</v>
      </c>
      <c r="J51">
        <f>IF(AND(N7="None",N8="None"),0,IF(N8="None",0,IF(N7="None",G51,MAX(0,G51-I51))))</f>
        <v>51</v>
      </c>
      <c r="K51">
        <f>P5</f>
        <v>637</v>
      </c>
      <c r="L51">
        <f>P6</f>
        <v>634.3119999999999</v>
      </c>
      <c r="M51">
        <f>P7</f>
        <v>635.5</v>
      </c>
      <c r="N51">
        <f>P8</f>
        <v>631.54999999999995</v>
      </c>
      <c r="O51">
        <f>K51+((ABS(F51)/MAX(((F31)+(H31)*(MAX($D$16,(K51)-(J31))))*(MAX($D$16,(K51)-(J31))),0.000001))^2)/(2*$I$5)-((E31)*((((ABS(F51)*$D$6)/(MAX(((F31)+(H31)*(MAX($D$16,(K51)-(J31))))*(MAX($D$16,(K51)-(J31))),0.000001)*MAX(((((F31)+(H31)*(MAX($D$16,(K51)-(J31))))*(MAX($D$16,(K51)-(J31))))/MAX((F31)+2*(MAX($D$16,(K51)-(J31)))*SQRT(1+(H31)^2),0.000001))^(2/3),0.000001)))^2)+(((ABS(F51)*$D$6)/(MAX(((G31)+(I31)*(MAX($D$16,(D51)-(K31))))*(MAX($D$16,(D51)-(K31))),0.000001)*MAX(((((G31)+(I31)*(MAX($D$16,(D51)-(K31))))*(MAX($D$16,(D51)-(K31))))/MAX((G31)+2*(MAX($D$16,(D51)-(K31)))*SQRT(1+(I31)^2),0.000001))^(2/3),0.000001)))^2))/2)+(IF((ABS(F51)/MAX(((G31)+(I31)*(MAX($D$16,(D51)-(K31))))*(MAX($D$16,(D51)-(K31))),0.000001))&gt;(ABS(F51)/MAX(((F31)+(H31)*(MAX($D$16,(K51)-(J31))))*(MAX($D$16,(K51)-(J31))),0.000001)),$D$9*((((ABS(F51)/MAX(((G31)+(I31)*(MAX($D$16,(D51)-(K31))))*(MAX($D$16,(D51)-(K31))),0.000001))^2)/(2*$I$5))-(((ABS(F51)/MAX(((F31)+(H31)*(MAX($D$16,(K51)-(J31))))*(MAX($D$16,(K51)-(J31))),0.000001))^2)/(2*$I$5))),$D$8*((((ABS(F51)/MAX(((F31)+(H31)*(MAX($D$16,(K51)-(J31))))*(MAX($D$16,(K51)-(J31))),0.000001))^2)/(2*$I$5))-(((ABS(F51)/MAX(((G31)+(I31)*(MAX($D$16,(D51)-(K31))))*(MAX($D$16,(D51)-(K31))),0.000001))^2)/(2*$I$5)))))+($D$10*(ABS((X31)-(W31))/90)*MAX(((ABS(F51)/MAX(((F31)+(H31)*(MAX($D$16,(K51)-(J31))))*(MAX($D$16,(K51)-(J31))),0.000001))^2)/(2*$I$5),((ABS(F51)/MAX(((G31)+(I31)*(MAX($D$16,(D51)-(K31))))*(MAX($D$16,(D51)-(K31))),0.000001))^2)/(2*$I$5)))+(0)-((ABS(F51)/MAX(((G31)+(I31)*(MAX($D$16,(D51)-(K31))))*(MAX($D$16,(D51)-(K31))),0.000001))^2)/(2*$I$5)</f>
        <v>637.65825101089899</v>
      </c>
      <c r="P51">
        <f>E51+((ABS(G51)/MAX(((G32)+(I32)*(MAX($D$16,(E51)-(K32))))*(MAX($D$16,(E51)-(K32))),0.000001))^2)/(2*$I$5)+((E32)*((((ABS(G51)*$D$6)/(MAX(((F32)+(H32)*(MAX($D$16,(D51)-(J32))))*(MAX($D$16,(D51)-(J32))),0.000001)*MAX(((((F32)+(H32)*(MAX($D$16,(D51)-(J32))))*(MAX($D$16,(D51)-(J32))))/MAX((F32)+2*(MAX($D$16,(D51)-(J32)))*SQRT(1+(H32)^2),0.000001))^(2/3),0.000001)))^2)+(((ABS(G51)*$D$6)/(MAX(((G32)+(I32)*(MAX($D$16,(E51)-(K32))))*(MAX($D$16,(E51)-(K32))),0.000001)*MAX(((((G32)+(I32)*(MAX($D$16,(E51)-(K32))))*(MAX($D$16,(E51)-(K32))))/MAX((G32)+2*(MAX($D$16,(E51)-(K32)))*SQRT(1+(I32)^2),0.000001))^(2/3),0.000001)))^2))/2)+(IF((ABS(G51)/MAX(((G32)+(I32)*(MAX($D$16,(E51)-(K32))))*(MAX($D$16,(E51)-(K32))),0.000001))&gt;(ABS(G51)/MAX(((F32)+(H32)*(MAX($D$16,(D51)-(J32))))*(MAX($D$16,(D51)-(J32))),0.000001)),$D$9*((((ABS(G51)/MAX(((G32)+(I32)*(MAX($D$16,(E51)-(K32))))*(MAX($D$16,(E51)-(K32))),0.000001))^2)/(2*$I$5))-(((ABS(G51)/MAX(((F32)+(H32)*(MAX($D$16,(D51)-(J32))))*(MAX($D$16,(D51)-(J32))),0.000001))^2)/(2*$I$5))),$D$8*((((ABS(G51)/MAX(((F32)+(H32)*(MAX($D$16,(D51)-(J32))))*(MAX($D$16,(D51)-(J32))),0.000001))^2)/(2*$I$5))-(((ABS(G51)/MAX(((G32)+(I32)*(MAX($D$16,(E51)-(K32))))*(MAX($D$16,(E51)-(K32))),0.000001))^2)/(2*$I$5)))))+($D$10*(ABS((X32)-(W32))/90)*MAX(((ABS(G51)/MAX(((F32)+(H32)*(MAX($D$16,(D51)-(J32))))*(MAX($D$16,(D51)-(J32))),0.000001))^2)/(2*$I$5),((ABS(G51)/MAX(((G32)+(I32)*(MAX($D$16,(E51)-(K32))))*(MAX($D$16,(E51)-(K32))),0.000001))^2)/(2*$I$5)))+(($D$11*0.13607488*(ABS(H51)/MAX(ABS(F51),0.000001))^2*MAX(((ABS(G51)/MAX(((F32)+(H32)*(MAX($D$16,(D51)-(J32))))*(MAX($D$16,(D51)-(J32))),0.000001))^2)/(2*$I$5),((ABS(G51)/MAX(((G32)+(I32)*(MAX($D$16,(E51)-(K32))))*(MAX($D$16,(E51)-(K32))),0.000001))^2)/(2*$I$5))))-((ABS(G51)/MAX(((F32)+(H32)*(MAX($D$16,(D51)-(J32))))*(MAX($D$16,(D51)-(J32))),0.000001))^2)/(2*$I$5)</f>
        <v>52421.005749174859</v>
      </c>
      <c r="Q51">
        <f>L51+((ABS(H51)/MAX(((G33)+(I33)*(MAX($D$16,(L51)-(K33))))*(MAX($D$16,(L51)-(K33))),0.000001))^2)/(2*$I$5)+((E33)*((((ABS(H51)*$D$6)/(MAX(((F33)+(H33)*(MAX($D$16,(D51)-(J33))))*(MAX($D$16,(D51)-(J33))),0.000001)*MAX(((((F33)+(H33)*(MAX($D$16,(D51)-(J33))))*(MAX($D$16,(D51)-(J33))))/MAX((F33)+2*(MAX($D$16,(D51)-(J33)))*SQRT(1+(H33)^2),0.000001))^(2/3),0.000001)))^2)+(((ABS(H51)*$D$6)/(MAX(((G33)+(I33)*(MAX($D$16,(L51)-(K33))))*(MAX($D$16,(L51)-(K33))),0.000001)*MAX(((((G33)+(I33)*(MAX($D$16,(L51)-(K33))))*(MAX($D$16,(L51)-(K33))))/MAX((G33)+2*(MAX($D$16,(L51)-(K33)))*SQRT(1+(I33)^2),0.000001))^(2/3),0.000001)))^2))/2)+(IF((ABS(H51)/MAX(((G33)+(I33)*(MAX($D$16,(L51)-(K33))))*(MAX($D$16,(L51)-(K33))),0.000001))&gt;(ABS(H51)/MAX(((F33)+(H33)*(MAX($D$16,(D51)-(J33))))*(MAX($D$16,(D51)-(J33))),0.000001)),$D$9*((((ABS(H51)/MAX(((G33)+(I33)*(MAX($D$16,(L51)-(K33))))*(MAX($D$16,(L51)-(K33))),0.000001))^2)/(2*$I$5))-(((ABS(H51)/MAX(((F33)+(H33)*(MAX($D$16,(D51)-(J33))))*(MAX($D$16,(D51)-(J33))),0.000001))^2)/(2*$I$5))),$D$8*((((ABS(H51)/MAX(((F33)+(H33)*(MAX($D$16,(D51)-(J33))))*(MAX($D$16,(D51)-(J33))),0.000001))^2)/(2*$I$5))-(((ABS(H51)/MAX(((G33)+(I33)*(MAX($D$16,(L51)-(K33))))*(MAX($D$16,(L51)-(K33))),0.000001))^2)/(2*$I$5)))))+($D$10*(ABS((X33)-(W33))/90)*MAX(((ABS(H51)/MAX(((F33)+(H33)*(MAX($D$16,(D51)-(J33))))*(MAX($D$16,(D51)-(J33))),0.000001))^2)/(2*$I$5),((ABS(H51)/MAX(((G33)+(I33)*(MAX($D$16,(L51)-(K33))))*(MAX($D$16,(L51)-(K33))),0.000001))^2)/(2*$I$5)))+(($D$11*0.00000015*(ABS(G51)/MAX(ABS(F51),0.000001))^2*MAX(((ABS(H51)/MAX(((F33)+(H33)*(MAX($D$16,(D51)-(J33))))*(MAX($D$16,(D51)-(J33))),0.000001))^2)/(2*$I$5),((ABS(H51)/MAX(((G33)+(I33)*(MAX($D$16,(L51)-(K33))))*(MAX($D$16,(L51)-(K33))),0.000001))^2)/(2*$I$5))))-((ABS(H51)/MAX(((F33)+(H33)*(MAX($D$16,(D51)-(J33))))*(MAX($D$16,(D51)-(J33))),0.000001))^2)/(2*$I$5)</f>
        <v>634.3119999999999</v>
      </c>
      <c r="R51">
        <f>D51+((ABS(G51)/MAX(((F32)+(H32)*(MAX($D$16,(D51)-(J32))))*(MAX($D$16,(D51)-(J32))),0.000001))^2)/(2*$I$5)-((E32)*((((ABS(G51)*$D$6)/(MAX(((F32)+(H32)*(MAX($D$16,(D51)-(J32))))*(MAX($D$16,(D51)-(J32))),0.000001)*MAX(((((F32)+(H32)*(MAX($D$16,(D51)-(J32))))*(MAX($D$16,(D51)-(J32))))/MAX((F32)+2*(MAX($D$16,(D51)-(J32)))*SQRT(1+(H32)^2),0.000001))^(2/3),0.000001)))^2)+(((ABS(G51)*$D$6)/(MAX(((G32)+(I32)*(MAX($D$16,(E51)-(K32))))*(MAX($D$16,(E51)-(K32))),0.000001)*MAX(((((G32)+(I32)*(MAX($D$16,(E51)-(K32))))*(MAX($D$16,(E51)-(K32))))/MAX((G32)+2*(MAX($D$16,(E51)-(K32)))*SQRT(1+(I32)^2),0.000001))^(2/3),0.000001)))^2))/2)+(IF((ABS(G51)/MAX(((G32)+(I32)*(MAX($D$16,(E51)-(K32))))*(MAX($D$16,(E51)-(K32))),0.000001))&gt;(ABS(G51)/MAX(((F32)+(H32)*(MAX($D$16,(D51)-(J32))))*(MAX($D$16,(D51)-(J32))),0.000001)),$D$9*((((ABS(G51)/MAX(((G32)+(I32)*(MAX($D$16,(E51)-(K32))))*(MAX($D$16,(E51)-(K32))),0.000001))^2)/(2*$I$5))-(((ABS(G51)/MAX(((F32)+(H32)*(MAX($D$16,(D51)-(J32))))*(MAX($D$16,(D51)-(J32))),0.000001))^2)/(2*$I$5))),$D$8*((((ABS(G51)/MAX(((F32)+(H32)*(MAX($D$16,(D51)-(J32))))*(MAX($D$16,(D51)-(J32))),0.000001))^2)/(2*$I$5))-(((ABS(G51)/MAX(((G32)+(I32)*(MAX($D$16,(E51)-(K32))))*(MAX($D$16,(E51)-(K32))),0.000001))^2)/(2*$I$5)))))+($D$10*(ABS((X32)-(W32))/90)*MAX(((ABS(G51)/MAX(((F32)+(H32)*(MAX($D$16,(D51)-(J32))))*(MAX($D$16,(D51)-(J32))),0.000001))^2)/(2*$I$5),((ABS(G51)/MAX(((G32)+(I32)*(MAX($D$16,(E51)-(K32))))*(MAX($D$16,(E51)-(K32))),0.000001))^2)/(2*$I$5)))+(($D$11*0.13607488*(ABS(H51)/MAX(ABS(F51),0.000001))^2*MAX(((ABS(G51)/MAX(((F32)+(H32)*(MAX($D$16,(D51)-(J32))))*(MAX($D$16,(D51)-(J32))),0.000001))^2)/(2*$I$5),((ABS(G51)/MAX(((G32)+(I32)*(MAX($D$16,(E51)-(K32))))*(MAX($D$16,(E51)-(K32))),0.000001))^2)/(2*$I$5))))-((ABS(G51)/MAX(((G32)+(I32)*(MAX($D$16,(E51)-(K32))))*(MAX($D$16,(E51)-(K32))),0.000001))^2)/(2*$I$5)</f>
        <v>52443.277926135932</v>
      </c>
      <c r="S51">
        <f>M51+((ABS(I51)/MAX(((G34)+(I34)*(MAX($D$16,(M51)-(K34))))*(MAX($D$16,(M51)-(K34))),0.000001))^2)/(2*$I$5)+((E34)*((((ABS(I51)*$D$6)/(MAX(((F34)+(H34)*(MAX($D$16,(E51)-(J34))))*(MAX($D$16,(E51)-(J34))),0.000001)*MAX(((((F34)+(H34)*(MAX($D$16,(E51)-(J34))))*(MAX($D$16,(E51)-(J34))))/MAX((F34)+2*(MAX($D$16,(E51)-(J34)))*SQRT(1+(H34)^2),0.000001))^(2/3),0.000001)))^2)+(((ABS(I51)*$D$6)/(MAX(((G34)+(I34)*(MAX($D$16,(M51)-(K34))))*(MAX($D$16,(M51)-(K34))),0.000001)*MAX(((((G34)+(I34)*(MAX($D$16,(M51)-(K34))))*(MAX($D$16,(M51)-(K34))))/MAX((G34)+2*(MAX($D$16,(M51)-(K34)))*SQRT(1+(I34)^2),0.000001))^(2/3),0.000001)))^2))/2)+(IF((ABS(I51)/MAX(((G34)+(I34)*(MAX($D$16,(M51)-(K34))))*(MAX($D$16,(M51)-(K34))),0.000001))&gt;(ABS(I51)/MAX(((F34)+(H34)*(MAX($D$16,(E51)-(J34))))*(MAX($D$16,(E51)-(J34))),0.000001)),$D$9*((((ABS(I51)/MAX(((G34)+(I34)*(MAX($D$16,(M51)-(K34))))*(MAX($D$16,(M51)-(K34))),0.000001))^2)/(2*$I$5))-(((ABS(I51)/MAX(((F34)+(H34)*(MAX($D$16,(E51)-(J34))))*(MAX($D$16,(E51)-(J34))),0.000001))^2)/(2*$I$5))),$D$8*((((ABS(I51)/MAX(((F34)+(H34)*(MAX($D$16,(E51)-(J34))))*(MAX($D$16,(E51)-(J34))),0.000001))^2)/(2*$I$5))-(((ABS(I51)/MAX(((G34)+(I34)*(MAX($D$16,(M51)-(K34))))*(MAX($D$16,(M51)-(K34))),0.000001))^2)/(2*$I$5)))))+($D$10*(ABS((X34)-(W34))/90)*MAX(((ABS(I51)/MAX(((F34)+(H34)*(MAX($D$16,(E51)-(J34))))*(MAX($D$16,(E51)-(J34))),0.000001))^2)/(2*$I$5),((ABS(I51)/MAX(((G34)+(I34)*(MAX($D$16,(M51)-(K34))))*(MAX($D$16,(M51)-(K34))),0.000001))^2)/(2*$I$5)))+(0)-((ABS(I51)/MAX(((F34)+(H34)*(MAX($D$16,(E51)-(J34))))*(MAX($D$16,(E51)-(J34))),0.000001))^2)/(2*$I$5)</f>
        <v>635.5</v>
      </c>
      <c r="T51">
        <f>N51+((ABS(J51)/MAX(((G35)+(I35)*(MAX($D$16,(N51)-(K35))))*(MAX($D$16,(N51)-(K35))),0.000001))^2)/(2*$I$5)+((E35)*((((ABS(J51)*$D$6)/(MAX(((F35)+(H35)*(MAX($D$16,(E51)-(J35))))*(MAX($D$16,(E51)-(J35))),0.000001)*MAX(((((F35)+(H35)*(MAX($D$16,(E51)-(J35))))*(MAX($D$16,(E51)-(J35))))/MAX((F35)+2*(MAX($D$16,(E51)-(J35)))*SQRT(1+(H35)^2),0.000001))^(2/3),0.000001)))^2)+(((ABS(J51)*$D$6)/(MAX(((G35)+(I35)*(MAX($D$16,(N51)-(K35))))*(MAX($D$16,(N51)-(K35))),0.000001)*MAX(((((G35)+(I35)*(MAX($D$16,(N51)-(K35))))*(MAX($D$16,(N51)-(K35))))/MAX((G35)+2*(MAX($D$16,(N51)-(K35)))*SQRT(1+(I35)^2),0.000001))^(2/3),0.000001)))^2))/2)+(IF((ABS(J51)/MAX(((G35)+(I35)*(MAX($D$16,(N51)-(K35))))*(MAX($D$16,(N51)-(K35))),0.000001))&gt;(ABS(J51)/MAX(((F35)+(H35)*(MAX($D$16,(E51)-(J35))))*(MAX($D$16,(E51)-(J35))),0.000001)),$D$9*((((ABS(J51)/MAX(((G35)+(I35)*(MAX($D$16,(N51)-(K35))))*(MAX($D$16,(N51)-(K35))),0.000001))^2)/(2*$I$5))-(((ABS(J51)/MAX(((F35)+(H35)*(MAX($D$16,(E51)-(J35))))*(MAX($D$16,(E51)-(J35))),0.000001))^2)/(2*$I$5))),$D$8*((((ABS(J51)/MAX(((F35)+(H35)*(MAX($D$16,(E51)-(J35))))*(MAX($D$16,(E51)-(J35))),0.000001))^2)/(2*$I$5))-(((ABS(J51)/MAX(((G35)+(I35)*(MAX($D$16,(N51)-(K35))))*(MAX($D$16,(N51)-(K35))),0.000001))^2)/(2*$I$5)))))+($D$10*(ABS((X35)-(W35))/90)*MAX(((ABS(J51)/MAX(((F35)+(H35)*(MAX($D$16,(E51)-(J35))))*(MAX($D$16,(E51)-(J35))),0.000001))^2)/(2*$I$5),((ABS(J51)/MAX(((G35)+(I35)*(MAX($D$16,(N51)-(K35))))*(MAX($D$16,(N51)-(K35))),0.000001))^2)/(2*$I$5)))+(($D$11*0.34699541*(ABS(I51)/MAX(ABS(G51),0.000001))^2*MAX(((ABS(J51)/MAX(((F35)+(H35)*(MAX($D$16,(E51)-(J35))))*(MAX($D$16,(E51)-(J35))),0.000001))^2)/(2*$I$5),((ABS(J51)/MAX(((G35)+(I35)*(MAX($D$16,(N51)-(K35))))*(MAX($D$16,(N51)-(K35))),0.000001))^2)/(2*$I$5))))-((ABS(J51)/MAX(((F35)+(H35)*(MAX($D$16,(E51)-(J35))))*(MAX($D$16,(E51)-(J35))),0.000001))^2)/(2*$I$5)</f>
        <v>20784.033523923383</v>
      </c>
      <c r="U51">
        <f>(((((F32)*(MAX($D$16,(D51)-(J32)))^2)/2+(H32)*(MAX($D$16,(D51)-(J32)))^3/3+(ABS(G51)^2)/($I$5*MAX(((F32)+(H32)*(MAX($D$16,(D51)-(J32))))*(MAX($D$16,(D51)-(J32))),0.000001)))*0.72785025)-((((F33)*(MAX($D$16,(D51)-(J33)))^2)/2+(H33)*(MAX($D$16,(D51)-(J33)))^3/3+(ABS(H51)^2)/($I$5*MAX(((F33)+(H33)*(MAX($D$16,(D51)-(J33))))*(MAX($D$16,(D51)-(J33))),0.000001)))*0.99999971))/MAX(((G31)*(MAX($D$16,(D51)-(K31)))^2)/2+(I31)*(MAX($D$16,(D51)-(K31)))^3/3+(ABS(F51)^2)/($I$5*MAX(((G31)+(I31)*(MAX($D$16,(D51)-(K31))))*(MAX($D$16,(D51)-(K31))),0.000001)),0.000001)</f>
        <v>-0.27214945999991125</v>
      </c>
      <c r="V51">
        <f>(((((F34)*(MAX($D$16,(E51)-(J34)))^2)/2+(H34)*(MAX($D$16,(E51)-(J34)))^3/3+(ABS(I51)^2)/($I$5*MAX(((F34)+(H34)*(MAX($D$16,(E51)-(J34))))*(MAX($D$16,(E51)-(J34))),0.000001)))*1)-((((F35)*(MAX($D$16,(E51)-(J35)))^2)/2+(H35)*(MAX($D$16,(E51)-(J35)))^3/3+(ABS(J51)^2)/($I$5*MAX(((F35)+(H35)*(MAX($D$16,(E51)-(J35))))*(MAX($D$16,(E51)-(J35))),0.000001)))*0.30600918))/MAX(((G32)*(MAX($D$16,(E51)-(K32)))^2)/2+(I32)*(MAX($D$16,(E51)-(K32)))^3/3+(ABS(G51)^2)/($I$5*MAX(((G32)+(I32)*(MAX($D$16,(E51)-(K32))))*(MAX($D$16,(E51)-(K32))),0.000001)),0.000001)</f>
        <v>0.69398638841919336</v>
      </c>
      <c r="W51">
        <f>IF(N6="None",ABS(P51-D51),MAX(ABS(P51-D51),ABS(Q51-D51)))</f>
        <v>22.272176960941579</v>
      </c>
      <c r="X51">
        <f>IF(AND(N7="None",N8="None"),0,IF(N8="None",ABS(S51-E51),IF(N7="None",ABS(T51-E51),MAX(ABS(S51-E51),ABS(T51-E51)))))</f>
        <v>51785.505749174306</v>
      </c>
      <c r="AA51">
        <f t="shared" si="3"/>
        <v>52435.482664199473</v>
      </c>
      <c r="AB51">
        <f t="shared" si="4"/>
        <v>41348.065470336485</v>
      </c>
      <c r="AC51">
        <f>IF(N6="None",P51,MAX(P51,Q51))</f>
        <v>52421.005749174859</v>
      </c>
      <c r="AD51">
        <f>IF(AND(N7="None",N8="None"),E51,IF(N8="None",S51,IF(N7="None",T51,MAX(S51,T51))))</f>
        <v>20784.033523923383</v>
      </c>
      <c r="AE51">
        <f t="shared" si="5"/>
        <v>637.65825101089899</v>
      </c>
      <c r="AF51">
        <f t="shared" si="6"/>
        <v>52443.277926135932</v>
      </c>
      <c r="AG51">
        <f>((G31)*(MAX($D$16,(AC51)-(K31)))^2)/2+(I31)*(MAX($D$16,(AC51)-(K31)))^3/3+(ABS(F51)^2)/($I$5*MAX(((G31)+(I31)*(MAX($D$16,(AC51)-(K31))))*(MAX($D$16,(AC51)-(K31))),0.000001))</f>
        <v>8793829103.2561874</v>
      </c>
      <c r="AH51">
        <f>((G31)*(MAX($D$16,(AE51)-(K31)))^2)/2+(I31)*(MAX($D$16,(AE51)-(K31)))^3/3+(ABS(F51)^2)/($I$5*MAX(((G31)+(I31)*(MAX($D$16,(AE51)-(K31))))*(MAX($D$16,(AE51)-(K31))),0.000001))</f>
        <v>49.055863329587837</v>
      </c>
      <c r="AI51">
        <f>((G32)*(MAX($D$16,(AD51)-(K32)))^2)/2+(I32)*(MAX($D$16,(AD51)-(K32)))^3/3+(ABS(G51)^2)/($I$5*MAX(((G32)+(I32)*(MAX($D$16,(AD51)-(K32))))*(MAX($D$16,(AD51)-(K32))),0.000001))</f>
        <v>2072376743.6648321</v>
      </c>
      <c r="AJ51">
        <f>((G32)*(MAX($D$16,(AF51)-(K32)))^2)/2+(I32)*(MAX($D$16,(AF51)-(K32)))^3/3+(ABS(G51)^2)/($I$5*MAX(((G32)+(I32)*(MAX($D$16,(AF51)-(K32))))*(MAX($D$16,(AF51)-(K32))),0.000001))</f>
        <v>13698602777.609501</v>
      </c>
      <c r="AK51" t="str">
        <f t="shared" si="7"/>
        <v>Subcritical</v>
      </c>
      <c r="AL51" t="str">
        <f t="shared" si="8"/>
        <v>Supercritical</v>
      </c>
      <c r="AM51">
        <f t="shared" si="9"/>
        <v>52435.482664199473</v>
      </c>
      <c r="AN51">
        <f t="shared" si="10"/>
        <v>52428.801011110874</v>
      </c>
      <c r="AO51">
        <f t="shared" si="11"/>
        <v>22.272176960941579</v>
      </c>
      <c r="AP51">
        <f t="shared" si="12"/>
        <v>22.272176961625519</v>
      </c>
    </row>
    <row r="52" spans="1:42" x14ac:dyDescent="0.35">
      <c r="A52">
        <v>9</v>
      </c>
      <c r="B52">
        <f t="shared" si="13"/>
        <v>0</v>
      </c>
      <c r="C52">
        <f t="shared" si="14"/>
        <v>0</v>
      </c>
      <c r="D52">
        <f t="shared" si="15"/>
        <v>52435.482664199473</v>
      </c>
      <c r="E52">
        <f t="shared" si="16"/>
        <v>52428.801011110874</v>
      </c>
      <c r="F52">
        <f t="shared" si="2"/>
        <v>51</v>
      </c>
      <c r="G52">
        <f>IF(N6="None",F52,MAX(0,F52*B52))</f>
        <v>51</v>
      </c>
      <c r="H52">
        <f>IF(N6="None",0,MAX(0,F52-G52))</f>
        <v>0</v>
      </c>
      <c r="I52">
        <f>IF(AND(N7="None",N8="None"),0,IF(N8="None",G52,IF(N7="None",0,MAX(0,G52*C52))))</f>
        <v>0</v>
      </c>
      <c r="J52">
        <f>IF(AND(N7="None",N8="None"),0,IF(N8="None",0,IF(N7="None",G52,MAX(0,G52-I52))))</f>
        <v>51</v>
      </c>
      <c r="K52">
        <f>P5</f>
        <v>637</v>
      </c>
      <c r="L52">
        <f>P6</f>
        <v>634.3119999999999</v>
      </c>
      <c r="M52">
        <f>P7</f>
        <v>635.5</v>
      </c>
      <c r="N52">
        <f>P8</f>
        <v>631.54999999999995</v>
      </c>
      <c r="O52">
        <f>K52+((ABS(F52)/MAX(((F31)+(H31)*(MAX($D$16,(K52)-(J31))))*(MAX($D$16,(K52)-(J31))),0.000001))^2)/(2*$I$5)-((E31)*((((ABS(F52)*$D$6)/(MAX(((F31)+(H31)*(MAX($D$16,(K52)-(J31))))*(MAX($D$16,(K52)-(J31))),0.000001)*MAX(((((F31)+(H31)*(MAX($D$16,(K52)-(J31))))*(MAX($D$16,(K52)-(J31))))/MAX((F31)+2*(MAX($D$16,(K52)-(J31)))*SQRT(1+(H31)^2),0.000001))^(2/3),0.000001)))^2)+(((ABS(F52)*$D$6)/(MAX(((G31)+(I31)*(MAX($D$16,(D52)-(K31))))*(MAX($D$16,(D52)-(K31))),0.000001)*MAX(((((G31)+(I31)*(MAX($D$16,(D52)-(K31))))*(MAX($D$16,(D52)-(K31))))/MAX((G31)+2*(MAX($D$16,(D52)-(K31)))*SQRT(1+(I31)^2),0.000001))^(2/3),0.000001)))^2))/2)+(IF((ABS(F52)/MAX(((G31)+(I31)*(MAX($D$16,(D52)-(K31))))*(MAX($D$16,(D52)-(K31))),0.000001))&gt;(ABS(F52)/MAX(((F31)+(H31)*(MAX($D$16,(K52)-(J31))))*(MAX($D$16,(K52)-(J31))),0.000001)),$D$9*((((ABS(F52)/MAX(((G31)+(I31)*(MAX($D$16,(D52)-(K31))))*(MAX($D$16,(D52)-(K31))),0.000001))^2)/(2*$I$5))-(((ABS(F52)/MAX(((F31)+(H31)*(MAX($D$16,(K52)-(J31))))*(MAX($D$16,(K52)-(J31))),0.000001))^2)/(2*$I$5))),$D$8*((((ABS(F52)/MAX(((F31)+(H31)*(MAX($D$16,(K52)-(J31))))*(MAX($D$16,(K52)-(J31))),0.000001))^2)/(2*$I$5))-(((ABS(F52)/MAX(((G31)+(I31)*(MAX($D$16,(D52)-(K31))))*(MAX($D$16,(D52)-(K31))),0.000001))^2)/(2*$I$5)))))+($D$10*(ABS((X31)-(W31))/90)*MAX(((ABS(F52)/MAX(((F31)+(H31)*(MAX($D$16,(K52)-(J31))))*(MAX($D$16,(K52)-(J31))),0.000001))^2)/(2*$I$5),((ABS(F52)/MAX(((G31)+(I31)*(MAX($D$16,(D52)-(K31))))*(MAX($D$16,(D52)-(K31))),0.000001))^2)/(2*$I$5)))+(0)-((ABS(F52)/MAX(((G31)+(I31)*(MAX($D$16,(D52)-(K31))))*(MAX($D$16,(D52)-(K31))),0.000001))^2)/(2*$I$5)</f>
        <v>637.65825101089854</v>
      </c>
      <c r="P52">
        <f>E52+((ABS(G52)/MAX(((G32)+(I32)*(MAX($D$16,(E52)-(K32))))*(MAX($D$16,(E52)-(K32))),0.000001))^2)/(2*$I$5)+((E32)*((((ABS(G52)*$D$6)/(MAX(((F32)+(H32)*(MAX($D$16,(D52)-(J32))))*(MAX($D$16,(D52)-(J32))),0.000001)*MAX(((((F32)+(H32)*(MAX($D$16,(D52)-(J32))))*(MAX($D$16,(D52)-(J32))))/MAX((F32)+2*(MAX($D$16,(D52)-(J32)))*SQRT(1+(H32)^2),0.000001))^(2/3),0.000001)))^2)+(((ABS(G52)*$D$6)/(MAX(((G32)+(I32)*(MAX($D$16,(E52)-(K32))))*(MAX($D$16,(E52)-(K32))),0.000001)*MAX(((((G32)+(I32)*(MAX($D$16,(E52)-(K32))))*(MAX($D$16,(E52)-(K32))))/MAX((G32)+2*(MAX($D$16,(E52)-(K32)))*SQRT(1+(I32)^2),0.000001))^(2/3),0.000001)))^2))/2)+(IF((ABS(G52)/MAX(((G32)+(I32)*(MAX($D$16,(E52)-(K32))))*(MAX($D$16,(E52)-(K32))),0.000001))&gt;(ABS(G52)/MAX(((F32)+(H32)*(MAX($D$16,(D52)-(J32))))*(MAX($D$16,(D52)-(J32))),0.000001)),$D$9*((((ABS(G52)/MAX(((G32)+(I32)*(MAX($D$16,(E52)-(K32))))*(MAX($D$16,(E52)-(K32))),0.000001))^2)/(2*$I$5))-(((ABS(G52)/MAX(((F32)+(H32)*(MAX($D$16,(D52)-(J32))))*(MAX($D$16,(D52)-(J32))),0.000001))^2)/(2*$I$5))),$D$8*((((ABS(G52)/MAX(((F32)+(H32)*(MAX($D$16,(D52)-(J32))))*(MAX($D$16,(D52)-(J32))),0.000001))^2)/(2*$I$5))-(((ABS(G52)/MAX(((G32)+(I32)*(MAX($D$16,(E52)-(K32))))*(MAX($D$16,(E52)-(K32))),0.000001))^2)/(2*$I$5)))))+($D$10*(ABS((X32)-(W32))/90)*MAX(((ABS(G52)/MAX(((F32)+(H32)*(MAX($D$16,(D52)-(J32))))*(MAX($D$16,(D52)-(J32))),0.000001))^2)/(2*$I$5),((ABS(G52)/MAX(((G32)+(I32)*(MAX($D$16,(E52)-(K32))))*(MAX($D$16,(E52)-(K32))),0.000001))^2)/(2*$I$5)))+(($D$11*0.13607488*(ABS(H52)/MAX(ABS(F52),0.000001))^2*MAX(((ABS(G52)/MAX(((F32)+(H32)*(MAX($D$16,(D52)-(J32))))*(MAX($D$16,(D52)-(J32))),0.000001))^2)/(2*$I$5),((ABS(G52)/MAX(((G32)+(I32)*(MAX($D$16,(E52)-(K32))))*(MAX($D$16,(E52)-(K32))),0.000001))^2)/(2*$I$5))))-((ABS(G52)/MAX(((F32)+(H32)*(MAX($D$16,(D52)-(J32))))*(MAX($D$16,(D52)-(J32))),0.000001))^2)/(2*$I$5)</f>
        <v>52428.801011111427</v>
      </c>
      <c r="Q52">
        <f>L52+((ABS(H52)/MAX(((G33)+(I33)*(MAX($D$16,(L52)-(K33))))*(MAX($D$16,(L52)-(K33))),0.000001))^2)/(2*$I$5)+((E33)*((((ABS(H52)*$D$6)/(MAX(((F33)+(H33)*(MAX($D$16,(D52)-(J33))))*(MAX($D$16,(D52)-(J33))),0.000001)*MAX(((((F33)+(H33)*(MAX($D$16,(D52)-(J33))))*(MAX($D$16,(D52)-(J33))))/MAX((F33)+2*(MAX($D$16,(D52)-(J33)))*SQRT(1+(H33)^2),0.000001))^(2/3),0.000001)))^2)+(((ABS(H52)*$D$6)/(MAX(((G33)+(I33)*(MAX($D$16,(L52)-(K33))))*(MAX($D$16,(L52)-(K33))),0.000001)*MAX(((((G33)+(I33)*(MAX($D$16,(L52)-(K33))))*(MAX($D$16,(L52)-(K33))))/MAX((G33)+2*(MAX($D$16,(L52)-(K33)))*SQRT(1+(I33)^2),0.000001))^(2/3),0.000001)))^2))/2)+(IF((ABS(H52)/MAX(((G33)+(I33)*(MAX($D$16,(L52)-(K33))))*(MAX($D$16,(L52)-(K33))),0.000001))&gt;(ABS(H52)/MAX(((F33)+(H33)*(MAX($D$16,(D52)-(J33))))*(MAX($D$16,(D52)-(J33))),0.000001)),$D$9*((((ABS(H52)/MAX(((G33)+(I33)*(MAX($D$16,(L52)-(K33))))*(MAX($D$16,(L52)-(K33))),0.000001))^2)/(2*$I$5))-(((ABS(H52)/MAX(((F33)+(H33)*(MAX($D$16,(D52)-(J33))))*(MAX($D$16,(D52)-(J33))),0.000001))^2)/(2*$I$5))),$D$8*((((ABS(H52)/MAX(((F33)+(H33)*(MAX($D$16,(D52)-(J33))))*(MAX($D$16,(D52)-(J33))),0.000001))^2)/(2*$I$5))-(((ABS(H52)/MAX(((G33)+(I33)*(MAX($D$16,(L52)-(K33))))*(MAX($D$16,(L52)-(K33))),0.000001))^2)/(2*$I$5)))))+($D$10*(ABS((X33)-(W33))/90)*MAX(((ABS(H52)/MAX(((F33)+(H33)*(MAX($D$16,(D52)-(J33))))*(MAX($D$16,(D52)-(J33))),0.000001))^2)/(2*$I$5),((ABS(H52)/MAX(((G33)+(I33)*(MAX($D$16,(L52)-(K33))))*(MAX($D$16,(L52)-(K33))),0.000001))^2)/(2*$I$5)))+(($D$11*0.00000015*(ABS(G52)/MAX(ABS(F52),0.000001))^2*MAX(((ABS(H52)/MAX(((F33)+(H33)*(MAX($D$16,(D52)-(J33))))*(MAX($D$16,(D52)-(J33))),0.000001))^2)/(2*$I$5),((ABS(H52)/MAX(((G33)+(I33)*(MAX($D$16,(L52)-(K33))))*(MAX($D$16,(L52)-(K33))),0.000001))^2)/(2*$I$5))))-((ABS(H52)/MAX(((F33)+(H33)*(MAX($D$16,(D52)-(J33))))*(MAX($D$16,(D52)-(J33))),0.000001))^2)/(2*$I$5)</f>
        <v>634.3119999999999</v>
      </c>
      <c r="R52">
        <f>D52+((ABS(G52)/MAX(((F32)+(H32)*(MAX($D$16,(D52)-(J32))))*(MAX($D$16,(D52)-(J32))),0.000001))^2)/(2*$I$5)-((E32)*((((ABS(G52)*$D$6)/(MAX(((F32)+(H32)*(MAX($D$16,(D52)-(J32))))*(MAX($D$16,(D52)-(J32))),0.000001)*MAX(((((F32)+(H32)*(MAX($D$16,(D52)-(J32))))*(MAX($D$16,(D52)-(J32))))/MAX((F32)+2*(MAX($D$16,(D52)-(J32)))*SQRT(1+(H32)^2),0.000001))^(2/3),0.000001)))^2)+(((ABS(G52)*$D$6)/(MAX(((G32)+(I32)*(MAX($D$16,(E52)-(K32))))*(MAX($D$16,(E52)-(K32))),0.000001)*MAX(((((G32)+(I32)*(MAX($D$16,(E52)-(K32))))*(MAX($D$16,(E52)-(K32))))/MAX((G32)+2*(MAX($D$16,(E52)-(K32)))*SQRT(1+(I32)^2),0.000001))^(2/3),0.000001)))^2))/2)+(IF((ABS(G52)/MAX(((G32)+(I32)*(MAX($D$16,(E52)-(K32))))*(MAX($D$16,(E52)-(K32))),0.000001))&gt;(ABS(G52)/MAX(((F32)+(H32)*(MAX($D$16,(D52)-(J32))))*(MAX($D$16,(D52)-(J32))),0.000001)),$D$9*((((ABS(G52)/MAX(((G32)+(I32)*(MAX($D$16,(E52)-(K32))))*(MAX($D$16,(E52)-(K32))),0.000001))^2)/(2*$I$5))-(((ABS(G52)/MAX(((F32)+(H32)*(MAX($D$16,(D52)-(J32))))*(MAX($D$16,(D52)-(J32))),0.000001))^2)/(2*$I$5))),$D$8*((((ABS(G52)/MAX(((F32)+(H32)*(MAX($D$16,(D52)-(J32))))*(MAX($D$16,(D52)-(J32))),0.000001))^2)/(2*$I$5))-(((ABS(G52)/MAX(((G32)+(I32)*(MAX($D$16,(E52)-(K32))))*(MAX($D$16,(E52)-(K32))),0.000001))^2)/(2*$I$5)))))+($D$10*(ABS((X32)-(W32))/90)*MAX(((ABS(G52)/MAX(((F32)+(H32)*(MAX($D$16,(D52)-(J32))))*(MAX($D$16,(D52)-(J32))),0.000001))^2)/(2*$I$5),((ABS(G52)/MAX(((G32)+(I32)*(MAX($D$16,(E52)-(K32))))*(MAX($D$16,(E52)-(K32))),0.000001))^2)/(2*$I$5)))+(($D$11*0.13607488*(ABS(H52)/MAX(ABS(F52),0.000001))^2*MAX(((ABS(G52)/MAX(((F32)+(H32)*(MAX($D$16,(D52)-(J32))))*(MAX($D$16,(D52)-(J32))),0.000001))^2)/(2*$I$5),((ABS(G52)/MAX(((G32)+(I32)*(MAX($D$16,(E52)-(K32))))*(MAX($D$16,(E52)-(K32))),0.000001))^2)/(2*$I$5))))-((ABS(G52)/MAX(((G32)+(I32)*(MAX($D$16,(E52)-(K32))))*(MAX($D$16,(E52)-(K32))),0.000001))^2)/(2*$I$5)</f>
        <v>52435.482664199604</v>
      </c>
      <c r="S52">
        <f>M52+((ABS(I52)/MAX(((G34)+(I34)*(MAX($D$16,(M52)-(K34))))*(MAX($D$16,(M52)-(K34))),0.000001))^2)/(2*$I$5)+((E34)*((((ABS(I52)*$D$6)/(MAX(((F34)+(H34)*(MAX($D$16,(E52)-(J34))))*(MAX($D$16,(E52)-(J34))),0.000001)*MAX(((((F34)+(H34)*(MAX($D$16,(E52)-(J34))))*(MAX($D$16,(E52)-(J34))))/MAX((F34)+2*(MAX($D$16,(E52)-(J34)))*SQRT(1+(H34)^2),0.000001))^(2/3),0.000001)))^2)+(((ABS(I52)*$D$6)/(MAX(((G34)+(I34)*(MAX($D$16,(M52)-(K34))))*(MAX($D$16,(M52)-(K34))),0.000001)*MAX(((((G34)+(I34)*(MAX($D$16,(M52)-(K34))))*(MAX($D$16,(M52)-(K34))))/MAX((G34)+2*(MAX($D$16,(M52)-(K34)))*SQRT(1+(I34)^2),0.000001))^(2/3),0.000001)))^2))/2)+(IF((ABS(I52)/MAX(((G34)+(I34)*(MAX($D$16,(M52)-(K34))))*(MAX($D$16,(M52)-(K34))),0.000001))&gt;(ABS(I52)/MAX(((F34)+(H34)*(MAX($D$16,(E52)-(J34))))*(MAX($D$16,(E52)-(J34))),0.000001)),$D$9*((((ABS(I52)/MAX(((G34)+(I34)*(MAX($D$16,(M52)-(K34))))*(MAX($D$16,(M52)-(K34))),0.000001))^2)/(2*$I$5))-(((ABS(I52)/MAX(((F34)+(H34)*(MAX($D$16,(E52)-(J34))))*(MAX($D$16,(E52)-(J34))),0.000001))^2)/(2*$I$5))),$D$8*((((ABS(I52)/MAX(((F34)+(H34)*(MAX($D$16,(E52)-(J34))))*(MAX($D$16,(E52)-(J34))),0.000001))^2)/(2*$I$5))-(((ABS(I52)/MAX(((G34)+(I34)*(MAX($D$16,(M52)-(K34))))*(MAX($D$16,(M52)-(K34))),0.000001))^2)/(2*$I$5)))))+($D$10*(ABS((X34)-(W34))/90)*MAX(((ABS(I52)/MAX(((F34)+(H34)*(MAX($D$16,(E52)-(J34))))*(MAX($D$16,(E52)-(J34))),0.000001))^2)/(2*$I$5),((ABS(I52)/MAX(((G34)+(I34)*(MAX($D$16,(M52)-(K34))))*(MAX($D$16,(M52)-(K34))),0.000001))^2)/(2*$I$5)))+(0)-((ABS(I52)/MAX(((F34)+(H34)*(MAX($D$16,(E52)-(J34))))*(MAX($D$16,(E52)-(J34))),0.000001))^2)/(2*$I$5)</f>
        <v>635.5</v>
      </c>
      <c r="T52">
        <f>N52+((ABS(J52)/MAX(((G35)+(I35)*(MAX($D$16,(N52)-(K35))))*(MAX($D$16,(N52)-(K35))),0.000001))^2)/(2*$I$5)+((E35)*((((ABS(J52)*$D$6)/(MAX(((F35)+(H35)*(MAX($D$16,(E52)-(J35))))*(MAX($D$16,(E52)-(J35))),0.000001)*MAX(((((F35)+(H35)*(MAX($D$16,(E52)-(J35))))*(MAX($D$16,(E52)-(J35))))/MAX((F35)+2*(MAX($D$16,(E52)-(J35)))*SQRT(1+(H35)^2),0.000001))^(2/3),0.000001)))^2)+(((ABS(J52)*$D$6)/(MAX(((G35)+(I35)*(MAX($D$16,(N52)-(K35))))*(MAX($D$16,(N52)-(K35))),0.000001)*MAX(((((G35)+(I35)*(MAX($D$16,(N52)-(K35))))*(MAX($D$16,(N52)-(K35))))/MAX((G35)+2*(MAX($D$16,(N52)-(K35)))*SQRT(1+(I35)^2),0.000001))^(2/3),0.000001)))^2))/2)+(IF((ABS(J52)/MAX(((G35)+(I35)*(MAX($D$16,(N52)-(K35))))*(MAX($D$16,(N52)-(K35))),0.000001))&gt;(ABS(J52)/MAX(((F35)+(H35)*(MAX($D$16,(E52)-(J35))))*(MAX($D$16,(E52)-(J35))),0.000001)),$D$9*((((ABS(J52)/MAX(((G35)+(I35)*(MAX($D$16,(N52)-(K35))))*(MAX($D$16,(N52)-(K35))),0.000001))^2)/(2*$I$5))-(((ABS(J52)/MAX(((F35)+(H35)*(MAX($D$16,(E52)-(J35))))*(MAX($D$16,(E52)-(J35))),0.000001))^2)/(2*$I$5))),$D$8*((((ABS(J52)/MAX(((F35)+(H35)*(MAX($D$16,(E52)-(J35))))*(MAX($D$16,(E52)-(J35))),0.000001))^2)/(2*$I$5))-(((ABS(J52)/MAX(((G35)+(I35)*(MAX($D$16,(N52)-(K35))))*(MAX($D$16,(N52)-(K35))),0.000001))^2)/(2*$I$5)))))+($D$10*(ABS((X35)-(W35))/90)*MAX(((ABS(J52)/MAX(((F35)+(H35)*(MAX($D$16,(E52)-(J35))))*(MAX($D$16,(E52)-(J35))),0.000001))^2)/(2*$I$5),((ABS(J52)/MAX(((G35)+(I35)*(MAX($D$16,(N52)-(K35))))*(MAX($D$16,(N52)-(K35))),0.000001))^2)/(2*$I$5)))+(($D$11*0.34699541*(ABS(I52)/MAX(ABS(G52),0.000001))^2*MAX(((ABS(J52)/MAX(((F35)+(H35)*(MAX($D$16,(E52)-(J35))))*(MAX($D$16,(E52)-(J35))),0.000001))^2)/(2*$I$5),((ABS(J52)/MAX(((G35)+(I35)*(MAX($D$16,(N52)-(K35))))*(MAX($D$16,(N52)-(K35))),0.000001))^2)/(2*$I$5))))-((ABS(J52)/MAX(((F35)+(H35)*(MAX($D$16,(E52)-(J35))))*(MAX($D$16,(E52)-(J35))),0.000001))^2)/(2*$I$5)</f>
        <v>20784.033523923383</v>
      </c>
      <c r="U52">
        <f>(((((F32)*(MAX($D$16,(D52)-(J32)))^2)/2+(H32)*(MAX($D$16,(D52)-(J32)))^3/3+(ABS(G52)^2)/($I$5*MAX(((F32)+(H32)*(MAX($D$16,(D52)-(J32))))*(MAX($D$16,(D52)-(J32))),0.000001)))*0.72785025)-((((F33)*(MAX($D$16,(D52)-(J33)))^2)/2+(H33)*(MAX($D$16,(D52)-(J33)))^3/3+(ABS(H52)^2)/($I$5*MAX(((F33)+(H33)*(MAX($D$16,(D52)-(J33))))*(MAX($D$16,(D52)-(J33))),0.000001)))*0.99999971))/MAX(((G31)*(MAX($D$16,(D52)-(K31)))^2)/2+(I31)*(MAX($D$16,(D52)-(K31)))^3/3+(ABS(F52)^2)/($I$5*MAX(((G31)+(I31)*(MAX($D$16,(D52)-(K31))))*(MAX($D$16,(D52)-(K31))),0.000001)),0.000001)</f>
        <v>-0.27214945999991136</v>
      </c>
      <c r="V52">
        <f>(((((F34)*(MAX($D$16,(E52)-(J34)))^2)/2+(H34)*(MAX($D$16,(E52)-(J34)))^3/3+(ABS(I52)^2)/($I$5*MAX(((F34)+(H34)*(MAX($D$16,(E52)-(J34))))*(MAX($D$16,(E52)-(J34))),0.000001)))*1)-((((F35)*(MAX($D$16,(E52)-(J35)))^2)/2+(H35)*(MAX($D$16,(E52)-(J35)))^3/3+(ABS(J52)^2)/($I$5*MAX(((F35)+(H35)*(MAX($D$16,(E52)-(J35))))*(MAX($D$16,(E52)-(J35))),0.000001)))*0.30600918))/MAX(((G32)*(MAX($D$16,(E52)-(K32)))^2)/2+(I32)*(MAX($D$16,(E52)-(K32)))^3/3+(ABS(G52)^2)/($I$5*MAX(((G32)+(I32)*(MAX($D$16,(E52)-(K32))))*(MAX($D$16,(E52)-(K32))),0.000001)),0.000001)</f>
        <v>0.69398638908613386</v>
      </c>
      <c r="W52">
        <f>IF(N6="None",ABS(P52-D52),MAX(ABS(P52-D52),ABS(Q52-D52)))</f>
        <v>6.681653088046005</v>
      </c>
      <c r="X52">
        <f>IF(AND(N7="None",N8="None"),0,IF(N8="None",ABS(S52-E52),IF(N7="None",ABS(T52-E52),MAX(ABS(S52-E52),ABS(T52-E52)))))</f>
        <v>51793.301011110874</v>
      </c>
      <c r="AA52">
        <f t="shared" si="3"/>
        <v>52433.14408561866</v>
      </c>
      <c r="AB52">
        <f t="shared" si="4"/>
        <v>41353.132390595252</v>
      </c>
      <c r="AC52">
        <f>IF(N6="None",P52,MAX(P52,Q52))</f>
        <v>52428.801011111427</v>
      </c>
      <c r="AD52">
        <f>IF(AND(N7="None",N8="None"),E52,IF(N8="None",S52,IF(N7="None",T52,MAX(S52,T52))))</f>
        <v>20784.033523923383</v>
      </c>
      <c r="AE52">
        <f t="shared" si="5"/>
        <v>637.65825101089854</v>
      </c>
      <c r="AF52">
        <f t="shared" si="6"/>
        <v>52435.482664199604</v>
      </c>
      <c r="AG52">
        <f>((G31)*(MAX($D$16,(AC52)-(K31)))^2)/2+(I31)*(MAX($D$16,(AC52)-(K31)))^3/3+(ABS(F52)^2)/($I$5*MAX(((G31)+(I31)*(MAX($D$16,(AC52)-(K31))))*(MAX($D$16,(AC52)-(K31))),0.000001))</f>
        <v>8796476707.7697506</v>
      </c>
      <c r="AH52">
        <f>((G31)*(MAX($D$16,(AE52)-(K31)))^2)/2+(I31)*(MAX($D$16,(AE52)-(K31)))^3/3+(ABS(F52)^2)/($I$5*MAX(((G31)+(I31)*(MAX($D$16,(AE52)-(K31))))*(MAX($D$16,(AE52)-(K31))),0.000001))</f>
        <v>49.055863329579452</v>
      </c>
      <c r="AI52">
        <f>((G32)*(MAX($D$16,(AD52)-(K32)))^2)/2+(I32)*(MAX($D$16,(AD52)-(K32)))^3/3+(ABS(G52)^2)/($I$5*MAX(((G32)+(I32)*(MAX($D$16,(AD52)-(K32))))*(MAX($D$16,(AD52)-(K32))),0.000001))</f>
        <v>2072376743.6648321</v>
      </c>
      <c r="AJ52">
        <f>((G32)*(MAX($D$16,(AF52)-(K32)))^2)/2+(I32)*(MAX($D$16,(AF52)-(K32)))^3/3+(ABS(G52)^2)/($I$5*MAX(((G32)+(I32)*(MAX($D$16,(AF52)-(K32))))*(MAX($D$16,(AF52)-(K32))),0.000001))</f>
        <v>13694481053.135813</v>
      </c>
      <c r="AK52" t="str">
        <f t="shared" si="7"/>
        <v>Subcritical</v>
      </c>
      <c r="AL52" t="str">
        <f t="shared" si="8"/>
        <v>Supercritical</v>
      </c>
      <c r="AM52">
        <f t="shared" si="9"/>
        <v>52433.14408561866</v>
      </c>
      <c r="AN52">
        <f t="shared" si="10"/>
        <v>52431.139589691928</v>
      </c>
      <c r="AO52">
        <f t="shared" si="11"/>
        <v>6.681653088046005</v>
      </c>
      <c r="AP52">
        <f t="shared" si="12"/>
        <v>6.681653088729945</v>
      </c>
    </row>
    <row r="53" spans="1:42" x14ac:dyDescent="0.35">
      <c r="A53">
        <v>10</v>
      </c>
      <c r="B53">
        <f t="shared" si="13"/>
        <v>0</v>
      </c>
      <c r="C53">
        <f t="shared" si="14"/>
        <v>0</v>
      </c>
      <c r="D53">
        <f t="shared" si="15"/>
        <v>52433.14408561866</v>
      </c>
      <c r="E53">
        <f t="shared" si="16"/>
        <v>52431.139589691928</v>
      </c>
      <c r="F53">
        <f t="shared" si="2"/>
        <v>51</v>
      </c>
      <c r="G53">
        <f>IF(N6="None",F53,MAX(0,F53*B53))</f>
        <v>51</v>
      </c>
      <c r="H53">
        <f>IF(N6="None",0,MAX(0,F53-G53))</f>
        <v>0</v>
      </c>
      <c r="I53">
        <f>IF(AND(N7="None",N8="None"),0,IF(N8="None",G53,IF(N7="None",0,MAX(0,G53*C53))))</f>
        <v>0</v>
      </c>
      <c r="J53">
        <f>IF(AND(N7="None",N8="None"),0,IF(N8="None",0,IF(N7="None",G53,MAX(0,G53-I53))))</f>
        <v>51</v>
      </c>
      <c r="K53">
        <f>P5</f>
        <v>637</v>
      </c>
      <c r="L53">
        <f>P6</f>
        <v>634.3119999999999</v>
      </c>
      <c r="M53">
        <f>P7</f>
        <v>635.5</v>
      </c>
      <c r="N53">
        <f>P8</f>
        <v>631.54999999999995</v>
      </c>
      <c r="O53">
        <f>K53+((ABS(F53)/MAX(((F31)+(H31)*(MAX($D$16,(K53)-(J31))))*(MAX($D$16,(K53)-(J31))),0.000001))^2)/(2*$I$5)-((E31)*((((ABS(F53)*$D$6)/(MAX(((F31)+(H31)*(MAX($D$16,(K53)-(J31))))*(MAX($D$16,(K53)-(J31))),0.000001)*MAX(((((F31)+(H31)*(MAX($D$16,(K53)-(J31))))*(MAX($D$16,(K53)-(J31))))/MAX((F31)+2*(MAX($D$16,(K53)-(J31)))*SQRT(1+(H31)^2),0.000001))^(2/3),0.000001)))^2)+(((ABS(F53)*$D$6)/(MAX(((G31)+(I31)*(MAX($D$16,(D53)-(K31))))*(MAX($D$16,(D53)-(K31))),0.000001)*MAX(((((G31)+(I31)*(MAX($D$16,(D53)-(K31))))*(MAX($D$16,(D53)-(K31))))/MAX((G31)+2*(MAX($D$16,(D53)-(K31)))*SQRT(1+(I31)^2),0.000001))^(2/3),0.000001)))^2))/2)+(IF((ABS(F53)/MAX(((G31)+(I31)*(MAX($D$16,(D53)-(K31))))*(MAX($D$16,(D53)-(K31))),0.000001))&gt;(ABS(F53)/MAX(((F31)+(H31)*(MAX($D$16,(K53)-(J31))))*(MAX($D$16,(K53)-(J31))),0.000001)),$D$9*((((ABS(F53)/MAX(((G31)+(I31)*(MAX($D$16,(D53)-(K31))))*(MAX($D$16,(D53)-(K31))),0.000001))^2)/(2*$I$5))-(((ABS(F53)/MAX(((F31)+(H31)*(MAX($D$16,(K53)-(J31))))*(MAX($D$16,(K53)-(J31))),0.000001))^2)/(2*$I$5))),$D$8*((((ABS(F53)/MAX(((F31)+(H31)*(MAX($D$16,(K53)-(J31))))*(MAX($D$16,(K53)-(J31))),0.000001))^2)/(2*$I$5))-(((ABS(F53)/MAX(((G31)+(I31)*(MAX($D$16,(D53)-(K31))))*(MAX($D$16,(D53)-(K31))),0.000001))^2)/(2*$I$5)))))+($D$10*(ABS((X31)-(W31))/90)*MAX(((ABS(F53)/MAX(((F31)+(H31)*(MAX($D$16,(K53)-(J31))))*(MAX($D$16,(K53)-(J31))),0.000001))^2)/(2*$I$5),((ABS(F53)/MAX(((G31)+(I31)*(MAX($D$16,(D53)-(K31))))*(MAX($D$16,(D53)-(K31))),0.000001))^2)/(2*$I$5)))+(0)-((ABS(F53)/MAX(((G31)+(I31)*(MAX($D$16,(D53)-(K31))))*(MAX($D$16,(D53)-(K31))),0.000001))^2)/(2*$I$5)</f>
        <v>637.65825101089843</v>
      </c>
      <c r="P53">
        <f>E53+((ABS(G53)/MAX(((G32)+(I32)*(MAX($D$16,(E53)-(K32))))*(MAX($D$16,(E53)-(K32))),0.000001))^2)/(2*$I$5)+((E32)*((((ABS(G53)*$D$6)/(MAX(((F32)+(H32)*(MAX($D$16,(D53)-(J32))))*(MAX($D$16,(D53)-(J32))),0.000001)*MAX(((((F32)+(H32)*(MAX($D$16,(D53)-(J32))))*(MAX($D$16,(D53)-(J32))))/MAX((F32)+2*(MAX($D$16,(D53)-(J32)))*SQRT(1+(H32)^2),0.000001))^(2/3),0.000001)))^2)+(((ABS(G53)*$D$6)/(MAX(((G32)+(I32)*(MAX($D$16,(E53)-(K32))))*(MAX($D$16,(E53)-(K32))),0.000001)*MAX(((((G32)+(I32)*(MAX($D$16,(E53)-(K32))))*(MAX($D$16,(E53)-(K32))))/MAX((G32)+2*(MAX($D$16,(E53)-(K32)))*SQRT(1+(I32)^2),0.000001))^(2/3),0.000001)))^2))/2)+(IF((ABS(G53)/MAX(((G32)+(I32)*(MAX($D$16,(E53)-(K32))))*(MAX($D$16,(E53)-(K32))),0.000001))&gt;(ABS(G53)/MAX(((F32)+(H32)*(MAX($D$16,(D53)-(J32))))*(MAX($D$16,(D53)-(J32))),0.000001)),$D$9*((((ABS(G53)/MAX(((G32)+(I32)*(MAX($D$16,(E53)-(K32))))*(MAX($D$16,(E53)-(K32))),0.000001))^2)/(2*$I$5))-(((ABS(G53)/MAX(((F32)+(H32)*(MAX($D$16,(D53)-(J32))))*(MAX($D$16,(D53)-(J32))),0.000001))^2)/(2*$I$5))),$D$8*((((ABS(G53)/MAX(((F32)+(H32)*(MAX($D$16,(D53)-(J32))))*(MAX($D$16,(D53)-(J32))),0.000001))^2)/(2*$I$5))-(((ABS(G53)/MAX(((G32)+(I32)*(MAX($D$16,(E53)-(K32))))*(MAX($D$16,(E53)-(K32))),0.000001))^2)/(2*$I$5)))))+($D$10*(ABS((X32)-(W32))/90)*MAX(((ABS(G53)/MAX(((F32)+(H32)*(MAX($D$16,(D53)-(J32))))*(MAX($D$16,(D53)-(J32))),0.000001))^2)/(2*$I$5),((ABS(G53)/MAX(((G32)+(I32)*(MAX($D$16,(E53)-(K32))))*(MAX($D$16,(E53)-(K32))),0.000001))^2)/(2*$I$5)))+(($D$11*0.13607488*(ABS(H53)/MAX(ABS(F53),0.000001))^2*MAX(((ABS(G53)/MAX(((F32)+(H32)*(MAX($D$16,(D53)-(J32))))*(MAX($D$16,(D53)-(J32))),0.000001))^2)/(2*$I$5),((ABS(G53)/MAX(((G32)+(I32)*(MAX($D$16,(E53)-(K32))))*(MAX($D$16,(E53)-(K32))),0.000001))^2)/(2*$I$5))))-((ABS(G53)/MAX(((F32)+(H32)*(MAX($D$16,(D53)-(J32))))*(MAX($D$16,(D53)-(J32))),0.000001))^2)/(2*$I$5)</f>
        <v>52431.139589692481</v>
      </c>
      <c r="Q53">
        <f>L53+((ABS(H53)/MAX(((G33)+(I33)*(MAX($D$16,(L53)-(K33))))*(MAX($D$16,(L53)-(K33))),0.000001))^2)/(2*$I$5)+((E33)*((((ABS(H53)*$D$6)/(MAX(((F33)+(H33)*(MAX($D$16,(D53)-(J33))))*(MAX($D$16,(D53)-(J33))),0.000001)*MAX(((((F33)+(H33)*(MAX($D$16,(D53)-(J33))))*(MAX($D$16,(D53)-(J33))))/MAX((F33)+2*(MAX($D$16,(D53)-(J33)))*SQRT(1+(H33)^2),0.000001))^(2/3),0.000001)))^2)+(((ABS(H53)*$D$6)/(MAX(((G33)+(I33)*(MAX($D$16,(L53)-(K33))))*(MAX($D$16,(L53)-(K33))),0.000001)*MAX(((((G33)+(I33)*(MAX($D$16,(L53)-(K33))))*(MAX($D$16,(L53)-(K33))))/MAX((G33)+2*(MAX($D$16,(L53)-(K33)))*SQRT(1+(I33)^2),0.000001))^(2/3),0.000001)))^2))/2)+(IF((ABS(H53)/MAX(((G33)+(I33)*(MAX($D$16,(L53)-(K33))))*(MAX($D$16,(L53)-(K33))),0.000001))&gt;(ABS(H53)/MAX(((F33)+(H33)*(MAX($D$16,(D53)-(J33))))*(MAX($D$16,(D53)-(J33))),0.000001)),$D$9*((((ABS(H53)/MAX(((G33)+(I33)*(MAX($D$16,(L53)-(K33))))*(MAX($D$16,(L53)-(K33))),0.000001))^2)/(2*$I$5))-(((ABS(H53)/MAX(((F33)+(H33)*(MAX($D$16,(D53)-(J33))))*(MAX($D$16,(D53)-(J33))),0.000001))^2)/(2*$I$5))),$D$8*((((ABS(H53)/MAX(((F33)+(H33)*(MAX($D$16,(D53)-(J33))))*(MAX($D$16,(D53)-(J33))),0.000001))^2)/(2*$I$5))-(((ABS(H53)/MAX(((G33)+(I33)*(MAX($D$16,(L53)-(K33))))*(MAX($D$16,(L53)-(K33))),0.000001))^2)/(2*$I$5)))))+($D$10*(ABS((X33)-(W33))/90)*MAX(((ABS(H53)/MAX(((F33)+(H33)*(MAX($D$16,(D53)-(J33))))*(MAX($D$16,(D53)-(J33))),0.000001))^2)/(2*$I$5),((ABS(H53)/MAX(((G33)+(I33)*(MAX($D$16,(L53)-(K33))))*(MAX($D$16,(L53)-(K33))),0.000001))^2)/(2*$I$5)))+(($D$11*0.00000015*(ABS(G53)/MAX(ABS(F53),0.000001))^2*MAX(((ABS(H53)/MAX(((F33)+(H33)*(MAX($D$16,(D53)-(J33))))*(MAX($D$16,(D53)-(J33))),0.000001))^2)/(2*$I$5),((ABS(H53)/MAX(((G33)+(I33)*(MAX($D$16,(L53)-(K33))))*(MAX($D$16,(L53)-(K33))),0.000001))^2)/(2*$I$5))))-((ABS(H53)/MAX(((F33)+(H33)*(MAX($D$16,(D53)-(J33))))*(MAX($D$16,(D53)-(J33))),0.000001))^2)/(2*$I$5)</f>
        <v>634.3119999999999</v>
      </c>
      <c r="R53">
        <f>D53+((ABS(G53)/MAX(((F32)+(H32)*(MAX($D$16,(D53)-(J32))))*(MAX($D$16,(D53)-(J32))),0.000001))^2)/(2*$I$5)-((E32)*((((ABS(G53)*$D$6)/(MAX(((F32)+(H32)*(MAX($D$16,(D53)-(J32))))*(MAX($D$16,(D53)-(J32))),0.000001)*MAX(((((F32)+(H32)*(MAX($D$16,(D53)-(J32))))*(MAX($D$16,(D53)-(J32))))/MAX((F32)+2*(MAX($D$16,(D53)-(J32)))*SQRT(1+(H32)^2),0.000001))^(2/3),0.000001)))^2)+(((ABS(G53)*$D$6)/(MAX(((G32)+(I32)*(MAX($D$16,(E53)-(K32))))*(MAX($D$16,(E53)-(K32))),0.000001)*MAX(((((G32)+(I32)*(MAX($D$16,(E53)-(K32))))*(MAX($D$16,(E53)-(K32))))/MAX((G32)+2*(MAX($D$16,(E53)-(K32)))*SQRT(1+(I32)^2),0.000001))^(2/3),0.000001)))^2))/2)+(IF((ABS(G53)/MAX(((G32)+(I32)*(MAX($D$16,(E53)-(K32))))*(MAX($D$16,(E53)-(K32))),0.000001))&gt;(ABS(G53)/MAX(((F32)+(H32)*(MAX($D$16,(D53)-(J32))))*(MAX($D$16,(D53)-(J32))),0.000001)),$D$9*((((ABS(G53)/MAX(((G32)+(I32)*(MAX($D$16,(E53)-(K32))))*(MAX($D$16,(E53)-(K32))),0.000001))^2)/(2*$I$5))-(((ABS(G53)/MAX(((F32)+(H32)*(MAX($D$16,(D53)-(J32))))*(MAX($D$16,(D53)-(J32))),0.000001))^2)/(2*$I$5))),$D$8*((((ABS(G53)/MAX(((F32)+(H32)*(MAX($D$16,(D53)-(J32))))*(MAX($D$16,(D53)-(J32))),0.000001))^2)/(2*$I$5))-(((ABS(G53)/MAX(((G32)+(I32)*(MAX($D$16,(E53)-(K32))))*(MAX($D$16,(E53)-(K32))),0.000001))^2)/(2*$I$5)))))+($D$10*(ABS((X32)-(W32))/90)*MAX(((ABS(G53)/MAX(((F32)+(H32)*(MAX($D$16,(D53)-(J32))))*(MAX($D$16,(D53)-(J32))),0.000001))^2)/(2*$I$5),((ABS(G53)/MAX(((G32)+(I32)*(MAX($D$16,(E53)-(K32))))*(MAX($D$16,(E53)-(K32))),0.000001))^2)/(2*$I$5)))+(($D$11*0.13607488*(ABS(H53)/MAX(ABS(F53),0.000001))^2*MAX(((ABS(G53)/MAX(((F32)+(H32)*(MAX($D$16,(D53)-(J32))))*(MAX($D$16,(D53)-(J32))),0.000001))^2)/(2*$I$5),((ABS(G53)/MAX(((G32)+(I32)*(MAX($D$16,(E53)-(K32))))*(MAX($D$16,(E53)-(K32))),0.000001))^2)/(2*$I$5))))-((ABS(G53)/MAX(((G32)+(I32)*(MAX($D$16,(E53)-(K32))))*(MAX($D$16,(E53)-(K32))),0.000001))^2)/(2*$I$5)</f>
        <v>52433.144085618791</v>
      </c>
      <c r="S53">
        <f>M53+((ABS(I53)/MAX(((G34)+(I34)*(MAX($D$16,(M53)-(K34))))*(MAX($D$16,(M53)-(K34))),0.000001))^2)/(2*$I$5)+((E34)*((((ABS(I53)*$D$6)/(MAX(((F34)+(H34)*(MAX($D$16,(E53)-(J34))))*(MAX($D$16,(E53)-(J34))),0.000001)*MAX(((((F34)+(H34)*(MAX($D$16,(E53)-(J34))))*(MAX($D$16,(E53)-(J34))))/MAX((F34)+2*(MAX($D$16,(E53)-(J34)))*SQRT(1+(H34)^2),0.000001))^(2/3),0.000001)))^2)+(((ABS(I53)*$D$6)/(MAX(((G34)+(I34)*(MAX($D$16,(M53)-(K34))))*(MAX($D$16,(M53)-(K34))),0.000001)*MAX(((((G34)+(I34)*(MAX($D$16,(M53)-(K34))))*(MAX($D$16,(M53)-(K34))))/MAX((G34)+2*(MAX($D$16,(M53)-(K34)))*SQRT(1+(I34)^2),0.000001))^(2/3),0.000001)))^2))/2)+(IF((ABS(I53)/MAX(((G34)+(I34)*(MAX($D$16,(M53)-(K34))))*(MAX($D$16,(M53)-(K34))),0.000001))&gt;(ABS(I53)/MAX(((F34)+(H34)*(MAX($D$16,(E53)-(J34))))*(MAX($D$16,(E53)-(J34))),0.000001)),$D$9*((((ABS(I53)/MAX(((G34)+(I34)*(MAX($D$16,(M53)-(K34))))*(MAX($D$16,(M53)-(K34))),0.000001))^2)/(2*$I$5))-(((ABS(I53)/MAX(((F34)+(H34)*(MAX($D$16,(E53)-(J34))))*(MAX($D$16,(E53)-(J34))),0.000001))^2)/(2*$I$5))),$D$8*((((ABS(I53)/MAX(((F34)+(H34)*(MAX($D$16,(E53)-(J34))))*(MAX($D$16,(E53)-(J34))),0.000001))^2)/(2*$I$5))-(((ABS(I53)/MAX(((G34)+(I34)*(MAX($D$16,(M53)-(K34))))*(MAX($D$16,(M53)-(K34))),0.000001))^2)/(2*$I$5)))))+($D$10*(ABS((X34)-(W34))/90)*MAX(((ABS(I53)/MAX(((F34)+(H34)*(MAX($D$16,(E53)-(J34))))*(MAX($D$16,(E53)-(J34))),0.000001))^2)/(2*$I$5),((ABS(I53)/MAX(((G34)+(I34)*(MAX($D$16,(M53)-(K34))))*(MAX($D$16,(M53)-(K34))),0.000001))^2)/(2*$I$5)))+(0)-((ABS(I53)/MAX(((F34)+(H34)*(MAX($D$16,(E53)-(J34))))*(MAX($D$16,(E53)-(J34))),0.000001))^2)/(2*$I$5)</f>
        <v>635.5</v>
      </c>
      <c r="T53">
        <f>N53+((ABS(J53)/MAX(((G35)+(I35)*(MAX($D$16,(N53)-(K35))))*(MAX($D$16,(N53)-(K35))),0.000001))^2)/(2*$I$5)+((E35)*((((ABS(J53)*$D$6)/(MAX(((F35)+(H35)*(MAX($D$16,(E53)-(J35))))*(MAX($D$16,(E53)-(J35))),0.000001)*MAX(((((F35)+(H35)*(MAX($D$16,(E53)-(J35))))*(MAX($D$16,(E53)-(J35))))/MAX((F35)+2*(MAX($D$16,(E53)-(J35)))*SQRT(1+(H35)^2),0.000001))^(2/3),0.000001)))^2)+(((ABS(J53)*$D$6)/(MAX(((G35)+(I35)*(MAX($D$16,(N53)-(K35))))*(MAX($D$16,(N53)-(K35))),0.000001)*MAX(((((G35)+(I35)*(MAX($D$16,(N53)-(K35))))*(MAX($D$16,(N53)-(K35))))/MAX((G35)+2*(MAX($D$16,(N53)-(K35)))*SQRT(1+(I35)^2),0.000001))^(2/3),0.000001)))^2))/2)+(IF((ABS(J53)/MAX(((G35)+(I35)*(MAX($D$16,(N53)-(K35))))*(MAX($D$16,(N53)-(K35))),0.000001))&gt;(ABS(J53)/MAX(((F35)+(H35)*(MAX($D$16,(E53)-(J35))))*(MAX($D$16,(E53)-(J35))),0.000001)),$D$9*((((ABS(J53)/MAX(((G35)+(I35)*(MAX($D$16,(N53)-(K35))))*(MAX($D$16,(N53)-(K35))),0.000001))^2)/(2*$I$5))-(((ABS(J53)/MAX(((F35)+(H35)*(MAX($D$16,(E53)-(J35))))*(MAX($D$16,(E53)-(J35))),0.000001))^2)/(2*$I$5))),$D$8*((((ABS(J53)/MAX(((F35)+(H35)*(MAX($D$16,(E53)-(J35))))*(MAX($D$16,(E53)-(J35))),0.000001))^2)/(2*$I$5))-(((ABS(J53)/MAX(((G35)+(I35)*(MAX($D$16,(N53)-(K35))))*(MAX($D$16,(N53)-(K35))),0.000001))^2)/(2*$I$5)))))+($D$10*(ABS((X35)-(W35))/90)*MAX(((ABS(J53)/MAX(((F35)+(H35)*(MAX($D$16,(E53)-(J35))))*(MAX($D$16,(E53)-(J35))),0.000001))^2)/(2*$I$5),((ABS(J53)/MAX(((G35)+(I35)*(MAX($D$16,(N53)-(K35))))*(MAX($D$16,(N53)-(K35))),0.000001))^2)/(2*$I$5)))+(($D$11*0.34699541*(ABS(I53)/MAX(ABS(G53),0.000001))^2*MAX(((ABS(J53)/MAX(((F35)+(H35)*(MAX($D$16,(E53)-(J35))))*(MAX($D$16,(E53)-(J35))),0.000001))^2)/(2*$I$5),((ABS(J53)/MAX(((G35)+(I35)*(MAX($D$16,(N53)-(K35))))*(MAX($D$16,(N53)-(K35))),0.000001))^2)/(2*$I$5))))-((ABS(J53)/MAX(((F35)+(H35)*(MAX($D$16,(E53)-(J35))))*(MAX($D$16,(E53)-(J35))),0.000001))^2)/(2*$I$5)</f>
        <v>20784.033523923383</v>
      </c>
      <c r="U53">
        <f>(((((F32)*(MAX($D$16,(D53)-(J32)))^2)/2+(H32)*(MAX($D$16,(D53)-(J32)))^3/3+(ABS(G53)^2)/($I$5*MAX(((F32)+(H32)*(MAX($D$16,(D53)-(J32))))*(MAX($D$16,(D53)-(J32))),0.000001)))*0.72785025)-((((F33)*(MAX($D$16,(D53)-(J33)))^2)/2+(H33)*(MAX($D$16,(D53)-(J33)))^3/3+(ABS(H53)^2)/($I$5*MAX(((F33)+(H33)*(MAX($D$16,(D53)-(J33))))*(MAX($D$16,(D53)-(J33))),0.000001)))*0.99999971))/MAX(((G31)*(MAX($D$16,(D53)-(K31)))^2)/2+(I31)*(MAX($D$16,(D53)-(K31)))^3/3+(ABS(F53)^2)/($I$5*MAX(((G31)+(I31)*(MAX($D$16,(D53)-(K31))))*(MAX($D$16,(D53)-(K31))),0.000001)),0.000001)</f>
        <v>-0.2721494599999113</v>
      </c>
      <c r="V53">
        <f>(((((F34)*(MAX($D$16,(E53)-(J34)))^2)/2+(H34)*(MAX($D$16,(E53)-(J34)))^3/3+(ABS(I53)^2)/($I$5*MAX(((F34)+(H34)*(MAX($D$16,(E53)-(J34))))*(MAX($D$16,(E53)-(J34))),0.000001)))*1)-((((F35)*(MAX($D$16,(E53)-(J35)))^2)/2+(H35)*(MAX($D$16,(E53)-(J35)))^3/3+(ABS(J53)^2)/($I$5*MAX(((F35)+(H35)*(MAX($D$16,(E53)-(J35))))*(MAX($D$16,(E53)-(J35))),0.000001)))*0.30600918))/MAX(((G32)*(MAX($D$16,(E53)-(K32)))^2)/2+(I32)*(MAX($D$16,(E53)-(K32)))^3/3+(ABS(G53)^2)/($I$5*MAX(((G32)+(I32)*(MAX($D$16,(E53)-(K32))))*(MAX($D$16,(E53)-(K32))),0.000001)),0.000001)</f>
        <v>0.69398638928617662</v>
      </c>
      <c r="W53">
        <f>IF(N6="None",ABS(P53-D53),MAX(ABS(P53-D53),ABS(Q53-D53)))</f>
        <v>2.0044959261795157</v>
      </c>
      <c r="X53">
        <f>IF(AND(N7="None",N8="None"),0,IF(N8="None",ABS(S53-E53),IF(N7="None",ABS(T53-E53),MAX(ABS(S53-E53),ABS(T53-E53)))))</f>
        <v>51795.639589691928</v>
      </c>
      <c r="AA53">
        <f t="shared" si="3"/>
        <v>52432.442512044494</v>
      </c>
      <c r="AB53">
        <f t="shared" si="4"/>
        <v>41354.652466672938</v>
      </c>
      <c r="AC53">
        <f>IF(N6="None",P53,MAX(P53,Q53))</f>
        <v>52431.139589692481</v>
      </c>
      <c r="AD53">
        <f>IF(AND(N7="None",N8="None"),E53,IF(N8="None",S53,IF(N7="None",T53,MAX(S53,T53))))</f>
        <v>20784.033523923383</v>
      </c>
      <c r="AE53">
        <f t="shared" si="5"/>
        <v>637.65825101089843</v>
      </c>
      <c r="AF53">
        <f t="shared" si="6"/>
        <v>52433.144085618791</v>
      </c>
      <c r="AG53">
        <f>((G31)*(MAX($D$16,(AC53)-(K31)))^2)/2+(I31)*(MAX($D$16,(AC53)-(K31)))^3/3+(ABS(F53)^2)/($I$5*MAX(((G31)+(I31)*(MAX($D$16,(AC53)-(K31))))*(MAX($D$16,(AC53)-(K31))),0.000001))</f>
        <v>8797271066.8321571</v>
      </c>
      <c r="AH53">
        <f>((G31)*(MAX($D$16,(AE53)-(K31)))^2)/2+(I31)*(MAX($D$16,(AE53)-(K31)))^3/3+(ABS(F53)^2)/($I$5*MAX(((G31)+(I31)*(MAX($D$16,(AE53)-(K31))))*(MAX($D$16,(AE53)-(K31))),0.000001))</f>
        <v>49.055863329577349</v>
      </c>
      <c r="AI53">
        <f>((G32)*(MAX($D$16,(AD53)-(K32)))^2)/2+(I32)*(MAX($D$16,(AD53)-(K32)))^3/3+(ABS(G53)^2)/($I$5*MAX(((G32)+(I32)*(MAX($D$16,(AD53)-(K32))))*(MAX($D$16,(AD53)-(K32))),0.000001))</f>
        <v>2072376743.6648321</v>
      </c>
      <c r="AJ53">
        <f>((G32)*(MAX($D$16,(AF53)-(K32)))^2)/2+(I32)*(MAX($D$16,(AF53)-(K32)))^3/3+(ABS(G53)^2)/($I$5*MAX(((G32)+(I32)*(MAX($D$16,(AF53)-(K32))))*(MAX($D$16,(AF53)-(K32))),0.000001))</f>
        <v>13693244656.728636</v>
      </c>
      <c r="AK53" t="str">
        <f t="shared" si="7"/>
        <v>Subcritical</v>
      </c>
      <c r="AL53" t="str">
        <f t="shared" si="8"/>
        <v>Supercritical</v>
      </c>
      <c r="AM53">
        <f t="shared" si="9"/>
        <v>52432.442512044494</v>
      </c>
      <c r="AN53">
        <f t="shared" si="10"/>
        <v>52431.841163266326</v>
      </c>
      <c r="AO53">
        <f t="shared" si="11"/>
        <v>2.0044959261795157</v>
      </c>
      <c r="AP53">
        <f t="shared" si="12"/>
        <v>2.0044959268634557</v>
      </c>
    </row>
    <row r="54" spans="1:42" x14ac:dyDescent="0.35">
      <c r="A54">
        <v>11</v>
      </c>
      <c r="B54">
        <f t="shared" si="13"/>
        <v>0</v>
      </c>
      <c r="C54">
        <f t="shared" si="14"/>
        <v>0</v>
      </c>
      <c r="D54">
        <f t="shared" si="15"/>
        <v>52432.442512044494</v>
      </c>
      <c r="E54">
        <f t="shared" si="16"/>
        <v>52431.841163266326</v>
      </c>
      <c r="F54">
        <f t="shared" si="2"/>
        <v>51</v>
      </c>
      <c r="G54">
        <f>IF(N6="None",F54,MAX(0,F54*B54))</f>
        <v>51</v>
      </c>
      <c r="H54">
        <f>IF(N6="None",0,MAX(0,F54-G54))</f>
        <v>0</v>
      </c>
      <c r="I54">
        <f>IF(AND(N7="None",N8="None"),0,IF(N8="None",G54,IF(N7="None",0,MAX(0,G54*C54))))</f>
        <v>0</v>
      </c>
      <c r="J54">
        <f>IF(AND(N7="None",N8="None"),0,IF(N8="None",0,IF(N7="None",G54,MAX(0,G54-I54))))</f>
        <v>51</v>
      </c>
      <c r="K54">
        <f>P5</f>
        <v>637</v>
      </c>
      <c r="L54">
        <f>P6</f>
        <v>634.3119999999999</v>
      </c>
      <c r="M54">
        <f>P7</f>
        <v>635.5</v>
      </c>
      <c r="N54">
        <f>P8</f>
        <v>631.54999999999995</v>
      </c>
      <c r="O54">
        <f>K54+((ABS(F54)/MAX(((F31)+(H31)*(MAX($D$16,(K54)-(J31))))*(MAX($D$16,(K54)-(J31))),0.000001))^2)/(2*$I$5)-((E31)*((((ABS(F54)*$D$6)/(MAX(((F31)+(H31)*(MAX($D$16,(K54)-(J31))))*(MAX($D$16,(K54)-(J31))),0.000001)*MAX(((((F31)+(H31)*(MAX($D$16,(K54)-(J31))))*(MAX($D$16,(K54)-(J31))))/MAX((F31)+2*(MAX($D$16,(K54)-(J31)))*SQRT(1+(H31)^2),0.000001))^(2/3),0.000001)))^2)+(((ABS(F54)*$D$6)/(MAX(((G31)+(I31)*(MAX($D$16,(D54)-(K31))))*(MAX($D$16,(D54)-(K31))),0.000001)*MAX(((((G31)+(I31)*(MAX($D$16,(D54)-(K31))))*(MAX($D$16,(D54)-(K31))))/MAX((G31)+2*(MAX($D$16,(D54)-(K31)))*SQRT(1+(I31)^2),0.000001))^(2/3),0.000001)))^2))/2)+(IF((ABS(F54)/MAX(((G31)+(I31)*(MAX($D$16,(D54)-(K31))))*(MAX($D$16,(D54)-(K31))),0.000001))&gt;(ABS(F54)/MAX(((F31)+(H31)*(MAX($D$16,(K54)-(J31))))*(MAX($D$16,(K54)-(J31))),0.000001)),$D$9*((((ABS(F54)/MAX(((G31)+(I31)*(MAX($D$16,(D54)-(K31))))*(MAX($D$16,(D54)-(K31))),0.000001))^2)/(2*$I$5))-(((ABS(F54)/MAX(((F31)+(H31)*(MAX($D$16,(K54)-(J31))))*(MAX($D$16,(K54)-(J31))),0.000001))^2)/(2*$I$5))),$D$8*((((ABS(F54)/MAX(((F31)+(H31)*(MAX($D$16,(K54)-(J31))))*(MAX($D$16,(K54)-(J31))),0.000001))^2)/(2*$I$5))-(((ABS(F54)/MAX(((G31)+(I31)*(MAX($D$16,(D54)-(K31))))*(MAX($D$16,(D54)-(K31))),0.000001))^2)/(2*$I$5)))))+($D$10*(ABS((X31)-(W31))/90)*MAX(((ABS(F54)/MAX(((F31)+(H31)*(MAX($D$16,(K54)-(J31))))*(MAX($D$16,(K54)-(J31))),0.000001))^2)/(2*$I$5),((ABS(F54)/MAX(((G31)+(I31)*(MAX($D$16,(D54)-(K31))))*(MAX($D$16,(D54)-(K31))),0.000001))^2)/(2*$I$5)))+(0)-((ABS(F54)/MAX(((G31)+(I31)*(MAX($D$16,(D54)-(K31))))*(MAX($D$16,(D54)-(K31))),0.000001))^2)/(2*$I$5)</f>
        <v>637.65825101089831</v>
      </c>
      <c r="P54">
        <f>E54+((ABS(G54)/MAX(((G32)+(I32)*(MAX($D$16,(E54)-(K32))))*(MAX($D$16,(E54)-(K32))),0.000001))^2)/(2*$I$5)+((E32)*((((ABS(G54)*$D$6)/(MAX(((F32)+(H32)*(MAX($D$16,(D54)-(J32))))*(MAX($D$16,(D54)-(J32))),0.000001)*MAX(((((F32)+(H32)*(MAX($D$16,(D54)-(J32))))*(MAX($D$16,(D54)-(J32))))/MAX((F32)+2*(MAX($D$16,(D54)-(J32)))*SQRT(1+(H32)^2),0.000001))^(2/3),0.000001)))^2)+(((ABS(G54)*$D$6)/(MAX(((G32)+(I32)*(MAX($D$16,(E54)-(K32))))*(MAX($D$16,(E54)-(K32))),0.000001)*MAX(((((G32)+(I32)*(MAX($D$16,(E54)-(K32))))*(MAX($D$16,(E54)-(K32))))/MAX((G32)+2*(MAX($D$16,(E54)-(K32)))*SQRT(1+(I32)^2),0.000001))^(2/3),0.000001)))^2))/2)+(IF((ABS(G54)/MAX(((G32)+(I32)*(MAX($D$16,(E54)-(K32))))*(MAX($D$16,(E54)-(K32))),0.000001))&gt;(ABS(G54)/MAX(((F32)+(H32)*(MAX($D$16,(D54)-(J32))))*(MAX($D$16,(D54)-(J32))),0.000001)),$D$9*((((ABS(G54)/MAX(((G32)+(I32)*(MAX($D$16,(E54)-(K32))))*(MAX($D$16,(E54)-(K32))),0.000001))^2)/(2*$I$5))-(((ABS(G54)/MAX(((F32)+(H32)*(MAX($D$16,(D54)-(J32))))*(MAX($D$16,(D54)-(J32))),0.000001))^2)/(2*$I$5))),$D$8*((((ABS(G54)/MAX(((F32)+(H32)*(MAX($D$16,(D54)-(J32))))*(MAX($D$16,(D54)-(J32))),0.000001))^2)/(2*$I$5))-(((ABS(G54)/MAX(((G32)+(I32)*(MAX($D$16,(E54)-(K32))))*(MAX($D$16,(E54)-(K32))),0.000001))^2)/(2*$I$5)))))+($D$10*(ABS((X32)-(W32))/90)*MAX(((ABS(G54)/MAX(((F32)+(H32)*(MAX($D$16,(D54)-(J32))))*(MAX($D$16,(D54)-(J32))),0.000001))^2)/(2*$I$5),((ABS(G54)/MAX(((G32)+(I32)*(MAX($D$16,(E54)-(K32))))*(MAX($D$16,(E54)-(K32))),0.000001))^2)/(2*$I$5)))+(($D$11*0.13607488*(ABS(H54)/MAX(ABS(F54),0.000001))^2*MAX(((ABS(G54)/MAX(((F32)+(H32)*(MAX($D$16,(D54)-(J32))))*(MAX($D$16,(D54)-(J32))),0.000001))^2)/(2*$I$5),((ABS(G54)/MAX(((G32)+(I32)*(MAX($D$16,(E54)-(K32))))*(MAX($D$16,(E54)-(K32))),0.000001))^2)/(2*$I$5))))-((ABS(G54)/MAX(((F32)+(H32)*(MAX($D$16,(D54)-(J32))))*(MAX($D$16,(D54)-(J32))),0.000001))^2)/(2*$I$5)</f>
        <v>52431.841163266879</v>
      </c>
      <c r="Q54">
        <f>L54+((ABS(H54)/MAX(((G33)+(I33)*(MAX($D$16,(L54)-(K33))))*(MAX($D$16,(L54)-(K33))),0.000001))^2)/(2*$I$5)+((E33)*((((ABS(H54)*$D$6)/(MAX(((F33)+(H33)*(MAX($D$16,(D54)-(J33))))*(MAX($D$16,(D54)-(J33))),0.000001)*MAX(((((F33)+(H33)*(MAX($D$16,(D54)-(J33))))*(MAX($D$16,(D54)-(J33))))/MAX((F33)+2*(MAX($D$16,(D54)-(J33)))*SQRT(1+(H33)^2),0.000001))^(2/3),0.000001)))^2)+(((ABS(H54)*$D$6)/(MAX(((G33)+(I33)*(MAX($D$16,(L54)-(K33))))*(MAX($D$16,(L54)-(K33))),0.000001)*MAX(((((G33)+(I33)*(MAX($D$16,(L54)-(K33))))*(MAX($D$16,(L54)-(K33))))/MAX((G33)+2*(MAX($D$16,(L54)-(K33)))*SQRT(1+(I33)^2),0.000001))^(2/3),0.000001)))^2))/2)+(IF((ABS(H54)/MAX(((G33)+(I33)*(MAX($D$16,(L54)-(K33))))*(MAX($D$16,(L54)-(K33))),0.000001))&gt;(ABS(H54)/MAX(((F33)+(H33)*(MAX($D$16,(D54)-(J33))))*(MAX($D$16,(D54)-(J33))),0.000001)),$D$9*((((ABS(H54)/MAX(((G33)+(I33)*(MAX($D$16,(L54)-(K33))))*(MAX($D$16,(L54)-(K33))),0.000001))^2)/(2*$I$5))-(((ABS(H54)/MAX(((F33)+(H33)*(MAX($D$16,(D54)-(J33))))*(MAX($D$16,(D54)-(J33))),0.000001))^2)/(2*$I$5))),$D$8*((((ABS(H54)/MAX(((F33)+(H33)*(MAX($D$16,(D54)-(J33))))*(MAX($D$16,(D54)-(J33))),0.000001))^2)/(2*$I$5))-(((ABS(H54)/MAX(((G33)+(I33)*(MAX($D$16,(L54)-(K33))))*(MAX($D$16,(L54)-(K33))),0.000001))^2)/(2*$I$5)))))+($D$10*(ABS((X33)-(W33))/90)*MAX(((ABS(H54)/MAX(((F33)+(H33)*(MAX($D$16,(D54)-(J33))))*(MAX($D$16,(D54)-(J33))),0.000001))^2)/(2*$I$5),((ABS(H54)/MAX(((G33)+(I33)*(MAX($D$16,(L54)-(K33))))*(MAX($D$16,(L54)-(K33))),0.000001))^2)/(2*$I$5)))+(($D$11*0.00000015*(ABS(G54)/MAX(ABS(F54),0.000001))^2*MAX(((ABS(H54)/MAX(((F33)+(H33)*(MAX($D$16,(D54)-(J33))))*(MAX($D$16,(D54)-(J33))),0.000001))^2)/(2*$I$5),((ABS(H54)/MAX(((G33)+(I33)*(MAX($D$16,(L54)-(K33))))*(MAX($D$16,(L54)-(K33))),0.000001))^2)/(2*$I$5))))-((ABS(H54)/MAX(((F33)+(H33)*(MAX($D$16,(D54)-(J33))))*(MAX($D$16,(D54)-(J33))),0.000001))^2)/(2*$I$5)</f>
        <v>634.3119999999999</v>
      </c>
      <c r="R54">
        <f>D54+((ABS(G54)/MAX(((F32)+(H32)*(MAX($D$16,(D54)-(J32))))*(MAX($D$16,(D54)-(J32))),0.000001))^2)/(2*$I$5)-((E32)*((((ABS(G54)*$D$6)/(MAX(((F32)+(H32)*(MAX($D$16,(D54)-(J32))))*(MAX($D$16,(D54)-(J32))),0.000001)*MAX(((((F32)+(H32)*(MAX($D$16,(D54)-(J32))))*(MAX($D$16,(D54)-(J32))))/MAX((F32)+2*(MAX($D$16,(D54)-(J32)))*SQRT(1+(H32)^2),0.000001))^(2/3),0.000001)))^2)+(((ABS(G54)*$D$6)/(MAX(((G32)+(I32)*(MAX($D$16,(E54)-(K32))))*(MAX($D$16,(E54)-(K32))),0.000001)*MAX(((((G32)+(I32)*(MAX($D$16,(E54)-(K32))))*(MAX($D$16,(E54)-(K32))))/MAX((G32)+2*(MAX($D$16,(E54)-(K32)))*SQRT(1+(I32)^2),0.000001))^(2/3),0.000001)))^2))/2)+(IF((ABS(G54)/MAX(((G32)+(I32)*(MAX($D$16,(E54)-(K32))))*(MAX($D$16,(E54)-(K32))),0.000001))&gt;(ABS(G54)/MAX(((F32)+(H32)*(MAX($D$16,(D54)-(J32))))*(MAX($D$16,(D54)-(J32))),0.000001)),$D$9*((((ABS(G54)/MAX(((G32)+(I32)*(MAX($D$16,(E54)-(K32))))*(MAX($D$16,(E54)-(K32))),0.000001))^2)/(2*$I$5))-(((ABS(G54)/MAX(((F32)+(H32)*(MAX($D$16,(D54)-(J32))))*(MAX($D$16,(D54)-(J32))),0.000001))^2)/(2*$I$5))),$D$8*((((ABS(G54)/MAX(((F32)+(H32)*(MAX($D$16,(D54)-(J32))))*(MAX($D$16,(D54)-(J32))),0.000001))^2)/(2*$I$5))-(((ABS(G54)/MAX(((G32)+(I32)*(MAX($D$16,(E54)-(K32))))*(MAX($D$16,(E54)-(K32))),0.000001))^2)/(2*$I$5)))))+($D$10*(ABS((X32)-(W32))/90)*MAX(((ABS(G54)/MAX(((F32)+(H32)*(MAX($D$16,(D54)-(J32))))*(MAX($D$16,(D54)-(J32))),0.000001))^2)/(2*$I$5),((ABS(G54)/MAX(((G32)+(I32)*(MAX($D$16,(E54)-(K32))))*(MAX($D$16,(E54)-(K32))),0.000001))^2)/(2*$I$5)))+(($D$11*0.13607488*(ABS(H54)/MAX(ABS(F54),0.000001))^2*MAX(((ABS(G54)/MAX(((F32)+(H32)*(MAX($D$16,(D54)-(J32))))*(MAX($D$16,(D54)-(J32))),0.000001))^2)/(2*$I$5),((ABS(G54)/MAX(((G32)+(I32)*(MAX($D$16,(E54)-(K32))))*(MAX($D$16,(E54)-(K32))),0.000001))^2)/(2*$I$5))))-((ABS(G54)/MAX(((G32)+(I32)*(MAX($D$16,(E54)-(K32))))*(MAX($D$16,(E54)-(K32))),0.000001))^2)/(2*$I$5)</f>
        <v>52432.442512044625</v>
      </c>
      <c r="S54">
        <f>M54+((ABS(I54)/MAX(((G34)+(I34)*(MAX($D$16,(M54)-(K34))))*(MAX($D$16,(M54)-(K34))),0.000001))^2)/(2*$I$5)+((E34)*((((ABS(I54)*$D$6)/(MAX(((F34)+(H34)*(MAX($D$16,(E54)-(J34))))*(MAX($D$16,(E54)-(J34))),0.000001)*MAX(((((F34)+(H34)*(MAX($D$16,(E54)-(J34))))*(MAX($D$16,(E54)-(J34))))/MAX((F34)+2*(MAX($D$16,(E54)-(J34)))*SQRT(1+(H34)^2),0.000001))^(2/3),0.000001)))^2)+(((ABS(I54)*$D$6)/(MAX(((G34)+(I34)*(MAX($D$16,(M54)-(K34))))*(MAX($D$16,(M54)-(K34))),0.000001)*MAX(((((G34)+(I34)*(MAX($D$16,(M54)-(K34))))*(MAX($D$16,(M54)-(K34))))/MAX((G34)+2*(MAX($D$16,(M54)-(K34)))*SQRT(1+(I34)^2),0.000001))^(2/3),0.000001)))^2))/2)+(IF((ABS(I54)/MAX(((G34)+(I34)*(MAX($D$16,(M54)-(K34))))*(MAX($D$16,(M54)-(K34))),0.000001))&gt;(ABS(I54)/MAX(((F34)+(H34)*(MAX($D$16,(E54)-(J34))))*(MAX($D$16,(E54)-(J34))),0.000001)),$D$9*((((ABS(I54)/MAX(((G34)+(I34)*(MAX($D$16,(M54)-(K34))))*(MAX($D$16,(M54)-(K34))),0.000001))^2)/(2*$I$5))-(((ABS(I54)/MAX(((F34)+(H34)*(MAX($D$16,(E54)-(J34))))*(MAX($D$16,(E54)-(J34))),0.000001))^2)/(2*$I$5))),$D$8*((((ABS(I54)/MAX(((F34)+(H34)*(MAX($D$16,(E54)-(J34))))*(MAX($D$16,(E54)-(J34))),0.000001))^2)/(2*$I$5))-(((ABS(I54)/MAX(((G34)+(I34)*(MAX($D$16,(M54)-(K34))))*(MAX($D$16,(M54)-(K34))),0.000001))^2)/(2*$I$5)))))+($D$10*(ABS((X34)-(W34))/90)*MAX(((ABS(I54)/MAX(((F34)+(H34)*(MAX($D$16,(E54)-(J34))))*(MAX($D$16,(E54)-(J34))),0.000001))^2)/(2*$I$5),((ABS(I54)/MAX(((G34)+(I34)*(MAX($D$16,(M54)-(K34))))*(MAX($D$16,(M54)-(K34))),0.000001))^2)/(2*$I$5)))+(0)-((ABS(I54)/MAX(((F34)+(H34)*(MAX($D$16,(E54)-(J34))))*(MAX($D$16,(E54)-(J34))),0.000001))^2)/(2*$I$5)</f>
        <v>635.5</v>
      </c>
      <c r="T54">
        <f>N54+((ABS(J54)/MAX(((G35)+(I35)*(MAX($D$16,(N54)-(K35))))*(MAX($D$16,(N54)-(K35))),0.000001))^2)/(2*$I$5)+((E35)*((((ABS(J54)*$D$6)/(MAX(((F35)+(H35)*(MAX($D$16,(E54)-(J35))))*(MAX($D$16,(E54)-(J35))),0.000001)*MAX(((((F35)+(H35)*(MAX($D$16,(E54)-(J35))))*(MAX($D$16,(E54)-(J35))))/MAX((F35)+2*(MAX($D$16,(E54)-(J35)))*SQRT(1+(H35)^2),0.000001))^(2/3),0.000001)))^2)+(((ABS(J54)*$D$6)/(MAX(((G35)+(I35)*(MAX($D$16,(N54)-(K35))))*(MAX($D$16,(N54)-(K35))),0.000001)*MAX(((((G35)+(I35)*(MAX($D$16,(N54)-(K35))))*(MAX($D$16,(N54)-(K35))))/MAX((G35)+2*(MAX($D$16,(N54)-(K35)))*SQRT(1+(I35)^2),0.000001))^(2/3),0.000001)))^2))/2)+(IF((ABS(J54)/MAX(((G35)+(I35)*(MAX($D$16,(N54)-(K35))))*(MAX($D$16,(N54)-(K35))),0.000001))&gt;(ABS(J54)/MAX(((F35)+(H35)*(MAX($D$16,(E54)-(J35))))*(MAX($D$16,(E54)-(J35))),0.000001)),$D$9*((((ABS(J54)/MAX(((G35)+(I35)*(MAX($D$16,(N54)-(K35))))*(MAX($D$16,(N54)-(K35))),0.000001))^2)/(2*$I$5))-(((ABS(J54)/MAX(((F35)+(H35)*(MAX($D$16,(E54)-(J35))))*(MAX($D$16,(E54)-(J35))),0.000001))^2)/(2*$I$5))),$D$8*((((ABS(J54)/MAX(((F35)+(H35)*(MAX($D$16,(E54)-(J35))))*(MAX($D$16,(E54)-(J35))),0.000001))^2)/(2*$I$5))-(((ABS(J54)/MAX(((G35)+(I35)*(MAX($D$16,(N54)-(K35))))*(MAX($D$16,(N54)-(K35))),0.000001))^2)/(2*$I$5)))))+($D$10*(ABS((X35)-(W35))/90)*MAX(((ABS(J54)/MAX(((F35)+(H35)*(MAX($D$16,(E54)-(J35))))*(MAX($D$16,(E54)-(J35))),0.000001))^2)/(2*$I$5),((ABS(J54)/MAX(((G35)+(I35)*(MAX($D$16,(N54)-(K35))))*(MAX($D$16,(N54)-(K35))),0.000001))^2)/(2*$I$5)))+(($D$11*0.34699541*(ABS(I54)/MAX(ABS(G54),0.000001))^2*MAX(((ABS(J54)/MAX(((F35)+(H35)*(MAX($D$16,(E54)-(J35))))*(MAX($D$16,(E54)-(J35))),0.000001))^2)/(2*$I$5),((ABS(J54)/MAX(((G35)+(I35)*(MAX($D$16,(N54)-(K35))))*(MAX($D$16,(N54)-(K35))),0.000001))^2)/(2*$I$5))))-((ABS(J54)/MAX(((F35)+(H35)*(MAX($D$16,(E54)-(J35))))*(MAX($D$16,(E54)-(J35))),0.000001))^2)/(2*$I$5)</f>
        <v>20784.033523923383</v>
      </c>
      <c r="U54">
        <f>(((((F32)*(MAX($D$16,(D54)-(J32)))^2)/2+(H32)*(MAX($D$16,(D54)-(J32)))^3/3+(ABS(G54)^2)/($I$5*MAX(((F32)+(H32)*(MAX($D$16,(D54)-(J32))))*(MAX($D$16,(D54)-(J32))),0.000001)))*0.72785025)-((((F33)*(MAX($D$16,(D54)-(J33)))^2)/2+(H33)*(MAX($D$16,(D54)-(J33)))^3/3+(ABS(H54)^2)/($I$5*MAX(((F33)+(H33)*(MAX($D$16,(D54)-(J33))))*(MAX($D$16,(D54)-(J33))),0.000001)))*0.99999971))/MAX(((G31)*(MAX($D$16,(D54)-(K31)))^2)/2+(I31)*(MAX($D$16,(D54)-(K31)))^3/3+(ABS(F54)^2)/($I$5*MAX(((G31)+(I31)*(MAX($D$16,(D54)-(K31))))*(MAX($D$16,(D54)-(K31))),0.000001)),0.000001)</f>
        <v>-0.2721494599999113</v>
      </c>
      <c r="V54">
        <f>(((((F34)*(MAX($D$16,(E54)-(J34)))^2)/2+(H34)*(MAX($D$16,(E54)-(J34)))^3/3+(ABS(I54)^2)/($I$5*MAX(((F34)+(H34)*(MAX($D$16,(E54)-(J34))))*(MAX($D$16,(E54)-(J34))),0.000001)))*1)-((((F35)*(MAX($D$16,(E54)-(J35)))^2)/2+(H35)*(MAX($D$16,(E54)-(J35)))^3/3+(ABS(J54)^2)/($I$5*MAX(((F35)+(H35)*(MAX($D$16,(E54)-(J35))))*(MAX($D$16,(E54)-(J35))),0.000001)))*0.30600918))/MAX(((G32)*(MAX($D$16,(E54)-(K32)))^2)/2+(I32)*(MAX($D$16,(E54)-(K32)))^3/3+(ABS(G54)^2)/($I$5*MAX(((G32)+(I32)*(MAX($D$16,(E54)-(K32))))*(MAX($D$16,(E54)-(K32))),0.000001)),0.000001)</f>
        <v>0.69398638934618606</v>
      </c>
      <c r="W54">
        <f>IF(N6="None",ABS(P54-D54),MAX(ABS(P54-D54),ABS(Q54-D54)))</f>
        <v>0.60134877761447569</v>
      </c>
      <c r="X54">
        <f>IF(AND(N7="None",N8="None"),0,IF(N8="None",ABS(S54-E54),IF(N7="None",ABS(T54-E54),MAX(ABS(S54-E54),ABS(T54-E54)))))</f>
        <v>51796.341163266326</v>
      </c>
      <c r="AA54">
        <f t="shared" si="3"/>
        <v>52432.232039972332</v>
      </c>
      <c r="AB54">
        <f t="shared" si="4"/>
        <v>41355.108489496299</v>
      </c>
      <c r="AC54">
        <f>IF(N6="None",P54,MAX(P54,Q54))</f>
        <v>52431.841163266879</v>
      </c>
      <c r="AD54">
        <f>IF(AND(N7="None",N8="None"),E54,IF(N8="None",S54,IF(N7="None",T54,MAX(S54,T54))))</f>
        <v>20784.033523923383</v>
      </c>
      <c r="AE54">
        <f t="shared" si="5"/>
        <v>637.65825101089831</v>
      </c>
      <c r="AF54">
        <f t="shared" si="6"/>
        <v>52432.442512044625</v>
      </c>
      <c r="AG54">
        <f>((G31)*(MAX($D$16,(AC54)-(K31)))^2)/2+(I31)*(MAX($D$16,(AC54)-(K31)))^3/3+(ABS(F54)^2)/($I$5*MAX(((G31)+(I31)*(MAX($D$16,(AC54)-(K31))))*(MAX($D$16,(AC54)-(K31))),0.000001))</f>
        <v>8797509381.5446529</v>
      </c>
      <c r="AH54">
        <f>((G31)*(MAX($D$16,(AE54)-(K31)))^2)/2+(I31)*(MAX($D$16,(AE54)-(K31)))^3/3+(ABS(F54)^2)/($I$5*MAX(((G31)+(I31)*(MAX($D$16,(AE54)-(K31))))*(MAX($D$16,(AE54)-(K31))),0.000001))</f>
        <v>49.055863329575246</v>
      </c>
      <c r="AI54">
        <f>((G32)*(MAX($D$16,(AD54)-(K32)))^2)/2+(I32)*(MAX($D$16,(AD54)-(K32)))^3/3+(ABS(G54)^2)/($I$5*MAX(((G32)+(I32)*(MAX($D$16,(AD54)-(K32))))*(MAX($D$16,(AD54)-(K32))),0.000001))</f>
        <v>2072376743.6648321</v>
      </c>
      <c r="AJ54">
        <f>((G32)*(MAX($D$16,(AF54)-(K32)))^2)/2+(I32)*(MAX($D$16,(AF54)-(K32)))^3/3+(ABS(G54)^2)/($I$5*MAX(((G32)+(I32)*(MAX($D$16,(AF54)-(K32))))*(MAX($D$16,(AF54)-(K32))),0.000001))</f>
        <v>13692873748.690664</v>
      </c>
      <c r="AK54" t="str">
        <f t="shared" si="7"/>
        <v>Subcritical</v>
      </c>
      <c r="AL54" t="str">
        <f t="shared" si="8"/>
        <v>Supercritical</v>
      </c>
      <c r="AM54">
        <f t="shared" si="9"/>
        <v>52432.232039972332</v>
      </c>
      <c r="AN54">
        <f t="shared" si="10"/>
        <v>52432.051635338728</v>
      </c>
      <c r="AO54">
        <f t="shared" si="11"/>
        <v>0.60134877761447569</v>
      </c>
      <c r="AP54">
        <f t="shared" si="12"/>
        <v>0.60134877829841571</v>
      </c>
    </row>
    <row r="55" spans="1:42" x14ac:dyDescent="0.35">
      <c r="A55">
        <v>12</v>
      </c>
      <c r="B55">
        <f t="shared" si="13"/>
        <v>0</v>
      </c>
      <c r="C55">
        <f t="shared" si="14"/>
        <v>0</v>
      </c>
      <c r="D55">
        <f t="shared" si="15"/>
        <v>52432.232039972332</v>
      </c>
      <c r="E55">
        <f t="shared" si="16"/>
        <v>52432.051635338728</v>
      </c>
      <c r="F55">
        <f t="shared" si="2"/>
        <v>51</v>
      </c>
      <c r="G55">
        <f>IF(N6="None",F55,MAX(0,F55*B55))</f>
        <v>51</v>
      </c>
      <c r="H55">
        <f>IF(N6="None",0,MAX(0,F55-G55))</f>
        <v>0</v>
      </c>
      <c r="I55">
        <f>IF(AND(N7="None",N8="None"),0,IF(N8="None",G55,IF(N7="None",0,MAX(0,G55*C55))))</f>
        <v>0</v>
      </c>
      <c r="J55">
        <f>IF(AND(N7="None",N8="None"),0,IF(N8="None",0,IF(N7="None",G55,MAX(0,G55-I55))))</f>
        <v>51</v>
      </c>
      <c r="K55">
        <f>P5</f>
        <v>637</v>
      </c>
      <c r="L55">
        <f>P6</f>
        <v>634.3119999999999</v>
      </c>
      <c r="M55">
        <f>P7</f>
        <v>635.5</v>
      </c>
      <c r="N55">
        <f>P8</f>
        <v>631.54999999999995</v>
      </c>
      <c r="O55">
        <f>K55+((ABS(F55)/MAX(((F31)+(H31)*(MAX($D$16,(K55)-(J31))))*(MAX($D$16,(K55)-(J31))),0.000001))^2)/(2*$I$5)-((E31)*((((ABS(F55)*$D$6)/(MAX(((F31)+(H31)*(MAX($D$16,(K55)-(J31))))*(MAX($D$16,(K55)-(J31))),0.000001)*MAX(((((F31)+(H31)*(MAX($D$16,(K55)-(J31))))*(MAX($D$16,(K55)-(J31))))/MAX((F31)+2*(MAX($D$16,(K55)-(J31)))*SQRT(1+(H31)^2),0.000001))^(2/3),0.000001)))^2)+(((ABS(F55)*$D$6)/(MAX(((G31)+(I31)*(MAX($D$16,(D55)-(K31))))*(MAX($D$16,(D55)-(K31))),0.000001)*MAX(((((G31)+(I31)*(MAX($D$16,(D55)-(K31))))*(MAX($D$16,(D55)-(K31))))/MAX((G31)+2*(MAX($D$16,(D55)-(K31)))*SQRT(1+(I31)^2),0.000001))^(2/3),0.000001)))^2))/2)+(IF((ABS(F55)/MAX(((G31)+(I31)*(MAX($D$16,(D55)-(K31))))*(MAX($D$16,(D55)-(K31))),0.000001))&gt;(ABS(F55)/MAX(((F31)+(H31)*(MAX($D$16,(K55)-(J31))))*(MAX($D$16,(K55)-(J31))),0.000001)),$D$9*((((ABS(F55)/MAX(((G31)+(I31)*(MAX($D$16,(D55)-(K31))))*(MAX($D$16,(D55)-(K31))),0.000001))^2)/(2*$I$5))-(((ABS(F55)/MAX(((F31)+(H31)*(MAX($D$16,(K55)-(J31))))*(MAX($D$16,(K55)-(J31))),0.000001))^2)/(2*$I$5))),$D$8*((((ABS(F55)/MAX(((F31)+(H31)*(MAX($D$16,(K55)-(J31))))*(MAX($D$16,(K55)-(J31))),0.000001))^2)/(2*$I$5))-(((ABS(F55)/MAX(((G31)+(I31)*(MAX($D$16,(D55)-(K31))))*(MAX($D$16,(D55)-(K31))),0.000001))^2)/(2*$I$5)))))+($D$10*(ABS((X31)-(W31))/90)*MAX(((ABS(F55)/MAX(((F31)+(H31)*(MAX($D$16,(K55)-(J31))))*(MAX($D$16,(K55)-(J31))),0.000001))^2)/(2*$I$5),((ABS(F55)/MAX(((G31)+(I31)*(MAX($D$16,(D55)-(K31))))*(MAX($D$16,(D55)-(K31))),0.000001))^2)/(2*$I$5)))+(0)-((ABS(F55)/MAX(((G31)+(I31)*(MAX($D$16,(D55)-(K31))))*(MAX($D$16,(D55)-(K31))),0.000001))^2)/(2*$I$5)</f>
        <v>637.65825101089831</v>
      </c>
      <c r="P55">
        <f>E55+((ABS(G55)/MAX(((G32)+(I32)*(MAX($D$16,(E55)-(K32))))*(MAX($D$16,(E55)-(K32))),0.000001))^2)/(2*$I$5)+((E32)*((((ABS(G55)*$D$6)/(MAX(((F32)+(H32)*(MAX($D$16,(D55)-(J32))))*(MAX($D$16,(D55)-(J32))),0.000001)*MAX(((((F32)+(H32)*(MAX($D$16,(D55)-(J32))))*(MAX($D$16,(D55)-(J32))))/MAX((F32)+2*(MAX($D$16,(D55)-(J32)))*SQRT(1+(H32)^2),0.000001))^(2/3),0.000001)))^2)+(((ABS(G55)*$D$6)/(MAX(((G32)+(I32)*(MAX($D$16,(E55)-(K32))))*(MAX($D$16,(E55)-(K32))),0.000001)*MAX(((((G32)+(I32)*(MAX($D$16,(E55)-(K32))))*(MAX($D$16,(E55)-(K32))))/MAX((G32)+2*(MAX($D$16,(E55)-(K32)))*SQRT(1+(I32)^2),0.000001))^(2/3),0.000001)))^2))/2)+(IF((ABS(G55)/MAX(((G32)+(I32)*(MAX($D$16,(E55)-(K32))))*(MAX($D$16,(E55)-(K32))),0.000001))&gt;(ABS(G55)/MAX(((F32)+(H32)*(MAX($D$16,(D55)-(J32))))*(MAX($D$16,(D55)-(J32))),0.000001)),$D$9*((((ABS(G55)/MAX(((G32)+(I32)*(MAX($D$16,(E55)-(K32))))*(MAX($D$16,(E55)-(K32))),0.000001))^2)/(2*$I$5))-(((ABS(G55)/MAX(((F32)+(H32)*(MAX($D$16,(D55)-(J32))))*(MAX($D$16,(D55)-(J32))),0.000001))^2)/(2*$I$5))),$D$8*((((ABS(G55)/MAX(((F32)+(H32)*(MAX($D$16,(D55)-(J32))))*(MAX($D$16,(D55)-(J32))),0.000001))^2)/(2*$I$5))-(((ABS(G55)/MAX(((G32)+(I32)*(MAX($D$16,(E55)-(K32))))*(MAX($D$16,(E55)-(K32))),0.000001))^2)/(2*$I$5)))))+($D$10*(ABS((X32)-(W32))/90)*MAX(((ABS(G55)/MAX(((F32)+(H32)*(MAX($D$16,(D55)-(J32))))*(MAX($D$16,(D55)-(J32))),0.000001))^2)/(2*$I$5),((ABS(G55)/MAX(((G32)+(I32)*(MAX($D$16,(E55)-(K32))))*(MAX($D$16,(E55)-(K32))),0.000001))^2)/(2*$I$5)))+(($D$11*0.13607488*(ABS(H55)/MAX(ABS(F55),0.000001))^2*MAX(((ABS(G55)/MAX(((F32)+(H32)*(MAX($D$16,(D55)-(J32))))*(MAX($D$16,(D55)-(J32))),0.000001))^2)/(2*$I$5),((ABS(G55)/MAX(((G32)+(I32)*(MAX($D$16,(E55)-(K32))))*(MAX($D$16,(E55)-(K32))),0.000001))^2)/(2*$I$5))))-((ABS(G55)/MAX(((F32)+(H32)*(MAX($D$16,(D55)-(J32))))*(MAX($D$16,(D55)-(J32))),0.000001))^2)/(2*$I$5)</f>
        <v>52432.051635339281</v>
      </c>
      <c r="Q55">
        <f>L55+((ABS(H55)/MAX(((G33)+(I33)*(MAX($D$16,(L55)-(K33))))*(MAX($D$16,(L55)-(K33))),0.000001))^2)/(2*$I$5)+((E33)*((((ABS(H55)*$D$6)/(MAX(((F33)+(H33)*(MAX($D$16,(D55)-(J33))))*(MAX($D$16,(D55)-(J33))),0.000001)*MAX(((((F33)+(H33)*(MAX($D$16,(D55)-(J33))))*(MAX($D$16,(D55)-(J33))))/MAX((F33)+2*(MAX($D$16,(D55)-(J33)))*SQRT(1+(H33)^2),0.000001))^(2/3),0.000001)))^2)+(((ABS(H55)*$D$6)/(MAX(((G33)+(I33)*(MAX($D$16,(L55)-(K33))))*(MAX($D$16,(L55)-(K33))),0.000001)*MAX(((((G33)+(I33)*(MAX($D$16,(L55)-(K33))))*(MAX($D$16,(L55)-(K33))))/MAX((G33)+2*(MAX($D$16,(L55)-(K33)))*SQRT(1+(I33)^2),0.000001))^(2/3),0.000001)))^2))/2)+(IF((ABS(H55)/MAX(((G33)+(I33)*(MAX($D$16,(L55)-(K33))))*(MAX($D$16,(L55)-(K33))),0.000001))&gt;(ABS(H55)/MAX(((F33)+(H33)*(MAX($D$16,(D55)-(J33))))*(MAX($D$16,(D55)-(J33))),0.000001)),$D$9*((((ABS(H55)/MAX(((G33)+(I33)*(MAX($D$16,(L55)-(K33))))*(MAX($D$16,(L55)-(K33))),0.000001))^2)/(2*$I$5))-(((ABS(H55)/MAX(((F33)+(H33)*(MAX($D$16,(D55)-(J33))))*(MAX($D$16,(D55)-(J33))),0.000001))^2)/(2*$I$5))),$D$8*((((ABS(H55)/MAX(((F33)+(H33)*(MAX($D$16,(D55)-(J33))))*(MAX($D$16,(D55)-(J33))),0.000001))^2)/(2*$I$5))-(((ABS(H55)/MAX(((G33)+(I33)*(MAX($D$16,(L55)-(K33))))*(MAX($D$16,(L55)-(K33))),0.000001))^2)/(2*$I$5)))))+($D$10*(ABS((X33)-(W33))/90)*MAX(((ABS(H55)/MAX(((F33)+(H33)*(MAX($D$16,(D55)-(J33))))*(MAX($D$16,(D55)-(J33))),0.000001))^2)/(2*$I$5),((ABS(H55)/MAX(((G33)+(I33)*(MAX($D$16,(L55)-(K33))))*(MAX($D$16,(L55)-(K33))),0.000001))^2)/(2*$I$5)))+(($D$11*0.00000015*(ABS(G55)/MAX(ABS(F55),0.000001))^2*MAX(((ABS(H55)/MAX(((F33)+(H33)*(MAX($D$16,(D55)-(J33))))*(MAX($D$16,(D55)-(J33))),0.000001))^2)/(2*$I$5),((ABS(H55)/MAX(((G33)+(I33)*(MAX($D$16,(L55)-(K33))))*(MAX($D$16,(L55)-(K33))),0.000001))^2)/(2*$I$5))))-((ABS(H55)/MAX(((F33)+(H33)*(MAX($D$16,(D55)-(J33))))*(MAX($D$16,(D55)-(J33))),0.000001))^2)/(2*$I$5)</f>
        <v>634.3119999999999</v>
      </c>
      <c r="R55">
        <f>D55+((ABS(G55)/MAX(((F32)+(H32)*(MAX($D$16,(D55)-(J32))))*(MAX($D$16,(D55)-(J32))),0.000001))^2)/(2*$I$5)-((E32)*((((ABS(G55)*$D$6)/(MAX(((F32)+(H32)*(MAX($D$16,(D55)-(J32))))*(MAX($D$16,(D55)-(J32))),0.000001)*MAX(((((F32)+(H32)*(MAX($D$16,(D55)-(J32))))*(MAX($D$16,(D55)-(J32))))/MAX((F32)+2*(MAX($D$16,(D55)-(J32)))*SQRT(1+(H32)^2),0.000001))^(2/3),0.000001)))^2)+(((ABS(G55)*$D$6)/(MAX(((G32)+(I32)*(MAX($D$16,(E55)-(K32))))*(MAX($D$16,(E55)-(K32))),0.000001)*MAX(((((G32)+(I32)*(MAX($D$16,(E55)-(K32))))*(MAX($D$16,(E55)-(K32))))/MAX((G32)+2*(MAX($D$16,(E55)-(K32)))*SQRT(1+(I32)^2),0.000001))^(2/3),0.000001)))^2))/2)+(IF((ABS(G55)/MAX(((G32)+(I32)*(MAX($D$16,(E55)-(K32))))*(MAX($D$16,(E55)-(K32))),0.000001))&gt;(ABS(G55)/MAX(((F32)+(H32)*(MAX($D$16,(D55)-(J32))))*(MAX($D$16,(D55)-(J32))),0.000001)),$D$9*((((ABS(G55)/MAX(((G32)+(I32)*(MAX($D$16,(E55)-(K32))))*(MAX($D$16,(E55)-(K32))),0.000001))^2)/(2*$I$5))-(((ABS(G55)/MAX(((F32)+(H32)*(MAX($D$16,(D55)-(J32))))*(MAX($D$16,(D55)-(J32))),0.000001))^2)/(2*$I$5))),$D$8*((((ABS(G55)/MAX(((F32)+(H32)*(MAX($D$16,(D55)-(J32))))*(MAX($D$16,(D55)-(J32))),0.000001))^2)/(2*$I$5))-(((ABS(G55)/MAX(((G32)+(I32)*(MAX($D$16,(E55)-(K32))))*(MAX($D$16,(E55)-(K32))),0.000001))^2)/(2*$I$5)))))+($D$10*(ABS((X32)-(W32))/90)*MAX(((ABS(G55)/MAX(((F32)+(H32)*(MAX($D$16,(D55)-(J32))))*(MAX($D$16,(D55)-(J32))),0.000001))^2)/(2*$I$5),((ABS(G55)/MAX(((G32)+(I32)*(MAX($D$16,(E55)-(K32))))*(MAX($D$16,(E55)-(K32))),0.000001))^2)/(2*$I$5)))+(($D$11*0.13607488*(ABS(H55)/MAX(ABS(F55),0.000001))^2*MAX(((ABS(G55)/MAX(((F32)+(H32)*(MAX($D$16,(D55)-(J32))))*(MAX($D$16,(D55)-(J32))),0.000001))^2)/(2*$I$5),((ABS(G55)/MAX(((G32)+(I32)*(MAX($D$16,(E55)-(K32))))*(MAX($D$16,(E55)-(K32))),0.000001))^2)/(2*$I$5))))-((ABS(G55)/MAX(((G32)+(I32)*(MAX($D$16,(E55)-(K32))))*(MAX($D$16,(E55)-(K32))),0.000001))^2)/(2*$I$5)</f>
        <v>52432.232039972463</v>
      </c>
      <c r="S55">
        <f>M55+((ABS(I55)/MAX(((G34)+(I34)*(MAX($D$16,(M55)-(K34))))*(MAX($D$16,(M55)-(K34))),0.000001))^2)/(2*$I$5)+((E34)*((((ABS(I55)*$D$6)/(MAX(((F34)+(H34)*(MAX($D$16,(E55)-(J34))))*(MAX($D$16,(E55)-(J34))),0.000001)*MAX(((((F34)+(H34)*(MAX($D$16,(E55)-(J34))))*(MAX($D$16,(E55)-(J34))))/MAX((F34)+2*(MAX($D$16,(E55)-(J34)))*SQRT(1+(H34)^2),0.000001))^(2/3),0.000001)))^2)+(((ABS(I55)*$D$6)/(MAX(((G34)+(I34)*(MAX($D$16,(M55)-(K34))))*(MAX($D$16,(M55)-(K34))),0.000001)*MAX(((((G34)+(I34)*(MAX($D$16,(M55)-(K34))))*(MAX($D$16,(M55)-(K34))))/MAX((G34)+2*(MAX($D$16,(M55)-(K34)))*SQRT(1+(I34)^2),0.000001))^(2/3),0.000001)))^2))/2)+(IF((ABS(I55)/MAX(((G34)+(I34)*(MAX($D$16,(M55)-(K34))))*(MAX($D$16,(M55)-(K34))),0.000001))&gt;(ABS(I55)/MAX(((F34)+(H34)*(MAX($D$16,(E55)-(J34))))*(MAX($D$16,(E55)-(J34))),0.000001)),$D$9*((((ABS(I55)/MAX(((G34)+(I34)*(MAX($D$16,(M55)-(K34))))*(MAX($D$16,(M55)-(K34))),0.000001))^2)/(2*$I$5))-(((ABS(I55)/MAX(((F34)+(H34)*(MAX($D$16,(E55)-(J34))))*(MAX($D$16,(E55)-(J34))),0.000001))^2)/(2*$I$5))),$D$8*((((ABS(I55)/MAX(((F34)+(H34)*(MAX($D$16,(E55)-(J34))))*(MAX($D$16,(E55)-(J34))),0.000001))^2)/(2*$I$5))-(((ABS(I55)/MAX(((G34)+(I34)*(MAX($D$16,(M55)-(K34))))*(MAX($D$16,(M55)-(K34))),0.000001))^2)/(2*$I$5)))))+($D$10*(ABS((X34)-(W34))/90)*MAX(((ABS(I55)/MAX(((F34)+(H34)*(MAX($D$16,(E55)-(J34))))*(MAX($D$16,(E55)-(J34))),0.000001))^2)/(2*$I$5),((ABS(I55)/MAX(((G34)+(I34)*(MAX($D$16,(M55)-(K34))))*(MAX($D$16,(M55)-(K34))),0.000001))^2)/(2*$I$5)))+(0)-((ABS(I55)/MAX(((F34)+(H34)*(MAX($D$16,(E55)-(J34))))*(MAX($D$16,(E55)-(J34))),0.000001))^2)/(2*$I$5)</f>
        <v>635.5</v>
      </c>
      <c r="T55">
        <f>N55+((ABS(J55)/MAX(((G35)+(I35)*(MAX($D$16,(N55)-(K35))))*(MAX($D$16,(N55)-(K35))),0.000001))^2)/(2*$I$5)+((E35)*((((ABS(J55)*$D$6)/(MAX(((F35)+(H35)*(MAX($D$16,(E55)-(J35))))*(MAX($D$16,(E55)-(J35))),0.000001)*MAX(((((F35)+(H35)*(MAX($D$16,(E55)-(J35))))*(MAX($D$16,(E55)-(J35))))/MAX((F35)+2*(MAX($D$16,(E55)-(J35)))*SQRT(1+(H35)^2),0.000001))^(2/3),0.000001)))^2)+(((ABS(J55)*$D$6)/(MAX(((G35)+(I35)*(MAX($D$16,(N55)-(K35))))*(MAX($D$16,(N55)-(K35))),0.000001)*MAX(((((G35)+(I35)*(MAX($D$16,(N55)-(K35))))*(MAX($D$16,(N55)-(K35))))/MAX((G35)+2*(MAX($D$16,(N55)-(K35)))*SQRT(1+(I35)^2),0.000001))^(2/3),0.000001)))^2))/2)+(IF((ABS(J55)/MAX(((G35)+(I35)*(MAX($D$16,(N55)-(K35))))*(MAX($D$16,(N55)-(K35))),0.000001))&gt;(ABS(J55)/MAX(((F35)+(H35)*(MAX($D$16,(E55)-(J35))))*(MAX($D$16,(E55)-(J35))),0.000001)),$D$9*((((ABS(J55)/MAX(((G35)+(I35)*(MAX($D$16,(N55)-(K35))))*(MAX($D$16,(N55)-(K35))),0.000001))^2)/(2*$I$5))-(((ABS(J55)/MAX(((F35)+(H35)*(MAX($D$16,(E55)-(J35))))*(MAX($D$16,(E55)-(J35))),0.000001))^2)/(2*$I$5))),$D$8*((((ABS(J55)/MAX(((F35)+(H35)*(MAX($D$16,(E55)-(J35))))*(MAX($D$16,(E55)-(J35))),0.000001))^2)/(2*$I$5))-(((ABS(J55)/MAX(((G35)+(I35)*(MAX($D$16,(N55)-(K35))))*(MAX($D$16,(N55)-(K35))),0.000001))^2)/(2*$I$5)))))+($D$10*(ABS((X35)-(W35))/90)*MAX(((ABS(J55)/MAX(((F35)+(H35)*(MAX($D$16,(E55)-(J35))))*(MAX($D$16,(E55)-(J35))),0.000001))^2)/(2*$I$5),((ABS(J55)/MAX(((G35)+(I35)*(MAX($D$16,(N55)-(K35))))*(MAX($D$16,(N55)-(K35))),0.000001))^2)/(2*$I$5)))+(($D$11*0.34699541*(ABS(I55)/MAX(ABS(G55),0.000001))^2*MAX(((ABS(J55)/MAX(((F35)+(H35)*(MAX($D$16,(E55)-(J35))))*(MAX($D$16,(E55)-(J35))),0.000001))^2)/(2*$I$5),((ABS(J55)/MAX(((G35)+(I35)*(MAX($D$16,(N55)-(K35))))*(MAX($D$16,(N55)-(K35))),0.000001))^2)/(2*$I$5))))-((ABS(J55)/MAX(((F35)+(H35)*(MAX($D$16,(E55)-(J35))))*(MAX($D$16,(E55)-(J35))),0.000001))^2)/(2*$I$5)</f>
        <v>20784.033523923383</v>
      </c>
      <c r="U55">
        <f>(((((F32)*(MAX($D$16,(D55)-(J32)))^2)/2+(H32)*(MAX($D$16,(D55)-(J32)))^3/3+(ABS(G55)^2)/($I$5*MAX(((F32)+(H32)*(MAX($D$16,(D55)-(J32))))*(MAX($D$16,(D55)-(J32))),0.000001)))*0.72785025)-((((F33)*(MAX($D$16,(D55)-(J33)))^2)/2+(H33)*(MAX($D$16,(D55)-(J33)))^3/3+(ABS(H55)^2)/($I$5*MAX(((F33)+(H33)*(MAX($D$16,(D55)-(J33))))*(MAX($D$16,(D55)-(J33))),0.000001)))*0.99999971))/MAX(((G31)*(MAX($D$16,(D55)-(K31)))^2)/2+(I31)*(MAX($D$16,(D55)-(K31)))^3/3+(ABS(F55)^2)/($I$5*MAX(((G31)+(I31)*(MAX($D$16,(D55)-(K31))))*(MAX($D$16,(D55)-(K31))),0.000001)),0.000001)</f>
        <v>-0.27214945999991119</v>
      </c>
      <c r="V55">
        <f>(((((F34)*(MAX($D$16,(E55)-(J34)))^2)/2+(H34)*(MAX($D$16,(E55)-(J34)))^3/3+(ABS(I55)^2)/($I$5*MAX(((F34)+(H34)*(MAX($D$16,(E55)-(J34))))*(MAX($D$16,(E55)-(J34))),0.000001)))*1)-((((F35)*(MAX($D$16,(E55)-(J35)))^2)/2+(H35)*(MAX($D$16,(E55)-(J35)))^3/3+(ABS(J55)^2)/($I$5*MAX(((F35)+(H35)*(MAX($D$16,(E55)-(J35))))*(MAX($D$16,(E55)-(J35))),0.000001)))*0.30600918))/MAX(((G32)*(MAX($D$16,(E55)-(K32)))^2)/2+(I32)*(MAX($D$16,(E55)-(K32)))^3/3+(ABS(G55)^2)/($I$5*MAX(((G32)+(I32)*(MAX($D$16,(E55)-(K32))))*(MAX($D$16,(E55)-(K32))),0.000001)),0.000001)</f>
        <v>0.69398638936418866</v>
      </c>
      <c r="W55">
        <f>IF(N6="None",ABS(P55-D55),MAX(ABS(P55-D55),ABS(Q55-D55)))</f>
        <v>0.18040463305078447</v>
      </c>
      <c r="X55">
        <f>IF(AND(N7="None",N8="None"),0,IF(N8="None",ABS(S55-E55),IF(N7="None",ABS(T55-E55),MAX(ABS(S55-E55),ABS(T55-E55)))))</f>
        <v>51796.551635338728</v>
      </c>
      <c r="AA55">
        <f t="shared" si="3"/>
        <v>52432.168898350763</v>
      </c>
      <c r="AB55">
        <f t="shared" si="4"/>
        <v>41355.245296343361</v>
      </c>
      <c r="AC55">
        <f>IF(N6="None",P55,MAX(P55,Q55))</f>
        <v>52432.051635339281</v>
      </c>
      <c r="AD55">
        <f>IF(AND(N7="None",N8="None"),E55,IF(N8="None",S55,IF(N7="None",T55,MAX(S55,T55))))</f>
        <v>20784.033523923383</v>
      </c>
      <c r="AE55">
        <f t="shared" si="5"/>
        <v>637.65825101089831</v>
      </c>
      <c r="AF55">
        <f t="shared" si="6"/>
        <v>52432.232039972463</v>
      </c>
      <c r="AG55">
        <f>((G31)*(MAX($D$16,(AC55)-(K31)))^2)/2+(I31)*(MAX($D$16,(AC55)-(K31)))^3/3+(ABS(F55)^2)/($I$5*MAX(((G31)+(I31)*(MAX($D$16,(AC55)-(K31))))*(MAX($D$16,(AC55)-(K31))),0.000001))</f>
        <v>8797580876.5878677</v>
      </c>
      <c r="AH55">
        <f>((G31)*(MAX($D$16,(AE55)-(K31)))^2)/2+(I31)*(MAX($D$16,(AE55)-(K31)))^3/3+(ABS(F55)^2)/($I$5*MAX(((G31)+(I31)*(MAX($D$16,(AE55)-(K31))))*(MAX($D$16,(AE55)-(K31))),0.000001))</f>
        <v>49.055863329575246</v>
      </c>
      <c r="AI55">
        <f>((G32)*(MAX($D$16,(AD55)-(K32)))^2)/2+(I32)*(MAX($D$16,(AD55)-(K32)))^3/3+(ABS(G55)^2)/($I$5*MAX(((G32)+(I32)*(MAX($D$16,(AD55)-(K32))))*(MAX($D$16,(AD55)-(K32))),0.000001))</f>
        <v>2072376743.6648321</v>
      </c>
      <c r="AJ55">
        <f>((G32)*(MAX($D$16,(AF55)-(K32)))^2)/2+(I32)*(MAX($D$16,(AF55)-(K32)))^3/3+(ABS(G55)^2)/($I$5*MAX(((G32)+(I32)*(MAX($D$16,(AF55)-(K32))))*(MAX($D$16,(AF55)-(K32))),0.000001))</f>
        <v>13692762477.258892</v>
      </c>
      <c r="AK55" t="str">
        <f t="shared" si="7"/>
        <v>Subcritical</v>
      </c>
      <c r="AL55" t="str">
        <f t="shared" si="8"/>
        <v>Supercritical</v>
      </c>
      <c r="AM55">
        <f t="shared" si="9"/>
        <v>52432.168898350763</v>
      </c>
      <c r="AN55">
        <f t="shared" si="10"/>
        <v>52432.114776960538</v>
      </c>
      <c r="AO55">
        <f t="shared" si="11"/>
        <v>0.18040463305078447</v>
      </c>
      <c r="AP55">
        <f t="shared" si="12"/>
        <v>0.18040463373472448</v>
      </c>
    </row>
    <row r="56" spans="1:42" x14ac:dyDescent="0.35">
      <c r="A56">
        <v>13</v>
      </c>
      <c r="B56">
        <f t="shared" si="13"/>
        <v>0</v>
      </c>
      <c r="C56">
        <f t="shared" si="14"/>
        <v>0</v>
      </c>
      <c r="D56">
        <f t="shared" si="15"/>
        <v>52432.168898350763</v>
      </c>
      <c r="E56">
        <f t="shared" si="16"/>
        <v>52432.114776960538</v>
      </c>
      <c r="F56">
        <f t="shared" si="2"/>
        <v>51</v>
      </c>
      <c r="G56">
        <f>IF(N6="None",F56,MAX(0,F56*B56))</f>
        <v>51</v>
      </c>
      <c r="H56">
        <f>IF(N6="None",0,MAX(0,F56-G56))</f>
        <v>0</v>
      </c>
      <c r="I56">
        <f>IF(AND(N7="None",N8="None"),0,IF(N8="None",G56,IF(N7="None",0,MAX(0,G56*C56))))</f>
        <v>0</v>
      </c>
      <c r="J56">
        <f>IF(AND(N7="None",N8="None"),0,IF(N8="None",0,IF(N7="None",G56,MAX(0,G56-I56))))</f>
        <v>51</v>
      </c>
      <c r="K56">
        <f>P5</f>
        <v>637</v>
      </c>
      <c r="L56">
        <f>P6</f>
        <v>634.3119999999999</v>
      </c>
      <c r="M56">
        <f>P7</f>
        <v>635.5</v>
      </c>
      <c r="N56">
        <f>P8</f>
        <v>631.54999999999995</v>
      </c>
      <c r="O56">
        <f>K56+((ABS(F56)/MAX(((F31)+(H31)*(MAX($D$16,(K56)-(J31))))*(MAX($D$16,(K56)-(J31))),0.000001))^2)/(2*$I$5)-((E31)*((((ABS(F56)*$D$6)/(MAX(((F31)+(H31)*(MAX($D$16,(K56)-(J31))))*(MAX($D$16,(K56)-(J31))),0.000001)*MAX(((((F31)+(H31)*(MAX($D$16,(K56)-(J31))))*(MAX($D$16,(K56)-(J31))))/MAX((F31)+2*(MAX($D$16,(K56)-(J31)))*SQRT(1+(H31)^2),0.000001))^(2/3),0.000001)))^2)+(((ABS(F56)*$D$6)/(MAX(((G31)+(I31)*(MAX($D$16,(D56)-(K31))))*(MAX($D$16,(D56)-(K31))),0.000001)*MAX(((((G31)+(I31)*(MAX($D$16,(D56)-(K31))))*(MAX($D$16,(D56)-(K31))))/MAX((G31)+2*(MAX($D$16,(D56)-(K31)))*SQRT(1+(I31)^2),0.000001))^(2/3),0.000001)))^2))/2)+(IF((ABS(F56)/MAX(((G31)+(I31)*(MAX($D$16,(D56)-(K31))))*(MAX($D$16,(D56)-(K31))),0.000001))&gt;(ABS(F56)/MAX(((F31)+(H31)*(MAX($D$16,(K56)-(J31))))*(MAX($D$16,(K56)-(J31))),0.000001)),$D$9*((((ABS(F56)/MAX(((G31)+(I31)*(MAX($D$16,(D56)-(K31))))*(MAX($D$16,(D56)-(K31))),0.000001))^2)/(2*$I$5))-(((ABS(F56)/MAX(((F31)+(H31)*(MAX($D$16,(K56)-(J31))))*(MAX($D$16,(K56)-(J31))),0.000001))^2)/(2*$I$5))),$D$8*((((ABS(F56)/MAX(((F31)+(H31)*(MAX($D$16,(K56)-(J31))))*(MAX($D$16,(K56)-(J31))),0.000001))^2)/(2*$I$5))-(((ABS(F56)/MAX(((G31)+(I31)*(MAX($D$16,(D56)-(K31))))*(MAX($D$16,(D56)-(K31))),0.000001))^2)/(2*$I$5)))))+($D$10*(ABS((X31)-(W31))/90)*MAX(((ABS(F56)/MAX(((F31)+(H31)*(MAX($D$16,(K56)-(J31))))*(MAX($D$16,(K56)-(J31))),0.000001))^2)/(2*$I$5),((ABS(F56)/MAX(((G31)+(I31)*(MAX($D$16,(D56)-(K31))))*(MAX($D$16,(D56)-(K31))),0.000001))^2)/(2*$I$5)))+(0)-((ABS(F56)/MAX(((G31)+(I31)*(MAX($D$16,(D56)-(K31))))*(MAX($D$16,(D56)-(K31))),0.000001))^2)/(2*$I$5)</f>
        <v>637.65825101089831</v>
      </c>
      <c r="P56">
        <f>E56+((ABS(G56)/MAX(((G32)+(I32)*(MAX($D$16,(E56)-(K32))))*(MAX($D$16,(E56)-(K32))),0.000001))^2)/(2*$I$5)+((E32)*((((ABS(G56)*$D$6)/(MAX(((F32)+(H32)*(MAX($D$16,(D56)-(J32))))*(MAX($D$16,(D56)-(J32))),0.000001)*MAX(((((F32)+(H32)*(MAX($D$16,(D56)-(J32))))*(MAX($D$16,(D56)-(J32))))/MAX((F32)+2*(MAX($D$16,(D56)-(J32)))*SQRT(1+(H32)^2),0.000001))^(2/3),0.000001)))^2)+(((ABS(G56)*$D$6)/(MAX(((G32)+(I32)*(MAX($D$16,(E56)-(K32))))*(MAX($D$16,(E56)-(K32))),0.000001)*MAX(((((G32)+(I32)*(MAX($D$16,(E56)-(K32))))*(MAX($D$16,(E56)-(K32))))/MAX((G32)+2*(MAX($D$16,(E56)-(K32)))*SQRT(1+(I32)^2),0.000001))^(2/3),0.000001)))^2))/2)+(IF((ABS(G56)/MAX(((G32)+(I32)*(MAX($D$16,(E56)-(K32))))*(MAX($D$16,(E56)-(K32))),0.000001))&gt;(ABS(G56)/MAX(((F32)+(H32)*(MAX($D$16,(D56)-(J32))))*(MAX($D$16,(D56)-(J32))),0.000001)),$D$9*((((ABS(G56)/MAX(((G32)+(I32)*(MAX($D$16,(E56)-(K32))))*(MAX($D$16,(E56)-(K32))),0.000001))^2)/(2*$I$5))-(((ABS(G56)/MAX(((F32)+(H32)*(MAX($D$16,(D56)-(J32))))*(MAX($D$16,(D56)-(J32))),0.000001))^2)/(2*$I$5))),$D$8*((((ABS(G56)/MAX(((F32)+(H32)*(MAX($D$16,(D56)-(J32))))*(MAX($D$16,(D56)-(J32))),0.000001))^2)/(2*$I$5))-(((ABS(G56)/MAX(((G32)+(I32)*(MAX($D$16,(E56)-(K32))))*(MAX($D$16,(E56)-(K32))),0.000001))^2)/(2*$I$5)))))+($D$10*(ABS((X32)-(W32))/90)*MAX(((ABS(G56)/MAX(((F32)+(H32)*(MAX($D$16,(D56)-(J32))))*(MAX($D$16,(D56)-(J32))),0.000001))^2)/(2*$I$5),((ABS(G56)/MAX(((G32)+(I32)*(MAX($D$16,(E56)-(K32))))*(MAX($D$16,(E56)-(K32))),0.000001))^2)/(2*$I$5)))+(($D$11*0.13607488*(ABS(H56)/MAX(ABS(F56),0.000001))^2*MAX(((ABS(G56)/MAX(((F32)+(H32)*(MAX($D$16,(D56)-(J32))))*(MAX($D$16,(D56)-(J32))),0.000001))^2)/(2*$I$5),((ABS(G56)/MAX(((G32)+(I32)*(MAX($D$16,(E56)-(K32))))*(MAX($D$16,(E56)-(K32))),0.000001))^2)/(2*$I$5))))-((ABS(G56)/MAX(((F32)+(H32)*(MAX($D$16,(D56)-(J32))))*(MAX($D$16,(D56)-(J32))),0.000001))^2)/(2*$I$5)</f>
        <v>52432.114776961091</v>
      </c>
      <c r="Q56">
        <f>L56+((ABS(H56)/MAX(((G33)+(I33)*(MAX($D$16,(L56)-(K33))))*(MAX($D$16,(L56)-(K33))),0.000001))^2)/(2*$I$5)+((E33)*((((ABS(H56)*$D$6)/(MAX(((F33)+(H33)*(MAX($D$16,(D56)-(J33))))*(MAX($D$16,(D56)-(J33))),0.000001)*MAX(((((F33)+(H33)*(MAX($D$16,(D56)-(J33))))*(MAX($D$16,(D56)-(J33))))/MAX((F33)+2*(MAX($D$16,(D56)-(J33)))*SQRT(1+(H33)^2),0.000001))^(2/3),0.000001)))^2)+(((ABS(H56)*$D$6)/(MAX(((G33)+(I33)*(MAX($D$16,(L56)-(K33))))*(MAX($D$16,(L56)-(K33))),0.000001)*MAX(((((G33)+(I33)*(MAX($D$16,(L56)-(K33))))*(MAX($D$16,(L56)-(K33))))/MAX((G33)+2*(MAX($D$16,(L56)-(K33)))*SQRT(1+(I33)^2),0.000001))^(2/3),0.000001)))^2))/2)+(IF((ABS(H56)/MAX(((G33)+(I33)*(MAX($D$16,(L56)-(K33))))*(MAX($D$16,(L56)-(K33))),0.000001))&gt;(ABS(H56)/MAX(((F33)+(H33)*(MAX($D$16,(D56)-(J33))))*(MAX($D$16,(D56)-(J33))),0.000001)),$D$9*((((ABS(H56)/MAX(((G33)+(I33)*(MAX($D$16,(L56)-(K33))))*(MAX($D$16,(L56)-(K33))),0.000001))^2)/(2*$I$5))-(((ABS(H56)/MAX(((F33)+(H33)*(MAX($D$16,(D56)-(J33))))*(MAX($D$16,(D56)-(J33))),0.000001))^2)/(2*$I$5))),$D$8*((((ABS(H56)/MAX(((F33)+(H33)*(MAX($D$16,(D56)-(J33))))*(MAX($D$16,(D56)-(J33))),0.000001))^2)/(2*$I$5))-(((ABS(H56)/MAX(((G33)+(I33)*(MAX($D$16,(L56)-(K33))))*(MAX($D$16,(L56)-(K33))),0.000001))^2)/(2*$I$5)))))+($D$10*(ABS((X33)-(W33))/90)*MAX(((ABS(H56)/MAX(((F33)+(H33)*(MAX($D$16,(D56)-(J33))))*(MAX($D$16,(D56)-(J33))),0.000001))^2)/(2*$I$5),((ABS(H56)/MAX(((G33)+(I33)*(MAX($D$16,(L56)-(K33))))*(MAX($D$16,(L56)-(K33))),0.000001))^2)/(2*$I$5)))+(($D$11*0.00000015*(ABS(G56)/MAX(ABS(F56),0.000001))^2*MAX(((ABS(H56)/MAX(((F33)+(H33)*(MAX($D$16,(D56)-(J33))))*(MAX($D$16,(D56)-(J33))),0.000001))^2)/(2*$I$5),((ABS(H56)/MAX(((G33)+(I33)*(MAX($D$16,(L56)-(K33))))*(MAX($D$16,(L56)-(K33))),0.000001))^2)/(2*$I$5))))-((ABS(H56)/MAX(((F33)+(H33)*(MAX($D$16,(D56)-(J33))))*(MAX($D$16,(D56)-(J33))),0.000001))^2)/(2*$I$5)</f>
        <v>634.3119999999999</v>
      </c>
      <c r="R56">
        <f>D56+((ABS(G56)/MAX(((F32)+(H32)*(MAX($D$16,(D56)-(J32))))*(MAX($D$16,(D56)-(J32))),0.000001))^2)/(2*$I$5)-((E32)*((((ABS(G56)*$D$6)/(MAX(((F32)+(H32)*(MAX($D$16,(D56)-(J32))))*(MAX($D$16,(D56)-(J32))),0.000001)*MAX(((((F32)+(H32)*(MAX($D$16,(D56)-(J32))))*(MAX($D$16,(D56)-(J32))))/MAX((F32)+2*(MAX($D$16,(D56)-(J32)))*SQRT(1+(H32)^2),0.000001))^(2/3),0.000001)))^2)+(((ABS(G56)*$D$6)/(MAX(((G32)+(I32)*(MAX($D$16,(E56)-(K32))))*(MAX($D$16,(E56)-(K32))),0.000001)*MAX(((((G32)+(I32)*(MAX($D$16,(E56)-(K32))))*(MAX($D$16,(E56)-(K32))))/MAX((G32)+2*(MAX($D$16,(E56)-(K32)))*SQRT(1+(I32)^2),0.000001))^(2/3),0.000001)))^2))/2)+(IF((ABS(G56)/MAX(((G32)+(I32)*(MAX($D$16,(E56)-(K32))))*(MAX($D$16,(E56)-(K32))),0.000001))&gt;(ABS(G56)/MAX(((F32)+(H32)*(MAX($D$16,(D56)-(J32))))*(MAX($D$16,(D56)-(J32))),0.000001)),$D$9*((((ABS(G56)/MAX(((G32)+(I32)*(MAX($D$16,(E56)-(K32))))*(MAX($D$16,(E56)-(K32))),0.000001))^2)/(2*$I$5))-(((ABS(G56)/MAX(((F32)+(H32)*(MAX($D$16,(D56)-(J32))))*(MAX($D$16,(D56)-(J32))),0.000001))^2)/(2*$I$5))),$D$8*((((ABS(G56)/MAX(((F32)+(H32)*(MAX($D$16,(D56)-(J32))))*(MAX($D$16,(D56)-(J32))),0.000001))^2)/(2*$I$5))-(((ABS(G56)/MAX(((G32)+(I32)*(MAX($D$16,(E56)-(K32))))*(MAX($D$16,(E56)-(K32))),0.000001))^2)/(2*$I$5)))))+($D$10*(ABS((X32)-(W32))/90)*MAX(((ABS(G56)/MAX(((F32)+(H32)*(MAX($D$16,(D56)-(J32))))*(MAX($D$16,(D56)-(J32))),0.000001))^2)/(2*$I$5),((ABS(G56)/MAX(((G32)+(I32)*(MAX($D$16,(E56)-(K32))))*(MAX($D$16,(E56)-(K32))),0.000001))^2)/(2*$I$5)))+(($D$11*0.13607488*(ABS(H56)/MAX(ABS(F56),0.000001))^2*MAX(((ABS(G56)/MAX(((F32)+(H32)*(MAX($D$16,(D56)-(J32))))*(MAX($D$16,(D56)-(J32))),0.000001))^2)/(2*$I$5),((ABS(G56)/MAX(((G32)+(I32)*(MAX($D$16,(E56)-(K32))))*(MAX($D$16,(E56)-(K32))),0.000001))^2)/(2*$I$5))))-((ABS(G56)/MAX(((G32)+(I32)*(MAX($D$16,(E56)-(K32))))*(MAX($D$16,(E56)-(K32))),0.000001))^2)/(2*$I$5)</f>
        <v>52432.168898350894</v>
      </c>
      <c r="S56">
        <f>M56+((ABS(I56)/MAX(((G34)+(I34)*(MAX($D$16,(M56)-(K34))))*(MAX($D$16,(M56)-(K34))),0.000001))^2)/(2*$I$5)+((E34)*((((ABS(I56)*$D$6)/(MAX(((F34)+(H34)*(MAX($D$16,(E56)-(J34))))*(MAX($D$16,(E56)-(J34))),0.000001)*MAX(((((F34)+(H34)*(MAX($D$16,(E56)-(J34))))*(MAX($D$16,(E56)-(J34))))/MAX((F34)+2*(MAX($D$16,(E56)-(J34)))*SQRT(1+(H34)^2),0.000001))^(2/3),0.000001)))^2)+(((ABS(I56)*$D$6)/(MAX(((G34)+(I34)*(MAX($D$16,(M56)-(K34))))*(MAX($D$16,(M56)-(K34))),0.000001)*MAX(((((G34)+(I34)*(MAX($D$16,(M56)-(K34))))*(MAX($D$16,(M56)-(K34))))/MAX((G34)+2*(MAX($D$16,(M56)-(K34)))*SQRT(1+(I34)^2),0.000001))^(2/3),0.000001)))^2))/2)+(IF((ABS(I56)/MAX(((G34)+(I34)*(MAX($D$16,(M56)-(K34))))*(MAX($D$16,(M56)-(K34))),0.000001))&gt;(ABS(I56)/MAX(((F34)+(H34)*(MAX($D$16,(E56)-(J34))))*(MAX($D$16,(E56)-(J34))),0.000001)),$D$9*((((ABS(I56)/MAX(((G34)+(I34)*(MAX($D$16,(M56)-(K34))))*(MAX($D$16,(M56)-(K34))),0.000001))^2)/(2*$I$5))-(((ABS(I56)/MAX(((F34)+(H34)*(MAX($D$16,(E56)-(J34))))*(MAX($D$16,(E56)-(J34))),0.000001))^2)/(2*$I$5))),$D$8*((((ABS(I56)/MAX(((F34)+(H34)*(MAX($D$16,(E56)-(J34))))*(MAX($D$16,(E56)-(J34))),0.000001))^2)/(2*$I$5))-(((ABS(I56)/MAX(((G34)+(I34)*(MAX($D$16,(M56)-(K34))))*(MAX($D$16,(M56)-(K34))),0.000001))^2)/(2*$I$5)))))+($D$10*(ABS((X34)-(W34))/90)*MAX(((ABS(I56)/MAX(((F34)+(H34)*(MAX($D$16,(E56)-(J34))))*(MAX($D$16,(E56)-(J34))),0.000001))^2)/(2*$I$5),((ABS(I56)/MAX(((G34)+(I34)*(MAX($D$16,(M56)-(K34))))*(MAX($D$16,(M56)-(K34))),0.000001))^2)/(2*$I$5)))+(0)-((ABS(I56)/MAX(((F34)+(H34)*(MAX($D$16,(E56)-(J34))))*(MAX($D$16,(E56)-(J34))),0.000001))^2)/(2*$I$5)</f>
        <v>635.5</v>
      </c>
      <c r="T56">
        <f>N56+((ABS(J56)/MAX(((G35)+(I35)*(MAX($D$16,(N56)-(K35))))*(MAX($D$16,(N56)-(K35))),0.000001))^2)/(2*$I$5)+((E35)*((((ABS(J56)*$D$6)/(MAX(((F35)+(H35)*(MAX($D$16,(E56)-(J35))))*(MAX($D$16,(E56)-(J35))),0.000001)*MAX(((((F35)+(H35)*(MAX($D$16,(E56)-(J35))))*(MAX($D$16,(E56)-(J35))))/MAX((F35)+2*(MAX($D$16,(E56)-(J35)))*SQRT(1+(H35)^2),0.000001))^(2/3),0.000001)))^2)+(((ABS(J56)*$D$6)/(MAX(((G35)+(I35)*(MAX($D$16,(N56)-(K35))))*(MAX($D$16,(N56)-(K35))),0.000001)*MAX(((((G35)+(I35)*(MAX($D$16,(N56)-(K35))))*(MAX($D$16,(N56)-(K35))))/MAX((G35)+2*(MAX($D$16,(N56)-(K35)))*SQRT(1+(I35)^2),0.000001))^(2/3),0.000001)))^2))/2)+(IF((ABS(J56)/MAX(((G35)+(I35)*(MAX($D$16,(N56)-(K35))))*(MAX($D$16,(N56)-(K35))),0.000001))&gt;(ABS(J56)/MAX(((F35)+(H35)*(MAX($D$16,(E56)-(J35))))*(MAX($D$16,(E56)-(J35))),0.000001)),$D$9*((((ABS(J56)/MAX(((G35)+(I35)*(MAX($D$16,(N56)-(K35))))*(MAX($D$16,(N56)-(K35))),0.000001))^2)/(2*$I$5))-(((ABS(J56)/MAX(((F35)+(H35)*(MAX($D$16,(E56)-(J35))))*(MAX($D$16,(E56)-(J35))),0.000001))^2)/(2*$I$5))),$D$8*((((ABS(J56)/MAX(((F35)+(H35)*(MAX($D$16,(E56)-(J35))))*(MAX($D$16,(E56)-(J35))),0.000001))^2)/(2*$I$5))-(((ABS(J56)/MAX(((G35)+(I35)*(MAX($D$16,(N56)-(K35))))*(MAX($D$16,(N56)-(K35))),0.000001))^2)/(2*$I$5)))))+($D$10*(ABS((X35)-(W35))/90)*MAX(((ABS(J56)/MAX(((F35)+(H35)*(MAX($D$16,(E56)-(J35))))*(MAX($D$16,(E56)-(J35))),0.000001))^2)/(2*$I$5),((ABS(J56)/MAX(((G35)+(I35)*(MAX($D$16,(N56)-(K35))))*(MAX($D$16,(N56)-(K35))),0.000001))^2)/(2*$I$5)))+(($D$11*0.34699541*(ABS(I56)/MAX(ABS(G56),0.000001))^2*MAX(((ABS(J56)/MAX(((F35)+(H35)*(MAX($D$16,(E56)-(J35))))*(MAX($D$16,(E56)-(J35))),0.000001))^2)/(2*$I$5),((ABS(J56)/MAX(((G35)+(I35)*(MAX($D$16,(N56)-(K35))))*(MAX($D$16,(N56)-(K35))),0.000001))^2)/(2*$I$5))))-((ABS(J56)/MAX(((F35)+(H35)*(MAX($D$16,(E56)-(J35))))*(MAX($D$16,(E56)-(J35))),0.000001))^2)/(2*$I$5)</f>
        <v>20784.033523923383</v>
      </c>
      <c r="U56">
        <f>(((((F32)*(MAX($D$16,(D56)-(J32)))^2)/2+(H32)*(MAX($D$16,(D56)-(J32)))^3/3+(ABS(G56)^2)/($I$5*MAX(((F32)+(H32)*(MAX($D$16,(D56)-(J32))))*(MAX($D$16,(D56)-(J32))),0.000001)))*0.72785025)-((((F33)*(MAX($D$16,(D56)-(J33)))^2)/2+(H33)*(MAX($D$16,(D56)-(J33)))^3/3+(ABS(H56)^2)/($I$5*MAX(((F33)+(H33)*(MAX($D$16,(D56)-(J33))))*(MAX($D$16,(D56)-(J33))),0.000001)))*0.99999971))/MAX(((G31)*(MAX($D$16,(D56)-(K31)))^2)/2+(I31)*(MAX($D$16,(D56)-(K31)))^3/3+(ABS(F56)^2)/($I$5*MAX(((G31)+(I31)*(MAX($D$16,(D56)-(K31))))*(MAX($D$16,(D56)-(K31))),0.000001)),0.000001)</f>
        <v>-0.2721494599999113</v>
      </c>
      <c r="V56">
        <f>(((((F34)*(MAX($D$16,(E56)-(J34)))^2)/2+(H34)*(MAX($D$16,(E56)-(J34)))^3/3+(ABS(I56)^2)/($I$5*MAX(((F34)+(H34)*(MAX($D$16,(E56)-(J34))))*(MAX($D$16,(E56)-(J34))),0.000001)))*1)-((((F35)*(MAX($D$16,(E56)-(J35)))^2)/2+(H35)*(MAX($D$16,(E56)-(J35)))^3/3+(ABS(J56)^2)/($I$5*MAX(((F35)+(H35)*(MAX($D$16,(E56)-(J35))))*(MAX($D$16,(E56)-(J35))),0.000001)))*0.30600918))/MAX(((G32)*(MAX($D$16,(E56)-(K32)))^2)/2+(I32)*(MAX($D$16,(E56)-(K32)))^3/3+(ABS(G56)^2)/($I$5*MAX(((G32)+(I32)*(MAX($D$16,(E56)-(K32))))*(MAX($D$16,(E56)-(K32))),0.000001)),0.000001)</f>
        <v>0.69398638936958923</v>
      </c>
      <c r="W56">
        <f>IF(N6="None",ABS(P56-D56),MAX(ABS(P56-D56),ABS(Q56-D56)))</f>
        <v>5.4121389672218356E-2</v>
      </c>
      <c r="X56">
        <f>IF(AND(N7="None",N8="None"),0,IF(N8="None",ABS(S56-E56),IF(N7="None",ABS(T56-E56),MAX(ABS(S56-E56),ABS(T56-E56)))))</f>
        <v>51796.614776960538</v>
      </c>
      <c r="AA56">
        <f t="shared" si="3"/>
        <v>52432.149955864377</v>
      </c>
      <c r="AB56">
        <f t="shared" si="4"/>
        <v>41355.286338397535</v>
      </c>
      <c r="AC56">
        <f>IF(N6="None",P56,MAX(P56,Q56))</f>
        <v>52432.114776961091</v>
      </c>
      <c r="AD56">
        <f>IF(AND(N7="None",N8="None"),E56,IF(N8="None",S56,IF(N7="None",T56,MAX(S56,T56))))</f>
        <v>20784.033523923383</v>
      </c>
      <c r="AE56">
        <f t="shared" si="5"/>
        <v>637.65825101089831</v>
      </c>
      <c r="AF56">
        <f t="shared" si="6"/>
        <v>52432.168898350894</v>
      </c>
      <c r="AG56">
        <f>((G31)*(MAX($D$16,(AC56)-(K31)))^2)/2+(I31)*(MAX($D$16,(AC56)-(K31)))^3/3+(ABS(F56)^2)/($I$5*MAX(((G31)+(I31)*(MAX($D$16,(AC56)-(K31))))*(MAX($D$16,(AC56)-(K31))),0.000001))</f>
        <v>8797602325.1575108</v>
      </c>
      <c r="AH56">
        <f>((G31)*(MAX($D$16,(AE56)-(K31)))^2)/2+(I31)*(MAX($D$16,(AE56)-(K31)))^3/3+(ABS(F56)^2)/($I$5*MAX(((G31)+(I31)*(MAX($D$16,(AE56)-(K31))))*(MAX($D$16,(AE56)-(K31))),0.000001))</f>
        <v>49.055863329575246</v>
      </c>
      <c r="AI56">
        <f>((G32)*(MAX($D$16,(AD56)-(K32)))^2)/2+(I32)*(MAX($D$16,(AD56)-(K32)))^3/3+(ABS(G56)^2)/($I$5*MAX(((G32)+(I32)*(MAX($D$16,(AD56)-(K32))))*(MAX($D$16,(AD56)-(K32))),0.000001))</f>
        <v>2072376743.6648321</v>
      </c>
      <c r="AJ56">
        <f>((G32)*(MAX($D$16,(AF56)-(K32)))^2)/2+(I32)*(MAX($D$16,(AF56)-(K32)))^3/3+(ABS(G56)^2)/($I$5*MAX(((G32)+(I32)*(MAX($D$16,(AF56)-(K32))))*(MAX($D$16,(AF56)-(K32))),0.000001))</f>
        <v>13692729095.917564</v>
      </c>
      <c r="AK56" t="str">
        <f t="shared" si="7"/>
        <v>Subcritical</v>
      </c>
      <c r="AL56" t="str">
        <f t="shared" si="8"/>
        <v>Supercritical</v>
      </c>
      <c r="AM56">
        <f t="shared" si="9"/>
        <v>52432.149955864377</v>
      </c>
      <c r="AN56">
        <f t="shared" si="10"/>
        <v>52432.133719447163</v>
      </c>
      <c r="AO56">
        <f t="shared" si="11"/>
        <v>5.4121389672218356E-2</v>
      </c>
      <c r="AP56">
        <f t="shared" si="12"/>
        <v>5.4121390356158372E-2</v>
      </c>
    </row>
    <row r="57" spans="1:42" x14ac:dyDescent="0.35">
      <c r="A57">
        <v>14</v>
      </c>
      <c r="B57">
        <f t="shared" si="13"/>
        <v>0</v>
      </c>
      <c r="C57">
        <f t="shared" si="14"/>
        <v>0</v>
      </c>
      <c r="D57">
        <f t="shared" si="15"/>
        <v>52432.149955864377</v>
      </c>
      <c r="E57">
        <f t="shared" si="16"/>
        <v>52432.133719447163</v>
      </c>
      <c r="F57">
        <f t="shared" si="2"/>
        <v>51</v>
      </c>
      <c r="G57">
        <f>IF(N6="None",F57,MAX(0,F57*B57))</f>
        <v>51</v>
      </c>
      <c r="H57">
        <f>IF(N6="None",0,MAX(0,F57-G57))</f>
        <v>0</v>
      </c>
      <c r="I57">
        <f>IF(AND(N7="None",N8="None"),0,IF(N8="None",G57,IF(N7="None",0,MAX(0,G57*C57))))</f>
        <v>0</v>
      </c>
      <c r="J57">
        <f>IF(AND(N7="None",N8="None"),0,IF(N8="None",0,IF(N7="None",G57,MAX(0,G57-I57))))</f>
        <v>51</v>
      </c>
      <c r="K57">
        <f>P5</f>
        <v>637</v>
      </c>
      <c r="L57">
        <f>P6</f>
        <v>634.3119999999999</v>
      </c>
      <c r="M57">
        <f>P7</f>
        <v>635.5</v>
      </c>
      <c r="N57">
        <f>P8</f>
        <v>631.54999999999995</v>
      </c>
      <c r="O57">
        <f>K57+((ABS(F57)/MAX(((F31)+(H31)*(MAX($D$16,(K57)-(J31))))*(MAX($D$16,(K57)-(J31))),0.000001))^2)/(2*$I$5)-((E31)*((((ABS(F57)*$D$6)/(MAX(((F31)+(H31)*(MAX($D$16,(K57)-(J31))))*(MAX($D$16,(K57)-(J31))),0.000001)*MAX(((((F31)+(H31)*(MAX($D$16,(K57)-(J31))))*(MAX($D$16,(K57)-(J31))))/MAX((F31)+2*(MAX($D$16,(K57)-(J31)))*SQRT(1+(H31)^2),0.000001))^(2/3),0.000001)))^2)+(((ABS(F57)*$D$6)/(MAX(((G31)+(I31)*(MAX($D$16,(D57)-(K31))))*(MAX($D$16,(D57)-(K31))),0.000001)*MAX(((((G31)+(I31)*(MAX($D$16,(D57)-(K31))))*(MAX($D$16,(D57)-(K31))))/MAX((G31)+2*(MAX($D$16,(D57)-(K31)))*SQRT(1+(I31)^2),0.000001))^(2/3),0.000001)))^2))/2)+(IF((ABS(F57)/MAX(((G31)+(I31)*(MAX($D$16,(D57)-(K31))))*(MAX($D$16,(D57)-(K31))),0.000001))&gt;(ABS(F57)/MAX(((F31)+(H31)*(MAX($D$16,(K57)-(J31))))*(MAX($D$16,(K57)-(J31))),0.000001)),$D$9*((((ABS(F57)/MAX(((G31)+(I31)*(MAX($D$16,(D57)-(K31))))*(MAX($D$16,(D57)-(K31))),0.000001))^2)/(2*$I$5))-(((ABS(F57)/MAX(((F31)+(H31)*(MAX($D$16,(K57)-(J31))))*(MAX($D$16,(K57)-(J31))),0.000001))^2)/(2*$I$5))),$D$8*((((ABS(F57)/MAX(((F31)+(H31)*(MAX($D$16,(K57)-(J31))))*(MAX($D$16,(K57)-(J31))),0.000001))^2)/(2*$I$5))-(((ABS(F57)/MAX(((G31)+(I31)*(MAX($D$16,(D57)-(K31))))*(MAX($D$16,(D57)-(K31))),0.000001))^2)/(2*$I$5)))))+($D$10*(ABS((X31)-(W31))/90)*MAX(((ABS(F57)/MAX(((F31)+(H31)*(MAX($D$16,(K57)-(J31))))*(MAX($D$16,(K57)-(J31))),0.000001))^2)/(2*$I$5),((ABS(F57)/MAX(((G31)+(I31)*(MAX($D$16,(D57)-(K31))))*(MAX($D$16,(D57)-(K31))),0.000001))^2)/(2*$I$5)))+(0)-((ABS(F57)/MAX(((G31)+(I31)*(MAX($D$16,(D57)-(K31))))*(MAX($D$16,(D57)-(K31))),0.000001))^2)/(2*$I$5)</f>
        <v>637.65825101089831</v>
      </c>
      <c r="P57">
        <f>E57+((ABS(G57)/MAX(((G32)+(I32)*(MAX($D$16,(E57)-(K32))))*(MAX($D$16,(E57)-(K32))),0.000001))^2)/(2*$I$5)+((E32)*((((ABS(G57)*$D$6)/(MAX(((F32)+(H32)*(MAX($D$16,(D57)-(J32))))*(MAX($D$16,(D57)-(J32))),0.000001)*MAX(((((F32)+(H32)*(MAX($D$16,(D57)-(J32))))*(MAX($D$16,(D57)-(J32))))/MAX((F32)+2*(MAX($D$16,(D57)-(J32)))*SQRT(1+(H32)^2),0.000001))^(2/3),0.000001)))^2)+(((ABS(G57)*$D$6)/(MAX(((G32)+(I32)*(MAX($D$16,(E57)-(K32))))*(MAX($D$16,(E57)-(K32))),0.000001)*MAX(((((G32)+(I32)*(MAX($D$16,(E57)-(K32))))*(MAX($D$16,(E57)-(K32))))/MAX((G32)+2*(MAX($D$16,(E57)-(K32)))*SQRT(1+(I32)^2),0.000001))^(2/3),0.000001)))^2))/2)+(IF((ABS(G57)/MAX(((G32)+(I32)*(MAX($D$16,(E57)-(K32))))*(MAX($D$16,(E57)-(K32))),0.000001))&gt;(ABS(G57)/MAX(((F32)+(H32)*(MAX($D$16,(D57)-(J32))))*(MAX($D$16,(D57)-(J32))),0.000001)),$D$9*((((ABS(G57)/MAX(((G32)+(I32)*(MAX($D$16,(E57)-(K32))))*(MAX($D$16,(E57)-(K32))),0.000001))^2)/(2*$I$5))-(((ABS(G57)/MAX(((F32)+(H32)*(MAX($D$16,(D57)-(J32))))*(MAX($D$16,(D57)-(J32))),0.000001))^2)/(2*$I$5))),$D$8*((((ABS(G57)/MAX(((F32)+(H32)*(MAX($D$16,(D57)-(J32))))*(MAX($D$16,(D57)-(J32))),0.000001))^2)/(2*$I$5))-(((ABS(G57)/MAX(((G32)+(I32)*(MAX($D$16,(E57)-(K32))))*(MAX($D$16,(E57)-(K32))),0.000001))^2)/(2*$I$5)))))+($D$10*(ABS((X32)-(W32))/90)*MAX(((ABS(G57)/MAX(((F32)+(H32)*(MAX($D$16,(D57)-(J32))))*(MAX($D$16,(D57)-(J32))),0.000001))^2)/(2*$I$5),((ABS(G57)/MAX(((G32)+(I32)*(MAX($D$16,(E57)-(K32))))*(MAX($D$16,(E57)-(K32))),0.000001))^2)/(2*$I$5)))+(($D$11*0.13607488*(ABS(H57)/MAX(ABS(F57),0.000001))^2*MAX(((ABS(G57)/MAX(((F32)+(H32)*(MAX($D$16,(D57)-(J32))))*(MAX($D$16,(D57)-(J32))),0.000001))^2)/(2*$I$5),((ABS(G57)/MAX(((G32)+(I32)*(MAX($D$16,(E57)-(K32))))*(MAX($D$16,(E57)-(K32))),0.000001))^2)/(2*$I$5))))-((ABS(G57)/MAX(((F32)+(H32)*(MAX($D$16,(D57)-(J32))))*(MAX($D$16,(D57)-(J32))),0.000001))^2)/(2*$I$5)</f>
        <v>52432.133719447716</v>
      </c>
      <c r="Q57">
        <f>L57+((ABS(H57)/MAX(((G33)+(I33)*(MAX($D$16,(L57)-(K33))))*(MAX($D$16,(L57)-(K33))),0.000001))^2)/(2*$I$5)+((E33)*((((ABS(H57)*$D$6)/(MAX(((F33)+(H33)*(MAX($D$16,(D57)-(J33))))*(MAX($D$16,(D57)-(J33))),0.000001)*MAX(((((F33)+(H33)*(MAX($D$16,(D57)-(J33))))*(MAX($D$16,(D57)-(J33))))/MAX((F33)+2*(MAX($D$16,(D57)-(J33)))*SQRT(1+(H33)^2),0.000001))^(2/3),0.000001)))^2)+(((ABS(H57)*$D$6)/(MAX(((G33)+(I33)*(MAX($D$16,(L57)-(K33))))*(MAX($D$16,(L57)-(K33))),0.000001)*MAX(((((G33)+(I33)*(MAX($D$16,(L57)-(K33))))*(MAX($D$16,(L57)-(K33))))/MAX((G33)+2*(MAX($D$16,(L57)-(K33)))*SQRT(1+(I33)^2),0.000001))^(2/3),0.000001)))^2))/2)+(IF((ABS(H57)/MAX(((G33)+(I33)*(MAX($D$16,(L57)-(K33))))*(MAX($D$16,(L57)-(K33))),0.000001))&gt;(ABS(H57)/MAX(((F33)+(H33)*(MAX($D$16,(D57)-(J33))))*(MAX($D$16,(D57)-(J33))),0.000001)),$D$9*((((ABS(H57)/MAX(((G33)+(I33)*(MAX($D$16,(L57)-(K33))))*(MAX($D$16,(L57)-(K33))),0.000001))^2)/(2*$I$5))-(((ABS(H57)/MAX(((F33)+(H33)*(MAX($D$16,(D57)-(J33))))*(MAX($D$16,(D57)-(J33))),0.000001))^2)/(2*$I$5))),$D$8*((((ABS(H57)/MAX(((F33)+(H33)*(MAX($D$16,(D57)-(J33))))*(MAX($D$16,(D57)-(J33))),0.000001))^2)/(2*$I$5))-(((ABS(H57)/MAX(((G33)+(I33)*(MAX($D$16,(L57)-(K33))))*(MAX($D$16,(L57)-(K33))),0.000001))^2)/(2*$I$5)))))+($D$10*(ABS((X33)-(W33))/90)*MAX(((ABS(H57)/MAX(((F33)+(H33)*(MAX($D$16,(D57)-(J33))))*(MAX($D$16,(D57)-(J33))),0.000001))^2)/(2*$I$5),((ABS(H57)/MAX(((G33)+(I33)*(MAX($D$16,(L57)-(K33))))*(MAX($D$16,(L57)-(K33))),0.000001))^2)/(2*$I$5)))+(($D$11*0.00000015*(ABS(G57)/MAX(ABS(F57),0.000001))^2*MAX(((ABS(H57)/MAX(((F33)+(H33)*(MAX($D$16,(D57)-(J33))))*(MAX($D$16,(D57)-(J33))),0.000001))^2)/(2*$I$5),((ABS(H57)/MAX(((G33)+(I33)*(MAX($D$16,(L57)-(K33))))*(MAX($D$16,(L57)-(K33))),0.000001))^2)/(2*$I$5))))-((ABS(H57)/MAX(((F33)+(H33)*(MAX($D$16,(D57)-(J33))))*(MAX($D$16,(D57)-(J33))),0.000001))^2)/(2*$I$5)</f>
        <v>634.3119999999999</v>
      </c>
      <c r="R57">
        <f>D57+((ABS(G57)/MAX(((F32)+(H32)*(MAX($D$16,(D57)-(J32))))*(MAX($D$16,(D57)-(J32))),0.000001))^2)/(2*$I$5)-((E32)*((((ABS(G57)*$D$6)/(MAX(((F32)+(H32)*(MAX($D$16,(D57)-(J32))))*(MAX($D$16,(D57)-(J32))),0.000001)*MAX(((((F32)+(H32)*(MAX($D$16,(D57)-(J32))))*(MAX($D$16,(D57)-(J32))))/MAX((F32)+2*(MAX($D$16,(D57)-(J32)))*SQRT(1+(H32)^2),0.000001))^(2/3),0.000001)))^2)+(((ABS(G57)*$D$6)/(MAX(((G32)+(I32)*(MAX($D$16,(E57)-(K32))))*(MAX($D$16,(E57)-(K32))),0.000001)*MAX(((((G32)+(I32)*(MAX($D$16,(E57)-(K32))))*(MAX($D$16,(E57)-(K32))))/MAX((G32)+2*(MAX($D$16,(E57)-(K32)))*SQRT(1+(I32)^2),0.000001))^(2/3),0.000001)))^2))/2)+(IF((ABS(G57)/MAX(((G32)+(I32)*(MAX($D$16,(E57)-(K32))))*(MAX($D$16,(E57)-(K32))),0.000001))&gt;(ABS(G57)/MAX(((F32)+(H32)*(MAX($D$16,(D57)-(J32))))*(MAX($D$16,(D57)-(J32))),0.000001)),$D$9*((((ABS(G57)/MAX(((G32)+(I32)*(MAX($D$16,(E57)-(K32))))*(MAX($D$16,(E57)-(K32))),0.000001))^2)/(2*$I$5))-(((ABS(G57)/MAX(((F32)+(H32)*(MAX($D$16,(D57)-(J32))))*(MAX($D$16,(D57)-(J32))),0.000001))^2)/(2*$I$5))),$D$8*((((ABS(G57)/MAX(((F32)+(H32)*(MAX($D$16,(D57)-(J32))))*(MAX($D$16,(D57)-(J32))),0.000001))^2)/(2*$I$5))-(((ABS(G57)/MAX(((G32)+(I32)*(MAX($D$16,(E57)-(K32))))*(MAX($D$16,(E57)-(K32))),0.000001))^2)/(2*$I$5)))))+($D$10*(ABS((X32)-(W32))/90)*MAX(((ABS(G57)/MAX(((F32)+(H32)*(MAX($D$16,(D57)-(J32))))*(MAX($D$16,(D57)-(J32))),0.000001))^2)/(2*$I$5),((ABS(G57)/MAX(((G32)+(I32)*(MAX($D$16,(E57)-(K32))))*(MAX($D$16,(E57)-(K32))),0.000001))^2)/(2*$I$5)))+(($D$11*0.13607488*(ABS(H57)/MAX(ABS(F57),0.000001))^2*MAX(((ABS(G57)/MAX(((F32)+(H32)*(MAX($D$16,(D57)-(J32))))*(MAX($D$16,(D57)-(J32))),0.000001))^2)/(2*$I$5),((ABS(G57)/MAX(((G32)+(I32)*(MAX($D$16,(E57)-(K32))))*(MAX($D$16,(E57)-(K32))),0.000001))^2)/(2*$I$5))))-((ABS(G57)/MAX(((G32)+(I32)*(MAX($D$16,(E57)-(K32))))*(MAX($D$16,(E57)-(K32))),0.000001))^2)/(2*$I$5)</f>
        <v>52432.149955864508</v>
      </c>
      <c r="S57">
        <f>M57+((ABS(I57)/MAX(((G34)+(I34)*(MAX($D$16,(M57)-(K34))))*(MAX($D$16,(M57)-(K34))),0.000001))^2)/(2*$I$5)+((E34)*((((ABS(I57)*$D$6)/(MAX(((F34)+(H34)*(MAX($D$16,(E57)-(J34))))*(MAX($D$16,(E57)-(J34))),0.000001)*MAX(((((F34)+(H34)*(MAX($D$16,(E57)-(J34))))*(MAX($D$16,(E57)-(J34))))/MAX((F34)+2*(MAX($D$16,(E57)-(J34)))*SQRT(1+(H34)^2),0.000001))^(2/3),0.000001)))^2)+(((ABS(I57)*$D$6)/(MAX(((G34)+(I34)*(MAX($D$16,(M57)-(K34))))*(MAX($D$16,(M57)-(K34))),0.000001)*MAX(((((G34)+(I34)*(MAX($D$16,(M57)-(K34))))*(MAX($D$16,(M57)-(K34))))/MAX((G34)+2*(MAX($D$16,(M57)-(K34)))*SQRT(1+(I34)^2),0.000001))^(2/3),0.000001)))^2))/2)+(IF((ABS(I57)/MAX(((G34)+(I34)*(MAX($D$16,(M57)-(K34))))*(MAX($D$16,(M57)-(K34))),0.000001))&gt;(ABS(I57)/MAX(((F34)+(H34)*(MAX($D$16,(E57)-(J34))))*(MAX($D$16,(E57)-(J34))),0.000001)),$D$9*((((ABS(I57)/MAX(((G34)+(I34)*(MAX($D$16,(M57)-(K34))))*(MAX($D$16,(M57)-(K34))),0.000001))^2)/(2*$I$5))-(((ABS(I57)/MAX(((F34)+(H34)*(MAX($D$16,(E57)-(J34))))*(MAX($D$16,(E57)-(J34))),0.000001))^2)/(2*$I$5))),$D$8*((((ABS(I57)/MAX(((F34)+(H34)*(MAX($D$16,(E57)-(J34))))*(MAX($D$16,(E57)-(J34))),0.000001))^2)/(2*$I$5))-(((ABS(I57)/MAX(((G34)+(I34)*(MAX($D$16,(M57)-(K34))))*(MAX($D$16,(M57)-(K34))),0.000001))^2)/(2*$I$5)))))+($D$10*(ABS((X34)-(W34))/90)*MAX(((ABS(I57)/MAX(((F34)+(H34)*(MAX($D$16,(E57)-(J34))))*(MAX($D$16,(E57)-(J34))),0.000001))^2)/(2*$I$5),((ABS(I57)/MAX(((G34)+(I34)*(MAX($D$16,(M57)-(K34))))*(MAX($D$16,(M57)-(K34))),0.000001))^2)/(2*$I$5)))+(0)-((ABS(I57)/MAX(((F34)+(H34)*(MAX($D$16,(E57)-(J34))))*(MAX($D$16,(E57)-(J34))),0.000001))^2)/(2*$I$5)</f>
        <v>635.5</v>
      </c>
      <c r="T57">
        <f>N57+((ABS(J57)/MAX(((G35)+(I35)*(MAX($D$16,(N57)-(K35))))*(MAX($D$16,(N57)-(K35))),0.000001))^2)/(2*$I$5)+((E35)*((((ABS(J57)*$D$6)/(MAX(((F35)+(H35)*(MAX($D$16,(E57)-(J35))))*(MAX($D$16,(E57)-(J35))),0.000001)*MAX(((((F35)+(H35)*(MAX($D$16,(E57)-(J35))))*(MAX($D$16,(E57)-(J35))))/MAX((F35)+2*(MAX($D$16,(E57)-(J35)))*SQRT(1+(H35)^2),0.000001))^(2/3),0.000001)))^2)+(((ABS(J57)*$D$6)/(MAX(((G35)+(I35)*(MAX($D$16,(N57)-(K35))))*(MAX($D$16,(N57)-(K35))),0.000001)*MAX(((((G35)+(I35)*(MAX($D$16,(N57)-(K35))))*(MAX($D$16,(N57)-(K35))))/MAX((G35)+2*(MAX($D$16,(N57)-(K35)))*SQRT(1+(I35)^2),0.000001))^(2/3),0.000001)))^2))/2)+(IF((ABS(J57)/MAX(((G35)+(I35)*(MAX($D$16,(N57)-(K35))))*(MAX($D$16,(N57)-(K35))),0.000001))&gt;(ABS(J57)/MAX(((F35)+(H35)*(MAX($D$16,(E57)-(J35))))*(MAX($D$16,(E57)-(J35))),0.000001)),$D$9*((((ABS(J57)/MAX(((G35)+(I35)*(MAX($D$16,(N57)-(K35))))*(MAX($D$16,(N57)-(K35))),0.000001))^2)/(2*$I$5))-(((ABS(J57)/MAX(((F35)+(H35)*(MAX($D$16,(E57)-(J35))))*(MAX($D$16,(E57)-(J35))),0.000001))^2)/(2*$I$5))),$D$8*((((ABS(J57)/MAX(((F35)+(H35)*(MAX($D$16,(E57)-(J35))))*(MAX($D$16,(E57)-(J35))),0.000001))^2)/(2*$I$5))-(((ABS(J57)/MAX(((G35)+(I35)*(MAX($D$16,(N57)-(K35))))*(MAX($D$16,(N57)-(K35))),0.000001))^2)/(2*$I$5)))))+($D$10*(ABS((X35)-(W35))/90)*MAX(((ABS(J57)/MAX(((F35)+(H35)*(MAX($D$16,(E57)-(J35))))*(MAX($D$16,(E57)-(J35))),0.000001))^2)/(2*$I$5),((ABS(J57)/MAX(((G35)+(I35)*(MAX($D$16,(N57)-(K35))))*(MAX($D$16,(N57)-(K35))),0.000001))^2)/(2*$I$5)))+(($D$11*0.34699541*(ABS(I57)/MAX(ABS(G57),0.000001))^2*MAX(((ABS(J57)/MAX(((F35)+(H35)*(MAX($D$16,(E57)-(J35))))*(MAX($D$16,(E57)-(J35))),0.000001))^2)/(2*$I$5),((ABS(J57)/MAX(((G35)+(I35)*(MAX($D$16,(N57)-(K35))))*(MAX($D$16,(N57)-(K35))),0.000001))^2)/(2*$I$5))))-((ABS(J57)/MAX(((F35)+(H35)*(MAX($D$16,(E57)-(J35))))*(MAX($D$16,(E57)-(J35))),0.000001))^2)/(2*$I$5)</f>
        <v>20784.033523923383</v>
      </c>
      <c r="U57">
        <f>(((((F32)*(MAX($D$16,(D57)-(J32)))^2)/2+(H32)*(MAX($D$16,(D57)-(J32)))^3/3+(ABS(G57)^2)/($I$5*MAX(((F32)+(H32)*(MAX($D$16,(D57)-(J32))))*(MAX($D$16,(D57)-(J32))),0.000001)))*0.72785025)-((((F33)*(MAX($D$16,(D57)-(J33)))^2)/2+(H33)*(MAX($D$16,(D57)-(J33)))^3/3+(ABS(H57)^2)/($I$5*MAX(((F33)+(H33)*(MAX($D$16,(D57)-(J33))))*(MAX($D$16,(D57)-(J33))),0.000001)))*0.99999971))/MAX(((G31)*(MAX($D$16,(D57)-(K31)))^2)/2+(I31)*(MAX($D$16,(D57)-(K31)))^3/3+(ABS(F57)^2)/($I$5*MAX(((G31)+(I31)*(MAX($D$16,(D57)-(K31))))*(MAX($D$16,(D57)-(K31))),0.000001)),0.000001)</f>
        <v>-0.27214945999991125</v>
      </c>
      <c r="V57">
        <f>(((((F34)*(MAX($D$16,(E57)-(J34)))^2)/2+(H34)*(MAX($D$16,(E57)-(J34)))^3/3+(ABS(I57)^2)/($I$5*MAX(((F34)+(H34)*(MAX($D$16,(E57)-(J34))))*(MAX($D$16,(E57)-(J34))),0.000001)))*1)-((((F35)*(MAX($D$16,(E57)-(J35)))^2)/2+(H35)*(MAX($D$16,(E57)-(J35)))^3/3+(ABS(J57)^2)/($I$5*MAX(((F35)+(H35)*(MAX($D$16,(E57)-(J35))))*(MAX($D$16,(E57)-(J35))),0.000001)))*0.30600918))/MAX(((G32)*(MAX($D$16,(E57)-(K32)))^2)/2+(I32)*(MAX($D$16,(E57)-(K32)))^3/3+(ABS(G57)^2)/($I$5*MAX(((G32)+(I32)*(MAX($D$16,(E57)-(K32))))*(MAX($D$16,(E57)-(K32))),0.000001)),0.000001)</f>
        <v>0.69398638937120949</v>
      </c>
      <c r="W57">
        <f>IF(N6="None",ABS(P57-D57),MAX(ABS(P57-D57),ABS(Q57-D57)))</f>
        <v>1.623641666083131E-2</v>
      </c>
      <c r="X57">
        <f>IF(AND(N7="None",N8="None"),0,IF(N8="None",ABS(S57-E57),IF(N7="None",ABS(T57-E57),MAX(ABS(S57-E57),ABS(T57-E57)))))</f>
        <v>51796.633719447163</v>
      </c>
      <c r="AA57">
        <f t="shared" si="3"/>
        <v>52432.144273118545</v>
      </c>
      <c r="AB57">
        <f t="shared" si="4"/>
        <v>41355.298651013843</v>
      </c>
      <c r="AC57">
        <f>IF(N6="None",P57,MAX(P57,Q57))</f>
        <v>52432.133719447716</v>
      </c>
      <c r="AD57">
        <f>IF(AND(N7="None",N8="None"),E57,IF(N8="None",S57,IF(N7="None",T57,MAX(S57,T57))))</f>
        <v>20784.033523923383</v>
      </c>
      <c r="AE57">
        <f t="shared" si="5"/>
        <v>637.65825101089831</v>
      </c>
      <c r="AF57">
        <f t="shared" si="6"/>
        <v>52432.149955864508</v>
      </c>
      <c r="AG57">
        <f>((G31)*(MAX($D$16,(AC57)-(K31)))^2)/2+(I31)*(MAX($D$16,(AC57)-(K31)))^3/3+(ABS(F57)^2)/($I$5*MAX(((G31)+(I31)*(MAX($D$16,(AC57)-(K31))))*(MAX($D$16,(AC57)-(K31))),0.000001))</f>
        <v>8797608759.733532</v>
      </c>
      <c r="AH57">
        <f>((G31)*(MAX($D$16,(AE57)-(K31)))^2)/2+(I31)*(MAX($D$16,(AE57)-(K31)))^3/3+(ABS(F57)^2)/($I$5*MAX(((G31)+(I31)*(MAX($D$16,(AE57)-(K31))))*(MAX($D$16,(AE57)-(K31))),0.000001))</f>
        <v>49.055863329575246</v>
      </c>
      <c r="AI57">
        <f>((G32)*(MAX($D$16,(AD57)-(K32)))^2)/2+(I32)*(MAX($D$16,(AD57)-(K32)))^3/3+(ABS(G57)^2)/($I$5*MAX(((G32)+(I32)*(MAX($D$16,(AD57)-(K32))))*(MAX($D$16,(AD57)-(K32))),0.000001))</f>
        <v>2072376743.6648321</v>
      </c>
      <c r="AJ57">
        <f>((G32)*(MAX($D$16,(AF57)-(K32)))^2)/2+(I32)*(MAX($D$16,(AF57)-(K32)))^3/3+(ABS(G57)^2)/($I$5*MAX(((G32)+(I32)*(MAX($D$16,(AF57)-(K32))))*(MAX($D$16,(AF57)-(K32))),0.000001))</f>
        <v>13692719081.523146</v>
      </c>
      <c r="AK57" t="str">
        <f t="shared" si="7"/>
        <v>Subcritical</v>
      </c>
      <c r="AL57" t="str">
        <f t="shared" si="8"/>
        <v>Supercritical</v>
      </c>
      <c r="AM57">
        <f t="shared" si="9"/>
        <v>52432.144273118545</v>
      </c>
      <c r="AN57">
        <f t="shared" si="10"/>
        <v>52432.139402193236</v>
      </c>
      <c r="AO57">
        <f t="shared" si="11"/>
        <v>1.623641666083131E-2</v>
      </c>
      <c r="AP57">
        <f t="shared" si="12"/>
        <v>1.6236417344771326E-2</v>
      </c>
    </row>
    <row r="58" spans="1:42" x14ac:dyDescent="0.35">
      <c r="A58">
        <v>15</v>
      </c>
      <c r="B58">
        <f t="shared" si="13"/>
        <v>0</v>
      </c>
      <c r="C58">
        <f t="shared" si="14"/>
        <v>0</v>
      </c>
      <c r="D58">
        <f t="shared" si="15"/>
        <v>52432.144273118545</v>
      </c>
      <c r="E58">
        <f t="shared" si="16"/>
        <v>52432.139402193236</v>
      </c>
      <c r="F58">
        <f t="shared" si="2"/>
        <v>51</v>
      </c>
      <c r="G58">
        <f>IF(N6="None",F58,MAX(0,F58*B58))</f>
        <v>51</v>
      </c>
      <c r="H58">
        <f>IF(N6="None",0,MAX(0,F58-G58))</f>
        <v>0</v>
      </c>
      <c r="I58">
        <f>IF(AND(N7="None",N8="None"),0,IF(N8="None",G58,IF(N7="None",0,MAX(0,G58*C58))))</f>
        <v>0</v>
      </c>
      <c r="J58">
        <f>IF(AND(N7="None",N8="None"),0,IF(N8="None",0,IF(N7="None",G58,MAX(0,G58-I58))))</f>
        <v>51</v>
      </c>
      <c r="K58">
        <f>P5</f>
        <v>637</v>
      </c>
      <c r="L58">
        <f>P6</f>
        <v>634.3119999999999</v>
      </c>
      <c r="M58">
        <f>P7</f>
        <v>635.5</v>
      </c>
      <c r="N58">
        <f>P8</f>
        <v>631.54999999999995</v>
      </c>
      <c r="O58">
        <f>K58+((ABS(F58)/MAX(((F31)+(H31)*(MAX($D$16,(K58)-(J31))))*(MAX($D$16,(K58)-(J31))),0.000001))^2)/(2*$I$5)-((E31)*((((ABS(F58)*$D$6)/(MAX(((F31)+(H31)*(MAX($D$16,(K58)-(J31))))*(MAX($D$16,(K58)-(J31))),0.000001)*MAX(((((F31)+(H31)*(MAX($D$16,(K58)-(J31))))*(MAX($D$16,(K58)-(J31))))/MAX((F31)+2*(MAX($D$16,(K58)-(J31)))*SQRT(1+(H31)^2),0.000001))^(2/3),0.000001)))^2)+(((ABS(F58)*$D$6)/(MAX(((G31)+(I31)*(MAX($D$16,(D58)-(K31))))*(MAX($D$16,(D58)-(K31))),0.000001)*MAX(((((G31)+(I31)*(MAX($D$16,(D58)-(K31))))*(MAX($D$16,(D58)-(K31))))/MAX((G31)+2*(MAX($D$16,(D58)-(K31)))*SQRT(1+(I31)^2),0.000001))^(2/3),0.000001)))^2))/2)+(IF((ABS(F58)/MAX(((G31)+(I31)*(MAX($D$16,(D58)-(K31))))*(MAX($D$16,(D58)-(K31))),0.000001))&gt;(ABS(F58)/MAX(((F31)+(H31)*(MAX($D$16,(K58)-(J31))))*(MAX($D$16,(K58)-(J31))),0.000001)),$D$9*((((ABS(F58)/MAX(((G31)+(I31)*(MAX($D$16,(D58)-(K31))))*(MAX($D$16,(D58)-(K31))),0.000001))^2)/(2*$I$5))-(((ABS(F58)/MAX(((F31)+(H31)*(MAX($D$16,(K58)-(J31))))*(MAX($D$16,(K58)-(J31))),0.000001))^2)/(2*$I$5))),$D$8*((((ABS(F58)/MAX(((F31)+(H31)*(MAX($D$16,(K58)-(J31))))*(MAX($D$16,(K58)-(J31))),0.000001))^2)/(2*$I$5))-(((ABS(F58)/MAX(((G31)+(I31)*(MAX($D$16,(D58)-(K31))))*(MAX($D$16,(D58)-(K31))),0.000001))^2)/(2*$I$5)))))+($D$10*(ABS((X31)-(W31))/90)*MAX(((ABS(F58)/MAX(((F31)+(H31)*(MAX($D$16,(K58)-(J31))))*(MAX($D$16,(K58)-(J31))),0.000001))^2)/(2*$I$5),((ABS(F58)/MAX(((G31)+(I31)*(MAX($D$16,(D58)-(K31))))*(MAX($D$16,(D58)-(K31))),0.000001))^2)/(2*$I$5)))+(0)-((ABS(F58)/MAX(((G31)+(I31)*(MAX($D$16,(D58)-(K31))))*(MAX($D$16,(D58)-(K31))),0.000001))^2)/(2*$I$5)</f>
        <v>637.65825101089831</v>
      </c>
      <c r="P58">
        <f>E58+((ABS(G58)/MAX(((G32)+(I32)*(MAX($D$16,(E58)-(K32))))*(MAX($D$16,(E58)-(K32))),0.000001))^2)/(2*$I$5)+((E32)*((((ABS(G58)*$D$6)/(MAX(((F32)+(H32)*(MAX($D$16,(D58)-(J32))))*(MAX($D$16,(D58)-(J32))),0.000001)*MAX(((((F32)+(H32)*(MAX($D$16,(D58)-(J32))))*(MAX($D$16,(D58)-(J32))))/MAX((F32)+2*(MAX($D$16,(D58)-(J32)))*SQRT(1+(H32)^2),0.000001))^(2/3),0.000001)))^2)+(((ABS(G58)*$D$6)/(MAX(((G32)+(I32)*(MAX($D$16,(E58)-(K32))))*(MAX($D$16,(E58)-(K32))),0.000001)*MAX(((((G32)+(I32)*(MAX($D$16,(E58)-(K32))))*(MAX($D$16,(E58)-(K32))))/MAX((G32)+2*(MAX($D$16,(E58)-(K32)))*SQRT(1+(I32)^2),0.000001))^(2/3),0.000001)))^2))/2)+(IF((ABS(G58)/MAX(((G32)+(I32)*(MAX($D$16,(E58)-(K32))))*(MAX($D$16,(E58)-(K32))),0.000001))&gt;(ABS(G58)/MAX(((F32)+(H32)*(MAX($D$16,(D58)-(J32))))*(MAX($D$16,(D58)-(J32))),0.000001)),$D$9*((((ABS(G58)/MAX(((G32)+(I32)*(MAX($D$16,(E58)-(K32))))*(MAX($D$16,(E58)-(K32))),0.000001))^2)/(2*$I$5))-(((ABS(G58)/MAX(((F32)+(H32)*(MAX($D$16,(D58)-(J32))))*(MAX($D$16,(D58)-(J32))),0.000001))^2)/(2*$I$5))),$D$8*((((ABS(G58)/MAX(((F32)+(H32)*(MAX($D$16,(D58)-(J32))))*(MAX($D$16,(D58)-(J32))),0.000001))^2)/(2*$I$5))-(((ABS(G58)/MAX(((G32)+(I32)*(MAX($D$16,(E58)-(K32))))*(MAX($D$16,(E58)-(K32))),0.000001))^2)/(2*$I$5)))))+($D$10*(ABS((X32)-(W32))/90)*MAX(((ABS(G58)/MAX(((F32)+(H32)*(MAX($D$16,(D58)-(J32))))*(MAX($D$16,(D58)-(J32))),0.000001))^2)/(2*$I$5),((ABS(G58)/MAX(((G32)+(I32)*(MAX($D$16,(E58)-(K32))))*(MAX($D$16,(E58)-(K32))),0.000001))^2)/(2*$I$5)))+(($D$11*0.13607488*(ABS(H58)/MAX(ABS(F58),0.000001))^2*MAX(((ABS(G58)/MAX(((F32)+(H32)*(MAX($D$16,(D58)-(J32))))*(MAX($D$16,(D58)-(J32))),0.000001))^2)/(2*$I$5),((ABS(G58)/MAX(((G32)+(I32)*(MAX($D$16,(E58)-(K32))))*(MAX($D$16,(E58)-(K32))),0.000001))^2)/(2*$I$5))))-((ABS(G58)/MAX(((F32)+(H32)*(MAX($D$16,(D58)-(J32))))*(MAX($D$16,(D58)-(J32))),0.000001))^2)/(2*$I$5)</f>
        <v>52432.139402193789</v>
      </c>
      <c r="Q58">
        <f>L58+((ABS(H58)/MAX(((G33)+(I33)*(MAX($D$16,(L58)-(K33))))*(MAX($D$16,(L58)-(K33))),0.000001))^2)/(2*$I$5)+((E33)*((((ABS(H58)*$D$6)/(MAX(((F33)+(H33)*(MAX($D$16,(D58)-(J33))))*(MAX($D$16,(D58)-(J33))),0.000001)*MAX(((((F33)+(H33)*(MAX($D$16,(D58)-(J33))))*(MAX($D$16,(D58)-(J33))))/MAX((F33)+2*(MAX($D$16,(D58)-(J33)))*SQRT(1+(H33)^2),0.000001))^(2/3),0.000001)))^2)+(((ABS(H58)*$D$6)/(MAX(((G33)+(I33)*(MAX($D$16,(L58)-(K33))))*(MAX($D$16,(L58)-(K33))),0.000001)*MAX(((((G33)+(I33)*(MAX($D$16,(L58)-(K33))))*(MAX($D$16,(L58)-(K33))))/MAX((G33)+2*(MAX($D$16,(L58)-(K33)))*SQRT(1+(I33)^2),0.000001))^(2/3),0.000001)))^2))/2)+(IF((ABS(H58)/MAX(((G33)+(I33)*(MAX($D$16,(L58)-(K33))))*(MAX($D$16,(L58)-(K33))),0.000001))&gt;(ABS(H58)/MAX(((F33)+(H33)*(MAX($D$16,(D58)-(J33))))*(MAX($D$16,(D58)-(J33))),0.000001)),$D$9*((((ABS(H58)/MAX(((G33)+(I33)*(MAX($D$16,(L58)-(K33))))*(MAX($D$16,(L58)-(K33))),0.000001))^2)/(2*$I$5))-(((ABS(H58)/MAX(((F33)+(H33)*(MAX($D$16,(D58)-(J33))))*(MAX($D$16,(D58)-(J33))),0.000001))^2)/(2*$I$5))),$D$8*((((ABS(H58)/MAX(((F33)+(H33)*(MAX($D$16,(D58)-(J33))))*(MAX($D$16,(D58)-(J33))),0.000001))^2)/(2*$I$5))-(((ABS(H58)/MAX(((G33)+(I33)*(MAX($D$16,(L58)-(K33))))*(MAX($D$16,(L58)-(K33))),0.000001))^2)/(2*$I$5)))))+($D$10*(ABS((X33)-(W33))/90)*MAX(((ABS(H58)/MAX(((F33)+(H33)*(MAX($D$16,(D58)-(J33))))*(MAX($D$16,(D58)-(J33))),0.000001))^2)/(2*$I$5),((ABS(H58)/MAX(((G33)+(I33)*(MAX($D$16,(L58)-(K33))))*(MAX($D$16,(L58)-(K33))),0.000001))^2)/(2*$I$5)))+(($D$11*0.00000015*(ABS(G58)/MAX(ABS(F58),0.000001))^2*MAX(((ABS(H58)/MAX(((F33)+(H33)*(MAX($D$16,(D58)-(J33))))*(MAX($D$16,(D58)-(J33))),0.000001))^2)/(2*$I$5),((ABS(H58)/MAX(((G33)+(I33)*(MAX($D$16,(L58)-(K33))))*(MAX($D$16,(L58)-(K33))),0.000001))^2)/(2*$I$5))))-((ABS(H58)/MAX(((F33)+(H33)*(MAX($D$16,(D58)-(J33))))*(MAX($D$16,(D58)-(J33))),0.000001))^2)/(2*$I$5)</f>
        <v>634.3119999999999</v>
      </c>
      <c r="R58">
        <f>D58+((ABS(G58)/MAX(((F32)+(H32)*(MAX($D$16,(D58)-(J32))))*(MAX($D$16,(D58)-(J32))),0.000001))^2)/(2*$I$5)-((E32)*((((ABS(G58)*$D$6)/(MAX(((F32)+(H32)*(MAX($D$16,(D58)-(J32))))*(MAX($D$16,(D58)-(J32))),0.000001)*MAX(((((F32)+(H32)*(MAX($D$16,(D58)-(J32))))*(MAX($D$16,(D58)-(J32))))/MAX((F32)+2*(MAX($D$16,(D58)-(J32)))*SQRT(1+(H32)^2),0.000001))^(2/3),0.000001)))^2)+(((ABS(G58)*$D$6)/(MAX(((G32)+(I32)*(MAX($D$16,(E58)-(K32))))*(MAX($D$16,(E58)-(K32))),0.000001)*MAX(((((G32)+(I32)*(MAX($D$16,(E58)-(K32))))*(MAX($D$16,(E58)-(K32))))/MAX((G32)+2*(MAX($D$16,(E58)-(K32)))*SQRT(1+(I32)^2),0.000001))^(2/3),0.000001)))^2))/2)+(IF((ABS(G58)/MAX(((G32)+(I32)*(MAX($D$16,(E58)-(K32))))*(MAX($D$16,(E58)-(K32))),0.000001))&gt;(ABS(G58)/MAX(((F32)+(H32)*(MAX($D$16,(D58)-(J32))))*(MAX($D$16,(D58)-(J32))),0.000001)),$D$9*((((ABS(G58)/MAX(((G32)+(I32)*(MAX($D$16,(E58)-(K32))))*(MAX($D$16,(E58)-(K32))),0.000001))^2)/(2*$I$5))-(((ABS(G58)/MAX(((F32)+(H32)*(MAX($D$16,(D58)-(J32))))*(MAX($D$16,(D58)-(J32))),0.000001))^2)/(2*$I$5))),$D$8*((((ABS(G58)/MAX(((F32)+(H32)*(MAX($D$16,(D58)-(J32))))*(MAX($D$16,(D58)-(J32))),0.000001))^2)/(2*$I$5))-(((ABS(G58)/MAX(((G32)+(I32)*(MAX($D$16,(E58)-(K32))))*(MAX($D$16,(E58)-(K32))),0.000001))^2)/(2*$I$5)))))+($D$10*(ABS((X32)-(W32))/90)*MAX(((ABS(G58)/MAX(((F32)+(H32)*(MAX($D$16,(D58)-(J32))))*(MAX($D$16,(D58)-(J32))),0.000001))^2)/(2*$I$5),((ABS(G58)/MAX(((G32)+(I32)*(MAX($D$16,(E58)-(K32))))*(MAX($D$16,(E58)-(K32))),0.000001))^2)/(2*$I$5)))+(($D$11*0.13607488*(ABS(H58)/MAX(ABS(F58),0.000001))^2*MAX(((ABS(G58)/MAX(((F32)+(H32)*(MAX($D$16,(D58)-(J32))))*(MAX($D$16,(D58)-(J32))),0.000001))^2)/(2*$I$5),((ABS(G58)/MAX(((G32)+(I32)*(MAX($D$16,(E58)-(K32))))*(MAX($D$16,(E58)-(K32))),0.000001))^2)/(2*$I$5))))-((ABS(G58)/MAX(((G32)+(I32)*(MAX($D$16,(E58)-(K32))))*(MAX($D$16,(E58)-(K32))),0.000001))^2)/(2*$I$5)</f>
        <v>52432.144273118676</v>
      </c>
      <c r="S58">
        <f>M58+((ABS(I58)/MAX(((G34)+(I34)*(MAX($D$16,(M58)-(K34))))*(MAX($D$16,(M58)-(K34))),0.000001))^2)/(2*$I$5)+((E34)*((((ABS(I58)*$D$6)/(MAX(((F34)+(H34)*(MAX($D$16,(E58)-(J34))))*(MAX($D$16,(E58)-(J34))),0.000001)*MAX(((((F34)+(H34)*(MAX($D$16,(E58)-(J34))))*(MAX($D$16,(E58)-(J34))))/MAX((F34)+2*(MAX($D$16,(E58)-(J34)))*SQRT(1+(H34)^2),0.000001))^(2/3),0.000001)))^2)+(((ABS(I58)*$D$6)/(MAX(((G34)+(I34)*(MAX($D$16,(M58)-(K34))))*(MAX($D$16,(M58)-(K34))),0.000001)*MAX(((((G34)+(I34)*(MAX($D$16,(M58)-(K34))))*(MAX($D$16,(M58)-(K34))))/MAX((G34)+2*(MAX($D$16,(M58)-(K34)))*SQRT(1+(I34)^2),0.000001))^(2/3),0.000001)))^2))/2)+(IF((ABS(I58)/MAX(((G34)+(I34)*(MAX($D$16,(M58)-(K34))))*(MAX($D$16,(M58)-(K34))),0.000001))&gt;(ABS(I58)/MAX(((F34)+(H34)*(MAX($D$16,(E58)-(J34))))*(MAX($D$16,(E58)-(J34))),0.000001)),$D$9*((((ABS(I58)/MAX(((G34)+(I34)*(MAX($D$16,(M58)-(K34))))*(MAX($D$16,(M58)-(K34))),0.000001))^2)/(2*$I$5))-(((ABS(I58)/MAX(((F34)+(H34)*(MAX($D$16,(E58)-(J34))))*(MAX($D$16,(E58)-(J34))),0.000001))^2)/(2*$I$5))),$D$8*((((ABS(I58)/MAX(((F34)+(H34)*(MAX($D$16,(E58)-(J34))))*(MAX($D$16,(E58)-(J34))),0.000001))^2)/(2*$I$5))-(((ABS(I58)/MAX(((G34)+(I34)*(MAX($D$16,(M58)-(K34))))*(MAX($D$16,(M58)-(K34))),0.000001))^2)/(2*$I$5)))))+($D$10*(ABS((X34)-(W34))/90)*MAX(((ABS(I58)/MAX(((F34)+(H34)*(MAX($D$16,(E58)-(J34))))*(MAX($D$16,(E58)-(J34))),0.000001))^2)/(2*$I$5),((ABS(I58)/MAX(((G34)+(I34)*(MAX($D$16,(M58)-(K34))))*(MAX($D$16,(M58)-(K34))),0.000001))^2)/(2*$I$5)))+(0)-((ABS(I58)/MAX(((F34)+(H34)*(MAX($D$16,(E58)-(J34))))*(MAX($D$16,(E58)-(J34))),0.000001))^2)/(2*$I$5)</f>
        <v>635.5</v>
      </c>
      <c r="T58">
        <f>N58+((ABS(J58)/MAX(((G35)+(I35)*(MAX($D$16,(N58)-(K35))))*(MAX($D$16,(N58)-(K35))),0.000001))^2)/(2*$I$5)+((E35)*((((ABS(J58)*$D$6)/(MAX(((F35)+(H35)*(MAX($D$16,(E58)-(J35))))*(MAX($D$16,(E58)-(J35))),0.000001)*MAX(((((F35)+(H35)*(MAX($D$16,(E58)-(J35))))*(MAX($D$16,(E58)-(J35))))/MAX((F35)+2*(MAX($D$16,(E58)-(J35)))*SQRT(1+(H35)^2),0.000001))^(2/3),0.000001)))^2)+(((ABS(J58)*$D$6)/(MAX(((G35)+(I35)*(MAX($D$16,(N58)-(K35))))*(MAX($D$16,(N58)-(K35))),0.000001)*MAX(((((G35)+(I35)*(MAX($D$16,(N58)-(K35))))*(MAX($D$16,(N58)-(K35))))/MAX((G35)+2*(MAX($D$16,(N58)-(K35)))*SQRT(1+(I35)^2),0.000001))^(2/3),0.000001)))^2))/2)+(IF((ABS(J58)/MAX(((G35)+(I35)*(MAX($D$16,(N58)-(K35))))*(MAX($D$16,(N58)-(K35))),0.000001))&gt;(ABS(J58)/MAX(((F35)+(H35)*(MAX($D$16,(E58)-(J35))))*(MAX($D$16,(E58)-(J35))),0.000001)),$D$9*((((ABS(J58)/MAX(((G35)+(I35)*(MAX($D$16,(N58)-(K35))))*(MAX($D$16,(N58)-(K35))),0.000001))^2)/(2*$I$5))-(((ABS(J58)/MAX(((F35)+(H35)*(MAX($D$16,(E58)-(J35))))*(MAX($D$16,(E58)-(J35))),0.000001))^2)/(2*$I$5))),$D$8*((((ABS(J58)/MAX(((F35)+(H35)*(MAX($D$16,(E58)-(J35))))*(MAX($D$16,(E58)-(J35))),0.000001))^2)/(2*$I$5))-(((ABS(J58)/MAX(((G35)+(I35)*(MAX($D$16,(N58)-(K35))))*(MAX($D$16,(N58)-(K35))),0.000001))^2)/(2*$I$5)))))+($D$10*(ABS((X35)-(W35))/90)*MAX(((ABS(J58)/MAX(((F35)+(H35)*(MAX($D$16,(E58)-(J35))))*(MAX($D$16,(E58)-(J35))),0.000001))^2)/(2*$I$5),((ABS(J58)/MAX(((G35)+(I35)*(MAX($D$16,(N58)-(K35))))*(MAX($D$16,(N58)-(K35))),0.000001))^2)/(2*$I$5)))+(($D$11*0.34699541*(ABS(I58)/MAX(ABS(G58),0.000001))^2*MAX(((ABS(J58)/MAX(((F35)+(H35)*(MAX($D$16,(E58)-(J35))))*(MAX($D$16,(E58)-(J35))),0.000001))^2)/(2*$I$5),((ABS(J58)/MAX(((G35)+(I35)*(MAX($D$16,(N58)-(K35))))*(MAX($D$16,(N58)-(K35))),0.000001))^2)/(2*$I$5))))-((ABS(J58)/MAX(((F35)+(H35)*(MAX($D$16,(E58)-(J35))))*(MAX($D$16,(E58)-(J35))),0.000001))^2)/(2*$I$5)</f>
        <v>20784.033523923383</v>
      </c>
      <c r="U58">
        <f>(((((F32)*(MAX($D$16,(D58)-(J32)))^2)/2+(H32)*(MAX($D$16,(D58)-(J32)))^3/3+(ABS(G58)^2)/($I$5*MAX(((F32)+(H32)*(MAX($D$16,(D58)-(J32))))*(MAX($D$16,(D58)-(J32))),0.000001)))*0.72785025)-((((F33)*(MAX($D$16,(D58)-(J33)))^2)/2+(H33)*(MAX($D$16,(D58)-(J33)))^3/3+(ABS(H58)^2)/($I$5*MAX(((F33)+(H33)*(MAX($D$16,(D58)-(J33))))*(MAX($D$16,(D58)-(J33))),0.000001)))*0.99999971))/MAX(((G31)*(MAX($D$16,(D58)-(K31)))^2)/2+(I31)*(MAX($D$16,(D58)-(K31)))^3/3+(ABS(F58)^2)/($I$5*MAX(((G31)+(I31)*(MAX($D$16,(D58)-(K31))))*(MAX($D$16,(D58)-(K31))),0.000001)),0.000001)</f>
        <v>-0.27214945999991119</v>
      </c>
      <c r="V58">
        <f>(((((F34)*(MAX($D$16,(E58)-(J34)))^2)/2+(H34)*(MAX($D$16,(E58)-(J34)))^3/3+(ABS(I58)^2)/($I$5*MAX(((F34)+(H34)*(MAX($D$16,(E58)-(J34))))*(MAX($D$16,(E58)-(J34))),0.000001)))*1)-((((F35)*(MAX($D$16,(E58)-(J35)))^2)/2+(H35)*(MAX($D$16,(E58)-(J35)))^3/3+(ABS(J58)^2)/($I$5*MAX(((F35)+(H35)*(MAX($D$16,(E58)-(J35))))*(MAX($D$16,(E58)-(J35))),0.000001)))*0.30600918))/MAX(((G32)*(MAX($D$16,(E58)-(K32)))^2)/2+(I32)*(MAX($D$16,(E58)-(K32)))^3/3+(ABS(G58)^2)/($I$5*MAX(((G32)+(I32)*(MAX($D$16,(E58)-(K32))))*(MAX($D$16,(E58)-(K32))),0.000001)),0.000001)</f>
        <v>0.69398638937169566</v>
      </c>
      <c r="W58">
        <f>IF(N6="None",ABS(P58-D58),MAX(ABS(P58-D58),ABS(Q58-D58)))</f>
        <v>4.8709247566876002E-3</v>
      </c>
      <c r="X58">
        <f>IF(AND(N7="None",N8="None"),0,IF(N8="None",ABS(S58-E58),IF(N7="None",ABS(T58-E58),MAX(ABS(S58-E58),ABS(T58-E58)))))</f>
        <v>51796.639402193236</v>
      </c>
      <c r="AA58">
        <f t="shared" si="3"/>
        <v>52432.142568294883</v>
      </c>
      <c r="AB58">
        <f t="shared" si="4"/>
        <v>41355.302344798787</v>
      </c>
      <c r="AC58">
        <f>IF(N6="None",P58,MAX(P58,Q58))</f>
        <v>52432.139402193789</v>
      </c>
      <c r="AD58">
        <f>IF(AND(N7="None",N8="None"),E58,IF(N8="None",S58,IF(N7="None",T58,MAX(S58,T58))))</f>
        <v>20784.033523923383</v>
      </c>
      <c r="AE58">
        <f t="shared" si="5"/>
        <v>637.65825101089831</v>
      </c>
      <c r="AF58">
        <f t="shared" si="6"/>
        <v>52432.144273118676</v>
      </c>
      <c r="AG58">
        <f>((G31)*(MAX($D$16,(AC58)-(K31)))^2)/2+(I31)*(MAX($D$16,(AC58)-(K31)))^3/3+(ABS(F58)^2)/($I$5*MAX(((G31)+(I31)*(MAX($D$16,(AC58)-(K31))))*(MAX($D$16,(AC58)-(K31))),0.000001))</f>
        <v>8797610690.1068249</v>
      </c>
      <c r="AH58">
        <f>((G31)*(MAX($D$16,(AE58)-(K31)))^2)/2+(I31)*(MAX($D$16,(AE58)-(K31)))^3/3+(ABS(F58)^2)/($I$5*MAX(((G31)+(I31)*(MAX($D$16,(AE58)-(K31))))*(MAX($D$16,(AE58)-(K31))),0.000001))</f>
        <v>49.055863329575246</v>
      </c>
      <c r="AI58">
        <f>((G32)*(MAX($D$16,(AD58)-(K32)))^2)/2+(I32)*(MAX($D$16,(AD58)-(K32)))^3/3+(ABS(G58)^2)/($I$5*MAX(((G32)+(I32)*(MAX($D$16,(AD58)-(K32))))*(MAX($D$16,(AD58)-(K32))),0.000001))</f>
        <v>2072376743.6648321</v>
      </c>
      <c r="AJ58">
        <f>((G32)*(MAX($D$16,(AF58)-(K32)))^2)/2+(I32)*(MAX($D$16,(AF58)-(K32)))^3/3+(ABS(G58)^2)/($I$5*MAX(((G32)+(I32)*(MAX($D$16,(AF58)-(K32))))*(MAX($D$16,(AF58)-(K32))),0.000001))</f>
        <v>13692716077.205578</v>
      </c>
      <c r="AK58" t="str">
        <f t="shared" si="7"/>
        <v>Subcritical</v>
      </c>
      <c r="AL58" t="str">
        <f t="shared" si="8"/>
        <v>Supercritical</v>
      </c>
      <c r="AM58">
        <f t="shared" si="9"/>
        <v>52432.142568294883</v>
      </c>
      <c r="AN58">
        <f t="shared" si="10"/>
        <v>52432.141107017138</v>
      </c>
      <c r="AO58">
        <f t="shared" si="11"/>
        <v>4.8709247566876002E-3</v>
      </c>
      <c r="AP58">
        <f t="shared" si="12"/>
        <v>4.8709254406276159E-3</v>
      </c>
    </row>
    <row r="59" spans="1:42" x14ac:dyDescent="0.35">
      <c r="A59">
        <v>16</v>
      </c>
      <c r="B59">
        <f t="shared" si="13"/>
        <v>0</v>
      </c>
      <c r="C59">
        <f t="shared" si="14"/>
        <v>0</v>
      </c>
      <c r="D59">
        <f t="shared" si="15"/>
        <v>52432.142568294883</v>
      </c>
      <c r="E59">
        <f t="shared" si="16"/>
        <v>52432.141107017138</v>
      </c>
      <c r="F59">
        <f t="shared" si="2"/>
        <v>51</v>
      </c>
      <c r="G59">
        <f>IF(N6="None",F59,MAX(0,F59*B59))</f>
        <v>51</v>
      </c>
      <c r="H59">
        <f>IF(N6="None",0,MAX(0,F59-G59))</f>
        <v>0</v>
      </c>
      <c r="I59">
        <f>IF(AND(N7="None",N8="None"),0,IF(N8="None",G59,IF(N7="None",0,MAX(0,G59*C59))))</f>
        <v>0</v>
      </c>
      <c r="J59">
        <f>IF(AND(N7="None",N8="None"),0,IF(N8="None",0,IF(N7="None",G59,MAX(0,G59-I59))))</f>
        <v>51</v>
      </c>
      <c r="K59">
        <f>P5</f>
        <v>637</v>
      </c>
      <c r="L59">
        <f>P6</f>
        <v>634.3119999999999</v>
      </c>
      <c r="M59">
        <f>P7</f>
        <v>635.5</v>
      </c>
      <c r="N59">
        <f>P8</f>
        <v>631.54999999999995</v>
      </c>
      <c r="O59">
        <f>K59+((ABS(F59)/MAX(((F31)+(H31)*(MAX($D$16,(K59)-(J31))))*(MAX($D$16,(K59)-(J31))),0.000001))^2)/(2*$I$5)-((E31)*((((ABS(F59)*$D$6)/(MAX(((F31)+(H31)*(MAX($D$16,(K59)-(J31))))*(MAX($D$16,(K59)-(J31))),0.000001)*MAX(((((F31)+(H31)*(MAX($D$16,(K59)-(J31))))*(MAX($D$16,(K59)-(J31))))/MAX((F31)+2*(MAX($D$16,(K59)-(J31)))*SQRT(1+(H31)^2),0.000001))^(2/3),0.000001)))^2)+(((ABS(F59)*$D$6)/(MAX(((G31)+(I31)*(MAX($D$16,(D59)-(K31))))*(MAX($D$16,(D59)-(K31))),0.000001)*MAX(((((G31)+(I31)*(MAX($D$16,(D59)-(K31))))*(MAX($D$16,(D59)-(K31))))/MAX((G31)+2*(MAX($D$16,(D59)-(K31)))*SQRT(1+(I31)^2),0.000001))^(2/3),0.000001)))^2))/2)+(IF((ABS(F59)/MAX(((G31)+(I31)*(MAX($D$16,(D59)-(K31))))*(MAX($D$16,(D59)-(K31))),0.000001))&gt;(ABS(F59)/MAX(((F31)+(H31)*(MAX($D$16,(K59)-(J31))))*(MAX($D$16,(K59)-(J31))),0.000001)),$D$9*((((ABS(F59)/MAX(((G31)+(I31)*(MAX($D$16,(D59)-(K31))))*(MAX($D$16,(D59)-(K31))),0.000001))^2)/(2*$I$5))-(((ABS(F59)/MAX(((F31)+(H31)*(MAX($D$16,(K59)-(J31))))*(MAX($D$16,(K59)-(J31))),0.000001))^2)/(2*$I$5))),$D$8*((((ABS(F59)/MAX(((F31)+(H31)*(MAX($D$16,(K59)-(J31))))*(MAX($D$16,(K59)-(J31))),0.000001))^2)/(2*$I$5))-(((ABS(F59)/MAX(((G31)+(I31)*(MAX($D$16,(D59)-(K31))))*(MAX($D$16,(D59)-(K31))),0.000001))^2)/(2*$I$5)))))+($D$10*(ABS((X31)-(W31))/90)*MAX(((ABS(F59)/MAX(((F31)+(H31)*(MAX($D$16,(K59)-(J31))))*(MAX($D$16,(K59)-(J31))),0.000001))^2)/(2*$I$5),((ABS(F59)/MAX(((G31)+(I31)*(MAX($D$16,(D59)-(K31))))*(MAX($D$16,(D59)-(K31))),0.000001))^2)/(2*$I$5)))+(0)-((ABS(F59)/MAX(((G31)+(I31)*(MAX($D$16,(D59)-(K31))))*(MAX($D$16,(D59)-(K31))),0.000001))^2)/(2*$I$5)</f>
        <v>637.65825101089831</v>
      </c>
      <c r="P59">
        <f>E59+((ABS(G59)/MAX(((G32)+(I32)*(MAX($D$16,(E59)-(K32))))*(MAX($D$16,(E59)-(K32))),0.000001))^2)/(2*$I$5)+((E32)*((((ABS(G59)*$D$6)/(MAX(((F32)+(H32)*(MAX($D$16,(D59)-(J32))))*(MAX($D$16,(D59)-(J32))),0.000001)*MAX(((((F32)+(H32)*(MAX($D$16,(D59)-(J32))))*(MAX($D$16,(D59)-(J32))))/MAX((F32)+2*(MAX($D$16,(D59)-(J32)))*SQRT(1+(H32)^2),0.000001))^(2/3),0.000001)))^2)+(((ABS(G59)*$D$6)/(MAX(((G32)+(I32)*(MAX($D$16,(E59)-(K32))))*(MAX($D$16,(E59)-(K32))),0.000001)*MAX(((((G32)+(I32)*(MAX($D$16,(E59)-(K32))))*(MAX($D$16,(E59)-(K32))))/MAX((G32)+2*(MAX($D$16,(E59)-(K32)))*SQRT(1+(I32)^2),0.000001))^(2/3),0.000001)))^2))/2)+(IF((ABS(G59)/MAX(((G32)+(I32)*(MAX($D$16,(E59)-(K32))))*(MAX($D$16,(E59)-(K32))),0.000001))&gt;(ABS(G59)/MAX(((F32)+(H32)*(MAX($D$16,(D59)-(J32))))*(MAX($D$16,(D59)-(J32))),0.000001)),$D$9*((((ABS(G59)/MAX(((G32)+(I32)*(MAX($D$16,(E59)-(K32))))*(MAX($D$16,(E59)-(K32))),0.000001))^2)/(2*$I$5))-(((ABS(G59)/MAX(((F32)+(H32)*(MAX($D$16,(D59)-(J32))))*(MAX($D$16,(D59)-(J32))),0.000001))^2)/(2*$I$5))),$D$8*((((ABS(G59)/MAX(((F32)+(H32)*(MAX($D$16,(D59)-(J32))))*(MAX($D$16,(D59)-(J32))),0.000001))^2)/(2*$I$5))-(((ABS(G59)/MAX(((G32)+(I32)*(MAX($D$16,(E59)-(K32))))*(MAX($D$16,(E59)-(K32))),0.000001))^2)/(2*$I$5)))))+($D$10*(ABS((X32)-(W32))/90)*MAX(((ABS(G59)/MAX(((F32)+(H32)*(MAX($D$16,(D59)-(J32))))*(MAX($D$16,(D59)-(J32))),0.000001))^2)/(2*$I$5),((ABS(G59)/MAX(((G32)+(I32)*(MAX($D$16,(E59)-(K32))))*(MAX($D$16,(E59)-(K32))),0.000001))^2)/(2*$I$5)))+(($D$11*0.13607488*(ABS(H59)/MAX(ABS(F59),0.000001))^2*MAX(((ABS(G59)/MAX(((F32)+(H32)*(MAX($D$16,(D59)-(J32))))*(MAX($D$16,(D59)-(J32))),0.000001))^2)/(2*$I$5),((ABS(G59)/MAX(((G32)+(I32)*(MAX($D$16,(E59)-(K32))))*(MAX($D$16,(E59)-(K32))),0.000001))^2)/(2*$I$5))))-((ABS(G59)/MAX(((F32)+(H32)*(MAX($D$16,(D59)-(J32))))*(MAX($D$16,(D59)-(J32))),0.000001))^2)/(2*$I$5)</f>
        <v>52432.141107017691</v>
      </c>
      <c r="Q59">
        <f>L59+((ABS(H59)/MAX(((G33)+(I33)*(MAX($D$16,(L59)-(K33))))*(MAX($D$16,(L59)-(K33))),0.000001))^2)/(2*$I$5)+((E33)*((((ABS(H59)*$D$6)/(MAX(((F33)+(H33)*(MAX($D$16,(D59)-(J33))))*(MAX($D$16,(D59)-(J33))),0.000001)*MAX(((((F33)+(H33)*(MAX($D$16,(D59)-(J33))))*(MAX($D$16,(D59)-(J33))))/MAX((F33)+2*(MAX($D$16,(D59)-(J33)))*SQRT(1+(H33)^2),0.000001))^(2/3),0.000001)))^2)+(((ABS(H59)*$D$6)/(MAX(((G33)+(I33)*(MAX($D$16,(L59)-(K33))))*(MAX($D$16,(L59)-(K33))),0.000001)*MAX(((((G33)+(I33)*(MAX($D$16,(L59)-(K33))))*(MAX($D$16,(L59)-(K33))))/MAX((G33)+2*(MAX($D$16,(L59)-(K33)))*SQRT(1+(I33)^2),0.000001))^(2/3),0.000001)))^2))/2)+(IF((ABS(H59)/MAX(((G33)+(I33)*(MAX($D$16,(L59)-(K33))))*(MAX($D$16,(L59)-(K33))),0.000001))&gt;(ABS(H59)/MAX(((F33)+(H33)*(MAX($D$16,(D59)-(J33))))*(MAX($D$16,(D59)-(J33))),0.000001)),$D$9*((((ABS(H59)/MAX(((G33)+(I33)*(MAX($D$16,(L59)-(K33))))*(MAX($D$16,(L59)-(K33))),0.000001))^2)/(2*$I$5))-(((ABS(H59)/MAX(((F33)+(H33)*(MAX($D$16,(D59)-(J33))))*(MAX($D$16,(D59)-(J33))),0.000001))^2)/(2*$I$5))),$D$8*((((ABS(H59)/MAX(((F33)+(H33)*(MAX($D$16,(D59)-(J33))))*(MAX($D$16,(D59)-(J33))),0.000001))^2)/(2*$I$5))-(((ABS(H59)/MAX(((G33)+(I33)*(MAX($D$16,(L59)-(K33))))*(MAX($D$16,(L59)-(K33))),0.000001))^2)/(2*$I$5)))))+($D$10*(ABS((X33)-(W33))/90)*MAX(((ABS(H59)/MAX(((F33)+(H33)*(MAX($D$16,(D59)-(J33))))*(MAX($D$16,(D59)-(J33))),0.000001))^2)/(2*$I$5),((ABS(H59)/MAX(((G33)+(I33)*(MAX($D$16,(L59)-(K33))))*(MAX($D$16,(L59)-(K33))),0.000001))^2)/(2*$I$5)))+(($D$11*0.00000015*(ABS(G59)/MAX(ABS(F59),0.000001))^2*MAX(((ABS(H59)/MAX(((F33)+(H33)*(MAX($D$16,(D59)-(J33))))*(MAX($D$16,(D59)-(J33))),0.000001))^2)/(2*$I$5),((ABS(H59)/MAX(((G33)+(I33)*(MAX($D$16,(L59)-(K33))))*(MAX($D$16,(L59)-(K33))),0.000001))^2)/(2*$I$5))))-((ABS(H59)/MAX(((F33)+(H33)*(MAX($D$16,(D59)-(J33))))*(MAX($D$16,(D59)-(J33))),0.000001))^2)/(2*$I$5)</f>
        <v>634.3119999999999</v>
      </c>
      <c r="R59">
        <f>D59+((ABS(G59)/MAX(((F32)+(H32)*(MAX($D$16,(D59)-(J32))))*(MAX($D$16,(D59)-(J32))),0.000001))^2)/(2*$I$5)-((E32)*((((ABS(G59)*$D$6)/(MAX(((F32)+(H32)*(MAX($D$16,(D59)-(J32))))*(MAX($D$16,(D59)-(J32))),0.000001)*MAX(((((F32)+(H32)*(MAX($D$16,(D59)-(J32))))*(MAX($D$16,(D59)-(J32))))/MAX((F32)+2*(MAX($D$16,(D59)-(J32)))*SQRT(1+(H32)^2),0.000001))^(2/3),0.000001)))^2)+(((ABS(G59)*$D$6)/(MAX(((G32)+(I32)*(MAX($D$16,(E59)-(K32))))*(MAX($D$16,(E59)-(K32))),0.000001)*MAX(((((G32)+(I32)*(MAX($D$16,(E59)-(K32))))*(MAX($D$16,(E59)-(K32))))/MAX((G32)+2*(MAX($D$16,(E59)-(K32)))*SQRT(1+(I32)^2),0.000001))^(2/3),0.000001)))^2))/2)+(IF((ABS(G59)/MAX(((G32)+(I32)*(MAX($D$16,(E59)-(K32))))*(MAX($D$16,(E59)-(K32))),0.000001))&gt;(ABS(G59)/MAX(((F32)+(H32)*(MAX($D$16,(D59)-(J32))))*(MAX($D$16,(D59)-(J32))),0.000001)),$D$9*((((ABS(G59)/MAX(((G32)+(I32)*(MAX($D$16,(E59)-(K32))))*(MAX($D$16,(E59)-(K32))),0.000001))^2)/(2*$I$5))-(((ABS(G59)/MAX(((F32)+(H32)*(MAX($D$16,(D59)-(J32))))*(MAX($D$16,(D59)-(J32))),0.000001))^2)/(2*$I$5))),$D$8*((((ABS(G59)/MAX(((F32)+(H32)*(MAX($D$16,(D59)-(J32))))*(MAX($D$16,(D59)-(J32))),0.000001))^2)/(2*$I$5))-(((ABS(G59)/MAX(((G32)+(I32)*(MAX($D$16,(E59)-(K32))))*(MAX($D$16,(E59)-(K32))),0.000001))^2)/(2*$I$5)))))+($D$10*(ABS((X32)-(W32))/90)*MAX(((ABS(G59)/MAX(((F32)+(H32)*(MAX($D$16,(D59)-(J32))))*(MAX($D$16,(D59)-(J32))),0.000001))^2)/(2*$I$5),((ABS(G59)/MAX(((G32)+(I32)*(MAX($D$16,(E59)-(K32))))*(MAX($D$16,(E59)-(K32))),0.000001))^2)/(2*$I$5)))+(($D$11*0.13607488*(ABS(H59)/MAX(ABS(F59),0.000001))^2*MAX(((ABS(G59)/MAX(((F32)+(H32)*(MAX($D$16,(D59)-(J32))))*(MAX($D$16,(D59)-(J32))),0.000001))^2)/(2*$I$5),((ABS(G59)/MAX(((G32)+(I32)*(MAX($D$16,(E59)-(K32))))*(MAX($D$16,(E59)-(K32))),0.000001))^2)/(2*$I$5))))-((ABS(G59)/MAX(((G32)+(I32)*(MAX($D$16,(E59)-(K32))))*(MAX($D$16,(E59)-(K32))),0.000001))^2)/(2*$I$5)</f>
        <v>52432.142568295014</v>
      </c>
      <c r="S59">
        <f>M59+((ABS(I59)/MAX(((G34)+(I34)*(MAX($D$16,(M59)-(K34))))*(MAX($D$16,(M59)-(K34))),0.000001))^2)/(2*$I$5)+((E34)*((((ABS(I59)*$D$6)/(MAX(((F34)+(H34)*(MAX($D$16,(E59)-(J34))))*(MAX($D$16,(E59)-(J34))),0.000001)*MAX(((((F34)+(H34)*(MAX($D$16,(E59)-(J34))))*(MAX($D$16,(E59)-(J34))))/MAX((F34)+2*(MAX($D$16,(E59)-(J34)))*SQRT(1+(H34)^2),0.000001))^(2/3),0.000001)))^2)+(((ABS(I59)*$D$6)/(MAX(((G34)+(I34)*(MAX($D$16,(M59)-(K34))))*(MAX($D$16,(M59)-(K34))),0.000001)*MAX(((((G34)+(I34)*(MAX($D$16,(M59)-(K34))))*(MAX($D$16,(M59)-(K34))))/MAX((G34)+2*(MAX($D$16,(M59)-(K34)))*SQRT(1+(I34)^2),0.000001))^(2/3),0.000001)))^2))/2)+(IF((ABS(I59)/MAX(((G34)+(I34)*(MAX($D$16,(M59)-(K34))))*(MAX($D$16,(M59)-(K34))),0.000001))&gt;(ABS(I59)/MAX(((F34)+(H34)*(MAX($D$16,(E59)-(J34))))*(MAX($D$16,(E59)-(J34))),0.000001)),$D$9*((((ABS(I59)/MAX(((G34)+(I34)*(MAX($D$16,(M59)-(K34))))*(MAX($D$16,(M59)-(K34))),0.000001))^2)/(2*$I$5))-(((ABS(I59)/MAX(((F34)+(H34)*(MAX($D$16,(E59)-(J34))))*(MAX($D$16,(E59)-(J34))),0.000001))^2)/(2*$I$5))),$D$8*((((ABS(I59)/MAX(((F34)+(H34)*(MAX($D$16,(E59)-(J34))))*(MAX($D$16,(E59)-(J34))),0.000001))^2)/(2*$I$5))-(((ABS(I59)/MAX(((G34)+(I34)*(MAX($D$16,(M59)-(K34))))*(MAX($D$16,(M59)-(K34))),0.000001))^2)/(2*$I$5)))))+($D$10*(ABS((X34)-(W34))/90)*MAX(((ABS(I59)/MAX(((F34)+(H34)*(MAX($D$16,(E59)-(J34))))*(MAX($D$16,(E59)-(J34))),0.000001))^2)/(2*$I$5),((ABS(I59)/MAX(((G34)+(I34)*(MAX($D$16,(M59)-(K34))))*(MAX($D$16,(M59)-(K34))),0.000001))^2)/(2*$I$5)))+(0)-((ABS(I59)/MAX(((F34)+(H34)*(MAX($D$16,(E59)-(J34))))*(MAX($D$16,(E59)-(J34))),0.000001))^2)/(2*$I$5)</f>
        <v>635.5</v>
      </c>
      <c r="T59">
        <f>N59+((ABS(J59)/MAX(((G35)+(I35)*(MAX($D$16,(N59)-(K35))))*(MAX($D$16,(N59)-(K35))),0.000001))^2)/(2*$I$5)+((E35)*((((ABS(J59)*$D$6)/(MAX(((F35)+(H35)*(MAX($D$16,(E59)-(J35))))*(MAX($D$16,(E59)-(J35))),0.000001)*MAX(((((F35)+(H35)*(MAX($D$16,(E59)-(J35))))*(MAX($D$16,(E59)-(J35))))/MAX((F35)+2*(MAX($D$16,(E59)-(J35)))*SQRT(1+(H35)^2),0.000001))^(2/3),0.000001)))^2)+(((ABS(J59)*$D$6)/(MAX(((G35)+(I35)*(MAX($D$16,(N59)-(K35))))*(MAX($D$16,(N59)-(K35))),0.000001)*MAX(((((G35)+(I35)*(MAX($D$16,(N59)-(K35))))*(MAX($D$16,(N59)-(K35))))/MAX((G35)+2*(MAX($D$16,(N59)-(K35)))*SQRT(1+(I35)^2),0.000001))^(2/3),0.000001)))^2))/2)+(IF((ABS(J59)/MAX(((G35)+(I35)*(MAX($D$16,(N59)-(K35))))*(MAX($D$16,(N59)-(K35))),0.000001))&gt;(ABS(J59)/MAX(((F35)+(H35)*(MAX($D$16,(E59)-(J35))))*(MAX($D$16,(E59)-(J35))),0.000001)),$D$9*((((ABS(J59)/MAX(((G35)+(I35)*(MAX($D$16,(N59)-(K35))))*(MAX($D$16,(N59)-(K35))),0.000001))^2)/(2*$I$5))-(((ABS(J59)/MAX(((F35)+(H35)*(MAX($D$16,(E59)-(J35))))*(MAX($D$16,(E59)-(J35))),0.000001))^2)/(2*$I$5))),$D$8*((((ABS(J59)/MAX(((F35)+(H35)*(MAX($D$16,(E59)-(J35))))*(MAX($D$16,(E59)-(J35))),0.000001))^2)/(2*$I$5))-(((ABS(J59)/MAX(((G35)+(I35)*(MAX($D$16,(N59)-(K35))))*(MAX($D$16,(N59)-(K35))),0.000001))^2)/(2*$I$5)))))+($D$10*(ABS((X35)-(W35))/90)*MAX(((ABS(J59)/MAX(((F35)+(H35)*(MAX($D$16,(E59)-(J35))))*(MAX($D$16,(E59)-(J35))),0.000001))^2)/(2*$I$5),((ABS(J59)/MAX(((G35)+(I35)*(MAX($D$16,(N59)-(K35))))*(MAX($D$16,(N59)-(K35))),0.000001))^2)/(2*$I$5)))+(($D$11*0.34699541*(ABS(I59)/MAX(ABS(G59),0.000001))^2*MAX(((ABS(J59)/MAX(((F35)+(H35)*(MAX($D$16,(E59)-(J35))))*(MAX($D$16,(E59)-(J35))),0.000001))^2)/(2*$I$5),((ABS(J59)/MAX(((G35)+(I35)*(MAX($D$16,(N59)-(K35))))*(MAX($D$16,(N59)-(K35))),0.000001))^2)/(2*$I$5))))-((ABS(J59)/MAX(((F35)+(H35)*(MAX($D$16,(E59)-(J35))))*(MAX($D$16,(E59)-(J35))),0.000001))^2)/(2*$I$5)</f>
        <v>20784.033523923383</v>
      </c>
      <c r="U59">
        <f>(((((F32)*(MAX($D$16,(D59)-(J32)))^2)/2+(H32)*(MAX($D$16,(D59)-(J32)))^3/3+(ABS(G59)^2)/($I$5*MAX(((F32)+(H32)*(MAX($D$16,(D59)-(J32))))*(MAX($D$16,(D59)-(J32))),0.000001)))*0.72785025)-((((F33)*(MAX($D$16,(D59)-(J33)))^2)/2+(H33)*(MAX($D$16,(D59)-(J33)))^3/3+(ABS(H59)^2)/($I$5*MAX(((F33)+(H33)*(MAX($D$16,(D59)-(J33))))*(MAX($D$16,(D59)-(J33))),0.000001)))*0.99999971))/MAX(((G31)*(MAX($D$16,(D59)-(K31)))^2)/2+(I31)*(MAX($D$16,(D59)-(K31)))^3/3+(ABS(F59)^2)/($I$5*MAX(((G31)+(I31)*(MAX($D$16,(D59)-(K31))))*(MAX($D$16,(D59)-(K31))),0.000001)),0.000001)</f>
        <v>-0.27214945999991141</v>
      </c>
      <c r="V59">
        <f>(((((F34)*(MAX($D$16,(E59)-(J34)))^2)/2+(H34)*(MAX($D$16,(E59)-(J34)))^3/3+(ABS(I59)^2)/($I$5*MAX(((F34)+(H34)*(MAX($D$16,(E59)-(J34))))*(MAX($D$16,(E59)-(J34))),0.000001)))*1)-((((F35)*(MAX($D$16,(E59)-(J35)))^2)/2+(H35)*(MAX($D$16,(E59)-(J35)))^3/3+(ABS(J59)^2)/($I$5*MAX(((F35)+(H35)*(MAX($D$16,(E59)-(J35))))*(MAX($D$16,(E59)-(J35))),0.000001)))*0.30600918))/MAX(((G32)*(MAX($D$16,(E59)-(K32)))^2)/2+(I32)*(MAX($D$16,(E59)-(K32)))^3/3+(ABS(G59)^2)/($I$5*MAX(((G32)+(I32)*(MAX($D$16,(E59)-(K32))))*(MAX($D$16,(E59)-(K32))),0.000001)),0.000001)</f>
        <v>0.69398638937184143</v>
      </c>
      <c r="W59">
        <f>IF(N6="None",ABS(P59-D59),MAX(ABS(P59-D59),ABS(Q59-D59)))</f>
        <v>1.4612771919928491E-3</v>
      </c>
      <c r="X59">
        <f>IF(AND(N7="None",N8="None"),0,IF(N8="None",ABS(S59-E59),IF(N7="None",ABS(T59-E59),MAX(ABS(S59-E59),ABS(T59-E59)))))</f>
        <v>51796.641107017138</v>
      </c>
      <c r="AA59">
        <f t="shared" si="3"/>
        <v>52432.142056847864</v>
      </c>
      <c r="AB59">
        <f t="shared" si="4"/>
        <v>41355.303452934328</v>
      </c>
      <c r="AC59">
        <f>IF(N6="None",P59,MAX(P59,Q59))</f>
        <v>52432.141107017691</v>
      </c>
      <c r="AD59">
        <f>IF(AND(N7="None",N8="None"),E59,IF(N8="None",S59,IF(N7="None",T59,MAX(S59,T59))))</f>
        <v>20784.033523923383</v>
      </c>
      <c r="AE59">
        <f t="shared" si="5"/>
        <v>637.65825101089831</v>
      </c>
      <c r="AF59">
        <f t="shared" si="6"/>
        <v>52432.142568295014</v>
      </c>
      <c r="AG59">
        <f>((G31)*(MAX($D$16,(AC59)-(K31)))^2)/2+(I31)*(MAX($D$16,(AC59)-(K31)))^3/3+(ABS(F59)^2)/($I$5*MAX(((G31)+(I31)*(MAX($D$16,(AC59)-(K31))))*(MAX($D$16,(AC59)-(K31))),0.000001))</f>
        <v>8797611269.2188816</v>
      </c>
      <c r="AH59">
        <f>((G31)*(MAX($D$16,(AE59)-(K31)))^2)/2+(I31)*(MAX($D$16,(AE59)-(K31)))^3/3+(ABS(F59)^2)/($I$5*MAX(((G31)+(I31)*(MAX($D$16,(AE59)-(K31))))*(MAX($D$16,(AE59)-(K31))),0.000001))</f>
        <v>49.055863329575246</v>
      </c>
      <c r="AI59">
        <f>((G32)*(MAX($D$16,(AD59)-(K32)))^2)/2+(I32)*(MAX($D$16,(AD59)-(K32)))^3/3+(ABS(G59)^2)/($I$5*MAX(((G32)+(I32)*(MAX($D$16,(AD59)-(K32))))*(MAX($D$16,(AD59)-(K32))),0.000001))</f>
        <v>2072376743.6648321</v>
      </c>
      <c r="AJ59">
        <f>((G32)*(MAX($D$16,(AF59)-(K32)))^2)/2+(I32)*(MAX($D$16,(AF59)-(K32)))^3/3+(ABS(G59)^2)/($I$5*MAX(((G32)+(I32)*(MAX($D$16,(AF59)-(K32))))*(MAX($D$16,(AF59)-(K32))),0.000001))</f>
        <v>13692715175.910419</v>
      </c>
      <c r="AK59" t="str">
        <f t="shared" si="7"/>
        <v>Subcritical</v>
      </c>
      <c r="AL59" t="str">
        <f t="shared" si="8"/>
        <v>Supercritical</v>
      </c>
      <c r="AM59">
        <f t="shared" si="9"/>
        <v>52432.142056847864</v>
      </c>
      <c r="AN59">
        <f t="shared" si="10"/>
        <v>52432.141618464397</v>
      </c>
      <c r="AO59">
        <f t="shared" si="11"/>
        <v>1.4612771919928491E-3</v>
      </c>
      <c r="AP59">
        <f t="shared" si="12"/>
        <v>1.4612778759328648E-3</v>
      </c>
    </row>
    <row r="60" spans="1:42" x14ac:dyDescent="0.35">
      <c r="A60">
        <v>17</v>
      </c>
      <c r="B60">
        <f t="shared" si="13"/>
        <v>0</v>
      </c>
      <c r="C60">
        <f t="shared" si="14"/>
        <v>0</v>
      </c>
      <c r="D60">
        <f t="shared" si="15"/>
        <v>52432.142056847864</v>
      </c>
      <c r="E60">
        <f t="shared" si="16"/>
        <v>52432.141618464397</v>
      </c>
      <c r="F60">
        <f t="shared" si="2"/>
        <v>51</v>
      </c>
      <c r="G60">
        <f>IF(N6="None",F60,MAX(0,F60*B60))</f>
        <v>51</v>
      </c>
      <c r="H60">
        <f>IF(N6="None",0,MAX(0,F60-G60))</f>
        <v>0</v>
      </c>
      <c r="I60">
        <f>IF(AND(N7="None",N8="None"),0,IF(N8="None",G60,IF(N7="None",0,MAX(0,G60*C60))))</f>
        <v>0</v>
      </c>
      <c r="J60">
        <f>IF(AND(N7="None",N8="None"),0,IF(N8="None",0,IF(N7="None",G60,MAX(0,G60-I60))))</f>
        <v>51</v>
      </c>
      <c r="K60">
        <f>P5</f>
        <v>637</v>
      </c>
      <c r="L60">
        <f>P6</f>
        <v>634.3119999999999</v>
      </c>
      <c r="M60">
        <f>P7</f>
        <v>635.5</v>
      </c>
      <c r="N60">
        <f>P8</f>
        <v>631.54999999999995</v>
      </c>
      <c r="O60">
        <f>K60+((ABS(F60)/MAX(((F31)+(H31)*(MAX($D$16,(K60)-(J31))))*(MAX($D$16,(K60)-(J31))),0.000001))^2)/(2*$I$5)-((E31)*((((ABS(F60)*$D$6)/(MAX(((F31)+(H31)*(MAX($D$16,(K60)-(J31))))*(MAX($D$16,(K60)-(J31))),0.000001)*MAX(((((F31)+(H31)*(MAX($D$16,(K60)-(J31))))*(MAX($D$16,(K60)-(J31))))/MAX((F31)+2*(MAX($D$16,(K60)-(J31)))*SQRT(1+(H31)^2),0.000001))^(2/3),0.000001)))^2)+(((ABS(F60)*$D$6)/(MAX(((G31)+(I31)*(MAX($D$16,(D60)-(K31))))*(MAX($D$16,(D60)-(K31))),0.000001)*MAX(((((G31)+(I31)*(MAX($D$16,(D60)-(K31))))*(MAX($D$16,(D60)-(K31))))/MAX((G31)+2*(MAX($D$16,(D60)-(K31)))*SQRT(1+(I31)^2),0.000001))^(2/3),0.000001)))^2))/2)+(IF((ABS(F60)/MAX(((G31)+(I31)*(MAX($D$16,(D60)-(K31))))*(MAX($D$16,(D60)-(K31))),0.000001))&gt;(ABS(F60)/MAX(((F31)+(H31)*(MAX($D$16,(K60)-(J31))))*(MAX($D$16,(K60)-(J31))),0.000001)),$D$9*((((ABS(F60)/MAX(((G31)+(I31)*(MAX($D$16,(D60)-(K31))))*(MAX($D$16,(D60)-(K31))),0.000001))^2)/(2*$I$5))-(((ABS(F60)/MAX(((F31)+(H31)*(MAX($D$16,(K60)-(J31))))*(MAX($D$16,(K60)-(J31))),0.000001))^2)/(2*$I$5))),$D$8*((((ABS(F60)/MAX(((F31)+(H31)*(MAX($D$16,(K60)-(J31))))*(MAX($D$16,(K60)-(J31))),0.000001))^2)/(2*$I$5))-(((ABS(F60)/MAX(((G31)+(I31)*(MAX($D$16,(D60)-(K31))))*(MAX($D$16,(D60)-(K31))),0.000001))^2)/(2*$I$5)))))+($D$10*(ABS((X31)-(W31))/90)*MAX(((ABS(F60)/MAX(((F31)+(H31)*(MAX($D$16,(K60)-(J31))))*(MAX($D$16,(K60)-(J31))),0.000001))^2)/(2*$I$5),((ABS(F60)/MAX(((G31)+(I31)*(MAX($D$16,(D60)-(K31))))*(MAX($D$16,(D60)-(K31))),0.000001))^2)/(2*$I$5)))+(0)-((ABS(F60)/MAX(((G31)+(I31)*(MAX($D$16,(D60)-(K31))))*(MAX($D$16,(D60)-(K31))),0.000001))^2)/(2*$I$5)</f>
        <v>637.65825101089831</v>
      </c>
      <c r="P60">
        <f>E60+((ABS(G60)/MAX(((G32)+(I32)*(MAX($D$16,(E60)-(K32))))*(MAX($D$16,(E60)-(K32))),0.000001))^2)/(2*$I$5)+((E32)*((((ABS(G60)*$D$6)/(MAX(((F32)+(H32)*(MAX($D$16,(D60)-(J32))))*(MAX($D$16,(D60)-(J32))),0.000001)*MAX(((((F32)+(H32)*(MAX($D$16,(D60)-(J32))))*(MAX($D$16,(D60)-(J32))))/MAX((F32)+2*(MAX($D$16,(D60)-(J32)))*SQRT(1+(H32)^2),0.000001))^(2/3),0.000001)))^2)+(((ABS(G60)*$D$6)/(MAX(((G32)+(I32)*(MAX($D$16,(E60)-(K32))))*(MAX($D$16,(E60)-(K32))),0.000001)*MAX(((((G32)+(I32)*(MAX($D$16,(E60)-(K32))))*(MAX($D$16,(E60)-(K32))))/MAX((G32)+2*(MAX($D$16,(E60)-(K32)))*SQRT(1+(I32)^2),0.000001))^(2/3),0.000001)))^2))/2)+(IF((ABS(G60)/MAX(((G32)+(I32)*(MAX($D$16,(E60)-(K32))))*(MAX($D$16,(E60)-(K32))),0.000001))&gt;(ABS(G60)/MAX(((F32)+(H32)*(MAX($D$16,(D60)-(J32))))*(MAX($D$16,(D60)-(J32))),0.000001)),$D$9*((((ABS(G60)/MAX(((G32)+(I32)*(MAX($D$16,(E60)-(K32))))*(MAX($D$16,(E60)-(K32))),0.000001))^2)/(2*$I$5))-(((ABS(G60)/MAX(((F32)+(H32)*(MAX($D$16,(D60)-(J32))))*(MAX($D$16,(D60)-(J32))),0.000001))^2)/(2*$I$5))),$D$8*((((ABS(G60)/MAX(((F32)+(H32)*(MAX($D$16,(D60)-(J32))))*(MAX($D$16,(D60)-(J32))),0.000001))^2)/(2*$I$5))-(((ABS(G60)/MAX(((G32)+(I32)*(MAX($D$16,(E60)-(K32))))*(MAX($D$16,(E60)-(K32))),0.000001))^2)/(2*$I$5)))))+($D$10*(ABS((X32)-(W32))/90)*MAX(((ABS(G60)/MAX(((F32)+(H32)*(MAX($D$16,(D60)-(J32))))*(MAX($D$16,(D60)-(J32))),0.000001))^2)/(2*$I$5),((ABS(G60)/MAX(((G32)+(I32)*(MAX($D$16,(E60)-(K32))))*(MAX($D$16,(E60)-(K32))),0.000001))^2)/(2*$I$5)))+(($D$11*0.13607488*(ABS(H60)/MAX(ABS(F60),0.000001))^2*MAX(((ABS(G60)/MAX(((F32)+(H32)*(MAX($D$16,(D60)-(J32))))*(MAX($D$16,(D60)-(J32))),0.000001))^2)/(2*$I$5),((ABS(G60)/MAX(((G32)+(I32)*(MAX($D$16,(E60)-(K32))))*(MAX($D$16,(E60)-(K32))),0.000001))^2)/(2*$I$5))))-((ABS(G60)/MAX(((F32)+(H32)*(MAX($D$16,(D60)-(J32))))*(MAX($D$16,(D60)-(J32))),0.000001))^2)/(2*$I$5)</f>
        <v>52432.14161846495</v>
      </c>
      <c r="Q60">
        <f>L60+((ABS(H60)/MAX(((G33)+(I33)*(MAX($D$16,(L60)-(K33))))*(MAX($D$16,(L60)-(K33))),0.000001))^2)/(2*$I$5)+((E33)*((((ABS(H60)*$D$6)/(MAX(((F33)+(H33)*(MAX($D$16,(D60)-(J33))))*(MAX($D$16,(D60)-(J33))),0.000001)*MAX(((((F33)+(H33)*(MAX($D$16,(D60)-(J33))))*(MAX($D$16,(D60)-(J33))))/MAX((F33)+2*(MAX($D$16,(D60)-(J33)))*SQRT(1+(H33)^2),0.000001))^(2/3),0.000001)))^2)+(((ABS(H60)*$D$6)/(MAX(((G33)+(I33)*(MAX($D$16,(L60)-(K33))))*(MAX($D$16,(L60)-(K33))),0.000001)*MAX(((((G33)+(I33)*(MAX($D$16,(L60)-(K33))))*(MAX($D$16,(L60)-(K33))))/MAX((G33)+2*(MAX($D$16,(L60)-(K33)))*SQRT(1+(I33)^2),0.000001))^(2/3),0.000001)))^2))/2)+(IF((ABS(H60)/MAX(((G33)+(I33)*(MAX($D$16,(L60)-(K33))))*(MAX($D$16,(L60)-(K33))),0.000001))&gt;(ABS(H60)/MAX(((F33)+(H33)*(MAX($D$16,(D60)-(J33))))*(MAX($D$16,(D60)-(J33))),0.000001)),$D$9*((((ABS(H60)/MAX(((G33)+(I33)*(MAX($D$16,(L60)-(K33))))*(MAX($D$16,(L60)-(K33))),0.000001))^2)/(2*$I$5))-(((ABS(H60)/MAX(((F33)+(H33)*(MAX($D$16,(D60)-(J33))))*(MAX($D$16,(D60)-(J33))),0.000001))^2)/(2*$I$5))),$D$8*((((ABS(H60)/MAX(((F33)+(H33)*(MAX($D$16,(D60)-(J33))))*(MAX($D$16,(D60)-(J33))),0.000001))^2)/(2*$I$5))-(((ABS(H60)/MAX(((G33)+(I33)*(MAX($D$16,(L60)-(K33))))*(MAX($D$16,(L60)-(K33))),0.000001))^2)/(2*$I$5)))))+($D$10*(ABS((X33)-(W33))/90)*MAX(((ABS(H60)/MAX(((F33)+(H33)*(MAX($D$16,(D60)-(J33))))*(MAX($D$16,(D60)-(J33))),0.000001))^2)/(2*$I$5),((ABS(H60)/MAX(((G33)+(I33)*(MAX($D$16,(L60)-(K33))))*(MAX($D$16,(L60)-(K33))),0.000001))^2)/(2*$I$5)))+(($D$11*0.00000015*(ABS(G60)/MAX(ABS(F60),0.000001))^2*MAX(((ABS(H60)/MAX(((F33)+(H33)*(MAX($D$16,(D60)-(J33))))*(MAX($D$16,(D60)-(J33))),0.000001))^2)/(2*$I$5),((ABS(H60)/MAX(((G33)+(I33)*(MAX($D$16,(L60)-(K33))))*(MAX($D$16,(L60)-(K33))),0.000001))^2)/(2*$I$5))))-((ABS(H60)/MAX(((F33)+(H33)*(MAX($D$16,(D60)-(J33))))*(MAX($D$16,(D60)-(J33))),0.000001))^2)/(2*$I$5)</f>
        <v>634.3119999999999</v>
      </c>
      <c r="R60">
        <f>D60+((ABS(G60)/MAX(((F32)+(H32)*(MAX($D$16,(D60)-(J32))))*(MAX($D$16,(D60)-(J32))),0.000001))^2)/(2*$I$5)-((E32)*((((ABS(G60)*$D$6)/(MAX(((F32)+(H32)*(MAX($D$16,(D60)-(J32))))*(MAX($D$16,(D60)-(J32))),0.000001)*MAX(((((F32)+(H32)*(MAX($D$16,(D60)-(J32))))*(MAX($D$16,(D60)-(J32))))/MAX((F32)+2*(MAX($D$16,(D60)-(J32)))*SQRT(1+(H32)^2),0.000001))^(2/3),0.000001)))^2)+(((ABS(G60)*$D$6)/(MAX(((G32)+(I32)*(MAX($D$16,(E60)-(K32))))*(MAX($D$16,(E60)-(K32))),0.000001)*MAX(((((G32)+(I32)*(MAX($D$16,(E60)-(K32))))*(MAX($D$16,(E60)-(K32))))/MAX((G32)+2*(MAX($D$16,(E60)-(K32)))*SQRT(1+(I32)^2),0.000001))^(2/3),0.000001)))^2))/2)+(IF((ABS(G60)/MAX(((G32)+(I32)*(MAX($D$16,(E60)-(K32))))*(MAX($D$16,(E60)-(K32))),0.000001))&gt;(ABS(G60)/MAX(((F32)+(H32)*(MAX($D$16,(D60)-(J32))))*(MAX($D$16,(D60)-(J32))),0.000001)),$D$9*((((ABS(G60)/MAX(((G32)+(I32)*(MAX($D$16,(E60)-(K32))))*(MAX($D$16,(E60)-(K32))),0.000001))^2)/(2*$I$5))-(((ABS(G60)/MAX(((F32)+(H32)*(MAX($D$16,(D60)-(J32))))*(MAX($D$16,(D60)-(J32))),0.000001))^2)/(2*$I$5))),$D$8*((((ABS(G60)/MAX(((F32)+(H32)*(MAX($D$16,(D60)-(J32))))*(MAX($D$16,(D60)-(J32))),0.000001))^2)/(2*$I$5))-(((ABS(G60)/MAX(((G32)+(I32)*(MAX($D$16,(E60)-(K32))))*(MAX($D$16,(E60)-(K32))),0.000001))^2)/(2*$I$5)))))+($D$10*(ABS((X32)-(W32))/90)*MAX(((ABS(G60)/MAX(((F32)+(H32)*(MAX($D$16,(D60)-(J32))))*(MAX($D$16,(D60)-(J32))),0.000001))^2)/(2*$I$5),((ABS(G60)/MAX(((G32)+(I32)*(MAX($D$16,(E60)-(K32))))*(MAX($D$16,(E60)-(K32))),0.000001))^2)/(2*$I$5)))+(($D$11*0.13607488*(ABS(H60)/MAX(ABS(F60),0.000001))^2*MAX(((ABS(G60)/MAX(((F32)+(H32)*(MAX($D$16,(D60)-(J32))))*(MAX($D$16,(D60)-(J32))),0.000001))^2)/(2*$I$5),((ABS(G60)/MAX(((G32)+(I32)*(MAX($D$16,(E60)-(K32))))*(MAX($D$16,(E60)-(K32))),0.000001))^2)/(2*$I$5))))-((ABS(G60)/MAX(((G32)+(I32)*(MAX($D$16,(E60)-(K32))))*(MAX($D$16,(E60)-(K32))),0.000001))^2)/(2*$I$5)</f>
        <v>52432.142056847995</v>
      </c>
      <c r="S60">
        <f>M60+((ABS(I60)/MAX(((G34)+(I34)*(MAX($D$16,(M60)-(K34))))*(MAX($D$16,(M60)-(K34))),0.000001))^2)/(2*$I$5)+((E34)*((((ABS(I60)*$D$6)/(MAX(((F34)+(H34)*(MAX($D$16,(E60)-(J34))))*(MAX($D$16,(E60)-(J34))),0.000001)*MAX(((((F34)+(H34)*(MAX($D$16,(E60)-(J34))))*(MAX($D$16,(E60)-(J34))))/MAX((F34)+2*(MAX($D$16,(E60)-(J34)))*SQRT(1+(H34)^2),0.000001))^(2/3),0.000001)))^2)+(((ABS(I60)*$D$6)/(MAX(((G34)+(I34)*(MAX($D$16,(M60)-(K34))))*(MAX($D$16,(M60)-(K34))),0.000001)*MAX(((((G34)+(I34)*(MAX($D$16,(M60)-(K34))))*(MAX($D$16,(M60)-(K34))))/MAX((G34)+2*(MAX($D$16,(M60)-(K34)))*SQRT(1+(I34)^2),0.000001))^(2/3),0.000001)))^2))/2)+(IF((ABS(I60)/MAX(((G34)+(I34)*(MAX($D$16,(M60)-(K34))))*(MAX($D$16,(M60)-(K34))),0.000001))&gt;(ABS(I60)/MAX(((F34)+(H34)*(MAX($D$16,(E60)-(J34))))*(MAX($D$16,(E60)-(J34))),0.000001)),$D$9*((((ABS(I60)/MAX(((G34)+(I34)*(MAX($D$16,(M60)-(K34))))*(MAX($D$16,(M60)-(K34))),0.000001))^2)/(2*$I$5))-(((ABS(I60)/MAX(((F34)+(H34)*(MAX($D$16,(E60)-(J34))))*(MAX($D$16,(E60)-(J34))),0.000001))^2)/(2*$I$5))),$D$8*((((ABS(I60)/MAX(((F34)+(H34)*(MAX($D$16,(E60)-(J34))))*(MAX($D$16,(E60)-(J34))),0.000001))^2)/(2*$I$5))-(((ABS(I60)/MAX(((G34)+(I34)*(MAX($D$16,(M60)-(K34))))*(MAX($D$16,(M60)-(K34))),0.000001))^2)/(2*$I$5)))))+($D$10*(ABS((X34)-(W34))/90)*MAX(((ABS(I60)/MAX(((F34)+(H34)*(MAX($D$16,(E60)-(J34))))*(MAX($D$16,(E60)-(J34))),0.000001))^2)/(2*$I$5),((ABS(I60)/MAX(((G34)+(I34)*(MAX($D$16,(M60)-(K34))))*(MAX($D$16,(M60)-(K34))),0.000001))^2)/(2*$I$5)))+(0)-((ABS(I60)/MAX(((F34)+(H34)*(MAX($D$16,(E60)-(J34))))*(MAX($D$16,(E60)-(J34))),0.000001))^2)/(2*$I$5)</f>
        <v>635.5</v>
      </c>
      <c r="T60">
        <f>N60+((ABS(J60)/MAX(((G35)+(I35)*(MAX($D$16,(N60)-(K35))))*(MAX($D$16,(N60)-(K35))),0.000001))^2)/(2*$I$5)+((E35)*((((ABS(J60)*$D$6)/(MAX(((F35)+(H35)*(MAX($D$16,(E60)-(J35))))*(MAX($D$16,(E60)-(J35))),0.000001)*MAX(((((F35)+(H35)*(MAX($D$16,(E60)-(J35))))*(MAX($D$16,(E60)-(J35))))/MAX((F35)+2*(MAX($D$16,(E60)-(J35)))*SQRT(1+(H35)^2),0.000001))^(2/3),0.000001)))^2)+(((ABS(J60)*$D$6)/(MAX(((G35)+(I35)*(MAX($D$16,(N60)-(K35))))*(MAX($D$16,(N60)-(K35))),0.000001)*MAX(((((G35)+(I35)*(MAX($D$16,(N60)-(K35))))*(MAX($D$16,(N60)-(K35))))/MAX((G35)+2*(MAX($D$16,(N60)-(K35)))*SQRT(1+(I35)^2),0.000001))^(2/3),0.000001)))^2))/2)+(IF((ABS(J60)/MAX(((G35)+(I35)*(MAX($D$16,(N60)-(K35))))*(MAX($D$16,(N60)-(K35))),0.000001))&gt;(ABS(J60)/MAX(((F35)+(H35)*(MAX($D$16,(E60)-(J35))))*(MAX($D$16,(E60)-(J35))),0.000001)),$D$9*((((ABS(J60)/MAX(((G35)+(I35)*(MAX($D$16,(N60)-(K35))))*(MAX($D$16,(N60)-(K35))),0.000001))^2)/(2*$I$5))-(((ABS(J60)/MAX(((F35)+(H35)*(MAX($D$16,(E60)-(J35))))*(MAX($D$16,(E60)-(J35))),0.000001))^2)/(2*$I$5))),$D$8*((((ABS(J60)/MAX(((F35)+(H35)*(MAX($D$16,(E60)-(J35))))*(MAX($D$16,(E60)-(J35))),0.000001))^2)/(2*$I$5))-(((ABS(J60)/MAX(((G35)+(I35)*(MAX($D$16,(N60)-(K35))))*(MAX($D$16,(N60)-(K35))),0.000001))^2)/(2*$I$5)))))+($D$10*(ABS((X35)-(W35))/90)*MAX(((ABS(J60)/MAX(((F35)+(H35)*(MAX($D$16,(E60)-(J35))))*(MAX($D$16,(E60)-(J35))),0.000001))^2)/(2*$I$5),((ABS(J60)/MAX(((G35)+(I35)*(MAX($D$16,(N60)-(K35))))*(MAX($D$16,(N60)-(K35))),0.000001))^2)/(2*$I$5)))+(($D$11*0.34699541*(ABS(I60)/MAX(ABS(G60),0.000001))^2*MAX(((ABS(J60)/MAX(((F35)+(H35)*(MAX($D$16,(E60)-(J35))))*(MAX($D$16,(E60)-(J35))),0.000001))^2)/(2*$I$5),((ABS(J60)/MAX(((G35)+(I35)*(MAX($D$16,(N60)-(K35))))*(MAX($D$16,(N60)-(K35))),0.000001))^2)/(2*$I$5))))-((ABS(J60)/MAX(((F35)+(H35)*(MAX($D$16,(E60)-(J35))))*(MAX($D$16,(E60)-(J35))),0.000001))^2)/(2*$I$5)</f>
        <v>20784.033523923383</v>
      </c>
      <c r="U60">
        <f>(((((F32)*(MAX($D$16,(D60)-(J32)))^2)/2+(H32)*(MAX($D$16,(D60)-(J32)))^3/3+(ABS(G60)^2)/($I$5*MAX(((F32)+(H32)*(MAX($D$16,(D60)-(J32))))*(MAX($D$16,(D60)-(J32))),0.000001)))*0.72785025)-((((F33)*(MAX($D$16,(D60)-(J33)))^2)/2+(H33)*(MAX($D$16,(D60)-(J33)))^3/3+(ABS(H60)^2)/($I$5*MAX(((F33)+(H33)*(MAX($D$16,(D60)-(J33))))*(MAX($D$16,(D60)-(J33))),0.000001)))*0.99999971))/MAX(((G31)*(MAX($D$16,(D60)-(K31)))^2)/2+(I31)*(MAX($D$16,(D60)-(K31)))^3/3+(ABS(F60)^2)/($I$5*MAX(((G31)+(I31)*(MAX($D$16,(D60)-(K31))))*(MAX($D$16,(D60)-(K31))),0.000001)),0.000001)</f>
        <v>-0.2721494599999113</v>
      </c>
      <c r="V60">
        <f>(((((F34)*(MAX($D$16,(E60)-(J34)))^2)/2+(H34)*(MAX($D$16,(E60)-(J34)))^3/3+(ABS(I60)^2)/($I$5*MAX(((F34)+(H34)*(MAX($D$16,(E60)-(J34))))*(MAX($D$16,(E60)-(J34))),0.000001)))*1)-((((F35)*(MAX($D$16,(E60)-(J35)))^2)/2+(H35)*(MAX($D$16,(E60)-(J35)))^3/3+(ABS(J60)^2)/($I$5*MAX(((F35)+(H35)*(MAX($D$16,(E60)-(J35))))*(MAX($D$16,(E60)-(J35))),0.000001)))*0.30600918))/MAX(((G32)*(MAX($D$16,(E60)-(K32)))^2)/2+(I32)*(MAX($D$16,(E60)-(K32)))^3/3+(ABS(G60)^2)/($I$5*MAX(((G32)+(I32)*(MAX($D$16,(E60)-(K32))))*(MAX($D$16,(E60)-(K32))),0.000001)),0.000001)</f>
        <v>0.69398638937188517</v>
      </c>
      <c r="W60">
        <f>IF(N6="None",ABS(P60-D60),MAX(ABS(P60-D60),ABS(Q60-D60)))</f>
        <v>4.3838291458087042E-4</v>
      </c>
      <c r="X60">
        <f>IF(AND(N7="None",N8="None"),0,IF(N8="None",ABS(S60-E60),IF(N7="None",ABS(T60-E60),MAX(ABS(S60-E60),ABS(T60-E60)))))</f>
        <v>51796.641618464397</v>
      </c>
      <c r="AA60">
        <f t="shared" si="3"/>
        <v>52432.141903413845</v>
      </c>
      <c r="AB60">
        <f t="shared" si="4"/>
        <v>41355.303785375043</v>
      </c>
      <c r="AC60">
        <f>IF(N6="None",P60,MAX(P60,Q60))</f>
        <v>52432.14161846495</v>
      </c>
      <c r="AD60">
        <f>IF(AND(N7="None",N8="None"),E60,IF(N8="None",S60,IF(N7="None",T60,MAX(S60,T60))))</f>
        <v>20784.033523923383</v>
      </c>
      <c r="AE60">
        <f t="shared" si="5"/>
        <v>637.65825101089831</v>
      </c>
      <c r="AF60">
        <f t="shared" si="6"/>
        <v>52432.142056847995</v>
      </c>
      <c r="AG60">
        <f>((G31)*(MAX($D$16,(AC60)-(K31)))^2)/2+(I31)*(MAX($D$16,(AC60)-(K31)))^3/3+(ABS(F60)^2)/($I$5*MAX(((G31)+(I31)*(MAX($D$16,(AC60)-(K31))))*(MAX($D$16,(AC60)-(K31))),0.000001))</f>
        <v>8797611442.9525318</v>
      </c>
      <c r="AH60">
        <f>((G31)*(MAX($D$16,(AE60)-(K31)))^2)/2+(I31)*(MAX($D$16,(AE60)-(K31)))^3/3+(ABS(F60)^2)/($I$5*MAX(((G31)+(I31)*(MAX($D$16,(AE60)-(K31))))*(MAX($D$16,(AE60)-(K31))),0.000001))</f>
        <v>49.055863329575246</v>
      </c>
      <c r="AI60">
        <f>((G32)*(MAX($D$16,(AD60)-(K32)))^2)/2+(I32)*(MAX($D$16,(AD60)-(K32)))^3/3+(ABS(G60)^2)/($I$5*MAX(((G32)+(I32)*(MAX($D$16,(AD60)-(K32))))*(MAX($D$16,(AD60)-(K32))),0.000001))</f>
        <v>2072376743.6648321</v>
      </c>
      <c r="AJ60">
        <f>((G32)*(MAX($D$16,(AF60)-(K32)))^2)/2+(I32)*(MAX($D$16,(AF60)-(K32)))^3/3+(ABS(G60)^2)/($I$5*MAX(((G32)+(I32)*(MAX($D$16,(AF60)-(K32))))*(MAX($D$16,(AF60)-(K32))),0.000001))</f>
        <v>13692714905.521919</v>
      </c>
      <c r="AK60" t="str">
        <f t="shared" si="7"/>
        <v>Subcritical</v>
      </c>
      <c r="AL60" t="str">
        <f t="shared" si="8"/>
        <v>Supercritical</v>
      </c>
      <c r="AM60">
        <f t="shared" si="9"/>
        <v>52432.141903413845</v>
      </c>
      <c r="AN60">
        <f t="shared" si="10"/>
        <v>52432.141771898656</v>
      </c>
      <c r="AO60">
        <f t="shared" si="11"/>
        <v>4.3838291458087042E-4</v>
      </c>
      <c r="AP60">
        <f t="shared" si="12"/>
        <v>4.3838359852088615E-4</v>
      </c>
    </row>
    <row r="61" spans="1:42" x14ac:dyDescent="0.35">
      <c r="A61">
        <v>18</v>
      </c>
      <c r="B61">
        <f t="shared" si="13"/>
        <v>0</v>
      </c>
      <c r="C61">
        <f t="shared" si="14"/>
        <v>0</v>
      </c>
      <c r="D61">
        <f t="shared" si="15"/>
        <v>52432.141903413845</v>
      </c>
      <c r="E61">
        <f t="shared" si="16"/>
        <v>52432.141771898656</v>
      </c>
      <c r="F61">
        <f t="shared" si="2"/>
        <v>51</v>
      </c>
      <c r="G61">
        <f>IF(N6="None",F61,MAX(0,F61*B61))</f>
        <v>51</v>
      </c>
      <c r="H61">
        <f>IF(N6="None",0,MAX(0,F61-G61))</f>
        <v>0</v>
      </c>
      <c r="I61">
        <f>IF(AND(N7="None",N8="None"),0,IF(N8="None",G61,IF(N7="None",0,MAX(0,G61*C61))))</f>
        <v>0</v>
      </c>
      <c r="J61">
        <f>IF(AND(N7="None",N8="None"),0,IF(N8="None",0,IF(N7="None",G61,MAX(0,G61-I61))))</f>
        <v>51</v>
      </c>
      <c r="K61">
        <f>P5</f>
        <v>637</v>
      </c>
      <c r="L61">
        <f>P6</f>
        <v>634.3119999999999</v>
      </c>
      <c r="M61">
        <f>P7</f>
        <v>635.5</v>
      </c>
      <c r="N61">
        <f>P8</f>
        <v>631.54999999999995</v>
      </c>
      <c r="O61">
        <f>K61+((ABS(F61)/MAX(((F31)+(H31)*(MAX($D$16,(K61)-(J31))))*(MAX($D$16,(K61)-(J31))),0.000001))^2)/(2*$I$5)-((E31)*((((ABS(F61)*$D$6)/(MAX(((F31)+(H31)*(MAX($D$16,(K61)-(J31))))*(MAX($D$16,(K61)-(J31))),0.000001)*MAX(((((F31)+(H31)*(MAX($D$16,(K61)-(J31))))*(MAX($D$16,(K61)-(J31))))/MAX((F31)+2*(MAX($D$16,(K61)-(J31)))*SQRT(1+(H31)^2),0.000001))^(2/3),0.000001)))^2)+(((ABS(F61)*$D$6)/(MAX(((G31)+(I31)*(MAX($D$16,(D61)-(K31))))*(MAX($D$16,(D61)-(K31))),0.000001)*MAX(((((G31)+(I31)*(MAX($D$16,(D61)-(K31))))*(MAX($D$16,(D61)-(K31))))/MAX((G31)+2*(MAX($D$16,(D61)-(K31)))*SQRT(1+(I31)^2),0.000001))^(2/3),0.000001)))^2))/2)+(IF((ABS(F61)/MAX(((G31)+(I31)*(MAX($D$16,(D61)-(K31))))*(MAX($D$16,(D61)-(K31))),0.000001))&gt;(ABS(F61)/MAX(((F31)+(H31)*(MAX($D$16,(K61)-(J31))))*(MAX($D$16,(K61)-(J31))),0.000001)),$D$9*((((ABS(F61)/MAX(((G31)+(I31)*(MAX($D$16,(D61)-(K31))))*(MAX($D$16,(D61)-(K31))),0.000001))^2)/(2*$I$5))-(((ABS(F61)/MAX(((F31)+(H31)*(MAX($D$16,(K61)-(J31))))*(MAX($D$16,(K61)-(J31))),0.000001))^2)/(2*$I$5))),$D$8*((((ABS(F61)/MAX(((F31)+(H31)*(MAX($D$16,(K61)-(J31))))*(MAX($D$16,(K61)-(J31))),0.000001))^2)/(2*$I$5))-(((ABS(F61)/MAX(((G31)+(I31)*(MAX($D$16,(D61)-(K31))))*(MAX($D$16,(D61)-(K31))),0.000001))^2)/(2*$I$5)))))+($D$10*(ABS((X31)-(W31))/90)*MAX(((ABS(F61)/MAX(((F31)+(H31)*(MAX($D$16,(K61)-(J31))))*(MAX($D$16,(K61)-(J31))),0.000001))^2)/(2*$I$5),((ABS(F61)/MAX(((G31)+(I31)*(MAX($D$16,(D61)-(K31))))*(MAX($D$16,(D61)-(K31))),0.000001))^2)/(2*$I$5)))+(0)-((ABS(F61)/MAX(((G31)+(I31)*(MAX($D$16,(D61)-(K31))))*(MAX($D$16,(D61)-(K31))),0.000001))^2)/(2*$I$5)</f>
        <v>637.65825101089831</v>
      </c>
      <c r="P61">
        <f>E61+((ABS(G61)/MAX(((G32)+(I32)*(MAX($D$16,(E61)-(K32))))*(MAX($D$16,(E61)-(K32))),0.000001))^2)/(2*$I$5)+((E32)*((((ABS(G61)*$D$6)/(MAX(((F32)+(H32)*(MAX($D$16,(D61)-(J32))))*(MAX($D$16,(D61)-(J32))),0.000001)*MAX(((((F32)+(H32)*(MAX($D$16,(D61)-(J32))))*(MAX($D$16,(D61)-(J32))))/MAX((F32)+2*(MAX($D$16,(D61)-(J32)))*SQRT(1+(H32)^2),0.000001))^(2/3),0.000001)))^2)+(((ABS(G61)*$D$6)/(MAX(((G32)+(I32)*(MAX($D$16,(E61)-(K32))))*(MAX($D$16,(E61)-(K32))),0.000001)*MAX(((((G32)+(I32)*(MAX($D$16,(E61)-(K32))))*(MAX($D$16,(E61)-(K32))))/MAX((G32)+2*(MAX($D$16,(E61)-(K32)))*SQRT(1+(I32)^2),0.000001))^(2/3),0.000001)))^2))/2)+(IF((ABS(G61)/MAX(((G32)+(I32)*(MAX($D$16,(E61)-(K32))))*(MAX($D$16,(E61)-(K32))),0.000001))&gt;(ABS(G61)/MAX(((F32)+(H32)*(MAX($D$16,(D61)-(J32))))*(MAX($D$16,(D61)-(J32))),0.000001)),$D$9*((((ABS(G61)/MAX(((G32)+(I32)*(MAX($D$16,(E61)-(K32))))*(MAX($D$16,(E61)-(K32))),0.000001))^2)/(2*$I$5))-(((ABS(G61)/MAX(((F32)+(H32)*(MAX($D$16,(D61)-(J32))))*(MAX($D$16,(D61)-(J32))),0.000001))^2)/(2*$I$5))),$D$8*((((ABS(G61)/MAX(((F32)+(H32)*(MAX($D$16,(D61)-(J32))))*(MAX($D$16,(D61)-(J32))),0.000001))^2)/(2*$I$5))-(((ABS(G61)/MAX(((G32)+(I32)*(MAX($D$16,(E61)-(K32))))*(MAX($D$16,(E61)-(K32))),0.000001))^2)/(2*$I$5)))))+($D$10*(ABS((X32)-(W32))/90)*MAX(((ABS(G61)/MAX(((F32)+(H32)*(MAX($D$16,(D61)-(J32))))*(MAX($D$16,(D61)-(J32))),0.000001))^2)/(2*$I$5),((ABS(G61)/MAX(((G32)+(I32)*(MAX($D$16,(E61)-(K32))))*(MAX($D$16,(E61)-(K32))),0.000001))^2)/(2*$I$5)))+(($D$11*0.13607488*(ABS(H61)/MAX(ABS(F61),0.000001))^2*MAX(((ABS(G61)/MAX(((F32)+(H32)*(MAX($D$16,(D61)-(J32))))*(MAX($D$16,(D61)-(J32))),0.000001))^2)/(2*$I$5),((ABS(G61)/MAX(((G32)+(I32)*(MAX($D$16,(E61)-(K32))))*(MAX($D$16,(E61)-(K32))),0.000001))^2)/(2*$I$5))))-((ABS(G61)/MAX(((F32)+(H32)*(MAX($D$16,(D61)-(J32))))*(MAX($D$16,(D61)-(J32))),0.000001))^2)/(2*$I$5)</f>
        <v>52432.141771899209</v>
      </c>
      <c r="Q61">
        <f>L61+((ABS(H61)/MAX(((G33)+(I33)*(MAX($D$16,(L61)-(K33))))*(MAX($D$16,(L61)-(K33))),0.000001))^2)/(2*$I$5)+((E33)*((((ABS(H61)*$D$6)/(MAX(((F33)+(H33)*(MAX($D$16,(D61)-(J33))))*(MAX($D$16,(D61)-(J33))),0.000001)*MAX(((((F33)+(H33)*(MAX($D$16,(D61)-(J33))))*(MAX($D$16,(D61)-(J33))))/MAX((F33)+2*(MAX($D$16,(D61)-(J33)))*SQRT(1+(H33)^2),0.000001))^(2/3),0.000001)))^2)+(((ABS(H61)*$D$6)/(MAX(((G33)+(I33)*(MAX($D$16,(L61)-(K33))))*(MAX($D$16,(L61)-(K33))),0.000001)*MAX(((((G33)+(I33)*(MAX($D$16,(L61)-(K33))))*(MAX($D$16,(L61)-(K33))))/MAX((G33)+2*(MAX($D$16,(L61)-(K33)))*SQRT(1+(I33)^2),0.000001))^(2/3),0.000001)))^2))/2)+(IF((ABS(H61)/MAX(((G33)+(I33)*(MAX($D$16,(L61)-(K33))))*(MAX($D$16,(L61)-(K33))),0.000001))&gt;(ABS(H61)/MAX(((F33)+(H33)*(MAX($D$16,(D61)-(J33))))*(MAX($D$16,(D61)-(J33))),0.000001)),$D$9*((((ABS(H61)/MAX(((G33)+(I33)*(MAX($D$16,(L61)-(K33))))*(MAX($D$16,(L61)-(K33))),0.000001))^2)/(2*$I$5))-(((ABS(H61)/MAX(((F33)+(H33)*(MAX($D$16,(D61)-(J33))))*(MAX($D$16,(D61)-(J33))),0.000001))^2)/(2*$I$5))),$D$8*((((ABS(H61)/MAX(((F33)+(H33)*(MAX($D$16,(D61)-(J33))))*(MAX($D$16,(D61)-(J33))),0.000001))^2)/(2*$I$5))-(((ABS(H61)/MAX(((G33)+(I33)*(MAX($D$16,(L61)-(K33))))*(MAX($D$16,(L61)-(K33))),0.000001))^2)/(2*$I$5)))))+($D$10*(ABS((X33)-(W33))/90)*MAX(((ABS(H61)/MAX(((F33)+(H33)*(MAX($D$16,(D61)-(J33))))*(MAX($D$16,(D61)-(J33))),0.000001))^2)/(2*$I$5),((ABS(H61)/MAX(((G33)+(I33)*(MAX($D$16,(L61)-(K33))))*(MAX($D$16,(L61)-(K33))),0.000001))^2)/(2*$I$5)))+(($D$11*0.00000015*(ABS(G61)/MAX(ABS(F61),0.000001))^2*MAX(((ABS(H61)/MAX(((F33)+(H33)*(MAX($D$16,(D61)-(J33))))*(MAX($D$16,(D61)-(J33))),0.000001))^2)/(2*$I$5),((ABS(H61)/MAX(((G33)+(I33)*(MAX($D$16,(L61)-(K33))))*(MAX($D$16,(L61)-(K33))),0.000001))^2)/(2*$I$5))))-((ABS(H61)/MAX(((F33)+(H33)*(MAX($D$16,(D61)-(J33))))*(MAX($D$16,(D61)-(J33))),0.000001))^2)/(2*$I$5)</f>
        <v>634.3119999999999</v>
      </c>
      <c r="R61">
        <f>D61+((ABS(G61)/MAX(((F32)+(H32)*(MAX($D$16,(D61)-(J32))))*(MAX($D$16,(D61)-(J32))),0.000001))^2)/(2*$I$5)-((E32)*((((ABS(G61)*$D$6)/(MAX(((F32)+(H32)*(MAX($D$16,(D61)-(J32))))*(MAX($D$16,(D61)-(J32))),0.000001)*MAX(((((F32)+(H32)*(MAX($D$16,(D61)-(J32))))*(MAX($D$16,(D61)-(J32))))/MAX((F32)+2*(MAX($D$16,(D61)-(J32)))*SQRT(1+(H32)^2),0.000001))^(2/3),0.000001)))^2)+(((ABS(G61)*$D$6)/(MAX(((G32)+(I32)*(MAX($D$16,(E61)-(K32))))*(MAX($D$16,(E61)-(K32))),0.000001)*MAX(((((G32)+(I32)*(MAX($D$16,(E61)-(K32))))*(MAX($D$16,(E61)-(K32))))/MAX((G32)+2*(MAX($D$16,(E61)-(K32)))*SQRT(1+(I32)^2),0.000001))^(2/3),0.000001)))^2))/2)+(IF((ABS(G61)/MAX(((G32)+(I32)*(MAX($D$16,(E61)-(K32))))*(MAX($D$16,(E61)-(K32))),0.000001))&gt;(ABS(G61)/MAX(((F32)+(H32)*(MAX($D$16,(D61)-(J32))))*(MAX($D$16,(D61)-(J32))),0.000001)),$D$9*((((ABS(G61)/MAX(((G32)+(I32)*(MAX($D$16,(E61)-(K32))))*(MAX($D$16,(E61)-(K32))),0.000001))^2)/(2*$I$5))-(((ABS(G61)/MAX(((F32)+(H32)*(MAX($D$16,(D61)-(J32))))*(MAX($D$16,(D61)-(J32))),0.000001))^2)/(2*$I$5))),$D$8*((((ABS(G61)/MAX(((F32)+(H32)*(MAX($D$16,(D61)-(J32))))*(MAX($D$16,(D61)-(J32))),0.000001))^2)/(2*$I$5))-(((ABS(G61)/MAX(((G32)+(I32)*(MAX($D$16,(E61)-(K32))))*(MAX($D$16,(E61)-(K32))),0.000001))^2)/(2*$I$5)))))+($D$10*(ABS((X32)-(W32))/90)*MAX(((ABS(G61)/MAX(((F32)+(H32)*(MAX($D$16,(D61)-(J32))))*(MAX($D$16,(D61)-(J32))),0.000001))^2)/(2*$I$5),((ABS(G61)/MAX(((G32)+(I32)*(MAX($D$16,(E61)-(K32))))*(MAX($D$16,(E61)-(K32))),0.000001))^2)/(2*$I$5)))+(($D$11*0.13607488*(ABS(H61)/MAX(ABS(F61),0.000001))^2*MAX(((ABS(G61)/MAX(((F32)+(H32)*(MAX($D$16,(D61)-(J32))))*(MAX($D$16,(D61)-(J32))),0.000001))^2)/(2*$I$5),((ABS(G61)/MAX(((G32)+(I32)*(MAX($D$16,(E61)-(K32))))*(MAX($D$16,(E61)-(K32))),0.000001))^2)/(2*$I$5))))-((ABS(G61)/MAX(((G32)+(I32)*(MAX($D$16,(E61)-(K32))))*(MAX($D$16,(E61)-(K32))),0.000001))^2)/(2*$I$5)</f>
        <v>52432.141903413976</v>
      </c>
      <c r="S61">
        <f>M61+((ABS(I61)/MAX(((G34)+(I34)*(MAX($D$16,(M61)-(K34))))*(MAX($D$16,(M61)-(K34))),0.000001))^2)/(2*$I$5)+((E34)*((((ABS(I61)*$D$6)/(MAX(((F34)+(H34)*(MAX($D$16,(E61)-(J34))))*(MAX($D$16,(E61)-(J34))),0.000001)*MAX(((((F34)+(H34)*(MAX($D$16,(E61)-(J34))))*(MAX($D$16,(E61)-(J34))))/MAX((F34)+2*(MAX($D$16,(E61)-(J34)))*SQRT(1+(H34)^2),0.000001))^(2/3),0.000001)))^2)+(((ABS(I61)*$D$6)/(MAX(((G34)+(I34)*(MAX($D$16,(M61)-(K34))))*(MAX($D$16,(M61)-(K34))),0.000001)*MAX(((((G34)+(I34)*(MAX($D$16,(M61)-(K34))))*(MAX($D$16,(M61)-(K34))))/MAX((G34)+2*(MAX($D$16,(M61)-(K34)))*SQRT(1+(I34)^2),0.000001))^(2/3),0.000001)))^2))/2)+(IF((ABS(I61)/MAX(((G34)+(I34)*(MAX($D$16,(M61)-(K34))))*(MAX($D$16,(M61)-(K34))),0.000001))&gt;(ABS(I61)/MAX(((F34)+(H34)*(MAX($D$16,(E61)-(J34))))*(MAX($D$16,(E61)-(J34))),0.000001)),$D$9*((((ABS(I61)/MAX(((G34)+(I34)*(MAX($D$16,(M61)-(K34))))*(MAX($D$16,(M61)-(K34))),0.000001))^2)/(2*$I$5))-(((ABS(I61)/MAX(((F34)+(H34)*(MAX($D$16,(E61)-(J34))))*(MAX($D$16,(E61)-(J34))),0.000001))^2)/(2*$I$5))),$D$8*((((ABS(I61)/MAX(((F34)+(H34)*(MAX($D$16,(E61)-(J34))))*(MAX($D$16,(E61)-(J34))),0.000001))^2)/(2*$I$5))-(((ABS(I61)/MAX(((G34)+(I34)*(MAX($D$16,(M61)-(K34))))*(MAX($D$16,(M61)-(K34))),0.000001))^2)/(2*$I$5)))))+($D$10*(ABS((X34)-(W34))/90)*MAX(((ABS(I61)/MAX(((F34)+(H34)*(MAX($D$16,(E61)-(J34))))*(MAX($D$16,(E61)-(J34))),0.000001))^2)/(2*$I$5),((ABS(I61)/MAX(((G34)+(I34)*(MAX($D$16,(M61)-(K34))))*(MAX($D$16,(M61)-(K34))),0.000001))^2)/(2*$I$5)))+(0)-((ABS(I61)/MAX(((F34)+(H34)*(MAX($D$16,(E61)-(J34))))*(MAX($D$16,(E61)-(J34))),0.000001))^2)/(2*$I$5)</f>
        <v>635.5</v>
      </c>
      <c r="T61">
        <f>N61+((ABS(J61)/MAX(((G35)+(I35)*(MAX($D$16,(N61)-(K35))))*(MAX($D$16,(N61)-(K35))),0.000001))^2)/(2*$I$5)+((E35)*((((ABS(J61)*$D$6)/(MAX(((F35)+(H35)*(MAX($D$16,(E61)-(J35))))*(MAX($D$16,(E61)-(J35))),0.000001)*MAX(((((F35)+(H35)*(MAX($D$16,(E61)-(J35))))*(MAX($D$16,(E61)-(J35))))/MAX((F35)+2*(MAX($D$16,(E61)-(J35)))*SQRT(1+(H35)^2),0.000001))^(2/3),0.000001)))^2)+(((ABS(J61)*$D$6)/(MAX(((G35)+(I35)*(MAX($D$16,(N61)-(K35))))*(MAX($D$16,(N61)-(K35))),0.000001)*MAX(((((G35)+(I35)*(MAX($D$16,(N61)-(K35))))*(MAX($D$16,(N61)-(K35))))/MAX((G35)+2*(MAX($D$16,(N61)-(K35)))*SQRT(1+(I35)^2),0.000001))^(2/3),0.000001)))^2))/2)+(IF((ABS(J61)/MAX(((G35)+(I35)*(MAX($D$16,(N61)-(K35))))*(MAX($D$16,(N61)-(K35))),0.000001))&gt;(ABS(J61)/MAX(((F35)+(H35)*(MAX($D$16,(E61)-(J35))))*(MAX($D$16,(E61)-(J35))),0.000001)),$D$9*((((ABS(J61)/MAX(((G35)+(I35)*(MAX($D$16,(N61)-(K35))))*(MAX($D$16,(N61)-(K35))),0.000001))^2)/(2*$I$5))-(((ABS(J61)/MAX(((F35)+(H35)*(MAX($D$16,(E61)-(J35))))*(MAX($D$16,(E61)-(J35))),0.000001))^2)/(2*$I$5))),$D$8*((((ABS(J61)/MAX(((F35)+(H35)*(MAX($D$16,(E61)-(J35))))*(MAX($D$16,(E61)-(J35))),0.000001))^2)/(2*$I$5))-(((ABS(J61)/MAX(((G35)+(I35)*(MAX($D$16,(N61)-(K35))))*(MAX($D$16,(N61)-(K35))),0.000001))^2)/(2*$I$5)))))+($D$10*(ABS((X35)-(W35))/90)*MAX(((ABS(J61)/MAX(((F35)+(H35)*(MAX($D$16,(E61)-(J35))))*(MAX($D$16,(E61)-(J35))),0.000001))^2)/(2*$I$5),((ABS(J61)/MAX(((G35)+(I35)*(MAX($D$16,(N61)-(K35))))*(MAX($D$16,(N61)-(K35))),0.000001))^2)/(2*$I$5)))+(($D$11*0.34699541*(ABS(I61)/MAX(ABS(G61),0.000001))^2*MAX(((ABS(J61)/MAX(((F35)+(H35)*(MAX($D$16,(E61)-(J35))))*(MAX($D$16,(E61)-(J35))),0.000001))^2)/(2*$I$5),((ABS(J61)/MAX(((G35)+(I35)*(MAX($D$16,(N61)-(K35))))*(MAX($D$16,(N61)-(K35))),0.000001))^2)/(2*$I$5))))-((ABS(J61)/MAX(((F35)+(H35)*(MAX($D$16,(E61)-(J35))))*(MAX($D$16,(E61)-(J35))),0.000001))^2)/(2*$I$5)</f>
        <v>20784.033523923383</v>
      </c>
      <c r="U61">
        <f>(((((F32)*(MAX($D$16,(D61)-(J32)))^2)/2+(H32)*(MAX($D$16,(D61)-(J32)))^3/3+(ABS(G61)^2)/($I$5*MAX(((F32)+(H32)*(MAX($D$16,(D61)-(J32))))*(MAX($D$16,(D61)-(J32))),0.000001)))*0.72785025)-((((F33)*(MAX($D$16,(D61)-(J33)))^2)/2+(H33)*(MAX($D$16,(D61)-(J33)))^3/3+(ABS(H61)^2)/($I$5*MAX(((F33)+(H33)*(MAX($D$16,(D61)-(J33))))*(MAX($D$16,(D61)-(J33))),0.000001)))*0.99999971))/MAX(((G31)*(MAX($D$16,(D61)-(K31)))^2)/2+(I31)*(MAX($D$16,(D61)-(K31)))^3/3+(ABS(F61)^2)/($I$5*MAX(((G31)+(I31)*(MAX($D$16,(D61)-(K31))))*(MAX($D$16,(D61)-(K31))),0.000001)),0.000001)</f>
        <v>-0.2721494599999113</v>
      </c>
      <c r="V61">
        <f>(((((F34)*(MAX($D$16,(E61)-(J34)))^2)/2+(H34)*(MAX($D$16,(E61)-(J34)))^3/3+(ABS(I61)^2)/($I$5*MAX(((F34)+(H34)*(MAX($D$16,(E61)-(J34))))*(MAX($D$16,(E61)-(J34))),0.000001)))*1)-((((F35)*(MAX($D$16,(E61)-(J35)))^2)/2+(H35)*(MAX($D$16,(E61)-(J35)))^3/3+(ABS(J61)^2)/($I$5*MAX(((F35)+(H35)*(MAX($D$16,(E61)-(J35))))*(MAX($D$16,(E61)-(J35))),0.000001)))*0.30600918))/MAX(((G32)*(MAX($D$16,(E61)-(K32)))^2)/2+(I32)*(MAX($D$16,(E61)-(K32)))^3/3+(ABS(G61)^2)/($I$5*MAX(((G32)+(I32)*(MAX($D$16,(E61)-(K32))))*(MAX($D$16,(E61)-(K32))),0.000001)),0.000001)</f>
        <v>0.69398638937189816</v>
      </c>
      <c r="W61">
        <f>IF(N6="None",ABS(P61-D61),MAX(ABS(P61-D61),ABS(Q61-D61)))</f>
        <v>1.3151463645044714E-4</v>
      </c>
      <c r="X61">
        <f>IF(AND(N7="None",N8="None"),0,IF(N8="None",ABS(S61-E61),IF(N7="None",ABS(T61-E61),MAX(ABS(S61-E61),ABS(T61-E61)))))</f>
        <v>51796.641771898656</v>
      </c>
      <c r="AA61">
        <f t="shared" si="3"/>
        <v>52432.141857383722</v>
      </c>
      <c r="AB61">
        <f t="shared" si="4"/>
        <v>41355.303885107307</v>
      </c>
      <c r="AC61">
        <f>IF(N6="None",P61,MAX(P61,Q61))</f>
        <v>52432.141771899209</v>
      </c>
      <c r="AD61">
        <f>IF(AND(N7="None",N8="None"),E61,IF(N8="None",S61,IF(N7="None",T61,MAX(S61,T61))))</f>
        <v>20784.033523923383</v>
      </c>
      <c r="AE61">
        <f t="shared" si="5"/>
        <v>637.65825101089831</v>
      </c>
      <c r="AF61">
        <f t="shared" si="6"/>
        <v>52432.141903413976</v>
      </c>
      <c r="AG61">
        <f>((G31)*(MAX($D$16,(AC61)-(K31)))^2)/2+(I31)*(MAX($D$16,(AC61)-(K31)))^3/3+(ABS(F61)^2)/($I$5*MAX(((G31)+(I31)*(MAX($D$16,(AC61)-(K31))))*(MAX($D$16,(AC61)-(K31))),0.000001))</f>
        <v>8797611495.0726566</v>
      </c>
      <c r="AH61">
        <f>((G31)*(MAX($D$16,(AE61)-(K31)))^2)/2+(I31)*(MAX($D$16,(AE61)-(K31)))^3/3+(ABS(F61)^2)/($I$5*MAX(((G31)+(I31)*(MAX($D$16,(AE61)-(K31))))*(MAX($D$16,(AE61)-(K31))),0.000001))</f>
        <v>49.055863329575246</v>
      </c>
      <c r="AI61">
        <f>((G32)*(MAX($D$16,(AD61)-(K32)))^2)/2+(I32)*(MAX($D$16,(AD61)-(K32)))^3/3+(ABS(G61)^2)/($I$5*MAX(((G32)+(I32)*(MAX($D$16,(AD61)-(K32))))*(MAX($D$16,(AD61)-(K32))),0.000001))</f>
        <v>2072376743.6648321</v>
      </c>
      <c r="AJ61">
        <f>((G32)*(MAX($D$16,(AF61)-(K32)))^2)/2+(I32)*(MAX($D$16,(AF61)-(K32)))^3/3+(ABS(G61)^2)/($I$5*MAX(((G32)+(I32)*(MAX($D$16,(AF61)-(K32))))*(MAX($D$16,(AF61)-(K32))),0.000001))</f>
        <v>13692714824.405416</v>
      </c>
      <c r="AK61" t="str">
        <f t="shared" si="7"/>
        <v>Subcritical</v>
      </c>
      <c r="AL61" t="str">
        <f t="shared" si="8"/>
        <v>Supercritical</v>
      </c>
      <c r="AM61">
        <f t="shared" si="9"/>
        <v>52432.141857383722</v>
      </c>
      <c r="AN61">
        <f t="shared" si="10"/>
        <v>52432.141817929019</v>
      </c>
      <c r="AO61">
        <f t="shared" si="11"/>
        <v>1.3151463645044714E-4</v>
      </c>
      <c r="AP61">
        <f t="shared" si="12"/>
        <v>1.3151532039046288E-4</v>
      </c>
    </row>
    <row r="62" spans="1:42" x14ac:dyDescent="0.35">
      <c r="A62">
        <v>19</v>
      </c>
      <c r="B62">
        <f t="shared" si="13"/>
        <v>0</v>
      </c>
      <c r="C62">
        <f t="shared" si="14"/>
        <v>0</v>
      </c>
      <c r="D62">
        <f t="shared" si="15"/>
        <v>52432.141857383722</v>
      </c>
      <c r="E62">
        <f t="shared" si="16"/>
        <v>52432.141817929019</v>
      </c>
      <c r="F62">
        <f t="shared" si="2"/>
        <v>51</v>
      </c>
      <c r="G62">
        <f>IF(N6="None",F62,MAX(0,F62*B62))</f>
        <v>51</v>
      </c>
      <c r="H62">
        <f>IF(N6="None",0,MAX(0,F62-G62))</f>
        <v>0</v>
      </c>
      <c r="I62">
        <f>IF(AND(N7="None",N8="None"),0,IF(N8="None",G62,IF(N7="None",0,MAX(0,G62*C62))))</f>
        <v>0</v>
      </c>
      <c r="J62">
        <f>IF(AND(N7="None",N8="None"),0,IF(N8="None",0,IF(N7="None",G62,MAX(0,G62-I62))))</f>
        <v>51</v>
      </c>
      <c r="K62">
        <f>P5</f>
        <v>637</v>
      </c>
      <c r="L62">
        <f>P6</f>
        <v>634.3119999999999</v>
      </c>
      <c r="M62">
        <f>P7</f>
        <v>635.5</v>
      </c>
      <c r="N62">
        <f>P8</f>
        <v>631.54999999999995</v>
      </c>
      <c r="O62">
        <f>K62+((ABS(F62)/MAX(((F31)+(H31)*(MAX($D$16,(K62)-(J31))))*(MAX($D$16,(K62)-(J31))),0.000001))^2)/(2*$I$5)-((E31)*((((ABS(F62)*$D$6)/(MAX(((F31)+(H31)*(MAX($D$16,(K62)-(J31))))*(MAX($D$16,(K62)-(J31))),0.000001)*MAX(((((F31)+(H31)*(MAX($D$16,(K62)-(J31))))*(MAX($D$16,(K62)-(J31))))/MAX((F31)+2*(MAX($D$16,(K62)-(J31)))*SQRT(1+(H31)^2),0.000001))^(2/3),0.000001)))^2)+(((ABS(F62)*$D$6)/(MAX(((G31)+(I31)*(MAX($D$16,(D62)-(K31))))*(MAX($D$16,(D62)-(K31))),0.000001)*MAX(((((G31)+(I31)*(MAX($D$16,(D62)-(K31))))*(MAX($D$16,(D62)-(K31))))/MAX((G31)+2*(MAX($D$16,(D62)-(K31)))*SQRT(1+(I31)^2),0.000001))^(2/3),0.000001)))^2))/2)+(IF((ABS(F62)/MAX(((G31)+(I31)*(MAX($D$16,(D62)-(K31))))*(MAX($D$16,(D62)-(K31))),0.000001))&gt;(ABS(F62)/MAX(((F31)+(H31)*(MAX($D$16,(K62)-(J31))))*(MAX($D$16,(K62)-(J31))),0.000001)),$D$9*((((ABS(F62)/MAX(((G31)+(I31)*(MAX($D$16,(D62)-(K31))))*(MAX($D$16,(D62)-(K31))),0.000001))^2)/(2*$I$5))-(((ABS(F62)/MAX(((F31)+(H31)*(MAX($D$16,(K62)-(J31))))*(MAX($D$16,(K62)-(J31))),0.000001))^2)/(2*$I$5))),$D$8*((((ABS(F62)/MAX(((F31)+(H31)*(MAX($D$16,(K62)-(J31))))*(MAX($D$16,(K62)-(J31))),0.000001))^2)/(2*$I$5))-(((ABS(F62)/MAX(((G31)+(I31)*(MAX($D$16,(D62)-(K31))))*(MAX($D$16,(D62)-(K31))),0.000001))^2)/(2*$I$5)))))+($D$10*(ABS((X31)-(W31))/90)*MAX(((ABS(F62)/MAX(((F31)+(H31)*(MAX($D$16,(K62)-(J31))))*(MAX($D$16,(K62)-(J31))),0.000001))^2)/(2*$I$5),((ABS(F62)/MAX(((G31)+(I31)*(MAX($D$16,(D62)-(K31))))*(MAX($D$16,(D62)-(K31))),0.000001))^2)/(2*$I$5)))+(0)-((ABS(F62)/MAX(((G31)+(I31)*(MAX($D$16,(D62)-(K31))))*(MAX($D$16,(D62)-(K31))),0.000001))^2)/(2*$I$5)</f>
        <v>637.65825101089831</v>
      </c>
      <c r="P62">
        <f>E62+((ABS(G62)/MAX(((G32)+(I32)*(MAX($D$16,(E62)-(K32))))*(MAX($D$16,(E62)-(K32))),0.000001))^2)/(2*$I$5)+((E32)*((((ABS(G62)*$D$6)/(MAX(((F32)+(H32)*(MAX($D$16,(D62)-(J32))))*(MAX($D$16,(D62)-(J32))),0.000001)*MAX(((((F32)+(H32)*(MAX($D$16,(D62)-(J32))))*(MAX($D$16,(D62)-(J32))))/MAX((F32)+2*(MAX($D$16,(D62)-(J32)))*SQRT(1+(H32)^2),0.000001))^(2/3),0.000001)))^2)+(((ABS(G62)*$D$6)/(MAX(((G32)+(I32)*(MAX($D$16,(E62)-(K32))))*(MAX($D$16,(E62)-(K32))),0.000001)*MAX(((((G32)+(I32)*(MAX($D$16,(E62)-(K32))))*(MAX($D$16,(E62)-(K32))))/MAX((G32)+2*(MAX($D$16,(E62)-(K32)))*SQRT(1+(I32)^2),0.000001))^(2/3),0.000001)))^2))/2)+(IF((ABS(G62)/MAX(((G32)+(I32)*(MAX($D$16,(E62)-(K32))))*(MAX($D$16,(E62)-(K32))),0.000001))&gt;(ABS(G62)/MAX(((F32)+(H32)*(MAX($D$16,(D62)-(J32))))*(MAX($D$16,(D62)-(J32))),0.000001)),$D$9*((((ABS(G62)/MAX(((G32)+(I32)*(MAX($D$16,(E62)-(K32))))*(MAX($D$16,(E62)-(K32))),0.000001))^2)/(2*$I$5))-(((ABS(G62)/MAX(((F32)+(H32)*(MAX($D$16,(D62)-(J32))))*(MAX($D$16,(D62)-(J32))),0.000001))^2)/(2*$I$5))),$D$8*((((ABS(G62)/MAX(((F32)+(H32)*(MAX($D$16,(D62)-(J32))))*(MAX($D$16,(D62)-(J32))),0.000001))^2)/(2*$I$5))-(((ABS(G62)/MAX(((G32)+(I32)*(MAX($D$16,(E62)-(K32))))*(MAX($D$16,(E62)-(K32))),0.000001))^2)/(2*$I$5)))))+($D$10*(ABS((X32)-(W32))/90)*MAX(((ABS(G62)/MAX(((F32)+(H32)*(MAX($D$16,(D62)-(J32))))*(MAX($D$16,(D62)-(J32))),0.000001))^2)/(2*$I$5),((ABS(G62)/MAX(((G32)+(I32)*(MAX($D$16,(E62)-(K32))))*(MAX($D$16,(E62)-(K32))),0.000001))^2)/(2*$I$5)))+(($D$11*0.13607488*(ABS(H62)/MAX(ABS(F62),0.000001))^2*MAX(((ABS(G62)/MAX(((F32)+(H32)*(MAX($D$16,(D62)-(J32))))*(MAX($D$16,(D62)-(J32))),0.000001))^2)/(2*$I$5),((ABS(G62)/MAX(((G32)+(I32)*(MAX($D$16,(E62)-(K32))))*(MAX($D$16,(E62)-(K32))),0.000001))^2)/(2*$I$5))))-((ABS(G62)/MAX(((F32)+(H32)*(MAX($D$16,(D62)-(J32))))*(MAX($D$16,(D62)-(J32))),0.000001))^2)/(2*$I$5)</f>
        <v>52432.141817929572</v>
      </c>
      <c r="Q62">
        <f>L62+((ABS(H62)/MAX(((G33)+(I33)*(MAX($D$16,(L62)-(K33))))*(MAX($D$16,(L62)-(K33))),0.000001))^2)/(2*$I$5)+((E33)*((((ABS(H62)*$D$6)/(MAX(((F33)+(H33)*(MAX($D$16,(D62)-(J33))))*(MAX($D$16,(D62)-(J33))),0.000001)*MAX(((((F33)+(H33)*(MAX($D$16,(D62)-(J33))))*(MAX($D$16,(D62)-(J33))))/MAX((F33)+2*(MAX($D$16,(D62)-(J33)))*SQRT(1+(H33)^2),0.000001))^(2/3),0.000001)))^2)+(((ABS(H62)*$D$6)/(MAX(((G33)+(I33)*(MAX($D$16,(L62)-(K33))))*(MAX($D$16,(L62)-(K33))),0.000001)*MAX(((((G33)+(I33)*(MAX($D$16,(L62)-(K33))))*(MAX($D$16,(L62)-(K33))))/MAX((G33)+2*(MAX($D$16,(L62)-(K33)))*SQRT(1+(I33)^2),0.000001))^(2/3),0.000001)))^2))/2)+(IF((ABS(H62)/MAX(((G33)+(I33)*(MAX($D$16,(L62)-(K33))))*(MAX($D$16,(L62)-(K33))),0.000001))&gt;(ABS(H62)/MAX(((F33)+(H33)*(MAX($D$16,(D62)-(J33))))*(MAX($D$16,(D62)-(J33))),0.000001)),$D$9*((((ABS(H62)/MAX(((G33)+(I33)*(MAX($D$16,(L62)-(K33))))*(MAX($D$16,(L62)-(K33))),0.000001))^2)/(2*$I$5))-(((ABS(H62)/MAX(((F33)+(H33)*(MAX($D$16,(D62)-(J33))))*(MAX($D$16,(D62)-(J33))),0.000001))^2)/(2*$I$5))),$D$8*((((ABS(H62)/MAX(((F33)+(H33)*(MAX($D$16,(D62)-(J33))))*(MAX($D$16,(D62)-(J33))),0.000001))^2)/(2*$I$5))-(((ABS(H62)/MAX(((G33)+(I33)*(MAX($D$16,(L62)-(K33))))*(MAX($D$16,(L62)-(K33))),0.000001))^2)/(2*$I$5)))))+($D$10*(ABS((X33)-(W33))/90)*MAX(((ABS(H62)/MAX(((F33)+(H33)*(MAX($D$16,(D62)-(J33))))*(MAX($D$16,(D62)-(J33))),0.000001))^2)/(2*$I$5),((ABS(H62)/MAX(((G33)+(I33)*(MAX($D$16,(L62)-(K33))))*(MAX($D$16,(L62)-(K33))),0.000001))^2)/(2*$I$5)))+(($D$11*0.00000015*(ABS(G62)/MAX(ABS(F62),0.000001))^2*MAX(((ABS(H62)/MAX(((F33)+(H33)*(MAX($D$16,(D62)-(J33))))*(MAX($D$16,(D62)-(J33))),0.000001))^2)/(2*$I$5),((ABS(H62)/MAX(((G33)+(I33)*(MAX($D$16,(L62)-(K33))))*(MAX($D$16,(L62)-(K33))),0.000001))^2)/(2*$I$5))))-((ABS(H62)/MAX(((F33)+(H33)*(MAX($D$16,(D62)-(J33))))*(MAX($D$16,(D62)-(J33))),0.000001))^2)/(2*$I$5)</f>
        <v>634.3119999999999</v>
      </c>
      <c r="R62">
        <f>D62+((ABS(G62)/MAX(((F32)+(H32)*(MAX($D$16,(D62)-(J32))))*(MAX($D$16,(D62)-(J32))),0.000001))^2)/(2*$I$5)-((E32)*((((ABS(G62)*$D$6)/(MAX(((F32)+(H32)*(MAX($D$16,(D62)-(J32))))*(MAX($D$16,(D62)-(J32))),0.000001)*MAX(((((F32)+(H32)*(MAX($D$16,(D62)-(J32))))*(MAX($D$16,(D62)-(J32))))/MAX((F32)+2*(MAX($D$16,(D62)-(J32)))*SQRT(1+(H32)^2),0.000001))^(2/3),0.000001)))^2)+(((ABS(G62)*$D$6)/(MAX(((G32)+(I32)*(MAX($D$16,(E62)-(K32))))*(MAX($D$16,(E62)-(K32))),0.000001)*MAX(((((G32)+(I32)*(MAX($D$16,(E62)-(K32))))*(MAX($D$16,(E62)-(K32))))/MAX((G32)+2*(MAX($D$16,(E62)-(K32)))*SQRT(1+(I32)^2),0.000001))^(2/3),0.000001)))^2))/2)+(IF((ABS(G62)/MAX(((G32)+(I32)*(MAX($D$16,(E62)-(K32))))*(MAX($D$16,(E62)-(K32))),0.000001))&gt;(ABS(G62)/MAX(((F32)+(H32)*(MAX($D$16,(D62)-(J32))))*(MAX($D$16,(D62)-(J32))),0.000001)),$D$9*((((ABS(G62)/MAX(((G32)+(I32)*(MAX($D$16,(E62)-(K32))))*(MAX($D$16,(E62)-(K32))),0.000001))^2)/(2*$I$5))-(((ABS(G62)/MAX(((F32)+(H32)*(MAX($D$16,(D62)-(J32))))*(MAX($D$16,(D62)-(J32))),0.000001))^2)/(2*$I$5))),$D$8*((((ABS(G62)/MAX(((F32)+(H32)*(MAX($D$16,(D62)-(J32))))*(MAX($D$16,(D62)-(J32))),0.000001))^2)/(2*$I$5))-(((ABS(G62)/MAX(((G32)+(I32)*(MAX($D$16,(E62)-(K32))))*(MAX($D$16,(E62)-(K32))),0.000001))^2)/(2*$I$5)))))+($D$10*(ABS((X32)-(W32))/90)*MAX(((ABS(G62)/MAX(((F32)+(H32)*(MAX($D$16,(D62)-(J32))))*(MAX($D$16,(D62)-(J32))),0.000001))^2)/(2*$I$5),((ABS(G62)/MAX(((G32)+(I32)*(MAX($D$16,(E62)-(K32))))*(MAX($D$16,(E62)-(K32))),0.000001))^2)/(2*$I$5)))+(($D$11*0.13607488*(ABS(H62)/MAX(ABS(F62),0.000001))^2*MAX(((ABS(G62)/MAX(((F32)+(H32)*(MAX($D$16,(D62)-(J32))))*(MAX($D$16,(D62)-(J32))),0.000001))^2)/(2*$I$5),((ABS(G62)/MAX(((G32)+(I32)*(MAX($D$16,(E62)-(K32))))*(MAX($D$16,(E62)-(K32))),0.000001))^2)/(2*$I$5))))-((ABS(G62)/MAX(((G32)+(I32)*(MAX($D$16,(E62)-(K32))))*(MAX($D$16,(E62)-(K32))),0.000001))^2)/(2*$I$5)</f>
        <v>52432.141857383853</v>
      </c>
      <c r="S62">
        <f>M62+((ABS(I62)/MAX(((G34)+(I34)*(MAX($D$16,(M62)-(K34))))*(MAX($D$16,(M62)-(K34))),0.000001))^2)/(2*$I$5)+((E34)*((((ABS(I62)*$D$6)/(MAX(((F34)+(H34)*(MAX($D$16,(E62)-(J34))))*(MAX($D$16,(E62)-(J34))),0.000001)*MAX(((((F34)+(H34)*(MAX($D$16,(E62)-(J34))))*(MAX($D$16,(E62)-(J34))))/MAX((F34)+2*(MAX($D$16,(E62)-(J34)))*SQRT(1+(H34)^2),0.000001))^(2/3),0.000001)))^2)+(((ABS(I62)*$D$6)/(MAX(((G34)+(I34)*(MAX($D$16,(M62)-(K34))))*(MAX($D$16,(M62)-(K34))),0.000001)*MAX(((((G34)+(I34)*(MAX($D$16,(M62)-(K34))))*(MAX($D$16,(M62)-(K34))))/MAX((G34)+2*(MAX($D$16,(M62)-(K34)))*SQRT(1+(I34)^2),0.000001))^(2/3),0.000001)))^2))/2)+(IF((ABS(I62)/MAX(((G34)+(I34)*(MAX($D$16,(M62)-(K34))))*(MAX($D$16,(M62)-(K34))),0.000001))&gt;(ABS(I62)/MAX(((F34)+(H34)*(MAX($D$16,(E62)-(J34))))*(MAX($D$16,(E62)-(J34))),0.000001)),$D$9*((((ABS(I62)/MAX(((G34)+(I34)*(MAX($D$16,(M62)-(K34))))*(MAX($D$16,(M62)-(K34))),0.000001))^2)/(2*$I$5))-(((ABS(I62)/MAX(((F34)+(H34)*(MAX($D$16,(E62)-(J34))))*(MAX($D$16,(E62)-(J34))),0.000001))^2)/(2*$I$5))),$D$8*((((ABS(I62)/MAX(((F34)+(H34)*(MAX($D$16,(E62)-(J34))))*(MAX($D$16,(E62)-(J34))),0.000001))^2)/(2*$I$5))-(((ABS(I62)/MAX(((G34)+(I34)*(MAX($D$16,(M62)-(K34))))*(MAX($D$16,(M62)-(K34))),0.000001))^2)/(2*$I$5)))))+($D$10*(ABS((X34)-(W34))/90)*MAX(((ABS(I62)/MAX(((F34)+(H34)*(MAX($D$16,(E62)-(J34))))*(MAX($D$16,(E62)-(J34))),0.000001))^2)/(2*$I$5),((ABS(I62)/MAX(((G34)+(I34)*(MAX($D$16,(M62)-(K34))))*(MAX($D$16,(M62)-(K34))),0.000001))^2)/(2*$I$5)))+(0)-((ABS(I62)/MAX(((F34)+(H34)*(MAX($D$16,(E62)-(J34))))*(MAX($D$16,(E62)-(J34))),0.000001))^2)/(2*$I$5)</f>
        <v>635.5</v>
      </c>
      <c r="T62">
        <f>N62+((ABS(J62)/MAX(((G35)+(I35)*(MAX($D$16,(N62)-(K35))))*(MAX($D$16,(N62)-(K35))),0.000001))^2)/(2*$I$5)+((E35)*((((ABS(J62)*$D$6)/(MAX(((F35)+(H35)*(MAX($D$16,(E62)-(J35))))*(MAX($D$16,(E62)-(J35))),0.000001)*MAX(((((F35)+(H35)*(MAX($D$16,(E62)-(J35))))*(MAX($D$16,(E62)-(J35))))/MAX((F35)+2*(MAX($D$16,(E62)-(J35)))*SQRT(1+(H35)^2),0.000001))^(2/3),0.000001)))^2)+(((ABS(J62)*$D$6)/(MAX(((G35)+(I35)*(MAX($D$16,(N62)-(K35))))*(MAX($D$16,(N62)-(K35))),0.000001)*MAX(((((G35)+(I35)*(MAX($D$16,(N62)-(K35))))*(MAX($D$16,(N62)-(K35))))/MAX((G35)+2*(MAX($D$16,(N62)-(K35)))*SQRT(1+(I35)^2),0.000001))^(2/3),0.000001)))^2))/2)+(IF((ABS(J62)/MAX(((G35)+(I35)*(MAX($D$16,(N62)-(K35))))*(MAX($D$16,(N62)-(K35))),0.000001))&gt;(ABS(J62)/MAX(((F35)+(H35)*(MAX($D$16,(E62)-(J35))))*(MAX($D$16,(E62)-(J35))),0.000001)),$D$9*((((ABS(J62)/MAX(((G35)+(I35)*(MAX($D$16,(N62)-(K35))))*(MAX($D$16,(N62)-(K35))),0.000001))^2)/(2*$I$5))-(((ABS(J62)/MAX(((F35)+(H35)*(MAX($D$16,(E62)-(J35))))*(MAX($D$16,(E62)-(J35))),0.000001))^2)/(2*$I$5))),$D$8*((((ABS(J62)/MAX(((F35)+(H35)*(MAX($D$16,(E62)-(J35))))*(MAX($D$16,(E62)-(J35))),0.000001))^2)/(2*$I$5))-(((ABS(J62)/MAX(((G35)+(I35)*(MAX($D$16,(N62)-(K35))))*(MAX($D$16,(N62)-(K35))),0.000001))^2)/(2*$I$5)))))+($D$10*(ABS((X35)-(W35))/90)*MAX(((ABS(J62)/MAX(((F35)+(H35)*(MAX($D$16,(E62)-(J35))))*(MAX($D$16,(E62)-(J35))),0.000001))^2)/(2*$I$5),((ABS(J62)/MAX(((G35)+(I35)*(MAX($D$16,(N62)-(K35))))*(MAX($D$16,(N62)-(K35))),0.000001))^2)/(2*$I$5)))+(($D$11*0.34699541*(ABS(I62)/MAX(ABS(G62),0.000001))^2*MAX(((ABS(J62)/MAX(((F35)+(H35)*(MAX($D$16,(E62)-(J35))))*(MAX($D$16,(E62)-(J35))),0.000001))^2)/(2*$I$5),((ABS(J62)/MAX(((G35)+(I35)*(MAX($D$16,(N62)-(K35))))*(MAX($D$16,(N62)-(K35))),0.000001))^2)/(2*$I$5))))-((ABS(J62)/MAX(((F35)+(H35)*(MAX($D$16,(E62)-(J35))))*(MAX($D$16,(E62)-(J35))),0.000001))^2)/(2*$I$5)</f>
        <v>20784.033523923383</v>
      </c>
      <c r="U62">
        <f>(((((F32)*(MAX($D$16,(D62)-(J32)))^2)/2+(H32)*(MAX($D$16,(D62)-(J32)))^3/3+(ABS(G62)^2)/($I$5*MAX(((F32)+(H32)*(MAX($D$16,(D62)-(J32))))*(MAX($D$16,(D62)-(J32))),0.000001)))*0.72785025)-((((F33)*(MAX($D$16,(D62)-(J33)))^2)/2+(H33)*(MAX($D$16,(D62)-(J33)))^3/3+(ABS(H62)^2)/($I$5*MAX(((F33)+(H33)*(MAX($D$16,(D62)-(J33))))*(MAX($D$16,(D62)-(J33))),0.000001)))*0.99999971))/MAX(((G31)*(MAX($D$16,(D62)-(K31)))^2)/2+(I31)*(MAX($D$16,(D62)-(K31)))^3/3+(ABS(F62)^2)/($I$5*MAX(((G31)+(I31)*(MAX($D$16,(D62)-(K31))))*(MAX($D$16,(D62)-(K31))),0.000001)),0.000001)</f>
        <v>-0.27214945999991125</v>
      </c>
      <c r="V62">
        <f>(((((F34)*(MAX($D$16,(E62)-(J34)))^2)/2+(H34)*(MAX($D$16,(E62)-(J34)))^3/3+(ABS(I62)^2)/($I$5*MAX(((F34)+(H34)*(MAX($D$16,(E62)-(J34))))*(MAX($D$16,(E62)-(J34))),0.000001)))*1)-((((F35)*(MAX($D$16,(E62)-(J35)))^2)/2+(H35)*(MAX($D$16,(E62)-(J35)))^3/3+(ABS(J62)^2)/($I$5*MAX(((F35)+(H35)*(MAX($D$16,(E62)-(J35))))*(MAX($D$16,(E62)-(J35))),0.000001)))*0.30600918))/MAX(((G32)*(MAX($D$16,(E62)-(K32)))^2)/2+(I32)*(MAX($D$16,(E62)-(K32)))^3/3+(ABS(G62)^2)/($I$5*MAX(((G32)+(I32)*(MAX($D$16,(E62)-(K32))))*(MAX($D$16,(E62)-(K32))),0.000001)),0.000001)</f>
        <v>0.69398638937190216</v>
      </c>
      <c r="W62">
        <f>IF(N6="None",ABS(P62-D62),MAX(ABS(P62-D62),ABS(Q62-D62)))</f>
        <v>3.9454149373341352E-5</v>
      </c>
      <c r="X62">
        <f>IF(AND(N7="None",N8="None"),0,IF(N8="None",ABS(S62-E62),IF(N7="None",ABS(T62-E62),MAX(ABS(S62-E62),ABS(T62-E62)))))</f>
        <v>51796.641817929019</v>
      </c>
      <c r="AA62">
        <f t="shared" si="3"/>
        <v>52432.141843574769</v>
      </c>
      <c r="AB62">
        <f t="shared" si="4"/>
        <v>41355.303915027049</v>
      </c>
      <c r="AC62">
        <f>IF(N6="None",P62,MAX(P62,Q62))</f>
        <v>52432.141817929572</v>
      </c>
      <c r="AD62">
        <f>IF(AND(N7="None",N8="None"),E62,IF(N8="None",S62,IF(N7="None",T62,MAX(S62,T62))))</f>
        <v>20784.033523923383</v>
      </c>
      <c r="AE62">
        <f t="shared" si="5"/>
        <v>637.65825101089831</v>
      </c>
      <c r="AF62">
        <f t="shared" si="6"/>
        <v>52432.141857383853</v>
      </c>
      <c r="AG62">
        <f>((G31)*(MAX($D$16,(AC62)-(K31)))^2)/2+(I31)*(MAX($D$16,(AC62)-(K31)))^3/3+(ABS(F62)^2)/($I$5*MAX(((G31)+(I31)*(MAX($D$16,(AC62)-(K31))))*(MAX($D$16,(AC62)-(K31))),0.000001))</f>
        <v>8797611510.7087212</v>
      </c>
      <c r="AH62">
        <f>((G31)*(MAX($D$16,(AE62)-(K31)))^2)/2+(I31)*(MAX($D$16,(AE62)-(K31)))^3/3+(ABS(F62)^2)/($I$5*MAX(((G31)+(I31)*(MAX($D$16,(AE62)-(K31))))*(MAX($D$16,(AE62)-(K31))),0.000001))</f>
        <v>49.055863329575246</v>
      </c>
      <c r="AI62">
        <f>((G32)*(MAX($D$16,(AD62)-(K32)))^2)/2+(I32)*(MAX($D$16,(AD62)-(K32)))^3/3+(ABS(G62)^2)/($I$5*MAX(((G32)+(I32)*(MAX($D$16,(AD62)-(K32))))*(MAX($D$16,(AD62)-(K32))),0.000001))</f>
        <v>2072376743.6648321</v>
      </c>
      <c r="AJ62">
        <f>((G32)*(MAX($D$16,(AF62)-(K32)))^2)/2+(I32)*(MAX($D$16,(AF62)-(K32)))^3/3+(ABS(G62)^2)/($I$5*MAX(((G32)+(I32)*(MAX($D$16,(AF62)-(K32))))*(MAX($D$16,(AF62)-(K32))),0.000001))</f>
        <v>13692714800.070507</v>
      </c>
      <c r="AK62" t="str">
        <f t="shared" si="7"/>
        <v>Subcritical</v>
      </c>
      <c r="AL62" t="str">
        <f t="shared" si="8"/>
        <v>Supercritical</v>
      </c>
      <c r="AM62">
        <f t="shared" si="9"/>
        <v>52432.141843574769</v>
      </c>
      <c r="AN62">
        <f t="shared" si="10"/>
        <v>52432.141831738212</v>
      </c>
      <c r="AO62">
        <f t="shared" si="11"/>
        <v>3.9454149373341352E-5</v>
      </c>
      <c r="AP62">
        <f t="shared" si="12"/>
        <v>3.9454833313357085E-5</v>
      </c>
    </row>
    <row r="63" spans="1:42" x14ac:dyDescent="0.35">
      <c r="A63">
        <v>20</v>
      </c>
      <c r="B63">
        <f t="shared" si="13"/>
        <v>0</v>
      </c>
      <c r="C63">
        <f t="shared" si="14"/>
        <v>0</v>
      </c>
      <c r="D63">
        <f t="shared" si="15"/>
        <v>52432.141843574769</v>
      </c>
      <c r="E63">
        <f t="shared" si="16"/>
        <v>52432.141831738212</v>
      </c>
      <c r="F63">
        <f t="shared" si="2"/>
        <v>51</v>
      </c>
      <c r="G63">
        <f>IF(N6="None",F63,MAX(0,F63*B63))</f>
        <v>51</v>
      </c>
      <c r="H63">
        <f>IF(N6="None",0,MAX(0,F63-G63))</f>
        <v>0</v>
      </c>
      <c r="I63">
        <f>IF(AND(N7="None",N8="None"),0,IF(N8="None",G63,IF(N7="None",0,MAX(0,G63*C63))))</f>
        <v>0</v>
      </c>
      <c r="J63">
        <f>IF(AND(N7="None",N8="None"),0,IF(N8="None",0,IF(N7="None",G63,MAX(0,G63-I63))))</f>
        <v>51</v>
      </c>
      <c r="K63">
        <f>P5</f>
        <v>637</v>
      </c>
      <c r="L63">
        <f>P6</f>
        <v>634.3119999999999</v>
      </c>
      <c r="M63">
        <f>P7</f>
        <v>635.5</v>
      </c>
      <c r="N63">
        <f>P8</f>
        <v>631.54999999999995</v>
      </c>
      <c r="O63">
        <f>K63+((ABS(F63)/MAX(((F31)+(H31)*(MAX($D$16,(K63)-(J31))))*(MAX($D$16,(K63)-(J31))),0.000001))^2)/(2*$I$5)-((E31)*((((ABS(F63)*$D$6)/(MAX(((F31)+(H31)*(MAX($D$16,(K63)-(J31))))*(MAX($D$16,(K63)-(J31))),0.000001)*MAX(((((F31)+(H31)*(MAX($D$16,(K63)-(J31))))*(MAX($D$16,(K63)-(J31))))/MAX((F31)+2*(MAX($D$16,(K63)-(J31)))*SQRT(1+(H31)^2),0.000001))^(2/3),0.000001)))^2)+(((ABS(F63)*$D$6)/(MAX(((G31)+(I31)*(MAX($D$16,(D63)-(K31))))*(MAX($D$16,(D63)-(K31))),0.000001)*MAX(((((G31)+(I31)*(MAX($D$16,(D63)-(K31))))*(MAX($D$16,(D63)-(K31))))/MAX((G31)+2*(MAX($D$16,(D63)-(K31)))*SQRT(1+(I31)^2),0.000001))^(2/3),0.000001)))^2))/2)+(IF((ABS(F63)/MAX(((G31)+(I31)*(MAX($D$16,(D63)-(K31))))*(MAX($D$16,(D63)-(K31))),0.000001))&gt;(ABS(F63)/MAX(((F31)+(H31)*(MAX($D$16,(K63)-(J31))))*(MAX($D$16,(K63)-(J31))),0.000001)),$D$9*((((ABS(F63)/MAX(((G31)+(I31)*(MAX($D$16,(D63)-(K31))))*(MAX($D$16,(D63)-(K31))),0.000001))^2)/(2*$I$5))-(((ABS(F63)/MAX(((F31)+(H31)*(MAX($D$16,(K63)-(J31))))*(MAX($D$16,(K63)-(J31))),0.000001))^2)/(2*$I$5))),$D$8*((((ABS(F63)/MAX(((F31)+(H31)*(MAX($D$16,(K63)-(J31))))*(MAX($D$16,(K63)-(J31))),0.000001))^2)/(2*$I$5))-(((ABS(F63)/MAX(((G31)+(I31)*(MAX($D$16,(D63)-(K31))))*(MAX($D$16,(D63)-(K31))),0.000001))^2)/(2*$I$5)))))+($D$10*(ABS((X31)-(W31))/90)*MAX(((ABS(F63)/MAX(((F31)+(H31)*(MAX($D$16,(K63)-(J31))))*(MAX($D$16,(K63)-(J31))),0.000001))^2)/(2*$I$5),((ABS(F63)/MAX(((G31)+(I31)*(MAX($D$16,(D63)-(K31))))*(MAX($D$16,(D63)-(K31))),0.000001))^2)/(2*$I$5)))+(0)-((ABS(F63)/MAX(((G31)+(I31)*(MAX($D$16,(D63)-(K31))))*(MAX($D$16,(D63)-(K31))),0.000001))^2)/(2*$I$5)</f>
        <v>637.65825101089831</v>
      </c>
      <c r="P63">
        <f>E63+((ABS(G63)/MAX(((G32)+(I32)*(MAX($D$16,(E63)-(K32))))*(MAX($D$16,(E63)-(K32))),0.000001))^2)/(2*$I$5)+((E32)*((((ABS(G63)*$D$6)/(MAX(((F32)+(H32)*(MAX($D$16,(D63)-(J32))))*(MAX($D$16,(D63)-(J32))),0.000001)*MAX(((((F32)+(H32)*(MAX($D$16,(D63)-(J32))))*(MAX($D$16,(D63)-(J32))))/MAX((F32)+2*(MAX($D$16,(D63)-(J32)))*SQRT(1+(H32)^2),0.000001))^(2/3),0.000001)))^2)+(((ABS(G63)*$D$6)/(MAX(((G32)+(I32)*(MAX($D$16,(E63)-(K32))))*(MAX($D$16,(E63)-(K32))),0.000001)*MAX(((((G32)+(I32)*(MAX($D$16,(E63)-(K32))))*(MAX($D$16,(E63)-(K32))))/MAX((G32)+2*(MAX($D$16,(E63)-(K32)))*SQRT(1+(I32)^2),0.000001))^(2/3),0.000001)))^2))/2)+(IF((ABS(G63)/MAX(((G32)+(I32)*(MAX($D$16,(E63)-(K32))))*(MAX($D$16,(E63)-(K32))),0.000001))&gt;(ABS(G63)/MAX(((F32)+(H32)*(MAX($D$16,(D63)-(J32))))*(MAX($D$16,(D63)-(J32))),0.000001)),$D$9*((((ABS(G63)/MAX(((G32)+(I32)*(MAX($D$16,(E63)-(K32))))*(MAX($D$16,(E63)-(K32))),0.000001))^2)/(2*$I$5))-(((ABS(G63)/MAX(((F32)+(H32)*(MAX($D$16,(D63)-(J32))))*(MAX($D$16,(D63)-(J32))),0.000001))^2)/(2*$I$5))),$D$8*((((ABS(G63)/MAX(((F32)+(H32)*(MAX($D$16,(D63)-(J32))))*(MAX($D$16,(D63)-(J32))),0.000001))^2)/(2*$I$5))-(((ABS(G63)/MAX(((G32)+(I32)*(MAX($D$16,(E63)-(K32))))*(MAX($D$16,(E63)-(K32))),0.000001))^2)/(2*$I$5)))))+($D$10*(ABS((X32)-(W32))/90)*MAX(((ABS(G63)/MAX(((F32)+(H32)*(MAX($D$16,(D63)-(J32))))*(MAX($D$16,(D63)-(J32))),0.000001))^2)/(2*$I$5),((ABS(G63)/MAX(((G32)+(I32)*(MAX($D$16,(E63)-(K32))))*(MAX($D$16,(E63)-(K32))),0.000001))^2)/(2*$I$5)))+(($D$11*0.13607488*(ABS(H63)/MAX(ABS(F63),0.000001))^2*MAX(((ABS(G63)/MAX(((F32)+(H32)*(MAX($D$16,(D63)-(J32))))*(MAX($D$16,(D63)-(J32))),0.000001))^2)/(2*$I$5),((ABS(G63)/MAX(((G32)+(I32)*(MAX($D$16,(E63)-(K32))))*(MAX($D$16,(E63)-(K32))),0.000001))^2)/(2*$I$5))))-((ABS(G63)/MAX(((F32)+(H32)*(MAX($D$16,(D63)-(J32))))*(MAX($D$16,(D63)-(J32))),0.000001))^2)/(2*$I$5)</f>
        <v>52432.141831738765</v>
      </c>
      <c r="Q63">
        <f>L63+((ABS(H63)/MAX(((G33)+(I33)*(MAX($D$16,(L63)-(K33))))*(MAX($D$16,(L63)-(K33))),0.000001))^2)/(2*$I$5)+((E33)*((((ABS(H63)*$D$6)/(MAX(((F33)+(H33)*(MAX($D$16,(D63)-(J33))))*(MAX($D$16,(D63)-(J33))),0.000001)*MAX(((((F33)+(H33)*(MAX($D$16,(D63)-(J33))))*(MAX($D$16,(D63)-(J33))))/MAX((F33)+2*(MAX($D$16,(D63)-(J33)))*SQRT(1+(H33)^2),0.000001))^(2/3),0.000001)))^2)+(((ABS(H63)*$D$6)/(MAX(((G33)+(I33)*(MAX($D$16,(L63)-(K33))))*(MAX($D$16,(L63)-(K33))),0.000001)*MAX(((((G33)+(I33)*(MAX($D$16,(L63)-(K33))))*(MAX($D$16,(L63)-(K33))))/MAX((G33)+2*(MAX($D$16,(L63)-(K33)))*SQRT(1+(I33)^2),0.000001))^(2/3),0.000001)))^2))/2)+(IF((ABS(H63)/MAX(((G33)+(I33)*(MAX($D$16,(L63)-(K33))))*(MAX($D$16,(L63)-(K33))),0.000001))&gt;(ABS(H63)/MAX(((F33)+(H33)*(MAX($D$16,(D63)-(J33))))*(MAX($D$16,(D63)-(J33))),0.000001)),$D$9*((((ABS(H63)/MAX(((G33)+(I33)*(MAX($D$16,(L63)-(K33))))*(MAX($D$16,(L63)-(K33))),0.000001))^2)/(2*$I$5))-(((ABS(H63)/MAX(((F33)+(H33)*(MAX($D$16,(D63)-(J33))))*(MAX($D$16,(D63)-(J33))),0.000001))^2)/(2*$I$5))),$D$8*((((ABS(H63)/MAX(((F33)+(H33)*(MAX($D$16,(D63)-(J33))))*(MAX($D$16,(D63)-(J33))),0.000001))^2)/(2*$I$5))-(((ABS(H63)/MAX(((G33)+(I33)*(MAX($D$16,(L63)-(K33))))*(MAX($D$16,(L63)-(K33))),0.000001))^2)/(2*$I$5)))))+($D$10*(ABS((X33)-(W33))/90)*MAX(((ABS(H63)/MAX(((F33)+(H33)*(MAX($D$16,(D63)-(J33))))*(MAX($D$16,(D63)-(J33))),0.000001))^2)/(2*$I$5),((ABS(H63)/MAX(((G33)+(I33)*(MAX($D$16,(L63)-(K33))))*(MAX($D$16,(L63)-(K33))),0.000001))^2)/(2*$I$5)))+(($D$11*0.00000015*(ABS(G63)/MAX(ABS(F63),0.000001))^2*MAX(((ABS(H63)/MAX(((F33)+(H33)*(MAX($D$16,(D63)-(J33))))*(MAX($D$16,(D63)-(J33))),0.000001))^2)/(2*$I$5),((ABS(H63)/MAX(((G33)+(I33)*(MAX($D$16,(L63)-(K33))))*(MAX($D$16,(L63)-(K33))),0.000001))^2)/(2*$I$5))))-((ABS(H63)/MAX(((F33)+(H33)*(MAX($D$16,(D63)-(J33))))*(MAX($D$16,(D63)-(J33))),0.000001))^2)/(2*$I$5)</f>
        <v>634.3119999999999</v>
      </c>
      <c r="R63">
        <f>D63+((ABS(G63)/MAX(((F32)+(H32)*(MAX($D$16,(D63)-(J32))))*(MAX($D$16,(D63)-(J32))),0.000001))^2)/(2*$I$5)-((E32)*((((ABS(G63)*$D$6)/(MAX(((F32)+(H32)*(MAX($D$16,(D63)-(J32))))*(MAX($D$16,(D63)-(J32))),0.000001)*MAX(((((F32)+(H32)*(MAX($D$16,(D63)-(J32))))*(MAX($D$16,(D63)-(J32))))/MAX((F32)+2*(MAX($D$16,(D63)-(J32)))*SQRT(1+(H32)^2),0.000001))^(2/3),0.000001)))^2)+(((ABS(G63)*$D$6)/(MAX(((G32)+(I32)*(MAX($D$16,(E63)-(K32))))*(MAX($D$16,(E63)-(K32))),0.000001)*MAX(((((G32)+(I32)*(MAX($D$16,(E63)-(K32))))*(MAX($D$16,(E63)-(K32))))/MAX((G32)+2*(MAX($D$16,(E63)-(K32)))*SQRT(1+(I32)^2),0.000001))^(2/3),0.000001)))^2))/2)+(IF((ABS(G63)/MAX(((G32)+(I32)*(MAX($D$16,(E63)-(K32))))*(MAX($D$16,(E63)-(K32))),0.000001))&gt;(ABS(G63)/MAX(((F32)+(H32)*(MAX($D$16,(D63)-(J32))))*(MAX($D$16,(D63)-(J32))),0.000001)),$D$9*((((ABS(G63)/MAX(((G32)+(I32)*(MAX($D$16,(E63)-(K32))))*(MAX($D$16,(E63)-(K32))),0.000001))^2)/(2*$I$5))-(((ABS(G63)/MAX(((F32)+(H32)*(MAX($D$16,(D63)-(J32))))*(MAX($D$16,(D63)-(J32))),0.000001))^2)/(2*$I$5))),$D$8*((((ABS(G63)/MAX(((F32)+(H32)*(MAX($D$16,(D63)-(J32))))*(MAX($D$16,(D63)-(J32))),0.000001))^2)/(2*$I$5))-(((ABS(G63)/MAX(((G32)+(I32)*(MAX($D$16,(E63)-(K32))))*(MAX($D$16,(E63)-(K32))),0.000001))^2)/(2*$I$5)))))+($D$10*(ABS((X32)-(W32))/90)*MAX(((ABS(G63)/MAX(((F32)+(H32)*(MAX($D$16,(D63)-(J32))))*(MAX($D$16,(D63)-(J32))),0.000001))^2)/(2*$I$5),((ABS(G63)/MAX(((G32)+(I32)*(MAX($D$16,(E63)-(K32))))*(MAX($D$16,(E63)-(K32))),0.000001))^2)/(2*$I$5)))+(($D$11*0.13607488*(ABS(H63)/MAX(ABS(F63),0.000001))^2*MAX(((ABS(G63)/MAX(((F32)+(H32)*(MAX($D$16,(D63)-(J32))))*(MAX($D$16,(D63)-(J32))),0.000001))^2)/(2*$I$5),((ABS(G63)/MAX(((G32)+(I32)*(MAX($D$16,(E63)-(K32))))*(MAX($D$16,(E63)-(K32))),0.000001))^2)/(2*$I$5))))-((ABS(G63)/MAX(((G32)+(I32)*(MAX($D$16,(E63)-(K32))))*(MAX($D$16,(E63)-(K32))),0.000001))^2)/(2*$I$5)</f>
        <v>52432.1418435749</v>
      </c>
      <c r="S63">
        <f>M63+((ABS(I63)/MAX(((G34)+(I34)*(MAX($D$16,(M63)-(K34))))*(MAX($D$16,(M63)-(K34))),0.000001))^2)/(2*$I$5)+((E34)*((((ABS(I63)*$D$6)/(MAX(((F34)+(H34)*(MAX($D$16,(E63)-(J34))))*(MAX($D$16,(E63)-(J34))),0.000001)*MAX(((((F34)+(H34)*(MAX($D$16,(E63)-(J34))))*(MAX($D$16,(E63)-(J34))))/MAX((F34)+2*(MAX($D$16,(E63)-(J34)))*SQRT(1+(H34)^2),0.000001))^(2/3),0.000001)))^2)+(((ABS(I63)*$D$6)/(MAX(((G34)+(I34)*(MAX($D$16,(M63)-(K34))))*(MAX($D$16,(M63)-(K34))),0.000001)*MAX(((((G34)+(I34)*(MAX($D$16,(M63)-(K34))))*(MAX($D$16,(M63)-(K34))))/MAX((G34)+2*(MAX($D$16,(M63)-(K34)))*SQRT(1+(I34)^2),0.000001))^(2/3),0.000001)))^2))/2)+(IF((ABS(I63)/MAX(((G34)+(I34)*(MAX($D$16,(M63)-(K34))))*(MAX($D$16,(M63)-(K34))),0.000001))&gt;(ABS(I63)/MAX(((F34)+(H34)*(MAX($D$16,(E63)-(J34))))*(MAX($D$16,(E63)-(J34))),0.000001)),$D$9*((((ABS(I63)/MAX(((G34)+(I34)*(MAX($D$16,(M63)-(K34))))*(MAX($D$16,(M63)-(K34))),0.000001))^2)/(2*$I$5))-(((ABS(I63)/MAX(((F34)+(H34)*(MAX($D$16,(E63)-(J34))))*(MAX($D$16,(E63)-(J34))),0.000001))^2)/(2*$I$5))),$D$8*((((ABS(I63)/MAX(((F34)+(H34)*(MAX($D$16,(E63)-(J34))))*(MAX($D$16,(E63)-(J34))),0.000001))^2)/(2*$I$5))-(((ABS(I63)/MAX(((G34)+(I34)*(MAX($D$16,(M63)-(K34))))*(MAX($D$16,(M63)-(K34))),0.000001))^2)/(2*$I$5)))))+($D$10*(ABS((X34)-(W34))/90)*MAX(((ABS(I63)/MAX(((F34)+(H34)*(MAX($D$16,(E63)-(J34))))*(MAX($D$16,(E63)-(J34))),0.000001))^2)/(2*$I$5),((ABS(I63)/MAX(((G34)+(I34)*(MAX($D$16,(M63)-(K34))))*(MAX($D$16,(M63)-(K34))),0.000001))^2)/(2*$I$5)))+(0)-((ABS(I63)/MAX(((F34)+(H34)*(MAX($D$16,(E63)-(J34))))*(MAX($D$16,(E63)-(J34))),0.000001))^2)/(2*$I$5)</f>
        <v>635.5</v>
      </c>
      <c r="T63">
        <f>N63+((ABS(J63)/MAX(((G35)+(I35)*(MAX($D$16,(N63)-(K35))))*(MAX($D$16,(N63)-(K35))),0.000001))^2)/(2*$I$5)+((E35)*((((ABS(J63)*$D$6)/(MAX(((F35)+(H35)*(MAX($D$16,(E63)-(J35))))*(MAX($D$16,(E63)-(J35))),0.000001)*MAX(((((F35)+(H35)*(MAX($D$16,(E63)-(J35))))*(MAX($D$16,(E63)-(J35))))/MAX((F35)+2*(MAX($D$16,(E63)-(J35)))*SQRT(1+(H35)^2),0.000001))^(2/3),0.000001)))^2)+(((ABS(J63)*$D$6)/(MAX(((G35)+(I35)*(MAX($D$16,(N63)-(K35))))*(MAX($D$16,(N63)-(K35))),0.000001)*MAX(((((G35)+(I35)*(MAX($D$16,(N63)-(K35))))*(MAX($D$16,(N63)-(K35))))/MAX((G35)+2*(MAX($D$16,(N63)-(K35)))*SQRT(1+(I35)^2),0.000001))^(2/3),0.000001)))^2))/2)+(IF((ABS(J63)/MAX(((G35)+(I35)*(MAX($D$16,(N63)-(K35))))*(MAX($D$16,(N63)-(K35))),0.000001))&gt;(ABS(J63)/MAX(((F35)+(H35)*(MAX($D$16,(E63)-(J35))))*(MAX($D$16,(E63)-(J35))),0.000001)),$D$9*((((ABS(J63)/MAX(((G35)+(I35)*(MAX($D$16,(N63)-(K35))))*(MAX($D$16,(N63)-(K35))),0.000001))^2)/(2*$I$5))-(((ABS(J63)/MAX(((F35)+(H35)*(MAX($D$16,(E63)-(J35))))*(MAX($D$16,(E63)-(J35))),0.000001))^2)/(2*$I$5))),$D$8*((((ABS(J63)/MAX(((F35)+(H35)*(MAX($D$16,(E63)-(J35))))*(MAX($D$16,(E63)-(J35))),0.000001))^2)/(2*$I$5))-(((ABS(J63)/MAX(((G35)+(I35)*(MAX($D$16,(N63)-(K35))))*(MAX($D$16,(N63)-(K35))),0.000001))^2)/(2*$I$5)))))+($D$10*(ABS((X35)-(W35))/90)*MAX(((ABS(J63)/MAX(((F35)+(H35)*(MAX($D$16,(E63)-(J35))))*(MAX($D$16,(E63)-(J35))),0.000001))^2)/(2*$I$5),((ABS(J63)/MAX(((G35)+(I35)*(MAX($D$16,(N63)-(K35))))*(MAX($D$16,(N63)-(K35))),0.000001))^2)/(2*$I$5)))+(($D$11*0.34699541*(ABS(I63)/MAX(ABS(G63),0.000001))^2*MAX(((ABS(J63)/MAX(((F35)+(H35)*(MAX($D$16,(E63)-(J35))))*(MAX($D$16,(E63)-(J35))),0.000001))^2)/(2*$I$5),((ABS(J63)/MAX(((G35)+(I35)*(MAX($D$16,(N63)-(K35))))*(MAX($D$16,(N63)-(K35))),0.000001))^2)/(2*$I$5))))-((ABS(J63)/MAX(((F35)+(H35)*(MAX($D$16,(E63)-(J35))))*(MAX($D$16,(E63)-(J35))),0.000001))^2)/(2*$I$5)</f>
        <v>20784.033523923383</v>
      </c>
      <c r="U63">
        <f>(((((F32)*(MAX($D$16,(D63)-(J32)))^2)/2+(H32)*(MAX($D$16,(D63)-(J32)))^3/3+(ABS(G63)^2)/($I$5*MAX(((F32)+(H32)*(MAX($D$16,(D63)-(J32))))*(MAX($D$16,(D63)-(J32))),0.000001)))*0.72785025)-((((F33)*(MAX($D$16,(D63)-(J33)))^2)/2+(H33)*(MAX($D$16,(D63)-(J33)))^3/3+(ABS(H63)^2)/($I$5*MAX(((F33)+(H33)*(MAX($D$16,(D63)-(J33))))*(MAX($D$16,(D63)-(J33))),0.000001)))*0.99999971))/MAX(((G31)*(MAX($D$16,(D63)-(K31)))^2)/2+(I31)*(MAX($D$16,(D63)-(K31)))^3/3+(ABS(F63)^2)/($I$5*MAX(((G31)+(I31)*(MAX($D$16,(D63)-(K31))))*(MAX($D$16,(D63)-(K31))),0.000001)),0.000001)</f>
        <v>-0.2721494599999113</v>
      </c>
      <c r="V63">
        <f>(((((F34)*(MAX($D$16,(E63)-(J34)))^2)/2+(H34)*(MAX($D$16,(E63)-(J34)))^3/3+(ABS(I63)^2)/($I$5*MAX(((F34)+(H34)*(MAX($D$16,(E63)-(J34))))*(MAX($D$16,(E63)-(J34))),0.000001)))*1)-((((F35)*(MAX($D$16,(E63)-(J35)))^2)/2+(H35)*(MAX($D$16,(E63)-(J35)))^3/3+(ABS(J63)^2)/($I$5*MAX(((F35)+(H35)*(MAX($D$16,(E63)-(J35))))*(MAX($D$16,(E63)-(J35))),0.000001)))*0.30600918))/MAX(((G32)*(MAX($D$16,(E63)-(K32)))^2)/2+(I32)*(MAX($D$16,(E63)-(K32)))^3/3+(ABS(G63)^2)/($I$5*MAX(((G32)+(I32)*(MAX($D$16,(E63)-(K32))))*(MAX($D$16,(E63)-(K32))),0.000001)),0.000001)</f>
        <v>0.69398638937190338</v>
      </c>
      <c r="W63">
        <f>IF(N6="None",ABS(P63-D63),MAX(ABS(P63-D63),ABS(Q63-D63)))</f>
        <v>1.1836003977805376E-5</v>
      </c>
      <c r="X63">
        <f>IF(AND(N7="None",N8="None"),0,IF(N8="None",ABS(S63-E63),IF(N7="None",ABS(T63-E63),MAX(ABS(S63-E63),ABS(T63-E63)))))</f>
        <v>51796.641831738212</v>
      </c>
      <c r="AA63">
        <f t="shared" si="3"/>
        <v>52432.141839432166</v>
      </c>
      <c r="AB63">
        <f t="shared" si="4"/>
        <v>41355.303924003019</v>
      </c>
      <c r="AC63">
        <f>IF(N6="None",P63,MAX(P63,Q63))</f>
        <v>52432.141831738765</v>
      </c>
      <c r="AD63">
        <f>IF(AND(N7="None",N8="None"),E63,IF(N8="None",S63,IF(N7="None",T63,MAX(S63,T63))))</f>
        <v>20784.033523923383</v>
      </c>
      <c r="AE63">
        <f t="shared" si="5"/>
        <v>637.65825101089831</v>
      </c>
      <c r="AF63">
        <f t="shared" si="6"/>
        <v>52432.1418435749</v>
      </c>
      <c r="AG63">
        <f>((G31)*(MAX($D$16,(AC63)-(K31)))^2)/2+(I31)*(MAX($D$16,(AC63)-(K31)))^3/3+(ABS(F63)^2)/($I$5*MAX(((G31)+(I31)*(MAX($D$16,(AC63)-(K31))))*(MAX($D$16,(AC63)-(K31))),0.000001))</f>
        <v>8797611515.3995705</v>
      </c>
      <c r="AH63">
        <f>((G31)*(MAX($D$16,(AE63)-(K31)))^2)/2+(I31)*(MAX($D$16,(AE63)-(K31)))^3/3+(ABS(F63)^2)/($I$5*MAX(((G31)+(I31)*(MAX($D$16,(AE63)-(K31))))*(MAX($D$16,(AE63)-(K31))),0.000001))</f>
        <v>49.055863329575246</v>
      </c>
      <c r="AI63">
        <f>((G32)*(MAX($D$16,(AD63)-(K32)))^2)/2+(I32)*(MAX($D$16,(AD63)-(K32)))^3/3+(ABS(G63)^2)/($I$5*MAX(((G32)+(I32)*(MAX($D$16,(AD63)-(K32))))*(MAX($D$16,(AD63)-(K32))),0.000001))</f>
        <v>2072376743.6648321</v>
      </c>
      <c r="AJ63">
        <f>((G32)*(MAX($D$16,(AF63)-(K32)))^2)/2+(I32)*(MAX($D$16,(AF63)-(K32)))^3/3+(ABS(G63)^2)/($I$5*MAX(((G32)+(I32)*(MAX($D$16,(AF63)-(K32))))*(MAX($D$16,(AF63)-(K32))),0.000001))</f>
        <v>13692714792.770081</v>
      </c>
      <c r="AK63" t="str">
        <f t="shared" si="7"/>
        <v>Subcritical</v>
      </c>
      <c r="AL63" t="str">
        <f t="shared" si="8"/>
        <v>Supercritical</v>
      </c>
      <c r="AM63">
        <f t="shared" si="9"/>
        <v>52432.141839432166</v>
      </c>
      <c r="AN63">
        <f t="shared" si="10"/>
        <v>52432.141835881055</v>
      </c>
      <c r="AO63">
        <f t="shared" si="11"/>
        <v>1.1836003977805376E-5</v>
      </c>
      <c r="AP63">
        <f t="shared" si="12"/>
        <v>1.1836687917821109E-5</v>
      </c>
    </row>
    <row r="64" spans="1:42" x14ac:dyDescent="0.35">
      <c r="A64">
        <v>21</v>
      </c>
      <c r="B64">
        <f t="shared" si="13"/>
        <v>0</v>
      </c>
      <c r="C64">
        <f t="shared" si="14"/>
        <v>0</v>
      </c>
      <c r="D64">
        <f t="shared" si="15"/>
        <v>52432.141839432166</v>
      </c>
      <c r="E64">
        <f t="shared" si="16"/>
        <v>52432.141835881055</v>
      </c>
      <c r="F64">
        <f t="shared" si="2"/>
        <v>51</v>
      </c>
      <c r="G64">
        <f>IF(N6="None",F64,MAX(0,F64*B64))</f>
        <v>51</v>
      </c>
      <c r="H64">
        <f>IF(N6="None",0,MAX(0,F64-G64))</f>
        <v>0</v>
      </c>
      <c r="I64">
        <f>IF(AND(N7="None",N8="None"),0,IF(N8="None",G64,IF(N7="None",0,MAX(0,G64*C64))))</f>
        <v>0</v>
      </c>
      <c r="J64">
        <f>IF(AND(N7="None",N8="None"),0,IF(N8="None",0,IF(N7="None",G64,MAX(0,G64-I64))))</f>
        <v>51</v>
      </c>
      <c r="K64">
        <f>P5</f>
        <v>637</v>
      </c>
      <c r="L64">
        <f>P6</f>
        <v>634.3119999999999</v>
      </c>
      <c r="M64">
        <f>P7</f>
        <v>635.5</v>
      </c>
      <c r="N64">
        <f>P8</f>
        <v>631.54999999999995</v>
      </c>
      <c r="O64">
        <f>K64+((ABS(F64)/MAX(((F31)+(H31)*(MAX($D$16,(K64)-(J31))))*(MAX($D$16,(K64)-(J31))),0.000001))^2)/(2*$I$5)-((E31)*((((ABS(F64)*$D$6)/(MAX(((F31)+(H31)*(MAX($D$16,(K64)-(J31))))*(MAX($D$16,(K64)-(J31))),0.000001)*MAX(((((F31)+(H31)*(MAX($D$16,(K64)-(J31))))*(MAX($D$16,(K64)-(J31))))/MAX((F31)+2*(MAX($D$16,(K64)-(J31)))*SQRT(1+(H31)^2),0.000001))^(2/3),0.000001)))^2)+(((ABS(F64)*$D$6)/(MAX(((G31)+(I31)*(MAX($D$16,(D64)-(K31))))*(MAX($D$16,(D64)-(K31))),0.000001)*MAX(((((G31)+(I31)*(MAX($D$16,(D64)-(K31))))*(MAX($D$16,(D64)-(K31))))/MAX((G31)+2*(MAX($D$16,(D64)-(K31)))*SQRT(1+(I31)^2),0.000001))^(2/3),0.000001)))^2))/2)+(IF((ABS(F64)/MAX(((G31)+(I31)*(MAX($D$16,(D64)-(K31))))*(MAX($D$16,(D64)-(K31))),0.000001))&gt;(ABS(F64)/MAX(((F31)+(H31)*(MAX($D$16,(K64)-(J31))))*(MAX($D$16,(K64)-(J31))),0.000001)),$D$9*((((ABS(F64)/MAX(((G31)+(I31)*(MAX($D$16,(D64)-(K31))))*(MAX($D$16,(D64)-(K31))),0.000001))^2)/(2*$I$5))-(((ABS(F64)/MAX(((F31)+(H31)*(MAX($D$16,(K64)-(J31))))*(MAX($D$16,(K64)-(J31))),0.000001))^2)/(2*$I$5))),$D$8*((((ABS(F64)/MAX(((F31)+(H31)*(MAX($D$16,(K64)-(J31))))*(MAX($D$16,(K64)-(J31))),0.000001))^2)/(2*$I$5))-(((ABS(F64)/MAX(((G31)+(I31)*(MAX($D$16,(D64)-(K31))))*(MAX($D$16,(D64)-(K31))),0.000001))^2)/(2*$I$5)))))+($D$10*(ABS((X31)-(W31))/90)*MAX(((ABS(F64)/MAX(((F31)+(H31)*(MAX($D$16,(K64)-(J31))))*(MAX($D$16,(K64)-(J31))),0.000001))^2)/(2*$I$5),((ABS(F64)/MAX(((G31)+(I31)*(MAX($D$16,(D64)-(K31))))*(MAX($D$16,(D64)-(K31))),0.000001))^2)/(2*$I$5)))+(0)-((ABS(F64)/MAX(((G31)+(I31)*(MAX($D$16,(D64)-(K31))))*(MAX($D$16,(D64)-(K31))),0.000001))^2)/(2*$I$5)</f>
        <v>637.65825101089831</v>
      </c>
      <c r="P64">
        <f>E64+((ABS(G64)/MAX(((G32)+(I32)*(MAX($D$16,(E64)-(K32))))*(MAX($D$16,(E64)-(K32))),0.000001))^2)/(2*$I$5)+((E32)*((((ABS(G64)*$D$6)/(MAX(((F32)+(H32)*(MAX($D$16,(D64)-(J32))))*(MAX($D$16,(D64)-(J32))),0.000001)*MAX(((((F32)+(H32)*(MAX($D$16,(D64)-(J32))))*(MAX($D$16,(D64)-(J32))))/MAX((F32)+2*(MAX($D$16,(D64)-(J32)))*SQRT(1+(H32)^2),0.000001))^(2/3),0.000001)))^2)+(((ABS(G64)*$D$6)/(MAX(((G32)+(I32)*(MAX($D$16,(E64)-(K32))))*(MAX($D$16,(E64)-(K32))),0.000001)*MAX(((((G32)+(I32)*(MAX($D$16,(E64)-(K32))))*(MAX($D$16,(E64)-(K32))))/MAX((G32)+2*(MAX($D$16,(E64)-(K32)))*SQRT(1+(I32)^2),0.000001))^(2/3),0.000001)))^2))/2)+(IF((ABS(G64)/MAX(((G32)+(I32)*(MAX($D$16,(E64)-(K32))))*(MAX($D$16,(E64)-(K32))),0.000001))&gt;(ABS(G64)/MAX(((F32)+(H32)*(MAX($D$16,(D64)-(J32))))*(MAX($D$16,(D64)-(J32))),0.000001)),$D$9*((((ABS(G64)/MAX(((G32)+(I32)*(MAX($D$16,(E64)-(K32))))*(MAX($D$16,(E64)-(K32))),0.000001))^2)/(2*$I$5))-(((ABS(G64)/MAX(((F32)+(H32)*(MAX($D$16,(D64)-(J32))))*(MAX($D$16,(D64)-(J32))),0.000001))^2)/(2*$I$5))),$D$8*((((ABS(G64)/MAX(((F32)+(H32)*(MAX($D$16,(D64)-(J32))))*(MAX($D$16,(D64)-(J32))),0.000001))^2)/(2*$I$5))-(((ABS(G64)/MAX(((G32)+(I32)*(MAX($D$16,(E64)-(K32))))*(MAX($D$16,(E64)-(K32))),0.000001))^2)/(2*$I$5)))))+($D$10*(ABS((X32)-(W32))/90)*MAX(((ABS(G64)/MAX(((F32)+(H32)*(MAX($D$16,(D64)-(J32))))*(MAX($D$16,(D64)-(J32))),0.000001))^2)/(2*$I$5),((ABS(G64)/MAX(((G32)+(I32)*(MAX($D$16,(E64)-(K32))))*(MAX($D$16,(E64)-(K32))),0.000001))^2)/(2*$I$5)))+(($D$11*0.13607488*(ABS(H64)/MAX(ABS(F64),0.000001))^2*MAX(((ABS(G64)/MAX(((F32)+(H32)*(MAX($D$16,(D64)-(J32))))*(MAX($D$16,(D64)-(J32))),0.000001))^2)/(2*$I$5),((ABS(G64)/MAX(((G32)+(I32)*(MAX($D$16,(E64)-(K32))))*(MAX($D$16,(E64)-(K32))),0.000001))^2)/(2*$I$5))))-((ABS(G64)/MAX(((F32)+(H32)*(MAX($D$16,(D64)-(J32))))*(MAX($D$16,(D64)-(J32))),0.000001))^2)/(2*$I$5)</f>
        <v>52432.141835881608</v>
      </c>
      <c r="Q64">
        <f>L64+((ABS(H64)/MAX(((G33)+(I33)*(MAX($D$16,(L64)-(K33))))*(MAX($D$16,(L64)-(K33))),0.000001))^2)/(2*$I$5)+((E33)*((((ABS(H64)*$D$6)/(MAX(((F33)+(H33)*(MAX($D$16,(D64)-(J33))))*(MAX($D$16,(D64)-(J33))),0.000001)*MAX(((((F33)+(H33)*(MAX($D$16,(D64)-(J33))))*(MAX($D$16,(D64)-(J33))))/MAX((F33)+2*(MAX($D$16,(D64)-(J33)))*SQRT(1+(H33)^2),0.000001))^(2/3),0.000001)))^2)+(((ABS(H64)*$D$6)/(MAX(((G33)+(I33)*(MAX($D$16,(L64)-(K33))))*(MAX($D$16,(L64)-(K33))),0.000001)*MAX(((((G33)+(I33)*(MAX($D$16,(L64)-(K33))))*(MAX($D$16,(L64)-(K33))))/MAX((G33)+2*(MAX($D$16,(L64)-(K33)))*SQRT(1+(I33)^2),0.000001))^(2/3),0.000001)))^2))/2)+(IF((ABS(H64)/MAX(((G33)+(I33)*(MAX($D$16,(L64)-(K33))))*(MAX($D$16,(L64)-(K33))),0.000001))&gt;(ABS(H64)/MAX(((F33)+(H33)*(MAX($D$16,(D64)-(J33))))*(MAX($D$16,(D64)-(J33))),0.000001)),$D$9*((((ABS(H64)/MAX(((G33)+(I33)*(MAX($D$16,(L64)-(K33))))*(MAX($D$16,(L64)-(K33))),0.000001))^2)/(2*$I$5))-(((ABS(H64)/MAX(((F33)+(H33)*(MAX($D$16,(D64)-(J33))))*(MAX($D$16,(D64)-(J33))),0.000001))^2)/(2*$I$5))),$D$8*((((ABS(H64)/MAX(((F33)+(H33)*(MAX($D$16,(D64)-(J33))))*(MAX($D$16,(D64)-(J33))),0.000001))^2)/(2*$I$5))-(((ABS(H64)/MAX(((G33)+(I33)*(MAX($D$16,(L64)-(K33))))*(MAX($D$16,(L64)-(K33))),0.000001))^2)/(2*$I$5)))))+($D$10*(ABS((X33)-(W33))/90)*MAX(((ABS(H64)/MAX(((F33)+(H33)*(MAX($D$16,(D64)-(J33))))*(MAX($D$16,(D64)-(J33))),0.000001))^2)/(2*$I$5),((ABS(H64)/MAX(((G33)+(I33)*(MAX($D$16,(L64)-(K33))))*(MAX($D$16,(L64)-(K33))),0.000001))^2)/(2*$I$5)))+(($D$11*0.00000015*(ABS(G64)/MAX(ABS(F64),0.000001))^2*MAX(((ABS(H64)/MAX(((F33)+(H33)*(MAX($D$16,(D64)-(J33))))*(MAX($D$16,(D64)-(J33))),0.000001))^2)/(2*$I$5),((ABS(H64)/MAX(((G33)+(I33)*(MAX($D$16,(L64)-(K33))))*(MAX($D$16,(L64)-(K33))),0.000001))^2)/(2*$I$5))))-((ABS(H64)/MAX(((F33)+(H33)*(MAX($D$16,(D64)-(J33))))*(MAX($D$16,(D64)-(J33))),0.000001))^2)/(2*$I$5)</f>
        <v>634.3119999999999</v>
      </c>
      <c r="R64">
        <f>D64+((ABS(G64)/MAX(((F32)+(H32)*(MAX($D$16,(D64)-(J32))))*(MAX($D$16,(D64)-(J32))),0.000001))^2)/(2*$I$5)-((E32)*((((ABS(G64)*$D$6)/(MAX(((F32)+(H32)*(MAX($D$16,(D64)-(J32))))*(MAX($D$16,(D64)-(J32))),0.000001)*MAX(((((F32)+(H32)*(MAX($D$16,(D64)-(J32))))*(MAX($D$16,(D64)-(J32))))/MAX((F32)+2*(MAX($D$16,(D64)-(J32)))*SQRT(1+(H32)^2),0.000001))^(2/3),0.000001)))^2)+(((ABS(G64)*$D$6)/(MAX(((G32)+(I32)*(MAX($D$16,(E64)-(K32))))*(MAX($D$16,(E64)-(K32))),0.000001)*MAX(((((G32)+(I32)*(MAX($D$16,(E64)-(K32))))*(MAX($D$16,(E64)-(K32))))/MAX((G32)+2*(MAX($D$16,(E64)-(K32)))*SQRT(1+(I32)^2),0.000001))^(2/3),0.000001)))^2))/2)+(IF((ABS(G64)/MAX(((G32)+(I32)*(MAX($D$16,(E64)-(K32))))*(MAX($D$16,(E64)-(K32))),0.000001))&gt;(ABS(G64)/MAX(((F32)+(H32)*(MAX($D$16,(D64)-(J32))))*(MAX($D$16,(D64)-(J32))),0.000001)),$D$9*((((ABS(G64)/MAX(((G32)+(I32)*(MAX($D$16,(E64)-(K32))))*(MAX($D$16,(E64)-(K32))),0.000001))^2)/(2*$I$5))-(((ABS(G64)/MAX(((F32)+(H32)*(MAX($D$16,(D64)-(J32))))*(MAX($D$16,(D64)-(J32))),0.000001))^2)/(2*$I$5))),$D$8*((((ABS(G64)/MAX(((F32)+(H32)*(MAX($D$16,(D64)-(J32))))*(MAX($D$16,(D64)-(J32))),0.000001))^2)/(2*$I$5))-(((ABS(G64)/MAX(((G32)+(I32)*(MAX($D$16,(E64)-(K32))))*(MAX($D$16,(E64)-(K32))),0.000001))^2)/(2*$I$5)))))+($D$10*(ABS((X32)-(W32))/90)*MAX(((ABS(G64)/MAX(((F32)+(H32)*(MAX($D$16,(D64)-(J32))))*(MAX($D$16,(D64)-(J32))),0.000001))^2)/(2*$I$5),((ABS(G64)/MAX(((G32)+(I32)*(MAX($D$16,(E64)-(K32))))*(MAX($D$16,(E64)-(K32))),0.000001))^2)/(2*$I$5)))+(($D$11*0.13607488*(ABS(H64)/MAX(ABS(F64),0.000001))^2*MAX(((ABS(G64)/MAX(((F32)+(H32)*(MAX($D$16,(D64)-(J32))))*(MAX($D$16,(D64)-(J32))),0.000001))^2)/(2*$I$5),((ABS(G64)/MAX(((G32)+(I32)*(MAX($D$16,(E64)-(K32))))*(MAX($D$16,(E64)-(K32))),0.000001))^2)/(2*$I$5))))-((ABS(G64)/MAX(((G32)+(I32)*(MAX($D$16,(E64)-(K32))))*(MAX($D$16,(E64)-(K32))),0.000001))^2)/(2*$I$5)</f>
        <v>52432.141839432297</v>
      </c>
      <c r="S64">
        <f>M64+((ABS(I64)/MAX(((G34)+(I34)*(MAX($D$16,(M64)-(K34))))*(MAX($D$16,(M64)-(K34))),0.000001))^2)/(2*$I$5)+((E34)*((((ABS(I64)*$D$6)/(MAX(((F34)+(H34)*(MAX($D$16,(E64)-(J34))))*(MAX($D$16,(E64)-(J34))),0.000001)*MAX(((((F34)+(H34)*(MAX($D$16,(E64)-(J34))))*(MAX($D$16,(E64)-(J34))))/MAX((F34)+2*(MAX($D$16,(E64)-(J34)))*SQRT(1+(H34)^2),0.000001))^(2/3),0.000001)))^2)+(((ABS(I64)*$D$6)/(MAX(((G34)+(I34)*(MAX($D$16,(M64)-(K34))))*(MAX($D$16,(M64)-(K34))),0.000001)*MAX(((((G34)+(I34)*(MAX($D$16,(M64)-(K34))))*(MAX($D$16,(M64)-(K34))))/MAX((G34)+2*(MAX($D$16,(M64)-(K34)))*SQRT(1+(I34)^2),0.000001))^(2/3),0.000001)))^2))/2)+(IF((ABS(I64)/MAX(((G34)+(I34)*(MAX($D$16,(M64)-(K34))))*(MAX($D$16,(M64)-(K34))),0.000001))&gt;(ABS(I64)/MAX(((F34)+(H34)*(MAX($D$16,(E64)-(J34))))*(MAX($D$16,(E64)-(J34))),0.000001)),$D$9*((((ABS(I64)/MAX(((G34)+(I34)*(MAX($D$16,(M64)-(K34))))*(MAX($D$16,(M64)-(K34))),0.000001))^2)/(2*$I$5))-(((ABS(I64)/MAX(((F34)+(H34)*(MAX($D$16,(E64)-(J34))))*(MAX($D$16,(E64)-(J34))),0.000001))^2)/(2*$I$5))),$D$8*((((ABS(I64)/MAX(((F34)+(H34)*(MAX($D$16,(E64)-(J34))))*(MAX($D$16,(E64)-(J34))),0.000001))^2)/(2*$I$5))-(((ABS(I64)/MAX(((G34)+(I34)*(MAX($D$16,(M64)-(K34))))*(MAX($D$16,(M64)-(K34))),0.000001))^2)/(2*$I$5)))))+($D$10*(ABS((X34)-(W34))/90)*MAX(((ABS(I64)/MAX(((F34)+(H34)*(MAX($D$16,(E64)-(J34))))*(MAX($D$16,(E64)-(J34))),0.000001))^2)/(2*$I$5),((ABS(I64)/MAX(((G34)+(I34)*(MAX($D$16,(M64)-(K34))))*(MAX($D$16,(M64)-(K34))),0.000001))^2)/(2*$I$5)))+(0)-((ABS(I64)/MAX(((F34)+(H34)*(MAX($D$16,(E64)-(J34))))*(MAX($D$16,(E64)-(J34))),0.000001))^2)/(2*$I$5)</f>
        <v>635.5</v>
      </c>
      <c r="T64">
        <f>N64+((ABS(J64)/MAX(((G35)+(I35)*(MAX($D$16,(N64)-(K35))))*(MAX($D$16,(N64)-(K35))),0.000001))^2)/(2*$I$5)+((E35)*((((ABS(J64)*$D$6)/(MAX(((F35)+(H35)*(MAX($D$16,(E64)-(J35))))*(MAX($D$16,(E64)-(J35))),0.000001)*MAX(((((F35)+(H35)*(MAX($D$16,(E64)-(J35))))*(MAX($D$16,(E64)-(J35))))/MAX((F35)+2*(MAX($D$16,(E64)-(J35)))*SQRT(1+(H35)^2),0.000001))^(2/3),0.000001)))^2)+(((ABS(J64)*$D$6)/(MAX(((G35)+(I35)*(MAX($D$16,(N64)-(K35))))*(MAX($D$16,(N64)-(K35))),0.000001)*MAX(((((G35)+(I35)*(MAX($D$16,(N64)-(K35))))*(MAX($D$16,(N64)-(K35))))/MAX((G35)+2*(MAX($D$16,(N64)-(K35)))*SQRT(1+(I35)^2),0.000001))^(2/3),0.000001)))^2))/2)+(IF((ABS(J64)/MAX(((G35)+(I35)*(MAX($D$16,(N64)-(K35))))*(MAX($D$16,(N64)-(K35))),0.000001))&gt;(ABS(J64)/MAX(((F35)+(H35)*(MAX($D$16,(E64)-(J35))))*(MAX($D$16,(E64)-(J35))),0.000001)),$D$9*((((ABS(J64)/MAX(((G35)+(I35)*(MAX($D$16,(N64)-(K35))))*(MAX($D$16,(N64)-(K35))),0.000001))^2)/(2*$I$5))-(((ABS(J64)/MAX(((F35)+(H35)*(MAX($D$16,(E64)-(J35))))*(MAX($D$16,(E64)-(J35))),0.000001))^2)/(2*$I$5))),$D$8*((((ABS(J64)/MAX(((F35)+(H35)*(MAX($D$16,(E64)-(J35))))*(MAX($D$16,(E64)-(J35))),0.000001))^2)/(2*$I$5))-(((ABS(J64)/MAX(((G35)+(I35)*(MAX($D$16,(N64)-(K35))))*(MAX($D$16,(N64)-(K35))),0.000001))^2)/(2*$I$5)))))+($D$10*(ABS((X35)-(W35))/90)*MAX(((ABS(J64)/MAX(((F35)+(H35)*(MAX($D$16,(E64)-(J35))))*(MAX($D$16,(E64)-(J35))),0.000001))^2)/(2*$I$5),((ABS(J64)/MAX(((G35)+(I35)*(MAX($D$16,(N64)-(K35))))*(MAX($D$16,(N64)-(K35))),0.000001))^2)/(2*$I$5)))+(($D$11*0.34699541*(ABS(I64)/MAX(ABS(G64),0.000001))^2*MAX(((ABS(J64)/MAX(((F35)+(H35)*(MAX($D$16,(E64)-(J35))))*(MAX($D$16,(E64)-(J35))),0.000001))^2)/(2*$I$5),((ABS(J64)/MAX(((G35)+(I35)*(MAX($D$16,(N64)-(K35))))*(MAX($D$16,(N64)-(K35))),0.000001))^2)/(2*$I$5))))-((ABS(J64)/MAX(((F35)+(H35)*(MAX($D$16,(E64)-(J35))))*(MAX($D$16,(E64)-(J35))),0.000001))^2)/(2*$I$5)</f>
        <v>20784.033523923383</v>
      </c>
      <c r="U64">
        <f>(((((F32)*(MAX($D$16,(D64)-(J32)))^2)/2+(H32)*(MAX($D$16,(D64)-(J32)))^3/3+(ABS(G64)^2)/($I$5*MAX(((F32)+(H32)*(MAX($D$16,(D64)-(J32))))*(MAX($D$16,(D64)-(J32))),0.000001)))*0.72785025)-((((F33)*(MAX($D$16,(D64)-(J33)))^2)/2+(H33)*(MAX($D$16,(D64)-(J33)))^3/3+(ABS(H64)^2)/($I$5*MAX(((F33)+(H33)*(MAX($D$16,(D64)-(J33))))*(MAX($D$16,(D64)-(J33))),0.000001)))*0.99999971))/MAX(((G31)*(MAX($D$16,(D64)-(K31)))^2)/2+(I31)*(MAX($D$16,(D64)-(K31)))^3/3+(ABS(F64)^2)/($I$5*MAX(((G31)+(I31)*(MAX($D$16,(D64)-(K31))))*(MAX($D$16,(D64)-(K31))),0.000001)),0.000001)</f>
        <v>-0.27214945999991125</v>
      </c>
      <c r="V64">
        <f>(((((F34)*(MAX($D$16,(E64)-(J34)))^2)/2+(H34)*(MAX($D$16,(E64)-(J34)))^3/3+(ABS(I64)^2)/($I$5*MAX(((F34)+(H34)*(MAX($D$16,(E64)-(J34))))*(MAX($D$16,(E64)-(J34))),0.000001)))*1)-((((F35)*(MAX($D$16,(E64)-(J35)))^2)/2+(H35)*(MAX($D$16,(E64)-(J35)))^3/3+(ABS(J64)^2)/($I$5*MAX(((F35)+(H35)*(MAX($D$16,(E64)-(J35))))*(MAX($D$16,(E64)-(J35))),0.000001)))*0.30600918))/MAX(((G32)*(MAX($D$16,(E64)-(K32)))^2)/2+(I32)*(MAX($D$16,(E64)-(K32)))^3/3+(ABS(G64)^2)/($I$5*MAX(((G32)+(I32)*(MAX($D$16,(E64)-(K32))))*(MAX($D$16,(E64)-(K32))),0.000001)),0.000001)</f>
        <v>0.69398638937190382</v>
      </c>
      <c r="W64">
        <f>IF(N6="None",ABS(P64-D64),MAX(ABS(P64-D64),ABS(Q64-D64)))</f>
        <v>3.5505581763572991E-6</v>
      </c>
      <c r="X64">
        <f>IF(AND(N7="None",N8="None"),0,IF(N8="None",ABS(S64-E64),IF(N7="None",ABS(T64-E64),MAX(ABS(S64-E64),ABS(T64-E64)))))</f>
        <v>51796.641835881055</v>
      </c>
      <c r="AA64">
        <f t="shared" si="3"/>
        <v>52432.141838189469</v>
      </c>
      <c r="AB64">
        <f t="shared" si="4"/>
        <v>41355.303926695873</v>
      </c>
      <c r="AC64">
        <f>IF(N6="None",P64,MAX(P64,Q64))</f>
        <v>52432.141835881608</v>
      </c>
      <c r="AD64">
        <f>IF(AND(N7="None",N8="None"),E64,IF(N8="None",S64,IF(N7="None",T64,MAX(S64,T64))))</f>
        <v>20784.033523923383</v>
      </c>
      <c r="AE64">
        <f t="shared" si="5"/>
        <v>637.65825101089831</v>
      </c>
      <c r="AF64">
        <f t="shared" si="6"/>
        <v>52432.141839432297</v>
      </c>
      <c r="AG64">
        <f>((G31)*(MAX($D$16,(AC64)-(K31)))^2)/2+(I31)*(MAX($D$16,(AC64)-(K31)))^3/3+(ABS(F64)^2)/($I$5*MAX(((G31)+(I31)*(MAX($D$16,(AC64)-(K31))))*(MAX($D$16,(AC64)-(K31))),0.000001))</f>
        <v>8797611516.8068542</v>
      </c>
      <c r="AH64">
        <f>((G31)*(MAX($D$16,(AE64)-(K31)))^2)/2+(I31)*(MAX($D$16,(AE64)-(K31)))^3/3+(ABS(F64)^2)/($I$5*MAX(((G31)+(I31)*(MAX($D$16,(AE64)-(K31))))*(MAX($D$16,(AE64)-(K31))),0.000001))</f>
        <v>49.055863329575246</v>
      </c>
      <c r="AI64">
        <f>((G32)*(MAX($D$16,(AD64)-(K32)))^2)/2+(I32)*(MAX($D$16,(AD64)-(K32)))^3/3+(ABS(G64)^2)/($I$5*MAX(((G32)+(I32)*(MAX($D$16,(AD64)-(K32))))*(MAX($D$16,(AD64)-(K32))),0.000001))</f>
        <v>2072376743.6648321</v>
      </c>
      <c r="AJ64">
        <f>((G32)*(MAX($D$16,(AF64)-(K32)))^2)/2+(I32)*(MAX($D$16,(AF64)-(K32)))^3/3+(ABS(G64)^2)/($I$5*MAX(((G32)+(I32)*(MAX($D$16,(AF64)-(K32))))*(MAX($D$16,(AF64)-(K32))),0.000001))</f>
        <v>13692714790.579996</v>
      </c>
      <c r="AK64" t="str">
        <f t="shared" si="7"/>
        <v>Subcritical</v>
      </c>
      <c r="AL64" t="str">
        <f t="shared" si="8"/>
        <v>Supercritical</v>
      </c>
      <c r="AM64">
        <f t="shared" si="9"/>
        <v>52432.141838189469</v>
      </c>
      <c r="AN64">
        <f t="shared" si="10"/>
        <v>52432.141837123992</v>
      </c>
      <c r="AO64">
        <f t="shared" si="11"/>
        <v>3.5505581763572991E-6</v>
      </c>
      <c r="AP64">
        <f t="shared" si="12"/>
        <v>3.5512421163730323E-6</v>
      </c>
    </row>
    <row r="65" spans="1:42" x14ac:dyDescent="0.35">
      <c r="A65">
        <v>22</v>
      </c>
      <c r="B65">
        <f t="shared" si="13"/>
        <v>0</v>
      </c>
      <c r="C65">
        <f t="shared" si="14"/>
        <v>0</v>
      </c>
      <c r="D65">
        <f t="shared" si="15"/>
        <v>52432.141838189469</v>
      </c>
      <c r="E65">
        <f t="shared" si="16"/>
        <v>52432.141837123992</v>
      </c>
      <c r="F65">
        <f t="shared" si="2"/>
        <v>51</v>
      </c>
      <c r="G65">
        <f>IF(N6="None",F65,MAX(0,F65*B65))</f>
        <v>51</v>
      </c>
      <c r="H65">
        <f>IF(N6="None",0,MAX(0,F65-G65))</f>
        <v>0</v>
      </c>
      <c r="I65">
        <f>IF(AND(N7="None",N8="None"),0,IF(N8="None",G65,IF(N7="None",0,MAX(0,G65*C65))))</f>
        <v>0</v>
      </c>
      <c r="J65">
        <f>IF(AND(N7="None",N8="None"),0,IF(N8="None",0,IF(N7="None",G65,MAX(0,G65-I65))))</f>
        <v>51</v>
      </c>
      <c r="K65">
        <f>P5</f>
        <v>637</v>
      </c>
      <c r="L65">
        <f>P6</f>
        <v>634.3119999999999</v>
      </c>
      <c r="M65">
        <f>P7</f>
        <v>635.5</v>
      </c>
      <c r="N65">
        <f>P8</f>
        <v>631.54999999999995</v>
      </c>
      <c r="O65">
        <f>K65+((ABS(F65)/MAX(((F31)+(H31)*(MAX($D$16,(K65)-(J31))))*(MAX($D$16,(K65)-(J31))),0.000001))^2)/(2*$I$5)-((E31)*((((ABS(F65)*$D$6)/(MAX(((F31)+(H31)*(MAX($D$16,(K65)-(J31))))*(MAX($D$16,(K65)-(J31))),0.000001)*MAX(((((F31)+(H31)*(MAX($D$16,(K65)-(J31))))*(MAX($D$16,(K65)-(J31))))/MAX((F31)+2*(MAX($D$16,(K65)-(J31)))*SQRT(1+(H31)^2),0.000001))^(2/3),0.000001)))^2)+(((ABS(F65)*$D$6)/(MAX(((G31)+(I31)*(MAX($D$16,(D65)-(K31))))*(MAX($D$16,(D65)-(K31))),0.000001)*MAX(((((G31)+(I31)*(MAX($D$16,(D65)-(K31))))*(MAX($D$16,(D65)-(K31))))/MAX((G31)+2*(MAX($D$16,(D65)-(K31)))*SQRT(1+(I31)^2),0.000001))^(2/3),0.000001)))^2))/2)+(IF((ABS(F65)/MAX(((G31)+(I31)*(MAX($D$16,(D65)-(K31))))*(MAX($D$16,(D65)-(K31))),0.000001))&gt;(ABS(F65)/MAX(((F31)+(H31)*(MAX($D$16,(K65)-(J31))))*(MAX($D$16,(K65)-(J31))),0.000001)),$D$9*((((ABS(F65)/MAX(((G31)+(I31)*(MAX($D$16,(D65)-(K31))))*(MAX($D$16,(D65)-(K31))),0.000001))^2)/(2*$I$5))-(((ABS(F65)/MAX(((F31)+(H31)*(MAX($D$16,(K65)-(J31))))*(MAX($D$16,(K65)-(J31))),0.000001))^2)/(2*$I$5))),$D$8*((((ABS(F65)/MAX(((F31)+(H31)*(MAX($D$16,(K65)-(J31))))*(MAX($D$16,(K65)-(J31))),0.000001))^2)/(2*$I$5))-(((ABS(F65)/MAX(((G31)+(I31)*(MAX($D$16,(D65)-(K31))))*(MAX($D$16,(D65)-(K31))),0.000001))^2)/(2*$I$5)))))+($D$10*(ABS((X31)-(W31))/90)*MAX(((ABS(F65)/MAX(((F31)+(H31)*(MAX($D$16,(K65)-(J31))))*(MAX($D$16,(K65)-(J31))),0.000001))^2)/(2*$I$5),((ABS(F65)/MAX(((G31)+(I31)*(MAX($D$16,(D65)-(K31))))*(MAX($D$16,(D65)-(K31))),0.000001))^2)/(2*$I$5)))+(0)-((ABS(F65)/MAX(((G31)+(I31)*(MAX($D$16,(D65)-(K31))))*(MAX($D$16,(D65)-(K31))),0.000001))^2)/(2*$I$5)</f>
        <v>637.65825101089831</v>
      </c>
      <c r="P65">
        <f>E65+((ABS(G65)/MAX(((G32)+(I32)*(MAX($D$16,(E65)-(K32))))*(MAX($D$16,(E65)-(K32))),0.000001))^2)/(2*$I$5)+((E32)*((((ABS(G65)*$D$6)/(MAX(((F32)+(H32)*(MAX($D$16,(D65)-(J32))))*(MAX($D$16,(D65)-(J32))),0.000001)*MAX(((((F32)+(H32)*(MAX($D$16,(D65)-(J32))))*(MAX($D$16,(D65)-(J32))))/MAX((F32)+2*(MAX($D$16,(D65)-(J32)))*SQRT(1+(H32)^2),0.000001))^(2/3),0.000001)))^2)+(((ABS(G65)*$D$6)/(MAX(((G32)+(I32)*(MAX($D$16,(E65)-(K32))))*(MAX($D$16,(E65)-(K32))),0.000001)*MAX(((((G32)+(I32)*(MAX($D$16,(E65)-(K32))))*(MAX($D$16,(E65)-(K32))))/MAX((G32)+2*(MAX($D$16,(E65)-(K32)))*SQRT(1+(I32)^2),0.000001))^(2/3),0.000001)))^2))/2)+(IF((ABS(G65)/MAX(((G32)+(I32)*(MAX($D$16,(E65)-(K32))))*(MAX($D$16,(E65)-(K32))),0.000001))&gt;(ABS(G65)/MAX(((F32)+(H32)*(MAX($D$16,(D65)-(J32))))*(MAX($D$16,(D65)-(J32))),0.000001)),$D$9*((((ABS(G65)/MAX(((G32)+(I32)*(MAX($D$16,(E65)-(K32))))*(MAX($D$16,(E65)-(K32))),0.000001))^2)/(2*$I$5))-(((ABS(G65)/MAX(((F32)+(H32)*(MAX($D$16,(D65)-(J32))))*(MAX($D$16,(D65)-(J32))),0.000001))^2)/(2*$I$5))),$D$8*((((ABS(G65)/MAX(((F32)+(H32)*(MAX($D$16,(D65)-(J32))))*(MAX($D$16,(D65)-(J32))),0.000001))^2)/(2*$I$5))-(((ABS(G65)/MAX(((G32)+(I32)*(MAX($D$16,(E65)-(K32))))*(MAX($D$16,(E65)-(K32))),0.000001))^2)/(2*$I$5)))))+($D$10*(ABS((X32)-(W32))/90)*MAX(((ABS(G65)/MAX(((F32)+(H32)*(MAX($D$16,(D65)-(J32))))*(MAX($D$16,(D65)-(J32))),0.000001))^2)/(2*$I$5),((ABS(G65)/MAX(((G32)+(I32)*(MAX($D$16,(E65)-(K32))))*(MAX($D$16,(E65)-(K32))),0.000001))^2)/(2*$I$5)))+(($D$11*0.13607488*(ABS(H65)/MAX(ABS(F65),0.000001))^2*MAX(((ABS(G65)/MAX(((F32)+(H32)*(MAX($D$16,(D65)-(J32))))*(MAX($D$16,(D65)-(J32))),0.000001))^2)/(2*$I$5),((ABS(G65)/MAX(((G32)+(I32)*(MAX($D$16,(E65)-(K32))))*(MAX($D$16,(E65)-(K32))),0.000001))^2)/(2*$I$5))))-((ABS(G65)/MAX(((F32)+(H32)*(MAX($D$16,(D65)-(J32))))*(MAX($D$16,(D65)-(J32))),0.000001))^2)/(2*$I$5)</f>
        <v>52432.141837124545</v>
      </c>
      <c r="Q65">
        <f>L65+((ABS(H65)/MAX(((G33)+(I33)*(MAX($D$16,(L65)-(K33))))*(MAX($D$16,(L65)-(K33))),0.000001))^2)/(2*$I$5)+((E33)*((((ABS(H65)*$D$6)/(MAX(((F33)+(H33)*(MAX($D$16,(D65)-(J33))))*(MAX($D$16,(D65)-(J33))),0.000001)*MAX(((((F33)+(H33)*(MAX($D$16,(D65)-(J33))))*(MAX($D$16,(D65)-(J33))))/MAX((F33)+2*(MAX($D$16,(D65)-(J33)))*SQRT(1+(H33)^2),0.000001))^(2/3),0.000001)))^2)+(((ABS(H65)*$D$6)/(MAX(((G33)+(I33)*(MAX($D$16,(L65)-(K33))))*(MAX($D$16,(L65)-(K33))),0.000001)*MAX(((((G33)+(I33)*(MAX($D$16,(L65)-(K33))))*(MAX($D$16,(L65)-(K33))))/MAX((G33)+2*(MAX($D$16,(L65)-(K33)))*SQRT(1+(I33)^2),0.000001))^(2/3),0.000001)))^2))/2)+(IF((ABS(H65)/MAX(((G33)+(I33)*(MAX($D$16,(L65)-(K33))))*(MAX($D$16,(L65)-(K33))),0.000001))&gt;(ABS(H65)/MAX(((F33)+(H33)*(MAX($D$16,(D65)-(J33))))*(MAX($D$16,(D65)-(J33))),0.000001)),$D$9*((((ABS(H65)/MAX(((G33)+(I33)*(MAX($D$16,(L65)-(K33))))*(MAX($D$16,(L65)-(K33))),0.000001))^2)/(2*$I$5))-(((ABS(H65)/MAX(((F33)+(H33)*(MAX($D$16,(D65)-(J33))))*(MAX($D$16,(D65)-(J33))),0.000001))^2)/(2*$I$5))),$D$8*((((ABS(H65)/MAX(((F33)+(H33)*(MAX($D$16,(D65)-(J33))))*(MAX($D$16,(D65)-(J33))),0.000001))^2)/(2*$I$5))-(((ABS(H65)/MAX(((G33)+(I33)*(MAX($D$16,(L65)-(K33))))*(MAX($D$16,(L65)-(K33))),0.000001))^2)/(2*$I$5)))))+($D$10*(ABS((X33)-(W33))/90)*MAX(((ABS(H65)/MAX(((F33)+(H33)*(MAX($D$16,(D65)-(J33))))*(MAX($D$16,(D65)-(J33))),0.000001))^2)/(2*$I$5),((ABS(H65)/MAX(((G33)+(I33)*(MAX($D$16,(L65)-(K33))))*(MAX($D$16,(L65)-(K33))),0.000001))^2)/(2*$I$5)))+(($D$11*0.00000015*(ABS(G65)/MAX(ABS(F65),0.000001))^2*MAX(((ABS(H65)/MAX(((F33)+(H33)*(MAX($D$16,(D65)-(J33))))*(MAX($D$16,(D65)-(J33))),0.000001))^2)/(2*$I$5),((ABS(H65)/MAX(((G33)+(I33)*(MAX($D$16,(L65)-(K33))))*(MAX($D$16,(L65)-(K33))),0.000001))^2)/(2*$I$5))))-((ABS(H65)/MAX(((F33)+(H33)*(MAX($D$16,(D65)-(J33))))*(MAX($D$16,(D65)-(J33))),0.000001))^2)/(2*$I$5)</f>
        <v>634.3119999999999</v>
      </c>
      <c r="R65">
        <f>D65+((ABS(G65)/MAX(((F32)+(H32)*(MAX($D$16,(D65)-(J32))))*(MAX($D$16,(D65)-(J32))),0.000001))^2)/(2*$I$5)-((E32)*((((ABS(G65)*$D$6)/(MAX(((F32)+(H32)*(MAX($D$16,(D65)-(J32))))*(MAX($D$16,(D65)-(J32))),0.000001)*MAX(((((F32)+(H32)*(MAX($D$16,(D65)-(J32))))*(MAX($D$16,(D65)-(J32))))/MAX((F32)+2*(MAX($D$16,(D65)-(J32)))*SQRT(1+(H32)^2),0.000001))^(2/3),0.000001)))^2)+(((ABS(G65)*$D$6)/(MAX(((G32)+(I32)*(MAX($D$16,(E65)-(K32))))*(MAX($D$16,(E65)-(K32))),0.000001)*MAX(((((G32)+(I32)*(MAX($D$16,(E65)-(K32))))*(MAX($D$16,(E65)-(K32))))/MAX((G32)+2*(MAX($D$16,(E65)-(K32)))*SQRT(1+(I32)^2),0.000001))^(2/3),0.000001)))^2))/2)+(IF((ABS(G65)/MAX(((G32)+(I32)*(MAX($D$16,(E65)-(K32))))*(MAX($D$16,(E65)-(K32))),0.000001))&gt;(ABS(G65)/MAX(((F32)+(H32)*(MAX($D$16,(D65)-(J32))))*(MAX($D$16,(D65)-(J32))),0.000001)),$D$9*((((ABS(G65)/MAX(((G32)+(I32)*(MAX($D$16,(E65)-(K32))))*(MAX($D$16,(E65)-(K32))),0.000001))^2)/(2*$I$5))-(((ABS(G65)/MAX(((F32)+(H32)*(MAX($D$16,(D65)-(J32))))*(MAX($D$16,(D65)-(J32))),0.000001))^2)/(2*$I$5))),$D$8*((((ABS(G65)/MAX(((F32)+(H32)*(MAX($D$16,(D65)-(J32))))*(MAX($D$16,(D65)-(J32))),0.000001))^2)/(2*$I$5))-(((ABS(G65)/MAX(((G32)+(I32)*(MAX($D$16,(E65)-(K32))))*(MAX($D$16,(E65)-(K32))),0.000001))^2)/(2*$I$5)))))+($D$10*(ABS((X32)-(W32))/90)*MAX(((ABS(G65)/MAX(((F32)+(H32)*(MAX($D$16,(D65)-(J32))))*(MAX($D$16,(D65)-(J32))),0.000001))^2)/(2*$I$5),((ABS(G65)/MAX(((G32)+(I32)*(MAX($D$16,(E65)-(K32))))*(MAX($D$16,(E65)-(K32))),0.000001))^2)/(2*$I$5)))+(($D$11*0.13607488*(ABS(H65)/MAX(ABS(F65),0.000001))^2*MAX(((ABS(G65)/MAX(((F32)+(H32)*(MAX($D$16,(D65)-(J32))))*(MAX($D$16,(D65)-(J32))),0.000001))^2)/(2*$I$5),((ABS(G65)/MAX(((G32)+(I32)*(MAX($D$16,(E65)-(K32))))*(MAX($D$16,(E65)-(K32))),0.000001))^2)/(2*$I$5))))-((ABS(G65)/MAX(((G32)+(I32)*(MAX($D$16,(E65)-(K32))))*(MAX($D$16,(E65)-(K32))),0.000001))^2)/(2*$I$5)</f>
        <v>52432.1418381896</v>
      </c>
      <c r="S65">
        <f>M65+((ABS(I65)/MAX(((G34)+(I34)*(MAX($D$16,(M65)-(K34))))*(MAX($D$16,(M65)-(K34))),0.000001))^2)/(2*$I$5)+((E34)*((((ABS(I65)*$D$6)/(MAX(((F34)+(H34)*(MAX($D$16,(E65)-(J34))))*(MAX($D$16,(E65)-(J34))),0.000001)*MAX(((((F34)+(H34)*(MAX($D$16,(E65)-(J34))))*(MAX($D$16,(E65)-(J34))))/MAX((F34)+2*(MAX($D$16,(E65)-(J34)))*SQRT(1+(H34)^2),0.000001))^(2/3),0.000001)))^2)+(((ABS(I65)*$D$6)/(MAX(((G34)+(I34)*(MAX($D$16,(M65)-(K34))))*(MAX($D$16,(M65)-(K34))),0.000001)*MAX(((((G34)+(I34)*(MAX($D$16,(M65)-(K34))))*(MAX($D$16,(M65)-(K34))))/MAX((G34)+2*(MAX($D$16,(M65)-(K34)))*SQRT(1+(I34)^2),0.000001))^(2/3),0.000001)))^2))/2)+(IF((ABS(I65)/MAX(((G34)+(I34)*(MAX($D$16,(M65)-(K34))))*(MAX($D$16,(M65)-(K34))),0.000001))&gt;(ABS(I65)/MAX(((F34)+(H34)*(MAX($D$16,(E65)-(J34))))*(MAX($D$16,(E65)-(J34))),0.000001)),$D$9*((((ABS(I65)/MAX(((G34)+(I34)*(MAX($D$16,(M65)-(K34))))*(MAX($D$16,(M65)-(K34))),0.000001))^2)/(2*$I$5))-(((ABS(I65)/MAX(((F34)+(H34)*(MAX($D$16,(E65)-(J34))))*(MAX($D$16,(E65)-(J34))),0.000001))^2)/(2*$I$5))),$D$8*((((ABS(I65)/MAX(((F34)+(H34)*(MAX($D$16,(E65)-(J34))))*(MAX($D$16,(E65)-(J34))),0.000001))^2)/(2*$I$5))-(((ABS(I65)/MAX(((G34)+(I34)*(MAX($D$16,(M65)-(K34))))*(MAX($D$16,(M65)-(K34))),0.000001))^2)/(2*$I$5)))))+($D$10*(ABS((X34)-(W34))/90)*MAX(((ABS(I65)/MAX(((F34)+(H34)*(MAX($D$16,(E65)-(J34))))*(MAX($D$16,(E65)-(J34))),0.000001))^2)/(2*$I$5),((ABS(I65)/MAX(((G34)+(I34)*(MAX($D$16,(M65)-(K34))))*(MAX($D$16,(M65)-(K34))),0.000001))^2)/(2*$I$5)))+(0)-((ABS(I65)/MAX(((F34)+(H34)*(MAX($D$16,(E65)-(J34))))*(MAX($D$16,(E65)-(J34))),0.000001))^2)/(2*$I$5)</f>
        <v>635.5</v>
      </c>
      <c r="T65">
        <f>N65+((ABS(J65)/MAX(((G35)+(I35)*(MAX($D$16,(N65)-(K35))))*(MAX($D$16,(N65)-(K35))),0.000001))^2)/(2*$I$5)+((E35)*((((ABS(J65)*$D$6)/(MAX(((F35)+(H35)*(MAX($D$16,(E65)-(J35))))*(MAX($D$16,(E65)-(J35))),0.000001)*MAX(((((F35)+(H35)*(MAX($D$16,(E65)-(J35))))*(MAX($D$16,(E65)-(J35))))/MAX((F35)+2*(MAX($D$16,(E65)-(J35)))*SQRT(1+(H35)^2),0.000001))^(2/3),0.000001)))^2)+(((ABS(J65)*$D$6)/(MAX(((G35)+(I35)*(MAX($D$16,(N65)-(K35))))*(MAX($D$16,(N65)-(K35))),0.000001)*MAX(((((G35)+(I35)*(MAX($D$16,(N65)-(K35))))*(MAX($D$16,(N65)-(K35))))/MAX((G35)+2*(MAX($D$16,(N65)-(K35)))*SQRT(1+(I35)^2),0.000001))^(2/3),0.000001)))^2))/2)+(IF((ABS(J65)/MAX(((G35)+(I35)*(MAX($D$16,(N65)-(K35))))*(MAX($D$16,(N65)-(K35))),0.000001))&gt;(ABS(J65)/MAX(((F35)+(H35)*(MAX($D$16,(E65)-(J35))))*(MAX($D$16,(E65)-(J35))),0.000001)),$D$9*((((ABS(J65)/MAX(((G35)+(I35)*(MAX($D$16,(N65)-(K35))))*(MAX($D$16,(N65)-(K35))),0.000001))^2)/(2*$I$5))-(((ABS(J65)/MAX(((F35)+(H35)*(MAX($D$16,(E65)-(J35))))*(MAX($D$16,(E65)-(J35))),0.000001))^2)/(2*$I$5))),$D$8*((((ABS(J65)/MAX(((F35)+(H35)*(MAX($D$16,(E65)-(J35))))*(MAX($D$16,(E65)-(J35))),0.000001))^2)/(2*$I$5))-(((ABS(J65)/MAX(((G35)+(I35)*(MAX($D$16,(N65)-(K35))))*(MAX($D$16,(N65)-(K35))),0.000001))^2)/(2*$I$5)))))+($D$10*(ABS((X35)-(W35))/90)*MAX(((ABS(J65)/MAX(((F35)+(H35)*(MAX($D$16,(E65)-(J35))))*(MAX($D$16,(E65)-(J35))),0.000001))^2)/(2*$I$5),((ABS(J65)/MAX(((G35)+(I35)*(MAX($D$16,(N65)-(K35))))*(MAX($D$16,(N65)-(K35))),0.000001))^2)/(2*$I$5)))+(($D$11*0.34699541*(ABS(I65)/MAX(ABS(G65),0.000001))^2*MAX(((ABS(J65)/MAX(((F35)+(H35)*(MAX($D$16,(E65)-(J35))))*(MAX($D$16,(E65)-(J35))),0.000001))^2)/(2*$I$5),((ABS(J65)/MAX(((G35)+(I35)*(MAX($D$16,(N65)-(K35))))*(MAX($D$16,(N65)-(K35))),0.000001))^2)/(2*$I$5))))-((ABS(J65)/MAX(((F35)+(H35)*(MAX($D$16,(E65)-(J35))))*(MAX($D$16,(E65)-(J35))),0.000001))^2)/(2*$I$5)</f>
        <v>20784.033523923383</v>
      </c>
      <c r="U65">
        <f>(((((F32)*(MAX($D$16,(D65)-(J32)))^2)/2+(H32)*(MAX($D$16,(D65)-(J32)))^3/3+(ABS(G65)^2)/($I$5*MAX(((F32)+(H32)*(MAX($D$16,(D65)-(J32))))*(MAX($D$16,(D65)-(J32))),0.000001)))*0.72785025)-((((F33)*(MAX($D$16,(D65)-(J33)))^2)/2+(H33)*(MAX($D$16,(D65)-(J33)))^3/3+(ABS(H65)^2)/($I$5*MAX(((F33)+(H33)*(MAX($D$16,(D65)-(J33))))*(MAX($D$16,(D65)-(J33))),0.000001)))*0.99999971))/MAX(((G31)*(MAX($D$16,(D65)-(K31)))^2)/2+(I31)*(MAX($D$16,(D65)-(K31)))^3/3+(ABS(F65)^2)/($I$5*MAX(((G31)+(I31)*(MAX($D$16,(D65)-(K31))))*(MAX($D$16,(D65)-(K31))),0.000001)),0.000001)</f>
        <v>-0.2721494599999113</v>
      </c>
      <c r="V65">
        <f>(((((F34)*(MAX($D$16,(E65)-(J34)))^2)/2+(H34)*(MAX($D$16,(E65)-(J34)))^3/3+(ABS(I65)^2)/($I$5*MAX(((F34)+(H34)*(MAX($D$16,(E65)-(J34))))*(MAX($D$16,(E65)-(J34))),0.000001)))*1)-((((F35)*(MAX($D$16,(E65)-(J35)))^2)/2+(H35)*(MAX($D$16,(E65)-(J35)))^3/3+(ABS(J65)^2)/($I$5*MAX(((F35)+(H35)*(MAX($D$16,(E65)-(J35))))*(MAX($D$16,(E65)-(J35))),0.000001)))*0.30600918))/MAX(((G32)*(MAX($D$16,(E65)-(K32)))^2)/2+(I32)*(MAX($D$16,(E65)-(K32)))^3/3+(ABS(G65)^2)/($I$5*MAX(((G32)+(I32)*(MAX($D$16,(E65)-(K32))))*(MAX($D$16,(E65)-(K32))),0.000001)),0.000001)</f>
        <v>0.69398638937190382</v>
      </c>
      <c r="W65">
        <f>IF(N6="None",ABS(P65-D65),MAX(ABS(P65-D65),ABS(Q65-D65)))</f>
        <v>1.0649237083271146E-6</v>
      </c>
      <c r="X65">
        <f>IF(AND(N7="None",N8="None"),0,IF(N8="None",ABS(S65-E65),IF(N7="None",ABS(T65-E65),MAX(ABS(S65-E65),ABS(T65-E65)))))</f>
        <v>51796.641837123992</v>
      </c>
      <c r="AA65">
        <f t="shared" si="3"/>
        <v>52432.141837816744</v>
      </c>
      <c r="AB65">
        <f t="shared" si="4"/>
        <v>41355.303927503781</v>
      </c>
      <c r="AC65">
        <f>IF(N6="None",P65,MAX(P65,Q65))</f>
        <v>52432.141837124545</v>
      </c>
      <c r="AD65">
        <f>IF(AND(N7="None",N8="None"),E65,IF(N8="None",S65,IF(N7="None",T65,MAX(S65,T65))))</f>
        <v>20784.033523923383</v>
      </c>
      <c r="AE65">
        <f t="shared" si="5"/>
        <v>637.65825101089831</v>
      </c>
      <c r="AF65">
        <f t="shared" si="6"/>
        <v>52432.1418381896</v>
      </c>
      <c r="AG65">
        <f>((G31)*(MAX($D$16,(AC65)-(K31)))^2)/2+(I31)*(MAX($D$16,(AC65)-(K31)))^3/3+(ABS(F65)^2)/($I$5*MAX(((G31)+(I31)*(MAX($D$16,(AC65)-(K31))))*(MAX($D$16,(AC65)-(K31))),0.000001))</f>
        <v>8797611517.2290668</v>
      </c>
      <c r="AH65">
        <f>((G31)*(MAX($D$16,(AE65)-(K31)))^2)/2+(I31)*(MAX($D$16,(AE65)-(K31)))^3/3+(ABS(F65)^2)/($I$5*MAX(((G31)+(I31)*(MAX($D$16,(AE65)-(K31))))*(MAX($D$16,(AE65)-(K31))),0.000001))</f>
        <v>49.055863329575246</v>
      </c>
      <c r="AI65">
        <f>((G32)*(MAX($D$16,(AD65)-(K32)))^2)/2+(I32)*(MAX($D$16,(AD65)-(K32)))^3/3+(ABS(G65)^2)/($I$5*MAX(((G32)+(I32)*(MAX($D$16,(AD65)-(K32))))*(MAX($D$16,(AD65)-(K32))),0.000001))</f>
        <v>2072376743.6648321</v>
      </c>
      <c r="AJ65">
        <f>((G32)*(MAX($D$16,(AF65)-(K32)))^2)/2+(I32)*(MAX($D$16,(AF65)-(K32)))^3/3+(ABS(G65)^2)/($I$5*MAX(((G32)+(I32)*(MAX($D$16,(AF65)-(K32))))*(MAX($D$16,(AF65)-(K32))),0.000001))</f>
        <v>13692714789.923014</v>
      </c>
      <c r="AK65" t="str">
        <f t="shared" si="7"/>
        <v>Subcritical</v>
      </c>
      <c r="AL65" t="str">
        <f t="shared" si="8"/>
        <v>Supercritical</v>
      </c>
      <c r="AM65">
        <f t="shared" si="9"/>
        <v>52432.141837816744</v>
      </c>
      <c r="AN65">
        <f t="shared" si="10"/>
        <v>52432.141837496958</v>
      </c>
      <c r="AO65">
        <f t="shared" si="11"/>
        <v>1.0649237083271146E-6</v>
      </c>
      <c r="AP65">
        <f t="shared" si="12"/>
        <v>1.0656076483428478E-6</v>
      </c>
    </row>
    <row r="66" spans="1:42" x14ac:dyDescent="0.35">
      <c r="A66">
        <v>23</v>
      </c>
      <c r="B66">
        <f t="shared" si="13"/>
        <v>0</v>
      </c>
      <c r="C66">
        <f t="shared" si="14"/>
        <v>0</v>
      </c>
      <c r="D66">
        <f t="shared" si="15"/>
        <v>52432.141837816744</v>
      </c>
      <c r="E66">
        <f t="shared" si="16"/>
        <v>52432.141837496958</v>
      </c>
      <c r="F66">
        <f t="shared" si="2"/>
        <v>51</v>
      </c>
      <c r="G66">
        <f>IF(N6="None",F66,MAX(0,F66*B66))</f>
        <v>51</v>
      </c>
      <c r="H66">
        <f>IF(N6="None",0,MAX(0,F66-G66))</f>
        <v>0</v>
      </c>
      <c r="I66">
        <f>IF(AND(N7="None",N8="None"),0,IF(N8="None",G66,IF(N7="None",0,MAX(0,G66*C66))))</f>
        <v>0</v>
      </c>
      <c r="J66">
        <f>IF(AND(N7="None",N8="None"),0,IF(N8="None",0,IF(N7="None",G66,MAX(0,G66-I66))))</f>
        <v>51</v>
      </c>
      <c r="K66">
        <f>P5</f>
        <v>637</v>
      </c>
      <c r="L66">
        <f>P6</f>
        <v>634.3119999999999</v>
      </c>
      <c r="M66">
        <f>P7</f>
        <v>635.5</v>
      </c>
      <c r="N66">
        <f>P8</f>
        <v>631.54999999999995</v>
      </c>
      <c r="O66">
        <f>K66+((ABS(F66)/MAX(((F31)+(H31)*(MAX($D$16,(K66)-(J31))))*(MAX($D$16,(K66)-(J31))),0.000001))^2)/(2*$I$5)-((E31)*((((ABS(F66)*$D$6)/(MAX(((F31)+(H31)*(MAX($D$16,(K66)-(J31))))*(MAX($D$16,(K66)-(J31))),0.000001)*MAX(((((F31)+(H31)*(MAX($D$16,(K66)-(J31))))*(MAX($D$16,(K66)-(J31))))/MAX((F31)+2*(MAX($D$16,(K66)-(J31)))*SQRT(1+(H31)^2),0.000001))^(2/3),0.000001)))^2)+(((ABS(F66)*$D$6)/(MAX(((G31)+(I31)*(MAX($D$16,(D66)-(K31))))*(MAX($D$16,(D66)-(K31))),0.000001)*MAX(((((G31)+(I31)*(MAX($D$16,(D66)-(K31))))*(MAX($D$16,(D66)-(K31))))/MAX((G31)+2*(MAX($D$16,(D66)-(K31)))*SQRT(1+(I31)^2),0.000001))^(2/3),0.000001)))^2))/2)+(IF((ABS(F66)/MAX(((G31)+(I31)*(MAX($D$16,(D66)-(K31))))*(MAX($D$16,(D66)-(K31))),0.000001))&gt;(ABS(F66)/MAX(((F31)+(H31)*(MAX($D$16,(K66)-(J31))))*(MAX($D$16,(K66)-(J31))),0.000001)),$D$9*((((ABS(F66)/MAX(((G31)+(I31)*(MAX($D$16,(D66)-(K31))))*(MAX($D$16,(D66)-(K31))),0.000001))^2)/(2*$I$5))-(((ABS(F66)/MAX(((F31)+(H31)*(MAX($D$16,(K66)-(J31))))*(MAX($D$16,(K66)-(J31))),0.000001))^2)/(2*$I$5))),$D$8*((((ABS(F66)/MAX(((F31)+(H31)*(MAX($D$16,(K66)-(J31))))*(MAX($D$16,(K66)-(J31))),0.000001))^2)/(2*$I$5))-(((ABS(F66)/MAX(((G31)+(I31)*(MAX($D$16,(D66)-(K31))))*(MAX($D$16,(D66)-(K31))),0.000001))^2)/(2*$I$5)))))+($D$10*(ABS((X31)-(W31))/90)*MAX(((ABS(F66)/MAX(((F31)+(H31)*(MAX($D$16,(K66)-(J31))))*(MAX($D$16,(K66)-(J31))),0.000001))^2)/(2*$I$5),((ABS(F66)/MAX(((G31)+(I31)*(MAX($D$16,(D66)-(K31))))*(MAX($D$16,(D66)-(K31))),0.000001))^2)/(2*$I$5)))+(0)-((ABS(F66)/MAX(((G31)+(I31)*(MAX($D$16,(D66)-(K31))))*(MAX($D$16,(D66)-(K31))),0.000001))^2)/(2*$I$5)</f>
        <v>637.65825101089831</v>
      </c>
      <c r="P66">
        <f>E66+((ABS(G66)/MAX(((G32)+(I32)*(MAX($D$16,(E66)-(K32))))*(MAX($D$16,(E66)-(K32))),0.000001))^2)/(2*$I$5)+((E32)*((((ABS(G66)*$D$6)/(MAX(((F32)+(H32)*(MAX($D$16,(D66)-(J32))))*(MAX($D$16,(D66)-(J32))),0.000001)*MAX(((((F32)+(H32)*(MAX($D$16,(D66)-(J32))))*(MAX($D$16,(D66)-(J32))))/MAX((F32)+2*(MAX($D$16,(D66)-(J32)))*SQRT(1+(H32)^2),0.000001))^(2/3),0.000001)))^2)+(((ABS(G66)*$D$6)/(MAX(((G32)+(I32)*(MAX($D$16,(E66)-(K32))))*(MAX($D$16,(E66)-(K32))),0.000001)*MAX(((((G32)+(I32)*(MAX($D$16,(E66)-(K32))))*(MAX($D$16,(E66)-(K32))))/MAX((G32)+2*(MAX($D$16,(E66)-(K32)))*SQRT(1+(I32)^2),0.000001))^(2/3),0.000001)))^2))/2)+(IF((ABS(G66)/MAX(((G32)+(I32)*(MAX($D$16,(E66)-(K32))))*(MAX($D$16,(E66)-(K32))),0.000001))&gt;(ABS(G66)/MAX(((F32)+(H32)*(MAX($D$16,(D66)-(J32))))*(MAX($D$16,(D66)-(J32))),0.000001)),$D$9*((((ABS(G66)/MAX(((G32)+(I32)*(MAX($D$16,(E66)-(K32))))*(MAX($D$16,(E66)-(K32))),0.000001))^2)/(2*$I$5))-(((ABS(G66)/MAX(((F32)+(H32)*(MAX($D$16,(D66)-(J32))))*(MAX($D$16,(D66)-(J32))),0.000001))^2)/(2*$I$5))),$D$8*((((ABS(G66)/MAX(((F32)+(H32)*(MAX($D$16,(D66)-(J32))))*(MAX($D$16,(D66)-(J32))),0.000001))^2)/(2*$I$5))-(((ABS(G66)/MAX(((G32)+(I32)*(MAX($D$16,(E66)-(K32))))*(MAX($D$16,(E66)-(K32))),0.000001))^2)/(2*$I$5)))))+($D$10*(ABS((X32)-(W32))/90)*MAX(((ABS(G66)/MAX(((F32)+(H32)*(MAX($D$16,(D66)-(J32))))*(MAX($D$16,(D66)-(J32))),0.000001))^2)/(2*$I$5),((ABS(G66)/MAX(((G32)+(I32)*(MAX($D$16,(E66)-(K32))))*(MAX($D$16,(E66)-(K32))),0.000001))^2)/(2*$I$5)))+(($D$11*0.13607488*(ABS(H66)/MAX(ABS(F66),0.000001))^2*MAX(((ABS(G66)/MAX(((F32)+(H32)*(MAX($D$16,(D66)-(J32))))*(MAX($D$16,(D66)-(J32))),0.000001))^2)/(2*$I$5),((ABS(G66)/MAX(((G32)+(I32)*(MAX($D$16,(E66)-(K32))))*(MAX($D$16,(E66)-(K32))),0.000001))^2)/(2*$I$5))))-((ABS(G66)/MAX(((F32)+(H32)*(MAX($D$16,(D66)-(J32))))*(MAX($D$16,(D66)-(J32))),0.000001))^2)/(2*$I$5)</f>
        <v>52432.141837497511</v>
      </c>
      <c r="Q66">
        <f>L66+((ABS(H66)/MAX(((G33)+(I33)*(MAX($D$16,(L66)-(K33))))*(MAX($D$16,(L66)-(K33))),0.000001))^2)/(2*$I$5)+((E33)*((((ABS(H66)*$D$6)/(MAX(((F33)+(H33)*(MAX($D$16,(D66)-(J33))))*(MAX($D$16,(D66)-(J33))),0.000001)*MAX(((((F33)+(H33)*(MAX($D$16,(D66)-(J33))))*(MAX($D$16,(D66)-(J33))))/MAX((F33)+2*(MAX($D$16,(D66)-(J33)))*SQRT(1+(H33)^2),0.000001))^(2/3),0.000001)))^2)+(((ABS(H66)*$D$6)/(MAX(((G33)+(I33)*(MAX($D$16,(L66)-(K33))))*(MAX($D$16,(L66)-(K33))),0.000001)*MAX(((((G33)+(I33)*(MAX($D$16,(L66)-(K33))))*(MAX($D$16,(L66)-(K33))))/MAX((G33)+2*(MAX($D$16,(L66)-(K33)))*SQRT(1+(I33)^2),0.000001))^(2/3),0.000001)))^2))/2)+(IF((ABS(H66)/MAX(((G33)+(I33)*(MAX($D$16,(L66)-(K33))))*(MAX($D$16,(L66)-(K33))),0.000001))&gt;(ABS(H66)/MAX(((F33)+(H33)*(MAX($D$16,(D66)-(J33))))*(MAX($D$16,(D66)-(J33))),0.000001)),$D$9*((((ABS(H66)/MAX(((G33)+(I33)*(MAX($D$16,(L66)-(K33))))*(MAX($D$16,(L66)-(K33))),0.000001))^2)/(2*$I$5))-(((ABS(H66)/MAX(((F33)+(H33)*(MAX($D$16,(D66)-(J33))))*(MAX($D$16,(D66)-(J33))),0.000001))^2)/(2*$I$5))),$D$8*((((ABS(H66)/MAX(((F33)+(H33)*(MAX($D$16,(D66)-(J33))))*(MAX($D$16,(D66)-(J33))),0.000001))^2)/(2*$I$5))-(((ABS(H66)/MAX(((G33)+(I33)*(MAX($D$16,(L66)-(K33))))*(MAX($D$16,(L66)-(K33))),0.000001))^2)/(2*$I$5)))))+($D$10*(ABS((X33)-(W33))/90)*MAX(((ABS(H66)/MAX(((F33)+(H33)*(MAX($D$16,(D66)-(J33))))*(MAX($D$16,(D66)-(J33))),0.000001))^2)/(2*$I$5),((ABS(H66)/MAX(((G33)+(I33)*(MAX($D$16,(L66)-(K33))))*(MAX($D$16,(L66)-(K33))),0.000001))^2)/(2*$I$5)))+(($D$11*0.00000015*(ABS(G66)/MAX(ABS(F66),0.000001))^2*MAX(((ABS(H66)/MAX(((F33)+(H33)*(MAX($D$16,(D66)-(J33))))*(MAX($D$16,(D66)-(J33))),0.000001))^2)/(2*$I$5),((ABS(H66)/MAX(((G33)+(I33)*(MAX($D$16,(L66)-(K33))))*(MAX($D$16,(L66)-(K33))),0.000001))^2)/(2*$I$5))))-((ABS(H66)/MAX(((F33)+(H33)*(MAX($D$16,(D66)-(J33))))*(MAX($D$16,(D66)-(J33))),0.000001))^2)/(2*$I$5)</f>
        <v>634.3119999999999</v>
      </c>
      <c r="R66">
        <f>D66+((ABS(G66)/MAX(((F32)+(H32)*(MAX($D$16,(D66)-(J32))))*(MAX($D$16,(D66)-(J32))),0.000001))^2)/(2*$I$5)-((E32)*((((ABS(G66)*$D$6)/(MAX(((F32)+(H32)*(MAX($D$16,(D66)-(J32))))*(MAX($D$16,(D66)-(J32))),0.000001)*MAX(((((F32)+(H32)*(MAX($D$16,(D66)-(J32))))*(MAX($D$16,(D66)-(J32))))/MAX((F32)+2*(MAX($D$16,(D66)-(J32)))*SQRT(1+(H32)^2),0.000001))^(2/3),0.000001)))^2)+(((ABS(G66)*$D$6)/(MAX(((G32)+(I32)*(MAX($D$16,(E66)-(K32))))*(MAX($D$16,(E66)-(K32))),0.000001)*MAX(((((G32)+(I32)*(MAX($D$16,(E66)-(K32))))*(MAX($D$16,(E66)-(K32))))/MAX((G32)+2*(MAX($D$16,(E66)-(K32)))*SQRT(1+(I32)^2),0.000001))^(2/3),0.000001)))^2))/2)+(IF((ABS(G66)/MAX(((G32)+(I32)*(MAX($D$16,(E66)-(K32))))*(MAX($D$16,(E66)-(K32))),0.000001))&gt;(ABS(G66)/MAX(((F32)+(H32)*(MAX($D$16,(D66)-(J32))))*(MAX($D$16,(D66)-(J32))),0.000001)),$D$9*((((ABS(G66)/MAX(((G32)+(I32)*(MAX($D$16,(E66)-(K32))))*(MAX($D$16,(E66)-(K32))),0.000001))^2)/(2*$I$5))-(((ABS(G66)/MAX(((F32)+(H32)*(MAX($D$16,(D66)-(J32))))*(MAX($D$16,(D66)-(J32))),0.000001))^2)/(2*$I$5))),$D$8*((((ABS(G66)/MAX(((F32)+(H32)*(MAX($D$16,(D66)-(J32))))*(MAX($D$16,(D66)-(J32))),0.000001))^2)/(2*$I$5))-(((ABS(G66)/MAX(((G32)+(I32)*(MAX($D$16,(E66)-(K32))))*(MAX($D$16,(E66)-(K32))),0.000001))^2)/(2*$I$5)))))+($D$10*(ABS((X32)-(W32))/90)*MAX(((ABS(G66)/MAX(((F32)+(H32)*(MAX($D$16,(D66)-(J32))))*(MAX($D$16,(D66)-(J32))),0.000001))^2)/(2*$I$5),((ABS(G66)/MAX(((G32)+(I32)*(MAX($D$16,(E66)-(K32))))*(MAX($D$16,(E66)-(K32))),0.000001))^2)/(2*$I$5)))+(($D$11*0.13607488*(ABS(H66)/MAX(ABS(F66),0.000001))^2*MAX(((ABS(G66)/MAX(((F32)+(H32)*(MAX($D$16,(D66)-(J32))))*(MAX($D$16,(D66)-(J32))),0.000001))^2)/(2*$I$5),((ABS(G66)/MAX(((G32)+(I32)*(MAX($D$16,(E66)-(K32))))*(MAX($D$16,(E66)-(K32))),0.000001))^2)/(2*$I$5))))-((ABS(G66)/MAX(((G32)+(I32)*(MAX($D$16,(E66)-(K32))))*(MAX($D$16,(E66)-(K32))),0.000001))^2)/(2*$I$5)</f>
        <v>52432.141837816875</v>
      </c>
      <c r="S66">
        <f>M66+((ABS(I66)/MAX(((G34)+(I34)*(MAX($D$16,(M66)-(K34))))*(MAX($D$16,(M66)-(K34))),0.000001))^2)/(2*$I$5)+((E34)*((((ABS(I66)*$D$6)/(MAX(((F34)+(H34)*(MAX($D$16,(E66)-(J34))))*(MAX($D$16,(E66)-(J34))),0.000001)*MAX(((((F34)+(H34)*(MAX($D$16,(E66)-(J34))))*(MAX($D$16,(E66)-(J34))))/MAX((F34)+2*(MAX($D$16,(E66)-(J34)))*SQRT(1+(H34)^2),0.000001))^(2/3),0.000001)))^2)+(((ABS(I66)*$D$6)/(MAX(((G34)+(I34)*(MAX($D$16,(M66)-(K34))))*(MAX($D$16,(M66)-(K34))),0.000001)*MAX(((((G34)+(I34)*(MAX($D$16,(M66)-(K34))))*(MAX($D$16,(M66)-(K34))))/MAX((G34)+2*(MAX($D$16,(M66)-(K34)))*SQRT(1+(I34)^2),0.000001))^(2/3),0.000001)))^2))/2)+(IF((ABS(I66)/MAX(((G34)+(I34)*(MAX($D$16,(M66)-(K34))))*(MAX($D$16,(M66)-(K34))),0.000001))&gt;(ABS(I66)/MAX(((F34)+(H34)*(MAX($D$16,(E66)-(J34))))*(MAX($D$16,(E66)-(J34))),0.000001)),$D$9*((((ABS(I66)/MAX(((G34)+(I34)*(MAX($D$16,(M66)-(K34))))*(MAX($D$16,(M66)-(K34))),0.000001))^2)/(2*$I$5))-(((ABS(I66)/MAX(((F34)+(H34)*(MAX($D$16,(E66)-(J34))))*(MAX($D$16,(E66)-(J34))),0.000001))^2)/(2*$I$5))),$D$8*((((ABS(I66)/MAX(((F34)+(H34)*(MAX($D$16,(E66)-(J34))))*(MAX($D$16,(E66)-(J34))),0.000001))^2)/(2*$I$5))-(((ABS(I66)/MAX(((G34)+(I34)*(MAX($D$16,(M66)-(K34))))*(MAX($D$16,(M66)-(K34))),0.000001))^2)/(2*$I$5)))))+($D$10*(ABS((X34)-(W34))/90)*MAX(((ABS(I66)/MAX(((F34)+(H34)*(MAX($D$16,(E66)-(J34))))*(MAX($D$16,(E66)-(J34))),0.000001))^2)/(2*$I$5),((ABS(I66)/MAX(((G34)+(I34)*(MAX($D$16,(M66)-(K34))))*(MAX($D$16,(M66)-(K34))),0.000001))^2)/(2*$I$5)))+(0)-((ABS(I66)/MAX(((F34)+(H34)*(MAX($D$16,(E66)-(J34))))*(MAX($D$16,(E66)-(J34))),0.000001))^2)/(2*$I$5)</f>
        <v>635.5</v>
      </c>
      <c r="T66">
        <f>N66+((ABS(J66)/MAX(((G35)+(I35)*(MAX($D$16,(N66)-(K35))))*(MAX($D$16,(N66)-(K35))),0.000001))^2)/(2*$I$5)+((E35)*((((ABS(J66)*$D$6)/(MAX(((F35)+(H35)*(MAX($D$16,(E66)-(J35))))*(MAX($D$16,(E66)-(J35))),0.000001)*MAX(((((F35)+(H35)*(MAX($D$16,(E66)-(J35))))*(MAX($D$16,(E66)-(J35))))/MAX((F35)+2*(MAX($D$16,(E66)-(J35)))*SQRT(1+(H35)^2),0.000001))^(2/3),0.000001)))^2)+(((ABS(J66)*$D$6)/(MAX(((G35)+(I35)*(MAX($D$16,(N66)-(K35))))*(MAX($D$16,(N66)-(K35))),0.000001)*MAX(((((G35)+(I35)*(MAX($D$16,(N66)-(K35))))*(MAX($D$16,(N66)-(K35))))/MAX((G35)+2*(MAX($D$16,(N66)-(K35)))*SQRT(1+(I35)^2),0.000001))^(2/3),0.000001)))^2))/2)+(IF((ABS(J66)/MAX(((G35)+(I35)*(MAX($D$16,(N66)-(K35))))*(MAX($D$16,(N66)-(K35))),0.000001))&gt;(ABS(J66)/MAX(((F35)+(H35)*(MAX($D$16,(E66)-(J35))))*(MAX($D$16,(E66)-(J35))),0.000001)),$D$9*((((ABS(J66)/MAX(((G35)+(I35)*(MAX($D$16,(N66)-(K35))))*(MAX($D$16,(N66)-(K35))),0.000001))^2)/(2*$I$5))-(((ABS(J66)/MAX(((F35)+(H35)*(MAX($D$16,(E66)-(J35))))*(MAX($D$16,(E66)-(J35))),0.000001))^2)/(2*$I$5))),$D$8*((((ABS(J66)/MAX(((F35)+(H35)*(MAX($D$16,(E66)-(J35))))*(MAX($D$16,(E66)-(J35))),0.000001))^2)/(2*$I$5))-(((ABS(J66)/MAX(((G35)+(I35)*(MAX($D$16,(N66)-(K35))))*(MAX($D$16,(N66)-(K35))),0.000001))^2)/(2*$I$5)))))+($D$10*(ABS((X35)-(W35))/90)*MAX(((ABS(J66)/MAX(((F35)+(H35)*(MAX($D$16,(E66)-(J35))))*(MAX($D$16,(E66)-(J35))),0.000001))^2)/(2*$I$5),((ABS(J66)/MAX(((G35)+(I35)*(MAX($D$16,(N66)-(K35))))*(MAX($D$16,(N66)-(K35))),0.000001))^2)/(2*$I$5)))+(($D$11*0.34699541*(ABS(I66)/MAX(ABS(G66),0.000001))^2*MAX(((ABS(J66)/MAX(((F35)+(H35)*(MAX($D$16,(E66)-(J35))))*(MAX($D$16,(E66)-(J35))),0.000001))^2)/(2*$I$5),((ABS(J66)/MAX(((G35)+(I35)*(MAX($D$16,(N66)-(K35))))*(MAX($D$16,(N66)-(K35))),0.000001))^2)/(2*$I$5))))-((ABS(J66)/MAX(((F35)+(H35)*(MAX($D$16,(E66)-(J35))))*(MAX($D$16,(E66)-(J35))),0.000001))^2)/(2*$I$5)</f>
        <v>20784.033523923383</v>
      </c>
      <c r="U66">
        <f>(((((F32)*(MAX($D$16,(D66)-(J32)))^2)/2+(H32)*(MAX($D$16,(D66)-(J32)))^3/3+(ABS(G66)^2)/($I$5*MAX(((F32)+(H32)*(MAX($D$16,(D66)-(J32))))*(MAX($D$16,(D66)-(J32))),0.000001)))*0.72785025)-((((F33)*(MAX($D$16,(D66)-(J33)))^2)/2+(H33)*(MAX($D$16,(D66)-(J33)))^3/3+(ABS(H66)^2)/($I$5*MAX(((F33)+(H33)*(MAX($D$16,(D66)-(J33))))*(MAX($D$16,(D66)-(J33))),0.000001)))*0.99999971))/MAX(((G31)*(MAX($D$16,(D66)-(K31)))^2)/2+(I31)*(MAX($D$16,(D66)-(K31)))^3/3+(ABS(F66)^2)/($I$5*MAX(((G31)+(I31)*(MAX($D$16,(D66)-(K31))))*(MAX($D$16,(D66)-(K31))),0.000001)),0.000001)</f>
        <v>-0.27214945999991119</v>
      </c>
      <c r="V66">
        <f>(((((F34)*(MAX($D$16,(E66)-(J34)))^2)/2+(H34)*(MAX($D$16,(E66)-(J34)))^3/3+(ABS(I66)^2)/($I$5*MAX(((F34)+(H34)*(MAX($D$16,(E66)-(J34))))*(MAX($D$16,(E66)-(J34))),0.000001)))*1)-((((F35)*(MAX($D$16,(E66)-(J35)))^2)/2+(H35)*(MAX($D$16,(E66)-(J35)))^3/3+(ABS(J66)^2)/($I$5*MAX(((F35)+(H35)*(MAX($D$16,(E66)-(J35))))*(MAX($D$16,(E66)-(J35))),0.000001)))*0.30600918))/MAX(((G32)*(MAX($D$16,(E66)-(K32)))^2)/2+(I32)*(MAX($D$16,(E66)-(K32)))^3/3+(ABS(G66)^2)/($I$5*MAX(((G32)+(I32)*(MAX($D$16,(E66)-(K32))))*(MAX($D$16,(E66)-(K32))),0.000001)),0.000001)</f>
        <v>0.69398638937190382</v>
      </c>
      <c r="W66">
        <f>IF(N6="None",ABS(P66-D66),MAX(ABS(P66-D66),ABS(Q66-D66)))</f>
        <v>3.1923264032229781E-7</v>
      </c>
      <c r="X66">
        <f>IF(AND(N7="None",N8="None"),0,IF(N8="None",ABS(S66-E66),IF(N7="None",ABS(T66-E66),MAX(ABS(S66-E66),ABS(T66-E66)))))</f>
        <v>51796.641837496958</v>
      </c>
      <c r="AA66">
        <f t="shared" si="3"/>
        <v>52432.141837705014</v>
      </c>
      <c r="AB66">
        <f t="shared" si="4"/>
        <v>41355.303927746209</v>
      </c>
      <c r="AC66">
        <f>IF(N6="None",P66,MAX(P66,Q66))</f>
        <v>52432.141837497511</v>
      </c>
      <c r="AD66">
        <f>IF(AND(N7="None",N8="None"),E66,IF(N8="None",S66,IF(N7="None",T66,MAX(S66,T66))))</f>
        <v>20784.033523923383</v>
      </c>
      <c r="AE66">
        <f t="shared" si="5"/>
        <v>637.65825101089831</v>
      </c>
      <c r="AF66">
        <f t="shared" si="6"/>
        <v>52432.141837816875</v>
      </c>
      <c r="AG66">
        <f>((G31)*(MAX($D$16,(AC66)-(K31)))^2)/2+(I31)*(MAX($D$16,(AC66)-(K31)))^3/3+(ABS(F66)^2)/($I$5*MAX(((G31)+(I31)*(MAX($D$16,(AC66)-(K31))))*(MAX($D$16,(AC66)-(K31))),0.000001))</f>
        <v>8797611517.3557587</v>
      </c>
      <c r="AH66">
        <f>((G31)*(MAX($D$16,(AE66)-(K31)))^2)/2+(I31)*(MAX($D$16,(AE66)-(K31)))^3/3+(ABS(F66)^2)/($I$5*MAX(((G31)+(I31)*(MAX($D$16,(AE66)-(K31))))*(MAX($D$16,(AE66)-(K31))),0.000001))</f>
        <v>49.055863329575246</v>
      </c>
      <c r="AI66">
        <f>((G32)*(MAX($D$16,(AD66)-(K32)))^2)/2+(I32)*(MAX($D$16,(AD66)-(K32)))^3/3+(ABS(G66)^2)/($I$5*MAX(((G32)+(I32)*(MAX($D$16,(AD66)-(K32))))*(MAX($D$16,(AD66)-(K32))),0.000001))</f>
        <v>2072376743.6648321</v>
      </c>
      <c r="AJ66">
        <f>((G32)*(MAX($D$16,(AF66)-(K32)))^2)/2+(I32)*(MAX($D$16,(AF66)-(K32)))^3/3+(ABS(G66)^2)/($I$5*MAX(((G32)+(I32)*(MAX($D$16,(AF66)-(K32))))*(MAX($D$16,(AF66)-(K32))),0.000001))</f>
        <v>13692714789.725965</v>
      </c>
      <c r="AK66" t="str">
        <f t="shared" si="7"/>
        <v>Subcritical</v>
      </c>
      <c r="AL66" t="str">
        <f t="shared" si="8"/>
        <v>Supercritical</v>
      </c>
      <c r="AM66">
        <f t="shared" si="9"/>
        <v>52432.141837705014</v>
      </c>
      <c r="AN66">
        <f t="shared" si="10"/>
        <v>52432.141837608928</v>
      </c>
      <c r="AO66">
        <f t="shared" si="11"/>
        <v>3.1923264032229781E-7</v>
      </c>
      <c r="AP66">
        <f t="shared" si="12"/>
        <v>3.1991658033803105E-7</v>
      </c>
    </row>
    <row r="67" spans="1:42" x14ac:dyDescent="0.35">
      <c r="A67">
        <v>24</v>
      </c>
      <c r="B67">
        <f t="shared" si="13"/>
        <v>0</v>
      </c>
      <c r="C67">
        <f t="shared" si="14"/>
        <v>0</v>
      </c>
      <c r="D67">
        <f t="shared" si="15"/>
        <v>52432.141837705014</v>
      </c>
      <c r="E67">
        <f t="shared" si="16"/>
        <v>52432.141837608928</v>
      </c>
      <c r="F67">
        <f t="shared" si="2"/>
        <v>51</v>
      </c>
      <c r="G67">
        <f>IF(N6="None",F67,MAX(0,F67*B67))</f>
        <v>51</v>
      </c>
      <c r="H67">
        <f>IF(N6="None",0,MAX(0,F67-G67))</f>
        <v>0</v>
      </c>
      <c r="I67">
        <f>IF(AND(N7="None",N8="None"),0,IF(N8="None",G67,IF(N7="None",0,MAX(0,G67*C67))))</f>
        <v>0</v>
      </c>
      <c r="J67">
        <f>IF(AND(N7="None",N8="None"),0,IF(N8="None",0,IF(N7="None",G67,MAX(0,G67-I67))))</f>
        <v>51</v>
      </c>
      <c r="K67">
        <f>P5</f>
        <v>637</v>
      </c>
      <c r="L67">
        <f>P6</f>
        <v>634.3119999999999</v>
      </c>
      <c r="M67">
        <f>P7</f>
        <v>635.5</v>
      </c>
      <c r="N67">
        <f>P8</f>
        <v>631.54999999999995</v>
      </c>
      <c r="O67">
        <f>K67+((ABS(F67)/MAX(((F31)+(H31)*(MAX($D$16,(K67)-(J31))))*(MAX($D$16,(K67)-(J31))),0.000001))^2)/(2*$I$5)-((E31)*((((ABS(F67)*$D$6)/(MAX(((F31)+(H31)*(MAX($D$16,(K67)-(J31))))*(MAX($D$16,(K67)-(J31))),0.000001)*MAX(((((F31)+(H31)*(MAX($D$16,(K67)-(J31))))*(MAX($D$16,(K67)-(J31))))/MAX((F31)+2*(MAX($D$16,(K67)-(J31)))*SQRT(1+(H31)^2),0.000001))^(2/3),0.000001)))^2)+(((ABS(F67)*$D$6)/(MAX(((G31)+(I31)*(MAX($D$16,(D67)-(K31))))*(MAX($D$16,(D67)-(K31))),0.000001)*MAX(((((G31)+(I31)*(MAX($D$16,(D67)-(K31))))*(MAX($D$16,(D67)-(K31))))/MAX((G31)+2*(MAX($D$16,(D67)-(K31)))*SQRT(1+(I31)^2),0.000001))^(2/3),0.000001)))^2))/2)+(IF((ABS(F67)/MAX(((G31)+(I31)*(MAX($D$16,(D67)-(K31))))*(MAX($D$16,(D67)-(K31))),0.000001))&gt;(ABS(F67)/MAX(((F31)+(H31)*(MAX($D$16,(K67)-(J31))))*(MAX($D$16,(K67)-(J31))),0.000001)),$D$9*((((ABS(F67)/MAX(((G31)+(I31)*(MAX($D$16,(D67)-(K31))))*(MAX($D$16,(D67)-(K31))),0.000001))^2)/(2*$I$5))-(((ABS(F67)/MAX(((F31)+(H31)*(MAX($D$16,(K67)-(J31))))*(MAX($D$16,(K67)-(J31))),0.000001))^2)/(2*$I$5))),$D$8*((((ABS(F67)/MAX(((F31)+(H31)*(MAX($D$16,(K67)-(J31))))*(MAX($D$16,(K67)-(J31))),0.000001))^2)/(2*$I$5))-(((ABS(F67)/MAX(((G31)+(I31)*(MAX($D$16,(D67)-(K31))))*(MAX($D$16,(D67)-(K31))),0.000001))^2)/(2*$I$5)))))+($D$10*(ABS((X31)-(W31))/90)*MAX(((ABS(F67)/MAX(((F31)+(H31)*(MAX($D$16,(K67)-(J31))))*(MAX($D$16,(K67)-(J31))),0.000001))^2)/(2*$I$5),((ABS(F67)/MAX(((G31)+(I31)*(MAX($D$16,(D67)-(K31))))*(MAX($D$16,(D67)-(K31))),0.000001))^2)/(2*$I$5)))+(0)-((ABS(F67)/MAX(((G31)+(I31)*(MAX($D$16,(D67)-(K31))))*(MAX($D$16,(D67)-(K31))),0.000001))^2)/(2*$I$5)</f>
        <v>637.65825101089831</v>
      </c>
      <c r="P67">
        <f>E67+((ABS(G67)/MAX(((G32)+(I32)*(MAX($D$16,(E67)-(K32))))*(MAX($D$16,(E67)-(K32))),0.000001))^2)/(2*$I$5)+((E32)*((((ABS(G67)*$D$6)/(MAX(((F32)+(H32)*(MAX($D$16,(D67)-(J32))))*(MAX($D$16,(D67)-(J32))),0.000001)*MAX(((((F32)+(H32)*(MAX($D$16,(D67)-(J32))))*(MAX($D$16,(D67)-(J32))))/MAX((F32)+2*(MAX($D$16,(D67)-(J32)))*SQRT(1+(H32)^2),0.000001))^(2/3),0.000001)))^2)+(((ABS(G67)*$D$6)/(MAX(((G32)+(I32)*(MAX($D$16,(E67)-(K32))))*(MAX($D$16,(E67)-(K32))),0.000001)*MAX(((((G32)+(I32)*(MAX($D$16,(E67)-(K32))))*(MAX($D$16,(E67)-(K32))))/MAX((G32)+2*(MAX($D$16,(E67)-(K32)))*SQRT(1+(I32)^2),0.000001))^(2/3),0.000001)))^2))/2)+(IF((ABS(G67)/MAX(((G32)+(I32)*(MAX($D$16,(E67)-(K32))))*(MAX($D$16,(E67)-(K32))),0.000001))&gt;(ABS(G67)/MAX(((F32)+(H32)*(MAX($D$16,(D67)-(J32))))*(MAX($D$16,(D67)-(J32))),0.000001)),$D$9*((((ABS(G67)/MAX(((G32)+(I32)*(MAX($D$16,(E67)-(K32))))*(MAX($D$16,(E67)-(K32))),0.000001))^2)/(2*$I$5))-(((ABS(G67)/MAX(((F32)+(H32)*(MAX($D$16,(D67)-(J32))))*(MAX($D$16,(D67)-(J32))),0.000001))^2)/(2*$I$5))),$D$8*((((ABS(G67)/MAX(((F32)+(H32)*(MAX($D$16,(D67)-(J32))))*(MAX($D$16,(D67)-(J32))),0.000001))^2)/(2*$I$5))-(((ABS(G67)/MAX(((G32)+(I32)*(MAX($D$16,(E67)-(K32))))*(MAX($D$16,(E67)-(K32))),0.000001))^2)/(2*$I$5)))))+($D$10*(ABS((X32)-(W32))/90)*MAX(((ABS(G67)/MAX(((F32)+(H32)*(MAX($D$16,(D67)-(J32))))*(MAX($D$16,(D67)-(J32))),0.000001))^2)/(2*$I$5),((ABS(G67)/MAX(((G32)+(I32)*(MAX($D$16,(E67)-(K32))))*(MAX($D$16,(E67)-(K32))),0.000001))^2)/(2*$I$5)))+(($D$11*0.13607488*(ABS(H67)/MAX(ABS(F67),0.000001))^2*MAX(((ABS(G67)/MAX(((F32)+(H32)*(MAX($D$16,(D67)-(J32))))*(MAX($D$16,(D67)-(J32))),0.000001))^2)/(2*$I$5),((ABS(G67)/MAX(((G32)+(I32)*(MAX($D$16,(E67)-(K32))))*(MAX($D$16,(E67)-(K32))),0.000001))^2)/(2*$I$5))))-((ABS(G67)/MAX(((F32)+(H32)*(MAX($D$16,(D67)-(J32))))*(MAX($D$16,(D67)-(J32))),0.000001))^2)/(2*$I$5)</f>
        <v>52432.141837609481</v>
      </c>
      <c r="Q67">
        <f>L67+((ABS(H67)/MAX(((G33)+(I33)*(MAX($D$16,(L67)-(K33))))*(MAX($D$16,(L67)-(K33))),0.000001))^2)/(2*$I$5)+((E33)*((((ABS(H67)*$D$6)/(MAX(((F33)+(H33)*(MAX($D$16,(D67)-(J33))))*(MAX($D$16,(D67)-(J33))),0.000001)*MAX(((((F33)+(H33)*(MAX($D$16,(D67)-(J33))))*(MAX($D$16,(D67)-(J33))))/MAX((F33)+2*(MAX($D$16,(D67)-(J33)))*SQRT(1+(H33)^2),0.000001))^(2/3),0.000001)))^2)+(((ABS(H67)*$D$6)/(MAX(((G33)+(I33)*(MAX($D$16,(L67)-(K33))))*(MAX($D$16,(L67)-(K33))),0.000001)*MAX(((((G33)+(I33)*(MAX($D$16,(L67)-(K33))))*(MAX($D$16,(L67)-(K33))))/MAX((G33)+2*(MAX($D$16,(L67)-(K33)))*SQRT(1+(I33)^2),0.000001))^(2/3),0.000001)))^2))/2)+(IF((ABS(H67)/MAX(((G33)+(I33)*(MAX($D$16,(L67)-(K33))))*(MAX($D$16,(L67)-(K33))),0.000001))&gt;(ABS(H67)/MAX(((F33)+(H33)*(MAX($D$16,(D67)-(J33))))*(MAX($D$16,(D67)-(J33))),0.000001)),$D$9*((((ABS(H67)/MAX(((G33)+(I33)*(MAX($D$16,(L67)-(K33))))*(MAX($D$16,(L67)-(K33))),0.000001))^2)/(2*$I$5))-(((ABS(H67)/MAX(((F33)+(H33)*(MAX($D$16,(D67)-(J33))))*(MAX($D$16,(D67)-(J33))),0.000001))^2)/(2*$I$5))),$D$8*((((ABS(H67)/MAX(((F33)+(H33)*(MAX($D$16,(D67)-(J33))))*(MAX($D$16,(D67)-(J33))),0.000001))^2)/(2*$I$5))-(((ABS(H67)/MAX(((G33)+(I33)*(MAX($D$16,(L67)-(K33))))*(MAX($D$16,(L67)-(K33))),0.000001))^2)/(2*$I$5)))))+($D$10*(ABS((X33)-(W33))/90)*MAX(((ABS(H67)/MAX(((F33)+(H33)*(MAX($D$16,(D67)-(J33))))*(MAX($D$16,(D67)-(J33))),0.000001))^2)/(2*$I$5),((ABS(H67)/MAX(((G33)+(I33)*(MAX($D$16,(L67)-(K33))))*(MAX($D$16,(L67)-(K33))),0.000001))^2)/(2*$I$5)))+(($D$11*0.00000015*(ABS(G67)/MAX(ABS(F67),0.000001))^2*MAX(((ABS(H67)/MAX(((F33)+(H33)*(MAX($D$16,(D67)-(J33))))*(MAX($D$16,(D67)-(J33))),0.000001))^2)/(2*$I$5),((ABS(H67)/MAX(((G33)+(I33)*(MAX($D$16,(L67)-(K33))))*(MAX($D$16,(L67)-(K33))),0.000001))^2)/(2*$I$5))))-((ABS(H67)/MAX(((F33)+(H33)*(MAX($D$16,(D67)-(J33))))*(MAX($D$16,(D67)-(J33))),0.000001))^2)/(2*$I$5)</f>
        <v>634.3119999999999</v>
      </c>
      <c r="R67">
        <f>D67+((ABS(G67)/MAX(((F32)+(H32)*(MAX($D$16,(D67)-(J32))))*(MAX($D$16,(D67)-(J32))),0.000001))^2)/(2*$I$5)-((E32)*((((ABS(G67)*$D$6)/(MAX(((F32)+(H32)*(MAX($D$16,(D67)-(J32))))*(MAX($D$16,(D67)-(J32))),0.000001)*MAX(((((F32)+(H32)*(MAX($D$16,(D67)-(J32))))*(MAX($D$16,(D67)-(J32))))/MAX((F32)+2*(MAX($D$16,(D67)-(J32)))*SQRT(1+(H32)^2),0.000001))^(2/3),0.000001)))^2)+(((ABS(G67)*$D$6)/(MAX(((G32)+(I32)*(MAX($D$16,(E67)-(K32))))*(MAX($D$16,(E67)-(K32))),0.000001)*MAX(((((G32)+(I32)*(MAX($D$16,(E67)-(K32))))*(MAX($D$16,(E67)-(K32))))/MAX((G32)+2*(MAX($D$16,(E67)-(K32)))*SQRT(1+(I32)^2),0.000001))^(2/3),0.000001)))^2))/2)+(IF((ABS(G67)/MAX(((G32)+(I32)*(MAX($D$16,(E67)-(K32))))*(MAX($D$16,(E67)-(K32))),0.000001))&gt;(ABS(G67)/MAX(((F32)+(H32)*(MAX($D$16,(D67)-(J32))))*(MAX($D$16,(D67)-(J32))),0.000001)),$D$9*((((ABS(G67)/MAX(((G32)+(I32)*(MAX($D$16,(E67)-(K32))))*(MAX($D$16,(E67)-(K32))),0.000001))^2)/(2*$I$5))-(((ABS(G67)/MAX(((F32)+(H32)*(MAX($D$16,(D67)-(J32))))*(MAX($D$16,(D67)-(J32))),0.000001))^2)/(2*$I$5))),$D$8*((((ABS(G67)/MAX(((F32)+(H32)*(MAX($D$16,(D67)-(J32))))*(MAX($D$16,(D67)-(J32))),0.000001))^2)/(2*$I$5))-(((ABS(G67)/MAX(((G32)+(I32)*(MAX($D$16,(E67)-(K32))))*(MAX($D$16,(E67)-(K32))),0.000001))^2)/(2*$I$5)))))+($D$10*(ABS((X32)-(W32))/90)*MAX(((ABS(G67)/MAX(((F32)+(H32)*(MAX($D$16,(D67)-(J32))))*(MAX($D$16,(D67)-(J32))),0.000001))^2)/(2*$I$5),((ABS(G67)/MAX(((G32)+(I32)*(MAX($D$16,(E67)-(K32))))*(MAX($D$16,(E67)-(K32))),0.000001))^2)/(2*$I$5)))+(($D$11*0.13607488*(ABS(H67)/MAX(ABS(F67),0.000001))^2*MAX(((ABS(G67)/MAX(((F32)+(H32)*(MAX($D$16,(D67)-(J32))))*(MAX($D$16,(D67)-(J32))),0.000001))^2)/(2*$I$5),((ABS(G67)/MAX(((G32)+(I32)*(MAX($D$16,(E67)-(K32))))*(MAX($D$16,(E67)-(K32))),0.000001))^2)/(2*$I$5))))-((ABS(G67)/MAX(((G32)+(I32)*(MAX($D$16,(E67)-(K32))))*(MAX($D$16,(E67)-(K32))),0.000001))^2)/(2*$I$5)</f>
        <v>52432.141837705145</v>
      </c>
      <c r="S67">
        <f>M67+((ABS(I67)/MAX(((G34)+(I34)*(MAX($D$16,(M67)-(K34))))*(MAX($D$16,(M67)-(K34))),0.000001))^2)/(2*$I$5)+((E34)*((((ABS(I67)*$D$6)/(MAX(((F34)+(H34)*(MAX($D$16,(E67)-(J34))))*(MAX($D$16,(E67)-(J34))),0.000001)*MAX(((((F34)+(H34)*(MAX($D$16,(E67)-(J34))))*(MAX($D$16,(E67)-(J34))))/MAX((F34)+2*(MAX($D$16,(E67)-(J34)))*SQRT(1+(H34)^2),0.000001))^(2/3),0.000001)))^2)+(((ABS(I67)*$D$6)/(MAX(((G34)+(I34)*(MAX($D$16,(M67)-(K34))))*(MAX($D$16,(M67)-(K34))),0.000001)*MAX(((((G34)+(I34)*(MAX($D$16,(M67)-(K34))))*(MAX($D$16,(M67)-(K34))))/MAX((G34)+2*(MAX($D$16,(M67)-(K34)))*SQRT(1+(I34)^2),0.000001))^(2/3),0.000001)))^2))/2)+(IF((ABS(I67)/MAX(((G34)+(I34)*(MAX($D$16,(M67)-(K34))))*(MAX($D$16,(M67)-(K34))),0.000001))&gt;(ABS(I67)/MAX(((F34)+(H34)*(MAX($D$16,(E67)-(J34))))*(MAX($D$16,(E67)-(J34))),0.000001)),$D$9*((((ABS(I67)/MAX(((G34)+(I34)*(MAX($D$16,(M67)-(K34))))*(MAX($D$16,(M67)-(K34))),0.000001))^2)/(2*$I$5))-(((ABS(I67)/MAX(((F34)+(H34)*(MAX($D$16,(E67)-(J34))))*(MAX($D$16,(E67)-(J34))),0.000001))^2)/(2*$I$5))),$D$8*((((ABS(I67)/MAX(((F34)+(H34)*(MAX($D$16,(E67)-(J34))))*(MAX($D$16,(E67)-(J34))),0.000001))^2)/(2*$I$5))-(((ABS(I67)/MAX(((G34)+(I34)*(MAX($D$16,(M67)-(K34))))*(MAX($D$16,(M67)-(K34))),0.000001))^2)/(2*$I$5)))))+($D$10*(ABS((X34)-(W34))/90)*MAX(((ABS(I67)/MAX(((F34)+(H34)*(MAX($D$16,(E67)-(J34))))*(MAX($D$16,(E67)-(J34))),0.000001))^2)/(2*$I$5),((ABS(I67)/MAX(((G34)+(I34)*(MAX($D$16,(M67)-(K34))))*(MAX($D$16,(M67)-(K34))),0.000001))^2)/(2*$I$5)))+(0)-((ABS(I67)/MAX(((F34)+(H34)*(MAX($D$16,(E67)-(J34))))*(MAX($D$16,(E67)-(J34))),0.000001))^2)/(2*$I$5)</f>
        <v>635.5</v>
      </c>
      <c r="T67">
        <f>N67+((ABS(J67)/MAX(((G35)+(I35)*(MAX($D$16,(N67)-(K35))))*(MAX($D$16,(N67)-(K35))),0.000001))^2)/(2*$I$5)+((E35)*((((ABS(J67)*$D$6)/(MAX(((F35)+(H35)*(MAX($D$16,(E67)-(J35))))*(MAX($D$16,(E67)-(J35))),0.000001)*MAX(((((F35)+(H35)*(MAX($D$16,(E67)-(J35))))*(MAX($D$16,(E67)-(J35))))/MAX((F35)+2*(MAX($D$16,(E67)-(J35)))*SQRT(1+(H35)^2),0.000001))^(2/3),0.000001)))^2)+(((ABS(J67)*$D$6)/(MAX(((G35)+(I35)*(MAX($D$16,(N67)-(K35))))*(MAX($D$16,(N67)-(K35))),0.000001)*MAX(((((G35)+(I35)*(MAX($D$16,(N67)-(K35))))*(MAX($D$16,(N67)-(K35))))/MAX((G35)+2*(MAX($D$16,(N67)-(K35)))*SQRT(1+(I35)^2),0.000001))^(2/3),0.000001)))^2))/2)+(IF((ABS(J67)/MAX(((G35)+(I35)*(MAX($D$16,(N67)-(K35))))*(MAX($D$16,(N67)-(K35))),0.000001))&gt;(ABS(J67)/MAX(((F35)+(H35)*(MAX($D$16,(E67)-(J35))))*(MAX($D$16,(E67)-(J35))),0.000001)),$D$9*((((ABS(J67)/MAX(((G35)+(I35)*(MAX($D$16,(N67)-(K35))))*(MAX($D$16,(N67)-(K35))),0.000001))^2)/(2*$I$5))-(((ABS(J67)/MAX(((F35)+(H35)*(MAX($D$16,(E67)-(J35))))*(MAX($D$16,(E67)-(J35))),0.000001))^2)/(2*$I$5))),$D$8*((((ABS(J67)/MAX(((F35)+(H35)*(MAX($D$16,(E67)-(J35))))*(MAX($D$16,(E67)-(J35))),0.000001))^2)/(2*$I$5))-(((ABS(J67)/MAX(((G35)+(I35)*(MAX($D$16,(N67)-(K35))))*(MAX($D$16,(N67)-(K35))),0.000001))^2)/(2*$I$5)))))+($D$10*(ABS((X35)-(W35))/90)*MAX(((ABS(J67)/MAX(((F35)+(H35)*(MAX($D$16,(E67)-(J35))))*(MAX($D$16,(E67)-(J35))),0.000001))^2)/(2*$I$5),((ABS(J67)/MAX(((G35)+(I35)*(MAX($D$16,(N67)-(K35))))*(MAX($D$16,(N67)-(K35))),0.000001))^2)/(2*$I$5)))+(($D$11*0.34699541*(ABS(I67)/MAX(ABS(G67),0.000001))^2*MAX(((ABS(J67)/MAX(((F35)+(H35)*(MAX($D$16,(E67)-(J35))))*(MAX($D$16,(E67)-(J35))),0.000001))^2)/(2*$I$5),((ABS(J67)/MAX(((G35)+(I35)*(MAX($D$16,(N67)-(K35))))*(MAX($D$16,(N67)-(K35))),0.000001))^2)/(2*$I$5))))-((ABS(J67)/MAX(((F35)+(H35)*(MAX($D$16,(E67)-(J35))))*(MAX($D$16,(E67)-(J35))),0.000001))^2)/(2*$I$5)</f>
        <v>20784.033523923383</v>
      </c>
      <c r="U67">
        <f>(((((F32)*(MAX($D$16,(D67)-(J32)))^2)/2+(H32)*(MAX($D$16,(D67)-(J32)))^3/3+(ABS(G67)^2)/($I$5*MAX(((F32)+(H32)*(MAX($D$16,(D67)-(J32))))*(MAX($D$16,(D67)-(J32))),0.000001)))*0.72785025)-((((F33)*(MAX($D$16,(D67)-(J33)))^2)/2+(H33)*(MAX($D$16,(D67)-(J33)))^3/3+(ABS(H67)^2)/($I$5*MAX(((F33)+(H33)*(MAX($D$16,(D67)-(J33))))*(MAX($D$16,(D67)-(J33))),0.000001)))*0.99999971))/MAX(((G31)*(MAX($D$16,(D67)-(K31)))^2)/2+(I31)*(MAX($D$16,(D67)-(K31)))^3/3+(ABS(F67)^2)/($I$5*MAX(((G31)+(I31)*(MAX($D$16,(D67)-(K31))))*(MAX($D$16,(D67)-(K31))),0.000001)),0.000001)</f>
        <v>-0.27214945999991125</v>
      </c>
      <c r="V67">
        <f>(((((F34)*(MAX($D$16,(E67)-(J34)))^2)/2+(H34)*(MAX($D$16,(E67)-(J34)))^3/3+(ABS(I67)^2)/($I$5*MAX(((F34)+(H34)*(MAX($D$16,(E67)-(J34))))*(MAX($D$16,(E67)-(J34))),0.000001)))*1)-((((F35)*(MAX($D$16,(E67)-(J35)))^2)/2+(H35)*(MAX($D$16,(E67)-(J35)))^3/3+(ABS(J67)^2)/($I$5*MAX(((F35)+(H35)*(MAX($D$16,(E67)-(J35))))*(MAX($D$16,(E67)-(J35))),0.000001)))*0.30600918))/MAX(((G32)*(MAX($D$16,(E67)-(K32)))^2)/2+(I32)*(MAX($D$16,(E67)-(K32)))^3/3+(ABS(G67)^2)/($I$5*MAX(((G32)+(I32)*(MAX($D$16,(E67)-(K32))))*(MAX($D$16,(E67)-(K32))),0.000001)),0.000001)</f>
        <v>0.69398638937190393</v>
      </c>
      <c r="W67">
        <f>IF(N6="None",ABS(P67-D67),MAX(ABS(P67-D67),ABS(Q67-D67)))</f>
        <v>9.5533323474228382E-8</v>
      </c>
      <c r="X67">
        <f>IF(AND(N7="None",N8="None"),0,IF(N8="None",ABS(S67-E67),IF(N7="None",ABS(T67-E67),MAX(ABS(S67-E67),ABS(T67-E67)))))</f>
        <v>51796.641837608928</v>
      </c>
      <c r="AA67">
        <f t="shared" si="3"/>
        <v>52432.141837671574</v>
      </c>
      <c r="AB67">
        <f t="shared" si="4"/>
        <v>41355.30392781899</v>
      </c>
      <c r="AC67">
        <f>IF(N6="None",P67,MAX(P67,Q67))</f>
        <v>52432.141837609481</v>
      </c>
      <c r="AD67">
        <f>IF(AND(N7="None",N8="None"),E67,IF(N8="None",S67,IF(N7="None",T67,MAX(S67,T67))))</f>
        <v>20784.033523923383</v>
      </c>
      <c r="AE67">
        <f t="shared" si="5"/>
        <v>637.65825101089831</v>
      </c>
      <c r="AF67">
        <f t="shared" si="6"/>
        <v>52432.141837705145</v>
      </c>
      <c r="AG67">
        <f>((G31)*(MAX($D$16,(AC67)-(K31)))^2)/2+(I31)*(MAX($D$16,(AC67)-(K31)))^3/3+(ABS(F67)^2)/($I$5*MAX(((G31)+(I31)*(MAX($D$16,(AC67)-(K31))))*(MAX($D$16,(AC67)-(K31))),0.000001))</f>
        <v>8797611517.393795</v>
      </c>
      <c r="AH67">
        <f>((G31)*(MAX($D$16,(AE67)-(K31)))^2)/2+(I31)*(MAX($D$16,(AE67)-(K31)))^3/3+(ABS(F67)^2)/($I$5*MAX(((G31)+(I31)*(MAX($D$16,(AE67)-(K31))))*(MAX($D$16,(AE67)-(K31))),0.000001))</f>
        <v>49.055863329575246</v>
      </c>
      <c r="AI67">
        <f>((G32)*(MAX($D$16,(AD67)-(K32)))^2)/2+(I32)*(MAX($D$16,(AD67)-(K32)))^3/3+(ABS(G67)^2)/($I$5*MAX(((G32)+(I32)*(MAX($D$16,(AD67)-(K32))))*(MAX($D$16,(AD67)-(K32))),0.000001))</f>
        <v>2072376743.6648321</v>
      </c>
      <c r="AJ67">
        <f>((G32)*(MAX($D$16,(AF67)-(K32)))^2)/2+(I32)*(MAX($D$16,(AF67)-(K32)))^3/3+(ABS(G67)^2)/($I$5*MAX(((G32)+(I32)*(MAX($D$16,(AF67)-(K32))))*(MAX($D$16,(AF67)-(K32))),0.000001))</f>
        <v>13692714789.666895</v>
      </c>
      <c r="AK67" t="str">
        <f t="shared" si="7"/>
        <v>Subcritical</v>
      </c>
      <c r="AL67" t="str">
        <f t="shared" si="8"/>
        <v>Supercritical</v>
      </c>
      <c r="AM67">
        <f t="shared" si="9"/>
        <v>52432.141837671574</v>
      </c>
      <c r="AN67">
        <f t="shared" si="10"/>
        <v>52432.141837642601</v>
      </c>
      <c r="AO67">
        <f t="shared" si="11"/>
        <v>9.5533323474228382E-8</v>
      </c>
      <c r="AP67">
        <f t="shared" si="12"/>
        <v>9.6217263489961624E-8</v>
      </c>
    </row>
    <row r="68" spans="1:42" x14ac:dyDescent="0.35">
      <c r="A68">
        <v>25</v>
      </c>
      <c r="B68">
        <f t="shared" si="13"/>
        <v>0</v>
      </c>
      <c r="C68">
        <f t="shared" si="14"/>
        <v>0</v>
      </c>
      <c r="D68">
        <f t="shared" si="15"/>
        <v>52432.141837671574</v>
      </c>
      <c r="E68">
        <f t="shared" si="16"/>
        <v>52432.141837642601</v>
      </c>
      <c r="F68">
        <f t="shared" si="2"/>
        <v>51</v>
      </c>
      <c r="G68">
        <f>IF(N6="None",F68,MAX(0,F68*B68))</f>
        <v>51</v>
      </c>
      <c r="H68">
        <f>IF(N6="None",0,MAX(0,F68-G68))</f>
        <v>0</v>
      </c>
      <c r="I68">
        <f>IF(AND(N7="None",N8="None"),0,IF(N8="None",G68,IF(N7="None",0,MAX(0,G68*C68))))</f>
        <v>0</v>
      </c>
      <c r="J68">
        <f>IF(AND(N7="None",N8="None"),0,IF(N8="None",0,IF(N7="None",G68,MAX(0,G68-I68))))</f>
        <v>51</v>
      </c>
      <c r="K68">
        <f>P5</f>
        <v>637</v>
      </c>
      <c r="L68">
        <f>P6</f>
        <v>634.3119999999999</v>
      </c>
      <c r="M68">
        <f>P7</f>
        <v>635.5</v>
      </c>
      <c r="N68">
        <f>P8</f>
        <v>631.54999999999995</v>
      </c>
      <c r="O68">
        <f>K68+((ABS(F68)/MAX(((F31)+(H31)*(MAX($D$16,(K68)-(J31))))*(MAX($D$16,(K68)-(J31))),0.000001))^2)/(2*$I$5)-((E31)*((((ABS(F68)*$D$6)/(MAX(((F31)+(H31)*(MAX($D$16,(K68)-(J31))))*(MAX($D$16,(K68)-(J31))),0.000001)*MAX(((((F31)+(H31)*(MAX($D$16,(K68)-(J31))))*(MAX($D$16,(K68)-(J31))))/MAX((F31)+2*(MAX($D$16,(K68)-(J31)))*SQRT(1+(H31)^2),0.000001))^(2/3),0.000001)))^2)+(((ABS(F68)*$D$6)/(MAX(((G31)+(I31)*(MAX($D$16,(D68)-(K31))))*(MAX($D$16,(D68)-(K31))),0.000001)*MAX(((((G31)+(I31)*(MAX($D$16,(D68)-(K31))))*(MAX($D$16,(D68)-(K31))))/MAX((G31)+2*(MAX($D$16,(D68)-(K31)))*SQRT(1+(I31)^2),0.000001))^(2/3),0.000001)))^2))/2)+(IF((ABS(F68)/MAX(((G31)+(I31)*(MAX($D$16,(D68)-(K31))))*(MAX($D$16,(D68)-(K31))),0.000001))&gt;(ABS(F68)/MAX(((F31)+(H31)*(MAX($D$16,(K68)-(J31))))*(MAX($D$16,(K68)-(J31))),0.000001)),$D$9*((((ABS(F68)/MAX(((G31)+(I31)*(MAX($D$16,(D68)-(K31))))*(MAX($D$16,(D68)-(K31))),0.000001))^2)/(2*$I$5))-(((ABS(F68)/MAX(((F31)+(H31)*(MAX($D$16,(K68)-(J31))))*(MAX($D$16,(K68)-(J31))),0.000001))^2)/(2*$I$5))),$D$8*((((ABS(F68)/MAX(((F31)+(H31)*(MAX($D$16,(K68)-(J31))))*(MAX($D$16,(K68)-(J31))),0.000001))^2)/(2*$I$5))-(((ABS(F68)/MAX(((G31)+(I31)*(MAX($D$16,(D68)-(K31))))*(MAX($D$16,(D68)-(K31))),0.000001))^2)/(2*$I$5)))))+($D$10*(ABS((X31)-(W31))/90)*MAX(((ABS(F68)/MAX(((F31)+(H31)*(MAX($D$16,(K68)-(J31))))*(MAX($D$16,(K68)-(J31))),0.000001))^2)/(2*$I$5),((ABS(F68)/MAX(((G31)+(I31)*(MAX($D$16,(D68)-(K31))))*(MAX($D$16,(D68)-(K31))),0.000001))^2)/(2*$I$5)))+(0)-((ABS(F68)/MAX(((G31)+(I31)*(MAX($D$16,(D68)-(K31))))*(MAX($D$16,(D68)-(K31))),0.000001))^2)/(2*$I$5)</f>
        <v>637.65825101089831</v>
      </c>
      <c r="P68">
        <f>E68+((ABS(G68)/MAX(((G32)+(I32)*(MAX($D$16,(E68)-(K32))))*(MAX($D$16,(E68)-(K32))),0.000001))^2)/(2*$I$5)+((E32)*((((ABS(G68)*$D$6)/(MAX(((F32)+(H32)*(MAX($D$16,(D68)-(J32))))*(MAX($D$16,(D68)-(J32))),0.000001)*MAX(((((F32)+(H32)*(MAX($D$16,(D68)-(J32))))*(MAX($D$16,(D68)-(J32))))/MAX((F32)+2*(MAX($D$16,(D68)-(J32)))*SQRT(1+(H32)^2),0.000001))^(2/3),0.000001)))^2)+(((ABS(G68)*$D$6)/(MAX(((G32)+(I32)*(MAX($D$16,(E68)-(K32))))*(MAX($D$16,(E68)-(K32))),0.000001)*MAX(((((G32)+(I32)*(MAX($D$16,(E68)-(K32))))*(MAX($D$16,(E68)-(K32))))/MAX((G32)+2*(MAX($D$16,(E68)-(K32)))*SQRT(1+(I32)^2),0.000001))^(2/3),0.000001)))^2))/2)+(IF((ABS(G68)/MAX(((G32)+(I32)*(MAX($D$16,(E68)-(K32))))*(MAX($D$16,(E68)-(K32))),0.000001))&gt;(ABS(G68)/MAX(((F32)+(H32)*(MAX($D$16,(D68)-(J32))))*(MAX($D$16,(D68)-(J32))),0.000001)),$D$9*((((ABS(G68)/MAX(((G32)+(I32)*(MAX($D$16,(E68)-(K32))))*(MAX($D$16,(E68)-(K32))),0.000001))^2)/(2*$I$5))-(((ABS(G68)/MAX(((F32)+(H32)*(MAX($D$16,(D68)-(J32))))*(MAX($D$16,(D68)-(J32))),0.000001))^2)/(2*$I$5))),$D$8*((((ABS(G68)/MAX(((F32)+(H32)*(MAX($D$16,(D68)-(J32))))*(MAX($D$16,(D68)-(J32))),0.000001))^2)/(2*$I$5))-(((ABS(G68)/MAX(((G32)+(I32)*(MAX($D$16,(E68)-(K32))))*(MAX($D$16,(E68)-(K32))),0.000001))^2)/(2*$I$5)))))+($D$10*(ABS((X32)-(W32))/90)*MAX(((ABS(G68)/MAX(((F32)+(H32)*(MAX($D$16,(D68)-(J32))))*(MAX($D$16,(D68)-(J32))),0.000001))^2)/(2*$I$5),((ABS(G68)/MAX(((G32)+(I32)*(MAX($D$16,(E68)-(K32))))*(MAX($D$16,(E68)-(K32))),0.000001))^2)/(2*$I$5)))+(($D$11*0.13607488*(ABS(H68)/MAX(ABS(F68),0.000001))^2*MAX(((ABS(G68)/MAX(((F32)+(H32)*(MAX($D$16,(D68)-(J32))))*(MAX($D$16,(D68)-(J32))),0.000001))^2)/(2*$I$5),((ABS(G68)/MAX(((G32)+(I32)*(MAX($D$16,(E68)-(K32))))*(MAX($D$16,(E68)-(K32))),0.000001))^2)/(2*$I$5))))-((ABS(G68)/MAX(((F32)+(H32)*(MAX($D$16,(D68)-(J32))))*(MAX($D$16,(D68)-(J32))),0.000001))^2)/(2*$I$5)</f>
        <v>52432.141837643154</v>
      </c>
      <c r="Q68">
        <f>L68+((ABS(H68)/MAX(((G33)+(I33)*(MAX($D$16,(L68)-(K33))))*(MAX($D$16,(L68)-(K33))),0.000001))^2)/(2*$I$5)+((E33)*((((ABS(H68)*$D$6)/(MAX(((F33)+(H33)*(MAX($D$16,(D68)-(J33))))*(MAX($D$16,(D68)-(J33))),0.000001)*MAX(((((F33)+(H33)*(MAX($D$16,(D68)-(J33))))*(MAX($D$16,(D68)-(J33))))/MAX((F33)+2*(MAX($D$16,(D68)-(J33)))*SQRT(1+(H33)^2),0.000001))^(2/3),0.000001)))^2)+(((ABS(H68)*$D$6)/(MAX(((G33)+(I33)*(MAX($D$16,(L68)-(K33))))*(MAX($D$16,(L68)-(K33))),0.000001)*MAX(((((G33)+(I33)*(MAX($D$16,(L68)-(K33))))*(MAX($D$16,(L68)-(K33))))/MAX((G33)+2*(MAX($D$16,(L68)-(K33)))*SQRT(1+(I33)^2),0.000001))^(2/3),0.000001)))^2))/2)+(IF((ABS(H68)/MAX(((G33)+(I33)*(MAX($D$16,(L68)-(K33))))*(MAX($D$16,(L68)-(K33))),0.000001))&gt;(ABS(H68)/MAX(((F33)+(H33)*(MAX($D$16,(D68)-(J33))))*(MAX($D$16,(D68)-(J33))),0.000001)),$D$9*((((ABS(H68)/MAX(((G33)+(I33)*(MAX($D$16,(L68)-(K33))))*(MAX($D$16,(L68)-(K33))),0.000001))^2)/(2*$I$5))-(((ABS(H68)/MAX(((F33)+(H33)*(MAX($D$16,(D68)-(J33))))*(MAX($D$16,(D68)-(J33))),0.000001))^2)/(2*$I$5))),$D$8*((((ABS(H68)/MAX(((F33)+(H33)*(MAX($D$16,(D68)-(J33))))*(MAX($D$16,(D68)-(J33))),0.000001))^2)/(2*$I$5))-(((ABS(H68)/MAX(((G33)+(I33)*(MAX($D$16,(L68)-(K33))))*(MAX($D$16,(L68)-(K33))),0.000001))^2)/(2*$I$5)))))+($D$10*(ABS((X33)-(W33))/90)*MAX(((ABS(H68)/MAX(((F33)+(H33)*(MAX($D$16,(D68)-(J33))))*(MAX($D$16,(D68)-(J33))),0.000001))^2)/(2*$I$5),((ABS(H68)/MAX(((G33)+(I33)*(MAX($D$16,(L68)-(K33))))*(MAX($D$16,(L68)-(K33))),0.000001))^2)/(2*$I$5)))+(($D$11*0.00000015*(ABS(G68)/MAX(ABS(F68),0.000001))^2*MAX(((ABS(H68)/MAX(((F33)+(H33)*(MAX($D$16,(D68)-(J33))))*(MAX($D$16,(D68)-(J33))),0.000001))^2)/(2*$I$5),((ABS(H68)/MAX(((G33)+(I33)*(MAX($D$16,(L68)-(K33))))*(MAX($D$16,(L68)-(K33))),0.000001))^2)/(2*$I$5))))-((ABS(H68)/MAX(((F33)+(H33)*(MAX($D$16,(D68)-(J33))))*(MAX($D$16,(D68)-(J33))),0.000001))^2)/(2*$I$5)</f>
        <v>634.3119999999999</v>
      </c>
      <c r="R68">
        <f>D68+((ABS(G68)/MAX(((F32)+(H32)*(MAX($D$16,(D68)-(J32))))*(MAX($D$16,(D68)-(J32))),0.000001))^2)/(2*$I$5)-((E32)*((((ABS(G68)*$D$6)/(MAX(((F32)+(H32)*(MAX($D$16,(D68)-(J32))))*(MAX($D$16,(D68)-(J32))),0.000001)*MAX(((((F32)+(H32)*(MAX($D$16,(D68)-(J32))))*(MAX($D$16,(D68)-(J32))))/MAX((F32)+2*(MAX($D$16,(D68)-(J32)))*SQRT(1+(H32)^2),0.000001))^(2/3),0.000001)))^2)+(((ABS(G68)*$D$6)/(MAX(((G32)+(I32)*(MAX($D$16,(E68)-(K32))))*(MAX($D$16,(E68)-(K32))),0.000001)*MAX(((((G32)+(I32)*(MAX($D$16,(E68)-(K32))))*(MAX($D$16,(E68)-(K32))))/MAX((G32)+2*(MAX($D$16,(E68)-(K32)))*SQRT(1+(I32)^2),0.000001))^(2/3),0.000001)))^2))/2)+(IF((ABS(G68)/MAX(((G32)+(I32)*(MAX($D$16,(E68)-(K32))))*(MAX($D$16,(E68)-(K32))),0.000001))&gt;(ABS(G68)/MAX(((F32)+(H32)*(MAX($D$16,(D68)-(J32))))*(MAX($D$16,(D68)-(J32))),0.000001)),$D$9*((((ABS(G68)/MAX(((G32)+(I32)*(MAX($D$16,(E68)-(K32))))*(MAX($D$16,(E68)-(K32))),0.000001))^2)/(2*$I$5))-(((ABS(G68)/MAX(((F32)+(H32)*(MAX($D$16,(D68)-(J32))))*(MAX($D$16,(D68)-(J32))),0.000001))^2)/(2*$I$5))),$D$8*((((ABS(G68)/MAX(((F32)+(H32)*(MAX($D$16,(D68)-(J32))))*(MAX($D$16,(D68)-(J32))),0.000001))^2)/(2*$I$5))-(((ABS(G68)/MAX(((G32)+(I32)*(MAX($D$16,(E68)-(K32))))*(MAX($D$16,(E68)-(K32))),0.000001))^2)/(2*$I$5)))))+($D$10*(ABS((X32)-(W32))/90)*MAX(((ABS(G68)/MAX(((F32)+(H32)*(MAX($D$16,(D68)-(J32))))*(MAX($D$16,(D68)-(J32))),0.000001))^2)/(2*$I$5),((ABS(G68)/MAX(((G32)+(I32)*(MAX($D$16,(E68)-(K32))))*(MAX($D$16,(E68)-(K32))),0.000001))^2)/(2*$I$5)))+(($D$11*0.13607488*(ABS(H68)/MAX(ABS(F68),0.000001))^2*MAX(((ABS(G68)/MAX(((F32)+(H32)*(MAX($D$16,(D68)-(J32))))*(MAX($D$16,(D68)-(J32))),0.000001))^2)/(2*$I$5),((ABS(G68)/MAX(((G32)+(I32)*(MAX($D$16,(E68)-(K32))))*(MAX($D$16,(E68)-(K32))),0.000001))^2)/(2*$I$5))))-((ABS(G68)/MAX(((G32)+(I32)*(MAX($D$16,(E68)-(K32))))*(MAX($D$16,(E68)-(K32))),0.000001))^2)/(2*$I$5)</f>
        <v>52432.141837671705</v>
      </c>
      <c r="S68">
        <f>M68+((ABS(I68)/MAX(((G34)+(I34)*(MAX($D$16,(M68)-(K34))))*(MAX($D$16,(M68)-(K34))),0.000001))^2)/(2*$I$5)+((E34)*((((ABS(I68)*$D$6)/(MAX(((F34)+(H34)*(MAX($D$16,(E68)-(J34))))*(MAX($D$16,(E68)-(J34))),0.000001)*MAX(((((F34)+(H34)*(MAX($D$16,(E68)-(J34))))*(MAX($D$16,(E68)-(J34))))/MAX((F34)+2*(MAX($D$16,(E68)-(J34)))*SQRT(1+(H34)^2),0.000001))^(2/3),0.000001)))^2)+(((ABS(I68)*$D$6)/(MAX(((G34)+(I34)*(MAX($D$16,(M68)-(K34))))*(MAX($D$16,(M68)-(K34))),0.000001)*MAX(((((G34)+(I34)*(MAX($D$16,(M68)-(K34))))*(MAX($D$16,(M68)-(K34))))/MAX((G34)+2*(MAX($D$16,(M68)-(K34)))*SQRT(1+(I34)^2),0.000001))^(2/3),0.000001)))^2))/2)+(IF((ABS(I68)/MAX(((G34)+(I34)*(MAX($D$16,(M68)-(K34))))*(MAX($D$16,(M68)-(K34))),0.000001))&gt;(ABS(I68)/MAX(((F34)+(H34)*(MAX($D$16,(E68)-(J34))))*(MAX($D$16,(E68)-(J34))),0.000001)),$D$9*((((ABS(I68)/MAX(((G34)+(I34)*(MAX($D$16,(M68)-(K34))))*(MAX($D$16,(M68)-(K34))),0.000001))^2)/(2*$I$5))-(((ABS(I68)/MAX(((F34)+(H34)*(MAX($D$16,(E68)-(J34))))*(MAX($D$16,(E68)-(J34))),0.000001))^2)/(2*$I$5))),$D$8*((((ABS(I68)/MAX(((F34)+(H34)*(MAX($D$16,(E68)-(J34))))*(MAX($D$16,(E68)-(J34))),0.000001))^2)/(2*$I$5))-(((ABS(I68)/MAX(((G34)+(I34)*(MAX($D$16,(M68)-(K34))))*(MAX($D$16,(M68)-(K34))),0.000001))^2)/(2*$I$5)))))+($D$10*(ABS((X34)-(W34))/90)*MAX(((ABS(I68)/MAX(((F34)+(H34)*(MAX($D$16,(E68)-(J34))))*(MAX($D$16,(E68)-(J34))),0.000001))^2)/(2*$I$5),((ABS(I68)/MAX(((G34)+(I34)*(MAX($D$16,(M68)-(K34))))*(MAX($D$16,(M68)-(K34))),0.000001))^2)/(2*$I$5)))+(0)-((ABS(I68)/MAX(((F34)+(H34)*(MAX($D$16,(E68)-(J34))))*(MAX($D$16,(E68)-(J34))),0.000001))^2)/(2*$I$5)</f>
        <v>635.5</v>
      </c>
      <c r="T68">
        <f>N68+((ABS(J68)/MAX(((G35)+(I35)*(MAX($D$16,(N68)-(K35))))*(MAX($D$16,(N68)-(K35))),0.000001))^2)/(2*$I$5)+((E35)*((((ABS(J68)*$D$6)/(MAX(((F35)+(H35)*(MAX($D$16,(E68)-(J35))))*(MAX($D$16,(E68)-(J35))),0.000001)*MAX(((((F35)+(H35)*(MAX($D$16,(E68)-(J35))))*(MAX($D$16,(E68)-(J35))))/MAX((F35)+2*(MAX($D$16,(E68)-(J35)))*SQRT(1+(H35)^2),0.000001))^(2/3),0.000001)))^2)+(((ABS(J68)*$D$6)/(MAX(((G35)+(I35)*(MAX($D$16,(N68)-(K35))))*(MAX($D$16,(N68)-(K35))),0.000001)*MAX(((((G35)+(I35)*(MAX($D$16,(N68)-(K35))))*(MAX($D$16,(N68)-(K35))))/MAX((G35)+2*(MAX($D$16,(N68)-(K35)))*SQRT(1+(I35)^2),0.000001))^(2/3),0.000001)))^2))/2)+(IF((ABS(J68)/MAX(((G35)+(I35)*(MAX($D$16,(N68)-(K35))))*(MAX($D$16,(N68)-(K35))),0.000001))&gt;(ABS(J68)/MAX(((F35)+(H35)*(MAX($D$16,(E68)-(J35))))*(MAX($D$16,(E68)-(J35))),0.000001)),$D$9*((((ABS(J68)/MAX(((G35)+(I35)*(MAX($D$16,(N68)-(K35))))*(MAX($D$16,(N68)-(K35))),0.000001))^2)/(2*$I$5))-(((ABS(J68)/MAX(((F35)+(H35)*(MAX($D$16,(E68)-(J35))))*(MAX($D$16,(E68)-(J35))),0.000001))^2)/(2*$I$5))),$D$8*((((ABS(J68)/MAX(((F35)+(H35)*(MAX($D$16,(E68)-(J35))))*(MAX($D$16,(E68)-(J35))),0.000001))^2)/(2*$I$5))-(((ABS(J68)/MAX(((G35)+(I35)*(MAX($D$16,(N68)-(K35))))*(MAX($D$16,(N68)-(K35))),0.000001))^2)/(2*$I$5)))))+($D$10*(ABS((X35)-(W35))/90)*MAX(((ABS(J68)/MAX(((F35)+(H35)*(MAX($D$16,(E68)-(J35))))*(MAX($D$16,(E68)-(J35))),0.000001))^2)/(2*$I$5),((ABS(J68)/MAX(((G35)+(I35)*(MAX($D$16,(N68)-(K35))))*(MAX($D$16,(N68)-(K35))),0.000001))^2)/(2*$I$5)))+(($D$11*0.34699541*(ABS(I68)/MAX(ABS(G68),0.000001))^2*MAX(((ABS(J68)/MAX(((F35)+(H35)*(MAX($D$16,(E68)-(J35))))*(MAX($D$16,(E68)-(J35))),0.000001))^2)/(2*$I$5),((ABS(J68)/MAX(((G35)+(I35)*(MAX($D$16,(N68)-(K35))))*(MAX($D$16,(N68)-(K35))),0.000001))^2)/(2*$I$5))))-((ABS(J68)/MAX(((F35)+(H35)*(MAX($D$16,(E68)-(J35))))*(MAX($D$16,(E68)-(J35))),0.000001))^2)/(2*$I$5)</f>
        <v>20784.033523923383</v>
      </c>
      <c r="U68">
        <f>(((((F32)*(MAX($D$16,(D68)-(J32)))^2)/2+(H32)*(MAX($D$16,(D68)-(J32)))^3/3+(ABS(G68)^2)/($I$5*MAX(((F32)+(H32)*(MAX($D$16,(D68)-(J32))))*(MAX($D$16,(D68)-(J32))),0.000001)))*0.72785025)-((((F33)*(MAX($D$16,(D68)-(J33)))^2)/2+(H33)*(MAX($D$16,(D68)-(J33)))^3/3+(ABS(H68)^2)/($I$5*MAX(((F33)+(H33)*(MAX($D$16,(D68)-(J33))))*(MAX($D$16,(D68)-(J33))),0.000001)))*0.99999971))/MAX(((G31)*(MAX($D$16,(D68)-(K31)))^2)/2+(I31)*(MAX($D$16,(D68)-(K31)))^3/3+(ABS(F68)^2)/($I$5*MAX(((G31)+(I31)*(MAX($D$16,(D68)-(K31))))*(MAX($D$16,(D68)-(K31))),0.000001)),0.000001)</f>
        <v>-0.27214945999991119</v>
      </c>
      <c r="V68">
        <f>(((((F34)*(MAX($D$16,(E68)-(J34)))^2)/2+(H34)*(MAX($D$16,(E68)-(J34)))^3/3+(ABS(I68)^2)/($I$5*MAX(((F34)+(H34)*(MAX($D$16,(E68)-(J34))))*(MAX($D$16,(E68)-(J34))),0.000001)))*1)-((((F35)*(MAX($D$16,(E68)-(J35)))^2)/2+(H35)*(MAX($D$16,(E68)-(J35)))^3/3+(ABS(J68)^2)/($I$5*MAX(((F35)+(H35)*(MAX($D$16,(E68)-(J35))))*(MAX($D$16,(E68)-(J35))),0.000001)))*0.30600918))/MAX(((G32)*(MAX($D$16,(E68)-(K32)))^2)/2+(I32)*(MAX($D$16,(E68)-(K32)))^3/3+(ABS(G68)^2)/($I$5*MAX(((G32)+(I32)*(MAX($D$16,(E68)-(K32))))*(MAX($D$16,(E68)-(K32))),0.000001)),0.000001)</f>
        <v>0.69398638937190393</v>
      </c>
      <c r="W68">
        <f>IF(N6="None",ABS(P68-D68),MAX(ABS(P68-D68),ABS(Q68-D68)))</f>
        <v>2.8419890441000462E-8</v>
      </c>
      <c r="X68">
        <f>IF(AND(N7="None",N8="None"),0,IF(N8="None",ABS(S68-E68),IF(N7="None",ABS(T68-E68),MAX(ABS(S68-E68),ABS(T68-E68)))))</f>
        <v>51796.641837642601</v>
      </c>
      <c r="AA68">
        <f t="shared" si="3"/>
        <v>52432.141837661628</v>
      </c>
      <c r="AB68">
        <f t="shared" si="4"/>
        <v>41355.303927840876</v>
      </c>
      <c r="AC68">
        <f>IF(N6="None",P68,MAX(P68,Q68))</f>
        <v>52432.141837643154</v>
      </c>
      <c r="AD68">
        <f>IF(AND(N7="None",N8="None"),E68,IF(N8="None",S68,IF(N7="None",T68,MAX(S68,T68))))</f>
        <v>20784.033523923383</v>
      </c>
      <c r="AE68">
        <f t="shared" si="5"/>
        <v>637.65825101089831</v>
      </c>
      <c r="AF68">
        <f t="shared" si="6"/>
        <v>52432.141837671705</v>
      </c>
      <c r="AG68">
        <f>((G31)*(MAX($D$16,(AC68)-(K31)))^2)/2+(I31)*(MAX($D$16,(AC68)-(K31)))^3/3+(ABS(F68)^2)/($I$5*MAX(((G31)+(I31)*(MAX($D$16,(AC68)-(K31))))*(MAX($D$16,(AC68)-(K31))),0.000001))</f>
        <v>8797611517.4052334</v>
      </c>
      <c r="AH68">
        <f>((G31)*(MAX($D$16,(AE68)-(K31)))^2)/2+(I31)*(MAX($D$16,(AE68)-(K31)))^3/3+(ABS(F68)^2)/($I$5*MAX(((G31)+(I31)*(MAX($D$16,(AE68)-(K31))))*(MAX($D$16,(AE68)-(K31))),0.000001))</f>
        <v>49.055863329575246</v>
      </c>
      <c r="AI68">
        <f>((G32)*(MAX($D$16,(AD68)-(K32)))^2)/2+(I32)*(MAX($D$16,(AD68)-(K32)))^3/3+(ABS(G68)^2)/($I$5*MAX(((G32)+(I32)*(MAX($D$16,(AD68)-(K32))))*(MAX($D$16,(AD68)-(K32))),0.000001))</f>
        <v>2072376743.6648321</v>
      </c>
      <c r="AJ68">
        <f>((G32)*(MAX($D$16,(AF68)-(K32)))^2)/2+(I32)*(MAX($D$16,(AF68)-(K32)))^3/3+(ABS(G68)^2)/($I$5*MAX(((G32)+(I32)*(MAX($D$16,(AF68)-(K32))))*(MAX($D$16,(AF68)-(K32))),0.000001))</f>
        <v>13692714789.649218</v>
      </c>
      <c r="AK68" t="str">
        <f t="shared" si="7"/>
        <v>Subcritical</v>
      </c>
      <c r="AL68" t="str">
        <f t="shared" si="8"/>
        <v>Supercritical</v>
      </c>
      <c r="AM68">
        <f t="shared" si="9"/>
        <v>52432.141837661628</v>
      </c>
      <c r="AN68">
        <f t="shared" si="10"/>
        <v>52432.141837652787</v>
      </c>
      <c r="AO68">
        <f t="shared" si="11"/>
        <v>2.8419890441000462E-8</v>
      </c>
      <c r="AP68">
        <f t="shared" si="12"/>
        <v>2.9103830456733704E-8</v>
      </c>
    </row>
    <row r="69" spans="1:42" x14ac:dyDescent="0.35">
      <c r="A69">
        <v>26</v>
      </c>
      <c r="B69">
        <f t="shared" si="13"/>
        <v>0</v>
      </c>
      <c r="C69">
        <f t="shared" si="14"/>
        <v>0</v>
      </c>
      <c r="D69">
        <f t="shared" si="15"/>
        <v>52432.141837661628</v>
      </c>
      <c r="E69">
        <f t="shared" si="16"/>
        <v>52432.141837652787</v>
      </c>
      <c r="F69">
        <f t="shared" si="2"/>
        <v>51</v>
      </c>
      <c r="G69">
        <f>IF(N6="None",F69,MAX(0,F69*B69))</f>
        <v>51</v>
      </c>
      <c r="H69">
        <f>IF(N6="None",0,MAX(0,F69-G69))</f>
        <v>0</v>
      </c>
      <c r="I69">
        <f>IF(AND(N7="None",N8="None"),0,IF(N8="None",G69,IF(N7="None",0,MAX(0,G69*C69))))</f>
        <v>0</v>
      </c>
      <c r="J69">
        <f>IF(AND(N7="None",N8="None"),0,IF(N8="None",0,IF(N7="None",G69,MAX(0,G69-I69))))</f>
        <v>51</v>
      </c>
      <c r="K69">
        <f>P5</f>
        <v>637</v>
      </c>
      <c r="L69">
        <f>P6</f>
        <v>634.3119999999999</v>
      </c>
      <c r="M69">
        <f>P7</f>
        <v>635.5</v>
      </c>
      <c r="N69">
        <f>P8</f>
        <v>631.54999999999995</v>
      </c>
      <c r="O69">
        <f>K69+((ABS(F69)/MAX(((F31)+(H31)*(MAX($D$16,(K69)-(J31))))*(MAX($D$16,(K69)-(J31))),0.000001))^2)/(2*$I$5)-((E31)*((((ABS(F69)*$D$6)/(MAX(((F31)+(H31)*(MAX($D$16,(K69)-(J31))))*(MAX($D$16,(K69)-(J31))),0.000001)*MAX(((((F31)+(H31)*(MAX($D$16,(K69)-(J31))))*(MAX($D$16,(K69)-(J31))))/MAX((F31)+2*(MAX($D$16,(K69)-(J31)))*SQRT(1+(H31)^2),0.000001))^(2/3),0.000001)))^2)+(((ABS(F69)*$D$6)/(MAX(((G31)+(I31)*(MAX($D$16,(D69)-(K31))))*(MAX($D$16,(D69)-(K31))),0.000001)*MAX(((((G31)+(I31)*(MAX($D$16,(D69)-(K31))))*(MAX($D$16,(D69)-(K31))))/MAX((G31)+2*(MAX($D$16,(D69)-(K31)))*SQRT(1+(I31)^2),0.000001))^(2/3),0.000001)))^2))/2)+(IF((ABS(F69)/MAX(((G31)+(I31)*(MAX($D$16,(D69)-(K31))))*(MAX($D$16,(D69)-(K31))),0.000001))&gt;(ABS(F69)/MAX(((F31)+(H31)*(MAX($D$16,(K69)-(J31))))*(MAX($D$16,(K69)-(J31))),0.000001)),$D$9*((((ABS(F69)/MAX(((G31)+(I31)*(MAX($D$16,(D69)-(K31))))*(MAX($D$16,(D69)-(K31))),0.000001))^2)/(2*$I$5))-(((ABS(F69)/MAX(((F31)+(H31)*(MAX($D$16,(K69)-(J31))))*(MAX($D$16,(K69)-(J31))),0.000001))^2)/(2*$I$5))),$D$8*((((ABS(F69)/MAX(((F31)+(H31)*(MAX($D$16,(K69)-(J31))))*(MAX($D$16,(K69)-(J31))),0.000001))^2)/(2*$I$5))-(((ABS(F69)/MAX(((G31)+(I31)*(MAX($D$16,(D69)-(K31))))*(MAX($D$16,(D69)-(K31))),0.000001))^2)/(2*$I$5)))))+($D$10*(ABS((X31)-(W31))/90)*MAX(((ABS(F69)/MAX(((F31)+(H31)*(MAX($D$16,(K69)-(J31))))*(MAX($D$16,(K69)-(J31))),0.000001))^2)/(2*$I$5),((ABS(F69)/MAX(((G31)+(I31)*(MAX($D$16,(D69)-(K31))))*(MAX($D$16,(D69)-(K31))),0.000001))^2)/(2*$I$5)))+(0)-((ABS(F69)/MAX(((G31)+(I31)*(MAX($D$16,(D69)-(K31))))*(MAX($D$16,(D69)-(K31))),0.000001))^2)/(2*$I$5)</f>
        <v>637.65825101089831</v>
      </c>
      <c r="P69">
        <f>E69+((ABS(G69)/MAX(((G32)+(I32)*(MAX($D$16,(E69)-(K32))))*(MAX($D$16,(E69)-(K32))),0.000001))^2)/(2*$I$5)+((E32)*((((ABS(G69)*$D$6)/(MAX(((F32)+(H32)*(MAX($D$16,(D69)-(J32))))*(MAX($D$16,(D69)-(J32))),0.000001)*MAX(((((F32)+(H32)*(MAX($D$16,(D69)-(J32))))*(MAX($D$16,(D69)-(J32))))/MAX((F32)+2*(MAX($D$16,(D69)-(J32)))*SQRT(1+(H32)^2),0.000001))^(2/3),0.000001)))^2)+(((ABS(G69)*$D$6)/(MAX(((G32)+(I32)*(MAX($D$16,(E69)-(K32))))*(MAX($D$16,(E69)-(K32))),0.000001)*MAX(((((G32)+(I32)*(MAX($D$16,(E69)-(K32))))*(MAX($D$16,(E69)-(K32))))/MAX((G32)+2*(MAX($D$16,(E69)-(K32)))*SQRT(1+(I32)^2),0.000001))^(2/3),0.000001)))^2))/2)+(IF((ABS(G69)/MAX(((G32)+(I32)*(MAX($D$16,(E69)-(K32))))*(MAX($D$16,(E69)-(K32))),0.000001))&gt;(ABS(G69)/MAX(((F32)+(H32)*(MAX($D$16,(D69)-(J32))))*(MAX($D$16,(D69)-(J32))),0.000001)),$D$9*((((ABS(G69)/MAX(((G32)+(I32)*(MAX($D$16,(E69)-(K32))))*(MAX($D$16,(E69)-(K32))),0.000001))^2)/(2*$I$5))-(((ABS(G69)/MAX(((F32)+(H32)*(MAX($D$16,(D69)-(J32))))*(MAX($D$16,(D69)-(J32))),0.000001))^2)/(2*$I$5))),$D$8*((((ABS(G69)/MAX(((F32)+(H32)*(MAX($D$16,(D69)-(J32))))*(MAX($D$16,(D69)-(J32))),0.000001))^2)/(2*$I$5))-(((ABS(G69)/MAX(((G32)+(I32)*(MAX($D$16,(E69)-(K32))))*(MAX($D$16,(E69)-(K32))),0.000001))^2)/(2*$I$5)))))+($D$10*(ABS((X32)-(W32))/90)*MAX(((ABS(G69)/MAX(((F32)+(H32)*(MAX($D$16,(D69)-(J32))))*(MAX($D$16,(D69)-(J32))),0.000001))^2)/(2*$I$5),((ABS(G69)/MAX(((G32)+(I32)*(MAX($D$16,(E69)-(K32))))*(MAX($D$16,(E69)-(K32))),0.000001))^2)/(2*$I$5)))+(($D$11*0.13607488*(ABS(H69)/MAX(ABS(F69),0.000001))^2*MAX(((ABS(G69)/MAX(((F32)+(H32)*(MAX($D$16,(D69)-(J32))))*(MAX($D$16,(D69)-(J32))),0.000001))^2)/(2*$I$5),((ABS(G69)/MAX(((G32)+(I32)*(MAX($D$16,(E69)-(K32))))*(MAX($D$16,(E69)-(K32))),0.000001))^2)/(2*$I$5))))-((ABS(G69)/MAX(((F32)+(H32)*(MAX($D$16,(D69)-(J32))))*(MAX($D$16,(D69)-(J32))),0.000001))^2)/(2*$I$5)</f>
        <v>52432.14183765334</v>
      </c>
      <c r="Q69">
        <f>L69+((ABS(H69)/MAX(((G33)+(I33)*(MAX($D$16,(L69)-(K33))))*(MAX($D$16,(L69)-(K33))),0.000001))^2)/(2*$I$5)+((E33)*((((ABS(H69)*$D$6)/(MAX(((F33)+(H33)*(MAX($D$16,(D69)-(J33))))*(MAX($D$16,(D69)-(J33))),0.000001)*MAX(((((F33)+(H33)*(MAX($D$16,(D69)-(J33))))*(MAX($D$16,(D69)-(J33))))/MAX((F33)+2*(MAX($D$16,(D69)-(J33)))*SQRT(1+(H33)^2),0.000001))^(2/3),0.000001)))^2)+(((ABS(H69)*$D$6)/(MAX(((G33)+(I33)*(MAX($D$16,(L69)-(K33))))*(MAX($D$16,(L69)-(K33))),0.000001)*MAX(((((G33)+(I33)*(MAX($D$16,(L69)-(K33))))*(MAX($D$16,(L69)-(K33))))/MAX((G33)+2*(MAX($D$16,(L69)-(K33)))*SQRT(1+(I33)^2),0.000001))^(2/3),0.000001)))^2))/2)+(IF((ABS(H69)/MAX(((G33)+(I33)*(MAX($D$16,(L69)-(K33))))*(MAX($D$16,(L69)-(K33))),0.000001))&gt;(ABS(H69)/MAX(((F33)+(H33)*(MAX($D$16,(D69)-(J33))))*(MAX($D$16,(D69)-(J33))),0.000001)),$D$9*((((ABS(H69)/MAX(((G33)+(I33)*(MAX($D$16,(L69)-(K33))))*(MAX($D$16,(L69)-(K33))),0.000001))^2)/(2*$I$5))-(((ABS(H69)/MAX(((F33)+(H33)*(MAX($D$16,(D69)-(J33))))*(MAX($D$16,(D69)-(J33))),0.000001))^2)/(2*$I$5))),$D$8*((((ABS(H69)/MAX(((F33)+(H33)*(MAX($D$16,(D69)-(J33))))*(MAX($D$16,(D69)-(J33))),0.000001))^2)/(2*$I$5))-(((ABS(H69)/MAX(((G33)+(I33)*(MAX($D$16,(L69)-(K33))))*(MAX($D$16,(L69)-(K33))),0.000001))^2)/(2*$I$5)))))+($D$10*(ABS((X33)-(W33))/90)*MAX(((ABS(H69)/MAX(((F33)+(H33)*(MAX($D$16,(D69)-(J33))))*(MAX($D$16,(D69)-(J33))),0.000001))^2)/(2*$I$5),((ABS(H69)/MAX(((G33)+(I33)*(MAX($D$16,(L69)-(K33))))*(MAX($D$16,(L69)-(K33))),0.000001))^2)/(2*$I$5)))+(($D$11*0.00000015*(ABS(G69)/MAX(ABS(F69),0.000001))^2*MAX(((ABS(H69)/MAX(((F33)+(H33)*(MAX($D$16,(D69)-(J33))))*(MAX($D$16,(D69)-(J33))),0.000001))^2)/(2*$I$5),((ABS(H69)/MAX(((G33)+(I33)*(MAX($D$16,(L69)-(K33))))*(MAX($D$16,(L69)-(K33))),0.000001))^2)/(2*$I$5))))-((ABS(H69)/MAX(((F33)+(H33)*(MAX($D$16,(D69)-(J33))))*(MAX($D$16,(D69)-(J33))),0.000001))^2)/(2*$I$5)</f>
        <v>634.3119999999999</v>
      </c>
      <c r="R69">
        <f>D69+((ABS(G69)/MAX(((F32)+(H32)*(MAX($D$16,(D69)-(J32))))*(MAX($D$16,(D69)-(J32))),0.000001))^2)/(2*$I$5)-((E32)*((((ABS(G69)*$D$6)/(MAX(((F32)+(H32)*(MAX($D$16,(D69)-(J32))))*(MAX($D$16,(D69)-(J32))),0.000001)*MAX(((((F32)+(H32)*(MAX($D$16,(D69)-(J32))))*(MAX($D$16,(D69)-(J32))))/MAX((F32)+2*(MAX($D$16,(D69)-(J32)))*SQRT(1+(H32)^2),0.000001))^(2/3),0.000001)))^2)+(((ABS(G69)*$D$6)/(MAX(((G32)+(I32)*(MAX($D$16,(E69)-(K32))))*(MAX($D$16,(E69)-(K32))),0.000001)*MAX(((((G32)+(I32)*(MAX($D$16,(E69)-(K32))))*(MAX($D$16,(E69)-(K32))))/MAX((G32)+2*(MAX($D$16,(E69)-(K32)))*SQRT(1+(I32)^2),0.000001))^(2/3),0.000001)))^2))/2)+(IF((ABS(G69)/MAX(((G32)+(I32)*(MAX($D$16,(E69)-(K32))))*(MAX($D$16,(E69)-(K32))),0.000001))&gt;(ABS(G69)/MAX(((F32)+(H32)*(MAX($D$16,(D69)-(J32))))*(MAX($D$16,(D69)-(J32))),0.000001)),$D$9*((((ABS(G69)/MAX(((G32)+(I32)*(MAX($D$16,(E69)-(K32))))*(MAX($D$16,(E69)-(K32))),0.000001))^2)/(2*$I$5))-(((ABS(G69)/MAX(((F32)+(H32)*(MAX($D$16,(D69)-(J32))))*(MAX($D$16,(D69)-(J32))),0.000001))^2)/(2*$I$5))),$D$8*((((ABS(G69)/MAX(((F32)+(H32)*(MAX($D$16,(D69)-(J32))))*(MAX($D$16,(D69)-(J32))),0.000001))^2)/(2*$I$5))-(((ABS(G69)/MAX(((G32)+(I32)*(MAX($D$16,(E69)-(K32))))*(MAX($D$16,(E69)-(K32))),0.000001))^2)/(2*$I$5)))))+($D$10*(ABS((X32)-(W32))/90)*MAX(((ABS(G69)/MAX(((F32)+(H32)*(MAX($D$16,(D69)-(J32))))*(MAX($D$16,(D69)-(J32))),0.000001))^2)/(2*$I$5),((ABS(G69)/MAX(((G32)+(I32)*(MAX($D$16,(E69)-(K32))))*(MAX($D$16,(E69)-(K32))),0.000001))^2)/(2*$I$5)))+(($D$11*0.13607488*(ABS(H69)/MAX(ABS(F69),0.000001))^2*MAX(((ABS(G69)/MAX(((F32)+(H32)*(MAX($D$16,(D69)-(J32))))*(MAX($D$16,(D69)-(J32))),0.000001))^2)/(2*$I$5),((ABS(G69)/MAX(((G32)+(I32)*(MAX($D$16,(E69)-(K32))))*(MAX($D$16,(E69)-(K32))),0.000001))^2)/(2*$I$5))))-((ABS(G69)/MAX(((G32)+(I32)*(MAX($D$16,(E69)-(K32))))*(MAX($D$16,(E69)-(K32))),0.000001))^2)/(2*$I$5)</f>
        <v>52432.141837661758</v>
      </c>
      <c r="S69">
        <f>M69+((ABS(I69)/MAX(((G34)+(I34)*(MAX($D$16,(M69)-(K34))))*(MAX($D$16,(M69)-(K34))),0.000001))^2)/(2*$I$5)+((E34)*((((ABS(I69)*$D$6)/(MAX(((F34)+(H34)*(MAX($D$16,(E69)-(J34))))*(MAX($D$16,(E69)-(J34))),0.000001)*MAX(((((F34)+(H34)*(MAX($D$16,(E69)-(J34))))*(MAX($D$16,(E69)-(J34))))/MAX((F34)+2*(MAX($D$16,(E69)-(J34)))*SQRT(1+(H34)^2),0.000001))^(2/3),0.000001)))^2)+(((ABS(I69)*$D$6)/(MAX(((G34)+(I34)*(MAX($D$16,(M69)-(K34))))*(MAX($D$16,(M69)-(K34))),0.000001)*MAX(((((G34)+(I34)*(MAX($D$16,(M69)-(K34))))*(MAX($D$16,(M69)-(K34))))/MAX((G34)+2*(MAX($D$16,(M69)-(K34)))*SQRT(1+(I34)^2),0.000001))^(2/3),0.000001)))^2))/2)+(IF((ABS(I69)/MAX(((G34)+(I34)*(MAX($D$16,(M69)-(K34))))*(MAX($D$16,(M69)-(K34))),0.000001))&gt;(ABS(I69)/MAX(((F34)+(H34)*(MAX($D$16,(E69)-(J34))))*(MAX($D$16,(E69)-(J34))),0.000001)),$D$9*((((ABS(I69)/MAX(((G34)+(I34)*(MAX($D$16,(M69)-(K34))))*(MAX($D$16,(M69)-(K34))),0.000001))^2)/(2*$I$5))-(((ABS(I69)/MAX(((F34)+(H34)*(MAX($D$16,(E69)-(J34))))*(MAX($D$16,(E69)-(J34))),0.000001))^2)/(2*$I$5))),$D$8*((((ABS(I69)/MAX(((F34)+(H34)*(MAX($D$16,(E69)-(J34))))*(MAX($D$16,(E69)-(J34))),0.000001))^2)/(2*$I$5))-(((ABS(I69)/MAX(((G34)+(I34)*(MAX($D$16,(M69)-(K34))))*(MAX($D$16,(M69)-(K34))),0.000001))^2)/(2*$I$5)))))+($D$10*(ABS((X34)-(W34))/90)*MAX(((ABS(I69)/MAX(((F34)+(H34)*(MAX($D$16,(E69)-(J34))))*(MAX($D$16,(E69)-(J34))),0.000001))^2)/(2*$I$5),((ABS(I69)/MAX(((G34)+(I34)*(MAX($D$16,(M69)-(K34))))*(MAX($D$16,(M69)-(K34))),0.000001))^2)/(2*$I$5)))+(0)-((ABS(I69)/MAX(((F34)+(H34)*(MAX($D$16,(E69)-(J34))))*(MAX($D$16,(E69)-(J34))),0.000001))^2)/(2*$I$5)</f>
        <v>635.5</v>
      </c>
      <c r="T69">
        <f>N69+((ABS(J69)/MAX(((G35)+(I35)*(MAX($D$16,(N69)-(K35))))*(MAX($D$16,(N69)-(K35))),0.000001))^2)/(2*$I$5)+((E35)*((((ABS(J69)*$D$6)/(MAX(((F35)+(H35)*(MAX($D$16,(E69)-(J35))))*(MAX($D$16,(E69)-(J35))),0.000001)*MAX(((((F35)+(H35)*(MAX($D$16,(E69)-(J35))))*(MAX($D$16,(E69)-(J35))))/MAX((F35)+2*(MAX($D$16,(E69)-(J35)))*SQRT(1+(H35)^2),0.000001))^(2/3),0.000001)))^2)+(((ABS(J69)*$D$6)/(MAX(((G35)+(I35)*(MAX($D$16,(N69)-(K35))))*(MAX($D$16,(N69)-(K35))),0.000001)*MAX(((((G35)+(I35)*(MAX($D$16,(N69)-(K35))))*(MAX($D$16,(N69)-(K35))))/MAX((G35)+2*(MAX($D$16,(N69)-(K35)))*SQRT(1+(I35)^2),0.000001))^(2/3),0.000001)))^2))/2)+(IF((ABS(J69)/MAX(((G35)+(I35)*(MAX($D$16,(N69)-(K35))))*(MAX($D$16,(N69)-(K35))),0.000001))&gt;(ABS(J69)/MAX(((F35)+(H35)*(MAX($D$16,(E69)-(J35))))*(MAX($D$16,(E69)-(J35))),0.000001)),$D$9*((((ABS(J69)/MAX(((G35)+(I35)*(MAX($D$16,(N69)-(K35))))*(MAX($D$16,(N69)-(K35))),0.000001))^2)/(2*$I$5))-(((ABS(J69)/MAX(((F35)+(H35)*(MAX($D$16,(E69)-(J35))))*(MAX($D$16,(E69)-(J35))),0.000001))^2)/(2*$I$5))),$D$8*((((ABS(J69)/MAX(((F35)+(H35)*(MAX($D$16,(E69)-(J35))))*(MAX($D$16,(E69)-(J35))),0.000001))^2)/(2*$I$5))-(((ABS(J69)/MAX(((G35)+(I35)*(MAX($D$16,(N69)-(K35))))*(MAX($D$16,(N69)-(K35))),0.000001))^2)/(2*$I$5)))))+($D$10*(ABS((X35)-(W35))/90)*MAX(((ABS(J69)/MAX(((F35)+(H35)*(MAX($D$16,(E69)-(J35))))*(MAX($D$16,(E69)-(J35))),0.000001))^2)/(2*$I$5),((ABS(J69)/MAX(((G35)+(I35)*(MAX($D$16,(N69)-(K35))))*(MAX($D$16,(N69)-(K35))),0.000001))^2)/(2*$I$5)))+(($D$11*0.34699541*(ABS(I69)/MAX(ABS(G69),0.000001))^2*MAX(((ABS(J69)/MAX(((F35)+(H35)*(MAX($D$16,(E69)-(J35))))*(MAX($D$16,(E69)-(J35))),0.000001))^2)/(2*$I$5),((ABS(J69)/MAX(((G35)+(I35)*(MAX($D$16,(N69)-(K35))))*(MAX($D$16,(N69)-(K35))),0.000001))^2)/(2*$I$5))))-((ABS(J69)/MAX(((F35)+(H35)*(MAX($D$16,(E69)-(J35))))*(MAX($D$16,(E69)-(J35))),0.000001))^2)/(2*$I$5)</f>
        <v>20784.033523923383</v>
      </c>
      <c r="U69">
        <f>(((((F32)*(MAX($D$16,(D69)-(J32)))^2)/2+(H32)*(MAX($D$16,(D69)-(J32)))^3/3+(ABS(G69)^2)/($I$5*MAX(((F32)+(H32)*(MAX($D$16,(D69)-(J32))))*(MAX($D$16,(D69)-(J32))),0.000001)))*0.72785025)-((((F33)*(MAX($D$16,(D69)-(J33)))^2)/2+(H33)*(MAX($D$16,(D69)-(J33)))^3/3+(ABS(H69)^2)/($I$5*MAX(((F33)+(H33)*(MAX($D$16,(D69)-(J33))))*(MAX($D$16,(D69)-(J33))),0.000001)))*0.99999971))/MAX(((G31)*(MAX($D$16,(D69)-(K31)))^2)/2+(I31)*(MAX($D$16,(D69)-(K31)))^3/3+(ABS(F69)^2)/($I$5*MAX(((G31)+(I31)*(MAX($D$16,(D69)-(K31))))*(MAX($D$16,(D69)-(K31))),0.000001)),0.000001)</f>
        <v>-0.27214945999991119</v>
      </c>
      <c r="V69">
        <f>(((((F34)*(MAX($D$16,(E69)-(J34)))^2)/2+(H34)*(MAX($D$16,(E69)-(J34)))^3/3+(ABS(I69)^2)/($I$5*MAX(((F34)+(H34)*(MAX($D$16,(E69)-(J34))))*(MAX($D$16,(E69)-(J34))),0.000001)))*1)-((((F35)*(MAX($D$16,(E69)-(J35)))^2)/2+(H35)*(MAX($D$16,(E69)-(J35)))^3/3+(ABS(J69)^2)/($I$5*MAX(((F35)+(H35)*(MAX($D$16,(E69)-(J35))))*(MAX($D$16,(E69)-(J35))),0.000001)))*0.30600918))/MAX(((G32)*(MAX($D$16,(E69)-(K32)))^2)/2+(I32)*(MAX($D$16,(E69)-(K32)))^3/3+(ABS(G69)^2)/($I$5*MAX(((G32)+(I32)*(MAX($D$16,(E69)-(K32))))*(MAX($D$16,(E69)-(K32))),0.000001)),0.000001)</f>
        <v>0.69398638937190382</v>
      </c>
      <c r="W69">
        <f>IF(N6="None",ABS(P69-D69),MAX(ABS(P69-D69),ABS(Q69-D69)))</f>
        <v>8.2873157225549221E-9</v>
      </c>
      <c r="X69">
        <f>IF(AND(N7="None",N8="None"),0,IF(N8="None",ABS(S69-E69),IF(N7="None",ABS(T69-E69),MAX(ABS(S69-E69),ABS(T69-E69)))))</f>
        <v>51796.641837652787</v>
      </c>
      <c r="AA69">
        <f t="shared" si="3"/>
        <v>52432.141837658724</v>
      </c>
      <c r="AB69">
        <f t="shared" si="4"/>
        <v>41355.303927847497</v>
      </c>
      <c r="AC69">
        <f>IF(N6="None",P69,MAX(P69,Q69))</f>
        <v>52432.14183765334</v>
      </c>
      <c r="AD69">
        <f>IF(AND(N7="None",N8="None"),E69,IF(N8="None",S69,IF(N7="None",T69,MAX(S69,T69))))</f>
        <v>20784.033523923383</v>
      </c>
      <c r="AE69">
        <f t="shared" si="5"/>
        <v>637.65825101089831</v>
      </c>
      <c r="AF69">
        <f t="shared" si="6"/>
        <v>52432.141837661758</v>
      </c>
      <c r="AG69">
        <f>((G31)*(MAX($D$16,(AC69)-(K31)))^2)/2+(I31)*(MAX($D$16,(AC69)-(K31)))^3/3+(ABS(F69)^2)/($I$5*MAX(((G31)+(I31)*(MAX($D$16,(AC69)-(K31))))*(MAX($D$16,(AC69)-(K31))),0.000001))</f>
        <v>8797611517.4086933</v>
      </c>
      <c r="AH69">
        <f>((G31)*(MAX($D$16,(AE69)-(K31)))^2)/2+(I31)*(MAX($D$16,(AE69)-(K31)))^3/3+(ABS(F69)^2)/($I$5*MAX(((G31)+(I31)*(MAX($D$16,(AE69)-(K31))))*(MAX($D$16,(AE69)-(K31))),0.000001))</f>
        <v>49.055863329575246</v>
      </c>
      <c r="AI69">
        <f>((G32)*(MAX($D$16,(AD69)-(K32)))^2)/2+(I32)*(MAX($D$16,(AD69)-(K32)))^3/3+(ABS(G69)^2)/($I$5*MAX(((G32)+(I32)*(MAX($D$16,(AD69)-(K32))))*(MAX($D$16,(AD69)-(K32))),0.000001))</f>
        <v>2072376743.6648321</v>
      </c>
      <c r="AJ69">
        <f>((G32)*(MAX($D$16,(AF69)-(K32)))^2)/2+(I32)*(MAX($D$16,(AF69)-(K32)))^3/3+(ABS(G69)^2)/($I$5*MAX(((G32)+(I32)*(MAX($D$16,(AF69)-(K32))))*(MAX($D$16,(AF69)-(K32))),0.000001))</f>
        <v>13692714789.643959</v>
      </c>
      <c r="AK69" t="str">
        <f t="shared" si="7"/>
        <v>Subcritical</v>
      </c>
      <c r="AL69" t="str">
        <f t="shared" si="8"/>
        <v>Supercritical</v>
      </c>
      <c r="AM69">
        <f t="shared" si="9"/>
        <v>52432.141837658724</v>
      </c>
      <c r="AN69">
        <f t="shared" si="10"/>
        <v>52432.14183765593</v>
      </c>
      <c r="AO69">
        <f t="shared" si="11"/>
        <v>8.2873157225549221E-9</v>
      </c>
      <c r="AP69">
        <f t="shared" si="12"/>
        <v>8.9712557382881641E-9</v>
      </c>
    </row>
    <row r="70" spans="1:42" x14ac:dyDescent="0.35">
      <c r="A70">
        <v>27</v>
      </c>
      <c r="B70">
        <f t="shared" si="13"/>
        <v>0</v>
      </c>
      <c r="C70">
        <f t="shared" si="14"/>
        <v>0</v>
      </c>
      <c r="D70">
        <f t="shared" si="15"/>
        <v>52432.141837658724</v>
      </c>
      <c r="E70">
        <f t="shared" si="16"/>
        <v>52432.14183765593</v>
      </c>
      <c r="F70">
        <f t="shared" si="2"/>
        <v>51</v>
      </c>
      <c r="G70">
        <f>IF(N6="None",F70,MAX(0,F70*B70))</f>
        <v>51</v>
      </c>
      <c r="H70">
        <f>IF(N6="None",0,MAX(0,F70-G70))</f>
        <v>0</v>
      </c>
      <c r="I70">
        <f>IF(AND(N7="None",N8="None"),0,IF(N8="None",G70,IF(N7="None",0,MAX(0,G70*C70))))</f>
        <v>0</v>
      </c>
      <c r="J70">
        <f>IF(AND(N7="None",N8="None"),0,IF(N8="None",0,IF(N7="None",G70,MAX(0,G70-I70))))</f>
        <v>51</v>
      </c>
      <c r="K70">
        <f>P5</f>
        <v>637</v>
      </c>
      <c r="L70">
        <f>P6</f>
        <v>634.3119999999999</v>
      </c>
      <c r="M70">
        <f>P7</f>
        <v>635.5</v>
      </c>
      <c r="N70">
        <f>P8</f>
        <v>631.54999999999995</v>
      </c>
      <c r="O70">
        <f>K70+((ABS(F70)/MAX(((F31)+(H31)*(MAX($D$16,(K70)-(J31))))*(MAX($D$16,(K70)-(J31))),0.000001))^2)/(2*$I$5)-((E31)*((((ABS(F70)*$D$6)/(MAX(((F31)+(H31)*(MAX($D$16,(K70)-(J31))))*(MAX($D$16,(K70)-(J31))),0.000001)*MAX(((((F31)+(H31)*(MAX($D$16,(K70)-(J31))))*(MAX($D$16,(K70)-(J31))))/MAX((F31)+2*(MAX($D$16,(K70)-(J31)))*SQRT(1+(H31)^2),0.000001))^(2/3),0.000001)))^2)+(((ABS(F70)*$D$6)/(MAX(((G31)+(I31)*(MAX($D$16,(D70)-(K31))))*(MAX($D$16,(D70)-(K31))),0.000001)*MAX(((((G31)+(I31)*(MAX($D$16,(D70)-(K31))))*(MAX($D$16,(D70)-(K31))))/MAX((G31)+2*(MAX($D$16,(D70)-(K31)))*SQRT(1+(I31)^2),0.000001))^(2/3),0.000001)))^2))/2)+(IF((ABS(F70)/MAX(((G31)+(I31)*(MAX($D$16,(D70)-(K31))))*(MAX($D$16,(D70)-(K31))),0.000001))&gt;(ABS(F70)/MAX(((F31)+(H31)*(MAX($D$16,(K70)-(J31))))*(MAX($D$16,(K70)-(J31))),0.000001)),$D$9*((((ABS(F70)/MAX(((G31)+(I31)*(MAX($D$16,(D70)-(K31))))*(MAX($D$16,(D70)-(K31))),0.000001))^2)/(2*$I$5))-(((ABS(F70)/MAX(((F31)+(H31)*(MAX($D$16,(K70)-(J31))))*(MAX($D$16,(K70)-(J31))),0.000001))^2)/(2*$I$5))),$D$8*((((ABS(F70)/MAX(((F31)+(H31)*(MAX($D$16,(K70)-(J31))))*(MAX($D$16,(K70)-(J31))),0.000001))^2)/(2*$I$5))-(((ABS(F70)/MAX(((G31)+(I31)*(MAX($D$16,(D70)-(K31))))*(MAX($D$16,(D70)-(K31))),0.000001))^2)/(2*$I$5)))))+($D$10*(ABS((X31)-(W31))/90)*MAX(((ABS(F70)/MAX(((F31)+(H31)*(MAX($D$16,(K70)-(J31))))*(MAX($D$16,(K70)-(J31))),0.000001))^2)/(2*$I$5),((ABS(F70)/MAX(((G31)+(I31)*(MAX($D$16,(D70)-(K31))))*(MAX($D$16,(D70)-(K31))),0.000001))^2)/(2*$I$5)))+(0)-((ABS(F70)/MAX(((G31)+(I31)*(MAX($D$16,(D70)-(K31))))*(MAX($D$16,(D70)-(K31))),0.000001))^2)/(2*$I$5)</f>
        <v>637.65825101089831</v>
      </c>
      <c r="P70">
        <f>E70+((ABS(G70)/MAX(((G32)+(I32)*(MAX($D$16,(E70)-(K32))))*(MAX($D$16,(E70)-(K32))),0.000001))^2)/(2*$I$5)+((E32)*((((ABS(G70)*$D$6)/(MAX(((F32)+(H32)*(MAX($D$16,(D70)-(J32))))*(MAX($D$16,(D70)-(J32))),0.000001)*MAX(((((F32)+(H32)*(MAX($D$16,(D70)-(J32))))*(MAX($D$16,(D70)-(J32))))/MAX((F32)+2*(MAX($D$16,(D70)-(J32)))*SQRT(1+(H32)^2),0.000001))^(2/3),0.000001)))^2)+(((ABS(G70)*$D$6)/(MAX(((G32)+(I32)*(MAX($D$16,(E70)-(K32))))*(MAX($D$16,(E70)-(K32))),0.000001)*MAX(((((G32)+(I32)*(MAX($D$16,(E70)-(K32))))*(MAX($D$16,(E70)-(K32))))/MAX((G32)+2*(MAX($D$16,(E70)-(K32)))*SQRT(1+(I32)^2),0.000001))^(2/3),0.000001)))^2))/2)+(IF((ABS(G70)/MAX(((G32)+(I32)*(MAX($D$16,(E70)-(K32))))*(MAX($D$16,(E70)-(K32))),0.000001))&gt;(ABS(G70)/MAX(((F32)+(H32)*(MAX($D$16,(D70)-(J32))))*(MAX($D$16,(D70)-(J32))),0.000001)),$D$9*((((ABS(G70)/MAX(((G32)+(I32)*(MAX($D$16,(E70)-(K32))))*(MAX($D$16,(E70)-(K32))),0.000001))^2)/(2*$I$5))-(((ABS(G70)/MAX(((F32)+(H32)*(MAX($D$16,(D70)-(J32))))*(MAX($D$16,(D70)-(J32))),0.000001))^2)/(2*$I$5))),$D$8*((((ABS(G70)/MAX(((F32)+(H32)*(MAX($D$16,(D70)-(J32))))*(MAX($D$16,(D70)-(J32))),0.000001))^2)/(2*$I$5))-(((ABS(G70)/MAX(((G32)+(I32)*(MAX($D$16,(E70)-(K32))))*(MAX($D$16,(E70)-(K32))),0.000001))^2)/(2*$I$5)))))+($D$10*(ABS((X32)-(W32))/90)*MAX(((ABS(G70)/MAX(((F32)+(H32)*(MAX($D$16,(D70)-(J32))))*(MAX($D$16,(D70)-(J32))),0.000001))^2)/(2*$I$5),((ABS(G70)/MAX(((G32)+(I32)*(MAX($D$16,(E70)-(K32))))*(MAX($D$16,(E70)-(K32))),0.000001))^2)/(2*$I$5)))+(($D$11*0.13607488*(ABS(H70)/MAX(ABS(F70),0.000001))^2*MAX(((ABS(G70)/MAX(((F32)+(H32)*(MAX($D$16,(D70)-(J32))))*(MAX($D$16,(D70)-(J32))),0.000001))^2)/(2*$I$5),((ABS(G70)/MAX(((G32)+(I32)*(MAX($D$16,(E70)-(K32))))*(MAX($D$16,(E70)-(K32))),0.000001))^2)/(2*$I$5))))-((ABS(G70)/MAX(((F32)+(H32)*(MAX($D$16,(D70)-(J32))))*(MAX($D$16,(D70)-(J32))),0.000001))^2)/(2*$I$5)</f>
        <v>52432.141837656483</v>
      </c>
      <c r="Q70">
        <f>L70+((ABS(H70)/MAX(((G33)+(I33)*(MAX($D$16,(L70)-(K33))))*(MAX($D$16,(L70)-(K33))),0.000001))^2)/(2*$I$5)+((E33)*((((ABS(H70)*$D$6)/(MAX(((F33)+(H33)*(MAX($D$16,(D70)-(J33))))*(MAX($D$16,(D70)-(J33))),0.000001)*MAX(((((F33)+(H33)*(MAX($D$16,(D70)-(J33))))*(MAX($D$16,(D70)-(J33))))/MAX((F33)+2*(MAX($D$16,(D70)-(J33)))*SQRT(1+(H33)^2),0.000001))^(2/3),0.000001)))^2)+(((ABS(H70)*$D$6)/(MAX(((G33)+(I33)*(MAX($D$16,(L70)-(K33))))*(MAX($D$16,(L70)-(K33))),0.000001)*MAX(((((G33)+(I33)*(MAX($D$16,(L70)-(K33))))*(MAX($D$16,(L70)-(K33))))/MAX((G33)+2*(MAX($D$16,(L70)-(K33)))*SQRT(1+(I33)^2),0.000001))^(2/3),0.000001)))^2))/2)+(IF((ABS(H70)/MAX(((G33)+(I33)*(MAX($D$16,(L70)-(K33))))*(MAX($D$16,(L70)-(K33))),0.000001))&gt;(ABS(H70)/MAX(((F33)+(H33)*(MAX($D$16,(D70)-(J33))))*(MAX($D$16,(D70)-(J33))),0.000001)),$D$9*((((ABS(H70)/MAX(((G33)+(I33)*(MAX($D$16,(L70)-(K33))))*(MAX($D$16,(L70)-(K33))),0.000001))^2)/(2*$I$5))-(((ABS(H70)/MAX(((F33)+(H33)*(MAX($D$16,(D70)-(J33))))*(MAX($D$16,(D70)-(J33))),0.000001))^2)/(2*$I$5))),$D$8*((((ABS(H70)/MAX(((F33)+(H33)*(MAX($D$16,(D70)-(J33))))*(MAX($D$16,(D70)-(J33))),0.000001))^2)/(2*$I$5))-(((ABS(H70)/MAX(((G33)+(I33)*(MAX($D$16,(L70)-(K33))))*(MAX($D$16,(L70)-(K33))),0.000001))^2)/(2*$I$5)))))+($D$10*(ABS((X33)-(W33))/90)*MAX(((ABS(H70)/MAX(((F33)+(H33)*(MAX($D$16,(D70)-(J33))))*(MAX($D$16,(D70)-(J33))),0.000001))^2)/(2*$I$5),((ABS(H70)/MAX(((G33)+(I33)*(MAX($D$16,(L70)-(K33))))*(MAX($D$16,(L70)-(K33))),0.000001))^2)/(2*$I$5)))+(($D$11*0.00000015*(ABS(G70)/MAX(ABS(F70),0.000001))^2*MAX(((ABS(H70)/MAX(((F33)+(H33)*(MAX($D$16,(D70)-(J33))))*(MAX($D$16,(D70)-(J33))),0.000001))^2)/(2*$I$5),((ABS(H70)/MAX(((G33)+(I33)*(MAX($D$16,(L70)-(K33))))*(MAX($D$16,(L70)-(K33))),0.000001))^2)/(2*$I$5))))-((ABS(H70)/MAX(((F33)+(H33)*(MAX($D$16,(D70)-(J33))))*(MAX($D$16,(D70)-(J33))),0.000001))^2)/(2*$I$5)</f>
        <v>634.3119999999999</v>
      </c>
      <c r="R70">
        <f>D70+((ABS(G70)/MAX(((F32)+(H32)*(MAX($D$16,(D70)-(J32))))*(MAX($D$16,(D70)-(J32))),0.000001))^2)/(2*$I$5)-((E32)*((((ABS(G70)*$D$6)/(MAX(((F32)+(H32)*(MAX($D$16,(D70)-(J32))))*(MAX($D$16,(D70)-(J32))),0.000001)*MAX(((((F32)+(H32)*(MAX($D$16,(D70)-(J32))))*(MAX($D$16,(D70)-(J32))))/MAX((F32)+2*(MAX($D$16,(D70)-(J32)))*SQRT(1+(H32)^2),0.000001))^(2/3),0.000001)))^2)+(((ABS(G70)*$D$6)/(MAX(((G32)+(I32)*(MAX($D$16,(E70)-(K32))))*(MAX($D$16,(E70)-(K32))),0.000001)*MAX(((((G32)+(I32)*(MAX($D$16,(E70)-(K32))))*(MAX($D$16,(E70)-(K32))))/MAX((G32)+2*(MAX($D$16,(E70)-(K32)))*SQRT(1+(I32)^2),0.000001))^(2/3),0.000001)))^2))/2)+(IF((ABS(G70)/MAX(((G32)+(I32)*(MAX($D$16,(E70)-(K32))))*(MAX($D$16,(E70)-(K32))),0.000001))&gt;(ABS(G70)/MAX(((F32)+(H32)*(MAX($D$16,(D70)-(J32))))*(MAX($D$16,(D70)-(J32))),0.000001)),$D$9*((((ABS(G70)/MAX(((G32)+(I32)*(MAX($D$16,(E70)-(K32))))*(MAX($D$16,(E70)-(K32))),0.000001))^2)/(2*$I$5))-(((ABS(G70)/MAX(((F32)+(H32)*(MAX($D$16,(D70)-(J32))))*(MAX($D$16,(D70)-(J32))),0.000001))^2)/(2*$I$5))),$D$8*((((ABS(G70)/MAX(((F32)+(H32)*(MAX($D$16,(D70)-(J32))))*(MAX($D$16,(D70)-(J32))),0.000001))^2)/(2*$I$5))-(((ABS(G70)/MAX(((G32)+(I32)*(MAX($D$16,(E70)-(K32))))*(MAX($D$16,(E70)-(K32))),0.000001))^2)/(2*$I$5)))))+($D$10*(ABS((X32)-(W32))/90)*MAX(((ABS(G70)/MAX(((F32)+(H32)*(MAX($D$16,(D70)-(J32))))*(MAX($D$16,(D70)-(J32))),0.000001))^2)/(2*$I$5),((ABS(G70)/MAX(((G32)+(I32)*(MAX($D$16,(E70)-(K32))))*(MAX($D$16,(E70)-(K32))),0.000001))^2)/(2*$I$5)))+(($D$11*0.13607488*(ABS(H70)/MAX(ABS(F70),0.000001))^2*MAX(((ABS(G70)/MAX(((F32)+(H32)*(MAX($D$16,(D70)-(J32))))*(MAX($D$16,(D70)-(J32))),0.000001))^2)/(2*$I$5),((ABS(G70)/MAX(((G32)+(I32)*(MAX($D$16,(E70)-(K32))))*(MAX($D$16,(E70)-(K32))),0.000001))^2)/(2*$I$5))))-((ABS(G70)/MAX(((G32)+(I32)*(MAX($D$16,(E70)-(K32))))*(MAX($D$16,(E70)-(K32))),0.000001))^2)/(2*$I$5)</f>
        <v>52432.141837658855</v>
      </c>
      <c r="S70">
        <f>M70+((ABS(I70)/MAX(((G34)+(I34)*(MAX($D$16,(M70)-(K34))))*(MAX($D$16,(M70)-(K34))),0.000001))^2)/(2*$I$5)+((E34)*((((ABS(I70)*$D$6)/(MAX(((F34)+(H34)*(MAX($D$16,(E70)-(J34))))*(MAX($D$16,(E70)-(J34))),0.000001)*MAX(((((F34)+(H34)*(MAX($D$16,(E70)-(J34))))*(MAX($D$16,(E70)-(J34))))/MAX((F34)+2*(MAX($D$16,(E70)-(J34)))*SQRT(1+(H34)^2),0.000001))^(2/3),0.000001)))^2)+(((ABS(I70)*$D$6)/(MAX(((G34)+(I34)*(MAX($D$16,(M70)-(K34))))*(MAX($D$16,(M70)-(K34))),0.000001)*MAX(((((G34)+(I34)*(MAX($D$16,(M70)-(K34))))*(MAX($D$16,(M70)-(K34))))/MAX((G34)+2*(MAX($D$16,(M70)-(K34)))*SQRT(1+(I34)^2),0.000001))^(2/3),0.000001)))^2))/2)+(IF((ABS(I70)/MAX(((G34)+(I34)*(MAX($D$16,(M70)-(K34))))*(MAX($D$16,(M70)-(K34))),0.000001))&gt;(ABS(I70)/MAX(((F34)+(H34)*(MAX($D$16,(E70)-(J34))))*(MAX($D$16,(E70)-(J34))),0.000001)),$D$9*((((ABS(I70)/MAX(((G34)+(I34)*(MAX($D$16,(M70)-(K34))))*(MAX($D$16,(M70)-(K34))),0.000001))^2)/(2*$I$5))-(((ABS(I70)/MAX(((F34)+(H34)*(MAX($D$16,(E70)-(J34))))*(MAX($D$16,(E70)-(J34))),0.000001))^2)/(2*$I$5))),$D$8*((((ABS(I70)/MAX(((F34)+(H34)*(MAX($D$16,(E70)-(J34))))*(MAX($D$16,(E70)-(J34))),0.000001))^2)/(2*$I$5))-(((ABS(I70)/MAX(((G34)+(I34)*(MAX($D$16,(M70)-(K34))))*(MAX($D$16,(M70)-(K34))),0.000001))^2)/(2*$I$5)))))+($D$10*(ABS((X34)-(W34))/90)*MAX(((ABS(I70)/MAX(((F34)+(H34)*(MAX($D$16,(E70)-(J34))))*(MAX($D$16,(E70)-(J34))),0.000001))^2)/(2*$I$5),((ABS(I70)/MAX(((G34)+(I34)*(MAX($D$16,(M70)-(K34))))*(MAX($D$16,(M70)-(K34))),0.000001))^2)/(2*$I$5)))+(0)-((ABS(I70)/MAX(((F34)+(H34)*(MAX($D$16,(E70)-(J34))))*(MAX($D$16,(E70)-(J34))),0.000001))^2)/(2*$I$5)</f>
        <v>635.5</v>
      </c>
      <c r="T70">
        <f>N70+((ABS(J70)/MAX(((G35)+(I35)*(MAX($D$16,(N70)-(K35))))*(MAX($D$16,(N70)-(K35))),0.000001))^2)/(2*$I$5)+((E35)*((((ABS(J70)*$D$6)/(MAX(((F35)+(H35)*(MAX($D$16,(E70)-(J35))))*(MAX($D$16,(E70)-(J35))),0.000001)*MAX(((((F35)+(H35)*(MAX($D$16,(E70)-(J35))))*(MAX($D$16,(E70)-(J35))))/MAX((F35)+2*(MAX($D$16,(E70)-(J35)))*SQRT(1+(H35)^2),0.000001))^(2/3),0.000001)))^2)+(((ABS(J70)*$D$6)/(MAX(((G35)+(I35)*(MAX($D$16,(N70)-(K35))))*(MAX($D$16,(N70)-(K35))),0.000001)*MAX(((((G35)+(I35)*(MAX($D$16,(N70)-(K35))))*(MAX($D$16,(N70)-(K35))))/MAX((G35)+2*(MAX($D$16,(N70)-(K35)))*SQRT(1+(I35)^2),0.000001))^(2/3),0.000001)))^2))/2)+(IF((ABS(J70)/MAX(((G35)+(I35)*(MAX($D$16,(N70)-(K35))))*(MAX($D$16,(N70)-(K35))),0.000001))&gt;(ABS(J70)/MAX(((F35)+(H35)*(MAX($D$16,(E70)-(J35))))*(MAX($D$16,(E70)-(J35))),0.000001)),$D$9*((((ABS(J70)/MAX(((G35)+(I35)*(MAX($D$16,(N70)-(K35))))*(MAX($D$16,(N70)-(K35))),0.000001))^2)/(2*$I$5))-(((ABS(J70)/MAX(((F35)+(H35)*(MAX($D$16,(E70)-(J35))))*(MAX($D$16,(E70)-(J35))),0.000001))^2)/(2*$I$5))),$D$8*((((ABS(J70)/MAX(((F35)+(H35)*(MAX($D$16,(E70)-(J35))))*(MAX($D$16,(E70)-(J35))),0.000001))^2)/(2*$I$5))-(((ABS(J70)/MAX(((G35)+(I35)*(MAX($D$16,(N70)-(K35))))*(MAX($D$16,(N70)-(K35))),0.000001))^2)/(2*$I$5)))))+($D$10*(ABS((X35)-(W35))/90)*MAX(((ABS(J70)/MAX(((F35)+(H35)*(MAX($D$16,(E70)-(J35))))*(MAX($D$16,(E70)-(J35))),0.000001))^2)/(2*$I$5),((ABS(J70)/MAX(((G35)+(I35)*(MAX($D$16,(N70)-(K35))))*(MAX($D$16,(N70)-(K35))),0.000001))^2)/(2*$I$5)))+(($D$11*0.34699541*(ABS(I70)/MAX(ABS(G70),0.000001))^2*MAX(((ABS(J70)/MAX(((F35)+(H35)*(MAX($D$16,(E70)-(J35))))*(MAX($D$16,(E70)-(J35))),0.000001))^2)/(2*$I$5),((ABS(J70)/MAX(((G35)+(I35)*(MAX($D$16,(N70)-(K35))))*(MAX($D$16,(N70)-(K35))),0.000001))^2)/(2*$I$5))))-((ABS(J70)/MAX(((F35)+(H35)*(MAX($D$16,(E70)-(J35))))*(MAX($D$16,(E70)-(J35))),0.000001))^2)/(2*$I$5)</f>
        <v>20784.033523923383</v>
      </c>
      <c r="U70">
        <f>(((((F32)*(MAX($D$16,(D70)-(J32)))^2)/2+(H32)*(MAX($D$16,(D70)-(J32)))^3/3+(ABS(G70)^2)/($I$5*MAX(((F32)+(H32)*(MAX($D$16,(D70)-(J32))))*(MAX($D$16,(D70)-(J32))),0.000001)))*0.72785025)-((((F33)*(MAX($D$16,(D70)-(J33)))^2)/2+(H33)*(MAX($D$16,(D70)-(J33)))^3/3+(ABS(H70)^2)/($I$5*MAX(((F33)+(H33)*(MAX($D$16,(D70)-(J33))))*(MAX($D$16,(D70)-(J33))),0.000001)))*0.99999971))/MAX(((G31)*(MAX($D$16,(D70)-(K31)))^2)/2+(I31)*(MAX($D$16,(D70)-(K31)))^3/3+(ABS(F70)^2)/($I$5*MAX(((G31)+(I31)*(MAX($D$16,(D70)-(K31))))*(MAX($D$16,(D70)-(K31))),0.000001)),0.000001)</f>
        <v>-0.27214945999991125</v>
      </c>
      <c r="V70">
        <f>(((((F34)*(MAX($D$16,(E70)-(J34)))^2)/2+(H34)*(MAX($D$16,(E70)-(J34)))^3/3+(ABS(I70)^2)/($I$5*MAX(((F34)+(H34)*(MAX($D$16,(E70)-(J34))))*(MAX($D$16,(E70)-(J34))),0.000001)))*1)-((((F35)*(MAX($D$16,(E70)-(J35)))^2)/2+(H35)*(MAX($D$16,(E70)-(J35)))^3/3+(ABS(J70)^2)/($I$5*MAX(((F35)+(H35)*(MAX($D$16,(E70)-(J35))))*(MAX($D$16,(E70)-(J35))),0.000001)))*0.30600918))/MAX(((G32)*(MAX($D$16,(E70)-(K32)))^2)/2+(I32)*(MAX($D$16,(E70)-(K32)))^3/3+(ABS(G70)^2)/($I$5*MAX(((G32)+(I32)*(MAX($D$16,(E70)-(K32))))*(MAX($D$16,(E70)-(K32))),0.000001)),0.000001)</f>
        <v>0.69398638937190382</v>
      </c>
      <c r="W70">
        <f>IF(N6="None",ABS(P70-D70),MAX(ABS(P70-D70),ABS(Q70-D70)))</f>
        <v>2.2409949451684952E-9</v>
      </c>
      <c r="X70">
        <f>IF(AND(N7="None",N8="None"),0,IF(N8="None",ABS(S70-E70),IF(N7="None",ABS(T70-E70),MAX(ABS(S70-E70),ABS(T70-E70)))))</f>
        <v>51796.64183765593</v>
      </c>
      <c r="AA70">
        <f t="shared" si="3"/>
        <v>52432.141837657939</v>
      </c>
      <c r="AB70">
        <f t="shared" si="4"/>
        <v>41355.303927849542</v>
      </c>
      <c r="AC70">
        <f>IF(N6="None",P70,MAX(P70,Q70))</f>
        <v>52432.141837656483</v>
      </c>
      <c r="AD70">
        <f>IF(AND(N7="None",N8="None"),E70,IF(N8="None",S70,IF(N7="None",T70,MAX(S70,T70))))</f>
        <v>20784.033523923383</v>
      </c>
      <c r="AE70">
        <f t="shared" si="5"/>
        <v>637.65825101089831</v>
      </c>
      <c r="AF70">
        <f t="shared" si="6"/>
        <v>52432.141837658855</v>
      </c>
      <c r="AG70">
        <f>((G31)*(MAX($D$16,(AC70)-(K31)))^2)/2+(I31)*(MAX($D$16,(AC70)-(K31)))^3/3+(ABS(F70)^2)/($I$5*MAX(((G31)+(I31)*(MAX($D$16,(AC70)-(K31))))*(MAX($D$16,(AC70)-(K31))),0.000001))</f>
        <v>8797611517.4097614</v>
      </c>
      <c r="AH70">
        <f>((G31)*(MAX($D$16,(AE70)-(K31)))^2)/2+(I31)*(MAX($D$16,(AE70)-(K31)))^3/3+(ABS(F70)^2)/($I$5*MAX(((G31)+(I31)*(MAX($D$16,(AE70)-(K31))))*(MAX($D$16,(AE70)-(K31))),0.000001))</f>
        <v>49.055863329575246</v>
      </c>
      <c r="AI70">
        <f>((G32)*(MAX($D$16,(AD70)-(K32)))^2)/2+(I32)*(MAX($D$16,(AD70)-(K32)))^3/3+(ABS(G70)^2)/($I$5*MAX(((G32)+(I32)*(MAX($D$16,(AD70)-(K32))))*(MAX($D$16,(AD70)-(K32))),0.000001))</f>
        <v>2072376743.6648321</v>
      </c>
      <c r="AJ70">
        <f>((G32)*(MAX($D$16,(AF70)-(K32)))^2)/2+(I32)*(MAX($D$16,(AF70)-(K32)))^3/3+(ABS(G70)^2)/($I$5*MAX(((G32)+(I32)*(MAX($D$16,(AF70)-(K32))))*(MAX($D$16,(AF70)-(K32))),0.000001))</f>
        <v>13692714789.642424</v>
      </c>
      <c r="AK70" t="str">
        <f t="shared" si="7"/>
        <v>Subcritical</v>
      </c>
      <c r="AL70" t="str">
        <f t="shared" si="8"/>
        <v>Supercritical</v>
      </c>
      <c r="AM70">
        <f t="shared" si="9"/>
        <v>52432.141837657939</v>
      </c>
      <c r="AN70">
        <f t="shared" si="10"/>
        <v>52432.141837656956</v>
      </c>
      <c r="AO70">
        <f t="shared" si="11"/>
        <v>2.2409949451684952E-9</v>
      </c>
      <c r="AP70">
        <f t="shared" si="12"/>
        <v>2.9249349609017372E-9</v>
      </c>
    </row>
    <row r="71" spans="1:42" x14ac:dyDescent="0.35">
      <c r="A71">
        <v>28</v>
      </c>
      <c r="B71">
        <f t="shared" si="13"/>
        <v>0</v>
      </c>
      <c r="C71">
        <f t="shared" si="14"/>
        <v>0</v>
      </c>
      <c r="D71">
        <f t="shared" si="15"/>
        <v>52432.141837657939</v>
      </c>
      <c r="E71">
        <f t="shared" si="16"/>
        <v>52432.141837656956</v>
      </c>
      <c r="F71">
        <f t="shared" si="2"/>
        <v>51</v>
      </c>
      <c r="G71">
        <f>IF(N6="None",F71,MAX(0,F71*B71))</f>
        <v>51</v>
      </c>
      <c r="H71">
        <f>IF(N6="None",0,MAX(0,F71-G71))</f>
        <v>0</v>
      </c>
      <c r="I71">
        <f>IF(AND(N7="None",N8="None"),0,IF(N8="None",G71,IF(N7="None",0,MAX(0,G71*C71))))</f>
        <v>0</v>
      </c>
      <c r="J71">
        <f>IF(AND(N7="None",N8="None"),0,IF(N8="None",0,IF(N7="None",G71,MAX(0,G71-I71))))</f>
        <v>51</v>
      </c>
      <c r="K71">
        <f>P5</f>
        <v>637</v>
      </c>
      <c r="L71">
        <f>P6</f>
        <v>634.3119999999999</v>
      </c>
      <c r="M71">
        <f>P7</f>
        <v>635.5</v>
      </c>
      <c r="N71">
        <f>P8</f>
        <v>631.54999999999995</v>
      </c>
      <c r="O71">
        <f>K71+((ABS(F71)/MAX(((F31)+(H31)*(MAX($D$16,(K71)-(J31))))*(MAX($D$16,(K71)-(J31))),0.000001))^2)/(2*$I$5)-((E31)*((((ABS(F71)*$D$6)/(MAX(((F31)+(H31)*(MAX($D$16,(K71)-(J31))))*(MAX($D$16,(K71)-(J31))),0.000001)*MAX(((((F31)+(H31)*(MAX($D$16,(K71)-(J31))))*(MAX($D$16,(K71)-(J31))))/MAX((F31)+2*(MAX($D$16,(K71)-(J31)))*SQRT(1+(H31)^2),0.000001))^(2/3),0.000001)))^2)+(((ABS(F71)*$D$6)/(MAX(((G31)+(I31)*(MAX($D$16,(D71)-(K31))))*(MAX($D$16,(D71)-(K31))),0.000001)*MAX(((((G31)+(I31)*(MAX($D$16,(D71)-(K31))))*(MAX($D$16,(D71)-(K31))))/MAX((G31)+2*(MAX($D$16,(D71)-(K31)))*SQRT(1+(I31)^2),0.000001))^(2/3),0.000001)))^2))/2)+(IF((ABS(F71)/MAX(((G31)+(I31)*(MAX($D$16,(D71)-(K31))))*(MAX($D$16,(D71)-(K31))),0.000001))&gt;(ABS(F71)/MAX(((F31)+(H31)*(MAX($D$16,(K71)-(J31))))*(MAX($D$16,(K71)-(J31))),0.000001)),$D$9*((((ABS(F71)/MAX(((G31)+(I31)*(MAX($D$16,(D71)-(K31))))*(MAX($D$16,(D71)-(K31))),0.000001))^2)/(2*$I$5))-(((ABS(F71)/MAX(((F31)+(H31)*(MAX($D$16,(K71)-(J31))))*(MAX($D$16,(K71)-(J31))),0.000001))^2)/(2*$I$5))),$D$8*((((ABS(F71)/MAX(((F31)+(H31)*(MAX($D$16,(K71)-(J31))))*(MAX($D$16,(K71)-(J31))),0.000001))^2)/(2*$I$5))-(((ABS(F71)/MAX(((G31)+(I31)*(MAX($D$16,(D71)-(K31))))*(MAX($D$16,(D71)-(K31))),0.000001))^2)/(2*$I$5)))))+($D$10*(ABS((X31)-(W31))/90)*MAX(((ABS(F71)/MAX(((F31)+(H31)*(MAX($D$16,(K71)-(J31))))*(MAX($D$16,(K71)-(J31))),0.000001))^2)/(2*$I$5),((ABS(F71)/MAX(((G31)+(I31)*(MAX($D$16,(D71)-(K31))))*(MAX($D$16,(D71)-(K31))),0.000001))^2)/(2*$I$5)))+(0)-((ABS(F71)/MAX(((G31)+(I31)*(MAX($D$16,(D71)-(K31))))*(MAX($D$16,(D71)-(K31))),0.000001))^2)/(2*$I$5)</f>
        <v>637.65825101089831</v>
      </c>
      <c r="P71">
        <f>E71+((ABS(G71)/MAX(((G32)+(I32)*(MAX($D$16,(E71)-(K32))))*(MAX($D$16,(E71)-(K32))),0.000001))^2)/(2*$I$5)+((E32)*((((ABS(G71)*$D$6)/(MAX(((F32)+(H32)*(MAX($D$16,(D71)-(J32))))*(MAX($D$16,(D71)-(J32))),0.000001)*MAX(((((F32)+(H32)*(MAX($D$16,(D71)-(J32))))*(MAX($D$16,(D71)-(J32))))/MAX((F32)+2*(MAX($D$16,(D71)-(J32)))*SQRT(1+(H32)^2),0.000001))^(2/3),0.000001)))^2)+(((ABS(G71)*$D$6)/(MAX(((G32)+(I32)*(MAX($D$16,(E71)-(K32))))*(MAX($D$16,(E71)-(K32))),0.000001)*MAX(((((G32)+(I32)*(MAX($D$16,(E71)-(K32))))*(MAX($D$16,(E71)-(K32))))/MAX((G32)+2*(MAX($D$16,(E71)-(K32)))*SQRT(1+(I32)^2),0.000001))^(2/3),0.000001)))^2))/2)+(IF((ABS(G71)/MAX(((G32)+(I32)*(MAX($D$16,(E71)-(K32))))*(MAX($D$16,(E71)-(K32))),0.000001))&gt;(ABS(G71)/MAX(((F32)+(H32)*(MAX($D$16,(D71)-(J32))))*(MAX($D$16,(D71)-(J32))),0.000001)),$D$9*((((ABS(G71)/MAX(((G32)+(I32)*(MAX($D$16,(E71)-(K32))))*(MAX($D$16,(E71)-(K32))),0.000001))^2)/(2*$I$5))-(((ABS(G71)/MAX(((F32)+(H32)*(MAX($D$16,(D71)-(J32))))*(MAX($D$16,(D71)-(J32))),0.000001))^2)/(2*$I$5))),$D$8*((((ABS(G71)/MAX(((F32)+(H32)*(MAX($D$16,(D71)-(J32))))*(MAX($D$16,(D71)-(J32))),0.000001))^2)/(2*$I$5))-(((ABS(G71)/MAX(((G32)+(I32)*(MAX($D$16,(E71)-(K32))))*(MAX($D$16,(E71)-(K32))),0.000001))^2)/(2*$I$5)))))+($D$10*(ABS((X32)-(W32))/90)*MAX(((ABS(G71)/MAX(((F32)+(H32)*(MAX($D$16,(D71)-(J32))))*(MAX($D$16,(D71)-(J32))),0.000001))^2)/(2*$I$5),((ABS(G71)/MAX(((G32)+(I32)*(MAX($D$16,(E71)-(K32))))*(MAX($D$16,(E71)-(K32))),0.000001))^2)/(2*$I$5)))+(($D$11*0.13607488*(ABS(H71)/MAX(ABS(F71),0.000001))^2*MAX(((ABS(G71)/MAX(((F32)+(H32)*(MAX($D$16,(D71)-(J32))))*(MAX($D$16,(D71)-(J32))),0.000001))^2)/(2*$I$5),((ABS(G71)/MAX(((G32)+(I32)*(MAX($D$16,(E71)-(K32))))*(MAX($D$16,(E71)-(K32))),0.000001))^2)/(2*$I$5))))-((ABS(G71)/MAX(((F32)+(H32)*(MAX($D$16,(D71)-(J32))))*(MAX($D$16,(D71)-(J32))),0.000001))^2)/(2*$I$5)</f>
        <v>52432.141837657509</v>
      </c>
      <c r="Q71">
        <f>L71+((ABS(H71)/MAX(((G33)+(I33)*(MAX($D$16,(L71)-(K33))))*(MAX($D$16,(L71)-(K33))),0.000001))^2)/(2*$I$5)+((E33)*((((ABS(H71)*$D$6)/(MAX(((F33)+(H33)*(MAX($D$16,(D71)-(J33))))*(MAX($D$16,(D71)-(J33))),0.000001)*MAX(((((F33)+(H33)*(MAX($D$16,(D71)-(J33))))*(MAX($D$16,(D71)-(J33))))/MAX((F33)+2*(MAX($D$16,(D71)-(J33)))*SQRT(1+(H33)^2),0.000001))^(2/3),0.000001)))^2)+(((ABS(H71)*$D$6)/(MAX(((G33)+(I33)*(MAX($D$16,(L71)-(K33))))*(MAX($D$16,(L71)-(K33))),0.000001)*MAX(((((G33)+(I33)*(MAX($D$16,(L71)-(K33))))*(MAX($D$16,(L71)-(K33))))/MAX((G33)+2*(MAX($D$16,(L71)-(K33)))*SQRT(1+(I33)^2),0.000001))^(2/3),0.000001)))^2))/2)+(IF((ABS(H71)/MAX(((G33)+(I33)*(MAX($D$16,(L71)-(K33))))*(MAX($D$16,(L71)-(K33))),0.000001))&gt;(ABS(H71)/MAX(((F33)+(H33)*(MAX($D$16,(D71)-(J33))))*(MAX($D$16,(D71)-(J33))),0.000001)),$D$9*((((ABS(H71)/MAX(((G33)+(I33)*(MAX($D$16,(L71)-(K33))))*(MAX($D$16,(L71)-(K33))),0.000001))^2)/(2*$I$5))-(((ABS(H71)/MAX(((F33)+(H33)*(MAX($D$16,(D71)-(J33))))*(MAX($D$16,(D71)-(J33))),0.000001))^2)/(2*$I$5))),$D$8*((((ABS(H71)/MAX(((F33)+(H33)*(MAX($D$16,(D71)-(J33))))*(MAX($D$16,(D71)-(J33))),0.000001))^2)/(2*$I$5))-(((ABS(H71)/MAX(((G33)+(I33)*(MAX($D$16,(L71)-(K33))))*(MAX($D$16,(L71)-(K33))),0.000001))^2)/(2*$I$5)))))+($D$10*(ABS((X33)-(W33))/90)*MAX(((ABS(H71)/MAX(((F33)+(H33)*(MAX($D$16,(D71)-(J33))))*(MAX($D$16,(D71)-(J33))),0.000001))^2)/(2*$I$5),((ABS(H71)/MAX(((G33)+(I33)*(MAX($D$16,(L71)-(K33))))*(MAX($D$16,(L71)-(K33))),0.000001))^2)/(2*$I$5)))+(($D$11*0.00000015*(ABS(G71)/MAX(ABS(F71),0.000001))^2*MAX(((ABS(H71)/MAX(((F33)+(H33)*(MAX($D$16,(D71)-(J33))))*(MAX($D$16,(D71)-(J33))),0.000001))^2)/(2*$I$5),((ABS(H71)/MAX(((G33)+(I33)*(MAX($D$16,(L71)-(K33))))*(MAX($D$16,(L71)-(K33))),0.000001))^2)/(2*$I$5))))-((ABS(H71)/MAX(((F33)+(H33)*(MAX($D$16,(D71)-(J33))))*(MAX($D$16,(D71)-(J33))),0.000001))^2)/(2*$I$5)</f>
        <v>634.3119999999999</v>
      </c>
      <c r="R71">
        <f>D71+((ABS(G71)/MAX(((F32)+(H32)*(MAX($D$16,(D71)-(J32))))*(MAX($D$16,(D71)-(J32))),0.000001))^2)/(2*$I$5)-((E32)*((((ABS(G71)*$D$6)/(MAX(((F32)+(H32)*(MAX($D$16,(D71)-(J32))))*(MAX($D$16,(D71)-(J32))),0.000001)*MAX(((((F32)+(H32)*(MAX($D$16,(D71)-(J32))))*(MAX($D$16,(D71)-(J32))))/MAX((F32)+2*(MAX($D$16,(D71)-(J32)))*SQRT(1+(H32)^2),0.000001))^(2/3),0.000001)))^2)+(((ABS(G71)*$D$6)/(MAX(((G32)+(I32)*(MAX($D$16,(E71)-(K32))))*(MAX($D$16,(E71)-(K32))),0.000001)*MAX(((((G32)+(I32)*(MAX($D$16,(E71)-(K32))))*(MAX($D$16,(E71)-(K32))))/MAX((G32)+2*(MAX($D$16,(E71)-(K32)))*SQRT(1+(I32)^2),0.000001))^(2/3),0.000001)))^2))/2)+(IF((ABS(G71)/MAX(((G32)+(I32)*(MAX($D$16,(E71)-(K32))))*(MAX($D$16,(E71)-(K32))),0.000001))&gt;(ABS(G71)/MAX(((F32)+(H32)*(MAX($D$16,(D71)-(J32))))*(MAX($D$16,(D71)-(J32))),0.000001)),$D$9*((((ABS(G71)/MAX(((G32)+(I32)*(MAX($D$16,(E71)-(K32))))*(MAX($D$16,(E71)-(K32))),0.000001))^2)/(2*$I$5))-(((ABS(G71)/MAX(((F32)+(H32)*(MAX($D$16,(D71)-(J32))))*(MAX($D$16,(D71)-(J32))),0.000001))^2)/(2*$I$5))),$D$8*((((ABS(G71)/MAX(((F32)+(H32)*(MAX($D$16,(D71)-(J32))))*(MAX($D$16,(D71)-(J32))),0.000001))^2)/(2*$I$5))-(((ABS(G71)/MAX(((G32)+(I32)*(MAX($D$16,(E71)-(K32))))*(MAX($D$16,(E71)-(K32))),0.000001))^2)/(2*$I$5)))))+($D$10*(ABS((X32)-(W32))/90)*MAX(((ABS(G71)/MAX(((F32)+(H32)*(MAX($D$16,(D71)-(J32))))*(MAX($D$16,(D71)-(J32))),0.000001))^2)/(2*$I$5),((ABS(G71)/MAX(((G32)+(I32)*(MAX($D$16,(E71)-(K32))))*(MAX($D$16,(E71)-(K32))),0.000001))^2)/(2*$I$5)))+(($D$11*0.13607488*(ABS(H71)/MAX(ABS(F71),0.000001))^2*MAX(((ABS(G71)/MAX(((F32)+(H32)*(MAX($D$16,(D71)-(J32))))*(MAX($D$16,(D71)-(J32))),0.000001))^2)/(2*$I$5),((ABS(G71)/MAX(((G32)+(I32)*(MAX($D$16,(E71)-(K32))))*(MAX($D$16,(E71)-(K32))),0.000001))^2)/(2*$I$5))))-((ABS(G71)/MAX(((G32)+(I32)*(MAX($D$16,(E71)-(K32))))*(MAX($D$16,(E71)-(K32))),0.000001))^2)/(2*$I$5)</f>
        <v>52432.14183765807</v>
      </c>
      <c r="S71">
        <f>M71+((ABS(I71)/MAX(((G34)+(I34)*(MAX($D$16,(M71)-(K34))))*(MAX($D$16,(M71)-(K34))),0.000001))^2)/(2*$I$5)+((E34)*((((ABS(I71)*$D$6)/(MAX(((F34)+(H34)*(MAX($D$16,(E71)-(J34))))*(MAX($D$16,(E71)-(J34))),0.000001)*MAX(((((F34)+(H34)*(MAX($D$16,(E71)-(J34))))*(MAX($D$16,(E71)-(J34))))/MAX((F34)+2*(MAX($D$16,(E71)-(J34)))*SQRT(1+(H34)^2),0.000001))^(2/3),0.000001)))^2)+(((ABS(I71)*$D$6)/(MAX(((G34)+(I34)*(MAX($D$16,(M71)-(K34))))*(MAX($D$16,(M71)-(K34))),0.000001)*MAX(((((G34)+(I34)*(MAX($D$16,(M71)-(K34))))*(MAX($D$16,(M71)-(K34))))/MAX((G34)+2*(MAX($D$16,(M71)-(K34)))*SQRT(1+(I34)^2),0.000001))^(2/3),0.000001)))^2))/2)+(IF((ABS(I71)/MAX(((G34)+(I34)*(MAX($D$16,(M71)-(K34))))*(MAX($D$16,(M71)-(K34))),0.000001))&gt;(ABS(I71)/MAX(((F34)+(H34)*(MAX($D$16,(E71)-(J34))))*(MAX($D$16,(E71)-(J34))),0.000001)),$D$9*((((ABS(I71)/MAX(((G34)+(I34)*(MAX($D$16,(M71)-(K34))))*(MAX($D$16,(M71)-(K34))),0.000001))^2)/(2*$I$5))-(((ABS(I71)/MAX(((F34)+(H34)*(MAX($D$16,(E71)-(J34))))*(MAX($D$16,(E71)-(J34))),0.000001))^2)/(2*$I$5))),$D$8*((((ABS(I71)/MAX(((F34)+(H34)*(MAX($D$16,(E71)-(J34))))*(MAX($D$16,(E71)-(J34))),0.000001))^2)/(2*$I$5))-(((ABS(I71)/MAX(((G34)+(I34)*(MAX($D$16,(M71)-(K34))))*(MAX($D$16,(M71)-(K34))),0.000001))^2)/(2*$I$5)))))+($D$10*(ABS((X34)-(W34))/90)*MAX(((ABS(I71)/MAX(((F34)+(H34)*(MAX($D$16,(E71)-(J34))))*(MAX($D$16,(E71)-(J34))),0.000001))^2)/(2*$I$5),((ABS(I71)/MAX(((G34)+(I34)*(MAX($D$16,(M71)-(K34))))*(MAX($D$16,(M71)-(K34))),0.000001))^2)/(2*$I$5)))+(0)-((ABS(I71)/MAX(((F34)+(H34)*(MAX($D$16,(E71)-(J34))))*(MAX($D$16,(E71)-(J34))),0.000001))^2)/(2*$I$5)</f>
        <v>635.5</v>
      </c>
      <c r="T71">
        <f>N71+((ABS(J71)/MAX(((G35)+(I35)*(MAX($D$16,(N71)-(K35))))*(MAX($D$16,(N71)-(K35))),0.000001))^2)/(2*$I$5)+((E35)*((((ABS(J71)*$D$6)/(MAX(((F35)+(H35)*(MAX($D$16,(E71)-(J35))))*(MAX($D$16,(E71)-(J35))),0.000001)*MAX(((((F35)+(H35)*(MAX($D$16,(E71)-(J35))))*(MAX($D$16,(E71)-(J35))))/MAX((F35)+2*(MAX($D$16,(E71)-(J35)))*SQRT(1+(H35)^2),0.000001))^(2/3),0.000001)))^2)+(((ABS(J71)*$D$6)/(MAX(((G35)+(I35)*(MAX($D$16,(N71)-(K35))))*(MAX($D$16,(N71)-(K35))),0.000001)*MAX(((((G35)+(I35)*(MAX($D$16,(N71)-(K35))))*(MAX($D$16,(N71)-(K35))))/MAX((G35)+2*(MAX($D$16,(N71)-(K35)))*SQRT(1+(I35)^2),0.000001))^(2/3),0.000001)))^2))/2)+(IF((ABS(J71)/MAX(((G35)+(I35)*(MAX($D$16,(N71)-(K35))))*(MAX($D$16,(N71)-(K35))),0.000001))&gt;(ABS(J71)/MAX(((F35)+(H35)*(MAX($D$16,(E71)-(J35))))*(MAX($D$16,(E71)-(J35))),0.000001)),$D$9*((((ABS(J71)/MAX(((G35)+(I35)*(MAX($D$16,(N71)-(K35))))*(MAX($D$16,(N71)-(K35))),0.000001))^2)/(2*$I$5))-(((ABS(J71)/MAX(((F35)+(H35)*(MAX($D$16,(E71)-(J35))))*(MAX($D$16,(E71)-(J35))),0.000001))^2)/(2*$I$5))),$D$8*((((ABS(J71)/MAX(((F35)+(H35)*(MAX($D$16,(E71)-(J35))))*(MAX($D$16,(E71)-(J35))),0.000001))^2)/(2*$I$5))-(((ABS(J71)/MAX(((G35)+(I35)*(MAX($D$16,(N71)-(K35))))*(MAX($D$16,(N71)-(K35))),0.000001))^2)/(2*$I$5)))))+($D$10*(ABS((X35)-(W35))/90)*MAX(((ABS(J71)/MAX(((F35)+(H35)*(MAX($D$16,(E71)-(J35))))*(MAX($D$16,(E71)-(J35))),0.000001))^2)/(2*$I$5),((ABS(J71)/MAX(((G35)+(I35)*(MAX($D$16,(N71)-(K35))))*(MAX($D$16,(N71)-(K35))),0.000001))^2)/(2*$I$5)))+(($D$11*0.34699541*(ABS(I71)/MAX(ABS(G71),0.000001))^2*MAX(((ABS(J71)/MAX(((F35)+(H35)*(MAX($D$16,(E71)-(J35))))*(MAX($D$16,(E71)-(J35))),0.000001))^2)/(2*$I$5),((ABS(J71)/MAX(((G35)+(I35)*(MAX($D$16,(N71)-(K35))))*(MAX($D$16,(N71)-(K35))),0.000001))^2)/(2*$I$5))))-((ABS(J71)/MAX(((F35)+(H35)*(MAX($D$16,(E71)-(J35))))*(MAX($D$16,(E71)-(J35))),0.000001))^2)/(2*$I$5)</f>
        <v>20784.033523923383</v>
      </c>
      <c r="U71">
        <f>(((((F32)*(MAX($D$16,(D71)-(J32)))^2)/2+(H32)*(MAX($D$16,(D71)-(J32)))^3/3+(ABS(G71)^2)/($I$5*MAX(((F32)+(H32)*(MAX($D$16,(D71)-(J32))))*(MAX($D$16,(D71)-(J32))),0.000001)))*0.72785025)-((((F33)*(MAX($D$16,(D71)-(J33)))^2)/2+(H33)*(MAX($D$16,(D71)-(J33)))^3/3+(ABS(H71)^2)/($I$5*MAX(((F33)+(H33)*(MAX($D$16,(D71)-(J33))))*(MAX($D$16,(D71)-(J33))),0.000001)))*0.99999971))/MAX(((G31)*(MAX($D$16,(D71)-(K31)))^2)/2+(I31)*(MAX($D$16,(D71)-(K31)))^3/3+(ABS(F71)^2)/($I$5*MAX(((G31)+(I31)*(MAX($D$16,(D71)-(K31))))*(MAX($D$16,(D71)-(K31))),0.000001)),0.000001)</f>
        <v>-0.2721494599999113</v>
      </c>
      <c r="V71">
        <f>(((((F34)*(MAX($D$16,(E71)-(J34)))^2)/2+(H34)*(MAX($D$16,(E71)-(J34)))^3/3+(ABS(I71)^2)/($I$5*MAX(((F34)+(H34)*(MAX($D$16,(E71)-(J34))))*(MAX($D$16,(E71)-(J34))),0.000001)))*1)-((((F35)*(MAX($D$16,(E71)-(J35)))^2)/2+(H35)*(MAX($D$16,(E71)-(J35)))^3/3+(ABS(J71)^2)/($I$5*MAX(((F35)+(H35)*(MAX($D$16,(E71)-(J35))))*(MAX($D$16,(E71)-(J35))),0.000001)))*0.30600918))/MAX(((G32)*(MAX($D$16,(E71)-(K32)))^2)/2+(I32)*(MAX($D$16,(E71)-(K32)))^3/3+(ABS(G71)^2)/($I$5*MAX(((G32)+(I32)*(MAX($D$16,(E71)-(K32))))*(MAX($D$16,(E71)-(K32))),0.000001)),0.000001)</f>
        <v>0.69398638937190393</v>
      </c>
      <c r="W71">
        <f>IF(N6="None",ABS(P71-D71),MAX(ABS(P71-D71),ABS(Q71-D71)))</f>
        <v>4.2928149923682213E-10</v>
      </c>
      <c r="X71">
        <f>IF(AND(N7="None",N8="None"),0,IF(N8="None",ABS(S71-E71),IF(N7="None",ABS(T71-E71),MAX(ABS(S71-E71),ABS(T71-E71)))))</f>
        <v>51796.641837656956</v>
      </c>
      <c r="AA71">
        <f t="shared" si="3"/>
        <v>52432.141837657786</v>
      </c>
      <c r="AB71">
        <f t="shared" si="4"/>
        <v>41355.303927850204</v>
      </c>
      <c r="AC71">
        <f>IF(N6="None",P71,MAX(P71,Q71))</f>
        <v>52432.141837657509</v>
      </c>
      <c r="AD71">
        <f>IF(AND(N7="None",N8="None"),E71,IF(N8="None",S71,IF(N7="None",T71,MAX(S71,T71))))</f>
        <v>20784.033523923383</v>
      </c>
      <c r="AE71">
        <f t="shared" si="5"/>
        <v>637.65825101089831</v>
      </c>
      <c r="AF71">
        <f t="shared" si="6"/>
        <v>52432.14183765807</v>
      </c>
      <c r="AG71">
        <f>((G31)*(MAX($D$16,(AC71)-(K31)))^2)/2+(I31)*(MAX($D$16,(AC71)-(K31)))^3/3+(ABS(F71)^2)/($I$5*MAX(((G31)+(I31)*(MAX($D$16,(AC71)-(K31))))*(MAX($D$16,(AC71)-(K31))),0.000001))</f>
        <v>8797611517.4101105</v>
      </c>
      <c r="AH71">
        <f>((G31)*(MAX($D$16,(AE71)-(K31)))^2)/2+(I31)*(MAX($D$16,(AE71)-(K31)))^3/3+(ABS(F71)^2)/($I$5*MAX(((G31)+(I31)*(MAX($D$16,(AE71)-(K31))))*(MAX($D$16,(AE71)-(K31))),0.000001))</f>
        <v>49.055863329575246</v>
      </c>
      <c r="AI71">
        <f>((G32)*(MAX($D$16,(AD71)-(K32)))^2)/2+(I32)*(MAX($D$16,(AD71)-(K32)))^3/3+(ABS(G71)^2)/($I$5*MAX(((G32)+(I32)*(MAX($D$16,(AD71)-(K32))))*(MAX($D$16,(AD71)-(K32))),0.000001))</f>
        <v>2072376743.6648321</v>
      </c>
      <c r="AJ71">
        <f>((G32)*(MAX($D$16,(AF71)-(K32)))^2)/2+(I32)*(MAX($D$16,(AF71)-(K32)))^3/3+(ABS(G71)^2)/($I$5*MAX(((G32)+(I32)*(MAX($D$16,(AF71)-(K32))))*(MAX($D$16,(AF71)-(K32))),0.000001))</f>
        <v>13692714789.64201</v>
      </c>
      <c r="AK71" t="str">
        <f t="shared" si="7"/>
        <v>Subcritical</v>
      </c>
      <c r="AL71" t="str">
        <f t="shared" si="8"/>
        <v>Supercritical</v>
      </c>
      <c r="AM71">
        <f t="shared" si="9"/>
        <v>52432.141837657786</v>
      </c>
      <c r="AN71">
        <f t="shared" si="10"/>
        <v>52432.141837657349</v>
      </c>
      <c r="AO71">
        <f t="shared" si="11"/>
        <v>4.2928149923682213E-10</v>
      </c>
      <c r="AP71">
        <f t="shared" si="12"/>
        <v>1.1132215149700642E-9</v>
      </c>
    </row>
    <row r="72" spans="1:42" x14ac:dyDescent="0.35">
      <c r="A72">
        <v>29</v>
      </c>
      <c r="B72">
        <f t="shared" si="13"/>
        <v>0</v>
      </c>
      <c r="C72">
        <f t="shared" si="14"/>
        <v>0</v>
      </c>
      <c r="D72">
        <f t="shared" si="15"/>
        <v>52432.141837657786</v>
      </c>
      <c r="E72">
        <f t="shared" si="16"/>
        <v>52432.141837657349</v>
      </c>
      <c r="F72">
        <f t="shared" si="2"/>
        <v>51</v>
      </c>
      <c r="G72">
        <f>IF(N6="None",F72,MAX(0,F72*B72))</f>
        <v>51</v>
      </c>
      <c r="H72">
        <f>IF(N6="None",0,MAX(0,F72-G72))</f>
        <v>0</v>
      </c>
      <c r="I72">
        <f>IF(AND(N7="None",N8="None"),0,IF(N8="None",G72,IF(N7="None",0,MAX(0,G72*C72))))</f>
        <v>0</v>
      </c>
      <c r="J72">
        <f>IF(AND(N7="None",N8="None"),0,IF(N8="None",0,IF(N7="None",G72,MAX(0,G72-I72))))</f>
        <v>51</v>
      </c>
      <c r="K72">
        <f>P5</f>
        <v>637</v>
      </c>
      <c r="L72">
        <f>P6</f>
        <v>634.3119999999999</v>
      </c>
      <c r="M72">
        <f>P7</f>
        <v>635.5</v>
      </c>
      <c r="N72">
        <f>P8</f>
        <v>631.54999999999995</v>
      </c>
      <c r="O72">
        <f>K72+((ABS(F72)/MAX(((F31)+(H31)*(MAX($D$16,(K72)-(J31))))*(MAX($D$16,(K72)-(J31))),0.000001))^2)/(2*$I$5)-((E31)*((((ABS(F72)*$D$6)/(MAX(((F31)+(H31)*(MAX($D$16,(K72)-(J31))))*(MAX($D$16,(K72)-(J31))),0.000001)*MAX(((((F31)+(H31)*(MAX($D$16,(K72)-(J31))))*(MAX($D$16,(K72)-(J31))))/MAX((F31)+2*(MAX($D$16,(K72)-(J31)))*SQRT(1+(H31)^2),0.000001))^(2/3),0.000001)))^2)+(((ABS(F72)*$D$6)/(MAX(((G31)+(I31)*(MAX($D$16,(D72)-(K31))))*(MAX($D$16,(D72)-(K31))),0.000001)*MAX(((((G31)+(I31)*(MAX($D$16,(D72)-(K31))))*(MAX($D$16,(D72)-(K31))))/MAX((G31)+2*(MAX($D$16,(D72)-(K31)))*SQRT(1+(I31)^2),0.000001))^(2/3),0.000001)))^2))/2)+(IF((ABS(F72)/MAX(((G31)+(I31)*(MAX($D$16,(D72)-(K31))))*(MAX($D$16,(D72)-(K31))),0.000001))&gt;(ABS(F72)/MAX(((F31)+(H31)*(MAX($D$16,(K72)-(J31))))*(MAX($D$16,(K72)-(J31))),0.000001)),$D$9*((((ABS(F72)/MAX(((G31)+(I31)*(MAX($D$16,(D72)-(K31))))*(MAX($D$16,(D72)-(K31))),0.000001))^2)/(2*$I$5))-(((ABS(F72)/MAX(((F31)+(H31)*(MAX($D$16,(K72)-(J31))))*(MAX($D$16,(K72)-(J31))),0.000001))^2)/(2*$I$5))),$D$8*((((ABS(F72)/MAX(((F31)+(H31)*(MAX($D$16,(K72)-(J31))))*(MAX($D$16,(K72)-(J31))),0.000001))^2)/(2*$I$5))-(((ABS(F72)/MAX(((G31)+(I31)*(MAX($D$16,(D72)-(K31))))*(MAX($D$16,(D72)-(K31))),0.000001))^2)/(2*$I$5)))))+($D$10*(ABS((X31)-(W31))/90)*MAX(((ABS(F72)/MAX(((F31)+(H31)*(MAX($D$16,(K72)-(J31))))*(MAX($D$16,(K72)-(J31))),0.000001))^2)/(2*$I$5),((ABS(F72)/MAX(((G31)+(I31)*(MAX($D$16,(D72)-(K31))))*(MAX($D$16,(D72)-(K31))),0.000001))^2)/(2*$I$5)))+(0)-((ABS(F72)/MAX(((G31)+(I31)*(MAX($D$16,(D72)-(K31))))*(MAX($D$16,(D72)-(K31))),0.000001))^2)/(2*$I$5)</f>
        <v>637.65825101089831</v>
      </c>
      <c r="P72">
        <f>E72+((ABS(G72)/MAX(((G32)+(I32)*(MAX($D$16,(E72)-(K32))))*(MAX($D$16,(E72)-(K32))),0.000001))^2)/(2*$I$5)+((E32)*((((ABS(G72)*$D$6)/(MAX(((F32)+(H32)*(MAX($D$16,(D72)-(J32))))*(MAX($D$16,(D72)-(J32))),0.000001)*MAX(((((F32)+(H32)*(MAX($D$16,(D72)-(J32))))*(MAX($D$16,(D72)-(J32))))/MAX((F32)+2*(MAX($D$16,(D72)-(J32)))*SQRT(1+(H32)^2),0.000001))^(2/3),0.000001)))^2)+(((ABS(G72)*$D$6)/(MAX(((G32)+(I32)*(MAX($D$16,(E72)-(K32))))*(MAX($D$16,(E72)-(K32))),0.000001)*MAX(((((G32)+(I32)*(MAX($D$16,(E72)-(K32))))*(MAX($D$16,(E72)-(K32))))/MAX((G32)+2*(MAX($D$16,(E72)-(K32)))*SQRT(1+(I32)^2),0.000001))^(2/3),0.000001)))^2))/2)+(IF((ABS(G72)/MAX(((G32)+(I32)*(MAX($D$16,(E72)-(K32))))*(MAX($D$16,(E72)-(K32))),0.000001))&gt;(ABS(G72)/MAX(((F32)+(H32)*(MAX($D$16,(D72)-(J32))))*(MAX($D$16,(D72)-(J32))),0.000001)),$D$9*((((ABS(G72)/MAX(((G32)+(I32)*(MAX($D$16,(E72)-(K32))))*(MAX($D$16,(E72)-(K32))),0.000001))^2)/(2*$I$5))-(((ABS(G72)/MAX(((F32)+(H32)*(MAX($D$16,(D72)-(J32))))*(MAX($D$16,(D72)-(J32))),0.000001))^2)/(2*$I$5))),$D$8*((((ABS(G72)/MAX(((F32)+(H32)*(MAX($D$16,(D72)-(J32))))*(MAX($D$16,(D72)-(J32))),0.000001))^2)/(2*$I$5))-(((ABS(G72)/MAX(((G32)+(I32)*(MAX($D$16,(E72)-(K32))))*(MAX($D$16,(E72)-(K32))),0.000001))^2)/(2*$I$5)))))+($D$10*(ABS((X32)-(W32))/90)*MAX(((ABS(G72)/MAX(((F32)+(H32)*(MAX($D$16,(D72)-(J32))))*(MAX($D$16,(D72)-(J32))),0.000001))^2)/(2*$I$5),((ABS(G72)/MAX(((G32)+(I32)*(MAX($D$16,(E72)-(K32))))*(MAX($D$16,(E72)-(K32))),0.000001))^2)/(2*$I$5)))+(($D$11*0.13607488*(ABS(H72)/MAX(ABS(F72),0.000001))^2*MAX(((ABS(G72)/MAX(((F32)+(H32)*(MAX($D$16,(D72)-(J32))))*(MAX($D$16,(D72)-(J32))),0.000001))^2)/(2*$I$5),((ABS(G72)/MAX(((G32)+(I32)*(MAX($D$16,(E72)-(K32))))*(MAX($D$16,(E72)-(K32))),0.000001))^2)/(2*$I$5))))-((ABS(G72)/MAX(((F32)+(H32)*(MAX($D$16,(D72)-(J32))))*(MAX($D$16,(D72)-(J32))),0.000001))^2)/(2*$I$5)</f>
        <v>52432.141837657902</v>
      </c>
      <c r="Q72">
        <f>L72+((ABS(H72)/MAX(((G33)+(I33)*(MAX($D$16,(L72)-(K33))))*(MAX($D$16,(L72)-(K33))),0.000001))^2)/(2*$I$5)+((E33)*((((ABS(H72)*$D$6)/(MAX(((F33)+(H33)*(MAX($D$16,(D72)-(J33))))*(MAX($D$16,(D72)-(J33))),0.000001)*MAX(((((F33)+(H33)*(MAX($D$16,(D72)-(J33))))*(MAX($D$16,(D72)-(J33))))/MAX((F33)+2*(MAX($D$16,(D72)-(J33)))*SQRT(1+(H33)^2),0.000001))^(2/3),0.000001)))^2)+(((ABS(H72)*$D$6)/(MAX(((G33)+(I33)*(MAX($D$16,(L72)-(K33))))*(MAX($D$16,(L72)-(K33))),0.000001)*MAX(((((G33)+(I33)*(MAX($D$16,(L72)-(K33))))*(MAX($D$16,(L72)-(K33))))/MAX((G33)+2*(MAX($D$16,(L72)-(K33)))*SQRT(1+(I33)^2),0.000001))^(2/3),0.000001)))^2))/2)+(IF((ABS(H72)/MAX(((G33)+(I33)*(MAX($D$16,(L72)-(K33))))*(MAX($D$16,(L72)-(K33))),0.000001))&gt;(ABS(H72)/MAX(((F33)+(H33)*(MAX($D$16,(D72)-(J33))))*(MAX($D$16,(D72)-(J33))),0.000001)),$D$9*((((ABS(H72)/MAX(((G33)+(I33)*(MAX($D$16,(L72)-(K33))))*(MAX($D$16,(L72)-(K33))),0.000001))^2)/(2*$I$5))-(((ABS(H72)/MAX(((F33)+(H33)*(MAX($D$16,(D72)-(J33))))*(MAX($D$16,(D72)-(J33))),0.000001))^2)/(2*$I$5))),$D$8*((((ABS(H72)/MAX(((F33)+(H33)*(MAX($D$16,(D72)-(J33))))*(MAX($D$16,(D72)-(J33))),0.000001))^2)/(2*$I$5))-(((ABS(H72)/MAX(((G33)+(I33)*(MAX($D$16,(L72)-(K33))))*(MAX($D$16,(L72)-(K33))),0.000001))^2)/(2*$I$5)))))+($D$10*(ABS((X33)-(W33))/90)*MAX(((ABS(H72)/MAX(((F33)+(H33)*(MAX($D$16,(D72)-(J33))))*(MAX($D$16,(D72)-(J33))),0.000001))^2)/(2*$I$5),((ABS(H72)/MAX(((G33)+(I33)*(MAX($D$16,(L72)-(K33))))*(MAX($D$16,(L72)-(K33))),0.000001))^2)/(2*$I$5)))+(($D$11*0.00000015*(ABS(G72)/MAX(ABS(F72),0.000001))^2*MAX(((ABS(H72)/MAX(((F33)+(H33)*(MAX($D$16,(D72)-(J33))))*(MAX($D$16,(D72)-(J33))),0.000001))^2)/(2*$I$5),((ABS(H72)/MAX(((G33)+(I33)*(MAX($D$16,(L72)-(K33))))*(MAX($D$16,(L72)-(K33))),0.000001))^2)/(2*$I$5))))-((ABS(H72)/MAX(((F33)+(H33)*(MAX($D$16,(D72)-(J33))))*(MAX($D$16,(D72)-(J33))),0.000001))^2)/(2*$I$5)</f>
        <v>634.3119999999999</v>
      </c>
      <c r="R72">
        <f>D72+((ABS(G72)/MAX(((F32)+(H32)*(MAX($D$16,(D72)-(J32))))*(MAX($D$16,(D72)-(J32))),0.000001))^2)/(2*$I$5)-((E32)*((((ABS(G72)*$D$6)/(MAX(((F32)+(H32)*(MAX($D$16,(D72)-(J32))))*(MAX($D$16,(D72)-(J32))),0.000001)*MAX(((((F32)+(H32)*(MAX($D$16,(D72)-(J32))))*(MAX($D$16,(D72)-(J32))))/MAX((F32)+2*(MAX($D$16,(D72)-(J32)))*SQRT(1+(H32)^2),0.000001))^(2/3),0.000001)))^2)+(((ABS(G72)*$D$6)/(MAX(((G32)+(I32)*(MAX($D$16,(E72)-(K32))))*(MAX($D$16,(E72)-(K32))),0.000001)*MAX(((((G32)+(I32)*(MAX($D$16,(E72)-(K32))))*(MAX($D$16,(E72)-(K32))))/MAX((G32)+2*(MAX($D$16,(E72)-(K32)))*SQRT(1+(I32)^2),0.000001))^(2/3),0.000001)))^2))/2)+(IF((ABS(G72)/MAX(((G32)+(I32)*(MAX($D$16,(E72)-(K32))))*(MAX($D$16,(E72)-(K32))),0.000001))&gt;(ABS(G72)/MAX(((F32)+(H32)*(MAX($D$16,(D72)-(J32))))*(MAX($D$16,(D72)-(J32))),0.000001)),$D$9*((((ABS(G72)/MAX(((G32)+(I32)*(MAX($D$16,(E72)-(K32))))*(MAX($D$16,(E72)-(K32))),0.000001))^2)/(2*$I$5))-(((ABS(G72)/MAX(((F32)+(H32)*(MAX($D$16,(D72)-(J32))))*(MAX($D$16,(D72)-(J32))),0.000001))^2)/(2*$I$5))),$D$8*((((ABS(G72)/MAX(((F32)+(H32)*(MAX($D$16,(D72)-(J32))))*(MAX($D$16,(D72)-(J32))),0.000001))^2)/(2*$I$5))-(((ABS(G72)/MAX(((G32)+(I32)*(MAX($D$16,(E72)-(K32))))*(MAX($D$16,(E72)-(K32))),0.000001))^2)/(2*$I$5)))))+($D$10*(ABS((X32)-(W32))/90)*MAX(((ABS(G72)/MAX(((F32)+(H32)*(MAX($D$16,(D72)-(J32))))*(MAX($D$16,(D72)-(J32))),0.000001))^2)/(2*$I$5),((ABS(G72)/MAX(((G32)+(I32)*(MAX($D$16,(E72)-(K32))))*(MAX($D$16,(E72)-(K32))),0.000001))^2)/(2*$I$5)))+(($D$11*0.13607488*(ABS(H72)/MAX(ABS(F72),0.000001))^2*MAX(((ABS(G72)/MAX(((F32)+(H32)*(MAX($D$16,(D72)-(J32))))*(MAX($D$16,(D72)-(J32))),0.000001))^2)/(2*$I$5),((ABS(G72)/MAX(((G32)+(I32)*(MAX($D$16,(E72)-(K32))))*(MAX($D$16,(E72)-(K32))),0.000001))^2)/(2*$I$5))))-((ABS(G72)/MAX(((G32)+(I32)*(MAX($D$16,(E72)-(K32))))*(MAX($D$16,(E72)-(K32))),0.000001))^2)/(2*$I$5)</f>
        <v>52432.141837657917</v>
      </c>
      <c r="S72">
        <f>M72+((ABS(I72)/MAX(((G34)+(I34)*(MAX($D$16,(M72)-(K34))))*(MAX($D$16,(M72)-(K34))),0.000001))^2)/(2*$I$5)+((E34)*((((ABS(I72)*$D$6)/(MAX(((F34)+(H34)*(MAX($D$16,(E72)-(J34))))*(MAX($D$16,(E72)-(J34))),0.000001)*MAX(((((F34)+(H34)*(MAX($D$16,(E72)-(J34))))*(MAX($D$16,(E72)-(J34))))/MAX((F34)+2*(MAX($D$16,(E72)-(J34)))*SQRT(1+(H34)^2),0.000001))^(2/3),0.000001)))^2)+(((ABS(I72)*$D$6)/(MAX(((G34)+(I34)*(MAX($D$16,(M72)-(K34))))*(MAX($D$16,(M72)-(K34))),0.000001)*MAX(((((G34)+(I34)*(MAX($D$16,(M72)-(K34))))*(MAX($D$16,(M72)-(K34))))/MAX((G34)+2*(MAX($D$16,(M72)-(K34)))*SQRT(1+(I34)^2),0.000001))^(2/3),0.000001)))^2))/2)+(IF((ABS(I72)/MAX(((G34)+(I34)*(MAX($D$16,(M72)-(K34))))*(MAX($D$16,(M72)-(K34))),0.000001))&gt;(ABS(I72)/MAX(((F34)+(H34)*(MAX($D$16,(E72)-(J34))))*(MAX($D$16,(E72)-(J34))),0.000001)),$D$9*((((ABS(I72)/MAX(((G34)+(I34)*(MAX($D$16,(M72)-(K34))))*(MAX($D$16,(M72)-(K34))),0.000001))^2)/(2*$I$5))-(((ABS(I72)/MAX(((F34)+(H34)*(MAX($D$16,(E72)-(J34))))*(MAX($D$16,(E72)-(J34))),0.000001))^2)/(2*$I$5))),$D$8*((((ABS(I72)/MAX(((F34)+(H34)*(MAX($D$16,(E72)-(J34))))*(MAX($D$16,(E72)-(J34))),0.000001))^2)/(2*$I$5))-(((ABS(I72)/MAX(((G34)+(I34)*(MAX($D$16,(M72)-(K34))))*(MAX($D$16,(M72)-(K34))),0.000001))^2)/(2*$I$5)))))+($D$10*(ABS((X34)-(W34))/90)*MAX(((ABS(I72)/MAX(((F34)+(H34)*(MAX($D$16,(E72)-(J34))))*(MAX($D$16,(E72)-(J34))),0.000001))^2)/(2*$I$5),((ABS(I72)/MAX(((G34)+(I34)*(MAX($D$16,(M72)-(K34))))*(MAX($D$16,(M72)-(K34))),0.000001))^2)/(2*$I$5)))+(0)-((ABS(I72)/MAX(((F34)+(H34)*(MAX($D$16,(E72)-(J34))))*(MAX($D$16,(E72)-(J34))),0.000001))^2)/(2*$I$5)</f>
        <v>635.5</v>
      </c>
      <c r="T72">
        <f>N72+((ABS(J72)/MAX(((G35)+(I35)*(MAX($D$16,(N72)-(K35))))*(MAX($D$16,(N72)-(K35))),0.000001))^2)/(2*$I$5)+((E35)*((((ABS(J72)*$D$6)/(MAX(((F35)+(H35)*(MAX($D$16,(E72)-(J35))))*(MAX($D$16,(E72)-(J35))),0.000001)*MAX(((((F35)+(H35)*(MAX($D$16,(E72)-(J35))))*(MAX($D$16,(E72)-(J35))))/MAX((F35)+2*(MAX($D$16,(E72)-(J35)))*SQRT(1+(H35)^2),0.000001))^(2/3),0.000001)))^2)+(((ABS(J72)*$D$6)/(MAX(((G35)+(I35)*(MAX($D$16,(N72)-(K35))))*(MAX($D$16,(N72)-(K35))),0.000001)*MAX(((((G35)+(I35)*(MAX($D$16,(N72)-(K35))))*(MAX($D$16,(N72)-(K35))))/MAX((G35)+2*(MAX($D$16,(N72)-(K35)))*SQRT(1+(I35)^2),0.000001))^(2/3),0.000001)))^2))/2)+(IF((ABS(J72)/MAX(((G35)+(I35)*(MAX($D$16,(N72)-(K35))))*(MAX($D$16,(N72)-(K35))),0.000001))&gt;(ABS(J72)/MAX(((F35)+(H35)*(MAX($D$16,(E72)-(J35))))*(MAX($D$16,(E72)-(J35))),0.000001)),$D$9*((((ABS(J72)/MAX(((G35)+(I35)*(MAX($D$16,(N72)-(K35))))*(MAX($D$16,(N72)-(K35))),0.000001))^2)/(2*$I$5))-(((ABS(J72)/MAX(((F35)+(H35)*(MAX($D$16,(E72)-(J35))))*(MAX($D$16,(E72)-(J35))),0.000001))^2)/(2*$I$5))),$D$8*((((ABS(J72)/MAX(((F35)+(H35)*(MAX($D$16,(E72)-(J35))))*(MAX($D$16,(E72)-(J35))),0.000001))^2)/(2*$I$5))-(((ABS(J72)/MAX(((G35)+(I35)*(MAX($D$16,(N72)-(K35))))*(MAX($D$16,(N72)-(K35))),0.000001))^2)/(2*$I$5)))))+($D$10*(ABS((X35)-(W35))/90)*MAX(((ABS(J72)/MAX(((F35)+(H35)*(MAX($D$16,(E72)-(J35))))*(MAX($D$16,(E72)-(J35))),0.000001))^2)/(2*$I$5),((ABS(J72)/MAX(((G35)+(I35)*(MAX($D$16,(N72)-(K35))))*(MAX($D$16,(N72)-(K35))),0.000001))^2)/(2*$I$5)))+(($D$11*0.34699541*(ABS(I72)/MAX(ABS(G72),0.000001))^2*MAX(((ABS(J72)/MAX(((F35)+(H35)*(MAX($D$16,(E72)-(J35))))*(MAX($D$16,(E72)-(J35))),0.000001))^2)/(2*$I$5),((ABS(J72)/MAX(((G35)+(I35)*(MAX($D$16,(N72)-(K35))))*(MAX($D$16,(N72)-(K35))),0.000001))^2)/(2*$I$5))))-((ABS(J72)/MAX(((F35)+(H35)*(MAX($D$16,(E72)-(J35))))*(MAX($D$16,(E72)-(J35))),0.000001))^2)/(2*$I$5)</f>
        <v>20784.033523923383</v>
      </c>
      <c r="U72">
        <f>(((((F32)*(MAX($D$16,(D72)-(J32)))^2)/2+(H32)*(MAX($D$16,(D72)-(J32)))^3/3+(ABS(G72)^2)/($I$5*MAX(((F32)+(H32)*(MAX($D$16,(D72)-(J32))))*(MAX($D$16,(D72)-(J32))),0.000001)))*0.72785025)-((((F33)*(MAX($D$16,(D72)-(J33)))^2)/2+(H33)*(MAX($D$16,(D72)-(J33)))^3/3+(ABS(H72)^2)/($I$5*MAX(((F33)+(H33)*(MAX($D$16,(D72)-(J33))))*(MAX($D$16,(D72)-(J33))),0.000001)))*0.99999971))/MAX(((G31)*(MAX($D$16,(D72)-(K31)))^2)/2+(I31)*(MAX($D$16,(D72)-(K31)))^3/3+(ABS(F72)^2)/($I$5*MAX(((G31)+(I31)*(MAX($D$16,(D72)-(K31))))*(MAX($D$16,(D72)-(K31))),0.000001)),0.000001)</f>
        <v>-0.27214945999991125</v>
      </c>
      <c r="V72">
        <f>(((((F34)*(MAX($D$16,(E72)-(J34)))^2)/2+(H34)*(MAX($D$16,(E72)-(J34)))^3/3+(ABS(I72)^2)/($I$5*MAX(((F34)+(H34)*(MAX($D$16,(E72)-(J34))))*(MAX($D$16,(E72)-(J34))),0.000001)))*1)-((((F35)*(MAX($D$16,(E72)-(J35)))^2)/2+(H35)*(MAX($D$16,(E72)-(J35)))^3/3+(ABS(J72)^2)/($I$5*MAX(((F35)+(H35)*(MAX($D$16,(E72)-(J35))))*(MAX($D$16,(E72)-(J35))),0.000001)))*0.30600918))/MAX(((G32)*(MAX($D$16,(E72)-(K32)))^2)/2+(I32)*(MAX($D$16,(E72)-(K32)))^3/3+(ABS(G72)^2)/($I$5*MAX(((G32)+(I32)*(MAX($D$16,(E72)-(K32))))*(MAX($D$16,(E72)-(K32))),0.000001)),0.000001)</f>
        <v>0.69398638937190382</v>
      </c>
      <c r="W72">
        <f>IF(N6="None",ABS(P72-D72),MAX(ABS(P72-D72),ABS(Q72-D72)))</f>
        <v>1.1641532182693481E-10</v>
      </c>
      <c r="X72">
        <f>IF(AND(N7="None",N8="None"),0,IF(N8="None",ABS(S72-E72),IF(N7="None",ABS(T72-E72),MAX(ABS(S72-E72),ABS(T72-E72)))))</f>
        <v>51796.641837657349</v>
      </c>
      <c r="AA72">
        <f t="shared" si="3"/>
        <v>52432.141837657829</v>
      </c>
      <c r="AB72">
        <f t="shared" si="4"/>
        <v>41355.303927850458</v>
      </c>
      <c r="AC72">
        <f>IF(N6="None",P72,MAX(P72,Q72))</f>
        <v>52432.141837657902</v>
      </c>
      <c r="AD72">
        <f>IF(AND(N7="None",N8="None"),E72,IF(N8="None",S72,IF(N7="None",T72,MAX(S72,T72))))</f>
        <v>20784.033523923383</v>
      </c>
      <c r="AE72">
        <f t="shared" si="5"/>
        <v>637.65825101089831</v>
      </c>
      <c r="AF72">
        <f t="shared" si="6"/>
        <v>52432.141837657917</v>
      </c>
      <c r="AG72">
        <f>((G31)*(MAX($D$16,(AC72)-(K31)))^2)/2+(I31)*(MAX($D$16,(AC72)-(K31)))^3/3+(ABS(F72)^2)/($I$5*MAX(((G31)+(I31)*(MAX($D$16,(AC72)-(K31))))*(MAX($D$16,(AC72)-(K31))),0.000001))</f>
        <v>8797611517.4102421</v>
      </c>
      <c r="AH72">
        <f>((G31)*(MAX($D$16,(AE72)-(K31)))^2)/2+(I31)*(MAX($D$16,(AE72)-(K31)))^3/3+(ABS(F72)^2)/($I$5*MAX(((G31)+(I31)*(MAX($D$16,(AE72)-(K31))))*(MAX($D$16,(AE72)-(K31))),0.000001))</f>
        <v>49.055863329575246</v>
      </c>
      <c r="AI72">
        <f>((G32)*(MAX($D$16,(AD72)-(K32)))^2)/2+(I32)*(MAX($D$16,(AD72)-(K32)))^3/3+(ABS(G72)^2)/($I$5*MAX(((G32)+(I32)*(MAX($D$16,(AD72)-(K32))))*(MAX($D$16,(AD72)-(K32))),0.000001))</f>
        <v>2072376743.6648321</v>
      </c>
      <c r="AJ72">
        <f>((G32)*(MAX($D$16,(AF72)-(K32)))^2)/2+(I32)*(MAX($D$16,(AF72)-(K32)))^3/3+(ABS(G72)^2)/($I$5*MAX(((G32)+(I32)*(MAX($D$16,(AF72)-(K32))))*(MAX($D$16,(AF72)-(K32))),0.000001))</f>
        <v>13692714789.641926</v>
      </c>
      <c r="AK72" t="str">
        <f t="shared" si="7"/>
        <v>Subcritical</v>
      </c>
      <c r="AL72" t="str">
        <f t="shared" si="8"/>
        <v>Supercritical</v>
      </c>
      <c r="AM72">
        <f t="shared" si="9"/>
        <v>52432.141837657829</v>
      </c>
      <c r="AN72">
        <f t="shared" si="10"/>
        <v>52432.141837657546</v>
      </c>
      <c r="AO72">
        <f t="shared" si="11"/>
        <v>1.1641532182693481E-10</v>
      </c>
      <c r="AP72">
        <f t="shared" si="12"/>
        <v>5.6752469390630722E-10</v>
      </c>
    </row>
    <row r="73" spans="1:42" x14ac:dyDescent="0.35">
      <c r="A73">
        <v>30</v>
      </c>
      <c r="B73">
        <f t="shared" si="13"/>
        <v>0</v>
      </c>
      <c r="C73">
        <f t="shared" si="14"/>
        <v>0</v>
      </c>
      <c r="D73">
        <f t="shared" si="15"/>
        <v>52432.141837657829</v>
      </c>
      <c r="E73">
        <f t="shared" si="16"/>
        <v>52432.141837657546</v>
      </c>
      <c r="F73">
        <f t="shared" si="2"/>
        <v>51</v>
      </c>
      <c r="G73">
        <f>IF(N6="None",F73,MAX(0,F73*B73))</f>
        <v>51</v>
      </c>
      <c r="H73">
        <f>IF(N6="None",0,MAX(0,F73-G73))</f>
        <v>0</v>
      </c>
      <c r="I73">
        <f>IF(AND(N7="None",N8="None"),0,IF(N8="None",G73,IF(N7="None",0,MAX(0,G73*C73))))</f>
        <v>0</v>
      </c>
      <c r="J73">
        <f>IF(AND(N7="None",N8="None"),0,IF(N8="None",0,IF(N7="None",G73,MAX(0,G73-I73))))</f>
        <v>51</v>
      </c>
      <c r="K73">
        <f>P5</f>
        <v>637</v>
      </c>
      <c r="L73">
        <f>P6</f>
        <v>634.3119999999999</v>
      </c>
      <c r="M73">
        <f>P7</f>
        <v>635.5</v>
      </c>
      <c r="N73">
        <f>P8</f>
        <v>631.54999999999995</v>
      </c>
      <c r="O73">
        <f>K73+((ABS(F73)/MAX(((F31)+(H31)*(MAX($D$16,(K73)-(J31))))*(MAX($D$16,(K73)-(J31))),0.000001))^2)/(2*$I$5)-((E31)*((((ABS(F73)*$D$6)/(MAX(((F31)+(H31)*(MAX($D$16,(K73)-(J31))))*(MAX($D$16,(K73)-(J31))),0.000001)*MAX(((((F31)+(H31)*(MAX($D$16,(K73)-(J31))))*(MAX($D$16,(K73)-(J31))))/MAX((F31)+2*(MAX($D$16,(K73)-(J31)))*SQRT(1+(H31)^2),0.000001))^(2/3),0.000001)))^2)+(((ABS(F73)*$D$6)/(MAX(((G31)+(I31)*(MAX($D$16,(D73)-(K31))))*(MAX($D$16,(D73)-(K31))),0.000001)*MAX(((((G31)+(I31)*(MAX($D$16,(D73)-(K31))))*(MAX($D$16,(D73)-(K31))))/MAX((G31)+2*(MAX($D$16,(D73)-(K31)))*SQRT(1+(I31)^2),0.000001))^(2/3),0.000001)))^2))/2)+(IF((ABS(F73)/MAX(((G31)+(I31)*(MAX($D$16,(D73)-(K31))))*(MAX($D$16,(D73)-(K31))),0.000001))&gt;(ABS(F73)/MAX(((F31)+(H31)*(MAX($D$16,(K73)-(J31))))*(MAX($D$16,(K73)-(J31))),0.000001)),$D$9*((((ABS(F73)/MAX(((G31)+(I31)*(MAX($D$16,(D73)-(K31))))*(MAX($D$16,(D73)-(K31))),0.000001))^2)/(2*$I$5))-(((ABS(F73)/MAX(((F31)+(H31)*(MAX($D$16,(K73)-(J31))))*(MAX($D$16,(K73)-(J31))),0.000001))^2)/(2*$I$5))),$D$8*((((ABS(F73)/MAX(((F31)+(H31)*(MAX($D$16,(K73)-(J31))))*(MAX($D$16,(K73)-(J31))),0.000001))^2)/(2*$I$5))-(((ABS(F73)/MAX(((G31)+(I31)*(MAX($D$16,(D73)-(K31))))*(MAX($D$16,(D73)-(K31))),0.000001))^2)/(2*$I$5)))))+($D$10*(ABS((X31)-(W31))/90)*MAX(((ABS(F73)/MAX(((F31)+(H31)*(MAX($D$16,(K73)-(J31))))*(MAX($D$16,(K73)-(J31))),0.000001))^2)/(2*$I$5),((ABS(F73)/MAX(((G31)+(I31)*(MAX($D$16,(D73)-(K31))))*(MAX($D$16,(D73)-(K31))),0.000001))^2)/(2*$I$5)))+(0)-((ABS(F73)/MAX(((G31)+(I31)*(MAX($D$16,(D73)-(K31))))*(MAX($D$16,(D73)-(K31))),0.000001))^2)/(2*$I$5)</f>
        <v>637.65825101089831</v>
      </c>
      <c r="P73">
        <f>E73+((ABS(G73)/MAX(((G32)+(I32)*(MAX($D$16,(E73)-(K32))))*(MAX($D$16,(E73)-(K32))),0.000001))^2)/(2*$I$5)+((E32)*((((ABS(G73)*$D$6)/(MAX(((F32)+(H32)*(MAX($D$16,(D73)-(J32))))*(MAX($D$16,(D73)-(J32))),0.000001)*MAX(((((F32)+(H32)*(MAX($D$16,(D73)-(J32))))*(MAX($D$16,(D73)-(J32))))/MAX((F32)+2*(MAX($D$16,(D73)-(J32)))*SQRT(1+(H32)^2),0.000001))^(2/3),0.000001)))^2)+(((ABS(G73)*$D$6)/(MAX(((G32)+(I32)*(MAX($D$16,(E73)-(K32))))*(MAX($D$16,(E73)-(K32))),0.000001)*MAX(((((G32)+(I32)*(MAX($D$16,(E73)-(K32))))*(MAX($D$16,(E73)-(K32))))/MAX((G32)+2*(MAX($D$16,(E73)-(K32)))*SQRT(1+(I32)^2),0.000001))^(2/3),0.000001)))^2))/2)+(IF((ABS(G73)/MAX(((G32)+(I32)*(MAX($D$16,(E73)-(K32))))*(MAX($D$16,(E73)-(K32))),0.000001))&gt;(ABS(G73)/MAX(((F32)+(H32)*(MAX($D$16,(D73)-(J32))))*(MAX($D$16,(D73)-(J32))),0.000001)),$D$9*((((ABS(G73)/MAX(((G32)+(I32)*(MAX($D$16,(E73)-(K32))))*(MAX($D$16,(E73)-(K32))),0.000001))^2)/(2*$I$5))-(((ABS(G73)/MAX(((F32)+(H32)*(MAX($D$16,(D73)-(J32))))*(MAX($D$16,(D73)-(J32))),0.000001))^2)/(2*$I$5))),$D$8*((((ABS(G73)/MAX(((F32)+(H32)*(MAX($D$16,(D73)-(J32))))*(MAX($D$16,(D73)-(J32))),0.000001))^2)/(2*$I$5))-(((ABS(G73)/MAX(((G32)+(I32)*(MAX($D$16,(E73)-(K32))))*(MAX($D$16,(E73)-(K32))),0.000001))^2)/(2*$I$5)))))+($D$10*(ABS((X32)-(W32))/90)*MAX(((ABS(G73)/MAX(((F32)+(H32)*(MAX($D$16,(D73)-(J32))))*(MAX($D$16,(D73)-(J32))),0.000001))^2)/(2*$I$5),((ABS(G73)/MAX(((G32)+(I32)*(MAX($D$16,(E73)-(K32))))*(MAX($D$16,(E73)-(K32))),0.000001))^2)/(2*$I$5)))+(($D$11*0.13607488*(ABS(H73)/MAX(ABS(F73),0.000001))^2*MAX(((ABS(G73)/MAX(((F32)+(H32)*(MAX($D$16,(D73)-(J32))))*(MAX($D$16,(D73)-(J32))),0.000001))^2)/(2*$I$5),((ABS(G73)/MAX(((G32)+(I32)*(MAX($D$16,(E73)-(K32))))*(MAX($D$16,(E73)-(K32))),0.000001))^2)/(2*$I$5))))-((ABS(G73)/MAX(((F32)+(H32)*(MAX($D$16,(D73)-(J32))))*(MAX($D$16,(D73)-(J32))),0.000001))^2)/(2*$I$5)</f>
        <v>52432.141837658099</v>
      </c>
      <c r="Q73">
        <f>L73+((ABS(H73)/MAX(((G33)+(I33)*(MAX($D$16,(L73)-(K33))))*(MAX($D$16,(L73)-(K33))),0.000001))^2)/(2*$I$5)+((E33)*((((ABS(H73)*$D$6)/(MAX(((F33)+(H33)*(MAX($D$16,(D73)-(J33))))*(MAX($D$16,(D73)-(J33))),0.000001)*MAX(((((F33)+(H33)*(MAX($D$16,(D73)-(J33))))*(MAX($D$16,(D73)-(J33))))/MAX((F33)+2*(MAX($D$16,(D73)-(J33)))*SQRT(1+(H33)^2),0.000001))^(2/3),0.000001)))^2)+(((ABS(H73)*$D$6)/(MAX(((G33)+(I33)*(MAX($D$16,(L73)-(K33))))*(MAX($D$16,(L73)-(K33))),0.000001)*MAX(((((G33)+(I33)*(MAX($D$16,(L73)-(K33))))*(MAX($D$16,(L73)-(K33))))/MAX((G33)+2*(MAX($D$16,(L73)-(K33)))*SQRT(1+(I33)^2),0.000001))^(2/3),0.000001)))^2))/2)+(IF((ABS(H73)/MAX(((G33)+(I33)*(MAX($D$16,(L73)-(K33))))*(MAX($D$16,(L73)-(K33))),0.000001))&gt;(ABS(H73)/MAX(((F33)+(H33)*(MAX($D$16,(D73)-(J33))))*(MAX($D$16,(D73)-(J33))),0.000001)),$D$9*((((ABS(H73)/MAX(((G33)+(I33)*(MAX($D$16,(L73)-(K33))))*(MAX($D$16,(L73)-(K33))),0.000001))^2)/(2*$I$5))-(((ABS(H73)/MAX(((F33)+(H33)*(MAX($D$16,(D73)-(J33))))*(MAX($D$16,(D73)-(J33))),0.000001))^2)/(2*$I$5))),$D$8*((((ABS(H73)/MAX(((F33)+(H33)*(MAX($D$16,(D73)-(J33))))*(MAX($D$16,(D73)-(J33))),0.000001))^2)/(2*$I$5))-(((ABS(H73)/MAX(((G33)+(I33)*(MAX($D$16,(L73)-(K33))))*(MAX($D$16,(L73)-(K33))),0.000001))^2)/(2*$I$5)))))+($D$10*(ABS((X33)-(W33))/90)*MAX(((ABS(H73)/MAX(((F33)+(H33)*(MAX($D$16,(D73)-(J33))))*(MAX($D$16,(D73)-(J33))),0.000001))^2)/(2*$I$5),((ABS(H73)/MAX(((G33)+(I33)*(MAX($D$16,(L73)-(K33))))*(MAX($D$16,(L73)-(K33))),0.000001))^2)/(2*$I$5)))+(($D$11*0.00000015*(ABS(G73)/MAX(ABS(F73),0.000001))^2*MAX(((ABS(H73)/MAX(((F33)+(H33)*(MAX($D$16,(D73)-(J33))))*(MAX($D$16,(D73)-(J33))),0.000001))^2)/(2*$I$5),((ABS(H73)/MAX(((G33)+(I33)*(MAX($D$16,(L73)-(K33))))*(MAX($D$16,(L73)-(K33))),0.000001))^2)/(2*$I$5))))-((ABS(H73)/MAX(((F33)+(H33)*(MAX($D$16,(D73)-(J33))))*(MAX($D$16,(D73)-(J33))),0.000001))^2)/(2*$I$5)</f>
        <v>634.3119999999999</v>
      </c>
      <c r="R73">
        <f>D73+((ABS(G73)/MAX(((F32)+(H32)*(MAX($D$16,(D73)-(J32))))*(MAX($D$16,(D73)-(J32))),0.000001))^2)/(2*$I$5)-((E32)*((((ABS(G73)*$D$6)/(MAX(((F32)+(H32)*(MAX($D$16,(D73)-(J32))))*(MAX($D$16,(D73)-(J32))),0.000001)*MAX(((((F32)+(H32)*(MAX($D$16,(D73)-(J32))))*(MAX($D$16,(D73)-(J32))))/MAX((F32)+2*(MAX($D$16,(D73)-(J32)))*SQRT(1+(H32)^2),0.000001))^(2/3),0.000001)))^2)+(((ABS(G73)*$D$6)/(MAX(((G32)+(I32)*(MAX($D$16,(E73)-(K32))))*(MAX($D$16,(E73)-(K32))),0.000001)*MAX(((((G32)+(I32)*(MAX($D$16,(E73)-(K32))))*(MAX($D$16,(E73)-(K32))))/MAX((G32)+2*(MAX($D$16,(E73)-(K32)))*SQRT(1+(I32)^2),0.000001))^(2/3),0.000001)))^2))/2)+(IF((ABS(G73)/MAX(((G32)+(I32)*(MAX($D$16,(E73)-(K32))))*(MAX($D$16,(E73)-(K32))),0.000001))&gt;(ABS(G73)/MAX(((F32)+(H32)*(MAX($D$16,(D73)-(J32))))*(MAX($D$16,(D73)-(J32))),0.000001)),$D$9*((((ABS(G73)/MAX(((G32)+(I32)*(MAX($D$16,(E73)-(K32))))*(MAX($D$16,(E73)-(K32))),0.000001))^2)/(2*$I$5))-(((ABS(G73)/MAX(((F32)+(H32)*(MAX($D$16,(D73)-(J32))))*(MAX($D$16,(D73)-(J32))),0.000001))^2)/(2*$I$5))),$D$8*((((ABS(G73)/MAX(((F32)+(H32)*(MAX($D$16,(D73)-(J32))))*(MAX($D$16,(D73)-(J32))),0.000001))^2)/(2*$I$5))-(((ABS(G73)/MAX(((G32)+(I32)*(MAX($D$16,(E73)-(K32))))*(MAX($D$16,(E73)-(K32))),0.000001))^2)/(2*$I$5)))))+($D$10*(ABS((X32)-(W32))/90)*MAX(((ABS(G73)/MAX(((F32)+(H32)*(MAX($D$16,(D73)-(J32))))*(MAX($D$16,(D73)-(J32))),0.000001))^2)/(2*$I$5),((ABS(G73)/MAX(((G32)+(I32)*(MAX($D$16,(E73)-(K32))))*(MAX($D$16,(E73)-(K32))),0.000001))^2)/(2*$I$5)))+(($D$11*0.13607488*(ABS(H73)/MAX(ABS(F73),0.000001))^2*MAX(((ABS(G73)/MAX(((F32)+(H32)*(MAX($D$16,(D73)-(J32))))*(MAX($D$16,(D73)-(J32))),0.000001))^2)/(2*$I$5),((ABS(G73)/MAX(((G32)+(I32)*(MAX($D$16,(E73)-(K32))))*(MAX($D$16,(E73)-(K32))),0.000001))^2)/(2*$I$5))))-((ABS(G73)/MAX(((G32)+(I32)*(MAX($D$16,(E73)-(K32))))*(MAX($D$16,(E73)-(K32))),0.000001))^2)/(2*$I$5)</f>
        <v>52432.14183765796</v>
      </c>
      <c r="S73">
        <f>M73+((ABS(I73)/MAX(((G34)+(I34)*(MAX($D$16,(M73)-(K34))))*(MAX($D$16,(M73)-(K34))),0.000001))^2)/(2*$I$5)+((E34)*((((ABS(I73)*$D$6)/(MAX(((F34)+(H34)*(MAX($D$16,(E73)-(J34))))*(MAX($D$16,(E73)-(J34))),0.000001)*MAX(((((F34)+(H34)*(MAX($D$16,(E73)-(J34))))*(MAX($D$16,(E73)-(J34))))/MAX((F34)+2*(MAX($D$16,(E73)-(J34)))*SQRT(1+(H34)^2),0.000001))^(2/3),0.000001)))^2)+(((ABS(I73)*$D$6)/(MAX(((G34)+(I34)*(MAX($D$16,(M73)-(K34))))*(MAX($D$16,(M73)-(K34))),0.000001)*MAX(((((G34)+(I34)*(MAX($D$16,(M73)-(K34))))*(MAX($D$16,(M73)-(K34))))/MAX((G34)+2*(MAX($D$16,(M73)-(K34)))*SQRT(1+(I34)^2),0.000001))^(2/3),0.000001)))^2))/2)+(IF((ABS(I73)/MAX(((G34)+(I34)*(MAX($D$16,(M73)-(K34))))*(MAX($D$16,(M73)-(K34))),0.000001))&gt;(ABS(I73)/MAX(((F34)+(H34)*(MAX($D$16,(E73)-(J34))))*(MAX($D$16,(E73)-(J34))),0.000001)),$D$9*((((ABS(I73)/MAX(((G34)+(I34)*(MAX($D$16,(M73)-(K34))))*(MAX($D$16,(M73)-(K34))),0.000001))^2)/(2*$I$5))-(((ABS(I73)/MAX(((F34)+(H34)*(MAX($D$16,(E73)-(J34))))*(MAX($D$16,(E73)-(J34))),0.000001))^2)/(2*$I$5))),$D$8*((((ABS(I73)/MAX(((F34)+(H34)*(MAX($D$16,(E73)-(J34))))*(MAX($D$16,(E73)-(J34))),0.000001))^2)/(2*$I$5))-(((ABS(I73)/MAX(((G34)+(I34)*(MAX($D$16,(M73)-(K34))))*(MAX($D$16,(M73)-(K34))),0.000001))^2)/(2*$I$5)))))+($D$10*(ABS((X34)-(W34))/90)*MAX(((ABS(I73)/MAX(((F34)+(H34)*(MAX($D$16,(E73)-(J34))))*(MAX($D$16,(E73)-(J34))),0.000001))^2)/(2*$I$5),((ABS(I73)/MAX(((G34)+(I34)*(MAX($D$16,(M73)-(K34))))*(MAX($D$16,(M73)-(K34))),0.000001))^2)/(2*$I$5)))+(0)-((ABS(I73)/MAX(((F34)+(H34)*(MAX($D$16,(E73)-(J34))))*(MAX($D$16,(E73)-(J34))),0.000001))^2)/(2*$I$5)</f>
        <v>635.5</v>
      </c>
      <c r="T73">
        <f>N73+((ABS(J73)/MAX(((G35)+(I35)*(MAX($D$16,(N73)-(K35))))*(MAX($D$16,(N73)-(K35))),0.000001))^2)/(2*$I$5)+((E35)*((((ABS(J73)*$D$6)/(MAX(((F35)+(H35)*(MAX($D$16,(E73)-(J35))))*(MAX($D$16,(E73)-(J35))),0.000001)*MAX(((((F35)+(H35)*(MAX($D$16,(E73)-(J35))))*(MAX($D$16,(E73)-(J35))))/MAX((F35)+2*(MAX($D$16,(E73)-(J35)))*SQRT(1+(H35)^2),0.000001))^(2/3),0.000001)))^2)+(((ABS(J73)*$D$6)/(MAX(((G35)+(I35)*(MAX($D$16,(N73)-(K35))))*(MAX($D$16,(N73)-(K35))),0.000001)*MAX(((((G35)+(I35)*(MAX($D$16,(N73)-(K35))))*(MAX($D$16,(N73)-(K35))))/MAX((G35)+2*(MAX($D$16,(N73)-(K35)))*SQRT(1+(I35)^2),0.000001))^(2/3),0.000001)))^2))/2)+(IF((ABS(J73)/MAX(((G35)+(I35)*(MAX($D$16,(N73)-(K35))))*(MAX($D$16,(N73)-(K35))),0.000001))&gt;(ABS(J73)/MAX(((F35)+(H35)*(MAX($D$16,(E73)-(J35))))*(MAX($D$16,(E73)-(J35))),0.000001)),$D$9*((((ABS(J73)/MAX(((G35)+(I35)*(MAX($D$16,(N73)-(K35))))*(MAX($D$16,(N73)-(K35))),0.000001))^2)/(2*$I$5))-(((ABS(J73)/MAX(((F35)+(H35)*(MAX($D$16,(E73)-(J35))))*(MAX($D$16,(E73)-(J35))),0.000001))^2)/(2*$I$5))),$D$8*((((ABS(J73)/MAX(((F35)+(H35)*(MAX($D$16,(E73)-(J35))))*(MAX($D$16,(E73)-(J35))),0.000001))^2)/(2*$I$5))-(((ABS(J73)/MAX(((G35)+(I35)*(MAX($D$16,(N73)-(K35))))*(MAX($D$16,(N73)-(K35))),0.000001))^2)/(2*$I$5)))))+($D$10*(ABS((X35)-(W35))/90)*MAX(((ABS(J73)/MAX(((F35)+(H35)*(MAX($D$16,(E73)-(J35))))*(MAX($D$16,(E73)-(J35))),0.000001))^2)/(2*$I$5),((ABS(J73)/MAX(((G35)+(I35)*(MAX($D$16,(N73)-(K35))))*(MAX($D$16,(N73)-(K35))),0.000001))^2)/(2*$I$5)))+(($D$11*0.34699541*(ABS(I73)/MAX(ABS(G73),0.000001))^2*MAX(((ABS(J73)/MAX(((F35)+(H35)*(MAX($D$16,(E73)-(J35))))*(MAX($D$16,(E73)-(J35))),0.000001))^2)/(2*$I$5),((ABS(J73)/MAX(((G35)+(I35)*(MAX($D$16,(N73)-(K35))))*(MAX($D$16,(N73)-(K35))),0.000001))^2)/(2*$I$5))))-((ABS(J73)/MAX(((F35)+(H35)*(MAX($D$16,(E73)-(J35))))*(MAX($D$16,(E73)-(J35))),0.000001))^2)/(2*$I$5)</f>
        <v>20784.033523923383</v>
      </c>
      <c r="U73">
        <f>(((((F32)*(MAX($D$16,(D73)-(J32)))^2)/2+(H32)*(MAX($D$16,(D73)-(J32)))^3/3+(ABS(G73)^2)/($I$5*MAX(((F32)+(H32)*(MAX($D$16,(D73)-(J32))))*(MAX($D$16,(D73)-(J32))),0.000001)))*0.72785025)-((((F33)*(MAX($D$16,(D73)-(J33)))^2)/2+(H33)*(MAX($D$16,(D73)-(J33)))^3/3+(ABS(H73)^2)/($I$5*MAX(((F33)+(H33)*(MAX($D$16,(D73)-(J33))))*(MAX($D$16,(D73)-(J33))),0.000001)))*0.99999971))/MAX(((G31)*(MAX($D$16,(D73)-(K31)))^2)/2+(I31)*(MAX($D$16,(D73)-(K31)))^3/3+(ABS(F73)^2)/($I$5*MAX(((G31)+(I31)*(MAX($D$16,(D73)-(K31))))*(MAX($D$16,(D73)-(K31))),0.000001)),0.000001)</f>
        <v>-0.27214945999991125</v>
      </c>
      <c r="V73">
        <f>(((((F34)*(MAX($D$16,(E73)-(J34)))^2)/2+(H34)*(MAX($D$16,(E73)-(J34)))^3/3+(ABS(I73)^2)/($I$5*MAX(((F34)+(H34)*(MAX($D$16,(E73)-(J34))))*(MAX($D$16,(E73)-(J34))),0.000001)))*1)-((((F35)*(MAX($D$16,(E73)-(J35)))^2)/2+(H35)*(MAX($D$16,(E73)-(J35)))^3/3+(ABS(J73)^2)/($I$5*MAX(((F35)+(H35)*(MAX($D$16,(E73)-(J35))))*(MAX($D$16,(E73)-(J35))),0.000001)))*0.30600918))/MAX(((G32)*(MAX($D$16,(E73)-(K32)))^2)/2+(I32)*(MAX($D$16,(E73)-(K32)))^3/3+(ABS(G73)^2)/($I$5*MAX(((G32)+(I32)*(MAX($D$16,(E73)-(K32))))*(MAX($D$16,(E73)-(K32))),0.000001)),0.000001)</f>
        <v>0.69398638937190382</v>
      </c>
      <c r="W73">
        <f>IF(N6="None",ABS(P73-D73),MAX(ABS(P73-D73),ABS(Q73-D73)))</f>
        <v>2.6921043172478676E-10</v>
      </c>
      <c r="X73">
        <f>IF(AND(N7="None",N8="None"),0,IF(N8="None",ABS(S73-E73),IF(N7="None",ABS(T73-E73),MAX(ABS(S73-E73),ABS(T73-E73)))))</f>
        <v>51796.641837657546</v>
      </c>
      <c r="AA73">
        <f t="shared" si="3"/>
        <v>52432.141837657924</v>
      </c>
      <c r="AB73">
        <f t="shared" si="4"/>
        <v>41355.303927850589</v>
      </c>
      <c r="AC73">
        <f>IF(N6="None",P73,MAX(P73,Q73))</f>
        <v>52432.141837658099</v>
      </c>
      <c r="AD73">
        <f>IF(AND(N7="None",N8="None"),E73,IF(N8="None",S73,IF(N7="None",T73,MAX(S73,T73))))</f>
        <v>20784.033523923383</v>
      </c>
      <c r="AE73">
        <f t="shared" si="5"/>
        <v>637.65825101089831</v>
      </c>
      <c r="AF73">
        <f t="shared" si="6"/>
        <v>52432.14183765796</v>
      </c>
      <c r="AG73">
        <f>((G31)*(MAX($D$16,(AC73)-(K31)))^2)/2+(I31)*(MAX($D$16,(AC73)-(K31)))^3/3+(ABS(F73)^2)/($I$5*MAX(((G31)+(I31)*(MAX($D$16,(AC73)-(K31))))*(MAX($D$16,(AC73)-(K31))),0.000001))</f>
        <v>8797611517.4103107</v>
      </c>
      <c r="AH73">
        <f>((G31)*(MAX($D$16,(AE73)-(K31)))^2)/2+(I31)*(MAX($D$16,(AE73)-(K31)))^3/3+(ABS(F73)^2)/($I$5*MAX(((G31)+(I31)*(MAX($D$16,(AE73)-(K31))))*(MAX($D$16,(AE73)-(K31))),0.000001))</f>
        <v>49.055863329575246</v>
      </c>
      <c r="AI73">
        <f>((G32)*(MAX($D$16,(AD73)-(K32)))^2)/2+(I32)*(MAX($D$16,(AD73)-(K32)))^3/3+(ABS(G73)^2)/($I$5*MAX(((G32)+(I32)*(MAX($D$16,(AD73)-(K32))))*(MAX($D$16,(AD73)-(K32))),0.000001))</f>
        <v>2072376743.6648321</v>
      </c>
      <c r="AJ73">
        <f>((G32)*(MAX($D$16,(AF73)-(K32)))^2)/2+(I32)*(MAX($D$16,(AF73)-(K32)))^3/3+(ABS(G73)^2)/($I$5*MAX(((G32)+(I32)*(MAX($D$16,(AF73)-(K32))))*(MAX($D$16,(AF73)-(K32))),0.000001))</f>
        <v>13692714789.641951</v>
      </c>
      <c r="AK73" t="str">
        <f t="shared" si="7"/>
        <v>Subcritical</v>
      </c>
      <c r="AL73" t="str">
        <f t="shared" si="8"/>
        <v>Supercritical</v>
      </c>
      <c r="AM73">
        <f t="shared" si="9"/>
        <v>52432.141837657924</v>
      </c>
      <c r="AN73">
        <f t="shared" si="10"/>
        <v>52432.141837657691</v>
      </c>
      <c r="AO73">
        <f t="shared" si="11"/>
        <v>2.6921043172478676E-10</v>
      </c>
      <c r="AP73">
        <f t="shared" si="12"/>
        <v>4.1472958400845528E-10</v>
      </c>
    </row>
    <row r="74" spans="1:42" x14ac:dyDescent="0.35">
      <c r="A74">
        <v>31</v>
      </c>
      <c r="B74">
        <f t="shared" si="13"/>
        <v>0</v>
      </c>
      <c r="C74">
        <f t="shared" si="14"/>
        <v>0</v>
      </c>
      <c r="D74">
        <f t="shared" si="15"/>
        <v>52432.141837657924</v>
      </c>
      <c r="E74">
        <f t="shared" si="16"/>
        <v>52432.141837657691</v>
      </c>
      <c r="F74">
        <f t="shared" si="2"/>
        <v>51</v>
      </c>
      <c r="G74">
        <f>IF(N6="None",F74,MAX(0,F74*B74))</f>
        <v>51</v>
      </c>
      <c r="H74">
        <f>IF(N6="None",0,MAX(0,F74-G74))</f>
        <v>0</v>
      </c>
      <c r="I74">
        <f>IF(AND(N7="None",N8="None"),0,IF(N8="None",G74,IF(N7="None",0,MAX(0,G74*C74))))</f>
        <v>0</v>
      </c>
      <c r="J74">
        <f>IF(AND(N7="None",N8="None"),0,IF(N8="None",0,IF(N7="None",G74,MAX(0,G74-I74))))</f>
        <v>51</v>
      </c>
      <c r="K74">
        <f>P5</f>
        <v>637</v>
      </c>
      <c r="L74">
        <f>P6</f>
        <v>634.3119999999999</v>
      </c>
      <c r="M74">
        <f>P7</f>
        <v>635.5</v>
      </c>
      <c r="N74">
        <f>P8</f>
        <v>631.54999999999995</v>
      </c>
      <c r="O74">
        <f>K74+((ABS(F74)/MAX(((F31)+(H31)*(MAX($D$16,(K74)-(J31))))*(MAX($D$16,(K74)-(J31))),0.000001))^2)/(2*$I$5)-((E31)*((((ABS(F74)*$D$6)/(MAX(((F31)+(H31)*(MAX($D$16,(K74)-(J31))))*(MAX($D$16,(K74)-(J31))),0.000001)*MAX(((((F31)+(H31)*(MAX($D$16,(K74)-(J31))))*(MAX($D$16,(K74)-(J31))))/MAX((F31)+2*(MAX($D$16,(K74)-(J31)))*SQRT(1+(H31)^2),0.000001))^(2/3),0.000001)))^2)+(((ABS(F74)*$D$6)/(MAX(((G31)+(I31)*(MAX($D$16,(D74)-(K31))))*(MAX($D$16,(D74)-(K31))),0.000001)*MAX(((((G31)+(I31)*(MAX($D$16,(D74)-(K31))))*(MAX($D$16,(D74)-(K31))))/MAX((G31)+2*(MAX($D$16,(D74)-(K31)))*SQRT(1+(I31)^2),0.000001))^(2/3),0.000001)))^2))/2)+(IF((ABS(F74)/MAX(((G31)+(I31)*(MAX($D$16,(D74)-(K31))))*(MAX($D$16,(D74)-(K31))),0.000001))&gt;(ABS(F74)/MAX(((F31)+(H31)*(MAX($D$16,(K74)-(J31))))*(MAX($D$16,(K74)-(J31))),0.000001)),$D$9*((((ABS(F74)/MAX(((G31)+(I31)*(MAX($D$16,(D74)-(K31))))*(MAX($D$16,(D74)-(K31))),0.000001))^2)/(2*$I$5))-(((ABS(F74)/MAX(((F31)+(H31)*(MAX($D$16,(K74)-(J31))))*(MAX($D$16,(K74)-(J31))),0.000001))^2)/(2*$I$5))),$D$8*((((ABS(F74)/MAX(((F31)+(H31)*(MAX($D$16,(K74)-(J31))))*(MAX($D$16,(K74)-(J31))),0.000001))^2)/(2*$I$5))-(((ABS(F74)/MAX(((G31)+(I31)*(MAX($D$16,(D74)-(K31))))*(MAX($D$16,(D74)-(K31))),0.000001))^2)/(2*$I$5)))))+($D$10*(ABS((X31)-(W31))/90)*MAX(((ABS(F74)/MAX(((F31)+(H31)*(MAX($D$16,(K74)-(J31))))*(MAX($D$16,(K74)-(J31))),0.000001))^2)/(2*$I$5),((ABS(F74)/MAX(((G31)+(I31)*(MAX($D$16,(D74)-(K31))))*(MAX($D$16,(D74)-(K31))),0.000001))^2)/(2*$I$5)))+(0)-((ABS(F74)/MAX(((G31)+(I31)*(MAX($D$16,(D74)-(K31))))*(MAX($D$16,(D74)-(K31))),0.000001))^2)/(2*$I$5)</f>
        <v>637.65825101089831</v>
      </c>
      <c r="P74">
        <f>E74+((ABS(G74)/MAX(((G32)+(I32)*(MAX($D$16,(E74)-(K32))))*(MAX($D$16,(E74)-(K32))),0.000001))^2)/(2*$I$5)+((E32)*((((ABS(G74)*$D$6)/(MAX(((F32)+(H32)*(MAX($D$16,(D74)-(J32))))*(MAX($D$16,(D74)-(J32))),0.000001)*MAX(((((F32)+(H32)*(MAX($D$16,(D74)-(J32))))*(MAX($D$16,(D74)-(J32))))/MAX((F32)+2*(MAX($D$16,(D74)-(J32)))*SQRT(1+(H32)^2),0.000001))^(2/3),0.000001)))^2)+(((ABS(G74)*$D$6)/(MAX(((G32)+(I32)*(MAX($D$16,(E74)-(K32))))*(MAX($D$16,(E74)-(K32))),0.000001)*MAX(((((G32)+(I32)*(MAX($D$16,(E74)-(K32))))*(MAX($D$16,(E74)-(K32))))/MAX((G32)+2*(MAX($D$16,(E74)-(K32)))*SQRT(1+(I32)^2),0.000001))^(2/3),0.000001)))^2))/2)+(IF((ABS(G74)/MAX(((G32)+(I32)*(MAX($D$16,(E74)-(K32))))*(MAX($D$16,(E74)-(K32))),0.000001))&gt;(ABS(G74)/MAX(((F32)+(H32)*(MAX($D$16,(D74)-(J32))))*(MAX($D$16,(D74)-(J32))),0.000001)),$D$9*((((ABS(G74)/MAX(((G32)+(I32)*(MAX($D$16,(E74)-(K32))))*(MAX($D$16,(E74)-(K32))),0.000001))^2)/(2*$I$5))-(((ABS(G74)/MAX(((F32)+(H32)*(MAX($D$16,(D74)-(J32))))*(MAX($D$16,(D74)-(J32))),0.000001))^2)/(2*$I$5))),$D$8*((((ABS(G74)/MAX(((F32)+(H32)*(MAX($D$16,(D74)-(J32))))*(MAX($D$16,(D74)-(J32))),0.000001))^2)/(2*$I$5))-(((ABS(G74)/MAX(((G32)+(I32)*(MAX($D$16,(E74)-(K32))))*(MAX($D$16,(E74)-(K32))),0.000001))^2)/(2*$I$5)))))+($D$10*(ABS((X32)-(W32))/90)*MAX(((ABS(G74)/MAX(((F32)+(H32)*(MAX($D$16,(D74)-(J32))))*(MAX($D$16,(D74)-(J32))),0.000001))^2)/(2*$I$5),((ABS(G74)/MAX(((G32)+(I32)*(MAX($D$16,(E74)-(K32))))*(MAX($D$16,(E74)-(K32))),0.000001))^2)/(2*$I$5)))+(($D$11*0.13607488*(ABS(H74)/MAX(ABS(F74),0.000001))^2*MAX(((ABS(G74)/MAX(((F32)+(H32)*(MAX($D$16,(D74)-(J32))))*(MAX($D$16,(D74)-(J32))),0.000001))^2)/(2*$I$5),((ABS(G74)/MAX(((G32)+(I32)*(MAX($D$16,(E74)-(K32))))*(MAX($D$16,(E74)-(K32))),0.000001))^2)/(2*$I$5))))-((ABS(G74)/MAX(((F32)+(H32)*(MAX($D$16,(D74)-(J32))))*(MAX($D$16,(D74)-(J32))),0.000001))^2)/(2*$I$5)</f>
        <v>52432.141837658244</v>
      </c>
      <c r="Q74">
        <f>L74+((ABS(H74)/MAX(((G33)+(I33)*(MAX($D$16,(L74)-(K33))))*(MAX($D$16,(L74)-(K33))),0.000001))^2)/(2*$I$5)+((E33)*((((ABS(H74)*$D$6)/(MAX(((F33)+(H33)*(MAX($D$16,(D74)-(J33))))*(MAX($D$16,(D74)-(J33))),0.000001)*MAX(((((F33)+(H33)*(MAX($D$16,(D74)-(J33))))*(MAX($D$16,(D74)-(J33))))/MAX((F33)+2*(MAX($D$16,(D74)-(J33)))*SQRT(1+(H33)^2),0.000001))^(2/3),0.000001)))^2)+(((ABS(H74)*$D$6)/(MAX(((G33)+(I33)*(MAX($D$16,(L74)-(K33))))*(MAX($D$16,(L74)-(K33))),0.000001)*MAX(((((G33)+(I33)*(MAX($D$16,(L74)-(K33))))*(MAX($D$16,(L74)-(K33))))/MAX((G33)+2*(MAX($D$16,(L74)-(K33)))*SQRT(1+(I33)^2),0.000001))^(2/3),0.000001)))^2))/2)+(IF((ABS(H74)/MAX(((G33)+(I33)*(MAX($D$16,(L74)-(K33))))*(MAX($D$16,(L74)-(K33))),0.000001))&gt;(ABS(H74)/MAX(((F33)+(H33)*(MAX($D$16,(D74)-(J33))))*(MAX($D$16,(D74)-(J33))),0.000001)),$D$9*((((ABS(H74)/MAX(((G33)+(I33)*(MAX($D$16,(L74)-(K33))))*(MAX($D$16,(L74)-(K33))),0.000001))^2)/(2*$I$5))-(((ABS(H74)/MAX(((F33)+(H33)*(MAX($D$16,(D74)-(J33))))*(MAX($D$16,(D74)-(J33))),0.000001))^2)/(2*$I$5))),$D$8*((((ABS(H74)/MAX(((F33)+(H33)*(MAX($D$16,(D74)-(J33))))*(MAX($D$16,(D74)-(J33))),0.000001))^2)/(2*$I$5))-(((ABS(H74)/MAX(((G33)+(I33)*(MAX($D$16,(L74)-(K33))))*(MAX($D$16,(L74)-(K33))),0.000001))^2)/(2*$I$5)))))+($D$10*(ABS((X33)-(W33))/90)*MAX(((ABS(H74)/MAX(((F33)+(H33)*(MAX($D$16,(D74)-(J33))))*(MAX($D$16,(D74)-(J33))),0.000001))^2)/(2*$I$5),((ABS(H74)/MAX(((G33)+(I33)*(MAX($D$16,(L74)-(K33))))*(MAX($D$16,(L74)-(K33))),0.000001))^2)/(2*$I$5)))+(($D$11*0.00000015*(ABS(G74)/MAX(ABS(F74),0.000001))^2*MAX(((ABS(H74)/MAX(((F33)+(H33)*(MAX($D$16,(D74)-(J33))))*(MAX($D$16,(D74)-(J33))),0.000001))^2)/(2*$I$5),((ABS(H74)/MAX(((G33)+(I33)*(MAX($D$16,(L74)-(K33))))*(MAX($D$16,(L74)-(K33))),0.000001))^2)/(2*$I$5))))-((ABS(H74)/MAX(((F33)+(H33)*(MAX($D$16,(D74)-(J33))))*(MAX($D$16,(D74)-(J33))),0.000001))^2)/(2*$I$5)</f>
        <v>634.3119999999999</v>
      </c>
      <c r="R74">
        <f>D74+((ABS(G74)/MAX(((F32)+(H32)*(MAX($D$16,(D74)-(J32))))*(MAX($D$16,(D74)-(J32))),0.000001))^2)/(2*$I$5)-((E32)*((((ABS(G74)*$D$6)/(MAX(((F32)+(H32)*(MAX($D$16,(D74)-(J32))))*(MAX($D$16,(D74)-(J32))),0.000001)*MAX(((((F32)+(H32)*(MAX($D$16,(D74)-(J32))))*(MAX($D$16,(D74)-(J32))))/MAX((F32)+2*(MAX($D$16,(D74)-(J32)))*SQRT(1+(H32)^2),0.000001))^(2/3),0.000001)))^2)+(((ABS(G74)*$D$6)/(MAX(((G32)+(I32)*(MAX($D$16,(E74)-(K32))))*(MAX($D$16,(E74)-(K32))),0.000001)*MAX(((((G32)+(I32)*(MAX($D$16,(E74)-(K32))))*(MAX($D$16,(E74)-(K32))))/MAX((G32)+2*(MAX($D$16,(E74)-(K32)))*SQRT(1+(I32)^2),0.000001))^(2/3),0.000001)))^2))/2)+(IF((ABS(G74)/MAX(((G32)+(I32)*(MAX($D$16,(E74)-(K32))))*(MAX($D$16,(E74)-(K32))),0.000001))&gt;(ABS(G74)/MAX(((F32)+(H32)*(MAX($D$16,(D74)-(J32))))*(MAX($D$16,(D74)-(J32))),0.000001)),$D$9*((((ABS(G74)/MAX(((G32)+(I32)*(MAX($D$16,(E74)-(K32))))*(MAX($D$16,(E74)-(K32))),0.000001))^2)/(2*$I$5))-(((ABS(G74)/MAX(((F32)+(H32)*(MAX($D$16,(D74)-(J32))))*(MAX($D$16,(D74)-(J32))),0.000001))^2)/(2*$I$5))),$D$8*((((ABS(G74)/MAX(((F32)+(H32)*(MAX($D$16,(D74)-(J32))))*(MAX($D$16,(D74)-(J32))),0.000001))^2)/(2*$I$5))-(((ABS(G74)/MAX(((G32)+(I32)*(MAX($D$16,(E74)-(K32))))*(MAX($D$16,(E74)-(K32))),0.000001))^2)/(2*$I$5)))))+($D$10*(ABS((X32)-(W32))/90)*MAX(((ABS(G74)/MAX(((F32)+(H32)*(MAX($D$16,(D74)-(J32))))*(MAX($D$16,(D74)-(J32))),0.000001))^2)/(2*$I$5),((ABS(G74)/MAX(((G32)+(I32)*(MAX($D$16,(E74)-(K32))))*(MAX($D$16,(E74)-(K32))),0.000001))^2)/(2*$I$5)))+(($D$11*0.13607488*(ABS(H74)/MAX(ABS(F74),0.000001))^2*MAX(((ABS(G74)/MAX(((F32)+(H32)*(MAX($D$16,(D74)-(J32))))*(MAX($D$16,(D74)-(J32))),0.000001))^2)/(2*$I$5),((ABS(G74)/MAX(((G32)+(I32)*(MAX($D$16,(E74)-(K32))))*(MAX($D$16,(E74)-(K32))),0.000001))^2)/(2*$I$5))))-((ABS(G74)/MAX(((G32)+(I32)*(MAX($D$16,(E74)-(K32))))*(MAX($D$16,(E74)-(K32))),0.000001))^2)/(2*$I$5)</f>
        <v>52432.141837658055</v>
      </c>
      <c r="S74">
        <f>M74+((ABS(I74)/MAX(((G34)+(I34)*(MAX($D$16,(M74)-(K34))))*(MAX($D$16,(M74)-(K34))),0.000001))^2)/(2*$I$5)+((E34)*((((ABS(I74)*$D$6)/(MAX(((F34)+(H34)*(MAX($D$16,(E74)-(J34))))*(MAX($D$16,(E74)-(J34))),0.000001)*MAX(((((F34)+(H34)*(MAX($D$16,(E74)-(J34))))*(MAX($D$16,(E74)-(J34))))/MAX((F34)+2*(MAX($D$16,(E74)-(J34)))*SQRT(1+(H34)^2),0.000001))^(2/3),0.000001)))^2)+(((ABS(I74)*$D$6)/(MAX(((G34)+(I34)*(MAX($D$16,(M74)-(K34))))*(MAX($D$16,(M74)-(K34))),0.000001)*MAX(((((G34)+(I34)*(MAX($D$16,(M74)-(K34))))*(MAX($D$16,(M74)-(K34))))/MAX((G34)+2*(MAX($D$16,(M74)-(K34)))*SQRT(1+(I34)^2),0.000001))^(2/3),0.000001)))^2))/2)+(IF((ABS(I74)/MAX(((G34)+(I34)*(MAX($D$16,(M74)-(K34))))*(MAX($D$16,(M74)-(K34))),0.000001))&gt;(ABS(I74)/MAX(((F34)+(H34)*(MAX($D$16,(E74)-(J34))))*(MAX($D$16,(E74)-(J34))),0.000001)),$D$9*((((ABS(I74)/MAX(((G34)+(I34)*(MAX($D$16,(M74)-(K34))))*(MAX($D$16,(M74)-(K34))),0.000001))^2)/(2*$I$5))-(((ABS(I74)/MAX(((F34)+(H34)*(MAX($D$16,(E74)-(J34))))*(MAX($D$16,(E74)-(J34))),0.000001))^2)/(2*$I$5))),$D$8*((((ABS(I74)/MAX(((F34)+(H34)*(MAX($D$16,(E74)-(J34))))*(MAX($D$16,(E74)-(J34))),0.000001))^2)/(2*$I$5))-(((ABS(I74)/MAX(((G34)+(I34)*(MAX($D$16,(M74)-(K34))))*(MAX($D$16,(M74)-(K34))),0.000001))^2)/(2*$I$5)))))+($D$10*(ABS((X34)-(W34))/90)*MAX(((ABS(I74)/MAX(((F34)+(H34)*(MAX($D$16,(E74)-(J34))))*(MAX($D$16,(E74)-(J34))),0.000001))^2)/(2*$I$5),((ABS(I74)/MAX(((G34)+(I34)*(MAX($D$16,(M74)-(K34))))*(MAX($D$16,(M74)-(K34))),0.000001))^2)/(2*$I$5)))+(0)-((ABS(I74)/MAX(((F34)+(H34)*(MAX($D$16,(E74)-(J34))))*(MAX($D$16,(E74)-(J34))),0.000001))^2)/(2*$I$5)</f>
        <v>635.5</v>
      </c>
      <c r="T74">
        <f>N74+((ABS(J74)/MAX(((G35)+(I35)*(MAX($D$16,(N74)-(K35))))*(MAX($D$16,(N74)-(K35))),0.000001))^2)/(2*$I$5)+((E35)*((((ABS(J74)*$D$6)/(MAX(((F35)+(H35)*(MAX($D$16,(E74)-(J35))))*(MAX($D$16,(E74)-(J35))),0.000001)*MAX(((((F35)+(H35)*(MAX($D$16,(E74)-(J35))))*(MAX($D$16,(E74)-(J35))))/MAX((F35)+2*(MAX($D$16,(E74)-(J35)))*SQRT(1+(H35)^2),0.000001))^(2/3),0.000001)))^2)+(((ABS(J74)*$D$6)/(MAX(((G35)+(I35)*(MAX($D$16,(N74)-(K35))))*(MAX($D$16,(N74)-(K35))),0.000001)*MAX(((((G35)+(I35)*(MAX($D$16,(N74)-(K35))))*(MAX($D$16,(N74)-(K35))))/MAX((G35)+2*(MAX($D$16,(N74)-(K35)))*SQRT(1+(I35)^2),0.000001))^(2/3),0.000001)))^2))/2)+(IF((ABS(J74)/MAX(((G35)+(I35)*(MAX($D$16,(N74)-(K35))))*(MAX($D$16,(N74)-(K35))),0.000001))&gt;(ABS(J74)/MAX(((F35)+(H35)*(MAX($D$16,(E74)-(J35))))*(MAX($D$16,(E74)-(J35))),0.000001)),$D$9*((((ABS(J74)/MAX(((G35)+(I35)*(MAX($D$16,(N74)-(K35))))*(MAX($D$16,(N74)-(K35))),0.000001))^2)/(2*$I$5))-(((ABS(J74)/MAX(((F35)+(H35)*(MAX($D$16,(E74)-(J35))))*(MAX($D$16,(E74)-(J35))),0.000001))^2)/(2*$I$5))),$D$8*((((ABS(J74)/MAX(((F35)+(H35)*(MAX($D$16,(E74)-(J35))))*(MAX($D$16,(E74)-(J35))),0.000001))^2)/(2*$I$5))-(((ABS(J74)/MAX(((G35)+(I35)*(MAX($D$16,(N74)-(K35))))*(MAX($D$16,(N74)-(K35))),0.000001))^2)/(2*$I$5)))))+($D$10*(ABS((X35)-(W35))/90)*MAX(((ABS(J74)/MAX(((F35)+(H35)*(MAX($D$16,(E74)-(J35))))*(MAX($D$16,(E74)-(J35))),0.000001))^2)/(2*$I$5),((ABS(J74)/MAX(((G35)+(I35)*(MAX($D$16,(N74)-(K35))))*(MAX($D$16,(N74)-(K35))),0.000001))^2)/(2*$I$5)))+(($D$11*0.34699541*(ABS(I74)/MAX(ABS(G74),0.000001))^2*MAX(((ABS(J74)/MAX(((F35)+(H35)*(MAX($D$16,(E74)-(J35))))*(MAX($D$16,(E74)-(J35))),0.000001))^2)/(2*$I$5),((ABS(J74)/MAX(((G35)+(I35)*(MAX($D$16,(N74)-(K35))))*(MAX($D$16,(N74)-(K35))),0.000001))^2)/(2*$I$5))))-((ABS(J74)/MAX(((F35)+(H35)*(MAX($D$16,(E74)-(J35))))*(MAX($D$16,(E74)-(J35))),0.000001))^2)/(2*$I$5)</f>
        <v>20784.033523923383</v>
      </c>
      <c r="U74">
        <f>(((((F32)*(MAX($D$16,(D74)-(J32)))^2)/2+(H32)*(MAX($D$16,(D74)-(J32)))^3/3+(ABS(G74)^2)/($I$5*MAX(((F32)+(H32)*(MAX($D$16,(D74)-(J32))))*(MAX($D$16,(D74)-(J32))),0.000001)))*0.72785025)-((((F33)*(MAX($D$16,(D74)-(J33)))^2)/2+(H33)*(MAX($D$16,(D74)-(J33)))^3/3+(ABS(H74)^2)/($I$5*MAX(((F33)+(H33)*(MAX($D$16,(D74)-(J33))))*(MAX($D$16,(D74)-(J33))),0.000001)))*0.99999971))/MAX(((G31)*(MAX($D$16,(D74)-(K31)))^2)/2+(I31)*(MAX($D$16,(D74)-(K31)))^3/3+(ABS(F74)^2)/($I$5*MAX(((G31)+(I31)*(MAX($D$16,(D74)-(K31))))*(MAX($D$16,(D74)-(K31))),0.000001)),0.000001)</f>
        <v>-0.27214945999991119</v>
      </c>
      <c r="V74">
        <f>(((((F34)*(MAX($D$16,(E74)-(J34)))^2)/2+(H34)*(MAX($D$16,(E74)-(J34)))^3/3+(ABS(I74)^2)/($I$5*MAX(((F34)+(H34)*(MAX($D$16,(E74)-(J34))))*(MAX($D$16,(E74)-(J34))),0.000001)))*1)-((((F35)*(MAX($D$16,(E74)-(J35)))^2)/2+(H35)*(MAX($D$16,(E74)-(J35)))^3/3+(ABS(J74)^2)/($I$5*MAX(((F35)+(H35)*(MAX($D$16,(E74)-(J35))))*(MAX($D$16,(E74)-(J35))),0.000001)))*0.30600918))/MAX(((G32)*(MAX($D$16,(E74)-(K32)))^2)/2+(I32)*(MAX($D$16,(E74)-(K32)))^3/3+(ABS(G74)^2)/($I$5*MAX(((G32)+(I32)*(MAX($D$16,(E74)-(K32))))*(MAX($D$16,(E74)-(K32))),0.000001)),0.000001)</f>
        <v>0.69398638937190382</v>
      </c>
      <c r="W74">
        <f>IF(N6="None",ABS(P74-D74),MAX(ABS(P74-D74),ABS(Q74-D74)))</f>
        <v>3.2014213502407074E-10</v>
      </c>
      <c r="X74">
        <f>IF(AND(N7="None",N8="None"),0,IF(N8="None",ABS(S74-E74),IF(N7="None",ABS(T74-E74),MAX(ABS(S74-E74),ABS(T74-E74)))))</f>
        <v>51796.641837657691</v>
      </c>
      <c r="AA74">
        <f t="shared" si="3"/>
        <v>52432.141837658033</v>
      </c>
      <c r="AB74">
        <f t="shared" si="4"/>
        <v>41355.303927850684</v>
      </c>
      <c r="AC74">
        <f>IF(N6="None",P74,MAX(P74,Q74))</f>
        <v>52432.141837658244</v>
      </c>
      <c r="AD74">
        <f>IF(AND(N7="None",N8="None"),E74,IF(N8="None",S74,IF(N7="None",T74,MAX(S74,T74))))</f>
        <v>20784.033523923383</v>
      </c>
      <c r="AE74">
        <f t="shared" si="5"/>
        <v>637.65825101089831</v>
      </c>
      <c r="AF74">
        <f t="shared" si="6"/>
        <v>52432.141837658055</v>
      </c>
      <c r="AG74">
        <f>((G31)*(MAX($D$16,(AC74)-(K31)))^2)/2+(I31)*(MAX($D$16,(AC74)-(K31)))^3/3+(ABS(F74)^2)/($I$5*MAX(((G31)+(I31)*(MAX($D$16,(AC74)-(K31))))*(MAX($D$16,(AC74)-(K31))),0.000001))</f>
        <v>8797611517.4103584</v>
      </c>
      <c r="AH74">
        <f>((G31)*(MAX($D$16,(AE74)-(K31)))^2)/2+(I31)*(MAX($D$16,(AE74)-(K31)))^3/3+(ABS(F74)^2)/($I$5*MAX(((G31)+(I31)*(MAX($D$16,(AE74)-(K31))))*(MAX($D$16,(AE74)-(K31))),0.000001))</f>
        <v>49.055863329575246</v>
      </c>
      <c r="AI74">
        <f>((G32)*(MAX($D$16,(AD74)-(K32)))^2)/2+(I32)*(MAX($D$16,(AD74)-(K32)))^3/3+(ABS(G74)^2)/($I$5*MAX(((G32)+(I32)*(MAX($D$16,(AD74)-(K32))))*(MAX($D$16,(AD74)-(K32))),0.000001))</f>
        <v>2072376743.6648321</v>
      </c>
      <c r="AJ74">
        <f>((G32)*(MAX($D$16,(AF74)-(K32)))^2)/2+(I32)*(MAX($D$16,(AF74)-(K32)))^3/3+(ABS(G74)^2)/($I$5*MAX(((G32)+(I32)*(MAX($D$16,(AF74)-(K32))))*(MAX($D$16,(AF74)-(K32))),0.000001))</f>
        <v>13692714789.642</v>
      </c>
      <c r="AK74" t="str">
        <f t="shared" si="7"/>
        <v>Subcritical</v>
      </c>
      <c r="AL74" t="str">
        <f t="shared" si="8"/>
        <v>Supercritical</v>
      </c>
      <c r="AM74">
        <f t="shared" si="9"/>
        <v>52432.141837658033</v>
      </c>
      <c r="AN74">
        <f t="shared" si="10"/>
        <v>52432.141837657822</v>
      </c>
      <c r="AO74">
        <f t="shared" si="11"/>
        <v>3.2014213502407074E-10</v>
      </c>
      <c r="AP74">
        <f t="shared" si="12"/>
        <v>3.637978807091713E-10</v>
      </c>
    </row>
    <row r="75" spans="1:42" x14ac:dyDescent="0.35">
      <c r="A75">
        <v>32</v>
      </c>
      <c r="B75">
        <f t="shared" si="13"/>
        <v>0</v>
      </c>
      <c r="C75">
        <f t="shared" si="14"/>
        <v>0</v>
      </c>
      <c r="D75">
        <f t="shared" si="15"/>
        <v>52432.141837658033</v>
      </c>
      <c r="E75">
        <f t="shared" si="16"/>
        <v>52432.141837657822</v>
      </c>
      <c r="F75">
        <f t="shared" ref="F75:F106" si="17">$D$5</f>
        <v>51</v>
      </c>
      <c r="G75">
        <f>IF(N6="None",F75,MAX(0,F75*B75))</f>
        <v>51</v>
      </c>
      <c r="H75">
        <f>IF(N6="None",0,MAX(0,F75-G75))</f>
        <v>0</v>
      </c>
      <c r="I75">
        <f>IF(AND(N7="None",N8="None"),0,IF(N8="None",G75,IF(N7="None",0,MAX(0,G75*C75))))</f>
        <v>0</v>
      </c>
      <c r="J75">
        <f>IF(AND(N7="None",N8="None"),0,IF(N8="None",0,IF(N7="None",G75,MAX(0,G75-I75))))</f>
        <v>51</v>
      </c>
      <c r="K75">
        <f>P5</f>
        <v>637</v>
      </c>
      <c r="L75">
        <f>P6</f>
        <v>634.3119999999999</v>
      </c>
      <c r="M75">
        <f>P7</f>
        <v>635.5</v>
      </c>
      <c r="N75">
        <f>P8</f>
        <v>631.54999999999995</v>
      </c>
      <c r="O75">
        <f>K75+((ABS(F75)/MAX(((F31)+(H31)*(MAX($D$16,(K75)-(J31))))*(MAX($D$16,(K75)-(J31))),0.000001))^2)/(2*$I$5)-((E31)*((((ABS(F75)*$D$6)/(MAX(((F31)+(H31)*(MAX($D$16,(K75)-(J31))))*(MAX($D$16,(K75)-(J31))),0.000001)*MAX(((((F31)+(H31)*(MAX($D$16,(K75)-(J31))))*(MAX($D$16,(K75)-(J31))))/MAX((F31)+2*(MAX($D$16,(K75)-(J31)))*SQRT(1+(H31)^2),0.000001))^(2/3),0.000001)))^2)+(((ABS(F75)*$D$6)/(MAX(((G31)+(I31)*(MAX($D$16,(D75)-(K31))))*(MAX($D$16,(D75)-(K31))),0.000001)*MAX(((((G31)+(I31)*(MAX($D$16,(D75)-(K31))))*(MAX($D$16,(D75)-(K31))))/MAX((G31)+2*(MAX($D$16,(D75)-(K31)))*SQRT(1+(I31)^2),0.000001))^(2/3),0.000001)))^2))/2)+(IF((ABS(F75)/MAX(((G31)+(I31)*(MAX($D$16,(D75)-(K31))))*(MAX($D$16,(D75)-(K31))),0.000001))&gt;(ABS(F75)/MAX(((F31)+(H31)*(MAX($D$16,(K75)-(J31))))*(MAX($D$16,(K75)-(J31))),0.000001)),$D$9*((((ABS(F75)/MAX(((G31)+(I31)*(MAX($D$16,(D75)-(K31))))*(MAX($D$16,(D75)-(K31))),0.000001))^2)/(2*$I$5))-(((ABS(F75)/MAX(((F31)+(H31)*(MAX($D$16,(K75)-(J31))))*(MAX($D$16,(K75)-(J31))),0.000001))^2)/(2*$I$5))),$D$8*((((ABS(F75)/MAX(((F31)+(H31)*(MAX($D$16,(K75)-(J31))))*(MAX($D$16,(K75)-(J31))),0.000001))^2)/(2*$I$5))-(((ABS(F75)/MAX(((G31)+(I31)*(MAX($D$16,(D75)-(K31))))*(MAX($D$16,(D75)-(K31))),0.000001))^2)/(2*$I$5)))))+($D$10*(ABS((X31)-(W31))/90)*MAX(((ABS(F75)/MAX(((F31)+(H31)*(MAX($D$16,(K75)-(J31))))*(MAX($D$16,(K75)-(J31))),0.000001))^2)/(2*$I$5),((ABS(F75)/MAX(((G31)+(I31)*(MAX($D$16,(D75)-(K31))))*(MAX($D$16,(D75)-(K31))),0.000001))^2)/(2*$I$5)))+(0)-((ABS(F75)/MAX(((G31)+(I31)*(MAX($D$16,(D75)-(K31))))*(MAX($D$16,(D75)-(K31))),0.000001))^2)/(2*$I$5)</f>
        <v>637.65825101089831</v>
      </c>
      <c r="P75">
        <f>E75+((ABS(G75)/MAX(((G32)+(I32)*(MAX($D$16,(E75)-(K32))))*(MAX($D$16,(E75)-(K32))),0.000001))^2)/(2*$I$5)+((E32)*((((ABS(G75)*$D$6)/(MAX(((F32)+(H32)*(MAX($D$16,(D75)-(J32))))*(MAX($D$16,(D75)-(J32))),0.000001)*MAX(((((F32)+(H32)*(MAX($D$16,(D75)-(J32))))*(MAX($D$16,(D75)-(J32))))/MAX((F32)+2*(MAX($D$16,(D75)-(J32)))*SQRT(1+(H32)^2),0.000001))^(2/3),0.000001)))^2)+(((ABS(G75)*$D$6)/(MAX(((G32)+(I32)*(MAX($D$16,(E75)-(K32))))*(MAX($D$16,(E75)-(K32))),0.000001)*MAX(((((G32)+(I32)*(MAX($D$16,(E75)-(K32))))*(MAX($D$16,(E75)-(K32))))/MAX((G32)+2*(MAX($D$16,(E75)-(K32)))*SQRT(1+(I32)^2),0.000001))^(2/3),0.000001)))^2))/2)+(IF((ABS(G75)/MAX(((G32)+(I32)*(MAX($D$16,(E75)-(K32))))*(MAX($D$16,(E75)-(K32))),0.000001))&gt;(ABS(G75)/MAX(((F32)+(H32)*(MAX($D$16,(D75)-(J32))))*(MAX($D$16,(D75)-(J32))),0.000001)),$D$9*((((ABS(G75)/MAX(((G32)+(I32)*(MAX($D$16,(E75)-(K32))))*(MAX($D$16,(E75)-(K32))),0.000001))^2)/(2*$I$5))-(((ABS(G75)/MAX(((F32)+(H32)*(MAX($D$16,(D75)-(J32))))*(MAX($D$16,(D75)-(J32))),0.000001))^2)/(2*$I$5))),$D$8*((((ABS(G75)/MAX(((F32)+(H32)*(MAX($D$16,(D75)-(J32))))*(MAX($D$16,(D75)-(J32))),0.000001))^2)/(2*$I$5))-(((ABS(G75)/MAX(((G32)+(I32)*(MAX($D$16,(E75)-(K32))))*(MAX($D$16,(E75)-(K32))),0.000001))^2)/(2*$I$5)))))+($D$10*(ABS((X32)-(W32))/90)*MAX(((ABS(G75)/MAX(((F32)+(H32)*(MAX($D$16,(D75)-(J32))))*(MAX($D$16,(D75)-(J32))),0.000001))^2)/(2*$I$5),((ABS(G75)/MAX(((G32)+(I32)*(MAX($D$16,(E75)-(K32))))*(MAX($D$16,(E75)-(K32))),0.000001))^2)/(2*$I$5)))+(($D$11*0.13607488*(ABS(H75)/MAX(ABS(F75),0.000001))^2*MAX(((ABS(G75)/MAX(((F32)+(H32)*(MAX($D$16,(D75)-(J32))))*(MAX($D$16,(D75)-(J32))),0.000001))^2)/(2*$I$5),((ABS(G75)/MAX(((G32)+(I32)*(MAX($D$16,(E75)-(K32))))*(MAX($D$16,(E75)-(K32))),0.000001))^2)/(2*$I$5))))-((ABS(G75)/MAX(((F32)+(H32)*(MAX($D$16,(D75)-(J32))))*(MAX($D$16,(D75)-(J32))),0.000001))^2)/(2*$I$5)</f>
        <v>52432.141837658375</v>
      </c>
      <c r="Q75">
        <f>L75+((ABS(H75)/MAX(((G33)+(I33)*(MAX($D$16,(L75)-(K33))))*(MAX($D$16,(L75)-(K33))),0.000001))^2)/(2*$I$5)+((E33)*((((ABS(H75)*$D$6)/(MAX(((F33)+(H33)*(MAX($D$16,(D75)-(J33))))*(MAX($D$16,(D75)-(J33))),0.000001)*MAX(((((F33)+(H33)*(MAX($D$16,(D75)-(J33))))*(MAX($D$16,(D75)-(J33))))/MAX((F33)+2*(MAX($D$16,(D75)-(J33)))*SQRT(1+(H33)^2),0.000001))^(2/3),0.000001)))^2)+(((ABS(H75)*$D$6)/(MAX(((G33)+(I33)*(MAX($D$16,(L75)-(K33))))*(MAX($D$16,(L75)-(K33))),0.000001)*MAX(((((G33)+(I33)*(MAX($D$16,(L75)-(K33))))*(MAX($D$16,(L75)-(K33))))/MAX((G33)+2*(MAX($D$16,(L75)-(K33)))*SQRT(1+(I33)^2),0.000001))^(2/3),0.000001)))^2))/2)+(IF((ABS(H75)/MAX(((G33)+(I33)*(MAX($D$16,(L75)-(K33))))*(MAX($D$16,(L75)-(K33))),0.000001))&gt;(ABS(H75)/MAX(((F33)+(H33)*(MAX($D$16,(D75)-(J33))))*(MAX($D$16,(D75)-(J33))),0.000001)),$D$9*((((ABS(H75)/MAX(((G33)+(I33)*(MAX($D$16,(L75)-(K33))))*(MAX($D$16,(L75)-(K33))),0.000001))^2)/(2*$I$5))-(((ABS(H75)/MAX(((F33)+(H33)*(MAX($D$16,(D75)-(J33))))*(MAX($D$16,(D75)-(J33))),0.000001))^2)/(2*$I$5))),$D$8*((((ABS(H75)/MAX(((F33)+(H33)*(MAX($D$16,(D75)-(J33))))*(MAX($D$16,(D75)-(J33))),0.000001))^2)/(2*$I$5))-(((ABS(H75)/MAX(((G33)+(I33)*(MAX($D$16,(L75)-(K33))))*(MAX($D$16,(L75)-(K33))),0.000001))^2)/(2*$I$5)))))+($D$10*(ABS((X33)-(W33))/90)*MAX(((ABS(H75)/MAX(((F33)+(H33)*(MAX($D$16,(D75)-(J33))))*(MAX($D$16,(D75)-(J33))),0.000001))^2)/(2*$I$5),((ABS(H75)/MAX(((G33)+(I33)*(MAX($D$16,(L75)-(K33))))*(MAX($D$16,(L75)-(K33))),0.000001))^2)/(2*$I$5)))+(($D$11*0.00000015*(ABS(G75)/MAX(ABS(F75),0.000001))^2*MAX(((ABS(H75)/MAX(((F33)+(H33)*(MAX($D$16,(D75)-(J33))))*(MAX($D$16,(D75)-(J33))),0.000001))^2)/(2*$I$5),((ABS(H75)/MAX(((G33)+(I33)*(MAX($D$16,(L75)-(K33))))*(MAX($D$16,(L75)-(K33))),0.000001))^2)/(2*$I$5))))-((ABS(H75)/MAX(((F33)+(H33)*(MAX($D$16,(D75)-(J33))))*(MAX($D$16,(D75)-(J33))),0.000001))^2)/(2*$I$5)</f>
        <v>634.3119999999999</v>
      </c>
      <c r="R75">
        <f>D75+((ABS(G75)/MAX(((F32)+(H32)*(MAX($D$16,(D75)-(J32))))*(MAX($D$16,(D75)-(J32))),0.000001))^2)/(2*$I$5)-((E32)*((((ABS(G75)*$D$6)/(MAX(((F32)+(H32)*(MAX($D$16,(D75)-(J32))))*(MAX($D$16,(D75)-(J32))),0.000001)*MAX(((((F32)+(H32)*(MAX($D$16,(D75)-(J32))))*(MAX($D$16,(D75)-(J32))))/MAX((F32)+2*(MAX($D$16,(D75)-(J32)))*SQRT(1+(H32)^2),0.000001))^(2/3),0.000001)))^2)+(((ABS(G75)*$D$6)/(MAX(((G32)+(I32)*(MAX($D$16,(E75)-(K32))))*(MAX($D$16,(E75)-(K32))),0.000001)*MAX(((((G32)+(I32)*(MAX($D$16,(E75)-(K32))))*(MAX($D$16,(E75)-(K32))))/MAX((G32)+2*(MAX($D$16,(E75)-(K32)))*SQRT(1+(I32)^2),0.000001))^(2/3),0.000001)))^2))/2)+(IF((ABS(G75)/MAX(((G32)+(I32)*(MAX($D$16,(E75)-(K32))))*(MAX($D$16,(E75)-(K32))),0.000001))&gt;(ABS(G75)/MAX(((F32)+(H32)*(MAX($D$16,(D75)-(J32))))*(MAX($D$16,(D75)-(J32))),0.000001)),$D$9*((((ABS(G75)/MAX(((G32)+(I32)*(MAX($D$16,(E75)-(K32))))*(MAX($D$16,(E75)-(K32))),0.000001))^2)/(2*$I$5))-(((ABS(G75)/MAX(((F32)+(H32)*(MAX($D$16,(D75)-(J32))))*(MAX($D$16,(D75)-(J32))),0.000001))^2)/(2*$I$5))),$D$8*((((ABS(G75)/MAX(((F32)+(H32)*(MAX($D$16,(D75)-(J32))))*(MAX($D$16,(D75)-(J32))),0.000001))^2)/(2*$I$5))-(((ABS(G75)/MAX(((G32)+(I32)*(MAX($D$16,(E75)-(K32))))*(MAX($D$16,(E75)-(K32))),0.000001))^2)/(2*$I$5)))))+($D$10*(ABS((X32)-(W32))/90)*MAX(((ABS(G75)/MAX(((F32)+(H32)*(MAX($D$16,(D75)-(J32))))*(MAX($D$16,(D75)-(J32))),0.000001))^2)/(2*$I$5),((ABS(G75)/MAX(((G32)+(I32)*(MAX($D$16,(E75)-(K32))))*(MAX($D$16,(E75)-(K32))),0.000001))^2)/(2*$I$5)))+(($D$11*0.13607488*(ABS(H75)/MAX(ABS(F75),0.000001))^2*MAX(((ABS(G75)/MAX(((F32)+(H32)*(MAX($D$16,(D75)-(J32))))*(MAX($D$16,(D75)-(J32))),0.000001))^2)/(2*$I$5),((ABS(G75)/MAX(((G32)+(I32)*(MAX($D$16,(E75)-(K32))))*(MAX($D$16,(E75)-(K32))),0.000001))^2)/(2*$I$5))))-((ABS(G75)/MAX(((G32)+(I32)*(MAX($D$16,(E75)-(K32))))*(MAX($D$16,(E75)-(K32))),0.000001))^2)/(2*$I$5)</f>
        <v>52432.141837658164</v>
      </c>
      <c r="S75">
        <f>M75+((ABS(I75)/MAX(((G34)+(I34)*(MAX($D$16,(M75)-(K34))))*(MAX($D$16,(M75)-(K34))),0.000001))^2)/(2*$I$5)+((E34)*((((ABS(I75)*$D$6)/(MAX(((F34)+(H34)*(MAX($D$16,(E75)-(J34))))*(MAX($D$16,(E75)-(J34))),0.000001)*MAX(((((F34)+(H34)*(MAX($D$16,(E75)-(J34))))*(MAX($D$16,(E75)-(J34))))/MAX((F34)+2*(MAX($D$16,(E75)-(J34)))*SQRT(1+(H34)^2),0.000001))^(2/3),0.000001)))^2)+(((ABS(I75)*$D$6)/(MAX(((G34)+(I34)*(MAX($D$16,(M75)-(K34))))*(MAX($D$16,(M75)-(K34))),0.000001)*MAX(((((G34)+(I34)*(MAX($D$16,(M75)-(K34))))*(MAX($D$16,(M75)-(K34))))/MAX((G34)+2*(MAX($D$16,(M75)-(K34)))*SQRT(1+(I34)^2),0.000001))^(2/3),0.000001)))^2))/2)+(IF((ABS(I75)/MAX(((G34)+(I34)*(MAX($D$16,(M75)-(K34))))*(MAX($D$16,(M75)-(K34))),0.000001))&gt;(ABS(I75)/MAX(((F34)+(H34)*(MAX($D$16,(E75)-(J34))))*(MAX($D$16,(E75)-(J34))),0.000001)),$D$9*((((ABS(I75)/MAX(((G34)+(I34)*(MAX($D$16,(M75)-(K34))))*(MAX($D$16,(M75)-(K34))),0.000001))^2)/(2*$I$5))-(((ABS(I75)/MAX(((F34)+(H34)*(MAX($D$16,(E75)-(J34))))*(MAX($D$16,(E75)-(J34))),0.000001))^2)/(2*$I$5))),$D$8*((((ABS(I75)/MAX(((F34)+(H34)*(MAX($D$16,(E75)-(J34))))*(MAX($D$16,(E75)-(J34))),0.000001))^2)/(2*$I$5))-(((ABS(I75)/MAX(((G34)+(I34)*(MAX($D$16,(M75)-(K34))))*(MAX($D$16,(M75)-(K34))),0.000001))^2)/(2*$I$5)))))+($D$10*(ABS((X34)-(W34))/90)*MAX(((ABS(I75)/MAX(((F34)+(H34)*(MAX($D$16,(E75)-(J34))))*(MAX($D$16,(E75)-(J34))),0.000001))^2)/(2*$I$5),((ABS(I75)/MAX(((G34)+(I34)*(MAX($D$16,(M75)-(K34))))*(MAX($D$16,(M75)-(K34))),0.000001))^2)/(2*$I$5)))+(0)-((ABS(I75)/MAX(((F34)+(H34)*(MAX($D$16,(E75)-(J34))))*(MAX($D$16,(E75)-(J34))),0.000001))^2)/(2*$I$5)</f>
        <v>635.5</v>
      </c>
      <c r="T75">
        <f>N75+((ABS(J75)/MAX(((G35)+(I35)*(MAX($D$16,(N75)-(K35))))*(MAX($D$16,(N75)-(K35))),0.000001))^2)/(2*$I$5)+((E35)*((((ABS(J75)*$D$6)/(MAX(((F35)+(H35)*(MAX($D$16,(E75)-(J35))))*(MAX($D$16,(E75)-(J35))),0.000001)*MAX(((((F35)+(H35)*(MAX($D$16,(E75)-(J35))))*(MAX($D$16,(E75)-(J35))))/MAX((F35)+2*(MAX($D$16,(E75)-(J35)))*SQRT(1+(H35)^2),0.000001))^(2/3),0.000001)))^2)+(((ABS(J75)*$D$6)/(MAX(((G35)+(I35)*(MAX($D$16,(N75)-(K35))))*(MAX($D$16,(N75)-(K35))),0.000001)*MAX(((((G35)+(I35)*(MAX($D$16,(N75)-(K35))))*(MAX($D$16,(N75)-(K35))))/MAX((G35)+2*(MAX($D$16,(N75)-(K35)))*SQRT(1+(I35)^2),0.000001))^(2/3),0.000001)))^2))/2)+(IF((ABS(J75)/MAX(((G35)+(I35)*(MAX($D$16,(N75)-(K35))))*(MAX($D$16,(N75)-(K35))),0.000001))&gt;(ABS(J75)/MAX(((F35)+(H35)*(MAX($D$16,(E75)-(J35))))*(MAX($D$16,(E75)-(J35))),0.000001)),$D$9*((((ABS(J75)/MAX(((G35)+(I35)*(MAX($D$16,(N75)-(K35))))*(MAX($D$16,(N75)-(K35))),0.000001))^2)/(2*$I$5))-(((ABS(J75)/MAX(((F35)+(H35)*(MAX($D$16,(E75)-(J35))))*(MAX($D$16,(E75)-(J35))),0.000001))^2)/(2*$I$5))),$D$8*((((ABS(J75)/MAX(((F35)+(H35)*(MAX($D$16,(E75)-(J35))))*(MAX($D$16,(E75)-(J35))),0.000001))^2)/(2*$I$5))-(((ABS(J75)/MAX(((G35)+(I35)*(MAX($D$16,(N75)-(K35))))*(MAX($D$16,(N75)-(K35))),0.000001))^2)/(2*$I$5)))))+($D$10*(ABS((X35)-(W35))/90)*MAX(((ABS(J75)/MAX(((F35)+(H35)*(MAX($D$16,(E75)-(J35))))*(MAX($D$16,(E75)-(J35))),0.000001))^2)/(2*$I$5),((ABS(J75)/MAX(((G35)+(I35)*(MAX($D$16,(N75)-(K35))))*(MAX($D$16,(N75)-(K35))),0.000001))^2)/(2*$I$5)))+(($D$11*0.34699541*(ABS(I75)/MAX(ABS(G75),0.000001))^2*MAX(((ABS(J75)/MAX(((F35)+(H35)*(MAX($D$16,(E75)-(J35))))*(MAX($D$16,(E75)-(J35))),0.000001))^2)/(2*$I$5),((ABS(J75)/MAX(((G35)+(I35)*(MAX($D$16,(N75)-(K35))))*(MAX($D$16,(N75)-(K35))),0.000001))^2)/(2*$I$5))))-((ABS(J75)/MAX(((F35)+(H35)*(MAX($D$16,(E75)-(J35))))*(MAX($D$16,(E75)-(J35))),0.000001))^2)/(2*$I$5)</f>
        <v>20784.033523923383</v>
      </c>
      <c r="U75">
        <f>(((((F32)*(MAX($D$16,(D75)-(J32)))^2)/2+(H32)*(MAX($D$16,(D75)-(J32)))^3/3+(ABS(G75)^2)/($I$5*MAX(((F32)+(H32)*(MAX($D$16,(D75)-(J32))))*(MAX($D$16,(D75)-(J32))),0.000001)))*0.72785025)-((((F33)*(MAX($D$16,(D75)-(J33)))^2)/2+(H33)*(MAX($D$16,(D75)-(J33)))^3/3+(ABS(H75)^2)/($I$5*MAX(((F33)+(H33)*(MAX($D$16,(D75)-(J33))))*(MAX($D$16,(D75)-(J33))),0.000001)))*0.99999971))/MAX(((G31)*(MAX($D$16,(D75)-(K31)))^2)/2+(I31)*(MAX($D$16,(D75)-(K31)))^3/3+(ABS(F75)^2)/($I$5*MAX(((G31)+(I31)*(MAX($D$16,(D75)-(K31))))*(MAX($D$16,(D75)-(K31))),0.000001)),0.000001)</f>
        <v>-0.27214945999991125</v>
      </c>
      <c r="V75">
        <f>(((((F34)*(MAX($D$16,(E75)-(J34)))^2)/2+(H34)*(MAX($D$16,(E75)-(J34)))^3/3+(ABS(I75)^2)/($I$5*MAX(((F34)+(H34)*(MAX($D$16,(E75)-(J34))))*(MAX($D$16,(E75)-(J34))),0.000001)))*1)-((((F35)*(MAX($D$16,(E75)-(J35)))^2)/2+(H35)*(MAX($D$16,(E75)-(J35)))^3/3+(ABS(J75)^2)/($I$5*MAX(((F35)+(H35)*(MAX($D$16,(E75)-(J35))))*(MAX($D$16,(E75)-(J35))),0.000001)))*0.30600918))/MAX(((G32)*(MAX($D$16,(E75)-(K32)))^2)/2+(I32)*(MAX($D$16,(E75)-(K32)))^3/3+(ABS(G75)^2)/($I$5*MAX(((G32)+(I32)*(MAX($D$16,(E75)-(K32))))*(MAX($D$16,(E75)-(K32))),0.000001)),0.000001)</f>
        <v>0.69398638937190393</v>
      </c>
      <c r="W75">
        <f>IF(N6="None",ABS(P75-D75),MAX(ABS(P75-D75),ABS(Q75-D75)))</f>
        <v>3.4197000786662102E-10</v>
      </c>
      <c r="X75">
        <f>IF(AND(N7="None",N8="None"),0,IF(N8="None",ABS(S75-E75),IF(N7="None",ABS(T75-E75),MAX(ABS(S75-E75),ABS(T75-E75)))))</f>
        <v>51796.641837657822</v>
      </c>
      <c r="AA75">
        <f t="shared" ref="AA75:AA106" si="18">D75+$D$13*(AC75-D75)</f>
        <v>52432.14183765815</v>
      </c>
      <c r="AB75">
        <f t="shared" ref="AB75:AB106" si="19">E75+$D$13*(AD75-E75)</f>
        <v>41355.303927850771</v>
      </c>
      <c r="AC75">
        <f>IF(N6="None",P75,MAX(P75,Q75))</f>
        <v>52432.141837658375</v>
      </c>
      <c r="AD75">
        <f>IF(AND(N7="None",N8="None"),E75,IF(N8="None",S75,IF(N7="None",T75,MAX(S75,T75))))</f>
        <v>20784.033523923383</v>
      </c>
      <c r="AE75">
        <f t="shared" ref="AE75:AE106" si="20">O75</f>
        <v>637.65825101089831</v>
      </c>
      <c r="AF75">
        <f t="shared" ref="AF75:AF106" si="21">R75</f>
        <v>52432.141837658164</v>
      </c>
      <c r="AG75">
        <f>((G31)*(MAX($D$16,(AC75)-(K31)))^2)/2+(I31)*(MAX($D$16,(AC75)-(K31)))^3/3+(ABS(F75)^2)/($I$5*MAX(((G31)+(I31)*(MAX($D$16,(AC75)-(K31))))*(MAX($D$16,(AC75)-(K31))),0.000001))</f>
        <v>8797611517.4104042</v>
      </c>
      <c r="AH75">
        <f>((G31)*(MAX($D$16,(AE75)-(K31)))^2)/2+(I31)*(MAX($D$16,(AE75)-(K31)))^3/3+(ABS(F75)^2)/($I$5*MAX(((G31)+(I31)*(MAX($D$16,(AE75)-(K31))))*(MAX($D$16,(AE75)-(K31))),0.000001))</f>
        <v>49.055863329575246</v>
      </c>
      <c r="AI75">
        <f>((G32)*(MAX($D$16,(AD75)-(K32)))^2)/2+(I32)*(MAX($D$16,(AD75)-(K32)))^3/3+(ABS(G75)^2)/($I$5*MAX(((G32)+(I32)*(MAX($D$16,(AD75)-(K32))))*(MAX($D$16,(AD75)-(K32))),0.000001))</f>
        <v>2072376743.6648321</v>
      </c>
      <c r="AJ75">
        <f>((G32)*(MAX($D$16,(AF75)-(K32)))^2)/2+(I32)*(MAX($D$16,(AF75)-(K32)))^3/3+(ABS(G75)^2)/($I$5*MAX(((G32)+(I32)*(MAX($D$16,(AF75)-(K32))))*(MAX($D$16,(AF75)-(K32))),0.000001))</f>
        <v>13692714789.642057</v>
      </c>
      <c r="AK75" t="str">
        <f t="shared" ref="AK75:AK106" si="22">IF(AH75&gt;=AG75,"Supercritical","Subcritical")</f>
        <v>Subcritical</v>
      </c>
      <c r="AL75" t="str">
        <f t="shared" ref="AL75:AL106" si="23">IF(AJ75&gt;=AI75,"Supercritical","Subcritical")</f>
        <v>Supercritical</v>
      </c>
      <c r="AM75">
        <f t="shared" ref="AM75:AM106" si="24">D75+$D$13*(IF(AK75="Supercritical",AE75,AC75)-D75)</f>
        <v>52432.14183765815</v>
      </c>
      <c r="AN75">
        <f t="shared" ref="AN75:AN106" si="25">E75+$D$13*(IF(AL75="Supercritical",AF75,AD75)-E75)</f>
        <v>52432.141837657939</v>
      </c>
      <c r="AO75">
        <f t="shared" ref="AO75:AO106" si="26">ABS(IF(AK75="Supercritical",AE75,AC75)-D75)</f>
        <v>3.4197000786662102E-10</v>
      </c>
      <c r="AP75">
        <f t="shared" ref="AP75:AP106" si="27">ABS(IF(AL75="Supercritical",AF75,AD75)-E75)</f>
        <v>3.4197000786662102E-10</v>
      </c>
    </row>
    <row r="76" spans="1:42" x14ac:dyDescent="0.35">
      <c r="A76">
        <v>33</v>
      </c>
      <c r="B76">
        <f t="shared" ref="B76:B107" si="28">Y75</f>
        <v>0</v>
      </c>
      <c r="C76">
        <f t="shared" ref="C76:C107" si="29">Z75</f>
        <v>0</v>
      </c>
      <c r="D76">
        <f t="shared" ref="D76:D107" si="30">AM75</f>
        <v>52432.14183765815</v>
      </c>
      <c r="E76">
        <f t="shared" ref="E76:E107" si="31">AN75</f>
        <v>52432.141837657939</v>
      </c>
      <c r="F76">
        <f t="shared" si="17"/>
        <v>51</v>
      </c>
      <c r="G76">
        <f>IF(N6="None",F76,MAX(0,F76*B76))</f>
        <v>51</v>
      </c>
      <c r="H76">
        <f>IF(N6="None",0,MAX(0,F76-G76))</f>
        <v>0</v>
      </c>
      <c r="I76">
        <f>IF(AND(N7="None",N8="None"),0,IF(N8="None",G76,IF(N7="None",0,MAX(0,G76*C76))))</f>
        <v>0</v>
      </c>
      <c r="J76">
        <f>IF(AND(N7="None",N8="None"),0,IF(N8="None",0,IF(N7="None",G76,MAX(0,G76-I76))))</f>
        <v>51</v>
      </c>
      <c r="K76">
        <f>P5</f>
        <v>637</v>
      </c>
      <c r="L76">
        <f>P6</f>
        <v>634.3119999999999</v>
      </c>
      <c r="M76">
        <f>P7</f>
        <v>635.5</v>
      </c>
      <c r="N76">
        <f>P8</f>
        <v>631.54999999999995</v>
      </c>
      <c r="O76">
        <f>K76+((ABS(F76)/MAX(((F31)+(H31)*(MAX($D$16,(K76)-(J31))))*(MAX($D$16,(K76)-(J31))),0.000001))^2)/(2*$I$5)-((E31)*((((ABS(F76)*$D$6)/(MAX(((F31)+(H31)*(MAX($D$16,(K76)-(J31))))*(MAX($D$16,(K76)-(J31))),0.000001)*MAX(((((F31)+(H31)*(MAX($D$16,(K76)-(J31))))*(MAX($D$16,(K76)-(J31))))/MAX((F31)+2*(MAX($D$16,(K76)-(J31)))*SQRT(1+(H31)^2),0.000001))^(2/3),0.000001)))^2)+(((ABS(F76)*$D$6)/(MAX(((G31)+(I31)*(MAX($D$16,(D76)-(K31))))*(MAX($D$16,(D76)-(K31))),0.000001)*MAX(((((G31)+(I31)*(MAX($D$16,(D76)-(K31))))*(MAX($D$16,(D76)-(K31))))/MAX((G31)+2*(MAX($D$16,(D76)-(K31)))*SQRT(1+(I31)^2),0.000001))^(2/3),0.000001)))^2))/2)+(IF((ABS(F76)/MAX(((G31)+(I31)*(MAX($D$16,(D76)-(K31))))*(MAX($D$16,(D76)-(K31))),0.000001))&gt;(ABS(F76)/MAX(((F31)+(H31)*(MAX($D$16,(K76)-(J31))))*(MAX($D$16,(K76)-(J31))),0.000001)),$D$9*((((ABS(F76)/MAX(((G31)+(I31)*(MAX($D$16,(D76)-(K31))))*(MAX($D$16,(D76)-(K31))),0.000001))^2)/(2*$I$5))-(((ABS(F76)/MAX(((F31)+(H31)*(MAX($D$16,(K76)-(J31))))*(MAX($D$16,(K76)-(J31))),0.000001))^2)/(2*$I$5))),$D$8*((((ABS(F76)/MAX(((F31)+(H31)*(MAX($D$16,(K76)-(J31))))*(MAX($D$16,(K76)-(J31))),0.000001))^2)/(2*$I$5))-(((ABS(F76)/MAX(((G31)+(I31)*(MAX($D$16,(D76)-(K31))))*(MAX($D$16,(D76)-(K31))),0.000001))^2)/(2*$I$5)))))+($D$10*(ABS((X31)-(W31))/90)*MAX(((ABS(F76)/MAX(((F31)+(H31)*(MAX($D$16,(K76)-(J31))))*(MAX($D$16,(K76)-(J31))),0.000001))^2)/(2*$I$5),((ABS(F76)/MAX(((G31)+(I31)*(MAX($D$16,(D76)-(K31))))*(MAX($D$16,(D76)-(K31))),0.000001))^2)/(2*$I$5)))+(0)-((ABS(F76)/MAX(((G31)+(I31)*(MAX($D$16,(D76)-(K31))))*(MAX($D$16,(D76)-(K31))),0.000001))^2)/(2*$I$5)</f>
        <v>637.65825101089831</v>
      </c>
      <c r="P76">
        <f>E76+((ABS(G76)/MAX(((G32)+(I32)*(MAX($D$16,(E76)-(K32))))*(MAX($D$16,(E76)-(K32))),0.000001))^2)/(2*$I$5)+((E32)*((((ABS(G76)*$D$6)/(MAX(((F32)+(H32)*(MAX($D$16,(D76)-(J32))))*(MAX($D$16,(D76)-(J32))),0.000001)*MAX(((((F32)+(H32)*(MAX($D$16,(D76)-(J32))))*(MAX($D$16,(D76)-(J32))))/MAX((F32)+2*(MAX($D$16,(D76)-(J32)))*SQRT(1+(H32)^2),0.000001))^(2/3),0.000001)))^2)+(((ABS(G76)*$D$6)/(MAX(((G32)+(I32)*(MAX($D$16,(E76)-(K32))))*(MAX($D$16,(E76)-(K32))),0.000001)*MAX(((((G32)+(I32)*(MAX($D$16,(E76)-(K32))))*(MAX($D$16,(E76)-(K32))))/MAX((G32)+2*(MAX($D$16,(E76)-(K32)))*SQRT(1+(I32)^2),0.000001))^(2/3),0.000001)))^2))/2)+(IF((ABS(G76)/MAX(((G32)+(I32)*(MAX($D$16,(E76)-(K32))))*(MAX($D$16,(E76)-(K32))),0.000001))&gt;(ABS(G76)/MAX(((F32)+(H32)*(MAX($D$16,(D76)-(J32))))*(MAX($D$16,(D76)-(J32))),0.000001)),$D$9*((((ABS(G76)/MAX(((G32)+(I32)*(MAX($D$16,(E76)-(K32))))*(MAX($D$16,(E76)-(K32))),0.000001))^2)/(2*$I$5))-(((ABS(G76)/MAX(((F32)+(H32)*(MAX($D$16,(D76)-(J32))))*(MAX($D$16,(D76)-(J32))),0.000001))^2)/(2*$I$5))),$D$8*((((ABS(G76)/MAX(((F32)+(H32)*(MAX($D$16,(D76)-(J32))))*(MAX($D$16,(D76)-(J32))),0.000001))^2)/(2*$I$5))-(((ABS(G76)/MAX(((G32)+(I32)*(MAX($D$16,(E76)-(K32))))*(MAX($D$16,(E76)-(K32))),0.000001))^2)/(2*$I$5)))))+($D$10*(ABS((X32)-(W32))/90)*MAX(((ABS(G76)/MAX(((F32)+(H32)*(MAX($D$16,(D76)-(J32))))*(MAX($D$16,(D76)-(J32))),0.000001))^2)/(2*$I$5),((ABS(G76)/MAX(((G32)+(I32)*(MAX($D$16,(E76)-(K32))))*(MAX($D$16,(E76)-(K32))),0.000001))^2)/(2*$I$5)))+(($D$11*0.13607488*(ABS(H76)/MAX(ABS(F76),0.000001))^2*MAX(((ABS(G76)/MAX(((F32)+(H32)*(MAX($D$16,(D76)-(J32))))*(MAX($D$16,(D76)-(J32))),0.000001))^2)/(2*$I$5),((ABS(G76)/MAX(((G32)+(I32)*(MAX($D$16,(E76)-(K32))))*(MAX($D$16,(E76)-(K32))),0.000001))^2)/(2*$I$5))))-((ABS(G76)/MAX(((F32)+(H32)*(MAX($D$16,(D76)-(J32))))*(MAX($D$16,(D76)-(J32))),0.000001))^2)/(2*$I$5)</f>
        <v>52432.141837658492</v>
      </c>
      <c r="Q76">
        <f>L76+((ABS(H76)/MAX(((G33)+(I33)*(MAX($D$16,(L76)-(K33))))*(MAX($D$16,(L76)-(K33))),0.000001))^2)/(2*$I$5)+((E33)*((((ABS(H76)*$D$6)/(MAX(((F33)+(H33)*(MAX($D$16,(D76)-(J33))))*(MAX($D$16,(D76)-(J33))),0.000001)*MAX(((((F33)+(H33)*(MAX($D$16,(D76)-(J33))))*(MAX($D$16,(D76)-(J33))))/MAX((F33)+2*(MAX($D$16,(D76)-(J33)))*SQRT(1+(H33)^2),0.000001))^(2/3),0.000001)))^2)+(((ABS(H76)*$D$6)/(MAX(((G33)+(I33)*(MAX($D$16,(L76)-(K33))))*(MAX($D$16,(L76)-(K33))),0.000001)*MAX(((((G33)+(I33)*(MAX($D$16,(L76)-(K33))))*(MAX($D$16,(L76)-(K33))))/MAX((G33)+2*(MAX($D$16,(L76)-(K33)))*SQRT(1+(I33)^2),0.000001))^(2/3),0.000001)))^2))/2)+(IF((ABS(H76)/MAX(((G33)+(I33)*(MAX($D$16,(L76)-(K33))))*(MAX($D$16,(L76)-(K33))),0.000001))&gt;(ABS(H76)/MAX(((F33)+(H33)*(MAX($D$16,(D76)-(J33))))*(MAX($D$16,(D76)-(J33))),0.000001)),$D$9*((((ABS(H76)/MAX(((G33)+(I33)*(MAX($D$16,(L76)-(K33))))*(MAX($D$16,(L76)-(K33))),0.000001))^2)/(2*$I$5))-(((ABS(H76)/MAX(((F33)+(H33)*(MAX($D$16,(D76)-(J33))))*(MAX($D$16,(D76)-(J33))),0.000001))^2)/(2*$I$5))),$D$8*((((ABS(H76)/MAX(((F33)+(H33)*(MAX($D$16,(D76)-(J33))))*(MAX($D$16,(D76)-(J33))),0.000001))^2)/(2*$I$5))-(((ABS(H76)/MAX(((G33)+(I33)*(MAX($D$16,(L76)-(K33))))*(MAX($D$16,(L76)-(K33))),0.000001))^2)/(2*$I$5)))))+($D$10*(ABS((X33)-(W33))/90)*MAX(((ABS(H76)/MAX(((F33)+(H33)*(MAX($D$16,(D76)-(J33))))*(MAX($D$16,(D76)-(J33))),0.000001))^2)/(2*$I$5),((ABS(H76)/MAX(((G33)+(I33)*(MAX($D$16,(L76)-(K33))))*(MAX($D$16,(L76)-(K33))),0.000001))^2)/(2*$I$5)))+(($D$11*0.00000015*(ABS(G76)/MAX(ABS(F76),0.000001))^2*MAX(((ABS(H76)/MAX(((F33)+(H33)*(MAX($D$16,(D76)-(J33))))*(MAX($D$16,(D76)-(J33))),0.000001))^2)/(2*$I$5),((ABS(H76)/MAX(((G33)+(I33)*(MAX($D$16,(L76)-(K33))))*(MAX($D$16,(L76)-(K33))),0.000001))^2)/(2*$I$5))))-((ABS(H76)/MAX(((F33)+(H33)*(MAX($D$16,(D76)-(J33))))*(MAX($D$16,(D76)-(J33))),0.000001))^2)/(2*$I$5)</f>
        <v>634.3119999999999</v>
      </c>
      <c r="R76">
        <f>D76+((ABS(G76)/MAX(((F32)+(H32)*(MAX($D$16,(D76)-(J32))))*(MAX($D$16,(D76)-(J32))),0.000001))^2)/(2*$I$5)-((E32)*((((ABS(G76)*$D$6)/(MAX(((F32)+(H32)*(MAX($D$16,(D76)-(J32))))*(MAX($D$16,(D76)-(J32))),0.000001)*MAX(((((F32)+(H32)*(MAX($D$16,(D76)-(J32))))*(MAX($D$16,(D76)-(J32))))/MAX((F32)+2*(MAX($D$16,(D76)-(J32)))*SQRT(1+(H32)^2),0.000001))^(2/3),0.000001)))^2)+(((ABS(G76)*$D$6)/(MAX(((G32)+(I32)*(MAX($D$16,(E76)-(K32))))*(MAX($D$16,(E76)-(K32))),0.000001)*MAX(((((G32)+(I32)*(MAX($D$16,(E76)-(K32))))*(MAX($D$16,(E76)-(K32))))/MAX((G32)+2*(MAX($D$16,(E76)-(K32)))*SQRT(1+(I32)^2),0.000001))^(2/3),0.000001)))^2))/2)+(IF((ABS(G76)/MAX(((G32)+(I32)*(MAX($D$16,(E76)-(K32))))*(MAX($D$16,(E76)-(K32))),0.000001))&gt;(ABS(G76)/MAX(((F32)+(H32)*(MAX($D$16,(D76)-(J32))))*(MAX($D$16,(D76)-(J32))),0.000001)),$D$9*((((ABS(G76)/MAX(((G32)+(I32)*(MAX($D$16,(E76)-(K32))))*(MAX($D$16,(E76)-(K32))),0.000001))^2)/(2*$I$5))-(((ABS(G76)/MAX(((F32)+(H32)*(MAX($D$16,(D76)-(J32))))*(MAX($D$16,(D76)-(J32))),0.000001))^2)/(2*$I$5))),$D$8*((((ABS(G76)/MAX(((F32)+(H32)*(MAX($D$16,(D76)-(J32))))*(MAX($D$16,(D76)-(J32))),0.000001))^2)/(2*$I$5))-(((ABS(G76)/MAX(((G32)+(I32)*(MAX($D$16,(E76)-(K32))))*(MAX($D$16,(E76)-(K32))),0.000001))^2)/(2*$I$5)))))+($D$10*(ABS((X32)-(W32))/90)*MAX(((ABS(G76)/MAX(((F32)+(H32)*(MAX($D$16,(D76)-(J32))))*(MAX($D$16,(D76)-(J32))),0.000001))^2)/(2*$I$5),((ABS(G76)/MAX(((G32)+(I32)*(MAX($D$16,(E76)-(K32))))*(MAX($D$16,(E76)-(K32))),0.000001))^2)/(2*$I$5)))+(($D$11*0.13607488*(ABS(H76)/MAX(ABS(F76),0.000001))^2*MAX(((ABS(G76)/MAX(((F32)+(H32)*(MAX($D$16,(D76)-(J32))))*(MAX($D$16,(D76)-(J32))),0.000001))^2)/(2*$I$5),((ABS(G76)/MAX(((G32)+(I32)*(MAX($D$16,(E76)-(K32))))*(MAX($D$16,(E76)-(K32))),0.000001))^2)/(2*$I$5))))-((ABS(G76)/MAX(((G32)+(I32)*(MAX($D$16,(E76)-(K32))))*(MAX($D$16,(E76)-(K32))),0.000001))^2)/(2*$I$5)</f>
        <v>52432.141837658281</v>
      </c>
      <c r="S76">
        <f>M76+((ABS(I76)/MAX(((G34)+(I34)*(MAX($D$16,(M76)-(K34))))*(MAX($D$16,(M76)-(K34))),0.000001))^2)/(2*$I$5)+((E34)*((((ABS(I76)*$D$6)/(MAX(((F34)+(H34)*(MAX($D$16,(E76)-(J34))))*(MAX($D$16,(E76)-(J34))),0.000001)*MAX(((((F34)+(H34)*(MAX($D$16,(E76)-(J34))))*(MAX($D$16,(E76)-(J34))))/MAX((F34)+2*(MAX($D$16,(E76)-(J34)))*SQRT(1+(H34)^2),0.000001))^(2/3),0.000001)))^2)+(((ABS(I76)*$D$6)/(MAX(((G34)+(I34)*(MAX($D$16,(M76)-(K34))))*(MAX($D$16,(M76)-(K34))),0.000001)*MAX(((((G34)+(I34)*(MAX($D$16,(M76)-(K34))))*(MAX($D$16,(M76)-(K34))))/MAX((G34)+2*(MAX($D$16,(M76)-(K34)))*SQRT(1+(I34)^2),0.000001))^(2/3),0.000001)))^2))/2)+(IF((ABS(I76)/MAX(((G34)+(I34)*(MAX($D$16,(M76)-(K34))))*(MAX($D$16,(M76)-(K34))),0.000001))&gt;(ABS(I76)/MAX(((F34)+(H34)*(MAX($D$16,(E76)-(J34))))*(MAX($D$16,(E76)-(J34))),0.000001)),$D$9*((((ABS(I76)/MAX(((G34)+(I34)*(MAX($D$16,(M76)-(K34))))*(MAX($D$16,(M76)-(K34))),0.000001))^2)/(2*$I$5))-(((ABS(I76)/MAX(((F34)+(H34)*(MAX($D$16,(E76)-(J34))))*(MAX($D$16,(E76)-(J34))),0.000001))^2)/(2*$I$5))),$D$8*((((ABS(I76)/MAX(((F34)+(H34)*(MAX($D$16,(E76)-(J34))))*(MAX($D$16,(E76)-(J34))),0.000001))^2)/(2*$I$5))-(((ABS(I76)/MAX(((G34)+(I34)*(MAX($D$16,(M76)-(K34))))*(MAX($D$16,(M76)-(K34))),0.000001))^2)/(2*$I$5)))))+($D$10*(ABS((X34)-(W34))/90)*MAX(((ABS(I76)/MAX(((F34)+(H34)*(MAX($D$16,(E76)-(J34))))*(MAX($D$16,(E76)-(J34))),0.000001))^2)/(2*$I$5),((ABS(I76)/MAX(((G34)+(I34)*(MAX($D$16,(M76)-(K34))))*(MAX($D$16,(M76)-(K34))),0.000001))^2)/(2*$I$5)))+(0)-((ABS(I76)/MAX(((F34)+(H34)*(MAX($D$16,(E76)-(J34))))*(MAX($D$16,(E76)-(J34))),0.000001))^2)/(2*$I$5)</f>
        <v>635.5</v>
      </c>
      <c r="T76">
        <f>N76+((ABS(J76)/MAX(((G35)+(I35)*(MAX($D$16,(N76)-(K35))))*(MAX($D$16,(N76)-(K35))),0.000001))^2)/(2*$I$5)+((E35)*((((ABS(J76)*$D$6)/(MAX(((F35)+(H35)*(MAX($D$16,(E76)-(J35))))*(MAX($D$16,(E76)-(J35))),0.000001)*MAX(((((F35)+(H35)*(MAX($D$16,(E76)-(J35))))*(MAX($D$16,(E76)-(J35))))/MAX((F35)+2*(MAX($D$16,(E76)-(J35)))*SQRT(1+(H35)^2),0.000001))^(2/3),0.000001)))^2)+(((ABS(J76)*$D$6)/(MAX(((G35)+(I35)*(MAX($D$16,(N76)-(K35))))*(MAX($D$16,(N76)-(K35))),0.000001)*MAX(((((G35)+(I35)*(MAX($D$16,(N76)-(K35))))*(MAX($D$16,(N76)-(K35))))/MAX((G35)+2*(MAX($D$16,(N76)-(K35)))*SQRT(1+(I35)^2),0.000001))^(2/3),0.000001)))^2))/2)+(IF((ABS(J76)/MAX(((G35)+(I35)*(MAX($D$16,(N76)-(K35))))*(MAX($D$16,(N76)-(K35))),0.000001))&gt;(ABS(J76)/MAX(((F35)+(H35)*(MAX($D$16,(E76)-(J35))))*(MAX($D$16,(E76)-(J35))),0.000001)),$D$9*((((ABS(J76)/MAX(((G35)+(I35)*(MAX($D$16,(N76)-(K35))))*(MAX($D$16,(N76)-(K35))),0.000001))^2)/(2*$I$5))-(((ABS(J76)/MAX(((F35)+(H35)*(MAX($D$16,(E76)-(J35))))*(MAX($D$16,(E76)-(J35))),0.000001))^2)/(2*$I$5))),$D$8*((((ABS(J76)/MAX(((F35)+(H35)*(MAX($D$16,(E76)-(J35))))*(MAX($D$16,(E76)-(J35))),0.000001))^2)/(2*$I$5))-(((ABS(J76)/MAX(((G35)+(I35)*(MAX($D$16,(N76)-(K35))))*(MAX($D$16,(N76)-(K35))),0.000001))^2)/(2*$I$5)))))+($D$10*(ABS((X35)-(W35))/90)*MAX(((ABS(J76)/MAX(((F35)+(H35)*(MAX($D$16,(E76)-(J35))))*(MAX($D$16,(E76)-(J35))),0.000001))^2)/(2*$I$5),((ABS(J76)/MAX(((G35)+(I35)*(MAX($D$16,(N76)-(K35))))*(MAX($D$16,(N76)-(K35))),0.000001))^2)/(2*$I$5)))+(($D$11*0.34699541*(ABS(I76)/MAX(ABS(G76),0.000001))^2*MAX(((ABS(J76)/MAX(((F35)+(H35)*(MAX($D$16,(E76)-(J35))))*(MAX($D$16,(E76)-(J35))),0.000001))^2)/(2*$I$5),((ABS(J76)/MAX(((G35)+(I35)*(MAX($D$16,(N76)-(K35))))*(MAX($D$16,(N76)-(K35))),0.000001))^2)/(2*$I$5))))-((ABS(J76)/MAX(((F35)+(H35)*(MAX($D$16,(E76)-(J35))))*(MAX($D$16,(E76)-(J35))),0.000001))^2)/(2*$I$5)</f>
        <v>20784.033523923383</v>
      </c>
      <c r="U76">
        <f>(((((F32)*(MAX($D$16,(D76)-(J32)))^2)/2+(H32)*(MAX($D$16,(D76)-(J32)))^3/3+(ABS(G76)^2)/($I$5*MAX(((F32)+(H32)*(MAX($D$16,(D76)-(J32))))*(MAX($D$16,(D76)-(J32))),0.000001)))*0.72785025)-((((F33)*(MAX($D$16,(D76)-(J33)))^2)/2+(H33)*(MAX($D$16,(D76)-(J33)))^3/3+(ABS(H76)^2)/($I$5*MAX(((F33)+(H33)*(MAX($D$16,(D76)-(J33))))*(MAX($D$16,(D76)-(J33))),0.000001)))*0.99999971))/MAX(((G31)*(MAX($D$16,(D76)-(K31)))^2)/2+(I31)*(MAX($D$16,(D76)-(K31)))^3/3+(ABS(F76)^2)/($I$5*MAX(((G31)+(I31)*(MAX($D$16,(D76)-(K31))))*(MAX($D$16,(D76)-(K31))),0.000001)),0.000001)</f>
        <v>-0.27214945999991119</v>
      </c>
      <c r="V76">
        <f>(((((F34)*(MAX($D$16,(E76)-(J34)))^2)/2+(H34)*(MAX($D$16,(E76)-(J34)))^3/3+(ABS(I76)^2)/($I$5*MAX(((F34)+(H34)*(MAX($D$16,(E76)-(J34))))*(MAX($D$16,(E76)-(J34))),0.000001)))*1)-((((F35)*(MAX($D$16,(E76)-(J35)))^2)/2+(H35)*(MAX($D$16,(E76)-(J35)))^3/3+(ABS(J76)^2)/($I$5*MAX(((F35)+(H35)*(MAX($D$16,(E76)-(J35))))*(MAX($D$16,(E76)-(J35))),0.000001)))*0.30600918))/MAX(((G32)*(MAX($D$16,(E76)-(K32)))^2)/2+(I32)*(MAX($D$16,(E76)-(K32)))^3/3+(ABS(G76)^2)/($I$5*MAX(((G32)+(I32)*(MAX($D$16,(E76)-(K32))))*(MAX($D$16,(E76)-(K32))),0.000001)),0.000001)</f>
        <v>0.69398638937190382</v>
      </c>
      <c r="W76">
        <f>IF(N6="None",ABS(P76-D76),MAX(ABS(P76-D76),ABS(Q76-D76)))</f>
        <v>3.4197000786662102E-10</v>
      </c>
      <c r="X76">
        <f>IF(AND(N7="None",N8="None"),0,IF(N8="None",ABS(S76-E76),IF(N7="None",ABS(T76-E76),MAX(ABS(S76-E76),ABS(T76-E76)))))</f>
        <v>51796.641837657939</v>
      </c>
      <c r="AA76">
        <f t="shared" si="18"/>
        <v>52432.141837658266</v>
      </c>
      <c r="AB76">
        <f t="shared" si="19"/>
        <v>41355.303927850844</v>
      </c>
      <c r="AC76">
        <f>IF(N6="None",P76,MAX(P76,Q76))</f>
        <v>52432.141837658492</v>
      </c>
      <c r="AD76">
        <f>IF(AND(N7="None",N8="None"),E76,IF(N8="None",S76,IF(N7="None",T76,MAX(S76,T76))))</f>
        <v>20784.033523923383</v>
      </c>
      <c r="AE76">
        <f t="shared" si="20"/>
        <v>637.65825101089831</v>
      </c>
      <c r="AF76">
        <f t="shared" si="21"/>
        <v>52432.141837658281</v>
      </c>
      <c r="AG76">
        <f>((G31)*(MAX($D$16,(AC76)-(K31)))^2)/2+(I31)*(MAX($D$16,(AC76)-(K31)))^3/3+(ABS(F76)^2)/($I$5*MAX(((G31)+(I31)*(MAX($D$16,(AC76)-(K31))))*(MAX($D$16,(AC76)-(K31))),0.000001))</f>
        <v>8797611517.4104424</v>
      </c>
      <c r="AH76">
        <f>((G31)*(MAX($D$16,(AE76)-(K31)))^2)/2+(I31)*(MAX($D$16,(AE76)-(K31)))^3/3+(ABS(F76)^2)/($I$5*MAX(((G31)+(I31)*(MAX($D$16,(AE76)-(K31))))*(MAX($D$16,(AE76)-(K31))),0.000001))</f>
        <v>49.055863329575246</v>
      </c>
      <c r="AI76">
        <f>((G32)*(MAX($D$16,(AD76)-(K32)))^2)/2+(I32)*(MAX($D$16,(AD76)-(K32)))^3/3+(ABS(G76)^2)/($I$5*MAX(((G32)+(I32)*(MAX($D$16,(AD76)-(K32))))*(MAX($D$16,(AD76)-(K32))),0.000001))</f>
        <v>2072376743.6648321</v>
      </c>
      <c r="AJ76">
        <f>((G32)*(MAX($D$16,(AF76)-(K32)))^2)/2+(I32)*(MAX($D$16,(AF76)-(K32)))^3/3+(ABS(G76)^2)/($I$5*MAX(((G32)+(I32)*(MAX($D$16,(AF76)-(K32))))*(MAX($D$16,(AF76)-(K32))),0.000001))</f>
        <v>13692714789.642118</v>
      </c>
      <c r="AK76" t="str">
        <f t="shared" si="22"/>
        <v>Subcritical</v>
      </c>
      <c r="AL76" t="str">
        <f t="shared" si="23"/>
        <v>Supercritical</v>
      </c>
      <c r="AM76">
        <f t="shared" si="24"/>
        <v>52432.141837658266</v>
      </c>
      <c r="AN76">
        <f t="shared" si="25"/>
        <v>52432.141837658055</v>
      </c>
      <c r="AO76">
        <f t="shared" si="26"/>
        <v>3.4197000786662102E-10</v>
      </c>
      <c r="AP76">
        <f t="shared" si="27"/>
        <v>3.4197000786662102E-10</v>
      </c>
    </row>
    <row r="77" spans="1:42" x14ac:dyDescent="0.35">
      <c r="A77">
        <v>34</v>
      </c>
      <c r="B77">
        <f t="shared" si="28"/>
        <v>0</v>
      </c>
      <c r="C77">
        <f t="shared" si="29"/>
        <v>0</v>
      </c>
      <c r="D77">
        <f t="shared" si="30"/>
        <v>52432.141837658266</v>
      </c>
      <c r="E77">
        <f t="shared" si="31"/>
        <v>52432.141837658055</v>
      </c>
      <c r="F77">
        <f t="shared" si="17"/>
        <v>51</v>
      </c>
      <c r="G77">
        <f>IF(N6="None",F77,MAX(0,F77*B77))</f>
        <v>51</v>
      </c>
      <c r="H77">
        <f>IF(N6="None",0,MAX(0,F77-G77))</f>
        <v>0</v>
      </c>
      <c r="I77">
        <f>IF(AND(N7="None",N8="None"),0,IF(N8="None",G77,IF(N7="None",0,MAX(0,G77*C77))))</f>
        <v>0</v>
      </c>
      <c r="J77">
        <f>IF(AND(N7="None",N8="None"),0,IF(N8="None",0,IF(N7="None",G77,MAX(0,G77-I77))))</f>
        <v>51</v>
      </c>
      <c r="K77">
        <f>P5</f>
        <v>637</v>
      </c>
      <c r="L77">
        <f>P6</f>
        <v>634.3119999999999</v>
      </c>
      <c r="M77">
        <f>P7</f>
        <v>635.5</v>
      </c>
      <c r="N77">
        <f>P8</f>
        <v>631.54999999999995</v>
      </c>
      <c r="O77">
        <f>K77+((ABS(F77)/MAX(((F31)+(H31)*(MAX($D$16,(K77)-(J31))))*(MAX($D$16,(K77)-(J31))),0.000001))^2)/(2*$I$5)-((E31)*((((ABS(F77)*$D$6)/(MAX(((F31)+(H31)*(MAX($D$16,(K77)-(J31))))*(MAX($D$16,(K77)-(J31))),0.000001)*MAX(((((F31)+(H31)*(MAX($D$16,(K77)-(J31))))*(MAX($D$16,(K77)-(J31))))/MAX((F31)+2*(MAX($D$16,(K77)-(J31)))*SQRT(1+(H31)^2),0.000001))^(2/3),0.000001)))^2)+(((ABS(F77)*$D$6)/(MAX(((G31)+(I31)*(MAX($D$16,(D77)-(K31))))*(MAX($D$16,(D77)-(K31))),0.000001)*MAX(((((G31)+(I31)*(MAX($D$16,(D77)-(K31))))*(MAX($D$16,(D77)-(K31))))/MAX((G31)+2*(MAX($D$16,(D77)-(K31)))*SQRT(1+(I31)^2),0.000001))^(2/3),0.000001)))^2))/2)+(IF((ABS(F77)/MAX(((G31)+(I31)*(MAX($D$16,(D77)-(K31))))*(MAX($D$16,(D77)-(K31))),0.000001))&gt;(ABS(F77)/MAX(((F31)+(H31)*(MAX($D$16,(K77)-(J31))))*(MAX($D$16,(K77)-(J31))),0.000001)),$D$9*((((ABS(F77)/MAX(((G31)+(I31)*(MAX($D$16,(D77)-(K31))))*(MAX($D$16,(D77)-(K31))),0.000001))^2)/(2*$I$5))-(((ABS(F77)/MAX(((F31)+(H31)*(MAX($D$16,(K77)-(J31))))*(MAX($D$16,(K77)-(J31))),0.000001))^2)/(2*$I$5))),$D$8*((((ABS(F77)/MAX(((F31)+(H31)*(MAX($D$16,(K77)-(J31))))*(MAX($D$16,(K77)-(J31))),0.000001))^2)/(2*$I$5))-(((ABS(F77)/MAX(((G31)+(I31)*(MAX($D$16,(D77)-(K31))))*(MAX($D$16,(D77)-(K31))),0.000001))^2)/(2*$I$5)))))+($D$10*(ABS((X31)-(W31))/90)*MAX(((ABS(F77)/MAX(((F31)+(H31)*(MAX($D$16,(K77)-(J31))))*(MAX($D$16,(K77)-(J31))),0.000001))^2)/(2*$I$5),((ABS(F77)/MAX(((G31)+(I31)*(MAX($D$16,(D77)-(K31))))*(MAX($D$16,(D77)-(K31))),0.000001))^2)/(2*$I$5)))+(0)-((ABS(F77)/MAX(((G31)+(I31)*(MAX($D$16,(D77)-(K31))))*(MAX($D$16,(D77)-(K31))),0.000001))^2)/(2*$I$5)</f>
        <v>637.65825101089831</v>
      </c>
      <c r="P77">
        <f>E77+((ABS(G77)/MAX(((G32)+(I32)*(MAX($D$16,(E77)-(K32))))*(MAX($D$16,(E77)-(K32))),0.000001))^2)/(2*$I$5)+((E32)*((((ABS(G77)*$D$6)/(MAX(((F32)+(H32)*(MAX($D$16,(D77)-(J32))))*(MAX($D$16,(D77)-(J32))),0.000001)*MAX(((((F32)+(H32)*(MAX($D$16,(D77)-(J32))))*(MAX($D$16,(D77)-(J32))))/MAX((F32)+2*(MAX($D$16,(D77)-(J32)))*SQRT(1+(H32)^2),0.000001))^(2/3),0.000001)))^2)+(((ABS(G77)*$D$6)/(MAX(((G32)+(I32)*(MAX($D$16,(E77)-(K32))))*(MAX($D$16,(E77)-(K32))),0.000001)*MAX(((((G32)+(I32)*(MAX($D$16,(E77)-(K32))))*(MAX($D$16,(E77)-(K32))))/MAX((G32)+2*(MAX($D$16,(E77)-(K32)))*SQRT(1+(I32)^2),0.000001))^(2/3),0.000001)))^2))/2)+(IF((ABS(G77)/MAX(((G32)+(I32)*(MAX($D$16,(E77)-(K32))))*(MAX($D$16,(E77)-(K32))),0.000001))&gt;(ABS(G77)/MAX(((F32)+(H32)*(MAX($D$16,(D77)-(J32))))*(MAX($D$16,(D77)-(J32))),0.000001)),$D$9*((((ABS(G77)/MAX(((G32)+(I32)*(MAX($D$16,(E77)-(K32))))*(MAX($D$16,(E77)-(K32))),0.000001))^2)/(2*$I$5))-(((ABS(G77)/MAX(((F32)+(H32)*(MAX($D$16,(D77)-(J32))))*(MAX($D$16,(D77)-(J32))),0.000001))^2)/(2*$I$5))),$D$8*((((ABS(G77)/MAX(((F32)+(H32)*(MAX($D$16,(D77)-(J32))))*(MAX($D$16,(D77)-(J32))),0.000001))^2)/(2*$I$5))-(((ABS(G77)/MAX(((G32)+(I32)*(MAX($D$16,(E77)-(K32))))*(MAX($D$16,(E77)-(K32))),0.000001))^2)/(2*$I$5)))))+($D$10*(ABS((X32)-(W32))/90)*MAX(((ABS(G77)/MAX(((F32)+(H32)*(MAX($D$16,(D77)-(J32))))*(MAX($D$16,(D77)-(J32))),0.000001))^2)/(2*$I$5),((ABS(G77)/MAX(((G32)+(I32)*(MAX($D$16,(E77)-(K32))))*(MAX($D$16,(E77)-(K32))),0.000001))^2)/(2*$I$5)))+(($D$11*0.13607488*(ABS(H77)/MAX(ABS(F77),0.000001))^2*MAX(((ABS(G77)/MAX(((F32)+(H32)*(MAX($D$16,(D77)-(J32))))*(MAX($D$16,(D77)-(J32))),0.000001))^2)/(2*$I$5),((ABS(G77)/MAX(((G32)+(I32)*(MAX($D$16,(E77)-(K32))))*(MAX($D$16,(E77)-(K32))),0.000001))^2)/(2*$I$5))))-((ABS(G77)/MAX(((F32)+(H32)*(MAX($D$16,(D77)-(J32))))*(MAX($D$16,(D77)-(J32))),0.000001))^2)/(2*$I$5)</f>
        <v>52432.141837658608</v>
      </c>
      <c r="Q77">
        <f>L77+((ABS(H77)/MAX(((G33)+(I33)*(MAX($D$16,(L77)-(K33))))*(MAX($D$16,(L77)-(K33))),0.000001))^2)/(2*$I$5)+((E33)*((((ABS(H77)*$D$6)/(MAX(((F33)+(H33)*(MAX($D$16,(D77)-(J33))))*(MAX($D$16,(D77)-(J33))),0.000001)*MAX(((((F33)+(H33)*(MAX($D$16,(D77)-(J33))))*(MAX($D$16,(D77)-(J33))))/MAX((F33)+2*(MAX($D$16,(D77)-(J33)))*SQRT(1+(H33)^2),0.000001))^(2/3),0.000001)))^2)+(((ABS(H77)*$D$6)/(MAX(((G33)+(I33)*(MAX($D$16,(L77)-(K33))))*(MAX($D$16,(L77)-(K33))),0.000001)*MAX(((((G33)+(I33)*(MAX($D$16,(L77)-(K33))))*(MAX($D$16,(L77)-(K33))))/MAX((G33)+2*(MAX($D$16,(L77)-(K33)))*SQRT(1+(I33)^2),0.000001))^(2/3),0.000001)))^2))/2)+(IF((ABS(H77)/MAX(((G33)+(I33)*(MAX($D$16,(L77)-(K33))))*(MAX($D$16,(L77)-(K33))),0.000001))&gt;(ABS(H77)/MAX(((F33)+(H33)*(MAX($D$16,(D77)-(J33))))*(MAX($D$16,(D77)-(J33))),0.000001)),$D$9*((((ABS(H77)/MAX(((G33)+(I33)*(MAX($D$16,(L77)-(K33))))*(MAX($D$16,(L77)-(K33))),0.000001))^2)/(2*$I$5))-(((ABS(H77)/MAX(((F33)+(H33)*(MAX($D$16,(D77)-(J33))))*(MAX($D$16,(D77)-(J33))),0.000001))^2)/(2*$I$5))),$D$8*((((ABS(H77)/MAX(((F33)+(H33)*(MAX($D$16,(D77)-(J33))))*(MAX($D$16,(D77)-(J33))),0.000001))^2)/(2*$I$5))-(((ABS(H77)/MAX(((G33)+(I33)*(MAX($D$16,(L77)-(K33))))*(MAX($D$16,(L77)-(K33))),0.000001))^2)/(2*$I$5)))))+($D$10*(ABS((X33)-(W33))/90)*MAX(((ABS(H77)/MAX(((F33)+(H33)*(MAX($D$16,(D77)-(J33))))*(MAX($D$16,(D77)-(J33))),0.000001))^2)/(2*$I$5),((ABS(H77)/MAX(((G33)+(I33)*(MAX($D$16,(L77)-(K33))))*(MAX($D$16,(L77)-(K33))),0.000001))^2)/(2*$I$5)))+(($D$11*0.00000015*(ABS(G77)/MAX(ABS(F77),0.000001))^2*MAX(((ABS(H77)/MAX(((F33)+(H33)*(MAX($D$16,(D77)-(J33))))*(MAX($D$16,(D77)-(J33))),0.000001))^2)/(2*$I$5),((ABS(H77)/MAX(((G33)+(I33)*(MAX($D$16,(L77)-(K33))))*(MAX($D$16,(L77)-(K33))),0.000001))^2)/(2*$I$5))))-((ABS(H77)/MAX(((F33)+(H33)*(MAX($D$16,(D77)-(J33))))*(MAX($D$16,(D77)-(J33))),0.000001))^2)/(2*$I$5)</f>
        <v>634.3119999999999</v>
      </c>
      <c r="R77">
        <f>D77+((ABS(G77)/MAX(((F32)+(H32)*(MAX($D$16,(D77)-(J32))))*(MAX($D$16,(D77)-(J32))),0.000001))^2)/(2*$I$5)-((E32)*((((ABS(G77)*$D$6)/(MAX(((F32)+(H32)*(MAX($D$16,(D77)-(J32))))*(MAX($D$16,(D77)-(J32))),0.000001)*MAX(((((F32)+(H32)*(MAX($D$16,(D77)-(J32))))*(MAX($D$16,(D77)-(J32))))/MAX((F32)+2*(MAX($D$16,(D77)-(J32)))*SQRT(1+(H32)^2),0.000001))^(2/3),0.000001)))^2)+(((ABS(G77)*$D$6)/(MAX(((G32)+(I32)*(MAX($D$16,(E77)-(K32))))*(MAX($D$16,(E77)-(K32))),0.000001)*MAX(((((G32)+(I32)*(MAX($D$16,(E77)-(K32))))*(MAX($D$16,(E77)-(K32))))/MAX((G32)+2*(MAX($D$16,(E77)-(K32)))*SQRT(1+(I32)^2),0.000001))^(2/3),0.000001)))^2))/2)+(IF((ABS(G77)/MAX(((G32)+(I32)*(MAX($D$16,(E77)-(K32))))*(MAX($D$16,(E77)-(K32))),0.000001))&gt;(ABS(G77)/MAX(((F32)+(H32)*(MAX($D$16,(D77)-(J32))))*(MAX($D$16,(D77)-(J32))),0.000001)),$D$9*((((ABS(G77)/MAX(((G32)+(I32)*(MAX($D$16,(E77)-(K32))))*(MAX($D$16,(E77)-(K32))),0.000001))^2)/(2*$I$5))-(((ABS(G77)/MAX(((F32)+(H32)*(MAX($D$16,(D77)-(J32))))*(MAX($D$16,(D77)-(J32))),0.000001))^2)/(2*$I$5))),$D$8*((((ABS(G77)/MAX(((F32)+(H32)*(MAX($D$16,(D77)-(J32))))*(MAX($D$16,(D77)-(J32))),0.000001))^2)/(2*$I$5))-(((ABS(G77)/MAX(((G32)+(I32)*(MAX($D$16,(E77)-(K32))))*(MAX($D$16,(E77)-(K32))),0.000001))^2)/(2*$I$5)))))+($D$10*(ABS((X32)-(W32))/90)*MAX(((ABS(G77)/MAX(((F32)+(H32)*(MAX($D$16,(D77)-(J32))))*(MAX($D$16,(D77)-(J32))),0.000001))^2)/(2*$I$5),((ABS(G77)/MAX(((G32)+(I32)*(MAX($D$16,(E77)-(K32))))*(MAX($D$16,(E77)-(K32))),0.000001))^2)/(2*$I$5)))+(($D$11*0.13607488*(ABS(H77)/MAX(ABS(F77),0.000001))^2*MAX(((ABS(G77)/MAX(((F32)+(H32)*(MAX($D$16,(D77)-(J32))))*(MAX($D$16,(D77)-(J32))),0.000001))^2)/(2*$I$5),((ABS(G77)/MAX(((G32)+(I32)*(MAX($D$16,(E77)-(K32))))*(MAX($D$16,(E77)-(K32))),0.000001))^2)/(2*$I$5))))-((ABS(G77)/MAX(((G32)+(I32)*(MAX($D$16,(E77)-(K32))))*(MAX($D$16,(E77)-(K32))),0.000001))^2)/(2*$I$5)</f>
        <v>52432.141837658397</v>
      </c>
      <c r="S77">
        <f>M77+((ABS(I77)/MAX(((G34)+(I34)*(MAX($D$16,(M77)-(K34))))*(MAX($D$16,(M77)-(K34))),0.000001))^2)/(2*$I$5)+((E34)*((((ABS(I77)*$D$6)/(MAX(((F34)+(H34)*(MAX($D$16,(E77)-(J34))))*(MAX($D$16,(E77)-(J34))),0.000001)*MAX(((((F34)+(H34)*(MAX($D$16,(E77)-(J34))))*(MAX($D$16,(E77)-(J34))))/MAX((F34)+2*(MAX($D$16,(E77)-(J34)))*SQRT(1+(H34)^2),0.000001))^(2/3),0.000001)))^2)+(((ABS(I77)*$D$6)/(MAX(((G34)+(I34)*(MAX($D$16,(M77)-(K34))))*(MAX($D$16,(M77)-(K34))),0.000001)*MAX(((((G34)+(I34)*(MAX($D$16,(M77)-(K34))))*(MAX($D$16,(M77)-(K34))))/MAX((G34)+2*(MAX($D$16,(M77)-(K34)))*SQRT(1+(I34)^2),0.000001))^(2/3),0.000001)))^2))/2)+(IF((ABS(I77)/MAX(((G34)+(I34)*(MAX($D$16,(M77)-(K34))))*(MAX($D$16,(M77)-(K34))),0.000001))&gt;(ABS(I77)/MAX(((F34)+(H34)*(MAX($D$16,(E77)-(J34))))*(MAX($D$16,(E77)-(J34))),0.000001)),$D$9*((((ABS(I77)/MAX(((G34)+(I34)*(MAX($D$16,(M77)-(K34))))*(MAX($D$16,(M77)-(K34))),0.000001))^2)/(2*$I$5))-(((ABS(I77)/MAX(((F34)+(H34)*(MAX($D$16,(E77)-(J34))))*(MAX($D$16,(E77)-(J34))),0.000001))^2)/(2*$I$5))),$D$8*((((ABS(I77)/MAX(((F34)+(H34)*(MAX($D$16,(E77)-(J34))))*(MAX($D$16,(E77)-(J34))),0.000001))^2)/(2*$I$5))-(((ABS(I77)/MAX(((G34)+(I34)*(MAX($D$16,(M77)-(K34))))*(MAX($D$16,(M77)-(K34))),0.000001))^2)/(2*$I$5)))))+($D$10*(ABS((X34)-(W34))/90)*MAX(((ABS(I77)/MAX(((F34)+(H34)*(MAX($D$16,(E77)-(J34))))*(MAX($D$16,(E77)-(J34))),0.000001))^2)/(2*$I$5),((ABS(I77)/MAX(((G34)+(I34)*(MAX($D$16,(M77)-(K34))))*(MAX($D$16,(M77)-(K34))),0.000001))^2)/(2*$I$5)))+(0)-((ABS(I77)/MAX(((F34)+(H34)*(MAX($D$16,(E77)-(J34))))*(MAX($D$16,(E77)-(J34))),0.000001))^2)/(2*$I$5)</f>
        <v>635.5</v>
      </c>
      <c r="T77">
        <f>N77+((ABS(J77)/MAX(((G35)+(I35)*(MAX($D$16,(N77)-(K35))))*(MAX($D$16,(N77)-(K35))),0.000001))^2)/(2*$I$5)+((E35)*((((ABS(J77)*$D$6)/(MAX(((F35)+(H35)*(MAX($D$16,(E77)-(J35))))*(MAX($D$16,(E77)-(J35))),0.000001)*MAX(((((F35)+(H35)*(MAX($D$16,(E77)-(J35))))*(MAX($D$16,(E77)-(J35))))/MAX((F35)+2*(MAX($D$16,(E77)-(J35)))*SQRT(1+(H35)^2),0.000001))^(2/3),0.000001)))^2)+(((ABS(J77)*$D$6)/(MAX(((G35)+(I35)*(MAX($D$16,(N77)-(K35))))*(MAX($D$16,(N77)-(K35))),0.000001)*MAX(((((G35)+(I35)*(MAX($D$16,(N77)-(K35))))*(MAX($D$16,(N77)-(K35))))/MAX((G35)+2*(MAX($D$16,(N77)-(K35)))*SQRT(1+(I35)^2),0.000001))^(2/3),0.000001)))^2))/2)+(IF((ABS(J77)/MAX(((G35)+(I35)*(MAX($D$16,(N77)-(K35))))*(MAX($D$16,(N77)-(K35))),0.000001))&gt;(ABS(J77)/MAX(((F35)+(H35)*(MAX($D$16,(E77)-(J35))))*(MAX($D$16,(E77)-(J35))),0.000001)),$D$9*((((ABS(J77)/MAX(((G35)+(I35)*(MAX($D$16,(N77)-(K35))))*(MAX($D$16,(N77)-(K35))),0.000001))^2)/(2*$I$5))-(((ABS(J77)/MAX(((F35)+(H35)*(MAX($D$16,(E77)-(J35))))*(MAX($D$16,(E77)-(J35))),0.000001))^2)/(2*$I$5))),$D$8*((((ABS(J77)/MAX(((F35)+(H35)*(MAX($D$16,(E77)-(J35))))*(MAX($D$16,(E77)-(J35))),0.000001))^2)/(2*$I$5))-(((ABS(J77)/MAX(((G35)+(I35)*(MAX($D$16,(N77)-(K35))))*(MAX($D$16,(N77)-(K35))),0.000001))^2)/(2*$I$5)))))+($D$10*(ABS((X35)-(W35))/90)*MAX(((ABS(J77)/MAX(((F35)+(H35)*(MAX($D$16,(E77)-(J35))))*(MAX($D$16,(E77)-(J35))),0.000001))^2)/(2*$I$5),((ABS(J77)/MAX(((G35)+(I35)*(MAX($D$16,(N77)-(K35))))*(MAX($D$16,(N77)-(K35))),0.000001))^2)/(2*$I$5)))+(($D$11*0.34699541*(ABS(I77)/MAX(ABS(G77),0.000001))^2*MAX(((ABS(J77)/MAX(((F35)+(H35)*(MAX($D$16,(E77)-(J35))))*(MAX($D$16,(E77)-(J35))),0.000001))^2)/(2*$I$5),((ABS(J77)/MAX(((G35)+(I35)*(MAX($D$16,(N77)-(K35))))*(MAX($D$16,(N77)-(K35))),0.000001))^2)/(2*$I$5))))-((ABS(J77)/MAX(((F35)+(H35)*(MAX($D$16,(E77)-(J35))))*(MAX($D$16,(E77)-(J35))),0.000001))^2)/(2*$I$5)</f>
        <v>20784.033523923383</v>
      </c>
      <c r="U77">
        <f>(((((F32)*(MAX($D$16,(D77)-(J32)))^2)/2+(H32)*(MAX($D$16,(D77)-(J32)))^3/3+(ABS(G77)^2)/($I$5*MAX(((F32)+(H32)*(MAX($D$16,(D77)-(J32))))*(MAX($D$16,(D77)-(J32))),0.000001)))*0.72785025)-((((F33)*(MAX($D$16,(D77)-(J33)))^2)/2+(H33)*(MAX($D$16,(D77)-(J33)))^3/3+(ABS(H77)^2)/($I$5*MAX(((F33)+(H33)*(MAX($D$16,(D77)-(J33))))*(MAX($D$16,(D77)-(J33))),0.000001)))*0.99999971))/MAX(((G31)*(MAX($D$16,(D77)-(K31)))^2)/2+(I31)*(MAX($D$16,(D77)-(K31)))^3/3+(ABS(F77)^2)/($I$5*MAX(((G31)+(I31)*(MAX($D$16,(D77)-(K31))))*(MAX($D$16,(D77)-(K31))),0.000001)),0.000001)</f>
        <v>-0.27214945999991119</v>
      </c>
      <c r="V77">
        <f>(((((F34)*(MAX($D$16,(E77)-(J34)))^2)/2+(H34)*(MAX($D$16,(E77)-(J34)))^3/3+(ABS(I77)^2)/($I$5*MAX(((F34)+(H34)*(MAX($D$16,(E77)-(J34))))*(MAX($D$16,(E77)-(J34))),0.000001)))*1)-((((F35)*(MAX($D$16,(E77)-(J35)))^2)/2+(H35)*(MAX($D$16,(E77)-(J35)))^3/3+(ABS(J77)^2)/($I$5*MAX(((F35)+(H35)*(MAX($D$16,(E77)-(J35))))*(MAX($D$16,(E77)-(J35))),0.000001)))*0.30600918))/MAX(((G32)*(MAX($D$16,(E77)-(K32)))^2)/2+(I32)*(MAX($D$16,(E77)-(K32)))^3/3+(ABS(G77)^2)/($I$5*MAX(((G32)+(I32)*(MAX($D$16,(E77)-(K32))))*(MAX($D$16,(E77)-(K32))),0.000001)),0.000001)</f>
        <v>0.69398638937190382</v>
      </c>
      <c r="W77">
        <f>IF(N6="None",ABS(P77-D77),MAX(ABS(P77-D77),ABS(Q77-D77)))</f>
        <v>3.4197000786662102E-10</v>
      </c>
      <c r="X77">
        <f>IF(AND(N7="None",N8="None"),0,IF(N8="None",ABS(S77-E77),IF(N7="None",ABS(T77-E77),MAX(ABS(S77-E77),ABS(T77-E77)))))</f>
        <v>51796.641837658055</v>
      </c>
      <c r="AA77">
        <f t="shared" si="18"/>
        <v>52432.141837658382</v>
      </c>
      <c r="AB77">
        <f t="shared" si="19"/>
        <v>41355.303927850924</v>
      </c>
      <c r="AC77">
        <f>IF(N6="None",P77,MAX(P77,Q77))</f>
        <v>52432.141837658608</v>
      </c>
      <c r="AD77">
        <f>IF(AND(N7="None",N8="None"),E77,IF(N8="None",S77,IF(N7="None",T77,MAX(S77,T77))))</f>
        <v>20784.033523923383</v>
      </c>
      <c r="AE77">
        <f t="shared" si="20"/>
        <v>637.65825101089831</v>
      </c>
      <c r="AF77">
        <f t="shared" si="21"/>
        <v>52432.141837658397</v>
      </c>
      <c r="AG77">
        <f>((G31)*(MAX($D$16,(AC77)-(K31)))^2)/2+(I31)*(MAX($D$16,(AC77)-(K31)))^3/3+(ABS(F77)^2)/($I$5*MAX(((G31)+(I31)*(MAX($D$16,(AC77)-(K31))))*(MAX($D$16,(AC77)-(K31))),0.000001))</f>
        <v>8797611517.4104843</v>
      </c>
      <c r="AH77">
        <f>((G31)*(MAX($D$16,(AE77)-(K31)))^2)/2+(I31)*(MAX($D$16,(AE77)-(K31)))^3/3+(ABS(F77)^2)/($I$5*MAX(((G31)+(I31)*(MAX($D$16,(AE77)-(K31))))*(MAX($D$16,(AE77)-(K31))),0.000001))</f>
        <v>49.055863329575246</v>
      </c>
      <c r="AI77">
        <f>((G32)*(MAX($D$16,(AD77)-(K32)))^2)/2+(I32)*(MAX($D$16,(AD77)-(K32)))^3/3+(ABS(G77)^2)/($I$5*MAX(((G32)+(I32)*(MAX($D$16,(AD77)-(K32))))*(MAX($D$16,(AD77)-(K32))),0.000001))</f>
        <v>2072376743.6648321</v>
      </c>
      <c r="AJ77">
        <f>((G32)*(MAX($D$16,(AF77)-(K32)))^2)/2+(I32)*(MAX($D$16,(AF77)-(K32)))^3/3+(ABS(G77)^2)/($I$5*MAX(((G32)+(I32)*(MAX($D$16,(AF77)-(K32))))*(MAX($D$16,(AF77)-(K32))),0.000001))</f>
        <v>13692714789.642181</v>
      </c>
      <c r="AK77" t="str">
        <f t="shared" si="22"/>
        <v>Subcritical</v>
      </c>
      <c r="AL77" t="str">
        <f t="shared" si="23"/>
        <v>Supercritical</v>
      </c>
      <c r="AM77">
        <f t="shared" si="24"/>
        <v>52432.141837658382</v>
      </c>
      <c r="AN77">
        <f t="shared" si="25"/>
        <v>52432.141837658171</v>
      </c>
      <c r="AO77">
        <f t="shared" si="26"/>
        <v>3.4197000786662102E-10</v>
      </c>
      <c r="AP77">
        <f t="shared" si="27"/>
        <v>3.4197000786662102E-10</v>
      </c>
    </row>
    <row r="78" spans="1:42" x14ac:dyDescent="0.35">
      <c r="A78">
        <v>35</v>
      </c>
      <c r="B78">
        <f t="shared" si="28"/>
        <v>0</v>
      </c>
      <c r="C78">
        <f t="shared" si="29"/>
        <v>0</v>
      </c>
      <c r="D78">
        <f t="shared" si="30"/>
        <v>52432.141837658382</v>
      </c>
      <c r="E78">
        <f t="shared" si="31"/>
        <v>52432.141837658171</v>
      </c>
      <c r="F78">
        <f t="shared" si="17"/>
        <v>51</v>
      </c>
      <c r="G78">
        <f>IF(N6="None",F78,MAX(0,F78*B78))</f>
        <v>51</v>
      </c>
      <c r="H78">
        <f>IF(N6="None",0,MAX(0,F78-G78))</f>
        <v>0</v>
      </c>
      <c r="I78">
        <f>IF(AND(N7="None",N8="None"),0,IF(N8="None",G78,IF(N7="None",0,MAX(0,G78*C78))))</f>
        <v>0</v>
      </c>
      <c r="J78">
        <f>IF(AND(N7="None",N8="None"),0,IF(N8="None",0,IF(N7="None",G78,MAX(0,G78-I78))))</f>
        <v>51</v>
      </c>
      <c r="K78">
        <f>P5</f>
        <v>637</v>
      </c>
      <c r="L78">
        <f>P6</f>
        <v>634.3119999999999</v>
      </c>
      <c r="M78">
        <f>P7</f>
        <v>635.5</v>
      </c>
      <c r="N78">
        <f>P8</f>
        <v>631.54999999999995</v>
      </c>
      <c r="O78">
        <f>K78+((ABS(F78)/MAX(((F31)+(H31)*(MAX($D$16,(K78)-(J31))))*(MAX($D$16,(K78)-(J31))),0.000001))^2)/(2*$I$5)-((E31)*((((ABS(F78)*$D$6)/(MAX(((F31)+(H31)*(MAX($D$16,(K78)-(J31))))*(MAX($D$16,(K78)-(J31))),0.000001)*MAX(((((F31)+(H31)*(MAX($D$16,(K78)-(J31))))*(MAX($D$16,(K78)-(J31))))/MAX((F31)+2*(MAX($D$16,(K78)-(J31)))*SQRT(1+(H31)^2),0.000001))^(2/3),0.000001)))^2)+(((ABS(F78)*$D$6)/(MAX(((G31)+(I31)*(MAX($D$16,(D78)-(K31))))*(MAX($D$16,(D78)-(K31))),0.000001)*MAX(((((G31)+(I31)*(MAX($D$16,(D78)-(K31))))*(MAX($D$16,(D78)-(K31))))/MAX((G31)+2*(MAX($D$16,(D78)-(K31)))*SQRT(1+(I31)^2),0.000001))^(2/3),0.000001)))^2))/2)+(IF((ABS(F78)/MAX(((G31)+(I31)*(MAX($D$16,(D78)-(K31))))*(MAX($D$16,(D78)-(K31))),0.000001))&gt;(ABS(F78)/MAX(((F31)+(H31)*(MAX($D$16,(K78)-(J31))))*(MAX($D$16,(K78)-(J31))),0.000001)),$D$9*((((ABS(F78)/MAX(((G31)+(I31)*(MAX($D$16,(D78)-(K31))))*(MAX($D$16,(D78)-(K31))),0.000001))^2)/(2*$I$5))-(((ABS(F78)/MAX(((F31)+(H31)*(MAX($D$16,(K78)-(J31))))*(MAX($D$16,(K78)-(J31))),0.000001))^2)/(2*$I$5))),$D$8*((((ABS(F78)/MAX(((F31)+(H31)*(MAX($D$16,(K78)-(J31))))*(MAX($D$16,(K78)-(J31))),0.000001))^2)/(2*$I$5))-(((ABS(F78)/MAX(((G31)+(I31)*(MAX($D$16,(D78)-(K31))))*(MAX($D$16,(D78)-(K31))),0.000001))^2)/(2*$I$5)))))+($D$10*(ABS((X31)-(W31))/90)*MAX(((ABS(F78)/MAX(((F31)+(H31)*(MAX($D$16,(K78)-(J31))))*(MAX($D$16,(K78)-(J31))),0.000001))^2)/(2*$I$5),((ABS(F78)/MAX(((G31)+(I31)*(MAX($D$16,(D78)-(K31))))*(MAX($D$16,(D78)-(K31))),0.000001))^2)/(2*$I$5)))+(0)-((ABS(F78)/MAX(((G31)+(I31)*(MAX($D$16,(D78)-(K31))))*(MAX($D$16,(D78)-(K31))),0.000001))^2)/(2*$I$5)</f>
        <v>637.65825101089831</v>
      </c>
      <c r="P78">
        <f>E78+((ABS(G78)/MAX(((G32)+(I32)*(MAX($D$16,(E78)-(K32))))*(MAX($D$16,(E78)-(K32))),0.000001))^2)/(2*$I$5)+((E32)*((((ABS(G78)*$D$6)/(MAX(((F32)+(H32)*(MAX($D$16,(D78)-(J32))))*(MAX($D$16,(D78)-(J32))),0.000001)*MAX(((((F32)+(H32)*(MAX($D$16,(D78)-(J32))))*(MAX($D$16,(D78)-(J32))))/MAX((F32)+2*(MAX($D$16,(D78)-(J32)))*SQRT(1+(H32)^2),0.000001))^(2/3),0.000001)))^2)+(((ABS(G78)*$D$6)/(MAX(((G32)+(I32)*(MAX($D$16,(E78)-(K32))))*(MAX($D$16,(E78)-(K32))),0.000001)*MAX(((((G32)+(I32)*(MAX($D$16,(E78)-(K32))))*(MAX($D$16,(E78)-(K32))))/MAX((G32)+2*(MAX($D$16,(E78)-(K32)))*SQRT(1+(I32)^2),0.000001))^(2/3),0.000001)))^2))/2)+(IF((ABS(G78)/MAX(((G32)+(I32)*(MAX($D$16,(E78)-(K32))))*(MAX($D$16,(E78)-(K32))),0.000001))&gt;(ABS(G78)/MAX(((F32)+(H32)*(MAX($D$16,(D78)-(J32))))*(MAX($D$16,(D78)-(J32))),0.000001)),$D$9*((((ABS(G78)/MAX(((G32)+(I32)*(MAX($D$16,(E78)-(K32))))*(MAX($D$16,(E78)-(K32))),0.000001))^2)/(2*$I$5))-(((ABS(G78)/MAX(((F32)+(H32)*(MAX($D$16,(D78)-(J32))))*(MAX($D$16,(D78)-(J32))),0.000001))^2)/(2*$I$5))),$D$8*((((ABS(G78)/MAX(((F32)+(H32)*(MAX($D$16,(D78)-(J32))))*(MAX($D$16,(D78)-(J32))),0.000001))^2)/(2*$I$5))-(((ABS(G78)/MAX(((G32)+(I32)*(MAX($D$16,(E78)-(K32))))*(MAX($D$16,(E78)-(K32))),0.000001))^2)/(2*$I$5)))))+($D$10*(ABS((X32)-(W32))/90)*MAX(((ABS(G78)/MAX(((F32)+(H32)*(MAX($D$16,(D78)-(J32))))*(MAX($D$16,(D78)-(J32))),0.000001))^2)/(2*$I$5),((ABS(G78)/MAX(((G32)+(I32)*(MAX($D$16,(E78)-(K32))))*(MAX($D$16,(E78)-(K32))),0.000001))^2)/(2*$I$5)))+(($D$11*0.13607488*(ABS(H78)/MAX(ABS(F78),0.000001))^2*MAX(((ABS(G78)/MAX(((F32)+(H32)*(MAX($D$16,(D78)-(J32))))*(MAX($D$16,(D78)-(J32))),0.000001))^2)/(2*$I$5),((ABS(G78)/MAX(((G32)+(I32)*(MAX($D$16,(E78)-(K32))))*(MAX($D$16,(E78)-(K32))),0.000001))^2)/(2*$I$5))))-((ABS(G78)/MAX(((F32)+(H32)*(MAX($D$16,(D78)-(J32))))*(MAX($D$16,(D78)-(J32))),0.000001))^2)/(2*$I$5)</f>
        <v>52432.141837658724</v>
      </c>
      <c r="Q78">
        <f>L78+((ABS(H78)/MAX(((G33)+(I33)*(MAX($D$16,(L78)-(K33))))*(MAX($D$16,(L78)-(K33))),0.000001))^2)/(2*$I$5)+((E33)*((((ABS(H78)*$D$6)/(MAX(((F33)+(H33)*(MAX($D$16,(D78)-(J33))))*(MAX($D$16,(D78)-(J33))),0.000001)*MAX(((((F33)+(H33)*(MAX($D$16,(D78)-(J33))))*(MAX($D$16,(D78)-(J33))))/MAX((F33)+2*(MAX($D$16,(D78)-(J33)))*SQRT(1+(H33)^2),0.000001))^(2/3),0.000001)))^2)+(((ABS(H78)*$D$6)/(MAX(((G33)+(I33)*(MAX($D$16,(L78)-(K33))))*(MAX($D$16,(L78)-(K33))),0.000001)*MAX(((((G33)+(I33)*(MAX($D$16,(L78)-(K33))))*(MAX($D$16,(L78)-(K33))))/MAX((G33)+2*(MAX($D$16,(L78)-(K33)))*SQRT(1+(I33)^2),0.000001))^(2/3),0.000001)))^2))/2)+(IF((ABS(H78)/MAX(((G33)+(I33)*(MAX($D$16,(L78)-(K33))))*(MAX($D$16,(L78)-(K33))),0.000001))&gt;(ABS(H78)/MAX(((F33)+(H33)*(MAX($D$16,(D78)-(J33))))*(MAX($D$16,(D78)-(J33))),0.000001)),$D$9*((((ABS(H78)/MAX(((G33)+(I33)*(MAX($D$16,(L78)-(K33))))*(MAX($D$16,(L78)-(K33))),0.000001))^2)/(2*$I$5))-(((ABS(H78)/MAX(((F33)+(H33)*(MAX($D$16,(D78)-(J33))))*(MAX($D$16,(D78)-(J33))),0.000001))^2)/(2*$I$5))),$D$8*((((ABS(H78)/MAX(((F33)+(H33)*(MAX($D$16,(D78)-(J33))))*(MAX($D$16,(D78)-(J33))),0.000001))^2)/(2*$I$5))-(((ABS(H78)/MAX(((G33)+(I33)*(MAX($D$16,(L78)-(K33))))*(MAX($D$16,(L78)-(K33))),0.000001))^2)/(2*$I$5)))))+($D$10*(ABS((X33)-(W33))/90)*MAX(((ABS(H78)/MAX(((F33)+(H33)*(MAX($D$16,(D78)-(J33))))*(MAX($D$16,(D78)-(J33))),0.000001))^2)/(2*$I$5),((ABS(H78)/MAX(((G33)+(I33)*(MAX($D$16,(L78)-(K33))))*(MAX($D$16,(L78)-(K33))),0.000001))^2)/(2*$I$5)))+(($D$11*0.00000015*(ABS(G78)/MAX(ABS(F78),0.000001))^2*MAX(((ABS(H78)/MAX(((F33)+(H33)*(MAX($D$16,(D78)-(J33))))*(MAX($D$16,(D78)-(J33))),0.000001))^2)/(2*$I$5),((ABS(H78)/MAX(((G33)+(I33)*(MAX($D$16,(L78)-(K33))))*(MAX($D$16,(L78)-(K33))),0.000001))^2)/(2*$I$5))))-((ABS(H78)/MAX(((F33)+(H33)*(MAX($D$16,(D78)-(J33))))*(MAX($D$16,(D78)-(J33))),0.000001))^2)/(2*$I$5)</f>
        <v>634.3119999999999</v>
      </c>
      <c r="R78">
        <f>D78+((ABS(G78)/MAX(((F32)+(H32)*(MAX($D$16,(D78)-(J32))))*(MAX($D$16,(D78)-(J32))),0.000001))^2)/(2*$I$5)-((E32)*((((ABS(G78)*$D$6)/(MAX(((F32)+(H32)*(MAX($D$16,(D78)-(J32))))*(MAX($D$16,(D78)-(J32))),0.000001)*MAX(((((F32)+(H32)*(MAX($D$16,(D78)-(J32))))*(MAX($D$16,(D78)-(J32))))/MAX((F32)+2*(MAX($D$16,(D78)-(J32)))*SQRT(1+(H32)^2),0.000001))^(2/3),0.000001)))^2)+(((ABS(G78)*$D$6)/(MAX(((G32)+(I32)*(MAX($D$16,(E78)-(K32))))*(MAX($D$16,(E78)-(K32))),0.000001)*MAX(((((G32)+(I32)*(MAX($D$16,(E78)-(K32))))*(MAX($D$16,(E78)-(K32))))/MAX((G32)+2*(MAX($D$16,(E78)-(K32)))*SQRT(1+(I32)^2),0.000001))^(2/3),0.000001)))^2))/2)+(IF((ABS(G78)/MAX(((G32)+(I32)*(MAX($D$16,(E78)-(K32))))*(MAX($D$16,(E78)-(K32))),0.000001))&gt;(ABS(G78)/MAX(((F32)+(H32)*(MAX($D$16,(D78)-(J32))))*(MAX($D$16,(D78)-(J32))),0.000001)),$D$9*((((ABS(G78)/MAX(((G32)+(I32)*(MAX($D$16,(E78)-(K32))))*(MAX($D$16,(E78)-(K32))),0.000001))^2)/(2*$I$5))-(((ABS(G78)/MAX(((F32)+(H32)*(MAX($D$16,(D78)-(J32))))*(MAX($D$16,(D78)-(J32))),0.000001))^2)/(2*$I$5))),$D$8*((((ABS(G78)/MAX(((F32)+(H32)*(MAX($D$16,(D78)-(J32))))*(MAX($D$16,(D78)-(J32))),0.000001))^2)/(2*$I$5))-(((ABS(G78)/MAX(((G32)+(I32)*(MAX($D$16,(E78)-(K32))))*(MAX($D$16,(E78)-(K32))),0.000001))^2)/(2*$I$5)))))+($D$10*(ABS((X32)-(W32))/90)*MAX(((ABS(G78)/MAX(((F32)+(H32)*(MAX($D$16,(D78)-(J32))))*(MAX($D$16,(D78)-(J32))),0.000001))^2)/(2*$I$5),((ABS(G78)/MAX(((G32)+(I32)*(MAX($D$16,(E78)-(K32))))*(MAX($D$16,(E78)-(K32))),0.000001))^2)/(2*$I$5)))+(($D$11*0.13607488*(ABS(H78)/MAX(ABS(F78),0.000001))^2*MAX(((ABS(G78)/MAX(((F32)+(H32)*(MAX($D$16,(D78)-(J32))))*(MAX($D$16,(D78)-(J32))),0.000001))^2)/(2*$I$5),((ABS(G78)/MAX(((G32)+(I32)*(MAX($D$16,(E78)-(K32))))*(MAX($D$16,(E78)-(K32))),0.000001))^2)/(2*$I$5))))-((ABS(G78)/MAX(((G32)+(I32)*(MAX($D$16,(E78)-(K32))))*(MAX($D$16,(E78)-(K32))),0.000001))^2)/(2*$I$5)</f>
        <v>52432.141837658513</v>
      </c>
      <c r="S78">
        <f>M78+((ABS(I78)/MAX(((G34)+(I34)*(MAX($D$16,(M78)-(K34))))*(MAX($D$16,(M78)-(K34))),0.000001))^2)/(2*$I$5)+((E34)*((((ABS(I78)*$D$6)/(MAX(((F34)+(H34)*(MAX($D$16,(E78)-(J34))))*(MAX($D$16,(E78)-(J34))),0.000001)*MAX(((((F34)+(H34)*(MAX($D$16,(E78)-(J34))))*(MAX($D$16,(E78)-(J34))))/MAX((F34)+2*(MAX($D$16,(E78)-(J34)))*SQRT(1+(H34)^2),0.000001))^(2/3),0.000001)))^2)+(((ABS(I78)*$D$6)/(MAX(((G34)+(I34)*(MAX($D$16,(M78)-(K34))))*(MAX($D$16,(M78)-(K34))),0.000001)*MAX(((((G34)+(I34)*(MAX($D$16,(M78)-(K34))))*(MAX($D$16,(M78)-(K34))))/MAX((G34)+2*(MAX($D$16,(M78)-(K34)))*SQRT(1+(I34)^2),0.000001))^(2/3),0.000001)))^2))/2)+(IF((ABS(I78)/MAX(((G34)+(I34)*(MAX($D$16,(M78)-(K34))))*(MAX($D$16,(M78)-(K34))),0.000001))&gt;(ABS(I78)/MAX(((F34)+(H34)*(MAX($D$16,(E78)-(J34))))*(MAX($D$16,(E78)-(J34))),0.000001)),$D$9*((((ABS(I78)/MAX(((G34)+(I34)*(MAX($D$16,(M78)-(K34))))*(MAX($D$16,(M78)-(K34))),0.000001))^2)/(2*$I$5))-(((ABS(I78)/MAX(((F34)+(H34)*(MAX($D$16,(E78)-(J34))))*(MAX($D$16,(E78)-(J34))),0.000001))^2)/(2*$I$5))),$D$8*((((ABS(I78)/MAX(((F34)+(H34)*(MAX($D$16,(E78)-(J34))))*(MAX($D$16,(E78)-(J34))),0.000001))^2)/(2*$I$5))-(((ABS(I78)/MAX(((G34)+(I34)*(MAX($D$16,(M78)-(K34))))*(MAX($D$16,(M78)-(K34))),0.000001))^2)/(2*$I$5)))))+($D$10*(ABS((X34)-(W34))/90)*MAX(((ABS(I78)/MAX(((F34)+(H34)*(MAX($D$16,(E78)-(J34))))*(MAX($D$16,(E78)-(J34))),0.000001))^2)/(2*$I$5),((ABS(I78)/MAX(((G34)+(I34)*(MAX($D$16,(M78)-(K34))))*(MAX($D$16,(M78)-(K34))),0.000001))^2)/(2*$I$5)))+(0)-((ABS(I78)/MAX(((F34)+(H34)*(MAX($D$16,(E78)-(J34))))*(MAX($D$16,(E78)-(J34))),0.000001))^2)/(2*$I$5)</f>
        <v>635.5</v>
      </c>
      <c r="T78">
        <f>N78+((ABS(J78)/MAX(((G35)+(I35)*(MAX($D$16,(N78)-(K35))))*(MAX($D$16,(N78)-(K35))),0.000001))^2)/(2*$I$5)+((E35)*((((ABS(J78)*$D$6)/(MAX(((F35)+(H35)*(MAX($D$16,(E78)-(J35))))*(MAX($D$16,(E78)-(J35))),0.000001)*MAX(((((F35)+(H35)*(MAX($D$16,(E78)-(J35))))*(MAX($D$16,(E78)-(J35))))/MAX((F35)+2*(MAX($D$16,(E78)-(J35)))*SQRT(1+(H35)^2),0.000001))^(2/3),0.000001)))^2)+(((ABS(J78)*$D$6)/(MAX(((G35)+(I35)*(MAX($D$16,(N78)-(K35))))*(MAX($D$16,(N78)-(K35))),0.000001)*MAX(((((G35)+(I35)*(MAX($D$16,(N78)-(K35))))*(MAX($D$16,(N78)-(K35))))/MAX((G35)+2*(MAX($D$16,(N78)-(K35)))*SQRT(1+(I35)^2),0.000001))^(2/3),0.000001)))^2))/2)+(IF((ABS(J78)/MAX(((G35)+(I35)*(MAX($D$16,(N78)-(K35))))*(MAX($D$16,(N78)-(K35))),0.000001))&gt;(ABS(J78)/MAX(((F35)+(H35)*(MAX($D$16,(E78)-(J35))))*(MAX($D$16,(E78)-(J35))),0.000001)),$D$9*((((ABS(J78)/MAX(((G35)+(I35)*(MAX($D$16,(N78)-(K35))))*(MAX($D$16,(N78)-(K35))),0.000001))^2)/(2*$I$5))-(((ABS(J78)/MAX(((F35)+(H35)*(MAX($D$16,(E78)-(J35))))*(MAX($D$16,(E78)-(J35))),0.000001))^2)/(2*$I$5))),$D$8*((((ABS(J78)/MAX(((F35)+(H35)*(MAX($D$16,(E78)-(J35))))*(MAX($D$16,(E78)-(J35))),0.000001))^2)/(2*$I$5))-(((ABS(J78)/MAX(((G35)+(I35)*(MAX($D$16,(N78)-(K35))))*(MAX($D$16,(N78)-(K35))),0.000001))^2)/(2*$I$5)))))+($D$10*(ABS((X35)-(W35))/90)*MAX(((ABS(J78)/MAX(((F35)+(H35)*(MAX($D$16,(E78)-(J35))))*(MAX($D$16,(E78)-(J35))),0.000001))^2)/(2*$I$5),((ABS(J78)/MAX(((G35)+(I35)*(MAX($D$16,(N78)-(K35))))*(MAX($D$16,(N78)-(K35))),0.000001))^2)/(2*$I$5)))+(($D$11*0.34699541*(ABS(I78)/MAX(ABS(G78),0.000001))^2*MAX(((ABS(J78)/MAX(((F35)+(H35)*(MAX($D$16,(E78)-(J35))))*(MAX($D$16,(E78)-(J35))),0.000001))^2)/(2*$I$5),((ABS(J78)/MAX(((G35)+(I35)*(MAX($D$16,(N78)-(K35))))*(MAX($D$16,(N78)-(K35))),0.000001))^2)/(2*$I$5))))-((ABS(J78)/MAX(((F35)+(H35)*(MAX($D$16,(E78)-(J35))))*(MAX($D$16,(E78)-(J35))),0.000001))^2)/(2*$I$5)</f>
        <v>20784.033523923383</v>
      </c>
      <c r="U78">
        <f>(((((F32)*(MAX($D$16,(D78)-(J32)))^2)/2+(H32)*(MAX($D$16,(D78)-(J32)))^3/3+(ABS(G78)^2)/($I$5*MAX(((F32)+(H32)*(MAX($D$16,(D78)-(J32))))*(MAX($D$16,(D78)-(J32))),0.000001)))*0.72785025)-((((F33)*(MAX($D$16,(D78)-(J33)))^2)/2+(H33)*(MAX($D$16,(D78)-(J33)))^3/3+(ABS(H78)^2)/($I$5*MAX(((F33)+(H33)*(MAX($D$16,(D78)-(J33))))*(MAX($D$16,(D78)-(J33))),0.000001)))*0.99999971))/MAX(((G31)*(MAX($D$16,(D78)-(K31)))^2)/2+(I31)*(MAX($D$16,(D78)-(K31)))^3/3+(ABS(F78)^2)/($I$5*MAX(((G31)+(I31)*(MAX($D$16,(D78)-(K31))))*(MAX($D$16,(D78)-(K31))),0.000001)),0.000001)</f>
        <v>-0.27214945999991125</v>
      </c>
      <c r="V78">
        <f>(((((F34)*(MAX($D$16,(E78)-(J34)))^2)/2+(H34)*(MAX($D$16,(E78)-(J34)))^3/3+(ABS(I78)^2)/($I$5*MAX(((F34)+(H34)*(MAX($D$16,(E78)-(J34))))*(MAX($D$16,(E78)-(J34))),0.000001)))*1)-((((F35)*(MAX($D$16,(E78)-(J35)))^2)/2+(H35)*(MAX($D$16,(E78)-(J35)))^3/3+(ABS(J78)^2)/($I$5*MAX(((F35)+(H35)*(MAX($D$16,(E78)-(J35))))*(MAX($D$16,(E78)-(J35))),0.000001)))*0.30600918))/MAX(((G32)*(MAX($D$16,(E78)-(K32)))^2)/2+(I32)*(MAX($D$16,(E78)-(K32)))^3/3+(ABS(G78)^2)/($I$5*MAX(((G32)+(I32)*(MAX($D$16,(E78)-(K32))))*(MAX($D$16,(E78)-(K32))),0.000001)),0.000001)</f>
        <v>0.69398638937190404</v>
      </c>
      <c r="W78">
        <f>IF(N6="None",ABS(P78-D78),MAX(ABS(P78-D78),ABS(Q78-D78)))</f>
        <v>3.4197000786662102E-10</v>
      </c>
      <c r="X78">
        <f>IF(AND(N7="None",N8="None"),0,IF(N8="None",ABS(S78-E78),IF(N7="None",ABS(T78-E78),MAX(ABS(S78-E78),ABS(T78-E78)))))</f>
        <v>51796.641837658171</v>
      </c>
      <c r="AA78">
        <f t="shared" si="18"/>
        <v>52432.141837658499</v>
      </c>
      <c r="AB78">
        <f t="shared" si="19"/>
        <v>41355.303927850997</v>
      </c>
      <c r="AC78">
        <f>IF(N6="None",P78,MAX(P78,Q78))</f>
        <v>52432.141837658724</v>
      </c>
      <c r="AD78">
        <f>IF(AND(N7="None",N8="None"),E78,IF(N8="None",S78,IF(N7="None",T78,MAX(S78,T78))))</f>
        <v>20784.033523923383</v>
      </c>
      <c r="AE78">
        <f t="shared" si="20"/>
        <v>637.65825101089831</v>
      </c>
      <c r="AF78">
        <f t="shared" si="21"/>
        <v>52432.141837658513</v>
      </c>
      <c r="AG78">
        <f>((G31)*(MAX($D$16,(AC78)-(K31)))^2)/2+(I31)*(MAX($D$16,(AC78)-(K31)))^3/3+(ABS(F78)^2)/($I$5*MAX(((G31)+(I31)*(MAX($D$16,(AC78)-(K31))))*(MAX($D$16,(AC78)-(K31))),0.000001))</f>
        <v>8797611517.4105225</v>
      </c>
      <c r="AH78">
        <f>((G31)*(MAX($D$16,(AE78)-(K31)))^2)/2+(I31)*(MAX($D$16,(AE78)-(K31)))^3/3+(ABS(F78)^2)/($I$5*MAX(((G31)+(I31)*(MAX($D$16,(AE78)-(K31))))*(MAX($D$16,(AE78)-(K31))),0.000001))</f>
        <v>49.055863329575246</v>
      </c>
      <c r="AI78">
        <f>((G32)*(MAX($D$16,(AD78)-(K32)))^2)/2+(I32)*(MAX($D$16,(AD78)-(K32)))^3/3+(ABS(G78)^2)/($I$5*MAX(((G32)+(I32)*(MAX($D$16,(AD78)-(K32))))*(MAX($D$16,(AD78)-(K32))),0.000001))</f>
        <v>2072376743.6648321</v>
      </c>
      <c r="AJ78">
        <f>((G32)*(MAX($D$16,(AF78)-(K32)))^2)/2+(I32)*(MAX($D$16,(AF78)-(K32)))^3/3+(ABS(G78)^2)/($I$5*MAX(((G32)+(I32)*(MAX($D$16,(AF78)-(K32))))*(MAX($D$16,(AF78)-(K32))),0.000001))</f>
        <v>13692714789.642242</v>
      </c>
      <c r="AK78" t="str">
        <f t="shared" si="22"/>
        <v>Subcritical</v>
      </c>
      <c r="AL78" t="str">
        <f t="shared" si="23"/>
        <v>Supercritical</v>
      </c>
      <c r="AM78">
        <f t="shared" si="24"/>
        <v>52432.141837658499</v>
      </c>
      <c r="AN78">
        <f t="shared" si="25"/>
        <v>52432.141837658288</v>
      </c>
      <c r="AO78">
        <f t="shared" si="26"/>
        <v>3.4197000786662102E-10</v>
      </c>
      <c r="AP78">
        <f t="shared" si="27"/>
        <v>3.4197000786662102E-10</v>
      </c>
    </row>
    <row r="79" spans="1:42" x14ac:dyDescent="0.35">
      <c r="A79">
        <v>36</v>
      </c>
      <c r="B79">
        <f t="shared" si="28"/>
        <v>0</v>
      </c>
      <c r="C79">
        <f t="shared" si="29"/>
        <v>0</v>
      </c>
      <c r="D79">
        <f t="shared" si="30"/>
        <v>52432.141837658499</v>
      </c>
      <c r="E79">
        <f t="shared" si="31"/>
        <v>52432.141837658288</v>
      </c>
      <c r="F79">
        <f t="shared" si="17"/>
        <v>51</v>
      </c>
      <c r="G79">
        <f>IF(N6="None",F79,MAX(0,F79*B79))</f>
        <v>51</v>
      </c>
      <c r="H79">
        <f>IF(N6="None",0,MAX(0,F79-G79))</f>
        <v>0</v>
      </c>
      <c r="I79">
        <f>IF(AND(N7="None",N8="None"),0,IF(N8="None",G79,IF(N7="None",0,MAX(0,G79*C79))))</f>
        <v>0</v>
      </c>
      <c r="J79">
        <f>IF(AND(N7="None",N8="None"),0,IF(N8="None",0,IF(N7="None",G79,MAX(0,G79-I79))))</f>
        <v>51</v>
      </c>
      <c r="K79">
        <f>P5</f>
        <v>637</v>
      </c>
      <c r="L79">
        <f>P6</f>
        <v>634.3119999999999</v>
      </c>
      <c r="M79">
        <f>P7</f>
        <v>635.5</v>
      </c>
      <c r="N79">
        <f>P8</f>
        <v>631.54999999999995</v>
      </c>
      <c r="O79">
        <f>K79+((ABS(F79)/MAX(((F31)+(H31)*(MAX($D$16,(K79)-(J31))))*(MAX($D$16,(K79)-(J31))),0.000001))^2)/(2*$I$5)-((E31)*((((ABS(F79)*$D$6)/(MAX(((F31)+(H31)*(MAX($D$16,(K79)-(J31))))*(MAX($D$16,(K79)-(J31))),0.000001)*MAX(((((F31)+(H31)*(MAX($D$16,(K79)-(J31))))*(MAX($D$16,(K79)-(J31))))/MAX((F31)+2*(MAX($D$16,(K79)-(J31)))*SQRT(1+(H31)^2),0.000001))^(2/3),0.000001)))^2)+(((ABS(F79)*$D$6)/(MAX(((G31)+(I31)*(MAX($D$16,(D79)-(K31))))*(MAX($D$16,(D79)-(K31))),0.000001)*MAX(((((G31)+(I31)*(MAX($D$16,(D79)-(K31))))*(MAX($D$16,(D79)-(K31))))/MAX((G31)+2*(MAX($D$16,(D79)-(K31)))*SQRT(1+(I31)^2),0.000001))^(2/3),0.000001)))^2))/2)+(IF((ABS(F79)/MAX(((G31)+(I31)*(MAX($D$16,(D79)-(K31))))*(MAX($D$16,(D79)-(K31))),0.000001))&gt;(ABS(F79)/MAX(((F31)+(H31)*(MAX($D$16,(K79)-(J31))))*(MAX($D$16,(K79)-(J31))),0.000001)),$D$9*((((ABS(F79)/MAX(((G31)+(I31)*(MAX($D$16,(D79)-(K31))))*(MAX($D$16,(D79)-(K31))),0.000001))^2)/(2*$I$5))-(((ABS(F79)/MAX(((F31)+(H31)*(MAX($D$16,(K79)-(J31))))*(MAX($D$16,(K79)-(J31))),0.000001))^2)/(2*$I$5))),$D$8*((((ABS(F79)/MAX(((F31)+(H31)*(MAX($D$16,(K79)-(J31))))*(MAX($D$16,(K79)-(J31))),0.000001))^2)/(2*$I$5))-(((ABS(F79)/MAX(((G31)+(I31)*(MAX($D$16,(D79)-(K31))))*(MAX($D$16,(D79)-(K31))),0.000001))^2)/(2*$I$5)))))+($D$10*(ABS((X31)-(W31))/90)*MAX(((ABS(F79)/MAX(((F31)+(H31)*(MAX($D$16,(K79)-(J31))))*(MAX($D$16,(K79)-(J31))),0.000001))^2)/(2*$I$5),((ABS(F79)/MAX(((G31)+(I31)*(MAX($D$16,(D79)-(K31))))*(MAX($D$16,(D79)-(K31))),0.000001))^2)/(2*$I$5)))+(0)-((ABS(F79)/MAX(((G31)+(I31)*(MAX($D$16,(D79)-(K31))))*(MAX($D$16,(D79)-(K31))),0.000001))^2)/(2*$I$5)</f>
        <v>637.65825101089831</v>
      </c>
      <c r="P79">
        <f>E79+((ABS(G79)/MAX(((G32)+(I32)*(MAX($D$16,(E79)-(K32))))*(MAX($D$16,(E79)-(K32))),0.000001))^2)/(2*$I$5)+((E32)*((((ABS(G79)*$D$6)/(MAX(((F32)+(H32)*(MAX($D$16,(D79)-(J32))))*(MAX($D$16,(D79)-(J32))),0.000001)*MAX(((((F32)+(H32)*(MAX($D$16,(D79)-(J32))))*(MAX($D$16,(D79)-(J32))))/MAX((F32)+2*(MAX($D$16,(D79)-(J32)))*SQRT(1+(H32)^2),0.000001))^(2/3),0.000001)))^2)+(((ABS(G79)*$D$6)/(MAX(((G32)+(I32)*(MAX($D$16,(E79)-(K32))))*(MAX($D$16,(E79)-(K32))),0.000001)*MAX(((((G32)+(I32)*(MAX($D$16,(E79)-(K32))))*(MAX($D$16,(E79)-(K32))))/MAX((G32)+2*(MAX($D$16,(E79)-(K32)))*SQRT(1+(I32)^2),0.000001))^(2/3),0.000001)))^2))/2)+(IF((ABS(G79)/MAX(((G32)+(I32)*(MAX($D$16,(E79)-(K32))))*(MAX($D$16,(E79)-(K32))),0.000001))&gt;(ABS(G79)/MAX(((F32)+(H32)*(MAX($D$16,(D79)-(J32))))*(MAX($D$16,(D79)-(J32))),0.000001)),$D$9*((((ABS(G79)/MAX(((G32)+(I32)*(MAX($D$16,(E79)-(K32))))*(MAX($D$16,(E79)-(K32))),0.000001))^2)/(2*$I$5))-(((ABS(G79)/MAX(((F32)+(H32)*(MAX($D$16,(D79)-(J32))))*(MAX($D$16,(D79)-(J32))),0.000001))^2)/(2*$I$5))),$D$8*((((ABS(G79)/MAX(((F32)+(H32)*(MAX($D$16,(D79)-(J32))))*(MAX($D$16,(D79)-(J32))),0.000001))^2)/(2*$I$5))-(((ABS(G79)/MAX(((G32)+(I32)*(MAX($D$16,(E79)-(K32))))*(MAX($D$16,(E79)-(K32))),0.000001))^2)/(2*$I$5)))))+($D$10*(ABS((X32)-(W32))/90)*MAX(((ABS(G79)/MAX(((F32)+(H32)*(MAX($D$16,(D79)-(J32))))*(MAX($D$16,(D79)-(J32))),0.000001))^2)/(2*$I$5),((ABS(G79)/MAX(((G32)+(I32)*(MAX($D$16,(E79)-(K32))))*(MAX($D$16,(E79)-(K32))),0.000001))^2)/(2*$I$5)))+(($D$11*0.13607488*(ABS(H79)/MAX(ABS(F79),0.000001))^2*MAX(((ABS(G79)/MAX(((F32)+(H32)*(MAX($D$16,(D79)-(J32))))*(MAX($D$16,(D79)-(J32))),0.000001))^2)/(2*$I$5),((ABS(G79)/MAX(((G32)+(I32)*(MAX($D$16,(E79)-(K32))))*(MAX($D$16,(E79)-(K32))),0.000001))^2)/(2*$I$5))))-((ABS(G79)/MAX(((F32)+(H32)*(MAX($D$16,(D79)-(J32))))*(MAX($D$16,(D79)-(J32))),0.000001))^2)/(2*$I$5)</f>
        <v>52432.141837658841</v>
      </c>
      <c r="Q79">
        <f>L79+((ABS(H79)/MAX(((G33)+(I33)*(MAX($D$16,(L79)-(K33))))*(MAX($D$16,(L79)-(K33))),0.000001))^2)/(2*$I$5)+((E33)*((((ABS(H79)*$D$6)/(MAX(((F33)+(H33)*(MAX($D$16,(D79)-(J33))))*(MAX($D$16,(D79)-(J33))),0.000001)*MAX(((((F33)+(H33)*(MAX($D$16,(D79)-(J33))))*(MAX($D$16,(D79)-(J33))))/MAX((F33)+2*(MAX($D$16,(D79)-(J33)))*SQRT(1+(H33)^2),0.000001))^(2/3),0.000001)))^2)+(((ABS(H79)*$D$6)/(MAX(((G33)+(I33)*(MAX($D$16,(L79)-(K33))))*(MAX($D$16,(L79)-(K33))),0.000001)*MAX(((((G33)+(I33)*(MAX($D$16,(L79)-(K33))))*(MAX($D$16,(L79)-(K33))))/MAX((G33)+2*(MAX($D$16,(L79)-(K33)))*SQRT(1+(I33)^2),0.000001))^(2/3),0.000001)))^2))/2)+(IF((ABS(H79)/MAX(((G33)+(I33)*(MAX($D$16,(L79)-(K33))))*(MAX($D$16,(L79)-(K33))),0.000001))&gt;(ABS(H79)/MAX(((F33)+(H33)*(MAX($D$16,(D79)-(J33))))*(MAX($D$16,(D79)-(J33))),0.000001)),$D$9*((((ABS(H79)/MAX(((G33)+(I33)*(MAX($D$16,(L79)-(K33))))*(MAX($D$16,(L79)-(K33))),0.000001))^2)/(2*$I$5))-(((ABS(H79)/MAX(((F33)+(H33)*(MAX($D$16,(D79)-(J33))))*(MAX($D$16,(D79)-(J33))),0.000001))^2)/(2*$I$5))),$D$8*((((ABS(H79)/MAX(((F33)+(H33)*(MAX($D$16,(D79)-(J33))))*(MAX($D$16,(D79)-(J33))),0.000001))^2)/(2*$I$5))-(((ABS(H79)/MAX(((G33)+(I33)*(MAX($D$16,(L79)-(K33))))*(MAX($D$16,(L79)-(K33))),0.000001))^2)/(2*$I$5)))))+($D$10*(ABS((X33)-(W33))/90)*MAX(((ABS(H79)/MAX(((F33)+(H33)*(MAX($D$16,(D79)-(J33))))*(MAX($D$16,(D79)-(J33))),0.000001))^2)/(2*$I$5),((ABS(H79)/MAX(((G33)+(I33)*(MAX($D$16,(L79)-(K33))))*(MAX($D$16,(L79)-(K33))),0.000001))^2)/(2*$I$5)))+(($D$11*0.00000015*(ABS(G79)/MAX(ABS(F79),0.000001))^2*MAX(((ABS(H79)/MAX(((F33)+(H33)*(MAX($D$16,(D79)-(J33))))*(MAX($D$16,(D79)-(J33))),0.000001))^2)/(2*$I$5),((ABS(H79)/MAX(((G33)+(I33)*(MAX($D$16,(L79)-(K33))))*(MAX($D$16,(L79)-(K33))),0.000001))^2)/(2*$I$5))))-((ABS(H79)/MAX(((F33)+(H33)*(MAX($D$16,(D79)-(J33))))*(MAX($D$16,(D79)-(J33))),0.000001))^2)/(2*$I$5)</f>
        <v>634.3119999999999</v>
      </c>
      <c r="R79">
        <f>D79+((ABS(G79)/MAX(((F32)+(H32)*(MAX($D$16,(D79)-(J32))))*(MAX($D$16,(D79)-(J32))),0.000001))^2)/(2*$I$5)-((E32)*((((ABS(G79)*$D$6)/(MAX(((F32)+(H32)*(MAX($D$16,(D79)-(J32))))*(MAX($D$16,(D79)-(J32))),0.000001)*MAX(((((F32)+(H32)*(MAX($D$16,(D79)-(J32))))*(MAX($D$16,(D79)-(J32))))/MAX((F32)+2*(MAX($D$16,(D79)-(J32)))*SQRT(1+(H32)^2),0.000001))^(2/3),0.000001)))^2)+(((ABS(G79)*$D$6)/(MAX(((G32)+(I32)*(MAX($D$16,(E79)-(K32))))*(MAX($D$16,(E79)-(K32))),0.000001)*MAX(((((G32)+(I32)*(MAX($D$16,(E79)-(K32))))*(MAX($D$16,(E79)-(K32))))/MAX((G32)+2*(MAX($D$16,(E79)-(K32)))*SQRT(1+(I32)^2),0.000001))^(2/3),0.000001)))^2))/2)+(IF((ABS(G79)/MAX(((G32)+(I32)*(MAX($D$16,(E79)-(K32))))*(MAX($D$16,(E79)-(K32))),0.000001))&gt;(ABS(G79)/MAX(((F32)+(H32)*(MAX($D$16,(D79)-(J32))))*(MAX($D$16,(D79)-(J32))),0.000001)),$D$9*((((ABS(G79)/MAX(((G32)+(I32)*(MAX($D$16,(E79)-(K32))))*(MAX($D$16,(E79)-(K32))),0.000001))^2)/(2*$I$5))-(((ABS(G79)/MAX(((F32)+(H32)*(MAX($D$16,(D79)-(J32))))*(MAX($D$16,(D79)-(J32))),0.000001))^2)/(2*$I$5))),$D$8*((((ABS(G79)/MAX(((F32)+(H32)*(MAX($D$16,(D79)-(J32))))*(MAX($D$16,(D79)-(J32))),0.000001))^2)/(2*$I$5))-(((ABS(G79)/MAX(((G32)+(I32)*(MAX($D$16,(E79)-(K32))))*(MAX($D$16,(E79)-(K32))),0.000001))^2)/(2*$I$5)))))+($D$10*(ABS((X32)-(W32))/90)*MAX(((ABS(G79)/MAX(((F32)+(H32)*(MAX($D$16,(D79)-(J32))))*(MAX($D$16,(D79)-(J32))),0.000001))^2)/(2*$I$5),((ABS(G79)/MAX(((G32)+(I32)*(MAX($D$16,(E79)-(K32))))*(MAX($D$16,(E79)-(K32))),0.000001))^2)/(2*$I$5)))+(($D$11*0.13607488*(ABS(H79)/MAX(ABS(F79),0.000001))^2*MAX(((ABS(G79)/MAX(((F32)+(H32)*(MAX($D$16,(D79)-(J32))))*(MAX($D$16,(D79)-(J32))),0.000001))^2)/(2*$I$5),((ABS(G79)/MAX(((G32)+(I32)*(MAX($D$16,(E79)-(K32))))*(MAX($D$16,(E79)-(K32))),0.000001))^2)/(2*$I$5))))-((ABS(G79)/MAX(((G32)+(I32)*(MAX($D$16,(E79)-(K32))))*(MAX($D$16,(E79)-(K32))),0.000001))^2)/(2*$I$5)</f>
        <v>52432.14183765863</v>
      </c>
      <c r="S79">
        <f>M79+((ABS(I79)/MAX(((G34)+(I34)*(MAX($D$16,(M79)-(K34))))*(MAX($D$16,(M79)-(K34))),0.000001))^2)/(2*$I$5)+((E34)*((((ABS(I79)*$D$6)/(MAX(((F34)+(H34)*(MAX($D$16,(E79)-(J34))))*(MAX($D$16,(E79)-(J34))),0.000001)*MAX(((((F34)+(H34)*(MAX($D$16,(E79)-(J34))))*(MAX($D$16,(E79)-(J34))))/MAX((F34)+2*(MAX($D$16,(E79)-(J34)))*SQRT(1+(H34)^2),0.000001))^(2/3),0.000001)))^2)+(((ABS(I79)*$D$6)/(MAX(((G34)+(I34)*(MAX($D$16,(M79)-(K34))))*(MAX($D$16,(M79)-(K34))),0.000001)*MAX(((((G34)+(I34)*(MAX($D$16,(M79)-(K34))))*(MAX($D$16,(M79)-(K34))))/MAX((G34)+2*(MAX($D$16,(M79)-(K34)))*SQRT(1+(I34)^2),0.000001))^(2/3),0.000001)))^2))/2)+(IF((ABS(I79)/MAX(((G34)+(I34)*(MAX($D$16,(M79)-(K34))))*(MAX($D$16,(M79)-(K34))),0.000001))&gt;(ABS(I79)/MAX(((F34)+(H34)*(MAX($D$16,(E79)-(J34))))*(MAX($D$16,(E79)-(J34))),0.000001)),$D$9*((((ABS(I79)/MAX(((G34)+(I34)*(MAX($D$16,(M79)-(K34))))*(MAX($D$16,(M79)-(K34))),0.000001))^2)/(2*$I$5))-(((ABS(I79)/MAX(((F34)+(H34)*(MAX($D$16,(E79)-(J34))))*(MAX($D$16,(E79)-(J34))),0.000001))^2)/(2*$I$5))),$D$8*((((ABS(I79)/MAX(((F34)+(H34)*(MAX($D$16,(E79)-(J34))))*(MAX($D$16,(E79)-(J34))),0.000001))^2)/(2*$I$5))-(((ABS(I79)/MAX(((G34)+(I34)*(MAX($D$16,(M79)-(K34))))*(MAX($D$16,(M79)-(K34))),0.000001))^2)/(2*$I$5)))))+($D$10*(ABS((X34)-(W34))/90)*MAX(((ABS(I79)/MAX(((F34)+(H34)*(MAX($D$16,(E79)-(J34))))*(MAX($D$16,(E79)-(J34))),0.000001))^2)/(2*$I$5),((ABS(I79)/MAX(((G34)+(I34)*(MAX($D$16,(M79)-(K34))))*(MAX($D$16,(M79)-(K34))),0.000001))^2)/(2*$I$5)))+(0)-((ABS(I79)/MAX(((F34)+(H34)*(MAX($D$16,(E79)-(J34))))*(MAX($D$16,(E79)-(J34))),0.000001))^2)/(2*$I$5)</f>
        <v>635.5</v>
      </c>
      <c r="T79">
        <f>N79+((ABS(J79)/MAX(((G35)+(I35)*(MAX($D$16,(N79)-(K35))))*(MAX($D$16,(N79)-(K35))),0.000001))^2)/(2*$I$5)+((E35)*((((ABS(J79)*$D$6)/(MAX(((F35)+(H35)*(MAX($D$16,(E79)-(J35))))*(MAX($D$16,(E79)-(J35))),0.000001)*MAX(((((F35)+(H35)*(MAX($D$16,(E79)-(J35))))*(MAX($D$16,(E79)-(J35))))/MAX((F35)+2*(MAX($D$16,(E79)-(J35)))*SQRT(1+(H35)^2),0.000001))^(2/3),0.000001)))^2)+(((ABS(J79)*$D$6)/(MAX(((G35)+(I35)*(MAX($D$16,(N79)-(K35))))*(MAX($D$16,(N79)-(K35))),0.000001)*MAX(((((G35)+(I35)*(MAX($D$16,(N79)-(K35))))*(MAX($D$16,(N79)-(K35))))/MAX((G35)+2*(MAX($D$16,(N79)-(K35)))*SQRT(1+(I35)^2),0.000001))^(2/3),0.000001)))^2))/2)+(IF((ABS(J79)/MAX(((G35)+(I35)*(MAX($D$16,(N79)-(K35))))*(MAX($D$16,(N79)-(K35))),0.000001))&gt;(ABS(J79)/MAX(((F35)+(H35)*(MAX($D$16,(E79)-(J35))))*(MAX($D$16,(E79)-(J35))),0.000001)),$D$9*((((ABS(J79)/MAX(((G35)+(I35)*(MAX($D$16,(N79)-(K35))))*(MAX($D$16,(N79)-(K35))),0.000001))^2)/(2*$I$5))-(((ABS(J79)/MAX(((F35)+(H35)*(MAX($D$16,(E79)-(J35))))*(MAX($D$16,(E79)-(J35))),0.000001))^2)/(2*$I$5))),$D$8*((((ABS(J79)/MAX(((F35)+(H35)*(MAX($D$16,(E79)-(J35))))*(MAX($D$16,(E79)-(J35))),0.000001))^2)/(2*$I$5))-(((ABS(J79)/MAX(((G35)+(I35)*(MAX($D$16,(N79)-(K35))))*(MAX($D$16,(N79)-(K35))),0.000001))^2)/(2*$I$5)))))+($D$10*(ABS((X35)-(W35))/90)*MAX(((ABS(J79)/MAX(((F35)+(H35)*(MAX($D$16,(E79)-(J35))))*(MAX($D$16,(E79)-(J35))),0.000001))^2)/(2*$I$5),((ABS(J79)/MAX(((G35)+(I35)*(MAX($D$16,(N79)-(K35))))*(MAX($D$16,(N79)-(K35))),0.000001))^2)/(2*$I$5)))+(($D$11*0.34699541*(ABS(I79)/MAX(ABS(G79),0.000001))^2*MAX(((ABS(J79)/MAX(((F35)+(H35)*(MAX($D$16,(E79)-(J35))))*(MAX($D$16,(E79)-(J35))),0.000001))^2)/(2*$I$5),((ABS(J79)/MAX(((G35)+(I35)*(MAX($D$16,(N79)-(K35))))*(MAX($D$16,(N79)-(K35))),0.000001))^2)/(2*$I$5))))-((ABS(J79)/MAX(((F35)+(H35)*(MAX($D$16,(E79)-(J35))))*(MAX($D$16,(E79)-(J35))),0.000001))^2)/(2*$I$5)</f>
        <v>20784.033523923383</v>
      </c>
      <c r="U79">
        <f>(((((F32)*(MAX($D$16,(D79)-(J32)))^2)/2+(H32)*(MAX($D$16,(D79)-(J32)))^3/3+(ABS(G79)^2)/($I$5*MAX(((F32)+(H32)*(MAX($D$16,(D79)-(J32))))*(MAX($D$16,(D79)-(J32))),0.000001)))*0.72785025)-((((F33)*(MAX($D$16,(D79)-(J33)))^2)/2+(H33)*(MAX($D$16,(D79)-(J33)))^3/3+(ABS(H79)^2)/($I$5*MAX(((F33)+(H33)*(MAX($D$16,(D79)-(J33))))*(MAX($D$16,(D79)-(J33))),0.000001)))*0.99999971))/MAX(((G31)*(MAX($D$16,(D79)-(K31)))^2)/2+(I31)*(MAX($D$16,(D79)-(K31)))^3/3+(ABS(F79)^2)/($I$5*MAX(((G31)+(I31)*(MAX($D$16,(D79)-(K31))))*(MAX($D$16,(D79)-(K31))),0.000001)),0.000001)</f>
        <v>-0.27214945999991125</v>
      </c>
      <c r="V79">
        <f>(((((F34)*(MAX($D$16,(E79)-(J34)))^2)/2+(H34)*(MAX($D$16,(E79)-(J34)))^3/3+(ABS(I79)^2)/($I$5*MAX(((F34)+(H34)*(MAX($D$16,(E79)-(J34))))*(MAX($D$16,(E79)-(J34))),0.000001)))*1)-((((F35)*(MAX($D$16,(E79)-(J35)))^2)/2+(H35)*(MAX($D$16,(E79)-(J35)))^3/3+(ABS(J79)^2)/($I$5*MAX(((F35)+(H35)*(MAX($D$16,(E79)-(J35))))*(MAX($D$16,(E79)-(J35))),0.000001)))*0.30600918))/MAX(((G32)*(MAX($D$16,(E79)-(K32)))^2)/2+(I32)*(MAX($D$16,(E79)-(K32)))^3/3+(ABS(G79)^2)/($I$5*MAX(((G32)+(I32)*(MAX($D$16,(E79)-(K32))))*(MAX($D$16,(E79)-(K32))),0.000001)),0.000001)</f>
        <v>0.69398638937190393</v>
      </c>
      <c r="W79">
        <f>IF(N6="None",ABS(P79-D79),MAX(ABS(P79-D79),ABS(Q79-D79)))</f>
        <v>3.4197000786662102E-10</v>
      </c>
      <c r="X79">
        <f>IF(AND(N7="None",N8="None"),0,IF(N8="None",ABS(S79-E79),IF(N7="None",ABS(T79-E79),MAX(ABS(S79-E79),ABS(T79-E79)))))</f>
        <v>51796.641837658288</v>
      </c>
      <c r="AA79">
        <f t="shared" si="18"/>
        <v>52432.141837658615</v>
      </c>
      <c r="AB79">
        <f t="shared" si="19"/>
        <v>41355.30392785107</v>
      </c>
      <c r="AC79">
        <f>IF(N6="None",P79,MAX(P79,Q79))</f>
        <v>52432.141837658841</v>
      </c>
      <c r="AD79">
        <f>IF(AND(N7="None",N8="None"),E79,IF(N8="None",S79,IF(N7="None",T79,MAX(S79,T79))))</f>
        <v>20784.033523923383</v>
      </c>
      <c r="AE79">
        <f t="shared" si="20"/>
        <v>637.65825101089831</v>
      </c>
      <c r="AF79">
        <f t="shared" si="21"/>
        <v>52432.14183765863</v>
      </c>
      <c r="AG79">
        <f>((G31)*(MAX($D$16,(AC79)-(K31)))^2)/2+(I31)*(MAX($D$16,(AC79)-(K31)))^3/3+(ABS(F79)^2)/($I$5*MAX(((G31)+(I31)*(MAX($D$16,(AC79)-(K31))))*(MAX($D$16,(AC79)-(K31))),0.000001))</f>
        <v>8797611517.4105625</v>
      </c>
      <c r="AH79">
        <f>((G31)*(MAX($D$16,(AE79)-(K31)))^2)/2+(I31)*(MAX($D$16,(AE79)-(K31)))^3/3+(ABS(F79)^2)/($I$5*MAX(((G31)+(I31)*(MAX($D$16,(AE79)-(K31))))*(MAX($D$16,(AE79)-(K31))),0.000001))</f>
        <v>49.055863329575246</v>
      </c>
      <c r="AI79">
        <f>((G32)*(MAX($D$16,(AD79)-(K32)))^2)/2+(I32)*(MAX($D$16,(AD79)-(K32)))^3/3+(ABS(G79)^2)/($I$5*MAX(((G32)+(I32)*(MAX($D$16,(AD79)-(K32))))*(MAX($D$16,(AD79)-(K32))),0.000001))</f>
        <v>2072376743.6648321</v>
      </c>
      <c r="AJ79">
        <f>((G32)*(MAX($D$16,(AF79)-(K32)))^2)/2+(I32)*(MAX($D$16,(AF79)-(K32)))^3/3+(ABS(G79)^2)/($I$5*MAX(((G32)+(I32)*(MAX($D$16,(AF79)-(K32))))*(MAX($D$16,(AF79)-(K32))),0.000001))</f>
        <v>13692714789.642303</v>
      </c>
      <c r="AK79" t="str">
        <f t="shared" si="22"/>
        <v>Subcritical</v>
      </c>
      <c r="AL79" t="str">
        <f t="shared" si="23"/>
        <v>Supercritical</v>
      </c>
      <c r="AM79">
        <f t="shared" si="24"/>
        <v>52432.141837658615</v>
      </c>
      <c r="AN79">
        <f t="shared" si="25"/>
        <v>52432.141837658404</v>
      </c>
      <c r="AO79">
        <f t="shared" si="26"/>
        <v>3.4197000786662102E-10</v>
      </c>
      <c r="AP79">
        <f t="shared" si="27"/>
        <v>3.4197000786662102E-10</v>
      </c>
    </row>
    <row r="80" spans="1:42" x14ac:dyDescent="0.35">
      <c r="A80">
        <v>37</v>
      </c>
      <c r="B80">
        <f t="shared" si="28"/>
        <v>0</v>
      </c>
      <c r="C80">
        <f t="shared" si="29"/>
        <v>0</v>
      </c>
      <c r="D80">
        <f t="shared" si="30"/>
        <v>52432.141837658615</v>
      </c>
      <c r="E80">
        <f t="shared" si="31"/>
        <v>52432.141837658404</v>
      </c>
      <c r="F80">
        <f t="shared" si="17"/>
        <v>51</v>
      </c>
      <c r="G80">
        <f>IF(N6="None",F80,MAX(0,F80*B80))</f>
        <v>51</v>
      </c>
      <c r="H80">
        <f>IF(N6="None",0,MAX(0,F80-G80))</f>
        <v>0</v>
      </c>
      <c r="I80">
        <f>IF(AND(N7="None",N8="None"),0,IF(N8="None",G80,IF(N7="None",0,MAX(0,G80*C80))))</f>
        <v>0</v>
      </c>
      <c r="J80">
        <f>IF(AND(N7="None",N8="None"),0,IF(N8="None",0,IF(N7="None",G80,MAX(0,G80-I80))))</f>
        <v>51</v>
      </c>
      <c r="K80">
        <f>P5</f>
        <v>637</v>
      </c>
      <c r="L80">
        <f>P6</f>
        <v>634.3119999999999</v>
      </c>
      <c r="M80">
        <f>P7</f>
        <v>635.5</v>
      </c>
      <c r="N80">
        <f>P8</f>
        <v>631.54999999999995</v>
      </c>
      <c r="O80">
        <f>K80+((ABS(F80)/MAX(((F31)+(H31)*(MAX($D$16,(K80)-(J31))))*(MAX($D$16,(K80)-(J31))),0.000001))^2)/(2*$I$5)-((E31)*((((ABS(F80)*$D$6)/(MAX(((F31)+(H31)*(MAX($D$16,(K80)-(J31))))*(MAX($D$16,(K80)-(J31))),0.000001)*MAX(((((F31)+(H31)*(MAX($D$16,(K80)-(J31))))*(MAX($D$16,(K80)-(J31))))/MAX((F31)+2*(MAX($D$16,(K80)-(J31)))*SQRT(1+(H31)^2),0.000001))^(2/3),0.000001)))^2)+(((ABS(F80)*$D$6)/(MAX(((G31)+(I31)*(MAX($D$16,(D80)-(K31))))*(MAX($D$16,(D80)-(K31))),0.000001)*MAX(((((G31)+(I31)*(MAX($D$16,(D80)-(K31))))*(MAX($D$16,(D80)-(K31))))/MAX((G31)+2*(MAX($D$16,(D80)-(K31)))*SQRT(1+(I31)^2),0.000001))^(2/3),0.000001)))^2))/2)+(IF((ABS(F80)/MAX(((G31)+(I31)*(MAX($D$16,(D80)-(K31))))*(MAX($D$16,(D80)-(K31))),0.000001))&gt;(ABS(F80)/MAX(((F31)+(H31)*(MAX($D$16,(K80)-(J31))))*(MAX($D$16,(K80)-(J31))),0.000001)),$D$9*((((ABS(F80)/MAX(((G31)+(I31)*(MAX($D$16,(D80)-(K31))))*(MAX($D$16,(D80)-(K31))),0.000001))^2)/(2*$I$5))-(((ABS(F80)/MAX(((F31)+(H31)*(MAX($D$16,(K80)-(J31))))*(MAX($D$16,(K80)-(J31))),0.000001))^2)/(2*$I$5))),$D$8*((((ABS(F80)/MAX(((F31)+(H31)*(MAX($D$16,(K80)-(J31))))*(MAX($D$16,(K80)-(J31))),0.000001))^2)/(2*$I$5))-(((ABS(F80)/MAX(((G31)+(I31)*(MAX($D$16,(D80)-(K31))))*(MAX($D$16,(D80)-(K31))),0.000001))^2)/(2*$I$5)))))+($D$10*(ABS((X31)-(W31))/90)*MAX(((ABS(F80)/MAX(((F31)+(H31)*(MAX($D$16,(K80)-(J31))))*(MAX($D$16,(K80)-(J31))),0.000001))^2)/(2*$I$5),((ABS(F80)/MAX(((G31)+(I31)*(MAX($D$16,(D80)-(K31))))*(MAX($D$16,(D80)-(K31))),0.000001))^2)/(2*$I$5)))+(0)-((ABS(F80)/MAX(((G31)+(I31)*(MAX($D$16,(D80)-(K31))))*(MAX($D$16,(D80)-(K31))),0.000001))^2)/(2*$I$5)</f>
        <v>637.65825101089831</v>
      </c>
      <c r="P80">
        <f>E80+((ABS(G80)/MAX(((G32)+(I32)*(MAX($D$16,(E80)-(K32))))*(MAX($D$16,(E80)-(K32))),0.000001))^2)/(2*$I$5)+((E32)*((((ABS(G80)*$D$6)/(MAX(((F32)+(H32)*(MAX($D$16,(D80)-(J32))))*(MAX($D$16,(D80)-(J32))),0.000001)*MAX(((((F32)+(H32)*(MAX($D$16,(D80)-(J32))))*(MAX($D$16,(D80)-(J32))))/MAX((F32)+2*(MAX($D$16,(D80)-(J32)))*SQRT(1+(H32)^2),0.000001))^(2/3),0.000001)))^2)+(((ABS(G80)*$D$6)/(MAX(((G32)+(I32)*(MAX($D$16,(E80)-(K32))))*(MAX($D$16,(E80)-(K32))),0.000001)*MAX(((((G32)+(I32)*(MAX($D$16,(E80)-(K32))))*(MAX($D$16,(E80)-(K32))))/MAX((G32)+2*(MAX($D$16,(E80)-(K32)))*SQRT(1+(I32)^2),0.000001))^(2/3),0.000001)))^2))/2)+(IF((ABS(G80)/MAX(((G32)+(I32)*(MAX($D$16,(E80)-(K32))))*(MAX($D$16,(E80)-(K32))),0.000001))&gt;(ABS(G80)/MAX(((F32)+(H32)*(MAX($D$16,(D80)-(J32))))*(MAX($D$16,(D80)-(J32))),0.000001)),$D$9*((((ABS(G80)/MAX(((G32)+(I32)*(MAX($D$16,(E80)-(K32))))*(MAX($D$16,(E80)-(K32))),0.000001))^2)/(2*$I$5))-(((ABS(G80)/MAX(((F32)+(H32)*(MAX($D$16,(D80)-(J32))))*(MAX($D$16,(D80)-(J32))),0.000001))^2)/(2*$I$5))),$D$8*((((ABS(G80)/MAX(((F32)+(H32)*(MAX($D$16,(D80)-(J32))))*(MAX($D$16,(D80)-(J32))),0.000001))^2)/(2*$I$5))-(((ABS(G80)/MAX(((G32)+(I32)*(MAX($D$16,(E80)-(K32))))*(MAX($D$16,(E80)-(K32))),0.000001))^2)/(2*$I$5)))))+($D$10*(ABS((X32)-(W32))/90)*MAX(((ABS(G80)/MAX(((F32)+(H32)*(MAX($D$16,(D80)-(J32))))*(MAX($D$16,(D80)-(J32))),0.000001))^2)/(2*$I$5),((ABS(G80)/MAX(((G32)+(I32)*(MAX($D$16,(E80)-(K32))))*(MAX($D$16,(E80)-(K32))),0.000001))^2)/(2*$I$5)))+(($D$11*0.13607488*(ABS(H80)/MAX(ABS(F80),0.000001))^2*MAX(((ABS(G80)/MAX(((F32)+(H32)*(MAX($D$16,(D80)-(J32))))*(MAX($D$16,(D80)-(J32))),0.000001))^2)/(2*$I$5),((ABS(G80)/MAX(((G32)+(I32)*(MAX($D$16,(E80)-(K32))))*(MAX($D$16,(E80)-(K32))),0.000001))^2)/(2*$I$5))))-((ABS(G80)/MAX(((F32)+(H32)*(MAX($D$16,(D80)-(J32))))*(MAX($D$16,(D80)-(J32))),0.000001))^2)/(2*$I$5)</f>
        <v>52432.141837658957</v>
      </c>
      <c r="Q80">
        <f>L80+((ABS(H80)/MAX(((G33)+(I33)*(MAX($D$16,(L80)-(K33))))*(MAX($D$16,(L80)-(K33))),0.000001))^2)/(2*$I$5)+((E33)*((((ABS(H80)*$D$6)/(MAX(((F33)+(H33)*(MAX($D$16,(D80)-(J33))))*(MAX($D$16,(D80)-(J33))),0.000001)*MAX(((((F33)+(H33)*(MAX($D$16,(D80)-(J33))))*(MAX($D$16,(D80)-(J33))))/MAX((F33)+2*(MAX($D$16,(D80)-(J33)))*SQRT(1+(H33)^2),0.000001))^(2/3),0.000001)))^2)+(((ABS(H80)*$D$6)/(MAX(((G33)+(I33)*(MAX($D$16,(L80)-(K33))))*(MAX($D$16,(L80)-(K33))),0.000001)*MAX(((((G33)+(I33)*(MAX($D$16,(L80)-(K33))))*(MAX($D$16,(L80)-(K33))))/MAX((G33)+2*(MAX($D$16,(L80)-(K33)))*SQRT(1+(I33)^2),0.000001))^(2/3),0.000001)))^2))/2)+(IF((ABS(H80)/MAX(((G33)+(I33)*(MAX($D$16,(L80)-(K33))))*(MAX($D$16,(L80)-(K33))),0.000001))&gt;(ABS(H80)/MAX(((F33)+(H33)*(MAX($D$16,(D80)-(J33))))*(MAX($D$16,(D80)-(J33))),0.000001)),$D$9*((((ABS(H80)/MAX(((G33)+(I33)*(MAX($D$16,(L80)-(K33))))*(MAX($D$16,(L80)-(K33))),0.000001))^2)/(2*$I$5))-(((ABS(H80)/MAX(((F33)+(H33)*(MAX($D$16,(D80)-(J33))))*(MAX($D$16,(D80)-(J33))),0.000001))^2)/(2*$I$5))),$D$8*((((ABS(H80)/MAX(((F33)+(H33)*(MAX($D$16,(D80)-(J33))))*(MAX($D$16,(D80)-(J33))),0.000001))^2)/(2*$I$5))-(((ABS(H80)/MAX(((G33)+(I33)*(MAX($D$16,(L80)-(K33))))*(MAX($D$16,(L80)-(K33))),0.000001))^2)/(2*$I$5)))))+($D$10*(ABS((X33)-(W33))/90)*MAX(((ABS(H80)/MAX(((F33)+(H33)*(MAX($D$16,(D80)-(J33))))*(MAX($D$16,(D80)-(J33))),0.000001))^2)/(2*$I$5),((ABS(H80)/MAX(((G33)+(I33)*(MAX($D$16,(L80)-(K33))))*(MAX($D$16,(L80)-(K33))),0.000001))^2)/(2*$I$5)))+(($D$11*0.00000015*(ABS(G80)/MAX(ABS(F80),0.000001))^2*MAX(((ABS(H80)/MAX(((F33)+(H33)*(MAX($D$16,(D80)-(J33))))*(MAX($D$16,(D80)-(J33))),0.000001))^2)/(2*$I$5),((ABS(H80)/MAX(((G33)+(I33)*(MAX($D$16,(L80)-(K33))))*(MAX($D$16,(L80)-(K33))),0.000001))^2)/(2*$I$5))))-((ABS(H80)/MAX(((F33)+(H33)*(MAX($D$16,(D80)-(J33))))*(MAX($D$16,(D80)-(J33))),0.000001))^2)/(2*$I$5)</f>
        <v>634.3119999999999</v>
      </c>
      <c r="R80">
        <f>D80+((ABS(G80)/MAX(((F32)+(H32)*(MAX($D$16,(D80)-(J32))))*(MAX($D$16,(D80)-(J32))),0.000001))^2)/(2*$I$5)-((E32)*((((ABS(G80)*$D$6)/(MAX(((F32)+(H32)*(MAX($D$16,(D80)-(J32))))*(MAX($D$16,(D80)-(J32))),0.000001)*MAX(((((F32)+(H32)*(MAX($D$16,(D80)-(J32))))*(MAX($D$16,(D80)-(J32))))/MAX((F32)+2*(MAX($D$16,(D80)-(J32)))*SQRT(1+(H32)^2),0.000001))^(2/3),0.000001)))^2)+(((ABS(G80)*$D$6)/(MAX(((G32)+(I32)*(MAX($D$16,(E80)-(K32))))*(MAX($D$16,(E80)-(K32))),0.000001)*MAX(((((G32)+(I32)*(MAX($D$16,(E80)-(K32))))*(MAX($D$16,(E80)-(K32))))/MAX((G32)+2*(MAX($D$16,(E80)-(K32)))*SQRT(1+(I32)^2),0.000001))^(2/3),0.000001)))^2))/2)+(IF((ABS(G80)/MAX(((G32)+(I32)*(MAX($D$16,(E80)-(K32))))*(MAX($D$16,(E80)-(K32))),0.000001))&gt;(ABS(G80)/MAX(((F32)+(H32)*(MAX($D$16,(D80)-(J32))))*(MAX($D$16,(D80)-(J32))),0.000001)),$D$9*((((ABS(G80)/MAX(((G32)+(I32)*(MAX($D$16,(E80)-(K32))))*(MAX($D$16,(E80)-(K32))),0.000001))^2)/(2*$I$5))-(((ABS(G80)/MAX(((F32)+(H32)*(MAX($D$16,(D80)-(J32))))*(MAX($D$16,(D80)-(J32))),0.000001))^2)/(2*$I$5))),$D$8*((((ABS(G80)/MAX(((F32)+(H32)*(MAX($D$16,(D80)-(J32))))*(MAX($D$16,(D80)-(J32))),0.000001))^2)/(2*$I$5))-(((ABS(G80)/MAX(((G32)+(I32)*(MAX($D$16,(E80)-(K32))))*(MAX($D$16,(E80)-(K32))),0.000001))^2)/(2*$I$5)))))+($D$10*(ABS((X32)-(W32))/90)*MAX(((ABS(G80)/MAX(((F32)+(H32)*(MAX($D$16,(D80)-(J32))))*(MAX($D$16,(D80)-(J32))),0.000001))^2)/(2*$I$5),((ABS(G80)/MAX(((G32)+(I32)*(MAX($D$16,(E80)-(K32))))*(MAX($D$16,(E80)-(K32))),0.000001))^2)/(2*$I$5)))+(($D$11*0.13607488*(ABS(H80)/MAX(ABS(F80),0.000001))^2*MAX(((ABS(G80)/MAX(((F32)+(H32)*(MAX($D$16,(D80)-(J32))))*(MAX($D$16,(D80)-(J32))),0.000001))^2)/(2*$I$5),((ABS(G80)/MAX(((G32)+(I32)*(MAX($D$16,(E80)-(K32))))*(MAX($D$16,(E80)-(K32))),0.000001))^2)/(2*$I$5))))-((ABS(G80)/MAX(((G32)+(I32)*(MAX($D$16,(E80)-(K32))))*(MAX($D$16,(E80)-(K32))),0.000001))^2)/(2*$I$5)</f>
        <v>52432.141837658746</v>
      </c>
      <c r="S80">
        <f>M80+((ABS(I80)/MAX(((G34)+(I34)*(MAX($D$16,(M80)-(K34))))*(MAX($D$16,(M80)-(K34))),0.000001))^2)/(2*$I$5)+((E34)*((((ABS(I80)*$D$6)/(MAX(((F34)+(H34)*(MAX($D$16,(E80)-(J34))))*(MAX($D$16,(E80)-(J34))),0.000001)*MAX(((((F34)+(H34)*(MAX($D$16,(E80)-(J34))))*(MAX($D$16,(E80)-(J34))))/MAX((F34)+2*(MAX($D$16,(E80)-(J34)))*SQRT(1+(H34)^2),0.000001))^(2/3),0.000001)))^2)+(((ABS(I80)*$D$6)/(MAX(((G34)+(I34)*(MAX($D$16,(M80)-(K34))))*(MAX($D$16,(M80)-(K34))),0.000001)*MAX(((((G34)+(I34)*(MAX($D$16,(M80)-(K34))))*(MAX($D$16,(M80)-(K34))))/MAX((G34)+2*(MAX($D$16,(M80)-(K34)))*SQRT(1+(I34)^2),0.000001))^(2/3),0.000001)))^2))/2)+(IF((ABS(I80)/MAX(((G34)+(I34)*(MAX($D$16,(M80)-(K34))))*(MAX($D$16,(M80)-(K34))),0.000001))&gt;(ABS(I80)/MAX(((F34)+(H34)*(MAX($D$16,(E80)-(J34))))*(MAX($D$16,(E80)-(J34))),0.000001)),$D$9*((((ABS(I80)/MAX(((G34)+(I34)*(MAX($D$16,(M80)-(K34))))*(MAX($D$16,(M80)-(K34))),0.000001))^2)/(2*$I$5))-(((ABS(I80)/MAX(((F34)+(H34)*(MAX($D$16,(E80)-(J34))))*(MAX($D$16,(E80)-(J34))),0.000001))^2)/(2*$I$5))),$D$8*((((ABS(I80)/MAX(((F34)+(H34)*(MAX($D$16,(E80)-(J34))))*(MAX($D$16,(E80)-(J34))),0.000001))^2)/(2*$I$5))-(((ABS(I80)/MAX(((G34)+(I34)*(MAX($D$16,(M80)-(K34))))*(MAX($D$16,(M80)-(K34))),0.000001))^2)/(2*$I$5)))))+($D$10*(ABS((X34)-(W34))/90)*MAX(((ABS(I80)/MAX(((F34)+(H34)*(MAX($D$16,(E80)-(J34))))*(MAX($D$16,(E80)-(J34))),0.000001))^2)/(2*$I$5),((ABS(I80)/MAX(((G34)+(I34)*(MAX($D$16,(M80)-(K34))))*(MAX($D$16,(M80)-(K34))),0.000001))^2)/(2*$I$5)))+(0)-((ABS(I80)/MAX(((F34)+(H34)*(MAX($D$16,(E80)-(J34))))*(MAX($D$16,(E80)-(J34))),0.000001))^2)/(2*$I$5)</f>
        <v>635.5</v>
      </c>
      <c r="T80">
        <f>N80+((ABS(J80)/MAX(((G35)+(I35)*(MAX($D$16,(N80)-(K35))))*(MAX($D$16,(N80)-(K35))),0.000001))^2)/(2*$I$5)+((E35)*((((ABS(J80)*$D$6)/(MAX(((F35)+(H35)*(MAX($D$16,(E80)-(J35))))*(MAX($D$16,(E80)-(J35))),0.000001)*MAX(((((F35)+(H35)*(MAX($D$16,(E80)-(J35))))*(MAX($D$16,(E80)-(J35))))/MAX((F35)+2*(MAX($D$16,(E80)-(J35)))*SQRT(1+(H35)^2),0.000001))^(2/3),0.000001)))^2)+(((ABS(J80)*$D$6)/(MAX(((G35)+(I35)*(MAX($D$16,(N80)-(K35))))*(MAX($D$16,(N80)-(K35))),0.000001)*MAX(((((G35)+(I35)*(MAX($D$16,(N80)-(K35))))*(MAX($D$16,(N80)-(K35))))/MAX((G35)+2*(MAX($D$16,(N80)-(K35)))*SQRT(1+(I35)^2),0.000001))^(2/3),0.000001)))^2))/2)+(IF((ABS(J80)/MAX(((G35)+(I35)*(MAX($D$16,(N80)-(K35))))*(MAX($D$16,(N80)-(K35))),0.000001))&gt;(ABS(J80)/MAX(((F35)+(H35)*(MAX($D$16,(E80)-(J35))))*(MAX($D$16,(E80)-(J35))),0.000001)),$D$9*((((ABS(J80)/MAX(((G35)+(I35)*(MAX($D$16,(N80)-(K35))))*(MAX($D$16,(N80)-(K35))),0.000001))^2)/(2*$I$5))-(((ABS(J80)/MAX(((F35)+(H35)*(MAX($D$16,(E80)-(J35))))*(MAX($D$16,(E80)-(J35))),0.000001))^2)/(2*$I$5))),$D$8*((((ABS(J80)/MAX(((F35)+(H35)*(MAX($D$16,(E80)-(J35))))*(MAX($D$16,(E80)-(J35))),0.000001))^2)/(2*$I$5))-(((ABS(J80)/MAX(((G35)+(I35)*(MAX($D$16,(N80)-(K35))))*(MAX($D$16,(N80)-(K35))),0.000001))^2)/(2*$I$5)))))+($D$10*(ABS((X35)-(W35))/90)*MAX(((ABS(J80)/MAX(((F35)+(H35)*(MAX($D$16,(E80)-(J35))))*(MAX($D$16,(E80)-(J35))),0.000001))^2)/(2*$I$5),((ABS(J80)/MAX(((G35)+(I35)*(MAX($D$16,(N80)-(K35))))*(MAX($D$16,(N80)-(K35))),0.000001))^2)/(2*$I$5)))+(($D$11*0.34699541*(ABS(I80)/MAX(ABS(G80),0.000001))^2*MAX(((ABS(J80)/MAX(((F35)+(H35)*(MAX($D$16,(E80)-(J35))))*(MAX($D$16,(E80)-(J35))),0.000001))^2)/(2*$I$5),((ABS(J80)/MAX(((G35)+(I35)*(MAX($D$16,(N80)-(K35))))*(MAX($D$16,(N80)-(K35))),0.000001))^2)/(2*$I$5))))-((ABS(J80)/MAX(((F35)+(H35)*(MAX($D$16,(E80)-(J35))))*(MAX($D$16,(E80)-(J35))),0.000001))^2)/(2*$I$5)</f>
        <v>20784.033523923383</v>
      </c>
      <c r="U80">
        <f>(((((F32)*(MAX($D$16,(D80)-(J32)))^2)/2+(H32)*(MAX($D$16,(D80)-(J32)))^3/3+(ABS(G80)^2)/($I$5*MAX(((F32)+(H32)*(MAX($D$16,(D80)-(J32))))*(MAX($D$16,(D80)-(J32))),0.000001)))*0.72785025)-((((F33)*(MAX($D$16,(D80)-(J33)))^2)/2+(H33)*(MAX($D$16,(D80)-(J33)))^3/3+(ABS(H80)^2)/($I$5*MAX(((F33)+(H33)*(MAX($D$16,(D80)-(J33))))*(MAX($D$16,(D80)-(J33))),0.000001)))*0.99999971))/MAX(((G31)*(MAX($D$16,(D80)-(K31)))^2)/2+(I31)*(MAX($D$16,(D80)-(K31)))^3/3+(ABS(F80)^2)/($I$5*MAX(((G31)+(I31)*(MAX($D$16,(D80)-(K31))))*(MAX($D$16,(D80)-(K31))),0.000001)),0.000001)</f>
        <v>-0.27214945999991119</v>
      </c>
      <c r="V80">
        <f>(((((F34)*(MAX($D$16,(E80)-(J34)))^2)/2+(H34)*(MAX($D$16,(E80)-(J34)))^3/3+(ABS(I80)^2)/($I$5*MAX(((F34)+(H34)*(MAX($D$16,(E80)-(J34))))*(MAX($D$16,(E80)-(J34))),0.000001)))*1)-((((F35)*(MAX($D$16,(E80)-(J35)))^2)/2+(H35)*(MAX($D$16,(E80)-(J35)))^3/3+(ABS(J80)^2)/($I$5*MAX(((F35)+(H35)*(MAX($D$16,(E80)-(J35))))*(MAX($D$16,(E80)-(J35))),0.000001)))*0.30600918))/MAX(((G32)*(MAX($D$16,(E80)-(K32)))^2)/2+(I32)*(MAX($D$16,(E80)-(K32)))^3/3+(ABS(G80)^2)/($I$5*MAX(((G32)+(I32)*(MAX($D$16,(E80)-(K32))))*(MAX($D$16,(E80)-(K32))),0.000001)),0.000001)</f>
        <v>0.69398638937190393</v>
      </c>
      <c r="W80">
        <f>IF(N6="None",ABS(P80-D80),MAX(ABS(P80-D80),ABS(Q80-D80)))</f>
        <v>3.4197000786662102E-10</v>
      </c>
      <c r="X80">
        <f>IF(AND(N7="None",N8="None"),0,IF(N8="None",ABS(S80-E80),IF(N7="None",ABS(T80-E80),MAX(ABS(S80-E80),ABS(T80-E80)))))</f>
        <v>51796.641837658404</v>
      </c>
      <c r="AA80">
        <f t="shared" si="18"/>
        <v>52432.141837658732</v>
      </c>
      <c r="AB80">
        <f t="shared" si="19"/>
        <v>41355.30392785115</v>
      </c>
      <c r="AC80">
        <f>IF(N6="None",P80,MAX(P80,Q80))</f>
        <v>52432.141837658957</v>
      </c>
      <c r="AD80">
        <f>IF(AND(N7="None",N8="None"),E80,IF(N8="None",S80,IF(N7="None",T80,MAX(S80,T80))))</f>
        <v>20784.033523923383</v>
      </c>
      <c r="AE80">
        <f t="shared" si="20"/>
        <v>637.65825101089831</v>
      </c>
      <c r="AF80">
        <f t="shared" si="21"/>
        <v>52432.141837658746</v>
      </c>
      <c r="AG80">
        <f>((G31)*(MAX($D$16,(AC80)-(K31)))^2)/2+(I31)*(MAX($D$16,(AC80)-(K31)))^3/3+(ABS(F80)^2)/($I$5*MAX(((G31)+(I31)*(MAX($D$16,(AC80)-(K31))))*(MAX($D$16,(AC80)-(K31))),0.000001))</f>
        <v>8797611517.4106007</v>
      </c>
      <c r="AH80">
        <f>((G31)*(MAX($D$16,(AE80)-(K31)))^2)/2+(I31)*(MAX($D$16,(AE80)-(K31)))^3/3+(ABS(F80)^2)/($I$5*MAX(((G31)+(I31)*(MAX($D$16,(AE80)-(K31))))*(MAX($D$16,(AE80)-(K31))),0.000001))</f>
        <v>49.055863329575246</v>
      </c>
      <c r="AI80">
        <f>((G32)*(MAX($D$16,(AD80)-(K32)))^2)/2+(I32)*(MAX($D$16,(AD80)-(K32)))^3/3+(ABS(G80)^2)/($I$5*MAX(((G32)+(I32)*(MAX($D$16,(AD80)-(K32))))*(MAX($D$16,(AD80)-(K32))),0.000001))</f>
        <v>2072376743.6648321</v>
      </c>
      <c r="AJ80">
        <f>((G32)*(MAX($D$16,(AF80)-(K32)))^2)/2+(I32)*(MAX($D$16,(AF80)-(K32)))^3/3+(ABS(G80)^2)/($I$5*MAX(((G32)+(I32)*(MAX($D$16,(AF80)-(K32))))*(MAX($D$16,(AF80)-(K32))),0.000001))</f>
        <v>13692714789.642366</v>
      </c>
      <c r="AK80" t="str">
        <f t="shared" si="22"/>
        <v>Subcritical</v>
      </c>
      <c r="AL80" t="str">
        <f t="shared" si="23"/>
        <v>Supercritical</v>
      </c>
      <c r="AM80">
        <f t="shared" si="24"/>
        <v>52432.141837658732</v>
      </c>
      <c r="AN80">
        <f t="shared" si="25"/>
        <v>52432.141837658521</v>
      </c>
      <c r="AO80">
        <f t="shared" si="26"/>
        <v>3.4197000786662102E-10</v>
      </c>
      <c r="AP80">
        <f t="shared" si="27"/>
        <v>3.4197000786662102E-10</v>
      </c>
    </row>
    <row r="81" spans="1:42" x14ac:dyDescent="0.35">
      <c r="A81">
        <v>38</v>
      </c>
      <c r="B81">
        <f t="shared" si="28"/>
        <v>0</v>
      </c>
      <c r="C81">
        <f t="shared" si="29"/>
        <v>0</v>
      </c>
      <c r="D81">
        <f t="shared" si="30"/>
        <v>52432.141837658732</v>
      </c>
      <c r="E81">
        <f t="shared" si="31"/>
        <v>52432.141837658521</v>
      </c>
      <c r="F81">
        <f t="shared" si="17"/>
        <v>51</v>
      </c>
      <c r="G81">
        <f>IF(N6="None",F81,MAX(0,F81*B81))</f>
        <v>51</v>
      </c>
      <c r="H81">
        <f>IF(N6="None",0,MAX(0,F81-G81))</f>
        <v>0</v>
      </c>
      <c r="I81">
        <f>IF(AND(N7="None",N8="None"),0,IF(N8="None",G81,IF(N7="None",0,MAX(0,G81*C81))))</f>
        <v>0</v>
      </c>
      <c r="J81">
        <f>IF(AND(N7="None",N8="None"),0,IF(N8="None",0,IF(N7="None",G81,MAX(0,G81-I81))))</f>
        <v>51</v>
      </c>
      <c r="K81">
        <f>P5</f>
        <v>637</v>
      </c>
      <c r="L81">
        <f>P6</f>
        <v>634.3119999999999</v>
      </c>
      <c r="M81">
        <f>P7</f>
        <v>635.5</v>
      </c>
      <c r="N81">
        <f>P8</f>
        <v>631.54999999999995</v>
      </c>
      <c r="O81">
        <f>K81+((ABS(F81)/MAX(((F31)+(H31)*(MAX($D$16,(K81)-(J31))))*(MAX($D$16,(K81)-(J31))),0.000001))^2)/(2*$I$5)-((E31)*((((ABS(F81)*$D$6)/(MAX(((F31)+(H31)*(MAX($D$16,(K81)-(J31))))*(MAX($D$16,(K81)-(J31))),0.000001)*MAX(((((F31)+(H31)*(MAX($D$16,(K81)-(J31))))*(MAX($D$16,(K81)-(J31))))/MAX((F31)+2*(MAX($D$16,(K81)-(J31)))*SQRT(1+(H31)^2),0.000001))^(2/3),0.000001)))^2)+(((ABS(F81)*$D$6)/(MAX(((G31)+(I31)*(MAX($D$16,(D81)-(K31))))*(MAX($D$16,(D81)-(K31))),0.000001)*MAX(((((G31)+(I31)*(MAX($D$16,(D81)-(K31))))*(MAX($D$16,(D81)-(K31))))/MAX((G31)+2*(MAX($D$16,(D81)-(K31)))*SQRT(1+(I31)^2),0.000001))^(2/3),0.000001)))^2))/2)+(IF((ABS(F81)/MAX(((G31)+(I31)*(MAX($D$16,(D81)-(K31))))*(MAX($D$16,(D81)-(K31))),0.000001))&gt;(ABS(F81)/MAX(((F31)+(H31)*(MAX($D$16,(K81)-(J31))))*(MAX($D$16,(K81)-(J31))),0.000001)),$D$9*((((ABS(F81)/MAX(((G31)+(I31)*(MAX($D$16,(D81)-(K31))))*(MAX($D$16,(D81)-(K31))),0.000001))^2)/(2*$I$5))-(((ABS(F81)/MAX(((F31)+(H31)*(MAX($D$16,(K81)-(J31))))*(MAX($D$16,(K81)-(J31))),0.000001))^2)/(2*$I$5))),$D$8*((((ABS(F81)/MAX(((F31)+(H31)*(MAX($D$16,(K81)-(J31))))*(MAX($D$16,(K81)-(J31))),0.000001))^2)/(2*$I$5))-(((ABS(F81)/MAX(((G31)+(I31)*(MAX($D$16,(D81)-(K31))))*(MAX($D$16,(D81)-(K31))),0.000001))^2)/(2*$I$5)))))+($D$10*(ABS((X31)-(W31))/90)*MAX(((ABS(F81)/MAX(((F31)+(H31)*(MAX($D$16,(K81)-(J31))))*(MAX($D$16,(K81)-(J31))),0.000001))^2)/(2*$I$5),((ABS(F81)/MAX(((G31)+(I31)*(MAX($D$16,(D81)-(K31))))*(MAX($D$16,(D81)-(K31))),0.000001))^2)/(2*$I$5)))+(0)-((ABS(F81)/MAX(((G31)+(I31)*(MAX($D$16,(D81)-(K31))))*(MAX($D$16,(D81)-(K31))),0.000001))^2)/(2*$I$5)</f>
        <v>637.65825101089831</v>
      </c>
      <c r="P81">
        <f>E81+((ABS(G81)/MAX(((G32)+(I32)*(MAX($D$16,(E81)-(K32))))*(MAX($D$16,(E81)-(K32))),0.000001))^2)/(2*$I$5)+((E32)*((((ABS(G81)*$D$6)/(MAX(((F32)+(H32)*(MAX($D$16,(D81)-(J32))))*(MAX($D$16,(D81)-(J32))),0.000001)*MAX(((((F32)+(H32)*(MAX($D$16,(D81)-(J32))))*(MAX($D$16,(D81)-(J32))))/MAX((F32)+2*(MAX($D$16,(D81)-(J32)))*SQRT(1+(H32)^2),0.000001))^(2/3),0.000001)))^2)+(((ABS(G81)*$D$6)/(MAX(((G32)+(I32)*(MAX($D$16,(E81)-(K32))))*(MAX($D$16,(E81)-(K32))),0.000001)*MAX(((((G32)+(I32)*(MAX($D$16,(E81)-(K32))))*(MAX($D$16,(E81)-(K32))))/MAX((G32)+2*(MAX($D$16,(E81)-(K32)))*SQRT(1+(I32)^2),0.000001))^(2/3),0.000001)))^2))/2)+(IF((ABS(G81)/MAX(((G32)+(I32)*(MAX($D$16,(E81)-(K32))))*(MAX($D$16,(E81)-(K32))),0.000001))&gt;(ABS(G81)/MAX(((F32)+(H32)*(MAX($D$16,(D81)-(J32))))*(MAX($D$16,(D81)-(J32))),0.000001)),$D$9*((((ABS(G81)/MAX(((G32)+(I32)*(MAX($D$16,(E81)-(K32))))*(MAX($D$16,(E81)-(K32))),0.000001))^2)/(2*$I$5))-(((ABS(G81)/MAX(((F32)+(H32)*(MAX($D$16,(D81)-(J32))))*(MAX($D$16,(D81)-(J32))),0.000001))^2)/(2*$I$5))),$D$8*((((ABS(G81)/MAX(((F32)+(H32)*(MAX($D$16,(D81)-(J32))))*(MAX($D$16,(D81)-(J32))),0.000001))^2)/(2*$I$5))-(((ABS(G81)/MAX(((G32)+(I32)*(MAX($D$16,(E81)-(K32))))*(MAX($D$16,(E81)-(K32))),0.000001))^2)/(2*$I$5)))))+($D$10*(ABS((X32)-(W32))/90)*MAX(((ABS(G81)/MAX(((F32)+(H32)*(MAX($D$16,(D81)-(J32))))*(MAX($D$16,(D81)-(J32))),0.000001))^2)/(2*$I$5),((ABS(G81)/MAX(((G32)+(I32)*(MAX($D$16,(E81)-(K32))))*(MAX($D$16,(E81)-(K32))),0.000001))^2)/(2*$I$5)))+(($D$11*0.13607488*(ABS(H81)/MAX(ABS(F81),0.000001))^2*MAX(((ABS(G81)/MAX(((F32)+(H32)*(MAX($D$16,(D81)-(J32))))*(MAX($D$16,(D81)-(J32))),0.000001))^2)/(2*$I$5),((ABS(G81)/MAX(((G32)+(I32)*(MAX($D$16,(E81)-(K32))))*(MAX($D$16,(E81)-(K32))),0.000001))^2)/(2*$I$5))))-((ABS(G81)/MAX(((F32)+(H32)*(MAX($D$16,(D81)-(J32))))*(MAX($D$16,(D81)-(J32))),0.000001))^2)/(2*$I$5)</f>
        <v>52432.141837659074</v>
      </c>
      <c r="Q81">
        <f>L81+((ABS(H81)/MAX(((G33)+(I33)*(MAX($D$16,(L81)-(K33))))*(MAX($D$16,(L81)-(K33))),0.000001))^2)/(2*$I$5)+((E33)*((((ABS(H81)*$D$6)/(MAX(((F33)+(H33)*(MAX($D$16,(D81)-(J33))))*(MAX($D$16,(D81)-(J33))),0.000001)*MAX(((((F33)+(H33)*(MAX($D$16,(D81)-(J33))))*(MAX($D$16,(D81)-(J33))))/MAX((F33)+2*(MAX($D$16,(D81)-(J33)))*SQRT(1+(H33)^2),0.000001))^(2/3),0.000001)))^2)+(((ABS(H81)*$D$6)/(MAX(((G33)+(I33)*(MAX($D$16,(L81)-(K33))))*(MAX($D$16,(L81)-(K33))),0.000001)*MAX(((((G33)+(I33)*(MAX($D$16,(L81)-(K33))))*(MAX($D$16,(L81)-(K33))))/MAX((G33)+2*(MAX($D$16,(L81)-(K33)))*SQRT(1+(I33)^2),0.000001))^(2/3),0.000001)))^2))/2)+(IF((ABS(H81)/MAX(((G33)+(I33)*(MAX($D$16,(L81)-(K33))))*(MAX($D$16,(L81)-(K33))),0.000001))&gt;(ABS(H81)/MAX(((F33)+(H33)*(MAX($D$16,(D81)-(J33))))*(MAX($D$16,(D81)-(J33))),0.000001)),$D$9*((((ABS(H81)/MAX(((G33)+(I33)*(MAX($D$16,(L81)-(K33))))*(MAX($D$16,(L81)-(K33))),0.000001))^2)/(2*$I$5))-(((ABS(H81)/MAX(((F33)+(H33)*(MAX($D$16,(D81)-(J33))))*(MAX($D$16,(D81)-(J33))),0.000001))^2)/(2*$I$5))),$D$8*((((ABS(H81)/MAX(((F33)+(H33)*(MAX($D$16,(D81)-(J33))))*(MAX($D$16,(D81)-(J33))),0.000001))^2)/(2*$I$5))-(((ABS(H81)/MAX(((G33)+(I33)*(MAX($D$16,(L81)-(K33))))*(MAX($D$16,(L81)-(K33))),0.000001))^2)/(2*$I$5)))))+($D$10*(ABS((X33)-(W33))/90)*MAX(((ABS(H81)/MAX(((F33)+(H33)*(MAX($D$16,(D81)-(J33))))*(MAX($D$16,(D81)-(J33))),0.000001))^2)/(2*$I$5),((ABS(H81)/MAX(((G33)+(I33)*(MAX($D$16,(L81)-(K33))))*(MAX($D$16,(L81)-(K33))),0.000001))^2)/(2*$I$5)))+(($D$11*0.00000015*(ABS(G81)/MAX(ABS(F81),0.000001))^2*MAX(((ABS(H81)/MAX(((F33)+(H33)*(MAX($D$16,(D81)-(J33))))*(MAX($D$16,(D81)-(J33))),0.000001))^2)/(2*$I$5),((ABS(H81)/MAX(((G33)+(I33)*(MAX($D$16,(L81)-(K33))))*(MAX($D$16,(L81)-(K33))),0.000001))^2)/(2*$I$5))))-((ABS(H81)/MAX(((F33)+(H33)*(MAX($D$16,(D81)-(J33))))*(MAX($D$16,(D81)-(J33))),0.000001))^2)/(2*$I$5)</f>
        <v>634.3119999999999</v>
      </c>
      <c r="R81">
        <f>D81+((ABS(G81)/MAX(((F32)+(H32)*(MAX($D$16,(D81)-(J32))))*(MAX($D$16,(D81)-(J32))),0.000001))^2)/(2*$I$5)-((E32)*((((ABS(G81)*$D$6)/(MAX(((F32)+(H32)*(MAX($D$16,(D81)-(J32))))*(MAX($D$16,(D81)-(J32))),0.000001)*MAX(((((F32)+(H32)*(MAX($D$16,(D81)-(J32))))*(MAX($D$16,(D81)-(J32))))/MAX((F32)+2*(MAX($D$16,(D81)-(J32)))*SQRT(1+(H32)^2),0.000001))^(2/3),0.000001)))^2)+(((ABS(G81)*$D$6)/(MAX(((G32)+(I32)*(MAX($D$16,(E81)-(K32))))*(MAX($D$16,(E81)-(K32))),0.000001)*MAX(((((G32)+(I32)*(MAX($D$16,(E81)-(K32))))*(MAX($D$16,(E81)-(K32))))/MAX((G32)+2*(MAX($D$16,(E81)-(K32)))*SQRT(1+(I32)^2),0.000001))^(2/3),0.000001)))^2))/2)+(IF((ABS(G81)/MAX(((G32)+(I32)*(MAX($D$16,(E81)-(K32))))*(MAX($D$16,(E81)-(K32))),0.000001))&gt;(ABS(G81)/MAX(((F32)+(H32)*(MAX($D$16,(D81)-(J32))))*(MAX($D$16,(D81)-(J32))),0.000001)),$D$9*((((ABS(G81)/MAX(((G32)+(I32)*(MAX($D$16,(E81)-(K32))))*(MAX($D$16,(E81)-(K32))),0.000001))^2)/(2*$I$5))-(((ABS(G81)/MAX(((F32)+(H32)*(MAX($D$16,(D81)-(J32))))*(MAX($D$16,(D81)-(J32))),0.000001))^2)/(2*$I$5))),$D$8*((((ABS(G81)/MAX(((F32)+(H32)*(MAX($D$16,(D81)-(J32))))*(MAX($D$16,(D81)-(J32))),0.000001))^2)/(2*$I$5))-(((ABS(G81)/MAX(((G32)+(I32)*(MAX($D$16,(E81)-(K32))))*(MAX($D$16,(E81)-(K32))),0.000001))^2)/(2*$I$5)))))+($D$10*(ABS((X32)-(W32))/90)*MAX(((ABS(G81)/MAX(((F32)+(H32)*(MAX($D$16,(D81)-(J32))))*(MAX($D$16,(D81)-(J32))),0.000001))^2)/(2*$I$5),((ABS(G81)/MAX(((G32)+(I32)*(MAX($D$16,(E81)-(K32))))*(MAX($D$16,(E81)-(K32))),0.000001))^2)/(2*$I$5)))+(($D$11*0.13607488*(ABS(H81)/MAX(ABS(F81),0.000001))^2*MAX(((ABS(G81)/MAX(((F32)+(H32)*(MAX($D$16,(D81)-(J32))))*(MAX($D$16,(D81)-(J32))),0.000001))^2)/(2*$I$5),((ABS(G81)/MAX(((G32)+(I32)*(MAX($D$16,(E81)-(K32))))*(MAX($D$16,(E81)-(K32))),0.000001))^2)/(2*$I$5))))-((ABS(G81)/MAX(((G32)+(I32)*(MAX($D$16,(E81)-(K32))))*(MAX($D$16,(E81)-(K32))),0.000001))^2)/(2*$I$5)</f>
        <v>52432.141837658863</v>
      </c>
      <c r="S81">
        <f>M81+((ABS(I81)/MAX(((G34)+(I34)*(MAX($D$16,(M81)-(K34))))*(MAX($D$16,(M81)-(K34))),0.000001))^2)/(2*$I$5)+((E34)*((((ABS(I81)*$D$6)/(MAX(((F34)+(H34)*(MAX($D$16,(E81)-(J34))))*(MAX($D$16,(E81)-(J34))),0.000001)*MAX(((((F34)+(H34)*(MAX($D$16,(E81)-(J34))))*(MAX($D$16,(E81)-(J34))))/MAX((F34)+2*(MAX($D$16,(E81)-(J34)))*SQRT(1+(H34)^2),0.000001))^(2/3),0.000001)))^2)+(((ABS(I81)*$D$6)/(MAX(((G34)+(I34)*(MAX($D$16,(M81)-(K34))))*(MAX($D$16,(M81)-(K34))),0.000001)*MAX(((((G34)+(I34)*(MAX($D$16,(M81)-(K34))))*(MAX($D$16,(M81)-(K34))))/MAX((G34)+2*(MAX($D$16,(M81)-(K34)))*SQRT(1+(I34)^2),0.000001))^(2/3),0.000001)))^2))/2)+(IF((ABS(I81)/MAX(((G34)+(I34)*(MAX($D$16,(M81)-(K34))))*(MAX($D$16,(M81)-(K34))),0.000001))&gt;(ABS(I81)/MAX(((F34)+(H34)*(MAX($D$16,(E81)-(J34))))*(MAX($D$16,(E81)-(J34))),0.000001)),$D$9*((((ABS(I81)/MAX(((G34)+(I34)*(MAX($D$16,(M81)-(K34))))*(MAX($D$16,(M81)-(K34))),0.000001))^2)/(2*$I$5))-(((ABS(I81)/MAX(((F34)+(H34)*(MAX($D$16,(E81)-(J34))))*(MAX($D$16,(E81)-(J34))),0.000001))^2)/(2*$I$5))),$D$8*((((ABS(I81)/MAX(((F34)+(H34)*(MAX($D$16,(E81)-(J34))))*(MAX($D$16,(E81)-(J34))),0.000001))^2)/(2*$I$5))-(((ABS(I81)/MAX(((G34)+(I34)*(MAX($D$16,(M81)-(K34))))*(MAX($D$16,(M81)-(K34))),0.000001))^2)/(2*$I$5)))))+($D$10*(ABS((X34)-(W34))/90)*MAX(((ABS(I81)/MAX(((F34)+(H34)*(MAX($D$16,(E81)-(J34))))*(MAX($D$16,(E81)-(J34))),0.000001))^2)/(2*$I$5),((ABS(I81)/MAX(((G34)+(I34)*(MAX($D$16,(M81)-(K34))))*(MAX($D$16,(M81)-(K34))),0.000001))^2)/(2*$I$5)))+(0)-((ABS(I81)/MAX(((F34)+(H34)*(MAX($D$16,(E81)-(J34))))*(MAX($D$16,(E81)-(J34))),0.000001))^2)/(2*$I$5)</f>
        <v>635.5</v>
      </c>
      <c r="T81">
        <f>N81+((ABS(J81)/MAX(((G35)+(I35)*(MAX($D$16,(N81)-(K35))))*(MAX($D$16,(N81)-(K35))),0.000001))^2)/(2*$I$5)+((E35)*((((ABS(J81)*$D$6)/(MAX(((F35)+(H35)*(MAX($D$16,(E81)-(J35))))*(MAX($D$16,(E81)-(J35))),0.000001)*MAX(((((F35)+(H35)*(MAX($D$16,(E81)-(J35))))*(MAX($D$16,(E81)-(J35))))/MAX((F35)+2*(MAX($D$16,(E81)-(J35)))*SQRT(1+(H35)^2),0.000001))^(2/3),0.000001)))^2)+(((ABS(J81)*$D$6)/(MAX(((G35)+(I35)*(MAX($D$16,(N81)-(K35))))*(MAX($D$16,(N81)-(K35))),0.000001)*MAX(((((G35)+(I35)*(MAX($D$16,(N81)-(K35))))*(MAX($D$16,(N81)-(K35))))/MAX((G35)+2*(MAX($D$16,(N81)-(K35)))*SQRT(1+(I35)^2),0.000001))^(2/3),0.000001)))^2))/2)+(IF((ABS(J81)/MAX(((G35)+(I35)*(MAX($D$16,(N81)-(K35))))*(MAX($D$16,(N81)-(K35))),0.000001))&gt;(ABS(J81)/MAX(((F35)+(H35)*(MAX($D$16,(E81)-(J35))))*(MAX($D$16,(E81)-(J35))),0.000001)),$D$9*((((ABS(J81)/MAX(((G35)+(I35)*(MAX($D$16,(N81)-(K35))))*(MAX($D$16,(N81)-(K35))),0.000001))^2)/(2*$I$5))-(((ABS(J81)/MAX(((F35)+(H35)*(MAX($D$16,(E81)-(J35))))*(MAX($D$16,(E81)-(J35))),0.000001))^2)/(2*$I$5))),$D$8*((((ABS(J81)/MAX(((F35)+(H35)*(MAX($D$16,(E81)-(J35))))*(MAX($D$16,(E81)-(J35))),0.000001))^2)/(2*$I$5))-(((ABS(J81)/MAX(((G35)+(I35)*(MAX($D$16,(N81)-(K35))))*(MAX($D$16,(N81)-(K35))),0.000001))^2)/(2*$I$5)))))+($D$10*(ABS((X35)-(W35))/90)*MAX(((ABS(J81)/MAX(((F35)+(H35)*(MAX($D$16,(E81)-(J35))))*(MAX($D$16,(E81)-(J35))),0.000001))^2)/(2*$I$5),((ABS(J81)/MAX(((G35)+(I35)*(MAX($D$16,(N81)-(K35))))*(MAX($D$16,(N81)-(K35))),0.000001))^2)/(2*$I$5)))+(($D$11*0.34699541*(ABS(I81)/MAX(ABS(G81),0.000001))^2*MAX(((ABS(J81)/MAX(((F35)+(H35)*(MAX($D$16,(E81)-(J35))))*(MAX($D$16,(E81)-(J35))),0.000001))^2)/(2*$I$5),((ABS(J81)/MAX(((G35)+(I35)*(MAX($D$16,(N81)-(K35))))*(MAX($D$16,(N81)-(K35))),0.000001))^2)/(2*$I$5))))-((ABS(J81)/MAX(((F35)+(H35)*(MAX($D$16,(E81)-(J35))))*(MAX($D$16,(E81)-(J35))),0.000001))^2)/(2*$I$5)</f>
        <v>20784.033523923383</v>
      </c>
      <c r="U81">
        <f>(((((F32)*(MAX($D$16,(D81)-(J32)))^2)/2+(H32)*(MAX($D$16,(D81)-(J32)))^3/3+(ABS(G81)^2)/($I$5*MAX(((F32)+(H32)*(MAX($D$16,(D81)-(J32))))*(MAX($D$16,(D81)-(J32))),0.000001)))*0.72785025)-((((F33)*(MAX($D$16,(D81)-(J33)))^2)/2+(H33)*(MAX($D$16,(D81)-(J33)))^3/3+(ABS(H81)^2)/($I$5*MAX(((F33)+(H33)*(MAX($D$16,(D81)-(J33))))*(MAX($D$16,(D81)-(J33))),0.000001)))*0.99999971))/MAX(((G31)*(MAX($D$16,(D81)-(K31)))^2)/2+(I31)*(MAX($D$16,(D81)-(K31)))^3/3+(ABS(F81)^2)/($I$5*MAX(((G31)+(I31)*(MAX($D$16,(D81)-(K31))))*(MAX($D$16,(D81)-(K31))),0.000001)),0.000001)</f>
        <v>-0.27214945999991119</v>
      </c>
      <c r="V81">
        <f>(((((F34)*(MAX($D$16,(E81)-(J34)))^2)/2+(H34)*(MAX($D$16,(E81)-(J34)))^3/3+(ABS(I81)^2)/($I$5*MAX(((F34)+(H34)*(MAX($D$16,(E81)-(J34))))*(MAX($D$16,(E81)-(J34))),0.000001)))*1)-((((F35)*(MAX($D$16,(E81)-(J35)))^2)/2+(H35)*(MAX($D$16,(E81)-(J35)))^3/3+(ABS(J81)^2)/($I$5*MAX(((F35)+(H35)*(MAX($D$16,(E81)-(J35))))*(MAX($D$16,(E81)-(J35))),0.000001)))*0.30600918))/MAX(((G32)*(MAX($D$16,(E81)-(K32)))^2)/2+(I32)*(MAX($D$16,(E81)-(K32)))^3/3+(ABS(G81)^2)/($I$5*MAX(((G32)+(I32)*(MAX($D$16,(E81)-(K32))))*(MAX($D$16,(E81)-(K32))),0.000001)),0.000001)</f>
        <v>0.69398638937190393</v>
      </c>
      <c r="W81">
        <f>IF(N6="None",ABS(P81-D81),MAX(ABS(P81-D81),ABS(Q81-D81)))</f>
        <v>3.4197000786662102E-10</v>
      </c>
      <c r="X81">
        <f>IF(AND(N7="None",N8="None"),0,IF(N8="None",ABS(S81-E81),IF(N7="None",ABS(T81-E81),MAX(ABS(S81-E81),ABS(T81-E81)))))</f>
        <v>51796.641837658521</v>
      </c>
      <c r="AA81">
        <f t="shared" si="18"/>
        <v>52432.141837658848</v>
      </c>
      <c r="AB81">
        <f t="shared" si="19"/>
        <v>41355.303927851222</v>
      </c>
      <c r="AC81">
        <f>IF(N6="None",P81,MAX(P81,Q81))</f>
        <v>52432.141837659074</v>
      </c>
      <c r="AD81">
        <f>IF(AND(N7="None",N8="None"),E81,IF(N8="None",S81,IF(N7="None",T81,MAX(S81,T81))))</f>
        <v>20784.033523923383</v>
      </c>
      <c r="AE81">
        <f t="shared" si="20"/>
        <v>637.65825101089831</v>
      </c>
      <c r="AF81">
        <f t="shared" si="21"/>
        <v>52432.141837658863</v>
      </c>
      <c r="AG81">
        <f>((G31)*(MAX($D$16,(AC81)-(K31)))^2)/2+(I31)*(MAX($D$16,(AC81)-(K31)))^3/3+(ABS(F81)^2)/($I$5*MAX(((G31)+(I31)*(MAX($D$16,(AC81)-(K31))))*(MAX($D$16,(AC81)-(K31))),0.000001))</f>
        <v>8797611517.4106426</v>
      </c>
      <c r="AH81">
        <f>((G31)*(MAX($D$16,(AE81)-(K31)))^2)/2+(I31)*(MAX($D$16,(AE81)-(K31)))^3/3+(ABS(F81)^2)/($I$5*MAX(((G31)+(I31)*(MAX($D$16,(AE81)-(K31))))*(MAX($D$16,(AE81)-(K31))),0.000001))</f>
        <v>49.055863329575246</v>
      </c>
      <c r="AI81">
        <f>((G32)*(MAX($D$16,(AD81)-(K32)))^2)/2+(I32)*(MAX($D$16,(AD81)-(K32)))^3/3+(ABS(G81)^2)/($I$5*MAX(((G32)+(I32)*(MAX($D$16,(AD81)-(K32))))*(MAX($D$16,(AD81)-(K32))),0.000001))</f>
        <v>2072376743.6648321</v>
      </c>
      <c r="AJ81">
        <f>((G32)*(MAX($D$16,(AF81)-(K32)))^2)/2+(I32)*(MAX($D$16,(AF81)-(K32)))^3/3+(ABS(G81)^2)/($I$5*MAX(((G32)+(I32)*(MAX($D$16,(AF81)-(K32))))*(MAX($D$16,(AF81)-(K32))),0.000001))</f>
        <v>13692714789.642427</v>
      </c>
      <c r="AK81" t="str">
        <f t="shared" si="22"/>
        <v>Subcritical</v>
      </c>
      <c r="AL81" t="str">
        <f t="shared" si="23"/>
        <v>Supercritical</v>
      </c>
      <c r="AM81">
        <f t="shared" si="24"/>
        <v>52432.141837658848</v>
      </c>
      <c r="AN81">
        <f t="shared" si="25"/>
        <v>52432.141837658637</v>
      </c>
      <c r="AO81">
        <f t="shared" si="26"/>
        <v>3.4197000786662102E-10</v>
      </c>
      <c r="AP81">
        <f t="shared" si="27"/>
        <v>3.4197000786662102E-10</v>
      </c>
    </row>
    <row r="82" spans="1:42" x14ac:dyDescent="0.35">
      <c r="A82">
        <v>39</v>
      </c>
      <c r="B82">
        <f t="shared" si="28"/>
        <v>0</v>
      </c>
      <c r="C82">
        <f t="shared" si="29"/>
        <v>0</v>
      </c>
      <c r="D82">
        <f t="shared" si="30"/>
        <v>52432.141837658848</v>
      </c>
      <c r="E82">
        <f t="shared" si="31"/>
        <v>52432.141837658637</v>
      </c>
      <c r="F82">
        <f t="shared" si="17"/>
        <v>51</v>
      </c>
      <c r="G82">
        <f>IF(N6="None",F82,MAX(0,F82*B82))</f>
        <v>51</v>
      </c>
      <c r="H82">
        <f>IF(N6="None",0,MAX(0,F82-G82))</f>
        <v>0</v>
      </c>
      <c r="I82">
        <f>IF(AND(N7="None",N8="None"),0,IF(N8="None",G82,IF(N7="None",0,MAX(0,G82*C82))))</f>
        <v>0</v>
      </c>
      <c r="J82">
        <f>IF(AND(N7="None",N8="None"),0,IF(N8="None",0,IF(N7="None",G82,MAX(0,G82-I82))))</f>
        <v>51</v>
      </c>
      <c r="K82">
        <f>P5</f>
        <v>637</v>
      </c>
      <c r="L82">
        <f>P6</f>
        <v>634.3119999999999</v>
      </c>
      <c r="M82">
        <f>P7</f>
        <v>635.5</v>
      </c>
      <c r="N82">
        <f>P8</f>
        <v>631.54999999999995</v>
      </c>
      <c r="O82">
        <f>K82+((ABS(F82)/MAX(((F31)+(H31)*(MAX($D$16,(K82)-(J31))))*(MAX($D$16,(K82)-(J31))),0.000001))^2)/(2*$I$5)-((E31)*((((ABS(F82)*$D$6)/(MAX(((F31)+(H31)*(MAX($D$16,(K82)-(J31))))*(MAX($D$16,(K82)-(J31))),0.000001)*MAX(((((F31)+(H31)*(MAX($D$16,(K82)-(J31))))*(MAX($D$16,(K82)-(J31))))/MAX((F31)+2*(MAX($D$16,(K82)-(J31)))*SQRT(1+(H31)^2),0.000001))^(2/3),0.000001)))^2)+(((ABS(F82)*$D$6)/(MAX(((G31)+(I31)*(MAX($D$16,(D82)-(K31))))*(MAX($D$16,(D82)-(K31))),0.000001)*MAX(((((G31)+(I31)*(MAX($D$16,(D82)-(K31))))*(MAX($D$16,(D82)-(K31))))/MAX((G31)+2*(MAX($D$16,(D82)-(K31)))*SQRT(1+(I31)^2),0.000001))^(2/3),0.000001)))^2))/2)+(IF((ABS(F82)/MAX(((G31)+(I31)*(MAX($D$16,(D82)-(K31))))*(MAX($D$16,(D82)-(K31))),0.000001))&gt;(ABS(F82)/MAX(((F31)+(H31)*(MAX($D$16,(K82)-(J31))))*(MAX($D$16,(K82)-(J31))),0.000001)),$D$9*((((ABS(F82)/MAX(((G31)+(I31)*(MAX($D$16,(D82)-(K31))))*(MAX($D$16,(D82)-(K31))),0.000001))^2)/(2*$I$5))-(((ABS(F82)/MAX(((F31)+(H31)*(MAX($D$16,(K82)-(J31))))*(MAX($D$16,(K82)-(J31))),0.000001))^2)/(2*$I$5))),$D$8*((((ABS(F82)/MAX(((F31)+(H31)*(MAX($D$16,(K82)-(J31))))*(MAX($D$16,(K82)-(J31))),0.000001))^2)/(2*$I$5))-(((ABS(F82)/MAX(((G31)+(I31)*(MAX($D$16,(D82)-(K31))))*(MAX($D$16,(D82)-(K31))),0.000001))^2)/(2*$I$5)))))+($D$10*(ABS((X31)-(W31))/90)*MAX(((ABS(F82)/MAX(((F31)+(H31)*(MAX($D$16,(K82)-(J31))))*(MAX($D$16,(K82)-(J31))),0.000001))^2)/(2*$I$5),((ABS(F82)/MAX(((G31)+(I31)*(MAX($D$16,(D82)-(K31))))*(MAX($D$16,(D82)-(K31))),0.000001))^2)/(2*$I$5)))+(0)-((ABS(F82)/MAX(((G31)+(I31)*(MAX($D$16,(D82)-(K31))))*(MAX($D$16,(D82)-(K31))),0.000001))^2)/(2*$I$5)</f>
        <v>637.65825101089831</v>
      </c>
      <c r="P82">
        <f>E82+((ABS(G82)/MAX(((G32)+(I32)*(MAX($D$16,(E82)-(K32))))*(MAX($D$16,(E82)-(K32))),0.000001))^2)/(2*$I$5)+((E32)*((((ABS(G82)*$D$6)/(MAX(((F32)+(H32)*(MAX($D$16,(D82)-(J32))))*(MAX($D$16,(D82)-(J32))),0.000001)*MAX(((((F32)+(H32)*(MAX($D$16,(D82)-(J32))))*(MAX($D$16,(D82)-(J32))))/MAX((F32)+2*(MAX($D$16,(D82)-(J32)))*SQRT(1+(H32)^2),0.000001))^(2/3),0.000001)))^2)+(((ABS(G82)*$D$6)/(MAX(((G32)+(I32)*(MAX($D$16,(E82)-(K32))))*(MAX($D$16,(E82)-(K32))),0.000001)*MAX(((((G32)+(I32)*(MAX($D$16,(E82)-(K32))))*(MAX($D$16,(E82)-(K32))))/MAX((G32)+2*(MAX($D$16,(E82)-(K32)))*SQRT(1+(I32)^2),0.000001))^(2/3),0.000001)))^2))/2)+(IF((ABS(G82)/MAX(((G32)+(I32)*(MAX($D$16,(E82)-(K32))))*(MAX($D$16,(E82)-(K32))),0.000001))&gt;(ABS(G82)/MAX(((F32)+(H32)*(MAX($D$16,(D82)-(J32))))*(MAX($D$16,(D82)-(J32))),0.000001)),$D$9*((((ABS(G82)/MAX(((G32)+(I32)*(MAX($D$16,(E82)-(K32))))*(MAX($D$16,(E82)-(K32))),0.000001))^2)/(2*$I$5))-(((ABS(G82)/MAX(((F32)+(H32)*(MAX($D$16,(D82)-(J32))))*(MAX($D$16,(D82)-(J32))),0.000001))^2)/(2*$I$5))),$D$8*((((ABS(G82)/MAX(((F32)+(H32)*(MAX($D$16,(D82)-(J32))))*(MAX($D$16,(D82)-(J32))),0.000001))^2)/(2*$I$5))-(((ABS(G82)/MAX(((G32)+(I32)*(MAX($D$16,(E82)-(K32))))*(MAX($D$16,(E82)-(K32))),0.000001))^2)/(2*$I$5)))))+($D$10*(ABS((X32)-(W32))/90)*MAX(((ABS(G82)/MAX(((F32)+(H32)*(MAX($D$16,(D82)-(J32))))*(MAX($D$16,(D82)-(J32))),0.000001))^2)/(2*$I$5),((ABS(G82)/MAX(((G32)+(I32)*(MAX($D$16,(E82)-(K32))))*(MAX($D$16,(E82)-(K32))),0.000001))^2)/(2*$I$5)))+(($D$11*0.13607488*(ABS(H82)/MAX(ABS(F82),0.000001))^2*MAX(((ABS(G82)/MAX(((F32)+(H32)*(MAX($D$16,(D82)-(J32))))*(MAX($D$16,(D82)-(J32))),0.000001))^2)/(2*$I$5),((ABS(G82)/MAX(((G32)+(I32)*(MAX($D$16,(E82)-(K32))))*(MAX($D$16,(E82)-(K32))),0.000001))^2)/(2*$I$5))))-((ABS(G82)/MAX(((F32)+(H32)*(MAX($D$16,(D82)-(J32))))*(MAX($D$16,(D82)-(J32))),0.000001))^2)/(2*$I$5)</f>
        <v>52432.14183765919</v>
      </c>
      <c r="Q82">
        <f>L82+((ABS(H82)/MAX(((G33)+(I33)*(MAX($D$16,(L82)-(K33))))*(MAX($D$16,(L82)-(K33))),0.000001))^2)/(2*$I$5)+((E33)*((((ABS(H82)*$D$6)/(MAX(((F33)+(H33)*(MAX($D$16,(D82)-(J33))))*(MAX($D$16,(D82)-(J33))),0.000001)*MAX(((((F33)+(H33)*(MAX($D$16,(D82)-(J33))))*(MAX($D$16,(D82)-(J33))))/MAX((F33)+2*(MAX($D$16,(D82)-(J33)))*SQRT(1+(H33)^2),0.000001))^(2/3),0.000001)))^2)+(((ABS(H82)*$D$6)/(MAX(((G33)+(I33)*(MAX($D$16,(L82)-(K33))))*(MAX($D$16,(L82)-(K33))),0.000001)*MAX(((((G33)+(I33)*(MAX($D$16,(L82)-(K33))))*(MAX($D$16,(L82)-(K33))))/MAX((G33)+2*(MAX($D$16,(L82)-(K33)))*SQRT(1+(I33)^2),0.000001))^(2/3),0.000001)))^2))/2)+(IF((ABS(H82)/MAX(((G33)+(I33)*(MAX($D$16,(L82)-(K33))))*(MAX($D$16,(L82)-(K33))),0.000001))&gt;(ABS(H82)/MAX(((F33)+(H33)*(MAX($D$16,(D82)-(J33))))*(MAX($D$16,(D82)-(J33))),0.000001)),$D$9*((((ABS(H82)/MAX(((G33)+(I33)*(MAX($D$16,(L82)-(K33))))*(MAX($D$16,(L82)-(K33))),0.000001))^2)/(2*$I$5))-(((ABS(H82)/MAX(((F33)+(H33)*(MAX($D$16,(D82)-(J33))))*(MAX($D$16,(D82)-(J33))),0.000001))^2)/(2*$I$5))),$D$8*((((ABS(H82)/MAX(((F33)+(H33)*(MAX($D$16,(D82)-(J33))))*(MAX($D$16,(D82)-(J33))),0.000001))^2)/(2*$I$5))-(((ABS(H82)/MAX(((G33)+(I33)*(MAX($D$16,(L82)-(K33))))*(MAX($D$16,(L82)-(K33))),0.000001))^2)/(2*$I$5)))))+($D$10*(ABS((X33)-(W33))/90)*MAX(((ABS(H82)/MAX(((F33)+(H33)*(MAX($D$16,(D82)-(J33))))*(MAX($D$16,(D82)-(J33))),0.000001))^2)/(2*$I$5),((ABS(H82)/MAX(((G33)+(I33)*(MAX($D$16,(L82)-(K33))))*(MAX($D$16,(L82)-(K33))),0.000001))^2)/(2*$I$5)))+(($D$11*0.00000015*(ABS(G82)/MAX(ABS(F82),0.000001))^2*MAX(((ABS(H82)/MAX(((F33)+(H33)*(MAX($D$16,(D82)-(J33))))*(MAX($D$16,(D82)-(J33))),0.000001))^2)/(2*$I$5),((ABS(H82)/MAX(((G33)+(I33)*(MAX($D$16,(L82)-(K33))))*(MAX($D$16,(L82)-(K33))),0.000001))^2)/(2*$I$5))))-((ABS(H82)/MAX(((F33)+(H33)*(MAX($D$16,(D82)-(J33))))*(MAX($D$16,(D82)-(J33))),0.000001))^2)/(2*$I$5)</f>
        <v>634.3119999999999</v>
      </c>
      <c r="R82">
        <f>D82+((ABS(G82)/MAX(((F32)+(H32)*(MAX($D$16,(D82)-(J32))))*(MAX($D$16,(D82)-(J32))),0.000001))^2)/(2*$I$5)-((E32)*((((ABS(G82)*$D$6)/(MAX(((F32)+(H32)*(MAX($D$16,(D82)-(J32))))*(MAX($D$16,(D82)-(J32))),0.000001)*MAX(((((F32)+(H32)*(MAX($D$16,(D82)-(J32))))*(MAX($D$16,(D82)-(J32))))/MAX((F32)+2*(MAX($D$16,(D82)-(J32)))*SQRT(1+(H32)^2),0.000001))^(2/3),0.000001)))^2)+(((ABS(G82)*$D$6)/(MAX(((G32)+(I32)*(MAX($D$16,(E82)-(K32))))*(MAX($D$16,(E82)-(K32))),0.000001)*MAX(((((G32)+(I32)*(MAX($D$16,(E82)-(K32))))*(MAX($D$16,(E82)-(K32))))/MAX((G32)+2*(MAX($D$16,(E82)-(K32)))*SQRT(1+(I32)^2),0.000001))^(2/3),0.000001)))^2))/2)+(IF((ABS(G82)/MAX(((G32)+(I32)*(MAX($D$16,(E82)-(K32))))*(MAX($D$16,(E82)-(K32))),0.000001))&gt;(ABS(G82)/MAX(((F32)+(H32)*(MAX($D$16,(D82)-(J32))))*(MAX($D$16,(D82)-(J32))),0.000001)),$D$9*((((ABS(G82)/MAX(((G32)+(I32)*(MAX($D$16,(E82)-(K32))))*(MAX($D$16,(E82)-(K32))),0.000001))^2)/(2*$I$5))-(((ABS(G82)/MAX(((F32)+(H32)*(MAX($D$16,(D82)-(J32))))*(MAX($D$16,(D82)-(J32))),0.000001))^2)/(2*$I$5))),$D$8*((((ABS(G82)/MAX(((F32)+(H32)*(MAX($D$16,(D82)-(J32))))*(MAX($D$16,(D82)-(J32))),0.000001))^2)/(2*$I$5))-(((ABS(G82)/MAX(((G32)+(I32)*(MAX($D$16,(E82)-(K32))))*(MAX($D$16,(E82)-(K32))),0.000001))^2)/(2*$I$5)))))+($D$10*(ABS((X32)-(W32))/90)*MAX(((ABS(G82)/MAX(((F32)+(H32)*(MAX($D$16,(D82)-(J32))))*(MAX($D$16,(D82)-(J32))),0.000001))^2)/(2*$I$5),((ABS(G82)/MAX(((G32)+(I32)*(MAX($D$16,(E82)-(K32))))*(MAX($D$16,(E82)-(K32))),0.000001))^2)/(2*$I$5)))+(($D$11*0.13607488*(ABS(H82)/MAX(ABS(F82),0.000001))^2*MAX(((ABS(G82)/MAX(((F32)+(H32)*(MAX($D$16,(D82)-(J32))))*(MAX($D$16,(D82)-(J32))),0.000001))^2)/(2*$I$5),((ABS(G82)/MAX(((G32)+(I32)*(MAX($D$16,(E82)-(K32))))*(MAX($D$16,(E82)-(K32))),0.000001))^2)/(2*$I$5))))-((ABS(G82)/MAX(((G32)+(I32)*(MAX($D$16,(E82)-(K32))))*(MAX($D$16,(E82)-(K32))),0.000001))^2)/(2*$I$5)</f>
        <v>52432.141837658979</v>
      </c>
      <c r="S82">
        <f>M82+((ABS(I82)/MAX(((G34)+(I34)*(MAX($D$16,(M82)-(K34))))*(MAX($D$16,(M82)-(K34))),0.000001))^2)/(2*$I$5)+((E34)*((((ABS(I82)*$D$6)/(MAX(((F34)+(H34)*(MAX($D$16,(E82)-(J34))))*(MAX($D$16,(E82)-(J34))),0.000001)*MAX(((((F34)+(H34)*(MAX($D$16,(E82)-(J34))))*(MAX($D$16,(E82)-(J34))))/MAX((F34)+2*(MAX($D$16,(E82)-(J34)))*SQRT(1+(H34)^2),0.000001))^(2/3),0.000001)))^2)+(((ABS(I82)*$D$6)/(MAX(((G34)+(I34)*(MAX($D$16,(M82)-(K34))))*(MAX($D$16,(M82)-(K34))),0.000001)*MAX(((((G34)+(I34)*(MAX($D$16,(M82)-(K34))))*(MAX($D$16,(M82)-(K34))))/MAX((G34)+2*(MAX($D$16,(M82)-(K34)))*SQRT(1+(I34)^2),0.000001))^(2/3),0.000001)))^2))/2)+(IF((ABS(I82)/MAX(((G34)+(I34)*(MAX($D$16,(M82)-(K34))))*(MAX($D$16,(M82)-(K34))),0.000001))&gt;(ABS(I82)/MAX(((F34)+(H34)*(MAX($D$16,(E82)-(J34))))*(MAX($D$16,(E82)-(J34))),0.000001)),$D$9*((((ABS(I82)/MAX(((G34)+(I34)*(MAX($D$16,(M82)-(K34))))*(MAX($D$16,(M82)-(K34))),0.000001))^2)/(2*$I$5))-(((ABS(I82)/MAX(((F34)+(H34)*(MAX($D$16,(E82)-(J34))))*(MAX($D$16,(E82)-(J34))),0.000001))^2)/(2*$I$5))),$D$8*((((ABS(I82)/MAX(((F34)+(H34)*(MAX($D$16,(E82)-(J34))))*(MAX($D$16,(E82)-(J34))),0.000001))^2)/(2*$I$5))-(((ABS(I82)/MAX(((G34)+(I34)*(MAX($D$16,(M82)-(K34))))*(MAX($D$16,(M82)-(K34))),0.000001))^2)/(2*$I$5)))))+($D$10*(ABS((X34)-(W34))/90)*MAX(((ABS(I82)/MAX(((F34)+(H34)*(MAX($D$16,(E82)-(J34))))*(MAX($D$16,(E82)-(J34))),0.000001))^2)/(2*$I$5),((ABS(I82)/MAX(((G34)+(I34)*(MAX($D$16,(M82)-(K34))))*(MAX($D$16,(M82)-(K34))),0.000001))^2)/(2*$I$5)))+(0)-((ABS(I82)/MAX(((F34)+(H34)*(MAX($D$16,(E82)-(J34))))*(MAX($D$16,(E82)-(J34))),0.000001))^2)/(2*$I$5)</f>
        <v>635.5</v>
      </c>
      <c r="T82">
        <f>N82+((ABS(J82)/MAX(((G35)+(I35)*(MAX($D$16,(N82)-(K35))))*(MAX($D$16,(N82)-(K35))),0.000001))^2)/(2*$I$5)+((E35)*((((ABS(J82)*$D$6)/(MAX(((F35)+(H35)*(MAX($D$16,(E82)-(J35))))*(MAX($D$16,(E82)-(J35))),0.000001)*MAX(((((F35)+(H35)*(MAX($D$16,(E82)-(J35))))*(MAX($D$16,(E82)-(J35))))/MAX((F35)+2*(MAX($D$16,(E82)-(J35)))*SQRT(1+(H35)^2),0.000001))^(2/3),0.000001)))^2)+(((ABS(J82)*$D$6)/(MAX(((G35)+(I35)*(MAX($D$16,(N82)-(K35))))*(MAX($D$16,(N82)-(K35))),0.000001)*MAX(((((G35)+(I35)*(MAX($D$16,(N82)-(K35))))*(MAX($D$16,(N82)-(K35))))/MAX((G35)+2*(MAX($D$16,(N82)-(K35)))*SQRT(1+(I35)^2),0.000001))^(2/3),0.000001)))^2))/2)+(IF((ABS(J82)/MAX(((G35)+(I35)*(MAX($D$16,(N82)-(K35))))*(MAX($D$16,(N82)-(K35))),0.000001))&gt;(ABS(J82)/MAX(((F35)+(H35)*(MAX($D$16,(E82)-(J35))))*(MAX($D$16,(E82)-(J35))),0.000001)),$D$9*((((ABS(J82)/MAX(((G35)+(I35)*(MAX($D$16,(N82)-(K35))))*(MAX($D$16,(N82)-(K35))),0.000001))^2)/(2*$I$5))-(((ABS(J82)/MAX(((F35)+(H35)*(MAX($D$16,(E82)-(J35))))*(MAX($D$16,(E82)-(J35))),0.000001))^2)/(2*$I$5))),$D$8*((((ABS(J82)/MAX(((F35)+(H35)*(MAX($D$16,(E82)-(J35))))*(MAX($D$16,(E82)-(J35))),0.000001))^2)/(2*$I$5))-(((ABS(J82)/MAX(((G35)+(I35)*(MAX($D$16,(N82)-(K35))))*(MAX($D$16,(N82)-(K35))),0.000001))^2)/(2*$I$5)))))+($D$10*(ABS((X35)-(W35))/90)*MAX(((ABS(J82)/MAX(((F35)+(H35)*(MAX($D$16,(E82)-(J35))))*(MAX($D$16,(E82)-(J35))),0.000001))^2)/(2*$I$5),((ABS(J82)/MAX(((G35)+(I35)*(MAX($D$16,(N82)-(K35))))*(MAX($D$16,(N82)-(K35))),0.000001))^2)/(2*$I$5)))+(($D$11*0.34699541*(ABS(I82)/MAX(ABS(G82),0.000001))^2*MAX(((ABS(J82)/MAX(((F35)+(H35)*(MAX($D$16,(E82)-(J35))))*(MAX($D$16,(E82)-(J35))),0.000001))^2)/(2*$I$5),((ABS(J82)/MAX(((G35)+(I35)*(MAX($D$16,(N82)-(K35))))*(MAX($D$16,(N82)-(K35))),0.000001))^2)/(2*$I$5))))-((ABS(J82)/MAX(((F35)+(H35)*(MAX($D$16,(E82)-(J35))))*(MAX($D$16,(E82)-(J35))),0.000001))^2)/(2*$I$5)</f>
        <v>20784.033523923383</v>
      </c>
      <c r="U82">
        <f>(((((F32)*(MAX($D$16,(D82)-(J32)))^2)/2+(H32)*(MAX($D$16,(D82)-(J32)))^3/3+(ABS(G82)^2)/($I$5*MAX(((F32)+(H32)*(MAX($D$16,(D82)-(J32))))*(MAX($D$16,(D82)-(J32))),0.000001)))*0.72785025)-((((F33)*(MAX($D$16,(D82)-(J33)))^2)/2+(H33)*(MAX($D$16,(D82)-(J33)))^3/3+(ABS(H82)^2)/($I$5*MAX(((F33)+(H33)*(MAX($D$16,(D82)-(J33))))*(MAX($D$16,(D82)-(J33))),0.000001)))*0.99999971))/MAX(((G31)*(MAX($D$16,(D82)-(K31)))^2)/2+(I31)*(MAX($D$16,(D82)-(K31)))^3/3+(ABS(F82)^2)/($I$5*MAX(((G31)+(I31)*(MAX($D$16,(D82)-(K31))))*(MAX($D$16,(D82)-(K31))),0.000001)),0.000001)</f>
        <v>-0.27214945999991125</v>
      </c>
      <c r="V82">
        <f>(((((F34)*(MAX($D$16,(E82)-(J34)))^2)/2+(H34)*(MAX($D$16,(E82)-(J34)))^3/3+(ABS(I82)^2)/($I$5*MAX(((F34)+(H34)*(MAX($D$16,(E82)-(J34))))*(MAX($D$16,(E82)-(J34))),0.000001)))*1)-((((F35)*(MAX($D$16,(E82)-(J35)))^2)/2+(H35)*(MAX($D$16,(E82)-(J35)))^3/3+(ABS(J82)^2)/($I$5*MAX(((F35)+(H35)*(MAX($D$16,(E82)-(J35))))*(MAX($D$16,(E82)-(J35))),0.000001)))*0.30600918))/MAX(((G32)*(MAX($D$16,(E82)-(K32)))^2)/2+(I32)*(MAX($D$16,(E82)-(K32)))^3/3+(ABS(G82)^2)/($I$5*MAX(((G32)+(I32)*(MAX($D$16,(E82)-(K32))))*(MAX($D$16,(E82)-(K32))),0.000001)),0.000001)</f>
        <v>0.69398638937190393</v>
      </c>
      <c r="W82">
        <f>IF(N6="None",ABS(P82-D82),MAX(ABS(P82-D82),ABS(Q82-D82)))</f>
        <v>3.4197000786662102E-10</v>
      </c>
      <c r="X82">
        <f>IF(AND(N7="None",N8="None"),0,IF(N8="None",ABS(S82-E82),IF(N7="None",ABS(T82-E82),MAX(ABS(S82-E82),ABS(T82-E82)))))</f>
        <v>51796.641837658637</v>
      </c>
      <c r="AA82">
        <f t="shared" si="18"/>
        <v>52432.141837658965</v>
      </c>
      <c r="AB82">
        <f t="shared" si="19"/>
        <v>41355.303927851302</v>
      </c>
      <c r="AC82">
        <f>IF(N6="None",P82,MAX(P82,Q82))</f>
        <v>52432.14183765919</v>
      </c>
      <c r="AD82">
        <f>IF(AND(N7="None",N8="None"),E82,IF(N8="None",S82,IF(N7="None",T82,MAX(S82,T82))))</f>
        <v>20784.033523923383</v>
      </c>
      <c r="AE82">
        <f t="shared" si="20"/>
        <v>637.65825101089831</v>
      </c>
      <c r="AF82">
        <f t="shared" si="21"/>
        <v>52432.141837658979</v>
      </c>
      <c r="AG82">
        <f>((G31)*(MAX($D$16,(AC82)-(K31)))^2)/2+(I31)*(MAX($D$16,(AC82)-(K31)))^3/3+(ABS(F82)^2)/($I$5*MAX(((G31)+(I31)*(MAX($D$16,(AC82)-(K31))))*(MAX($D$16,(AC82)-(K31))),0.000001))</f>
        <v>8797611517.4106808</v>
      </c>
      <c r="AH82">
        <f>((G31)*(MAX($D$16,(AE82)-(K31)))^2)/2+(I31)*(MAX($D$16,(AE82)-(K31)))^3/3+(ABS(F82)^2)/($I$5*MAX(((G31)+(I31)*(MAX($D$16,(AE82)-(K31))))*(MAX($D$16,(AE82)-(K31))),0.000001))</f>
        <v>49.055863329575246</v>
      </c>
      <c r="AI82">
        <f>((G32)*(MAX($D$16,(AD82)-(K32)))^2)/2+(I32)*(MAX($D$16,(AD82)-(K32)))^3/3+(ABS(G82)^2)/($I$5*MAX(((G32)+(I32)*(MAX($D$16,(AD82)-(K32))))*(MAX($D$16,(AD82)-(K32))),0.000001))</f>
        <v>2072376743.6648321</v>
      </c>
      <c r="AJ82">
        <f>((G32)*(MAX($D$16,(AF82)-(K32)))^2)/2+(I32)*(MAX($D$16,(AF82)-(K32)))^3/3+(ABS(G82)^2)/($I$5*MAX(((G32)+(I32)*(MAX($D$16,(AF82)-(K32))))*(MAX($D$16,(AF82)-(K32))),0.000001))</f>
        <v>13692714789.642488</v>
      </c>
      <c r="AK82" t="str">
        <f t="shared" si="22"/>
        <v>Subcritical</v>
      </c>
      <c r="AL82" t="str">
        <f t="shared" si="23"/>
        <v>Supercritical</v>
      </c>
      <c r="AM82">
        <f t="shared" si="24"/>
        <v>52432.141837658965</v>
      </c>
      <c r="AN82">
        <f t="shared" si="25"/>
        <v>52432.141837658754</v>
      </c>
      <c r="AO82">
        <f t="shared" si="26"/>
        <v>3.4197000786662102E-10</v>
      </c>
      <c r="AP82">
        <f t="shared" si="27"/>
        <v>3.4197000786662102E-10</v>
      </c>
    </row>
    <row r="83" spans="1:42" x14ac:dyDescent="0.35">
      <c r="A83">
        <v>40</v>
      </c>
      <c r="B83">
        <f t="shared" si="28"/>
        <v>0</v>
      </c>
      <c r="C83">
        <f t="shared" si="29"/>
        <v>0</v>
      </c>
      <c r="D83">
        <f t="shared" si="30"/>
        <v>52432.141837658965</v>
      </c>
      <c r="E83">
        <f t="shared" si="31"/>
        <v>52432.141837658754</v>
      </c>
      <c r="F83">
        <f t="shared" si="17"/>
        <v>51</v>
      </c>
      <c r="G83">
        <f>IF(N6="None",F83,MAX(0,F83*B83))</f>
        <v>51</v>
      </c>
      <c r="H83">
        <f>IF(N6="None",0,MAX(0,F83-G83))</f>
        <v>0</v>
      </c>
      <c r="I83">
        <f>IF(AND(N7="None",N8="None"),0,IF(N8="None",G83,IF(N7="None",0,MAX(0,G83*C83))))</f>
        <v>0</v>
      </c>
      <c r="J83">
        <f>IF(AND(N7="None",N8="None"),0,IF(N8="None",0,IF(N7="None",G83,MAX(0,G83-I83))))</f>
        <v>51</v>
      </c>
      <c r="K83">
        <f>P5</f>
        <v>637</v>
      </c>
      <c r="L83">
        <f>P6</f>
        <v>634.3119999999999</v>
      </c>
      <c r="M83">
        <f>P7</f>
        <v>635.5</v>
      </c>
      <c r="N83">
        <f>P8</f>
        <v>631.54999999999995</v>
      </c>
      <c r="O83">
        <f>K83+((ABS(F83)/MAX(((F31)+(H31)*(MAX($D$16,(K83)-(J31))))*(MAX($D$16,(K83)-(J31))),0.000001))^2)/(2*$I$5)-((E31)*((((ABS(F83)*$D$6)/(MAX(((F31)+(H31)*(MAX($D$16,(K83)-(J31))))*(MAX($D$16,(K83)-(J31))),0.000001)*MAX(((((F31)+(H31)*(MAX($D$16,(K83)-(J31))))*(MAX($D$16,(K83)-(J31))))/MAX((F31)+2*(MAX($D$16,(K83)-(J31)))*SQRT(1+(H31)^2),0.000001))^(2/3),0.000001)))^2)+(((ABS(F83)*$D$6)/(MAX(((G31)+(I31)*(MAX($D$16,(D83)-(K31))))*(MAX($D$16,(D83)-(K31))),0.000001)*MAX(((((G31)+(I31)*(MAX($D$16,(D83)-(K31))))*(MAX($D$16,(D83)-(K31))))/MAX((G31)+2*(MAX($D$16,(D83)-(K31)))*SQRT(1+(I31)^2),0.000001))^(2/3),0.000001)))^2))/2)+(IF((ABS(F83)/MAX(((G31)+(I31)*(MAX($D$16,(D83)-(K31))))*(MAX($D$16,(D83)-(K31))),0.000001))&gt;(ABS(F83)/MAX(((F31)+(H31)*(MAX($D$16,(K83)-(J31))))*(MAX($D$16,(K83)-(J31))),0.000001)),$D$9*((((ABS(F83)/MAX(((G31)+(I31)*(MAX($D$16,(D83)-(K31))))*(MAX($D$16,(D83)-(K31))),0.000001))^2)/(2*$I$5))-(((ABS(F83)/MAX(((F31)+(H31)*(MAX($D$16,(K83)-(J31))))*(MAX($D$16,(K83)-(J31))),0.000001))^2)/(2*$I$5))),$D$8*((((ABS(F83)/MAX(((F31)+(H31)*(MAX($D$16,(K83)-(J31))))*(MAX($D$16,(K83)-(J31))),0.000001))^2)/(2*$I$5))-(((ABS(F83)/MAX(((G31)+(I31)*(MAX($D$16,(D83)-(K31))))*(MAX($D$16,(D83)-(K31))),0.000001))^2)/(2*$I$5)))))+($D$10*(ABS((X31)-(W31))/90)*MAX(((ABS(F83)/MAX(((F31)+(H31)*(MAX($D$16,(K83)-(J31))))*(MAX($D$16,(K83)-(J31))),0.000001))^2)/(2*$I$5),((ABS(F83)/MAX(((G31)+(I31)*(MAX($D$16,(D83)-(K31))))*(MAX($D$16,(D83)-(K31))),0.000001))^2)/(2*$I$5)))+(0)-((ABS(F83)/MAX(((G31)+(I31)*(MAX($D$16,(D83)-(K31))))*(MAX($D$16,(D83)-(K31))),0.000001))^2)/(2*$I$5)</f>
        <v>637.65825101089831</v>
      </c>
      <c r="P83">
        <f>E83+((ABS(G83)/MAX(((G32)+(I32)*(MAX($D$16,(E83)-(K32))))*(MAX($D$16,(E83)-(K32))),0.000001))^2)/(2*$I$5)+((E32)*((((ABS(G83)*$D$6)/(MAX(((F32)+(H32)*(MAX($D$16,(D83)-(J32))))*(MAX($D$16,(D83)-(J32))),0.000001)*MAX(((((F32)+(H32)*(MAX($D$16,(D83)-(J32))))*(MAX($D$16,(D83)-(J32))))/MAX((F32)+2*(MAX($D$16,(D83)-(J32)))*SQRT(1+(H32)^2),0.000001))^(2/3),0.000001)))^2)+(((ABS(G83)*$D$6)/(MAX(((G32)+(I32)*(MAX($D$16,(E83)-(K32))))*(MAX($D$16,(E83)-(K32))),0.000001)*MAX(((((G32)+(I32)*(MAX($D$16,(E83)-(K32))))*(MAX($D$16,(E83)-(K32))))/MAX((G32)+2*(MAX($D$16,(E83)-(K32)))*SQRT(1+(I32)^2),0.000001))^(2/3),0.000001)))^2))/2)+(IF((ABS(G83)/MAX(((G32)+(I32)*(MAX($D$16,(E83)-(K32))))*(MAX($D$16,(E83)-(K32))),0.000001))&gt;(ABS(G83)/MAX(((F32)+(H32)*(MAX($D$16,(D83)-(J32))))*(MAX($D$16,(D83)-(J32))),0.000001)),$D$9*((((ABS(G83)/MAX(((G32)+(I32)*(MAX($D$16,(E83)-(K32))))*(MAX($D$16,(E83)-(K32))),0.000001))^2)/(2*$I$5))-(((ABS(G83)/MAX(((F32)+(H32)*(MAX($D$16,(D83)-(J32))))*(MAX($D$16,(D83)-(J32))),0.000001))^2)/(2*$I$5))),$D$8*((((ABS(G83)/MAX(((F32)+(H32)*(MAX($D$16,(D83)-(J32))))*(MAX($D$16,(D83)-(J32))),0.000001))^2)/(2*$I$5))-(((ABS(G83)/MAX(((G32)+(I32)*(MAX($D$16,(E83)-(K32))))*(MAX($D$16,(E83)-(K32))),0.000001))^2)/(2*$I$5)))))+($D$10*(ABS((X32)-(W32))/90)*MAX(((ABS(G83)/MAX(((F32)+(H32)*(MAX($D$16,(D83)-(J32))))*(MAX($D$16,(D83)-(J32))),0.000001))^2)/(2*$I$5),((ABS(G83)/MAX(((G32)+(I32)*(MAX($D$16,(E83)-(K32))))*(MAX($D$16,(E83)-(K32))),0.000001))^2)/(2*$I$5)))+(($D$11*0.13607488*(ABS(H83)/MAX(ABS(F83),0.000001))^2*MAX(((ABS(G83)/MAX(((F32)+(H32)*(MAX($D$16,(D83)-(J32))))*(MAX($D$16,(D83)-(J32))),0.000001))^2)/(2*$I$5),((ABS(G83)/MAX(((G32)+(I32)*(MAX($D$16,(E83)-(K32))))*(MAX($D$16,(E83)-(K32))),0.000001))^2)/(2*$I$5))))-((ABS(G83)/MAX(((F32)+(H32)*(MAX($D$16,(D83)-(J32))))*(MAX($D$16,(D83)-(J32))),0.000001))^2)/(2*$I$5)</f>
        <v>52432.141837659306</v>
      </c>
      <c r="Q83">
        <f>L83+((ABS(H83)/MAX(((G33)+(I33)*(MAX($D$16,(L83)-(K33))))*(MAX($D$16,(L83)-(K33))),0.000001))^2)/(2*$I$5)+((E33)*((((ABS(H83)*$D$6)/(MAX(((F33)+(H33)*(MAX($D$16,(D83)-(J33))))*(MAX($D$16,(D83)-(J33))),0.000001)*MAX(((((F33)+(H33)*(MAX($D$16,(D83)-(J33))))*(MAX($D$16,(D83)-(J33))))/MAX((F33)+2*(MAX($D$16,(D83)-(J33)))*SQRT(1+(H33)^2),0.000001))^(2/3),0.000001)))^2)+(((ABS(H83)*$D$6)/(MAX(((G33)+(I33)*(MAX($D$16,(L83)-(K33))))*(MAX($D$16,(L83)-(K33))),0.000001)*MAX(((((G33)+(I33)*(MAX($D$16,(L83)-(K33))))*(MAX($D$16,(L83)-(K33))))/MAX((G33)+2*(MAX($D$16,(L83)-(K33)))*SQRT(1+(I33)^2),0.000001))^(2/3),0.000001)))^2))/2)+(IF((ABS(H83)/MAX(((G33)+(I33)*(MAX($D$16,(L83)-(K33))))*(MAX($D$16,(L83)-(K33))),0.000001))&gt;(ABS(H83)/MAX(((F33)+(H33)*(MAX($D$16,(D83)-(J33))))*(MAX($D$16,(D83)-(J33))),0.000001)),$D$9*((((ABS(H83)/MAX(((G33)+(I33)*(MAX($D$16,(L83)-(K33))))*(MAX($D$16,(L83)-(K33))),0.000001))^2)/(2*$I$5))-(((ABS(H83)/MAX(((F33)+(H33)*(MAX($D$16,(D83)-(J33))))*(MAX($D$16,(D83)-(J33))),0.000001))^2)/(2*$I$5))),$D$8*((((ABS(H83)/MAX(((F33)+(H33)*(MAX($D$16,(D83)-(J33))))*(MAX($D$16,(D83)-(J33))),0.000001))^2)/(2*$I$5))-(((ABS(H83)/MAX(((G33)+(I33)*(MAX($D$16,(L83)-(K33))))*(MAX($D$16,(L83)-(K33))),0.000001))^2)/(2*$I$5)))))+($D$10*(ABS((X33)-(W33))/90)*MAX(((ABS(H83)/MAX(((F33)+(H33)*(MAX($D$16,(D83)-(J33))))*(MAX($D$16,(D83)-(J33))),0.000001))^2)/(2*$I$5),((ABS(H83)/MAX(((G33)+(I33)*(MAX($D$16,(L83)-(K33))))*(MAX($D$16,(L83)-(K33))),0.000001))^2)/(2*$I$5)))+(($D$11*0.00000015*(ABS(G83)/MAX(ABS(F83),0.000001))^2*MAX(((ABS(H83)/MAX(((F33)+(H33)*(MAX($D$16,(D83)-(J33))))*(MAX($D$16,(D83)-(J33))),0.000001))^2)/(2*$I$5),((ABS(H83)/MAX(((G33)+(I33)*(MAX($D$16,(L83)-(K33))))*(MAX($D$16,(L83)-(K33))),0.000001))^2)/(2*$I$5))))-((ABS(H83)/MAX(((F33)+(H33)*(MAX($D$16,(D83)-(J33))))*(MAX($D$16,(D83)-(J33))),0.000001))^2)/(2*$I$5)</f>
        <v>634.3119999999999</v>
      </c>
      <c r="R83">
        <f>D83+((ABS(G83)/MAX(((F32)+(H32)*(MAX($D$16,(D83)-(J32))))*(MAX($D$16,(D83)-(J32))),0.000001))^2)/(2*$I$5)-((E32)*((((ABS(G83)*$D$6)/(MAX(((F32)+(H32)*(MAX($D$16,(D83)-(J32))))*(MAX($D$16,(D83)-(J32))),0.000001)*MAX(((((F32)+(H32)*(MAX($D$16,(D83)-(J32))))*(MAX($D$16,(D83)-(J32))))/MAX((F32)+2*(MAX($D$16,(D83)-(J32)))*SQRT(1+(H32)^2),0.000001))^(2/3),0.000001)))^2)+(((ABS(G83)*$D$6)/(MAX(((G32)+(I32)*(MAX($D$16,(E83)-(K32))))*(MAX($D$16,(E83)-(K32))),0.000001)*MAX(((((G32)+(I32)*(MAX($D$16,(E83)-(K32))))*(MAX($D$16,(E83)-(K32))))/MAX((G32)+2*(MAX($D$16,(E83)-(K32)))*SQRT(1+(I32)^2),0.000001))^(2/3),0.000001)))^2))/2)+(IF((ABS(G83)/MAX(((G32)+(I32)*(MAX($D$16,(E83)-(K32))))*(MAX($D$16,(E83)-(K32))),0.000001))&gt;(ABS(G83)/MAX(((F32)+(H32)*(MAX($D$16,(D83)-(J32))))*(MAX($D$16,(D83)-(J32))),0.000001)),$D$9*((((ABS(G83)/MAX(((G32)+(I32)*(MAX($D$16,(E83)-(K32))))*(MAX($D$16,(E83)-(K32))),0.000001))^2)/(2*$I$5))-(((ABS(G83)/MAX(((F32)+(H32)*(MAX($D$16,(D83)-(J32))))*(MAX($D$16,(D83)-(J32))),0.000001))^2)/(2*$I$5))),$D$8*((((ABS(G83)/MAX(((F32)+(H32)*(MAX($D$16,(D83)-(J32))))*(MAX($D$16,(D83)-(J32))),0.000001))^2)/(2*$I$5))-(((ABS(G83)/MAX(((G32)+(I32)*(MAX($D$16,(E83)-(K32))))*(MAX($D$16,(E83)-(K32))),0.000001))^2)/(2*$I$5)))))+($D$10*(ABS((X32)-(W32))/90)*MAX(((ABS(G83)/MAX(((F32)+(H32)*(MAX($D$16,(D83)-(J32))))*(MAX($D$16,(D83)-(J32))),0.000001))^2)/(2*$I$5),((ABS(G83)/MAX(((G32)+(I32)*(MAX($D$16,(E83)-(K32))))*(MAX($D$16,(E83)-(K32))),0.000001))^2)/(2*$I$5)))+(($D$11*0.13607488*(ABS(H83)/MAX(ABS(F83),0.000001))^2*MAX(((ABS(G83)/MAX(((F32)+(H32)*(MAX($D$16,(D83)-(J32))))*(MAX($D$16,(D83)-(J32))),0.000001))^2)/(2*$I$5),((ABS(G83)/MAX(((G32)+(I32)*(MAX($D$16,(E83)-(K32))))*(MAX($D$16,(E83)-(K32))),0.000001))^2)/(2*$I$5))))-((ABS(G83)/MAX(((G32)+(I32)*(MAX($D$16,(E83)-(K32))))*(MAX($D$16,(E83)-(K32))),0.000001))^2)/(2*$I$5)</f>
        <v>52432.141837659095</v>
      </c>
      <c r="S83">
        <f>M83+((ABS(I83)/MAX(((G34)+(I34)*(MAX($D$16,(M83)-(K34))))*(MAX($D$16,(M83)-(K34))),0.000001))^2)/(2*$I$5)+((E34)*((((ABS(I83)*$D$6)/(MAX(((F34)+(H34)*(MAX($D$16,(E83)-(J34))))*(MAX($D$16,(E83)-(J34))),0.000001)*MAX(((((F34)+(H34)*(MAX($D$16,(E83)-(J34))))*(MAX($D$16,(E83)-(J34))))/MAX((F34)+2*(MAX($D$16,(E83)-(J34)))*SQRT(1+(H34)^2),0.000001))^(2/3),0.000001)))^2)+(((ABS(I83)*$D$6)/(MAX(((G34)+(I34)*(MAX($D$16,(M83)-(K34))))*(MAX($D$16,(M83)-(K34))),0.000001)*MAX(((((G34)+(I34)*(MAX($D$16,(M83)-(K34))))*(MAX($D$16,(M83)-(K34))))/MAX((G34)+2*(MAX($D$16,(M83)-(K34)))*SQRT(1+(I34)^2),0.000001))^(2/3),0.000001)))^2))/2)+(IF((ABS(I83)/MAX(((G34)+(I34)*(MAX($D$16,(M83)-(K34))))*(MAX($D$16,(M83)-(K34))),0.000001))&gt;(ABS(I83)/MAX(((F34)+(H34)*(MAX($D$16,(E83)-(J34))))*(MAX($D$16,(E83)-(J34))),0.000001)),$D$9*((((ABS(I83)/MAX(((G34)+(I34)*(MAX($D$16,(M83)-(K34))))*(MAX($D$16,(M83)-(K34))),0.000001))^2)/(2*$I$5))-(((ABS(I83)/MAX(((F34)+(H34)*(MAX($D$16,(E83)-(J34))))*(MAX($D$16,(E83)-(J34))),0.000001))^2)/(2*$I$5))),$D$8*((((ABS(I83)/MAX(((F34)+(H34)*(MAX($D$16,(E83)-(J34))))*(MAX($D$16,(E83)-(J34))),0.000001))^2)/(2*$I$5))-(((ABS(I83)/MAX(((G34)+(I34)*(MAX($D$16,(M83)-(K34))))*(MAX($D$16,(M83)-(K34))),0.000001))^2)/(2*$I$5)))))+($D$10*(ABS((X34)-(W34))/90)*MAX(((ABS(I83)/MAX(((F34)+(H34)*(MAX($D$16,(E83)-(J34))))*(MAX($D$16,(E83)-(J34))),0.000001))^2)/(2*$I$5),((ABS(I83)/MAX(((G34)+(I34)*(MAX($D$16,(M83)-(K34))))*(MAX($D$16,(M83)-(K34))),0.000001))^2)/(2*$I$5)))+(0)-((ABS(I83)/MAX(((F34)+(H34)*(MAX($D$16,(E83)-(J34))))*(MAX($D$16,(E83)-(J34))),0.000001))^2)/(2*$I$5)</f>
        <v>635.5</v>
      </c>
      <c r="T83">
        <f>N83+((ABS(J83)/MAX(((G35)+(I35)*(MAX($D$16,(N83)-(K35))))*(MAX($D$16,(N83)-(K35))),0.000001))^2)/(2*$I$5)+((E35)*((((ABS(J83)*$D$6)/(MAX(((F35)+(H35)*(MAX($D$16,(E83)-(J35))))*(MAX($D$16,(E83)-(J35))),0.000001)*MAX(((((F35)+(H35)*(MAX($D$16,(E83)-(J35))))*(MAX($D$16,(E83)-(J35))))/MAX((F35)+2*(MAX($D$16,(E83)-(J35)))*SQRT(1+(H35)^2),0.000001))^(2/3),0.000001)))^2)+(((ABS(J83)*$D$6)/(MAX(((G35)+(I35)*(MAX($D$16,(N83)-(K35))))*(MAX($D$16,(N83)-(K35))),0.000001)*MAX(((((G35)+(I35)*(MAX($D$16,(N83)-(K35))))*(MAX($D$16,(N83)-(K35))))/MAX((G35)+2*(MAX($D$16,(N83)-(K35)))*SQRT(1+(I35)^2),0.000001))^(2/3),0.000001)))^2))/2)+(IF((ABS(J83)/MAX(((G35)+(I35)*(MAX($D$16,(N83)-(K35))))*(MAX($D$16,(N83)-(K35))),0.000001))&gt;(ABS(J83)/MAX(((F35)+(H35)*(MAX($D$16,(E83)-(J35))))*(MAX($D$16,(E83)-(J35))),0.000001)),$D$9*((((ABS(J83)/MAX(((G35)+(I35)*(MAX($D$16,(N83)-(K35))))*(MAX($D$16,(N83)-(K35))),0.000001))^2)/(2*$I$5))-(((ABS(J83)/MAX(((F35)+(H35)*(MAX($D$16,(E83)-(J35))))*(MAX($D$16,(E83)-(J35))),0.000001))^2)/(2*$I$5))),$D$8*((((ABS(J83)/MAX(((F35)+(H35)*(MAX($D$16,(E83)-(J35))))*(MAX($D$16,(E83)-(J35))),0.000001))^2)/(2*$I$5))-(((ABS(J83)/MAX(((G35)+(I35)*(MAX($D$16,(N83)-(K35))))*(MAX($D$16,(N83)-(K35))),0.000001))^2)/(2*$I$5)))))+($D$10*(ABS((X35)-(W35))/90)*MAX(((ABS(J83)/MAX(((F35)+(H35)*(MAX($D$16,(E83)-(J35))))*(MAX($D$16,(E83)-(J35))),0.000001))^2)/(2*$I$5),((ABS(J83)/MAX(((G35)+(I35)*(MAX($D$16,(N83)-(K35))))*(MAX($D$16,(N83)-(K35))),0.000001))^2)/(2*$I$5)))+(($D$11*0.34699541*(ABS(I83)/MAX(ABS(G83),0.000001))^2*MAX(((ABS(J83)/MAX(((F35)+(H35)*(MAX($D$16,(E83)-(J35))))*(MAX($D$16,(E83)-(J35))),0.000001))^2)/(2*$I$5),((ABS(J83)/MAX(((G35)+(I35)*(MAX($D$16,(N83)-(K35))))*(MAX($D$16,(N83)-(K35))),0.000001))^2)/(2*$I$5))))-((ABS(J83)/MAX(((F35)+(H35)*(MAX($D$16,(E83)-(J35))))*(MAX($D$16,(E83)-(J35))),0.000001))^2)/(2*$I$5)</f>
        <v>20784.033523923383</v>
      </c>
      <c r="U83">
        <f>(((((F32)*(MAX($D$16,(D83)-(J32)))^2)/2+(H32)*(MAX($D$16,(D83)-(J32)))^3/3+(ABS(G83)^2)/($I$5*MAX(((F32)+(H32)*(MAX($D$16,(D83)-(J32))))*(MAX($D$16,(D83)-(J32))),0.000001)))*0.72785025)-((((F33)*(MAX($D$16,(D83)-(J33)))^2)/2+(H33)*(MAX($D$16,(D83)-(J33)))^3/3+(ABS(H83)^2)/($I$5*MAX(((F33)+(H33)*(MAX($D$16,(D83)-(J33))))*(MAX($D$16,(D83)-(J33))),0.000001)))*0.99999971))/MAX(((G31)*(MAX($D$16,(D83)-(K31)))^2)/2+(I31)*(MAX($D$16,(D83)-(K31)))^3/3+(ABS(F83)^2)/($I$5*MAX(((G31)+(I31)*(MAX($D$16,(D83)-(K31))))*(MAX($D$16,(D83)-(K31))),0.000001)),0.000001)</f>
        <v>-0.27214945999991119</v>
      </c>
      <c r="V83">
        <f>(((((F34)*(MAX($D$16,(E83)-(J34)))^2)/2+(H34)*(MAX($D$16,(E83)-(J34)))^3/3+(ABS(I83)^2)/($I$5*MAX(((F34)+(H34)*(MAX($D$16,(E83)-(J34))))*(MAX($D$16,(E83)-(J34))),0.000001)))*1)-((((F35)*(MAX($D$16,(E83)-(J35)))^2)/2+(H35)*(MAX($D$16,(E83)-(J35)))^3/3+(ABS(J83)^2)/($I$5*MAX(((F35)+(H35)*(MAX($D$16,(E83)-(J35))))*(MAX($D$16,(E83)-(J35))),0.000001)))*0.30600918))/MAX(((G32)*(MAX($D$16,(E83)-(K32)))^2)/2+(I32)*(MAX($D$16,(E83)-(K32)))^3/3+(ABS(G83)^2)/($I$5*MAX(((G32)+(I32)*(MAX($D$16,(E83)-(K32))))*(MAX($D$16,(E83)-(K32))),0.000001)),0.000001)</f>
        <v>0.69398638937190393</v>
      </c>
      <c r="W83">
        <f>IF(N6="None",ABS(P83-D83),MAX(ABS(P83-D83),ABS(Q83-D83)))</f>
        <v>3.4197000786662102E-10</v>
      </c>
      <c r="X83">
        <f>IF(AND(N7="None",N8="None"),0,IF(N8="None",ABS(S83-E83),IF(N7="None",ABS(T83-E83),MAX(ABS(S83-E83),ABS(T83-E83)))))</f>
        <v>51796.641837658754</v>
      </c>
      <c r="AA83">
        <f t="shared" si="18"/>
        <v>52432.141837659081</v>
      </c>
      <c r="AB83">
        <f t="shared" si="19"/>
        <v>41355.303927851375</v>
      </c>
      <c r="AC83">
        <f>IF(N6="None",P83,MAX(P83,Q83))</f>
        <v>52432.141837659306</v>
      </c>
      <c r="AD83">
        <f>IF(AND(N7="None",N8="None"),E83,IF(N8="None",S83,IF(N7="None",T83,MAX(S83,T83))))</f>
        <v>20784.033523923383</v>
      </c>
      <c r="AE83">
        <f t="shared" si="20"/>
        <v>637.65825101089831</v>
      </c>
      <c r="AF83">
        <f t="shared" si="21"/>
        <v>52432.141837659095</v>
      </c>
      <c r="AG83">
        <f>((G31)*(MAX($D$16,(AC83)-(K31)))^2)/2+(I31)*(MAX($D$16,(AC83)-(K31)))^3/3+(ABS(F83)^2)/($I$5*MAX(((G31)+(I31)*(MAX($D$16,(AC83)-(K31))))*(MAX($D$16,(AC83)-(K31))),0.000001))</f>
        <v>8797611517.4107208</v>
      </c>
      <c r="AH83">
        <f>((G31)*(MAX($D$16,(AE83)-(K31)))^2)/2+(I31)*(MAX($D$16,(AE83)-(K31)))^3/3+(ABS(F83)^2)/($I$5*MAX(((G31)+(I31)*(MAX($D$16,(AE83)-(K31))))*(MAX($D$16,(AE83)-(K31))),0.000001))</f>
        <v>49.055863329575246</v>
      </c>
      <c r="AI83">
        <f>((G32)*(MAX($D$16,(AD83)-(K32)))^2)/2+(I32)*(MAX($D$16,(AD83)-(K32)))^3/3+(ABS(G83)^2)/($I$5*MAX(((G32)+(I32)*(MAX($D$16,(AD83)-(K32))))*(MAX($D$16,(AD83)-(K32))),0.000001))</f>
        <v>2072376743.6648321</v>
      </c>
      <c r="AJ83">
        <f>((G32)*(MAX($D$16,(AF83)-(K32)))^2)/2+(I32)*(MAX($D$16,(AF83)-(K32)))^3/3+(ABS(G83)^2)/($I$5*MAX(((G32)+(I32)*(MAX($D$16,(AF83)-(K32))))*(MAX($D$16,(AF83)-(K32))),0.000001))</f>
        <v>13692714789.64255</v>
      </c>
      <c r="AK83" t="str">
        <f t="shared" si="22"/>
        <v>Subcritical</v>
      </c>
      <c r="AL83" t="str">
        <f t="shared" si="23"/>
        <v>Supercritical</v>
      </c>
      <c r="AM83">
        <f t="shared" si="24"/>
        <v>52432.141837659081</v>
      </c>
      <c r="AN83">
        <f t="shared" si="25"/>
        <v>52432.14183765887</v>
      </c>
      <c r="AO83">
        <f t="shared" si="26"/>
        <v>3.4197000786662102E-10</v>
      </c>
      <c r="AP83">
        <f t="shared" si="27"/>
        <v>3.4197000786662102E-10</v>
      </c>
    </row>
    <row r="84" spans="1:42" x14ac:dyDescent="0.35">
      <c r="A84">
        <v>41</v>
      </c>
      <c r="B84">
        <f t="shared" si="28"/>
        <v>0</v>
      </c>
      <c r="C84">
        <f t="shared" si="29"/>
        <v>0</v>
      </c>
      <c r="D84">
        <f t="shared" si="30"/>
        <v>52432.141837659081</v>
      </c>
      <c r="E84">
        <f t="shared" si="31"/>
        <v>52432.14183765887</v>
      </c>
      <c r="F84">
        <f t="shared" si="17"/>
        <v>51</v>
      </c>
      <c r="G84">
        <f>IF(N6="None",F84,MAX(0,F84*B84))</f>
        <v>51</v>
      </c>
      <c r="H84">
        <f>IF(N6="None",0,MAX(0,F84-G84))</f>
        <v>0</v>
      </c>
      <c r="I84">
        <f>IF(AND(N7="None",N8="None"),0,IF(N8="None",G84,IF(N7="None",0,MAX(0,G84*C84))))</f>
        <v>0</v>
      </c>
      <c r="J84">
        <f>IF(AND(N7="None",N8="None"),0,IF(N8="None",0,IF(N7="None",G84,MAX(0,G84-I84))))</f>
        <v>51</v>
      </c>
      <c r="K84">
        <f>P5</f>
        <v>637</v>
      </c>
      <c r="L84">
        <f>P6</f>
        <v>634.3119999999999</v>
      </c>
      <c r="M84">
        <f>P7</f>
        <v>635.5</v>
      </c>
      <c r="N84">
        <f>P8</f>
        <v>631.54999999999995</v>
      </c>
      <c r="O84">
        <f>K84+((ABS(F84)/MAX(((F31)+(H31)*(MAX($D$16,(K84)-(J31))))*(MAX($D$16,(K84)-(J31))),0.000001))^2)/(2*$I$5)-((E31)*((((ABS(F84)*$D$6)/(MAX(((F31)+(H31)*(MAX($D$16,(K84)-(J31))))*(MAX($D$16,(K84)-(J31))),0.000001)*MAX(((((F31)+(H31)*(MAX($D$16,(K84)-(J31))))*(MAX($D$16,(K84)-(J31))))/MAX((F31)+2*(MAX($D$16,(K84)-(J31)))*SQRT(1+(H31)^2),0.000001))^(2/3),0.000001)))^2)+(((ABS(F84)*$D$6)/(MAX(((G31)+(I31)*(MAX($D$16,(D84)-(K31))))*(MAX($D$16,(D84)-(K31))),0.000001)*MAX(((((G31)+(I31)*(MAX($D$16,(D84)-(K31))))*(MAX($D$16,(D84)-(K31))))/MAX((G31)+2*(MAX($D$16,(D84)-(K31)))*SQRT(1+(I31)^2),0.000001))^(2/3),0.000001)))^2))/2)+(IF((ABS(F84)/MAX(((G31)+(I31)*(MAX($D$16,(D84)-(K31))))*(MAX($D$16,(D84)-(K31))),0.000001))&gt;(ABS(F84)/MAX(((F31)+(H31)*(MAX($D$16,(K84)-(J31))))*(MAX($D$16,(K84)-(J31))),0.000001)),$D$9*((((ABS(F84)/MAX(((G31)+(I31)*(MAX($D$16,(D84)-(K31))))*(MAX($D$16,(D84)-(K31))),0.000001))^2)/(2*$I$5))-(((ABS(F84)/MAX(((F31)+(H31)*(MAX($D$16,(K84)-(J31))))*(MAX($D$16,(K84)-(J31))),0.000001))^2)/(2*$I$5))),$D$8*((((ABS(F84)/MAX(((F31)+(H31)*(MAX($D$16,(K84)-(J31))))*(MAX($D$16,(K84)-(J31))),0.000001))^2)/(2*$I$5))-(((ABS(F84)/MAX(((G31)+(I31)*(MAX($D$16,(D84)-(K31))))*(MAX($D$16,(D84)-(K31))),0.000001))^2)/(2*$I$5)))))+($D$10*(ABS((X31)-(W31))/90)*MAX(((ABS(F84)/MAX(((F31)+(H31)*(MAX($D$16,(K84)-(J31))))*(MAX($D$16,(K84)-(J31))),0.000001))^2)/(2*$I$5),((ABS(F84)/MAX(((G31)+(I31)*(MAX($D$16,(D84)-(K31))))*(MAX($D$16,(D84)-(K31))),0.000001))^2)/(2*$I$5)))+(0)-((ABS(F84)/MAX(((G31)+(I31)*(MAX($D$16,(D84)-(K31))))*(MAX($D$16,(D84)-(K31))),0.000001))^2)/(2*$I$5)</f>
        <v>637.65825101089831</v>
      </c>
      <c r="P84">
        <f>E84+((ABS(G84)/MAX(((G32)+(I32)*(MAX($D$16,(E84)-(K32))))*(MAX($D$16,(E84)-(K32))),0.000001))^2)/(2*$I$5)+((E32)*((((ABS(G84)*$D$6)/(MAX(((F32)+(H32)*(MAX($D$16,(D84)-(J32))))*(MAX($D$16,(D84)-(J32))),0.000001)*MAX(((((F32)+(H32)*(MAX($D$16,(D84)-(J32))))*(MAX($D$16,(D84)-(J32))))/MAX((F32)+2*(MAX($D$16,(D84)-(J32)))*SQRT(1+(H32)^2),0.000001))^(2/3),0.000001)))^2)+(((ABS(G84)*$D$6)/(MAX(((G32)+(I32)*(MAX($D$16,(E84)-(K32))))*(MAX($D$16,(E84)-(K32))),0.000001)*MAX(((((G32)+(I32)*(MAX($D$16,(E84)-(K32))))*(MAX($D$16,(E84)-(K32))))/MAX((G32)+2*(MAX($D$16,(E84)-(K32)))*SQRT(1+(I32)^2),0.000001))^(2/3),0.000001)))^2))/2)+(IF((ABS(G84)/MAX(((G32)+(I32)*(MAX($D$16,(E84)-(K32))))*(MAX($D$16,(E84)-(K32))),0.000001))&gt;(ABS(G84)/MAX(((F32)+(H32)*(MAX($D$16,(D84)-(J32))))*(MAX($D$16,(D84)-(J32))),0.000001)),$D$9*((((ABS(G84)/MAX(((G32)+(I32)*(MAX($D$16,(E84)-(K32))))*(MAX($D$16,(E84)-(K32))),0.000001))^2)/(2*$I$5))-(((ABS(G84)/MAX(((F32)+(H32)*(MAX($D$16,(D84)-(J32))))*(MAX($D$16,(D84)-(J32))),0.000001))^2)/(2*$I$5))),$D$8*((((ABS(G84)/MAX(((F32)+(H32)*(MAX($D$16,(D84)-(J32))))*(MAX($D$16,(D84)-(J32))),0.000001))^2)/(2*$I$5))-(((ABS(G84)/MAX(((G32)+(I32)*(MAX($D$16,(E84)-(K32))))*(MAX($D$16,(E84)-(K32))),0.000001))^2)/(2*$I$5)))))+($D$10*(ABS((X32)-(W32))/90)*MAX(((ABS(G84)/MAX(((F32)+(H32)*(MAX($D$16,(D84)-(J32))))*(MAX($D$16,(D84)-(J32))),0.000001))^2)/(2*$I$5),((ABS(G84)/MAX(((G32)+(I32)*(MAX($D$16,(E84)-(K32))))*(MAX($D$16,(E84)-(K32))),0.000001))^2)/(2*$I$5)))+(($D$11*0.13607488*(ABS(H84)/MAX(ABS(F84),0.000001))^2*MAX(((ABS(G84)/MAX(((F32)+(H32)*(MAX($D$16,(D84)-(J32))))*(MAX($D$16,(D84)-(J32))),0.000001))^2)/(2*$I$5),((ABS(G84)/MAX(((G32)+(I32)*(MAX($D$16,(E84)-(K32))))*(MAX($D$16,(E84)-(K32))),0.000001))^2)/(2*$I$5))))-((ABS(G84)/MAX(((F32)+(H32)*(MAX($D$16,(D84)-(J32))))*(MAX($D$16,(D84)-(J32))),0.000001))^2)/(2*$I$5)</f>
        <v>52432.141837659423</v>
      </c>
      <c r="Q84">
        <f>L84+((ABS(H84)/MAX(((G33)+(I33)*(MAX($D$16,(L84)-(K33))))*(MAX($D$16,(L84)-(K33))),0.000001))^2)/(2*$I$5)+((E33)*((((ABS(H84)*$D$6)/(MAX(((F33)+(H33)*(MAX($D$16,(D84)-(J33))))*(MAX($D$16,(D84)-(J33))),0.000001)*MAX(((((F33)+(H33)*(MAX($D$16,(D84)-(J33))))*(MAX($D$16,(D84)-(J33))))/MAX((F33)+2*(MAX($D$16,(D84)-(J33)))*SQRT(1+(H33)^2),0.000001))^(2/3),0.000001)))^2)+(((ABS(H84)*$D$6)/(MAX(((G33)+(I33)*(MAX($D$16,(L84)-(K33))))*(MAX($D$16,(L84)-(K33))),0.000001)*MAX(((((G33)+(I33)*(MAX($D$16,(L84)-(K33))))*(MAX($D$16,(L84)-(K33))))/MAX((G33)+2*(MAX($D$16,(L84)-(K33)))*SQRT(1+(I33)^2),0.000001))^(2/3),0.000001)))^2))/2)+(IF((ABS(H84)/MAX(((G33)+(I33)*(MAX($D$16,(L84)-(K33))))*(MAX($D$16,(L84)-(K33))),0.000001))&gt;(ABS(H84)/MAX(((F33)+(H33)*(MAX($D$16,(D84)-(J33))))*(MAX($D$16,(D84)-(J33))),0.000001)),$D$9*((((ABS(H84)/MAX(((G33)+(I33)*(MAX($D$16,(L84)-(K33))))*(MAX($D$16,(L84)-(K33))),0.000001))^2)/(2*$I$5))-(((ABS(H84)/MAX(((F33)+(H33)*(MAX($D$16,(D84)-(J33))))*(MAX($D$16,(D84)-(J33))),0.000001))^2)/(2*$I$5))),$D$8*((((ABS(H84)/MAX(((F33)+(H33)*(MAX($D$16,(D84)-(J33))))*(MAX($D$16,(D84)-(J33))),0.000001))^2)/(2*$I$5))-(((ABS(H84)/MAX(((G33)+(I33)*(MAX($D$16,(L84)-(K33))))*(MAX($D$16,(L84)-(K33))),0.000001))^2)/(2*$I$5)))))+($D$10*(ABS((X33)-(W33))/90)*MAX(((ABS(H84)/MAX(((F33)+(H33)*(MAX($D$16,(D84)-(J33))))*(MAX($D$16,(D84)-(J33))),0.000001))^2)/(2*$I$5),((ABS(H84)/MAX(((G33)+(I33)*(MAX($D$16,(L84)-(K33))))*(MAX($D$16,(L84)-(K33))),0.000001))^2)/(2*$I$5)))+(($D$11*0.00000015*(ABS(G84)/MAX(ABS(F84),0.000001))^2*MAX(((ABS(H84)/MAX(((F33)+(H33)*(MAX($D$16,(D84)-(J33))))*(MAX($D$16,(D84)-(J33))),0.000001))^2)/(2*$I$5),((ABS(H84)/MAX(((G33)+(I33)*(MAX($D$16,(L84)-(K33))))*(MAX($D$16,(L84)-(K33))),0.000001))^2)/(2*$I$5))))-((ABS(H84)/MAX(((F33)+(H33)*(MAX($D$16,(D84)-(J33))))*(MAX($D$16,(D84)-(J33))),0.000001))^2)/(2*$I$5)</f>
        <v>634.3119999999999</v>
      </c>
      <c r="R84">
        <f>D84+((ABS(G84)/MAX(((F32)+(H32)*(MAX($D$16,(D84)-(J32))))*(MAX($D$16,(D84)-(J32))),0.000001))^2)/(2*$I$5)-((E32)*((((ABS(G84)*$D$6)/(MAX(((F32)+(H32)*(MAX($D$16,(D84)-(J32))))*(MAX($D$16,(D84)-(J32))),0.000001)*MAX(((((F32)+(H32)*(MAX($D$16,(D84)-(J32))))*(MAX($D$16,(D84)-(J32))))/MAX((F32)+2*(MAX($D$16,(D84)-(J32)))*SQRT(1+(H32)^2),0.000001))^(2/3),0.000001)))^2)+(((ABS(G84)*$D$6)/(MAX(((G32)+(I32)*(MAX($D$16,(E84)-(K32))))*(MAX($D$16,(E84)-(K32))),0.000001)*MAX(((((G32)+(I32)*(MAX($D$16,(E84)-(K32))))*(MAX($D$16,(E84)-(K32))))/MAX((G32)+2*(MAX($D$16,(E84)-(K32)))*SQRT(1+(I32)^2),0.000001))^(2/3),0.000001)))^2))/2)+(IF((ABS(G84)/MAX(((G32)+(I32)*(MAX($D$16,(E84)-(K32))))*(MAX($D$16,(E84)-(K32))),0.000001))&gt;(ABS(G84)/MAX(((F32)+(H32)*(MAX($D$16,(D84)-(J32))))*(MAX($D$16,(D84)-(J32))),0.000001)),$D$9*((((ABS(G84)/MAX(((G32)+(I32)*(MAX($D$16,(E84)-(K32))))*(MAX($D$16,(E84)-(K32))),0.000001))^2)/(2*$I$5))-(((ABS(G84)/MAX(((F32)+(H32)*(MAX($D$16,(D84)-(J32))))*(MAX($D$16,(D84)-(J32))),0.000001))^2)/(2*$I$5))),$D$8*((((ABS(G84)/MAX(((F32)+(H32)*(MAX($D$16,(D84)-(J32))))*(MAX($D$16,(D84)-(J32))),0.000001))^2)/(2*$I$5))-(((ABS(G84)/MAX(((G32)+(I32)*(MAX($D$16,(E84)-(K32))))*(MAX($D$16,(E84)-(K32))),0.000001))^2)/(2*$I$5)))))+($D$10*(ABS((X32)-(W32))/90)*MAX(((ABS(G84)/MAX(((F32)+(H32)*(MAX($D$16,(D84)-(J32))))*(MAX($D$16,(D84)-(J32))),0.000001))^2)/(2*$I$5),((ABS(G84)/MAX(((G32)+(I32)*(MAX($D$16,(E84)-(K32))))*(MAX($D$16,(E84)-(K32))),0.000001))^2)/(2*$I$5)))+(($D$11*0.13607488*(ABS(H84)/MAX(ABS(F84),0.000001))^2*MAX(((ABS(G84)/MAX(((F32)+(H32)*(MAX($D$16,(D84)-(J32))))*(MAX($D$16,(D84)-(J32))),0.000001))^2)/(2*$I$5),((ABS(G84)/MAX(((G32)+(I32)*(MAX($D$16,(E84)-(K32))))*(MAX($D$16,(E84)-(K32))),0.000001))^2)/(2*$I$5))))-((ABS(G84)/MAX(((G32)+(I32)*(MAX($D$16,(E84)-(K32))))*(MAX($D$16,(E84)-(K32))),0.000001))^2)/(2*$I$5)</f>
        <v>52432.141837659212</v>
      </c>
      <c r="S84">
        <f>M84+((ABS(I84)/MAX(((G34)+(I34)*(MAX($D$16,(M84)-(K34))))*(MAX($D$16,(M84)-(K34))),0.000001))^2)/(2*$I$5)+((E34)*((((ABS(I84)*$D$6)/(MAX(((F34)+(H34)*(MAX($D$16,(E84)-(J34))))*(MAX($D$16,(E84)-(J34))),0.000001)*MAX(((((F34)+(H34)*(MAX($D$16,(E84)-(J34))))*(MAX($D$16,(E84)-(J34))))/MAX((F34)+2*(MAX($D$16,(E84)-(J34)))*SQRT(1+(H34)^2),0.000001))^(2/3),0.000001)))^2)+(((ABS(I84)*$D$6)/(MAX(((G34)+(I34)*(MAX($D$16,(M84)-(K34))))*(MAX($D$16,(M84)-(K34))),0.000001)*MAX(((((G34)+(I34)*(MAX($D$16,(M84)-(K34))))*(MAX($D$16,(M84)-(K34))))/MAX((G34)+2*(MAX($D$16,(M84)-(K34)))*SQRT(1+(I34)^2),0.000001))^(2/3),0.000001)))^2))/2)+(IF((ABS(I84)/MAX(((G34)+(I34)*(MAX($D$16,(M84)-(K34))))*(MAX($D$16,(M84)-(K34))),0.000001))&gt;(ABS(I84)/MAX(((F34)+(H34)*(MAX($D$16,(E84)-(J34))))*(MAX($D$16,(E84)-(J34))),0.000001)),$D$9*((((ABS(I84)/MAX(((G34)+(I34)*(MAX($D$16,(M84)-(K34))))*(MAX($D$16,(M84)-(K34))),0.000001))^2)/(2*$I$5))-(((ABS(I84)/MAX(((F34)+(H34)*(MAX($D$16,(E84)-(J34))))*(MAX($D$16,(E84)-(J34))),0.000001))^2)/(2*$I$5))),$D$8*((((ABS(I84)/MAX(((F34)+(H34)*(MAX($D$16,(E84)-(J34))))*(MAX($D$16,(E84)-(J34))),0.000001))^2)/(2*$I$5))-(((ABS(I84)/MAX(((G34)+(I34)*(MAX($D$16,(M84)-(K34))))*(MAX($D$16,(M84)-(K34))),0.000001))^2)/(2*$I$5)))))+($D$10*(ABS((X34)-(W34))/90)*MAX(((ABS(I84)/MAX(((F34)+(H34)*(MAX($D$16,(E84)-(J34))))*(MAX($D$16,(E84)-(J34))),0.000001))^2)/(2*$I$5),((ABS(I84)/MAX(((G34)+(I34)*(MAX($D$16,(M84)-(K34))))*(MAX($D$16,(M84)-(K34))),0.000001))^2)/(2*$I$5)))+(0)-((ABS(I84)/MAX(((F34)+(H34)*(MAX($D$16,(E84)-(J34))))*(MAX($D$16,(E84)-(J34))),0.000001))^2)/(2*$I$5)</f>
        <v>635.5</v>
      </c>
      <c r="T84">
        <f>N84+((ABS(J84)/MAX(((G35)+(I35)*(MAX($D$16,(N84)-(K35))))*(MAX($D$16,(N84)-(K35))),0.000001))^2)/(2*$I$5)+((E35)*((((ABS(J84)*$D$6)/(MAX(((F35)+(H35)*(MAX($D$16,(E84)-(J35))))*(MAX($D$16,(E84)-(J35))),0.000001)*MAX(((((F35)+(H35)*(MAX($D$16,(E84)-(J35))))*(MAX($D$16,(E84)-(J35))))/MAX((F35)+2*(MAX($D$16,(E84)-(J35)))*SQRT(1+(H35)^2),0.000001))^(2/3),0.000001)))^2)+(((ABS(J84)*$D$6)/(MAX(((G35)+(I35)*(MAX($D$16,(N84)-(K35))))*(MAX($D$16,(N84)-(K35))),0.000001)*MAX(((((G35)+(I35)*(MAX($D$16,(N84)-(K35))))*(MAX($D$16,(N84)-(K35))))/MAX((G35)+2*(MAX($D$16,(N84)-(K35)))*SQRT(1+(I35)^2),0.000001))^(2/3),0.000001)))^2))/2)+(IF((ABS(J84)/MAX(((G35)+(I35)*(MAX($D$16,(N84)-(K35))))*(MAX($D$16,(N84)-(K35))),0.000001))&gt;(ABS(J84)/MAX(((F35)+(H35)*(MAX($D$16,(E84)-(J35))))*(MAX($D$16,(E84)-(J35))),0.000001)),$D$9*((((ABS(J84)/MAX(((G35)+(I35)*(MAX($D$16,(N84)-(K35))))*(MAX($D$16,(N84)-(K35))),0.000001))^2)/(2*$I$5))-(((ABS(J84)/MAX(((F35)+(H35)*(MAX($D$16,(E84)-(J35))))*(MAX($D$16,(E84)-(J35))),0.000001))^2)/(2*$I$5))),$D$8*((((ABS(J84)/MAX(((F35)+(H35)*(MAX($D$16,(E84)-(J35))))*(MAX($D$16,(E84)-(J35))),0.000001))^2)/(2*$I$5))-(((ABS(J84)/MAX(((G35)+(I35)*(MAX($D$16,(N84)-(K35))))*(MAX($D$16,(N84)-(K35))),0.000001))^2)/(2*$I$5)))))+($D$10*(ABS((X35)-(W35))/90)*MAX(((ABS(J84)/MAX(((F35)+(H35)*(MAX($D$16,(E84)-(J35))))*(MAX($D$16,(E84)-(J35))),0.000001))^2)/(2*$I$5),((ABS(J84)/MAX(((G35)+(I35)*(MAX($D$16,(N84)-(K35))))*(MAX($D$16,(N84)-(K35))),0.000001))^2)/(2*$I$5)))+(($D$11*0.34699541*(ABS(I84)/MAX(ABS(G84),0.000001))^2*MAX(((ABS(J84)/MAX(((F35)+(H35)*(MAX($D$16,(E84)-(J35))))*(MAX($D$16,(E84)-(J35))),0.000001))^2)/(2*$I$5),((ABS(J84)/MAX(((G35)+(I35)*(MAX($D$16,(N84)-(K35))))*(MAX($D$16,(N84)-(K35))),0.000001))^2)/(2*$I$5))))-((ABS(J84)/MAX(((F35)+(H35)*(MAX($D$16,(E84)-(J35))))*(MAX($D$16,(E84)-(J35))),0.000001))^2)/(2*$I$5)</f>
        <v>20784.033523923383</v>
      </c>
      <c r="U84">
        <f>(((((F32)*(MAX($D$16,(D84)-(J32)))^2)/2+(H32)*(MAX($D$16,(D84)-(J32)))^3/3+(ABS(G84)^2)/($I$5*MAX(((F32)+(H32)*(MAX($D$16,(D84)-(J32))))*(MAX($D$16,(D84)-(J32))),0.000001)))*0.72785025)-((((F33)*(MAX($D$16,(D84)-(J33)))^2)/2+(H33)*(MAX($D$16,(D84)-(J33)))^3/3+(ABS(H84)^2)/($I$5*MAX(((F33)+(H33)*(MAX($D$16,(D84)-(J33))))*(MAX($D$16,(D84)-(J33))),0.000001)))*0.99999971))/MAX(((G31)*(MAX($D$16,(D84)-(K31)))^2)/2+(I31)*(MAX($D$16,(D84)-(K31)))^3/3+(ABS(F84)^2)/($I$5*MAX(((G31)+(I31)*(MAX($D$16,(D84)-(K31))))*(MAX($D$16,(D84)-(K31))),0.000001)),0.000001)</f>
        <v>-0.27214945999991125</v>
      </c>
      <c r="V84">
        <f>(((((F34)*(MAX($D$16,(E84)-(J34)))^2)/2+(H34)*(MAX($D$16,(E84)-(J34)))^3/3+(ABS(I84)^2)/($I$5*MAX(((F34)+(H34)*(MAX($D$16,(E84)-(J34))))*(MAX($D$16,(E84)-(J34))),0.000001)))*1)-((((F35)*(MAX($D$16,(E84)-(J35)))^2)/2+(H35)*(MAX($D$16,(E84)-(J35)))^3/3+(ABS(J84)^2)/($I$5*MAX(((F35)+(H35)*(MAX($D$16,(E84)-(J35))))*(MAX($D$16,(E84)-(J35))),0.000001)))*0.30600918))/MAX(((G32)*(MAX($D$16,(E84)-(K32)))^2)/2+(I32)*(MAX($D$16,(E84)-(K32)))^3/3+(ABS(G84)^2)/($I$5*MAX(((G32)+(I32)*(MAX($D$16,(E84)-(K32))))*(MAX($D$16,(E84)-(K32))),0.000001)),0.000001)</f>
        <v>0.69398638937190382</v>
      </c>
      <c r="W84">
        <f>IF(N6="None",ABS(P84-D84),MAX(ABS(P84-D84),ABS(Q84-D84)))</f>
        <v>3.4197000786662102E-10</v>
      </c>
      <c r="X84">
        <f>IF(AND(N7="None",N8="None"),0,IF(N8="None",ABS(S84-E84),IF(N7="None",ABS(T84-E84),MAX(ABS(S84-E84),ABS(T84-E84)))))</f>
        <v>51796.64183765887</v>
      </c>
      <c r="AA84">
        <f t="shared" si="18"/>
        <v>52432.141837659197</v>
      </c>
      <c r="AB84">
        <f t="shared" si="19"/>
        <v>41355.303927851448</v>
      </c>
      <c r="AC84">
        <f>IF(N6="None",P84,MAX(P84,Q84))</f>
        <v>52432.141837659423</v>
      </c>
      <c r="AD84">
        <f>IF(AND(N7="None",N8="None"),E84,IF(N8="None",S84,IF(N7="None",T84,MAX(S84,T84))))</f>
        <v>20784.033523923383</v>
      </c>
      <c r="AE84">
        <f t="shared" si="20"/>
        <v>637.65825101089831</v>
      </c>
      <c r="AF84">
        <f t="shared" si="21"/>
        <v>52432.141837659212</v>
      </c>
      <c r="AG84">
        <f>((G31)*(MAX($D$16,(AC84)-(K31)))^2)/2+(I31)*(MAX($D$16,(AC84)-(K31)))^3/3+(ABS(F84)^2)/($I$5*MAX(((G31)+(I31)*(MAX($D$16,(AC84)-(K31))))*(MAX($D$16,(AC84)-(K31))),0.000001))</f>
        <v>8797611517.4107609</v>
      </c>
      <c r="AH84">
        <f>((G31)*(MAX($D$16,(AE84)-(K31)))^2)/2+(I31)*(MAX($D$16,(AE84)-(K31)))^3/3+(ABS(F84)^2)/($I$5*MAX(((G31)+(I31)*(MAX($D$16,(AE84)-(K31))))*(MAX($D$16,(AE84)-(K31))),0.000001))</f>
        <v>49.055863329575246</v>
      </c>
      <c r="AI84">
        <f>((G32)*(MAX($D$16,(AD84)-(K32)))^2)/2+(I32)*(MAX($D$16,(AD84)-(K32)))^3/3+(ABS(G84)^2)/($I$5*MAX(((G32)+(I32)*(MAX($D$16,(AD84)-(K32))))*(MAX($D$16,(AD84)-(K32))),0.000001))</f>
        <v>2072376743.6648321</v>
      </c>
      <c r="AJ84">
        <f>((G32)*(MAX($D$16,(AF84)-(K32)))^2)/2+(I32)*(MAX($D$16,(AF84)-(K32)))^3/3+(ABS(G84)^2)/($I$5*MAX(((G32)+(I32)*(MAX($D$16,(AF84)-(K32))))*(MAX($D$16,(AF84)-(K32))),0.000001))</f>
        <v>13692714789.642612</v>
      </c>
      <c r="AK84" t="str">
        <f t="shared" si="22"/>
        <v>Subcritical</v>
      </c>
      <c r="AL84" t="str">
        <f t="shared" si="23"/>
        <v>Supercritical</v>
      </c>
      <c r="AM84">
        <f t="shared" si="24"/>
        <v>52432.141837659197</v>
      </c>
      <c r="AN84">
        <f t="shared" si="25"/>
        <v>52432.141837658986</v>
      </c>
      <c r="AO84">
        <f t="shared" si="26"/>
        <v>3.4197000786662102E-10</v>
      </c>
      <c r="AP84">
        <f t="shared" si="27"/>
        <v>3.4197000786662102E-10</v>
      </c>
    </row>
    <row r="85" spans="1:42" x14ac:dyDescent="0.35">
      <c r="A85">
        <v>42</v>
      </c>
      <c r="B85">
        <f t="shared" si="28"/>
        <v>0</v>
      </c>
      <c r="C85">
        <f t="shared" si="29"/>
        <v>0</v>
      </c>
      <c r="D85">
        <f t="shared" si="30"/>
        <v>52432.141837659197</v>
      </c>
      <c r="E85">
        <f t="shared" si="31"/>
        <v>52432.141837658986</v>
      </c>
      <c r="F85">
        <f t="shared" si="17"/>
        <v>51</v>
      </c>
      <c r="G85">
        <f>IF(N6="None",F85,MAX(0,F85*B85))</f>
        <v>51</v>
      </c>
      <c r="H85">
        <f>IF(N6="None",0,MAX(0,F85-G85))</f>
        <v>0</v>
      </c>
      <c r="I85">
        <f>IF(AND(N7="None",N8="None"),0,IF(N8="None",G85,IF(N7="None",0,MAX(0,G85*C85))))</f>
        <v>0</v>
      </c>
      <c r="J85">
        <f>IF(AND(N7="None",N8="None"),0,IF(N8="None",0,IF(N7="None",G85,MAX(0,G85-I85))))</f>
        <v>51</v>
      </c>
      <c r="K85">
        <f>P5</f>
        <v>637</v>
      </c>
      <c r="L85">
        <f>P6</f>
        <v>634.3119999999999</v>
      </c>
      <c r="M85">
        <f>P7</f>
        <v>635.5</v>
      </c>
      <c r="N85">
        <f>P8</f>
        <v>631.54999999999995</v>
      </c>
      <c r="O85">
        <f>K85+((ABS(F85)/MAX(((F31)+(H31)*(MAX($D$16,(K85)-(J31))))*(MAX($D$16,(K85)-(J31))),0.000001))^2)/(2*$I$5)-((E31)*((((ABS(F85)*$D$6)/(MAX(((F31)+(H31)*(MAX($D$16,(K85)-(J31))))*(MAX($D$16,(K85)-(J31))),0.000001)*MAX(((((F31)+(H31)*(MAX($D$16,(K85)-(J31))))*(MAX($D$16,(K85)-(J31))))/MAX((F31)+2*(MAX($D$16,(K85)-(J31)))*SQRT(1+(H31)^2),0.000001))^(2/3),0.000001)))^2)+(((ABS(F85)*$D$6)/(MAX(((G31)+(I31)*(MAX($D$16,(D85)-(K31))))*(MAX($D$16,(D85)-(K31))),0.000001)*MAX(((((G31)+(I31)*(MAX($D$16,(D85)-(K31))))*(MAX($D$16,(D85)-(K31))))/MAX((G31)+2*(MAX($D$16,(D85)-(K31)))*SQRT(1+(I31)^2),0.000001))^(2/3),0.000001)))^2))/2)+(IF((ABS(F85)/MAX(((G31)+(I31)*(MAX($D$16,(D85)-(K31))))*(MAX($D$16,(D85)-(K31))),0.000001))&gt;(ABS(F85)/MAX(((F31)+(H31)*(MAX($D$16,(K85)-(J31))))*(MAX($D$16,(K85)-(J31))),0.000001)),$D$9*((((ABS(F85)/MAX(((G31)+(I31)*(MAX($D$16,(D85)-(K31))))*(MAX($D$16,(D85)-(K31))),0.000001))^2)/(2*$I$5))-(((ABS(F85)/MAX(((F31)+(H31)*(MAX($D$16,(K85)-(J31))))*(MAX($D$16,(K85)-(J31))),0.000001))^2)/(2*$I$5))),$D$8*((((ABS(F85)/MAX(((F31)+(H31)*(MAX($D$16,(K85)-(J31))))*(MAX($D$16,(K85)-(J31))),0.000001))^2)/(2*$I$5))-(((ABS(F85)/MAX(((G31)+(I31)*(MAX($D$16,(D85)-(K31))))*(MAX($D$16,(D85)-(K31))),0.000001))^2)/(2*$I$5)))))+($D$10*(ABS((X31)-(W31))/90)*MAX(((ABS(F85)/MAX(((F31)+(H31)*(MAX($D$16,(K85)-(J31))))*(MAX($D$16,(K85)-(J31))),0.000001))^2)/(2*$I$5),((ABS(F85)/MAX(((G31)+(I31)*(MAX($D$16,(D85)-(K31))))*(MAX($D$16,(D85)-(K31))),0.000001))^2)/(2*$I$5)))+(0)-((ABS(F85)/MAX(((G31)+(I31)*(MAX($D$16,(D85)-(K31))))*(MAX($D$16,(D85)-(K31))),0.000001))^2)/(2*$I$5)</f>
        <v>637.65825101089831</v>
      </c>
      <c r="P85">
        <f>E85+((ABS(G85)/MAX(((G32)+(I32)*(MAX($D$16,(E85)-(K32))))*(MAX($D$16,(E85)-(K32))),0.000001))^2)/(2*$I$5)+((E32)*((((ABS(G85)*$D$6)/(MAX(((F32)+(H32)*(MAX($D$16,(D85)-(J32))))*(MAX($D$16,(D85)-(J32))),0.000001)*MAX(((((F32)+(H32)*(MAX($D$16,(D85)-(J32))))*(MAX($D$16,(D85)-(J32))))/MAX((F32)+2*(MAX($D$16,(D85)-(J32)))*SQRT(1+(H32)^2),0.000001))^(2/3),0.000001)))^2)+(((ABS(G85)*$D$6)/(MAX(((G32)+(I32)*(MAX($D$16,(E85)-(K32))))*(MAX($D$16,(E85)-(K32))),0.000001)*MAX(((((G32)+(I32)*(MAX($D$16,(E85)-(K32))))*(MAX($D$16,(E85)-(K32))))/MAX((G32)+2*(MAX($D$16,(E85)-(K32)))*SQRT(1+(I32)^2),0.000001))^(2/3),0.000001)))^2))/2)+(IF((ABS(G85)/MAX(((G32)+(I32)*(MAX($D$16,(E85)-(K32))))*(MAX($D$16,(E85)-(K32))),0.000001))&gt;(ABS(G85)/MAX(((F32)+(H32)*(MAX($D$16,(D85)-(J32))))*(MAX($D$16,(D85)-(J32))),0.000001)),$D$9*((((ABS(G85)/MAX(((G32)+(I32)*(MAX($D$16,(E85)-(K32))))*(MAX($D$16,(E85)-(K32))),0.000001))^2)/(2*$I$5))-(((ABS(G85)/MAX(((F32)+(H32)*(MAX($D$16,(D85)-(J32))))*(MAX($D$16,(D85)-(J32))),0.000001))^2)/(2*$I$5))),$D$8*((((ABS(G85)/MAX(((F32)+(H32)*(MAX($D$16,(D85)-(J32))))*(MAX($D$16,(D85)-(J32))),0.000001))^2)/(2*$I$5))-(((ABS(G85)/MAX(((G32)+(I32)*(MAX($D$16,(E85)-(K32))))*(MAX($D$16,(E85)-(K32))),0.000001))^2)/(2*$I$5)))))+($D$10*(ABS((X32)-(W32))/90)*MAX(((ABS(G85)/MAX(((F32)+(H32)*(MAX($D$16,(D85)-(J32))))*(MAX($D$16,(D85)-(J32))),0.000001))^2)/(2*$I$5),((ABS(G85)/MAX(((G32)+(I32)*(MAX($D$16,(E85)-(K32))))*(MAX($D$16,(E85)-(K32))),0.000001))^2)/(2*$I$5)))+(($D$11*0.13607488*(ABS(H85)/MAX(ABS(F85),0.000001))^2*MAX(((ABS(G85)/MAX(((F32)+(H32)*(MAX($D$16,(D85)-(J32))))*(MAX($D$16,(D85)-(J32))),0.000001))^2)/(2*$I$5),((ABS(G85)/MAX(((G32)+(I32)*(MAX($D$16,(E85)-(K32))))*(MAX($D$16,(E85)-(K32))),0.000001))^2)/(2*$I$5))))-((ABS(G85)/MAX(((F32)+(H32)*(MAX($D$16,(D85)-(J32))))*(MAX($D$16,(D85)-(J32))),0.000001))^2)/(2*$I$5)</f>
        <v>52432.141837659539</v>
      </c>
      <c r="Q85">
        <f>L85+((ABS(H85)/MAX(((G33)+(I33)*(MAX($D$16,(L85)-(K33))))*(MAX($D$16,(L85)-(K33))),0.000001))^2)/(2*$I$5)+((E33)*((((ABS(H85)*$D$6)/(MAX(((F33)+(H33)*(MAX($D$16,(D85)-(J33))))*(MAX($D$16,(D85)-(J33))),0.000001)*MAX(((((F33)+(H33)*(MAX($D$16,(D85)-(J33))))*(MAX($D$16,(D85)-(J33))))/MAX((F33)+2*(MAX($D$16,(D85)-(J33)))*SQRT(1+(H33)^2),0.000001))^(2/3),0.000001)))^2)+(((ABS(H85)*$D$6)/(MAX(((G33)+(I33)*(MAX($D$16,(L85)-(K33))))*(MAX($D$16,(L85)-(K33))),0.000001)*MAX(((((G33)+(I33)*(MAX($D$16,(L85)-(K33))))*(MAX($D$16,(L85)-(K33))))/MAX((G33)+2*(MAX($D$16,(L85)-(K33)))*SQRT(1+(I33)^2),0.000001))^(2/3),0.000001)))^2))/2)+(IF((ABS(H85)/MAX(((G33)+(I33)*(MAX($D$16,(L85)-(K33))))*(MAX($D$16,(L85)-(K33))),0.000001))&gt;(ABS(H85)/MAX(((F33)+(H33)*(MAX($D$16,(D85)-(J33))))*(MAX($D$16,(D85)-(J33))),0.000001)),$D$9*((((ABS(H85)/MAX(((G33)+(I33)*(MAX($D$16,(L85)-(K33))))*(MAX($D$16,(L85)-(K33))),0.000001))^2)/(2*$I$5))-(((ABS(H85)/MAX(((F33)+(H33)*(MAX($D$16,(D85)-(J33))))*(MAX($D$16,(D85)-(J33))),0.000001))^2)/(2*$I$5))),$D$8*((((ABS(H85)/MAX(((F33)+(H33)*(MAX($D$16,(D85)-(J33))))*(MAX($D$16,(D85)-(J33))),0.000001))^2)/(2*$I$5))-(((ABS(H85)/MAX(((G33)+(I33)*(MAX($D$16,(L85)-(K33))))*(MAX($D$16,(L85)-(K33))),0.000001))^2)/(2*$I$5)))))+($D$10*(ABS((X33)-(W33))/90)*MAX(((ABS(H85)/MAX(((F33)+(H33)*(MAX($D$16,(D85)-(J33))))*(MAX($D$16,(D85)-(J33))),0.000001))^2)/(2*$I$5),((ABS(H85)/MAX(((G33)+(I33)*(MAX($D$16,(L85)-(K33))))*(MAX($D$16,(L85)-(K33))),0.000001))^2)/(2*$I$5)))+(($D$11*0.00000015*(ABS(G85)/MAX(ABS(F85),0.000001))^2*MAX(((ABS(H85)/MAX(((F33)+(H33)*(MAX($D$16,(D85)-(J33))))*(MAX($D$16,(D85)-(J33))),0.000001))^2)/(2*$I$5),((ABS(H85)/MAX(((G33)+(I33)*(MAX($D$16,(L85)-(K33))))*(MAX($D$16,(L85)-(K33))),0.000001))^2)/(2*$I$5))))-((ABS(H85)/MAX(((F33)+(H33)*(MAX($D$16,(D85)-(J33))))*(MAX($D$16,(D85)-(J33))),0.000001))^2)/(2*$I$5)</f>
        <v>634.3119999999999</v>
      </c>
      <c r="R85">
        <f>D85+((ABS(G85)/MAX(((F32)+(H32)*(MAX($D$16,(D85)-(J32))))*(MAX($D$16,(D85)-(J32))),0.000001))^2)/(2*$I$5)-((E32)*((((ABS(G85)*$D$6)/(MAX(((F32)+(H32)*(MAX($D$16,(D85)-(J32))))*(MAX($D$16,(D85)-(J32))),0.000001)*MAX(((((F32)+(H32)*(MAX($D$16,(D85)-(J32))))*(MAX($D$16,(D85)-(J32))))/MAX((F32)+2*(MAX($D$16,(D85)-(J32)))*SQRT(1+(H32)^2),0.000001))^(2/3),0.000001)))^2)+(((ABS(G85)*$D$6)/(MAX(((G32)+(I32)*(MAX($D$16,(E85)-(K32))))*(MAX($D$16,(E85)-(K32))),0.000001)*MAX(((((G32)+(I32)*(MAX($D$16,(E85)-(K32))))*(MAX($D$16,(E85)-(K32))))/MAX((G32)+2*(MAX($D$16,(E85)-(K32)))*SQRT(1+(I32)^2),0.000001))^(2/3),0.000001)))^2))/2)+(IF((ABS(G85)/MAX(((G32)+(I32)*(MAX($D$16,(E85)-(K32))))*(MAX($D$16,(E85)-(K32))),0.000001))&gt;(ABS(G85)/MAX(((F32)+(H32)*(MAX($D$16,(D85)-(J32))))*(MAX($D$16,(D85)-(J32))),0.000001)),$D$9*((((ABS(G85)/MAX(((G32)+(I32)*(MAX($D$16,(E85)-(K32))))*(MAX($D$16,(E85)-(K32))),0.000001))^2)/(2*$I$5))-(((ABS(G85)/MAX(((F32)+(H32)*(MAX($D$16,(D85)-(J32))))*(MAX($D$16,(D85)-(J32))),0.000001))^2)/(2*$I$5))),$D$8*((((ABS(G85)/MAX(((F32)+(H32)*(MAX($D$16,(D85)-(J32))))*(MAX($D$16,(D85)-(J32))),0.000001))^2)/(2*$I$5))-(((ABS(G85)/MAX(((G32)+(I32)*(MAX($D$16,(E85)-(K32))))*(MAX($D$16,(E85)-(K32))),0.000001))^2)/(2*$I$5)))))+($D$10*(ABS((X32)-(W32))/90)*MAX(((ABS(G85)/MAX(((F32)+(H32)*(MAX($D$16,(D85)-(J32))))*(MAX($D$16,(D85)-(J32))),0.000001))^2)/(2*$I$5),((ABS(G85)/MAX(((G32)+(I32)*(MAX($D$16,(E85)-(K32))))*(MAX($D$16,(E85)-(K32))),0.000001))^2)/(2*$I$5)))+(($D$11*0.13607488*(ABS(H85)/MAX(ABS(F85),0.000001))^2*MAX(((ABS(G85)/MAX(((F32)+(H32)*(MAX($D$16,(D85)-(J32))))*(MAX($D$16,(D85)-(J32))),0.000001))^2)/(2*$I$5),((ABS(G85)/MAX(((G32)+(I32)*(MAX($D$16,(E85)-(K32))))*(MAX($D$16,(E85)-(K32))),0.000001))^2)/(2*$I$5))))-((ABS(G85)/MAX(((G32)+(I32)*(MAX($D$16,(E85)-(K32))))*(MAX($D$16,(E85)-(K32))),0.000001))^2)/(2*$I$5)</f>
        <v>52432.141837659328</v>
      </c>
      <c r="S85">
        <f>M85+((ABS(I85)/MAX(((G34)+(I34)*(MAX($D$16,(M85)-(K34))))*(MAX($D$16,(M85)-(K34))),0.000001))^2)/(2*$I$5)+((E34)*((((ABS(I85)*$D$6)/(MAX(((F34)+(H34)*(MAX($D$16,(E85)-(J34))))*(MAX($D$16,(E85)-(J34))),0.000001)*MAX(((((F34)+(H34)*(MAX($D$16,(E85)-(J34))))*(MAX($D$16,(E85)-(J34))))/MAX((F34)+2*(MAX($D$16,(E85)-(J34)))*SQRT(1+(H34)^2),0.000001))^(2/3),0.000001)))^2)+(((ABS(I85)*$D$6)/(MAX(((G34)+(I34)*(MAX($D$16,(M85)-(K34))))*(MAX($D$16,(M85)-(K34))),0.000001)*MAX(((((G34)+(I34)*(MAX($D$16,(M85)-(K34))))*(MAX($D$16,(M85)-(K34))))/MAX((G34)+2*(MAX($D$16,(M85)-(K34)))*SQRT(1+(I34)^2),0.000001))^(2/3),0.000001)))^2))/2)+(IF((ABS(I85)/MAX(((G34)+(I34)*(MAX($D$16,(M85)-(K34))))*(MAX($D$16,(M85)-(K34))),0.000001))&gt;(ABS(I85)/MAX(((F34)+(H34)*(MAX($D$16,(E85)-(J34))))*(MAX($D$16,(E85)-(J34))),0.000001)),$D$9*((((ABS(I85)/MAX(((G34)+(I34)*(MAX($D$16,(M85)-(K34))))*(MAX($D$16,(M85)-(K34))),0.000001))^2)/(2*$I$5))-(((ABS(I85)/MAX(((F34)+(H34)*(MAX($D$16,(E85)-(J34))))*(MAX($D$16,(E85)-(J34))),0.000001))^2)/(2*$I$5))),$D$8*((((ABS(I85)/MAX(((F34)+(H34)*(MAX($D$16,(E85)-(J34))))*(MAX($D$16,(E85)-(J34))),0.000001))^2)/(2*$I$5))-(((ABS(I85)/MAX(((G34)+(I34)*(MAX($D$16,(M85)-(K34))))*(MAX($D$16,(M85)-(K34))),0.000001))^2)/(2*$I$5)))))+($D$10*(ABS((X34)-(W34))/90)*MAX(((ABS(I85)/MAX(((F34)+(H34)*(MAX($D$16,(E85)-(J34))))*(MAX($D$16,(E85)-(J34))),0.000001))^2)/(2*$I$5),((ABS(I85)/MAX(((G34)+(I34)*(MAX($D$16,(M85)-(K34))))*(MAX($D$16,(M85)-(K34))),0.000001))^2)/(2*$I$5)))+(0)-((ABS(I85)/MAX(((F34)+(H34)*(MAX($D$16,(E85)-(J34))))*(MAX($D$16,(E85)-(J34))),0.000001))^2)/(2*$I$5)</f>
        <v>635.5</v>
      </c>
      <c r="T85">
        <f>N85+((ABS(J85)/MAX(((G35)+(I35)*(MAX($D$16,(N85)-(K35))))*(MAX($D$16,(N85)-(K35))),0.000001))^2)/(2*$I$5)+((E35)*((((ABS(J85)*$D$6)/(MAX(((F35)+(H35)*(MAX($D$16,(E85)-(J35))))*(MAX($D$16,(E85)-(J35))),0.000001)*MAX(((((F35)+(H35)*(MAX($D$16,(E85)-(J35))))*(MAX($D$16,(E85)-(J35))))/MAX((F35)+2*(MAX($D$16,(E85)-(J35)))*SQRT(1+(H35)^2),0.000001))^(2/3),0.000001)))^2)+(((ABS(J85)*$D$6)/(MAX(((G35)+(I35)*(MAX($D$16,(N85)-(K35))))*(MAX($D$16,(N85)-(K35))),0.000001)*MAX(((((G35)+(I35)*(MAX($D$16,(N85)-(K35))))*(MAX($D$16,(N85)-(K35))))/MAX((G35)+2*(MAX($D$16,(N85)-(K35)))*SQRT(1+(I35)^2),0.000001))^(2/3),0.000001)))^2))/2)+(IF((ABS(J85)/MAX(((G35)+(I35)*(MAX($D$16,(N85)-(K35))))*(MAX($D$16,(N85)-(K35))),0.000001))&gt;(ABS(J85)/MAX(((F35)+(H35)*(MAX($D$16,(E85)-(J35))))*(MAX($D$16,(E85)-(J35))),0.000001)),$D$9*((((ABS(J85)/MAX(((G35)+(I35)*(MAX($D$16,(N85)-(K35))))*(MAX($D$16,(N85)-(K35))),0.000001))^2)/(2*$I$5))-(((ABS(J85)/MAX(((F35)+(H35)*(MAX($D$16,(E85)-(J35))))*(MAX($D$16,(E85)-(J35))),0.000001))^2)/(2*$I$5))),$D$8*((((ABS(J85)/MAX(((F35)+(H35)*(MAX($D$16,(E85)-(J35))))*(MAX($D$16,(E85)-(J35))),0.000001))^2)/(2*$I$5))-(((ABS(J85)/MAX(((G35)+(I35)*(MAX($D$16,(N85)-(K35))))*(MAX($D$16,(N85)-(K35))),0.000001))^2)/(2*$I$5)))))+($D$10*(ABS((X35)-(W35))/90)*MAX(((ABS(J85)/MAX(((F35)+(H35)*(MAX($D$16,(E85)-(J35))))*(MAX($D$16,(E85)-(J35))),0.000001))^2)/(2*$I$5),((ABS(J85)/MAX(((G35)+(I35)*(MAX($D$16,(N85)-(K35))))*(MAX($D$16,(N85)-(K35))),0.000001))^2)/(2*$I$5)))+(($D$11*0.34699541*(ABS(I85)/MAX(ABS(G85),0.000001))^2*MAX(((ABS(J85)/MAX(((F35)+(H35)*(MAX($D$16,(E85)-(J35))))*(MAX($D$16,(E85)-(J35))),0.000001))^2)/(2*$I$5),((ABS(J85)/MAX(((G35)+(I35)*(MAX($D$16,(N85)-(K35))))*(MAX($D$16,(N85)-(K35))),0.000001))^2)/(2*$I$5))))-((ABS(J85)/MAX(((F35)+(H35)*(MAX($D$16,(E85)-(J35))))*(MAX($D$16,(E85)-(J35))),0.000001))^2)/(2*$I$5)</f>
        <v>20784.033523923383</v>
      </c>
      <c r="U85">
        <f>(((((F32)*(MAX($D$16,(D85)-(J32)))^2)/2+(H32)*(MAX($D$16,(D85)-(J32)))^3/3+(ABS(G85)^2)/($I$5*MAX(((F32)+(H32)*(MAX($D$16,(D85)-(J32))))*(MAX($D$16,(D85)-(J32))),0.000001)))*0.72785025)-((((F33)*(MAX($D$16,(D85)-(J33)))^2)/2+(H33)*(MAX($D$16,(D85)-(J33)))^3/3+(ABS(H85)^2)/($I$5*MAX(((F33)+(H33)*(MAX($D$16,(D85)-(J33))))*(MAX($D$16,(D85)-(J33))),0.000001)))*0.99999971))/MAX(((G31)*(MAX($D$16,(D85)-(K31)))^2)/2+(I31)*(MAX($D$16,(D85)-(K31)))^3/3+(ABS(F85)^2)/($I$5*MAX(((G31)+(I31)*(MAX($D$16,(D85)-(K31))))*(MAX($D$16,(D85)-(K31))),0.000001)),0.000001)</f>
        <v>-0.27214945999991125</v>
      </c>
      <c r="V85">
        <f>(((((F34)*(MAX($D$16,(E85)-(J34)))^2)/2+(H34)*(MAX($D$16,(E85)-(J34)))^3/3+(ABS(I85)^2)/($I$5*MAX(((F34)+(H34)*(MAX($D$16,(E85)-(J34))))*(MAX($D$16,(E85)-(J34))),0.000001)))*1)-((((F35)*(MAX($D$16,(E85)-(J35)))^2)/2+(H35)*(MAX($D$16,(E85)-(J35)))^3/3+(ABS(J85)^2)/($I$5*MAX(((F35)+(H35)*(MAX($D$16,(E85)-(J35))))*(MAX($D$16,(E85)-(J35))),0.000001)))*0.30600918))/MAX(((G32)*(MAX($D$16,(E85)-(K32)))^2)/2+(I32)*(MAX($D$16,(E85)-(K32)))^3/3+(ABS(G85)^2)/($I$5*MAX(((G32)+(I32)*(MAX($D$16,(E85)-(K32))))*(MAX($D$16,(E85)-(K32))),0.000001)),0.000001)</f>
        <v>0.69398638937190393</v>
      </c>
      <c r="W85">
        <f>IF(N6="None",ABS(P85-D85),MAX(ABS(P85-D85),ABS(Q85-D85)))</f>
        <v>3.4197000786662102E-10</v>
      </c>
      <c r="X85">
        <f>IF(AND(N7="None",N8="None"),0,IF(N8="None",ABS(S85-E85),IF(N7="None",ABS(T85-E85),MAX(ABS(S85-E85),ABS(T85-E85)))))</f>
        <v>51796.641837658986</v>
      </c>
      <c r="AA85">
        <f t="shared" si="18"/>
        <v>52432.141837659314</v>
      </c>
      <c r="AB85">
        <f t="shared" si="19"/>
        <v>41355.303927851528</v>
      </c>
      <c r="AC85">
        <f>IF(N6="None",P85,MAX(P85,Q85))</f>
        <v>52432.141837659539</v>
      </c>
      <c r="AD85">
        <f>IF(AND(N7="None",N8="None"),E85,IF(N8="None",S85,IF(N7="None",T85,MAX(S85,T85))))</f>
        <v>20784.033523923383</v>
      </c>
      <c r="AE85">
        <f t="shared" si="20"/>
        <v>637.65825101089831</v>
      </c>
      <c r="AF85">
        <f t="shared" si="21"/>
        <v>52432.141837659328</v>
      </c>
      <c r="AG85">
        <f>((G31)*(MAX($D$16,(AC85)-(K31)))^2)/2+(I31)*(MAX($D$16,(AC85)-(K31)))^3/3+(ABS(F85)^2)/($I$5*MAX(((G31)+(I31)*(MAX($D$16,(AC85)-(K31))))*(MAX($D$16,(AC85)-(K31))),0.000001))</f>
        <v>8797611517.410799</v>
      </c>
      <c r="AH85">
        <f>((G31)*(MAX($D$16,(AE85)-(K31)))^2)/2+(I31)*(MAX($D$16,(AE85)-(K31)))^3/3+(ABS(F85)^2)/($I$5*MAX(((G31)+(I31)*(MAX($D$16,(AE85)-(K31))))*(MAX($D$16,(AE85)-(K31))),0.000001))</f>
        <v>49.055863329575246</v>
      </c>
      <c r="AI85">
        <f>((G32)*(MAX($D$16,(AD85)-(K32)))^2)/2+(I32)*(MAX($D$16,(AD85)-(K32)))^3/3+(ABS(G85)^2)/($I$5*MAX(((G32)+(I32)*(MAX($D$16,(AD85)-(K32))))*(MAX($D$16,(AD85)-(K32))),0.000001))</f>
        <v>2072376743.6648321</v>
      </c>
      <c r="AJ85">
        <f>((G32)*(MAX($D$16,(AF85)-(K32)))^2)/2+(I32)*(MAX($D$16,(AF85)-(K32)))^3/3+(ABS(G85)^2)/($I$5*MAX(((G32)+(I32)*(MAX($D$16,(AF85)-(K32))))*(MAX($D$16,(AF85)-(K32))),0.000001))</f>
        <v>13692714789.642673</v>
      </c>
      <c r="AK85" t="str">
        <f t="shared" si="22"/>
        <v>Subcritical</v>
      </c>
      <c r="AL85" t="str">
        <f t="shared" si="23"/>
        <v>Supercritical</v>
      </c>
      <c r="AM85">
        <f t="shared" si="24"/>
        <v>52432.141837659314</v>
      </c>
      <c r="AN85">
        <f t="shared" si="25"/>
        <v>52432.141837659103</v>
      </c>
      <c r="AO85">
        <f t="shared" si="26"/>
        <v>3.4197000786662102E-10</v>
      </c>
      <c r="AP85">
        <f t="shared" si="27"/>
        <v>3.4197000786662102E-10</v>
      </c>
    </row>
    <row r="86" spans="1:42" x14ac:dyDescent="0.35">
      <c r="A86">
        <v>43</v>
      </c>
      <c r="B86">
        <f t="shared" si="28"/>
        <v>0</v>
      </c>
      <c r="C86">
        <f t="shared" si="29"/>
        <v>0</v>
      </c>
      <c r="D86">
        <f t="shared" si="30"/>
        <v>52432.141837659314</v>
      </c>
      <c r="E86">
        <f t="shared" si="31"/>
        <v>52432.141837659103</v>
      </c>
      <c r="F86">
        <f t="shared" si="17"/>
        <v>51</v>
      </c>
      <c r="G86">
        <f>IF(N6="None",F86,MAX(0,F86*B86))</f>
        <v>51</v>
      </c>
      <c r="H86">
        <f>IF(N6="None",0,MAX(0,F86-G86))</f>
        <v>0</v>
      </c>
      <c r="I86">
        <f>IF(AND(N7="None",N8="None"),0,IF(N8="None",G86,IF(N7="None",0,MAX(0,G86*C86))))</f>
        <v>0</v>
      </c>
      <c r="J86">
        <f>IF(AND(N7="None",N8="None"),0,IF(N8="None",0,IF(N7="None",G86,MAX(0,G86-I86))))</f>
        <v>51</v>
      </c>
      <c r="K86">
        <f>P5</f>
        <v>637</v>
      </c>
      <c r="L86">
        <f>P6</f>
        <v>634.3119999999999</v>
      </c>
      <c r="M86">
        <f>P7</f>
        <v>635.5</v>
      </c>
      <c r="N86">
        <f>P8</f>
        <v>631.54999999999995</v>
      </c>
      <c r="O86">
        <f>K86+((ABS(F86)/MAX(((F31)+(H31)*(MAX($D$16,(K86)-(J31))))*(MAX($D$16,(K86)-(J31))),0.000001))^2)/(2*$I$5)-((E31)*((((ABS(F86)*$D$6)/(MAX(((F31)+(H31)*(MAX($D$16,(K86)-(J31))))*(MAX($D$16,(K86)-(J31))),0.000001)*MAX(((((F31)+(H31)*(MAX($D$16,(K86)-(J31))))*(MAX($D$16,(K86)-(J31))))/MAX((F31)+2*(MAX($D$16,(K86)-(J31)))*SQRT(1+(H31)^2),0.000001))^(2/3),0.000001)))^2)+(((ABS(F86)*$D$6)/(MAX(((G31)+(I31)*(MAX($D$16,(D86)-(K31))))*(MAX($D$16,(D86)-(K31))),0.000001)*MAX(((((G31)+(I31)*(MAX($D$16,(D86)-(K31))))*(MAX($D$16,(D86)-(K31))))/MAX((G31)+2*(MAX($D$16,(D86)-(K31)))*SQRT(1+(I31)^2),0.000001))^(2/3),0.000001)))^2))/2)+(IF((ABS(F86)/MAX(((G31)+(I31)*(MAX($D$16,(D86)-(K31))))*(MAX($D$16,(D86)-(K31))),0.000001))&gt;(ABS(F86)/MAX(((F31)+(H31)*(MAX($D$16,(K86)-(J31))))*(MAX($D$16,(K86)-(J31))),0.000001)),$D$9*((((ABS(F86)/MAX(((G31)+(I31)*(MAX($D$16,(D86)-(K31))))*(MAX($D$16,(D86)-(K31))),0.000001))^2)/(2*$I$5))-(((ABS(F86)/MAX(((F31)+(H31)*(MAX($D$16,(K86)-(J31))))*(MAX($D$16,(K86)-(J31))),0.000001))^2)/(2*$I$5))),$D$8*((((ABS(F86)/MAX(((F31)+(H31)*(MAX($D$16,(K86)-(J31))))*(MAX($D$16,(K86)-(J31))),0.000001))^2)/(2*$I$5))-(((ABS(F86)/MAX(((G31)+(I31)*(MAX($D$16,(D86)-(K31))))*(MAX($D$16,(D86)-(K31))),0.000001))^2)/(2*$I$5)))))+($D$10*(ABS((X31)-(W31))/90)*MAX(((ABS(F86)/MAX(((F31)+(H31)*(MAX($D$16,(K86)-(J31))))*(MAX($D$16,(K86)-(J31))),0.000001))^2)/(2*$I$5),((ABS(F86)/MAX(((G31)+(I31)*(MAX($D$16,(D86)-(K31))))*(MAX($D$16,(D86)-(K31))),0.000001))^2)/(2*$I$5)))+(0)-((ABS(F86)/MAX(((G31)+(I31)*(MAX($D$16,(D86)-(K31))))*(MAX($D$16,(D86)-(K31))),0.000001))^2)/(2*$I$5)</f>
        <v>637.65825101089831</v>
      </c>
      <c r="P86">
        <f>E86+((ABS(G86)/MAX(((G32)+(I32)*(MAX($D$16,(E86)-(K32))))*(MAX($D$16,(E86)-(K32))),0.000001))^2)/(2*$I$5)+((E32)*((((ABS(G86)*$D$6)/(MAX(((F32)+(H32)*(MAX($D$16,(D86)-(J32))))*(MAX($D$16,(D86)-(J32))),0.000001)*MAX(((((F32)+(H32)*(MAX($D$16,(D86)-(J32))))*(MAX($D$16,(D86)-(J32))))/MAX((F32)+2*(MAX($D$16,(D86)-(J32)))*SQRT(1+(H32)^2),0.000001))^(2/3),0.000001)))^2)+(((ABS(G86)*$D$6)/(MAX(((G32)+(I32)*(MAX($D$16,(E86)-(K32))))*(MAX($D$16,(E86)-(K32))),0.000001)*MAX(((((G32)+(I32)*(MAX($D$16,(E86)-(K32))))*(MAX($D$16,(E86)-(K32))))/MAX((G32)+2*(MAX($D$16,(E86)-(K32)))*SQRT(1+(I32)^2),0.000001))^(2/3),0.000001)))^2))/2)+(IF((ABS(G86)/MAX(((G32)+(I32)*(MAX($D$16,(E86)-(K32))))*(MAX($D$16,(E86)-(K32))),0.000001))&gt;(ABS(G86)/MAX(((F32)+(H32)*(MAX($D$16,(D86)-(J32))))*(MAX($D$16,(D86)-(J32))),0.000001)),$D$9*((((ABS(G86)/MAX(((G32)+(I32)*(MAX($D$16,(E86)-(K32))))*(MAX($D$16,(E86)-(K32))),0.000001))^2)/(2*$I$5))-(((ABS(G86)/MAX(((F32)+(H32)*(MAX($D$16,(D86)-(J32))))*(MAX($D$16,(D86)-(J32))),0.000001))^2)/(2*$I$5))),$D$8*((((ABS(G86)/MAX(((F32)+(H32)*(MAX($D$16,(D86)-(J32))))*(MAX($D$16,(D86)-(J32))),0.000001))^2)/(2*$I$5))-(((ABS(G86)/MAX(((G32)+(I32)*(MAX($D$16,(E86)-(K32))))*(MAX($D$16,(E86)-(K32))),0.000001))^2)/(2*$I$5)))))+($D$10*(ABS((X32)-(W32))/90)*MAX(((ABS(G86)/MAX(((F32)+(H32)*(MAX($D$16,(D86)-(J32))))*(MAX($D$16,(D86)-(J32))),0.000001))^2)/(2*$I$5),((ABS(G86)/MAX(((G32)+(I32)*(MAX($D$16,(E86)-(K32))))*(MAX($D$16,(E86)-(K32))),0.000001))^2)/(2*$I$5)))+(($D$11*0.13607488*(ABS(H86)/MAX(ABS(F86),0.000001))^2*MAX(((ABS(G86)/MAX(((F32)+(H32)*(MAX($D$16,(D86)-(J32))))*(MAX($D$16,(D86)-(J32))),0.000001))^2)/(2*$I$5),((ABS(G86)/MAX(((G32)+(I32)*(MAX($D$16,(E86)-(K32))))*(MAX($D$16,(E86)-(K32))),0.000001))^2)/(2*$I$5))))-((ABS(G86)/MAX(((F32)+(H32)*(MAX($D$16,(D86)-(J32))))*(MAX($D$16,(D86)-(J32))),0.000001))^2)/(2*$I$5)</f>
        <v>52432.141837659656</v>
      </c>
      <c r="Q86">
        <f>L86+((ABS(H86)/MAX(((G33)+(I33)*(MAX($D$16,(L86)-(K33))))*(MAX($D$16,(L86)-(K33))),0.000001))^2)/(2*$I$5)+((E33)*((((ABS(H86)*$D$6)/(MAX(((F33)+(H33)*(MAX($D$16,(D86)-(J33))))*(MAX($D$16,(D86)-(J33))),0.000001)*MAX(((((F33)+(H33)*(MAX($D$16,(D86)-(J33))))*(MAX($D$16,(D86)-(J33))))/MAX((F33)+2*(MAX($D$16,(D86)-(J33)))*SQRT(1+(H33)^2),0.000001))^(2/3),0.000001)))^2)+(((ABS(H86)*$D$6)/(MAX(((G33)+(I33)*(MAX($D$16,(L86)-(K33))))*(MAX($D$16,(L86)-(K33))),0.000001)*MAX(((((G33)+(I33)*(MAX($D$16,(L86)-(K33))))*(MAX($D$16,(L86)-(K33))))/MAX((G33)+2*(MAX($D$16,(L86)-(K33)))*SQRT(1+(I33)^2),0.000001))^(2/3),0.000001)))^2))/2)+(IF((ABS(H86)/MAX(((G33)+(I33)*(MAX($D$16,(L86)-(K33))))*(MAX($D$16,(L86)-(K33))),0.000001))&gt;(ABS(H86)/MAX(((F33)+(H33)*(MAX($D$16,(D86)-(J33))))*(MAX($D$16,(D86)-(J33))),0.000001)),$D$9*((((ABS(H86)/MAX(((G33)+(I33)*(MAX($D$16,(L86)-(K33))))*(MAX($D$16,(L86)-(K33))),0.000001))^2)/(2*$I$5))-(((ABS(H86)/MAX(((F33)+(H33)*(MAX($D$16,(D86)-(J33))))*(MAX($D$16,(D86)-(J33))),0.000001))^2)/(2*$I$5))),$D$8*((((ABS(H86)/MAX(((F33)+(H33)*(MAX($D$16,(D86)-(J33))))*(MAX($D$16,(D86)-(J33))),0.000001))^2)/(2*$I$5))-(((ABS(H86)/MAX(((G33)+(I33)*(MAX($D$16,(L86)-(K33))))*(MAX($D$16,(L86)-(K33))),0.000001))^2)/(2*$I$5)))))+($D$10*(ABS((X33)-(W33))/90)*MAX(((ABS(H86)/MAX(((F33)+(H33)*(MAX($D$16,(D86)-(J33))))*(MAX($D$16,(D86)-(J33))),0.000001))^2)/(2*$I$5),((ABS(H86)/MAX(((G33)+(I33)*(MAX($D$16,(L86)-(K33))))*(MAX($D$16,(L86)-(K33))),0.000001))^2)/(2*$I$5)))+(($D$11*0.00000015*(ABS(G86)/MAX(ABS(F86),0.000001))^2*MAX(((ABS(H86)/MAX(((F33)+(H33)*(MAX($D$16,(D86)-(J33))))*(MAX($D$16,(D86)-(J33))),0.000001))^2)/(2*$I$5),((ABS(H86)/MAX(((G33)+(I33)*(MAX($D$16,(L86)-(K33))))*(MAX($D$16,(L86)-(K33))),0.000001))^2)/(2*$I$5))))-((ABS(H86)/MAX(((F33)+(H33)*(MAX($D$16,(D86)-(J33))))*(MAX($D$16,(D86)-(J33))),0.000001))^2)/(2*$I$5)</f>
        <v>634.3119999999999</v>
      </c>
      <c r="R86">
        <f>D86+((ABS(G86)/MAX(((F32)+(H32)*(MAX($D$16,(D86)-(J32))))*(MAX($D$16,(D86)-(J32))),0.000001))^2)/(2*$I$5)-((E32)*((((ABS(G86)*$D$6)/(MAX(((F32)+(H32)*(MAX($D$16,(D86)-(J32))))*(MAX($D$16,(D86)-(J32))),0.000001)*MAX(((((F32)+(H32)*(MAX($D$16,(D86)-(J32))))*(MAX($D$16,(D86)-(J32))))/MAX((F32)+2*(MAX($D$16,(D86)-(J32)))*SQRT(1+(H32)^2),0.000001))^(2/3),0.000001)))^2)+(((ABS(G86)*$D$6)/(MAX(((G32)+(I32)*(MAX($D$16,(E86)-(K32))))*(MAX($D$16,(E86)-(K32))),0.000001)*MAX(((((G32)+(I32)*(MAX($D$16,(E86)-(K32))))*(MAX($D$16,(E86)-(K32))))/MAX((G32)+2*(MAX($D$16,(E86)-(K32)))*SQRT(1+(I32)^2),0.000001))^(2/3),0.000001)))^2))/2)+(IF((ABS(G86)/MAX(((G32)+(I32)*(MAX($D$16,(E86)-(K32))))*(MAX($D$16,(E86)-(K32))),0.000001))&gt;(ABS(G86)/MAX(((F32)+(H32)*(MAX($D$16,(D86)-(J32))))*(MAX($D$16,(D86)-(J32))),0.000001)),$D$9*((((ABS(G86)/MAX(((G32)+(I32)*(MAX($D$16,(E86)-(K32))))*(MAX($D$16,(E86)-(K32))),0.000001))^2)/(2*$I$5))-(((ABS(G86)/MAX(((F32)+(H32)*(MAX($D$16,(D86)-(J32))))*(MAX($D$16,(D86)-(J32))),0.000001))^2)/(2*$I$5))),$D$8*((((ABS(G86)/MAX(((F32)+(H32)*(MAX($D$16,(D86)-(J32))))*(MAX($D$16,(D86)-(J32))),0.000001))^2)/(2*$I$5))-(((ABS(G86)/MAX(((G32)+(I32)*(MAX($D$16,(E86)-(K32))))*(MAX($D$16,(E86)-(K32))),0.000001))^2)/(2*$I$5)))))+($D$10*(ABS((X32)-(W32))/90)*MAX(((ABS(G86)/MAX(((F32)+(H32)*(MAX($D$16,(D86)-(J32))))*(MAX($D$16,(D86)-(J32))),0.000001))^2)/(2*$I$5),((ABS(G86)/MAX(((G32)+(I32)*(MAX($D$16,(E86)-(K32))))*(MAX($D$16,(E86)-(K32))),0.000001))^2)/(2*$I$5)))+(($D$11*0.13607488*(ABS(H86)/MAX(ABS(F86),0.000001))^2*MAX(((ABS(G86)/MAX(((F32)+(H32)*(MAX($D$16,(D86)-(J32))))*(MAX($D$16,(D86)-(J32))),0.000001))^2)/(2*$I$5),((ABS(G86)/MAX(((G32)+(I32)*(MAX($D$16,(E86)-(K32))))*(MAX($D$16,(E86)-(K32))),0.000001))^2)/(2*$I$5))))-((ABS(G86)/MAX(((G32)+(I32)*(MAX($D$16,(E86)-(K32))))*(MAX($D$16,(E86)-(K32))),0.000001))^2)/(2*$I$5)</f>
        <v>52432.141837659445</v>
      </c>
      <c r="S86">
        <f>M86+((ABS(I86)/MAX(((G34)+(I34)*(MAX($D$16,(M86)-(K34))))*(MAX($D$16,(M86)-(K34))),0.000001))^2)/(2*$I$5)+((E34)*((((ABS(I86)*$D$6)/(MAX(((F34)+(H34)*(MAX($D$16,(E86)-(J34))))*(MAX($D$16,(E86)-(J34))),0.000001)*MAX(((((F34)+(H34)*(MAX($D$16,(E86)-(J34))))*(MAX($D$16,(E86)-(J34))))/MAX((F34)+2*(MAX($D$16,(E86)-(J34)))*SQRT(1+(H34)^2),0.000001))^(2/3),0.000001)))^2)+(((ABS(I86)*$D$6)/(MAX(((G34)+(I34)*(MAX($D$16,(M86)-(K34))))*(MAX($D$16,(M86)-(K34))),0.000001)*MAX(((((G34)+(I34)*(MAX($D$16,(M86)-(K34))))*(MAX($D$16,(M86)-(K34))))/MAX((G34)+2*(MAX($D$16,(M86)-(K34)))*SQRT(1+(I34)^2),0.000001))^(2/3),0.000001)))^2))/2)+(IF((ABS(I86)/MAX(((G34)+(I34)*(MAX($D$16,(M86)-(K34))))*(MAX($D$16,(M86)-(K34))),0.000001))&gt;(ABS(I86)/MAX(((F34)+(H34)*(MAX($D$16,(E86)-(J34))))*(MAX($D$16,(E86)-(J34))),0.000001)),$D$9*((((ABS(I86)/MAX(((G34)+(I34)*(MAX($D$16,(M86)-(K34))))*(MAX($D$16,(M86)-(K34))),0.000001))^2)/(2*$I$5))-(((ABS(I86)/MAX(((F34)+(H34)*(MAX($D$16,(E86)-(J34))))*(MAX($D$16,(E86)-(J34))),0.000001))^2)/(2*$I$5))),$D$8*((((ABS(I86)/MAX(((F34)+(H34)*(MAX($D$16,(E86)-(J34))))*(MAX($D$16,(E86)-(J34))),0.000001))^2)/(2*$I$5))-(((ABS(I86)/MAX(((G34)+(I34)*(MAX($D$16,(M86)-(K34))))*(MAX($D$16,(M86)-(K34))),0.000001))^2)/(2*$I$5)))))+($D$10*(ABS((X34)-(W34))/90)*MAX(((ABS(I86)/MAX(((F34)+(H34)*(MAX($D$16,(E86)-(J34))))*(MAX($D$16,(E86)-(J34))),0.000001))^2)/(2*$I$5),((ABS(I86)/MAX(((G34)+(I34)*(MAX($D$16,(M86)-(K34))))*(MAX($D$16,(M86)-(K34))),0.000001))^2)/(2*$I$5)))+(0)-((ABS(I86)/MAX(((F34)+(H34)*(MAX($D$16,(E86)-(J34))))*(MAX($D$16,(E86)-(J34))),0.000001))^2)/(2*$I$5)</f>
        <v>635.5</v>
      </c>
      <c r="T86">
        <f>N86+((ABS(J86)/MAX(((G35)+(I35)*(MAX($D$16,(N86)-(K35))))*(MAX($D$16,(N86)-(K35))),0.000001))^2)/(2*$I$5)+((E35)*((((ABS(J86)*$D$6)/(MAX(((F35)+(H35)*(MAX($D$16,(E86)-(J35))))*(MAX($D$16,(E86)-(J35))),0.000001)*MAX(((((F35)+(H35)*(MAX($D$16,(E86)-(J35))))*(MAX($D$16,(E86)-(J35))))/MAX((F35)+2*(MAX($D$16,(E86)-(J35)))*SQRT(1+(H35)^2),0.000001))^(2/3),0.000001)))^2)+(((ABS(J86)*$D$6)/(MAX(((G35)+(I35)*(MAX($D$16,(N86)-(K35))))*(MAX($D$16,(N86)-(K35))),0.000001)*MAX(((((G35)+(I35)*(MAX($D$16,(N86)-(K35))))*(MAX($D$16,(N86)-(K35))))/MAX((G35)+2*(MAX($D$16,(N86)-(K35)))*SQRT(1+(I35)^2),0.000001))^(2/3),0.000001)))^2))/2)+(IF((ABS(J86)/MAX(((G35)+(I35)*(MAX($D$16,(N86)-(K35))))*(MAX($D$16,(N86)-(K35))),0.000001))&gt;(ABS(J86)/MAX(((F35)+(H35)*(MAX($D$16,(E86)-(J35))))*(MAX($D$16,(E86)-(J35))),0.000001)),$D$9*((((ABS(J86)/MAX(((G35)+(I35)*(MAX($D$16,(N86)-(K35))))*(MAX($D$16,(N86)-(K35))),0.000001))^2)/(2*$I$5))-(((ABS(J86)/MAX(((F35)+(H35)*(MAX($D$16,(E86)-(J35))))*(MAX($D$16,(E86)-(J35))),0.000001))^2)/(2*$I$5))),$D$8*((((ABS(J86)/MAX(((F35)+(H35)*(MAX($D$16,(E86)-(J35))))*(MAX($D$16,(E86)-(J35))),0.000001))^2)/(2*$I$5))-(((ABS(J86)/MAX(((G35)+(I35)*(MAX($D$16,(N86)-(K35))))*(MAX($D$16,(N86)-(K35))),0.000001))^2)/(2*$I$5)))))+($D$10*(ABS((X35)-(W35))/90)*MAX(((ABS(J86)/MAX(((F35)+(H35)*(MAX($D$16,(E86)-(J35))))*(MAX($D$16,(E86)-(J35))),0.000001))^2)/(2*$I$5),((ABS(J86)/MAX(((G35)+(I35)*(MAX($D$16,(N86)-(K35))))*(MAX($D$16,(N86)-(K35))),0.000001))^2)/(2*$I$5)))+(($D$11*0.34699541*(ABS(I86)/MAX(ABS(G86),0.000001))^2*MAX(((ABS(J86)/MAX(((F35)+(H35)*(MAX($D$16,(E86)-(J35))))*(MAX($D$16,(E86)-(J35))),0.000001))^2)/(2*$I$5),((ABS(J86)/MAX(((G35)+(I35)*(MAX($D$16,(N86)-(K35))))*(MAX($D$16,(N86)-(K35))),0.000001))^2)/(2*$I$5))))-((ABS(J86)/MAX(((F35)+(H35)*(MAX($D$16,(E86)-(J35))))*(MAX($D$16,(E86)-(J35))),0.000001))^2)/(2*$I$5)</f>
        <v>20784.033523923383</v>
      </c>
      <c r="U86">
        <f>(((((F32)*(MAX($D$16,(D86)-(J32)))^2)/2+(H32)*(MAX($D$16,(D86)-(J32)))^3/3+(ABS(G86)^2)/($I$5*MAX(((F32)+(H32)*(MAX($D$16,(D86)-(J32))))*(MAX($D$16,(D86)-(J32))),0.000001)))*0.72785025)-((((F33)*(MAX($D$16,(D86)-(J33)))^2)/2+(H33)*(MAX($D$16,(D86)-(J33)))^3/3+(ABS(H86)^2)/($I$5*MAX(((F33)+(H33)*(MAX($D$16,(D86)-(J33))))*(MAX($D$16,(D86)-(J33))),0.000001)))*0.99999971))/MAX(((G31)*(MAX($D$16,(D86)-(K31)))^2)/2+(I31)*(MAX($D$16,(D86)-(K31)))^3/3+(ABS(F86)^2)/($I$5*MAX(((G31)+(I31)*(MAX($D$16,(D86)-(K31))))*(MAX($D$16,(D86)-(K31))),0.000001)),0.000001)</f>
        <v>-0.27214945999991125</v>
      </c>
      <c r="V86">
        <f>(((((F34)*(MAX($D$16,(E86)-(J34)))^2)/2+(H34)*(MAX($D$16,(E86)-(J34)))^3/3+(ABS(I86)^2)/($I$5*MAX(((F34)+(H34)*(MAX($D$16,(E86)-(J34))))*(MAX($D$16,(E86)-(J34))),0.000001)))*1)-((((F35)*(MAX($D$16,(E86)-(J35)))^2)/2+(H35)*(MAX($D$16,(E86)-(J35)))^3/3+(ABS(J86)^2)/($I$5*MAX(((F35)+(H35)*(MAX($D$16,(E86)-(J35))))*(MAX($D$16,(E86)-(J35))),0.000001)))*0.30600918))/MAX(((G32)*(MAX($D$16,(E86)-(K32)))^2)/2+(I32)*(MAX($D$16,(E86)-(K32)))^3/3+(ABS(G86)^2)/($I$5*MAX(((G32)+(I32)*(MAX($D$16,(E86)-(K32))))*(MAX($D$16,(E86)-(K32))),0.000001)),0.000001)</f>
        <v>0.69398638937190382</v>
      </c>
      <c r="W86">
        <f>IF(N6="None",ABS(P86-D86),MAX(ABS(P86-D86),ABS(Q86-D86)))</f>
        <v>3.4197000786662102E-10</v>
      </c>
      <c r="X86">
        <f>IF(AND(N7="None",N8="None"),0,IF(N8="None",ABS(S86-E86),IF(N7="None",ABS(T86-E86),MAX(ABS(S86-E86),ABS(T86-E86)))))</f>
        <v>51796.641837659103</v>
      </c>
      <c r="AA86">
        <f t="shared" si="18"/>
        <v>52432.14183765943</v>
      </c>
      <c r="AB86">
        <f t="shared" si="19"/>
        <v>41355.303927851601</v>
      </c>
      <c r="AC86">
        <f>IF(N6="None",P86,MAX(P86,Q86))</f>
        <v>52432.141837659656</v>
      </c>
      <c r="AD86">
        <f>IF(AND(N7="None",N8="None"),E86,IF(N8="None",S86,IF(N7="None",T86,MAX(S86,T86))))</f>
        <v>20784.033523923383</v>
      </c>
      <c r="AE86">
        <f t="shared" si="20"/>
        <v>637.65825101089831</v>
      </c>
      <c r="AF86">
        <f t="shared" si="21"/>
        <v>52432.141837659445</v>
      </c>
      <c r="AG86">
        <f>((G31)*(MAX($D$16,(AC86)-(K31)))^2)/2+(I31)*(MAX($D$16,(AC86)-(K31)))^3/3+(ABS(F86)^2)/($I$5*MAX(((G31)+(I31)*(MAX($D$16,(AC86)-(K31))))*(MAX($D$16,(AC86)-(K31))),0.000001))</f>
        <v>8797611517.4108391</v>
      </c>
      <c r="AH86">
        <f>((G31)*(MAX($D$16,(AE86)-(K31)))^2)/2+(I31)*(MAX($D$16,(AE86)-(K31)))^3/3+(ABS(F86)^2)/($I$5*MAX(((G31)+(I31)*(MAX($D$16,(AE86)-(K31))))*(MAX($D$16,(AE86)-(K31))),0.000001))</f>
        <v>49.055863329575246</v>
      </c>
      <c r="AI86">
        <f>((G32)*(MAX($D$16,(AD86)-(K32)))^2)/2+(I32)*(MAX($D$16,(AD86)-(K32)))^3/3+(ABS(G86)^2)/($I$5*MAX(((G32)+(I32)*(MAX($D$16,(AD86)-(K32))))*(MAX($D$16,(AD86)-(K32))),0.000001))</f>
        <v>2072376743.6648321</v>
      </c>
      <c r="AJ86">
        <f>((G32)*(MAX($D$16,(AF86)-(K32)))^2)/2+(I32)*(MAX($D$16,(AF86)-(K32)))^3/3+(ABS(G86)^2)/($I$5*MAX(((G32)+(I32)*(MAX($D$16,(AF86)-(K32))))*(MAX($D$16,(AF86)-(K32))),0.000001))</f>
        <v>13692714789.642735</v>
      </c>
      <c r="AK86" t="str">
        <f t="shared" si="22"/>
        <v>Subcritical</v>
      </c>
      <c r="AL86" t="str">
        <f t="shared" si="23"/>
        <v>Supercritical</v>
      </c>
      <c r="AM86">
        <f t="shared" si="24"/>
        <v>52432.14183765943</v>
      </c>
      <c r="AN86">
        <f t="shared" si="25"/>
        <v>52432.141837659219</v>
      </c>
      <c r="AO86">
        <f t="shared" si="26"/>
        <v>3.4197000786662102E-10</v>
      </c>
      <c r="AP86">
        <f t="shared" si="27"/>
        <v>3.4197000786662102E-10</v>
      </c>
    </row>
    <row r="87" spans="1:42" x14ac:dyDescent="0.35">
      <c r="A87">
        <v>44</v>
      </c>
      <c r="B87">
        <f t="shared" si="28"/>
        <v>0</v>
      </c>
      <c r="C87">
        <f t="shared" si="29"/>
        <v>0</v>
      </c>
      <c r="D87">
        <f t="shared" si="30"/>
        <v>52432.14183765943</v>
      </c>
      <c r="E87">
        <f t="shared" si="31"/>
        <v>52432.141837659219</v>
      </c>
      <c r="F87">
        <f t="shared" si="17"/>
        <v>51</v>
      </c>
      <c r="G87">
        <f>IF(N6="None",F87,MAX(0,F87*B87))</f>
        <v>51</v>
      </c>
      <c r="H87">
        <f>IF(N6="None",0,MAX(0,F87-G87))</f>
        <v>0</v>
      </c>
      <c r="I87">
        <f>IF(AND(N7="None",N8="None"),0,IF(N8="None",G87,IF(N7="None",0,MAX(0,G87*C87))))</f>
        <v>0</v>
      </c>
      <c r="J87">
        <f>IF(AND(N7="None",N8="None"),0,IF(N8="None",0,IF(N7="None",G87,MAX(0,G87-I87))))</f>
        <v>51</v>
      </c>
      <c r="K87">
        <f>P5</f>
        <v>637</v>
      </c>
      <c r="L87">
        <f>P6</f>
        <v>634.3119999999999</v>
      </c>
      <c r="M87">
        <f>P7</f>
        <v>635.5</v>
      </c>
      <c r="N87">
        <f>P8</f>
        <v>631.54999999999995</v>
      </c>
      <c r="O87">
        <f>K87+((ABS(F87)/MAX(((F31)+(H31)*(MAX($D$16,(K87)-(J31))))*(MAX($D$16,(K87)-(J31))),0.000001))^2)/(2*$I$5)-((E31)*((((ABS(F87)*$D$6)/(MAX(((F31)+(H31)*(MAX($D$16,(K87)-(J31))))*(MAX($D$16,(K87)-(J31))),0.000001)*MAX(((((F31)+(H31)*(MAX($D$16,(K87)-(J31))))*(MAX($D$16,(K87)-(J31))))/MAX((F31)+2*(MAX($D$16,(K87)-(J31)))*SQRT(1+(H31)^2),0.000001))^(2/3),0.000001)))^2)+(((ABS(F87)*$D$6)/(MAX(((G31)+(I31)*(MAX($D$16,(D87)-(K31))))*(MAX($D$16,(D87)-(K31))),0.000001)*MAX(((((G31)+(I31)*(MAX($D$16,(D87)-(K31))))*(MAX($D$16,(D87)-(K31))))/MAX((G31)+2*(MAX($D$16,(D87)-(K31)))*SQRT(1+(I31)^2),0.000001))^(2/3),0.000001)))^2))/2)+(IF((ABS(F87)/MAX(((G31)+(I31)*(MAX($D$16,(D87)-(K31))))*(MAX($D$16,(D87)-(K31))),0.000001))&gt;(ABS(F87)/MAX(((F31)+(H31)*(MAX($D$16,(K87)-(J31))))*(MAX($D$16,(K87)-(J31))),0.000001)),$D$9*((((ABS(F87)/MAX(((G31)+(I31)*(MAX($D$16,(D87)-(K31))))*(MAX($D$16,(D87)-(K31))),0.000001))^2)/(2*$I$5))-(((ABS(F87)/MAX(((F31)+(H31)*(MAX($D$16,(K87)-(J31))))*(MAX($D$16,(K87)-(J31))),0.000001))^2)/(2*$I$5))),$D$8*((((ABS(F87)/MAX(((F31)+(H31)*(MAX($D$16,(K87)-(J31))))*(MAX($D$16,(K87)-(J31))),0.000001))^2)/(2*$I$5))-(((ABS(F87)/MAX(((G31)+(I31)*(MAX($D$16,(D87)-(K31))))*(MAX($D$16,(D87)-(K31))),0.000001))^2)/(2*$I$5)))))+($D$10*(ABS((X31)-(W31))/90)*MAX(((ABS(F87)/MAX(((F31)+(H31)*(MAX($D$16,(K87)-(J31))))*(MAX($D$16,(K87)-(J31))),0.000001))^2)/(2*$I$5),((ABS(F87)/MAX(((G31)+(I31)*(MAX($D$16,(D87)-(K31))))*(MAX($D$16,(D87)-(K31))),0.000001))^2)/(2*$I$5)))+(0)-((ABS(F87)/MAX(((G31)+(I31)*(MAX($D$16,(D87)-(K31))))*(MAX($D$16,(D87)-(K31))),0.000001))^2)/(2*$I$5)</f>
        <v>637.65825101089831</v>
      </c>
      <c r="P87">
        <f>E87+((ABS(G87)/MAX(((G32)+(I32)*(MAX($D$16,(E87)-(K32))))*(MAX($D$16,(E87)-(K32))),0.000001))^2)/(2*$I$5)+((E32)*((((ABS(G87)*$D$6)/(MAX(((F32)+(H32)*(MAX($D$16,(D87)-(J32))))*(MAX($D$16,(D87)-(J32))),0.000001)*MAX(((((F32)+(H32)*(MAX($D$16,(D87)-(J32))))*(MAX($D$16,(D87)-(J32))))/MAX((F32)+2*(MAX($D$16,(D87)-(J32)))*SQRT(1+(H32)^2),0.000001))^(2/3),0.000001)))^2)+(((ABS(G87)*$D$6)/(MAX(((G32)+(I32)*(MAX($D$16,(E87)-(K32))))*(MAX($D$16,(E87)-(K32))),0.000001)*MAX(((((G32)+(I32)*(MAX($D$16,(E87)-(K32))))*(MAX($D$16,(E87)-(K32))))/MAX((G32)+2*(MAX($D$16,(E87)-(K32)))*SQRT(1+(I32)^2),0.000001))^(2/3),0.000001)))^2))/2)+(IF((ABS(G87)/MAX(((G32)+(I32)*(MAX($D$16,(E87)-(K32))))*(MAX($D$16,(E87)-(K32))),0.000001))&gt;(ABS(G87)/MAX(((F32)+(H32)*(MAX($D$16,(D87)-(J32))))*(MAX($D$16,(D87)-(J32))),0.000001)),$D$9*((((ABS(G87)/MAX(((G32)+(I32)*(MAX($D$16,(E87)-(K32))))*(MAX($D$16,(E87)-(K32))),0.000001))^2)/(2*$I$5))-(((ABS(G87)/MAX(((F32)+(H32)*(MAX($D$16,(D87)-(J32))))*(MAX($D$16,(D87)-(J32))),0.000001))^2)/(2*$I$5))),$D$8*((((ABS(G87)/MAX(((F32)+(H32)*(MAX($D$16,(D87)-(J32))))*(MAX($D$16,(D87)-(J32))),0.000001))^2)/(2*$I$5))-(((ABS(G87)/MAX(((G32)+(I32)*(MAX($D$16,(E87)-(K32))))*(MAX($D$16,(E87)-(K32))),0.000001))^2)/(2*$I$5)))))+($D$10*(ABS((X32)-(W32))/90)*MAX(((ABS(G87)/MAX(((F32)+(H32)*(MAX($D$16,(D87)-(J32))))*(MAX($D$16,(D87)-(J32))),0.000001))^2)/(2*$I$5),((ABS(G87)/MAX(((G32)+(I32)*(MAX($D$16,(E87)-(K32))))*(MAX($D$16,(E87)-(K32))),0.000001))^2)/(2*$I$5)))+(($D$11*0.13607488*(ABS(H87)/MAX(ABS(F87),0.000001))^2*MAX(((ABS(G87)/MAX(((F32)+(H32)*(MAX($D$16,(D87)-(J32))))*(MAX($D$16,(D87)-(J32))),0.000001))^2)/(2*$I$5),((ABS(G87)/MAX(((G32)+(I32)*(MAX($D$16,(E87)-(K32))))*(MAX($D$16,(E87)-(K32))),0.000001))^2)/(2*$I$5))))-((ABS(G87)/MAX(((F32)+(H32)*(MAX($D$16,(D87)-(J32))))*(MAX($D$16,(D87)-(J32))),0.000001))^2)/(2*$I$5)</f>
        <v>52432.141837659772</v>
      </c>
      <c r="Q87">
        <f>L87+((ABS(H87)/MAX(((G33)+(I33)*(MAX($D$16,(L87)-(K33))))*(MAX($D$16,(L87)-(K33))),0.000001))^2)/(2*$I$5)+((E33)*((((ABS(H87)*$D$6)/(MAX(((F33)+(H33)*(MAX($D$16,(D87)-(J33))))*(MAX($D$16,(D87)-(J33))),0.000001)*MAX(((((F33)+(H33)*(MAX($D$16,(D87)-(J33))))*(MAX($D$16,(D87)-(J33))))/MAX((F33)+2*(MAX($D$16,(D87)-(J33)))*SQRT(1+(H33)^2),0.000001))^(2/3),0.000001)))^2)+(((ABS(H87)*$D$6)/(MAX(((G33)+(I33)*(MAX($D$16,(L87)-(K33))))*(MAX($D$16,(L87)-(K33))),0.000001)*MAX(((((G33)+(I33)*(MAX($D$16,(L87)-(K33))))*(MAX($D$16,(L87)-(K33))))/MAX((G33)+2*(MAX($D$16,(L87)-(K33)))*SQRT(1+(I33)^2),0.000001))^(2/3),0.000001)))^2))/2)+(IF((ABS(H87)/MAX(((G33)+(I33)*(MAX($D$16,(L87)-(K33))))*(MAX($D$16,(L87)-(K33))),0.000001))&gt;(ABS(H87)/MAX(((F33)+(H33)*(MAX($D$16,(D87)-(J33))))*(MAX($D$16,(D87)-(J33))),0.000001)),$D$9*((((ABS(H87)/MAX(((G33)+(I33)*(MAX($D$16,(L87)-(K33))))*(MAX($D$16,(L87)-(K33))),0.000001))^2)/(2*$I$5))-(((ABS(H87)/MAX(((F33)+(H33)*(MAX($D$16,(D87)-(J33))))*(MAX($D$16,(D87)-(J33))),0.000001))^2)/(2*$I$5))),$D$8*((((ABS(H87)/MAX(((F33)+(H33)*(MAX($D$16,(D87)-(J33))))*(MAX($D$16,(D87)-(J33))),0.000001))^2)/(2*$I$5))-(((ABS(H87)/MAX(((G33)+(I33)*(MAX($D$16,(L87)-(K33))))*(MAX($D$16,(L87)-(K33))),0.000001))^2)/(2*$I$5)))))+($D$10*(ABS((X33)-(W33))/90)*MAX(((ABS(H87)/MAX(((F33)+(H33)*(MAX($D$16,(D87)-(J33))))*(MAX($D$16,(D87)-(J33))),0.000001))^2)/(2*$I$5),((ABS(H87)/MAX(((G33)+(I33)*(MAX($D$16,(L87)-(K33))))*(MAX($D$16,(L87)-(K33))),0.000001))^2)/(2*$I$5)))+(($D$11*0.00000015*(ABS(G87)/MAX(ABS(F87),0.000001))^2*MAX(((ABS(H87)/MAX(((F33)+(H33)*(MAX($D$16,(D87)-(J33))))*(MAX($D$16,(D87)-(J33))),0.000001))^2)/(2*$I$5),((ABS(H87)/MAX(((G33)+(I33)*(MAX($D$16,(L87)-(K33))))*(MAX($D$16,(L87)-(K33))),0.000001))^2)/(2*$I$5))))-((ABS(H87)/MAX(((F33)+(H33)*(MAX($D$16,(D87)-(J33))))*(MAX($D$16,(D87)-(J33))),0.000001))^2)/(2*$I$5)</f>
        <v>634.3119999999999</v>
      </c>
      <c r="R87">
        <f>D87+((ABS(G87)/MAX(((F32)+(H32)*(MAX($D$16,(D87)-(J32))))*(MAX($D$16,(D87)-(J32))),0.000001))^2)/(2*$I$5)-((E32)*((((ABS(G87)*$D$6)/(MAX(((F32)+(H32)*(MAX($D$16,(D87)-(J32))))*(MAX($D$16,(D87)-(J32))),0.000001)*MAX(((((F32)+(H32)*(MAX($D$16,(D87)-(J32))))*(MAX($D$16,(D87)-(J32))))/MAX((F32)+2*(MAX($D$16,(D87)-(J32)))*SQRT(1+(H32)^2),0.000001))^(2/3),0.000001)))^2)+(((ABS(G87)*$D$6)/(MAX(((G32)+(I32)*(MAX($D$16,(E87)-(K32))))*(MAX($D$16,(E87)-(K32))),0.000001)*MAX(((((G32)+(I32)*(MAX($D$16,(E87)-(K32))))*(MAX($D$16,(E87)-(K32))))/MAX((G32)+2*(MAX($D$16,(E87)-(K32)))*SQRT(1+(I32)^2),0.000001))^(2/3),0.000001)))^2))/2)+(IF((ABS(G87)/MAX(((G32)+(I32)*(MAX($D$16,(E87)-(K32))))*(MAX($D$16,(E87)-(K32))),0.000001))&gt;(ABS(G87)/MAX(((F32)+(H32)*(MAX($D$16,(D87)-(J32))))*(MAX($D$16,(D87)-(J32))),0.000001)),$D$9*((((ABS(G87)/MAX(((G32)+(I32)*(MAX($D$16,(E87)-(K32))))*(MAX($D$16,(E87)-(K32))),0.000001))^2)/(2*$I$5))-(((ABS(G87)/MAX(((F32)+(H32)*(MAX($D$16,(D87)-(J32))))*(MAX($D$16,(D87)-(J32))),0.000001))^2)/(2*$I$5))),$D$8*((((ABS(G87)/MAX(((F32)+(H32)*(MAX($D$16,(D87)-(J32))))*(MAX($D$16,(D87)-(J32))),0.000001))^2)/(2*$I$5))-(((ABS(G87)/MAX(((G32)+(I32)*(MAX($D$16,(E87)-(K32))))*(MAX($D$16,(E87)-(K32))),0.000001))^2)/(2*$I$5)))))+($D$10*(ABS((X32)-(W32))/90)*MAX(((ABS(G87)/MAX(((F32)+(H32)*(MAX($D$16,(D87)-(J32))))*(MAX($D$16,(D87)-(J32))),0.000001))^2)/(2*$I$5),((ABS(G87)/MAX(((G32)+(I32)*(MAX($D$16,(E87)-(K32))))*(MAX($D$16,(E87)-(K32))),0.000001))^2)/(2*$I$5)))+(($D$11*0.13607488*(ABS(H87)/MAX(ABS(F87),0.000001))^2*MAX(((ABS(G87)/MAX(((F32)+(H32)*(MAX($D$16,(D87)-(J32))))*(MAX($D$16,(D87)-(J32))),0.000001))^2)/(2*$I$5),((ABS(G87)/MAX(((G32)+(I32)*(MAX($D$16,(E87)-(K32))))*(MAX($D$16,(E87)-(K32))),0.000001))^2)/(2*$I$5))))-((ABS(G87)/MAX(((G32)+(I32)*(MAX($D$16,(E87)-(K32))))*(MAX($D$16,(E87)-(K32))),0.000001))^2)/(2*$I$5)</f>
        <v>52432.141837659561</v>
      </c>
      <c r="S87">
        <f>M87+((ABS(I87)/MAX(((G34)+(I34)*(MAX($D$16,(M87)-(K34))))*(MAX($D$16,(M87)-(K34))),0.000001))^2)/(2*$I$5)+((E34)*((((ABS(I87)*$D$6)/(MAX(((F34)+(H34)*(MAX($D$16,(E87)-(J34))))*(MAX($D$16,(E87)-(J34))),0.000001)*MAX(((((F34)+(H34)*(MAX($D$16,(E87)-(J34))))*(MAX($D$16,(E87)-(J34))))/MAX((F34)+2*(MAX($D$16,(E87)-(J34)))*SQRT(1+(H34)^2),0.000001))^(2/3),0.000001)))^2)+(((ABS(I87)*$D$6)/(MAX(((G34)+(I34)*(MAX($D$16,(M87)-(K34))))*(MAX($D$16,(M87)-(K34))),0.000001)*MAX(((((G34)+(I34)*(MAX($D$16,(M87)-(K34))))*(MAX($D$16,(M87)-(K34))))/MAX((G34)+2*(MAX($D$16,(M87)-(K34)))*SQRT(1+(I34)^2),0.000001))^(2/3),0.000001)))^2))/2)+(IF((ABS(I87)/MAX(((G34)+(I34)*(MAX($D$16,(M87)-(K34))))*(MAX($D$16,(M87)-(K34))),0.000001))&gt;(ABS(I87)/MAX(((F34)+(H34)*(MAX($D$16,(E87)-(J34))))*(MAX($D$16,(E87)-(J34))),0.000001)),$D$9*((((ABS(I87)/MAX(((G34)+(I34)*(MAX($D$16,(M87)-(K34))))*(MAX($D$16,(M87)-(K34))),0.000001))^2)/(2*$I$5))-(((ABS(I87)/MAX(((F34)+(H34)*(MAX($D$16,(E87)-(J34))))*(MAX($D$16,(E87)-(J34))),0.000001))^2)/(2*$I$5))),$D$8*((((ABS(I87)/MAX(((F34)+(H34)*(MAX($D$16,(E87)-(J34))))*(MAX($D$16,(E87)-(J34))),0.000001))^2)/(2*$I$5))-(((ABS(I87)/MAX(((G34)+(I34)*(MAX($D$16,(M87)-(K34))))*(MAX($D$16,(M87)-(K34))),0.000001))^2)/(2*$I$5)))))+($D$10*(ABS((X34)-(W34))/90)*MAX(((ABS(I87)/MAX(((F34)+(H34)*(MAX($D$16,(E87)-(J34))))*(MAX($D$16,(E87)-(J34))),0.000001))^2)/(2*$I$5),((ABS(I87)/MAX(((G34)+(I34)*(MAX($D$16,(M87)-(K34))))*(MAX($D$16,(M87)-(K34))),0.000001))^2)/(2*$I$5)))+(0)-((ABS(I87)/MAX(((F34)+(H34)*(MAX($D$16,(E87)-(J34))))*(MAX($D$16,(E87)-(J34))),0.000001))^2)/(2*$I$5)</f>
        <v>635.5</v>
      </c>
      <c r="T87">
        <f>N87+((ABS(J87)/MAX(((G35)+(I35)*(MAX($D$16,(N87)-(K35))))*(MAX($D$16,(N87)-(K35))),0.000001))^2)/(2*$I$5)+((E35)*((((ABS(J87)*$D$6)/(MAX(((F35)+(H35)*(MAX($D$16,(E87)-(J35))))*(MAX($D$16,(E87)-(J35))),0.000001)*MAX(((((F35)+(H35)*(MAX($D$16,(E87)-(J35))))*(MAX($D$16,(E87)-(J35))))/MAX((F35)+2*(MAX($D$16,(E87)-(J35)))*SQRT(1+(H35)^2),0.000001))^(2/3),0.000001)))^2)+(((ABS(J87)*$D$6)/(MAX(((G35)+(I35)*(MAX($D$16,(N87)-(K35))))*(MAX($D$16,(N87)-(K35))),0.000001)*MAX(((((G35)+(I35)*(MAX($D$16,(N87)-(K35))))*(MAX($D$16,(N87)-(K35))))/MAX((G35)+2*(MAX($D$16,(N87)-(K35)))*SQRT(1+(I35)^2),0.000001))^(2/3),0.000001)))^2))/2)+(IF((ABS(J87)/MAX(((G35)+(I35)*(MAX($D$16,(N87)-(K35))))*(MAX($D$16,(N87)-(K35))),0.000001))&gt;(ABS(J87)/MAX(((F35)+(H35)*(MAX($D$16,(E87)-(J35))))*(MAX($D$16,(E87)-(J35))),0.000001)),$D$9*((((ABS(J87)/MAX(((G35)+(I35)*(MAX($D$16,(N87)-(K35))))*(MAX($D$16,(N87)-(K35))),0.000001))^2)/(2*$I$5))-(((ABS(J87)/MAX(((F35)+(H35)*(MAX($D$16,(E87)-(J35))))*(MAX($D$16,(E87)-(J35))),0.000001))^2)/(2*$I$5))),$D$8*((((ABS(J87)/MAX(((F35)+(H35)*(MAX($D$16,(E87)-(J35))))*(MAX($D$16,(E87)-(J35))),0.000001))^2)/(2*$I$5))-(((ABS(J87)/MAX(((G35)+(I35)*(MAX($D$16,(N87)-(K35))))*(MAX($D$16,(N87)-(K35))),0.000001))^2)/(2*$I$5)))))+($D$10*(ABS((X35)-(W35))/90)*MAX(((ABS(J87)/MAX(((F35)+(H35)*(MAX($D$16,(E87)-(J35))))*(MAX($D$16,(E87)-(J35))),0.000001))^2)/(2*$I$5),((ABS(J87)/MAX(((G35)+(I35)*(MAX($D$16,(N87)-(K35))))*(MAX($D$16,(N87)-(K35))),0.000001))^2)/(2*$I$5)))+(($D$11*0.34699541*(ABS(I87)/MAX(ABS(G87),0.000001))^2*MAX(((ABS(J87)/MAX(((F35)+(H35)*(MAX($D$16,(E87)-(J35))))*(MAX($D$16,(E87)-(J35))),0.000001))^2)/(2*$I$5),((ABS(J87)/MAX(((G35)+(I35)*(MAX($D$16,(N87)-(K35))))*(MAX($D$16,(N87)-(K35))),0.000001))^2)/(2*$I$5))))-((ABS(J87)/MAX(((F35)+(H35)*(MAX($D$16,(E87)-(J35))))*(MAX($D$16,(E87)-(J35))),0.000001))^2)/(2*$I$5)</f>
        <v>20784.033523923383</v>
      </c>
      <c r="U87">
        <f>(((((F32)*(MAX($D$16,(D87)-(J32)))^2)/2+(H32)*(MAX($D$16,(D87)-(J32)))^3/3+(ABS(G87)^2)/($I$5*MAX(((F32)+(H32)*(MAX($D$16,(D87)-(J32))))*(MAX($D$16,(D87)-(J32))),0.000001)))*0.72785025)-((((F33)*(MAX($D$16,(D87)-(J33)))^2)/2+(H33)*(MAX($D$16,(D87)-(J33)))^3/3+(ABS(H87)^2)/($I$5*MAX(((F33)+(H33)*(MAX($D$16,(D87)-(J33))))*(MAX($D$16,(D87)-(J33))),0.000001)))*0.99999971))/MAX(((G31)*(MAX($D$16,(D87)-(K31)))^2)/2+(I31)*(MAX($D$16,(D87)-(K31)))^3/3+(ABS(F87)^2)/($I$5*MAX(((G31)+(I31)*(MAX($D$16,(D87)-(K31))))*(MAX($D$16,(D87)-(K31))),0.000001)),0.000001)</f>
        <v>-0.27214945999991119</v>
      </c>
      <c r="V87">
        <f>(((((F34)*(MAX($D$16,(E87)-(J34)))^2)/2+(H34)*(MAX($D$16,(E87)-(J34)))^3/3+(ABS(I87)^2)/($I$5*MAX(((F34)+(H34)*(MAX($D$16,(E87)-(J34))))*(MAX($D$16,(E87)-(J34))),0.000001)))*1)-((((F35)*(MAX($D$16,(E87)-(J35)))^2)/2+(H35)*(MAX($D$16,(E87)-(J35)))^3/3+(ABS(J87)^2)/($I$5*MAX(((F35)+(H35)*(MAX($D$16,(E87)-(J35))))*(MAX($D$16,(E87)-(J35))),0.000001)))*0.30600918))/MAX(((G32)*(MAX($D$16,(E87)-(K32)))^2)/2+(I32)*(MAX($D$16,(E87)-(K32)))^3/3+(ABS(G87)^2)/($I$5*MAX(((G32)+(I32)*(MAX($D$16,(E87)-(K32))))*(MAX($D$16,(E87)-(K32))),0.000001)),0.000001)</f>
        <v>0.69398638937190393</v>
      </c>
      <c r="W87">
        <f>IF(N6="None",ABS(P87-D87),MAX(ABS(P87-D87),ABS(Q87-D87)))</f>
        <v>3.4197000786662102E-10</v>
      </c>
      <c r="X87">
        <f>IF(AND(N7="None",N8="None"),0,IF(N8="None",ABS(S87-E87),IF(N7="None",ABS(T87-E87),MAX(ABS(S87-E87),ABS(T87-E87)))))</f>
        <v>51796.641837659219</v>
      </c>
      <c r="AA87">
        <f t="shared" si="18"/>
        <v>52432.141837659547</v>
      </c>
      <c r="AB87">
        <f t="shared" si="19"/>
        <v>41355.303927851681</v>
      </c>
      <c r="AC87">
        <f>IF(N6="None",P87,MAX(P87,Q87))</f>
        <v>52432.141837659772</v>
      </c>
      <c r="AD87">
        <f>IF(AND(N7="None",N8="None"),E87,IF(N8="None",S87,IF(N7="None",T87,MAX(S87,T87))))</f>
        <v>20784.033523923383</v>
      </c>
      <c r="AE87">
        <f t="shared" si="20"/>
        <v>637.65825101089831</v>
      </c>
      <c r="AF87">
        <f t="shared" si="21"/>
        <v>52432.141837659561</v>
      </c>
      <c r="AG87">
        <f>((G31)*(MAX($D$16,(AC87)-(K31)))^2)/2+(I31)*(MAX($D$16,(AC87)-(K31)))^3/3+(ABS(F87)^2)/($I$5*MAX(((G31)+(I31)*(MAX($D$16,(AC87)-(K31))))*(MAX($D$16,(AC87)-(K31))),0.000001))</f>
        <v>8797611517.4108772</v>
      </c>
      <c r="AH87">
        <f>((G31)*(MAX($D$16,(AE87)-(K31)))^2)/2+(I31)*(MAX($D$16,(AE87)-(K31)))^3/3+(ABS(F87)^2)/($I$5*MAX(((G31)+(I31)*(MAX($D$16,(AE87)-(K31))))*(MAX($D$16,(AE87)-(K31))),0.000001))</f>
        <v>49.055863329575246</v>
      </c>
      <c r="AI87">
        <f>((G32)*(MAX($D$16,(AD87)-(K32)))^2)/2+(I32)*(MAX($D$16,(AD87)-(K32)))^3/3+(ABS(G87)^2)/($I$5*MAX(((G32)+(I32)*(MAX($D$16,(AD87)-(K32))))*(MAX($D$16,(AD87)-(K32))),0.000001))</f>
        <v>2072376743.6648321</v>
      </c>
      <c r="AJ87">
        <f>((G32)*(MAX($D$16,(AF87)-(K32)))^2)/2+(I32)*(MAX($D$16,(AF87)-(K32)))^3/3+(ABS(G87)^2)/($I$5*MAX(((G32)+(I32)*(MAX($D$16,(AF87)-(K32))))*(MAX($D$16,(AF87)-(K32))),0.000001))</f>
        <v>13692714789.642797</v>
      </c>
      <c r="AK87" t="str">
        <f t="shared" si="22"/>
        <v>Subcritical</v>
      </c>
      <c r="AL87" t="str">
        <f t="shared" si="23"/>
        <v>Supercritical</v>
      </c>
      <c r="AM87">
        <f t="shared" si="24"/>
        <v>52432.141837659547</v>
      </c>
      <c r="AN87">
        <f t="shared" si="25"/>
        <v>52432.141837659336</v>
      </c>
      <c r="AO87">
        <f t="shared" si="26"/>
        <v>3.4197000786662102E-10</v>
      </c>
      <c r="AP87">
        <f t="shared" si="27"/>
        <v>3.4197000786662102E-10</v>
      </c>
    </row>
    <row r="88" spans="1:42" x14ac:dyDescent="0.35">
      <c r="A88">
        <v>45</v>
      </c>
      <c r="B88">
        <f t="shared" si="28"/>
        <v>0</v>
      </c>
      <c r="C88">
        <f t="shared" si="29"/>
        <v>0</v>
      </c>
      <c r="D88">
        <f t="shared" si="30"/>
        <v>52432.141837659547</v>
      </c>
      <c r="E88">
        <f t="shared" si="31"/>
        <v>52432.141837659336</v>
      </c>
      <c r="F88">
        <f t="shared" si="17"/>
        <v>51</v>
      </c>
      <c r="G88">
        <f>IF(N6="None",F88,MAX(0,F88*B88))</f>
        <v>51</v>
      </c>
      <c r="H88">
        <f>IF(N6="None",0,MAX(0,F88-G88))</f>
        <v>0</v>
      </c>
      <c r="I88">
        <f>IF(AND(N7="None",N8="None"),0,IF(N8="None",G88,IF(N7="None",0,MAX(0,G88*C88))))</f>
        <v>0</v>
      </c>
      <c r="J88">
        <f>IF(AND(N7="None",N8="None"),0,IF(N8="None",0,IF(N7="None",G88,MAX(0,G88-I88))))</f>
        <v>51</v>
      </c>
      <c r="K88">
        <f>P5</f>
        <v>637</v>
      </c>
      <c r="L88">
        <f>P6</f>
        <v>634.3119999999999</v>
      </c>
      <c r="M88">
        <f>P7</f>
        <v>635.5</v>
      </c>
      <c r="N88">
        <f>P8</f>
        <v>631.54999999999995</v>
      </c>
      <c r="O88">
        <f>K88+((ABS(F88)/MAX(((F31)+(H31)*(MAX($D$16,(K88)-(J31))))*(MAX($D$16,(K88)-(J31))),0.000001))^2)/(2*$I$5)-((E31)*((((ABS(F88)*$D$6)/(MAX(((F31)+(H31)*(MAX($D$16,(K88)-(J31))))*(MAX($D$16,(K88)-(J31))),0.000001)*MAX(((((F31)+(H31)*(MAX($D$16,(K88)-(J31))))*(MAX($D$16,(K88)-(J31))))/MAX((F31)+2*(MAX($D$16,(K88)-(J31)))*SQRT(1+(H31)^2),0.000001))^(2/3),0.000001)))^2)+(((ABS(F88)*$D$6)/(MAX(((G31)+(I31)*(MAX($D$16,(D88)-(K31))))*(MAX($D$16,(D88)-(K31))),0.000001)*MAX(((((G31)+(I31)*(MAX($D$16,(D88)-(K31))))*(MAX($D$16,(D88)-(K31))))/MAX((G31)+2*(MAX($D$16,(D88)-(K31)))*SQRT(1+(I31)^2),0.000001))^(2/3),0.000001)))^2))/2)+(IF((ABS(F88)/MAX(((G31)+(I31)*(MAX($D$16,(D88)-(K31))))*(MAX($D$16,(D88)-(K31))),0.000001))&gt;(ABS(F88)/MAX(((F31)+(H31)*(MAX($D$16,(K88)-(J31))))*(MAX($D$16,(K88)-(J31))),0.000001)),$D$9*((((ABS(F88)/MAX(((G31)+(I31)*(MAX($D$16,(D88)-(K31))))*(MAX($D$16,(D88)-(K31))),0.000001))^2)/(2*$I$5))-(((ABS(F88)/MAX(((F31)+(H31)*(MAX($D$16,(K88)-(J31))))*(MAX($D$16,(K88)-(J31))),0.000001))^2)/(2*$I$5))),$D$8*((((ABS(F88)/MAX(((F31)+(H31)*(MAX($D$16,(K88)-(J31))))*(MAX($D$16,(K88)-(J31))),0.000001))^2)/(2*$I$5))-(((ABS(F88)/MAX(((G31)+(I31)*(MAX($D$16,(D88)-(K31))))*(MAX($D$16,(D88)-(K31))),0.000001))^2)/(2*$I$5)))))+($D$10*(ABS((X31)-(W31))/90)*MAX(((ABS(F88)/MAX(((F31)+(H31)*(MAX($D$16,(K88)-(J31))))*(MAX($D$16,(K88)-(J31))),0.000001))^2)/(2*$I$5),((ABS(F88)/MAX(((G31)+(I31)*(MAX($D$16,(D88)-(K31))))*(MAX($D$16,(D88)-(K31))),0.000001))^2)/(2*$I$5)))+(0)-((ABS(F88)/MAX(((G31)+(I31)*(MAX($D$16,(D88)-(K31))))*(MAX($D$16,(D88)-(K31))),0.000001))^2)/(2*$I$5)</f>
        <v>637.65825101089831</v>
      </c>
      <c r="P88">
        <f>E88+((ABS(G88)/MAX(((G32)+(I32)*(MAX($D$16,(E88)-(K32))))*(MAX($D$16,(E88)-(K32))),0.000001))^2)/(2*$I$5)+((E32)*((((ABS(G88)*$D$6)/(MAX(((F32)+(H32)*(MAX($D$16,(D88)-(J32))))*(MAX($D$16,(D88)-(J32))),0.000001)*MAX(((((F32)+(H32)*(MAX($D$16,(D88)-(J32))))*(MAX($D$16,(D88)-(J32))))/MAX((F32)+2*(MAX($D$16,(D88)-(J32)))*SQRT(1+(H32)^2),0.000001))^(2/3),0.000001)))^2)+(((ABS(G88)*$D$6)/(MAX(((G32)+(I32)*(MAX($D$16,(E88)-(K32))))*(MAX($D$16,(E88)-(K32))),0.000001)*MAX(((((G32)+(I32)*(MAX($D$16,(E88)-(K32))))*(MAX($D$16,(E88)-(K32))))/MAX((G32)+2*(MAX($D$16,(E88)-(K32)))*SQRT(1+(I32)^2),0.000001))^(2/3),0.000001)))^2))/2)+(IF((ABS(G88)/MAX(((G32)+(I32)*(MAX($D$16,(E88)-(K32))))*(MAX($D$16,(E88)-(K32))),0.000001))&gt;(ABS(G88)/MAX(((F32)+(H32)*(MAX($D$16,(D88)-(J32))))*(MAX($D$16,(D88)-(J32))),0.000001)),$D$9*((((ABS(G88)/MAX(((G32)+(I32)*(MAX($D$16,(E88)-(K32))))*(MAX($D$16,(E88)-(K32))),0.000001))^2)/(2*$I$5))-(((ABS(G88)/MAX(((F32)+(H32)*(MAX($D$16,(D88)-(J32))))*(MAX($D$16,(D88)-(J32))),0.000001))^2)/(2*$I$5))),$D$8*((((ABS(G88)/MAX(((F32)+(H32)*(MAX($D$16,(D88)-(J32))))*(MAX($D$16,(D88)-(J32))),0.000001))^2)/(2*$I$5))-(((ABS(G88)/MAX(((G32)+(I32)*(MAX($D$16,(E88)-(K32))))*(MAX($D$16,(E88)-(K32))),0.000001))^2)/(2*$I$5)))))+($D$10*(ABS((X32)-(W32))/90)*MAX(((ABS(G88)/MAX(((F32)+(H32)*(MAX($D$16,(D88)-(J32))))*(MAX($D$16,(D88)-(J32))),0.000001))^2)/(2*$I$5),((ABS(G88)/MAX(((G32)+(I32)*(MAX($D$16,(E88)-(K32))))*(MAX($D$16,(E88)-(K32))),0.000001))^2)/(2*$I$5)))+(($D$11*0.13607488*(ABS(H88)/MAX(ABS(F88),0.000001))^2*MAX(((ABS(G88)/MAX(((F32)+(H32)*(MAX($D$16,(D88)-(J32))))*(MAX($D$16,(D88)-(J32))),0.000001))^2)/(2*$I$5),((ABS(G88)/MAX(((G32)+(I32)*(MAX($D$16,(E88)-(K32))))*(MAX($D$16,(E88)-(K32))),0.000001))^2)/(2*$I$5))))-((ABS(G88)/MAX(((F32)+(H32)*(MAX($D$16,(D88)-(J32))))*(MAX($D$16,(D88)-(J32))),0.000001))^2)/(2*$I$5)</f>
        <v>52432.141837659889</v>
      </c>
      <c r="Q88">
        <f>L88+((ABS(H88)/MAX(((G33)+(I33)*(MAX($D$16,(L88)-(K33))))*(MAX($D$16,(L88)-(K33))),0.000001))^2)/(2*$I$5)+((E33)*((((ABS(H88)*$D$6)/(MAX(((F33)+(H33)*(MAX($D$16,(D88)-(J33))))*(MAX($D$16,(D88)-(J33))),0.000001)*MAX(((((F33)+(H33)*(MAX($D$16,(D88)-(J33))))*(MAX($D$16,(D88)-(J33))))/MAX((F33)+2*(MAX($D$16,(D88)-(J33)))*SQRT(1+(H33)^2),0.000001))^(2/3),0.000001)))^2)+(((ABS(H88)*$D$6)/(MAX(((G33)+(I33)*(MAX($D$16,(L88)-(K33))))*(MAX($D$16,(L88)-(K33))),0.000001)*MAX(((((G33)+(I33)*(MAX($D$16,(L88)-(K33))))*(MAX($D$16,(L88)-(K33))))/MAX((G33)+2*(MAX($D$16,(L88)-(K33)))*SQRT(1+(I33)^2),0.000001))^(2/3),0.000001)))^2))/2)+(IF((ABS(H88)/MAX(((G33)+(I33)*(MAX($D$16,(L88)-(K33))))*(MAX($D$16,(L88)-(K33))),0.000001))&gt;(ABS(H88)/MAX(((F33)+(H33)*(MAX($D$16,(D88)-(J33))))*(MAX($D$16,(D88)-(J33))),0.000001)),$D$9*((((ABS(H88)/MAX(((G33)+(I33)*(MAX($D$16,(L88)-(K33))))*(MAX($D$16,(L88)-(K33))),0.000001))^2)/(2*$I$5))-(((ABS(H88)/MAX(((F33)+(H33)*(MAX($D$16,(D88)-(J33))))*(MAX($D$16,(D88)-(J33))),0.000001))^2)/(2*$I$5))),$D$8*((((ABS(H88)/MAX(((F33)+(H33)*(MAX($D$16,(D88)-(J33))))*(MAX($D$16,(D88)-(J33))),0.000001))^2)/(2*$I$5))-(((ABS(H88)/MAX(((G33)+(I33)*(MAX($D$16,(L88)-(K33))))*(MAX($D$16,(L88)-(K33))),0.000001))^2)/(2*$I$5)))))+($D$10*(ABS((X33)-(W33))/90)*MAX(((ABS(H88)/MAX(((F33)+(H33)*(MAX($D$16,(D88)-(J33))))*(MAX($D$16,(D88)-(J33))),0.000001))^2)/(2*$I$5),((ABS(H88)/MAX(((G33)+(I33)*(MAX($D$16,(L88)-(K33))))*(MAX($D$16,(L88)-(K33))),0.000001))^2)/(2*$I$5)))+(($D$11*0.00000015*(ABS(G88)/MAX(ABS(F88),0.000001))^2*MAX(((ABS(H88)/MAX(((F33)+(H33)*(MAX($D$16,(D88)-(J33))))*(MAX($D$16,(D88)-(J33))),0.000001))^2)/(2*$I$5),((ABS(H88)/MAX(((G33)+(I33)*(MAX($D$16,(L88)-(K33))))*(MAX($D$16,(L88)-(K33))),0.000001))^2)/(2*$I$5))))-((ABS(H88)/MAX(((F33)+(H33)*(MAX($D$16,(D88)-(J33))))*(MAX($D$16,(D88)-(J33))),0.000001))^2)/(2*$I$5)</f>
        <v>634.3119999999999</v>
      </c>
      <c r="R88">
        <f>D88+((ABS(G88)/MAX(((F32)+(H32)*(MAX($D$16,(D88)-(J32))))*(MAX($D$16,(D88)-(J32))),0.000001))^2)/(2*$I$5)-((E32)*((((ABS(G88)*$D$6)/(MAX(((F32)+(H32)*(MAX($D$16,(D88)-(J32))))*(MAX($D$16,(D88)-(J32))),0.000001)*MAX(((((F32)+(H32)*(MAX($D$16,(D88)-(J32))))*(MAX($D$16,(D88)-(J32))))/MAX((F32)+2*(MAX($D$16,(D88)-(J32)))*SQRT(1+(H32)^2),0.000001))^(2/3),0.000001)))^2)+(((ABS(G88)*$D$6)/(MAX(((G32)+(I32)*(MAX($D$16,(E88)-(K32))))*(MAX($D$16,(E88)-(K32))),0.000001)*MAX(((((G32)+(I32)*(MAX($D$16,(E88)-(K32))))*(MAX($D$16,(E88)-(K32))))/MAX((G32)+2*(MAX($D$16,(E88)-(K32)))*SQRT(1+(I32)^2),0.000001))^(2/3),0.000001)))^2))/2)+(IF((ABS(G88)/MAX(((G32)+(I32)*(MAX($D$16,(E88)-(K32))))*(MAX($D$16,(E88)-(K32))),0.000001))&gt;(ABS(G88)/MAX(((F32)+(H32)*(MAX($D$16,(D88)-(J32))))*(MAX($D$16,(D88)-(J32))),0.000001)),$D$9*((((ABS(G88)/MAX(((G32)+(I32)*(MAX($D$16,(E88)-(K32))))*(MAX($D$16,(E88)-(K32))),0.000001))^2)/(2*$I$5))-(((ABS(G88)/MAX(((F32)+(H32)*(MAX($D$16,(D88)-(J32))))*(MAX($D$16,(D88)-(J32))),0.000001))^2)/(2*$I$5))),$D$8*((((ABS(G88)/MAX(((F32)+(H32)*(MAX($D$16,(D88)-(J32))))*(MAX($D$16,(D88)-(J32))),0.000001))^2)/(2*$I$5))-(((ABS(G88)/MAX(((G32)+(I32)*(MAX($D$16,(E88)-(K32))))*(MAX($D$16,(E88)-(K32))),0.000001))^2)/(2*$I$5)))))+($D$10*(ABS((X32)-(W32))/90)*MAX(((ABS(G88)/MAX(((F32)+(H32)*(MAX($D$16,(D88)-(J32))))*(MAX($D$16,(D88)-(J32))),0.000001))^2)/(2*$I$5),((ABS(G88)/MAX(((G32)+(I32)*(MAX($D$16,(E88)-(K32))))*(MAX($D$16,(E88)-(K32))),0.000001))^2)/(2*$I$5)))+(($D$11*0.13607488*(ABS(H88)/MAX(ABS(F88),0.000001))^2*MAX(((ABS(G88)/MAX(((F32)+(H32)*(MAX($D$16,(D88)-(J32))))*(MAX($D$16,(D88)-(J32))),0.000001))^2)/(2*$I$5),((ABS(G88)/MAX(((G32)+(I32)*(MAX($D$16,(E88)-(K32))))*(MAX($D$16,(E88)-(K32))),0.000001))^2)/(2*$I$5))))-((ABS(G88)/MAX(((G32)+(I32)*(MAX($D$16,(E88)-(K32))))*(MAX($D$16,(E88)-(K32))),0.000001))^2)/(2*$I$5)</f>
        <v>52432.141837659678</v>
      </c>
      <c r="S88">
        <f>M88+((ABS(I88)/MAX(((G34)+(I34)*(MAX($D$16,(M88)-(K34))))*(MAX($D$16,(M88)-(K34))),0.000001))^2)/(2*$I$5)+((E34)*((((ABS(I88)*$D$6)/(MAX(((F34)+(H34)*(MAX($D$16,(E88)-(J34))))*(MAX($D$16,(E88)-(J34))),0.000001)*MAX(((((F34)+(H34)*(MAX($D$16,(E88)-(J34))))*(MAX($D$16,(E88)-(J34))))/MAX((F34)+2*(MAX($D$16,(E88)-(J34)))*SQRT(1+(H34)^2),0.000001))^(2/3),0.000001)))^2)+(((ABS(I88)*$D$6)/(MAX(((G34)+(I34)*(MAX($D$16,(M88)-(K34))))*(MAX($D$16,(M88)-(K34))),0.000001)*MAX(((((G34)+(I34)*(MAX($D$16,(M88)-(K34))))*(MAX($D$16,(M88)-(K34))))/MAX((G34)+2*(MAX($D$16,(M88)-(K34)))*SQRT(1+(I34)^2),0.000001))^(2/3),0.000001)))^2))/2)+(IF((ABS(I88)/MAX(((G34)+(I34)*(MAX($D$16,(M88)-(K34))))*(MAX($D$16,(M88)-(K34))),0.000001))&gt;(ABS(I88)/MAX(((F34)+(H34)*(MAX($D$16,(E88)-(J34))))*(MAX($D$16,(E88)-(J34))),0.000001)),$D$9*((((ABS(I88)/MAX(((G34)+(I34)*(MAX($D$16,(M88)-(K34))))*(MAX($D$16,(M88)-(K34))),0.000001))^2)/(2*$I$5))-(((ABS(I88)/MAX(((F34)+(H34)*(MAX($D$16,(E88)-(J34))))*(MAX($D$16,(E88)-(J34))),0.000001))^2)/(2*$I$5))),$D$8*((((ABS(I88)/MAX(((F34)+(H34)*(MAX($D$16,(E88)-(J34))))*(MAX($D$16,(E88)-(J34))),0.000001))^2)/(2*$I$5))-(((ABS(I88)/MAX(((G34)+(I34)*(MAX($D$16,(M88)-(K34))))*(MAX($D$16,(M88)-(K34))),0.000001))^2)/(2*$I$5)))))+($D$10*(ABS((X34)-(W34))/90)*MAX(((ABS(I88)/MAX(((F34)+(H34)*(MAX($D$16,(E88)-(J34))))*(MAX($D$16,(E88)-(J34))),0.000001))^2)/(2*$I$5),((ABS(I88)/MAX(((G34)+(I34)*(MAX($D$16,(M88)-(K34))))*(MAX($D$16,(M88)-(K34))),0.000001))^2)/(2*$I$5)))+(0)-((ABS(I88)/MAX(((F34)+(H34)*(MAX($D$16,(E88)-(J34))))*(MAX($D$16,(E88)-(J34))),0.000001))^2)/(2*$I$5)</f>
        <v>635.5</v>
      </c>
      <c r="T88">
        <f>N88+((ABS(J88)/MAX(((G35)+(I35)*(MAX($D$16,(N88)-(K35))))*(MAX($D$16,(N88)-(K35))),0.000001))^2)/(2*$I$5)+((E35)*((((ABS(J88)*$D$6)/(MAX(((F35)+(H35)*(MAX($D$16,(E88)-(J35))))*(MAX($D$16,(E88)-(J35))),0.000001)*MAX(((((F35)+(H35)*(MAX($D$16,(E88)-(J35))))*(MAX($D$16,(E88)-(J35))))/MAX((F35)+2*(MAX($D$16,(E88)-(J35)))*SQRT(1+(H35)^2),0.000001))^(2/3),0.000001)))^2)+(((ABS(J88)*$D$6)/(MAX(((G35)+(I35)*(MAX($D$16,(N88)-(K35))))*(MAX($D$16,(N88)-(K35))),0.000001)*MAX(((((G35)+(I35)*(MAX($D$16,(N88)-(K35))))*(MAX($D$16,(N88)-(K35))))/MAX((G35)+2*(MAX($D$16,(N88)-(K35)))*SQRT(1+(I35)^2),0.000001))^(2/3),0.000001)))^2))/2)+(IF((ABS(J88)/MAX(((G35)+(I35)*(MAX($D$16,(N88)-(K35))))*(MAX($D$16,(N88)-(K35))),0.000001))&gt;(ABS(J88)/MAX(((F35)+(H35)*(MAX($D$16,(E88)-(J35))))*(MAX($D$16,(E88)-(J35))),0.000001)),$D$9*((((ABS(J88)/MAX(((G35)+(I35)*(MAX($D$16,(N88)-(K35))))*(MAX($D$16,(N88)-(K35))),0.000001))^2)/(2*$I$5))-(((ABS(J88)/MAX(((F35)+(H35)*(MAX($D$16,(E88)-(J35))))*(MAX($D$16,(E88)-(J35))),0.000001))^2)/(2*$I$5))),$D$8*((((ABS(J88)/MAX(((F35)+(H35)*(MAX($D$16,(E88)-(J35))))*(MAX($D$16,(E88)-(J35))),0.000001))^2)/(2*$I$5))-(((ABS(J88)/MAX(((G35)+(I35)*(MAX($D$16,(N88)-(K35))))*(MAX($D$16,(N88)-(K35))),0.000001))^2)/(2*$I$5)))))+($D$10*(ABS((X35)-(W35))/90)*MAX(((ABS(J88)/MAX(((F35)+(H35)*(MAX($D$16,(E88)-(J35))))*(MAX($D$16,(E88)-(J35))),0.000001))^2)/(2*$I$5),((ABS(J88)/MAX(((G35)+(I35)*(MAX($D$16,(N88)-(K35))))*(MAX($D$16,(N88)-(K35))),0.000001))^2)/(2*$I$5)))+(($D$11*0.34699541*(ABS(I88)/MAX(ABS(G88),0.000001))^2*MAX(((ABS(J88)/MAX(((F35)+(H35)*(MAX($D$16,(E88)-(J35))))*(MAX($D$16,(E88)-(J35))),0.000001))^2)/(2*$I$5),((ABS(J88)/MAX(((G35)+(I35)*(MAX($D$16,(N88)-(K35))))*(MAX($D$16,(N88)-(K35))),0.000001))^2)/(2*$I$5))))-((ABS(J88)/MAX(((F35)+(H35)*(MAX($D$16,(E88)-(J35))))*(MAX($D$16,(E88)-(J35))),0.000001))^2)/(2*$I$5)</f>
        <v>20784.033523923383</v>
      </c>
      <c r="U88">
        <f>(((((F32)*(MAX($D$16,(D88)-(J32)))^2)/2+(H32)*(MAX($D$16,(D88)-(J32)))^3/3+(ABS(G88)^2)/($I$5*MAX(((F32)+(H32)*(MAX($D$16,(D88)-(J32))))*(MAX($D$16,(D88)-(J32))),0.000001)))*0.72785025)-((((F33)*(MAX($D$16,(D88)-(J33)))^2)/2+(H33)*(MAX($D$16,(D88)-(J33)))^3/3+(ABS(H88)^2)/($I$5*MAX(((F33)+(H33)*(MAX($D$16,(D88)-(J33))))*(MAX($D$16,(D88)-(J33))),0.000001)))*0.99999971))/MAX(((G31)*(MAX($D$16,(D88)-(K31)))^2)/2+(I31)*(MAX($D$16,(D88)-(K31)))^3/3+(ABS(F88)^2)/($I$5*MAX(((G31)+(I31)*(MAX($D$16,(D88)-(K31))))*(MAX($D$16,(D88)-(K31))),0.000001)),0.000001)</f>
        <v>-0.27214945999991119</v>
      </c>
      <c r="V88">
        <f>(((((F34)*(MAX($D$16,(E88)-(J34)))^2)/2+(H34)*(MAX($D$16,(E88)-(J34)))^3/3+(ABS(I88)^2)/($I$5*MAX(((F34)+(H34)*(MAX($D$16,(E88)-(J34))))*(MAX($D$16,(E88)-(J34))),0.000001)))*1)-((((F35)*(MAX($D$16,(E88)-(J35)))^2)/2+(H35)*(MAX($D$16,(E88)-(J35)))^3/3+(ABS(J88)^2)/($I$5*MAX(((F35)+(H35)*(MAX($D$16,(E88)-(J35))))*(MAX($D$16,(E88)-(J35))),0.000001)))*0.30600918))/MAX(((G32)*(MAX($D$16,(E88)-(K32)))^2)/2+(I32)*(MAX($D$16,(E88)-(K32)))^3/3+(ABS(G88)^2)/($I$5*MAX(((G32)+(I32)*(MAX($D$16,(E88)-(K32))))*(MAX($D$16,(E88)-(K32))),0.000001)),0.000001)</f>
        <v>0.69398638937190393</v>
      </c>
      <c r="W88">
        <f>IF(N6="None",ABS(P88-D88),MAX(ABS(P88-D88),ABS(Q88-D88)))</f>
        <v>3.4197000786662102E-10</v>
      </c>
      <c r="X88">
        <f>IF(AND(N7="None",N8="None"),0,IF(N8="None",ABS(S88-E88),IF(N7="None",ABS(T88-E88),MAX(ABS(S88-E88),ABS(T88-E88)))))</f>
        <v>51796.641837659336</v>
      </c>
      <c r="AA88">
        <f t="shared" si="18"/>
        <v>52432.141837659663</v>
      </c>
      <c r="AB88">
        <f t="shared" si="19"/>
        <v>41355.303927851754</v>
      </c>
      <c r="AC88">
        <f>IF(N6="None",P88,MAX(P88,Q88))</f>
        <v>52432.141837659889</v>
      </c>
      <c r="AD88">
        <f>IF(AND(N7="None",N8="None"),E88,IF(N8="None",S88,IF(N7="None",T88,MAX(S88,T88))))</f>
        <v>20784.033523923383</v>
      </c>
      <c r="AE88">
        <f t="shared" si="20"/>
        <v>637.65825101089831</v>
      </c>
      <c r="AF88">
        <f t="shared" si="21"/>
        <v>52432.141837659678</v>
      </c>
      <c r="AG88">
        <f>((G31)*(MAX($D$16,(AC88)-(K31)))^2)/2+(I31)*(MAX($D$16,(AC88)-(K31)))^3/3+(ABS(F88)^2)/($I$5*MAX(((G31)+(I31)*(MAX($D$16,(AC88)-(K31))))*(MAX($D$16,(AC88)-(K31))),0.000001))</f>
        <v>8797611517.4109192</v>
      </c>
      <c r="AH88">
        <f>((G31)*(MAX($D$16,(AE88)-(K31)))^2)/2+(I31)*(MAX($D$16,(AE88)-(K31)))^3/3+(ABS(F88)^2)/($I$5*MAX(((G31)+(I31)*(MAX($D$16,(AE88)-(K31))))*(MAX($D$16,(AE88)-(K31))),0.000001))</f>
        <v>49.055863329575246</v>
      </c>
      <c r="AI88">
        <f>((G32)*(MAX($D$16,(AD88)-(K32)))^2)/2+(I32)*(MAX($D$16,(AD88)-(K32)))^3/3+(ABS(G88)^2)/($I$5*MAX(((G32)+(I32)*(MAX($D$16,(AD88)-(K32))))*(MAX($D$16,(AD88)-(K32))),0.000001))</f>
        <v>2072376743.6648321</v>
      </c>
      <c r="AJ88">
        <f>((G32)*(MAX($D$16,(AF88)-(K32)))^2)/2+(I32)*(MAX($D$16,(AF88)-(K32)))^3/3+(ABS(G88)^2)/($I$5*MAX(((G32)+(I32)*(MAX($D$16,(AF88)-(K32))))*(MAX($D$16,(AF88)-(K32))),0.000001))</f>
        <v>13692714789.642859</v>
      </c>
      <c r="AK88" t="str">
        <f t="shared" si="22"/>
        <v>Subcritical</v>
      </c>
      <c r="AL88" t="str">
        <f t="shared" si="23"/>
        <v>Supercritical</v>
      </c>
      <c r="AM88">
        <f t="shared" si="24"/>
        <v>52432.141837659663</v>
      </c>
      <c r="AN88">
        <f t="shared" si="25"/>
        <v>52432.141837659452</v>
      </c>
      <c r="AO88">
        <f t="shared" si="26"/>
        <v>3.4197000786662102E-10</v>
      </c>
      <c r="AP88">
        <f t="shared" si="27"/>
        <v>3.4197000786662102E-10</v>
      </c>
    </row>
    <row r="89" spans="1:42" x14ac:dyDescent="0.35">
      <c r="A89">
        <v>46</v>
      </c>
      <c r="B89">
        <f t="shared" si="28"/>
        <v>0</v>
      </c>
      <c r="C89">
        <f t="shared" si="29"/>
        <v>0</v>
      </c>
      <c r="D89">
        <f t="shared" si="30"/>
        <v>52432.141837659663</v>
      </c>
      <c r="E89">
        <f t="shared" si="31"/>
        <v>52432.141837659452</v>
      </c>
      <c r="F89">
        <f t="shared" si="17"/>
        <v>51</v>
      </c>
      <c r="G89">
        <f>IF(N6="None",F89,MAX(0,F89*B89))</f>
        <v>51</v>
      </c>
      <c r="H89">
        <f>IF(N6="None",0,MAX(0,F89-G89))</f>
        <v>0</v>
      </c>
      <c r="I89">
        <f>IF(AND(N7="None",N8="None"),0,IF(N8="None",G89,IF(N7="None",0,MAX(0,G89*C89))))</f>
        <v>0</v>
      </c>
      <c r="J89">
        <f>IF(AND(N7="None",N8="None"),0,IF(N8="None",0,IF(N7="None",G89,MAX(0,G89-I89))))</f>
        <v>51</v>
      </c>
      <c r="K89">
        <f>P5</f>
        <v>637</v>
      </c>
      <c r="L89">
        <f>P6</f>
        <v>634.3119999999999</v>
      </c>
      <c r="M89">
        <f>P7</f>
        <v>635.5</v>
      </c>
      <c r="N89">
        <f>P8</f>
        <v>631.54999999999995</v>
      </c>
      <c r="O89">
        <f>K89+((ABS(F89)/MAX(((F31)+(H31)*(MAX($D$16,(K89)-(J31))))*(MAX($D$16,(K89)-(J31))),0.000001))^2)/(2*$I$5)-((E31)*((((ABS(F89)*$D$6)/(MAX(((F31)+(H31)*(MAX($D$16,(K89)-(J31))))*(MAX($D$16,(K89)-(J31))),0.000001)*MAX(((((F31)+(H31)*(MAX($D$16,(K89)-(J31))))*(MAX($D$16,(K89)-(J31))))/MAX((F31)+2*(MAX($D$16,(K89)-(J31)))*SQRT(1+(H31)^2),0.000001))^(2/3),0.000001)))^2)+(((ABS(F89)*$D$6)/(MAX(((G31)+(I31)*(MAX($D$16,(D89)-(K31))))*(MAX($D$16,(D89)-(K31))),0.000001)*MAX(((((G31)+(I31)*(MAX($D$16,(D89)-(K31))))*(MAX($D$16,(D89)-(K31))))/MAX((G31)+2*(MAX($D$16,(D89)-(K31)))*SQRT(1+(I31)^2),0.000001))^(2/3),0.000001)))^2))/2)+(IF((ABS(F89)/MAX(((G31)+(I31)*(MAX($D$16,(D89)-(K31))))*(MAX($D$16,(D89)-(K31))),0.000001))&gt;(ABS(F89)/MAX(((F31)+(H31)*(MAX($D$16,(K89)-(J31))))*(MAX($D$16,(K89)-(J31))),0.000001)),$D$9*((((ABS(F89)/MAX(((G31)+(I31)*(MAX($D$16,(D89)-(K31))))*(MAX($D$16,(D89)-(K31))),0.000001))^2)/(2*$I$5))-(((ABS(F89)/MAX(((F31)+(H31)*(MAX($D$16,(K89)-(J31))))*(MAX($D$16,(K89)-(J31))),0.000001))^2)/(2*$I$5))),$D$8*((((ABS(F89)/MAX(((F31)+(H31)*(MAX($D$16,(K89)-(J31))))*(MAX($D$16,(K89)-(J31))),0.000001))^2)/(2*$I$5))-(((ABS(F89)/MAX(((G31)+(I31)*(MAX($D$16,(D89)-(K31))))*(MAX($D$16,(D89)-(K31))),0.000001))^2)/(2*$I$5)))))+($D$10*(ABS((X31)-(W31))/90)*MAX(((ABS(F89)/MAX(((F31)+(H31)*(MAX($D$16,(K89)-(J31))))*(MAX($D$16,(K89)-(J31))),0.000001))^2)/(2*$I$5),((ABS(F89)/MAX(((G31)+(I31)*(MAX($D$16,(D89)-(K31))))*(MAX($D$16,(D89)-(K31))),0.000001))^2)/(2*$I$5)))+(0)-((ABS(F89)/MAX(((G31)+(I31)*(MAX($D$16,(D89)-(K31))))*(MAX($D$16,(D89)-(K31))),0.000001))^2)/(2*$I$5)</f>
        <v>637.65825101089831</v>
      </c>
      <c r="P89">
        <f>E89+((ABS(G89)/MAX(((G32)+(I32)*(MAX($D$16,(E89)-(K32))))*(MAX($D$16,(E89)-(K32))),0.000001))^2)/(2*$I$5)+((E32)*((((ABS(G89)*$D$6)/(MAX(((F32)+(H32)*(MAX($D$16,(D89)-(J32))))*(MAX($D$16,(D89)-(J32))),0.000001)*MAX(((((F32)+(H32)*(MAX($D$16,(D89)-(J32))))*(MAX($D$16,(D89)-(J32))))/MAX((F32)+2*(MAX($D$16,(D89)-(J32)))*SQRT(1+(H32)^2),0.000001))^(2/3),0.000001)))^2)+(((ABS(G89)*$D$6)/(MAX(((G32)+(I32)*(MAX($D$16,(E89)-(K32))))*(MAX($D$16,(E89)-(K32))),0.000001)*MAX(((((G32)+(I32)*(MAX($D$16,(E89)-(K32))))*(MAX($D$16,(E89)-(K32))))/MAX((G32)+2*(MAX($D$16,(E89)-(K32)))*SQRT(1+(I32)^2),0.000001))^(2/3),0.000001)))^2))/2)+(IF((ABS(G89)/MAX(((G32)+(I32)*(MAX($D$16,(E89)-(K32))))*(MAX($D$16,(E89)-(K32))),0.000001))&gt;(ABS(G89)/MAX(((F32)+(H32)*(MAX($D$16,(D89)-(J32))))*(MAX($D$16,(D89)-(J32))),0.000001)),$D$9*((((ABS(G89)/MAX(((G32)+(I32)*(MAX($D$16,(E89)-(K32))))*(MAX($D$16,(E89)-(K32))),0.000001))^2)/(2*$I$5))-(((ABS(G89)/MAX(((F32)+(H32)*(MAX($D$16,(D89)-(J32))))*(MAX($D$16,(D89)-(J32))),0.000001))^2)/(2*$I$5))),$D$8*((((ABS(G89)/MAX(((F32)+(H32)*(MAX($D$16,(D89)-(J32))))*(MAX($D$16,(D89)-(J32))),0.000001))^2)/(2*$I$5))-(((ABS(G89)/MAX(((G32)+(I32)*(MAX($D$16,(E89)-(K32))))*(MAX($D$16,(E89)-(K32))),0.000001))^2)/(2*$I$5)))))+($D$10*(ABS((X32)-(W32))/90)*MAX(((ABS(G89)/MAX(((F32)+(H32)*(MAX($D$16,(D89)-(J32))))*(MAX($D$16,(D89)-(J32))),0.000001))^2)/(2*$I$5),((ABS(G89)/MAX(((G32)+(I32)*(MAX($D$16,(E89)-(K32))))*(MAX($D$16,(E89)-(K32))),0.000001))^2)/(2*$I$5)))+(($D$11*0.13607488*(ABS(H89)/MAX(ABS(F89),0.000001))^2*MAX(((ABS(G89)/MAX(((F32)+(H32)*(MAX($D$16,(D89)-(J32))))*(MAX($D$16,(D89)-(J32))),0.000001))^2)/(2*$I$5),((ABS(G89)/MAX(((G32)+(I32)*(MAX($D$16,(E89)-(K32))))*(MAX($D$16,(E89)-(K32))),0.000001))^2)/(2*$I$5))))-((ABS(G89)/MAX(((F32)+(H32)*(MAX($D$16,(D89)-(J32))))*(MAX($D$16,(D89)-(J32))),0.000001))^2)/(2*$I$5)</f>
        <v>52432.141837660005</v>
      </c>
      <c r="Q89">
        <f>L89+((ABS(H89)/MAX(((G33)+(I33)*(MAX($D$16,(L89)-(K33))))*(MAX($D$16,(L89)-(K33))),0.000001))^2)/(2*$I$5)+((E33)*((((ABS(H89)*$D$6)/(MAX(((F33)+(H33)*(MAX($D$16,(D89)-(J33))))*(MAX($D$16,(D89)-(J33))),0.000001)*MAX(((((F33)+(H33)*(MAX($D$16,(D89)-(J33))))*(MAX($D$16,(D89)-(J33))))/MAX((F33)+2*(MAX($D$16,(D89)-(J33)))*SQRT(1+(H33)^2),0.000001))^(2/3),0.000001)))^2)+(((ABS(H89)*$D$6)/(MAX(((G33)+(I33)*(MAX($D$16,(L89)-(K33))))*(MAX($D$16,(L89)-(K33))),0.000001)*MAX(((((G33)+(I33)*(MAX($D$16,(L89)-(K33))))*(MAX($D$16,(L89)-(K33))))/MAX((G33)+2*(MAX($D$16,(L89)-(K33)))*SQRT(1+(I33)^2),0.000001))^(2/3),0.000001)))^2))/2)+(IF((ABS(H89)/MAX(((G33)+(I33)*(MAX($D$16,(L89)-(K33))))*(MAX($D$16,(L89)-(K33))),0.000001))&gt;(ABS(H89)/MAX(((F33)+(H33)*(MAX($D$16,(D89)-(J33))))*(MAX($D$16,(D89)-(J33))),0.000001)),$D$9*((((ABS(H89)/MAX(((G33)+(I33)*(MAX($D$16,(L89)-(K33))))*(MAX($D$16,(L89)-(K33))),0.000001))^2)/(2*$I$5))-(((ABS(H89)/MAX(((F33)+(H33)*(MAX($D$16,(D89)-(J33))))*(MAX($D$16,(D89)-(J33))),0.000001))^2)/(2*$I$5))),$D$8*((((ABS(H89)/MAX(((F33)+(H33)*(MAX($D$16,(D89)-(J33))))*(MAX($D$16,(D89)-(J33))),0.000001))^2)/(2*$I$5))-(((ABS(H89)/MAX(((G33)+(I33)*(MAX($D$16,(L89)-(K33))))*(MAX($D$16,(L89)-(K33))),0.000001))^2)/(2*$I$5)))))+($D$10*(ABS((X33)-(W33))/90)*MAX(((ABS(H89)/MAX(((F33)+(H33)*(MAX($D$16,(D89)-(J33))))*(MAX($D$16,(D89)-(J33))),0.000001))^2)/(2*$I$5),((ABS(H89)/MAX(((G33)+(I33)*(MAX($D$16,(L89)-(K33))))*(MAX($D$16,(L89)-(K33))),0.000001))^2)/(2*$I$5)))+(($D$11*0.00000015*(ABS(G89)/MAX(ABS(F89),0.000001))^2*MAX(((ABS(H89)/MAX(((F33)+(H33)*(MAX($D$16,(D89)-(J33))))*(MAX($D$16,(D89)-(J33))),0.000001))^2)/(2*$I$5),((ABS(H89)/MAX(((G33)+(I33)*(MAX($D$16,(L89)-(K33))))*(MAX($D$16,(L89)-(K33))),0.000001))^2)/(2*$I$5))))-((ABS(H89)/MAX(((F33)+(H33)*(MAX($D$16,(D89)-(J33))))*(MAX($D$16,(D89)-(J33))),0.000001))^2)/(2*$I$5)</f>
        <v>634.3119999999999</v>
      </c>
      <c r="R89">
        <f>D89+((ABS(G89)/MAX(((F32)+(H32)*(MAX($D$16,(D89)-(J32))))*(MAX($D$16,(D89)-(J32))),0.000001))^2)/(2*$I$5)-((E32)*((((ABS(G89)*$D$6)/(MAX(((F32)+(H32)*(MAX($D$16,(D89)-(J32))))*(MAX($D$16,(D89)-(J32))),0.000001)*MAX(((((F32)+(H32)*(MAX($D$16,(D89)-(J32))))*(MAX($D$16,(D89)-(J32))))/MAX((F32)+2*(MAX($D$16,(D89)-(J32)))*SQRT(1+(H32)^2),0.000001))^(2/3),0.000001)))^2)+(((ABS(G89)*$D$6)/(MAX(((G32)+(I32)*(MAX($D$16,(E89)-(K32))))*(MAX($D$16,(E89)-(K32))),0.000001)*MAX(((((G32)+(I32)*(MAX($D$16,(E89)-(K32))))*(MAX($D$16,(E89)-(K32))))/MAX((G32)+2*(MAX($D$16,(E89)-(K32)))*SQRT(1+(I32)^2),0.000001))^(2/3),0.000001)))^2))/2)+(IF((ABS(G89)/MAX(((G32)+(I32)*(MAX($D$16,(E89)-(K32))))*(MAX($D$16,(E89)-(K32))),0.000001))&gt;(ABS(G89)/MAX(((F32)+(H32)*(MAX($D$16,(D89)-(J32))))*(MAX($D$16,(D89)-(J32))),0.000001)),$D$9*((((ABS(G89)/MAX(((G32)+(I32)*(MAX($D$16,(E89)-(K32))))*(MAX($D$16,(E89)-(K32))),0.000001))^2)/(2*$I$5))-(((ABS(G89)/MAX(((F32)+(H32)*(MAX($D$16,(D89)-(J32))))*(MAX($D$16,(D89)-(J32))),0.000001))^2)/(2*$I$5))),$D$8*((((ABS(G89)/MAX(((F32)+(H32)*(MAX($D$16,(D89)-(J32))))*(MAX($D$16,(D89)-(J32))),0.000001))^2)/(2*$I$5))-(((ABS(G89)/MAX(((G32)+(I32)*(MAX($D$16,(E89)-(K32))))*(MAX($D$16,(E89)-(K32))),0.000001))^2)/(2*$I$5)))))+($D$10*(ABS((X32)-(W32))/90)*MAX(((ABS(G89)/MAX(((F32)+(H32)*(MAX($D$16,(D89)-(J32))))*(MAX($D$16,(D89)-(J32))),0.000001))^2)/(2*$I$5),((ABS(G89)/MAX(((G32)+(I32)*(MAX($D$16,(E89)-(K32))))*(MAX($D$16,(E89)-(K32))),0.000001))^2)/(2*$I$5)))+(($D$11*0.13607488*(ABS(H89)/MAX(ABS(F89),0.000001))^2*MAX(((ABS(G89)/MAX(((F32)+(H32)*(MAX($D$16,(D89)-(J32))))*(MAX($D$16,(D89)-(J32))),0.000001))^2)/(2*$I$5),((ABS(G89)/MAX(((G32)+(I32)*(MAX($D$16,(E89)-(K32))))*(MAX($D$16,(E89)-(K32))),0.000001))^2)/(2*$I$5))))-((ABS(G89)/MAX(((G32)+(I32)*(MAX($D$16,(E89)-(K32))))*(MAX($D$16,(E89)-(K32))),0.000001))^2)/(2*$I$5)</f>
        <v>52432.141837659794</v>
      </c>
      <c r="S89">
        <f>M89+((ABS(I89)/MAX(((G34)+(I34)*(MAX($D$16,(M89)-(K34))))*(MAX($D$16,(M89)-(K34))),0.000001))^2)/(2*$I$5)+((E34)*((((ABS(I89)*$D$6)/(MAX(((F34)+(H34)*(MAX($D$16,(E89)-(J34))))*(MAX($D$16,(E89)-(J34))),0.000001)*MAX(((((F34)+(H34)*(MAX($D$16,(E89)-(J34))))*(MAX($D$16,(E89)-(J34))))/MAX((F34)+2*(MAX($D$16,(E89)-(J34)))*SQRT(1+(H34)^2),0.000001))^(2/3),0.000001)))^2)+(((ABS(I89)*$D$6)/(MAX(((G34)+(I34)*(MAX($D$16,(M89)-(K34))))*(MAX($D$16,(M89)-(K34))),0.000001)*MAX(((((G34)+(I34)*(MAX($D$16,(M89)-(K34))))*(MAX($D$16,(M89)-(K34))))/MAX((G34)+2*(MAX($D$16,(M89)-(K34)))*SQRT(1+(I34)^2),0.000001))^(2/3),0.000001)))^2))/2)+(IF((ABS(I89)/MAX(((G34)+(I34)*(MAX($D$16,(M89)-(K34))))*(MAX($D$16,(M89)-(K34))),0.000001))&gt;(ABS(I89)/MAX(((F34)+(H34)*(MAX($D$16,(E89)-(J34))))*(MAX($D$16,(E89)-(J34))),0.000001)),$D$9*((((ABS(I89)/MAX(((G34)+(I34)*(MAX($D$16,(M89)-(K34))))*(MAX($D$16,(M89)-(K34))),0.000001))^2)/(2*$I$5))-(((ABS(I89)/MAX(((F34)+(H34)*(MAX($D$16,(E89)-(J34))))*(MAX($D$16,(E89)-(J34))),0.000001))^2)/(2*$I$5))),$D$8*((((ABS(I89)/MAX(((F34)+(H34)*(MAX($D$16,(E89)-(J34))))*(MAX($D$16,(E89)-(J34))),0.000001))^2)/(2*$I$5))-(((ABS(I89)/MAX(((G34)+(I34)*(MAX($D$16,(M89)-(K34))))*(MAX($D$16,(M89)-(K34))),0.000001))^2)/(2*$I$5)))))+($D$10*(ABS((X34)-(W34))/90)*MAX(((ABS(I89)/MAX(((F34)+(H34)*(MAX($D$16,(E89)-(J34))))*(MAX($D$16,(E89)-(J34))),0.000001))^2)/(2*$I$5),((ABS(I89)/MAX(((G34)+(I34)*(MAX($D$16,(M89)-(K34))))*(MAX($D$16,(M89)-(K34))),0.000001))^2)/(2*$I$5)))+(0)-((ABS(I89)/MAX(((F34)+(H34)*(MAX($D$16,(E89)-(J34))))*(MAX($D$16,(E89)-(J34))),0.000001))^2)/(2*$I$5)</f>
        <v>635.5</v>
      </c>
      <c r="T89">
        <f>N89+((ABS(J89)/MAX(((G35)+(I35)*(MAX($D$16,(N89)-(K35))))*(MAX($D$16,(N89)-(K35))),0.000001))^2)/(2*$I$5)+((E35)*((((ABS(J89)*$D$6)/(MAX(((F35)+(H35)*(MAX($D$16,(E89)-(J35))))*(MAX($D$16,(E89)-(J35))),0.000001)*MAX(((((F35)+(H35)*(MAX($D$16,(E89)-(J35))))*(MAX($D$16,(E89)-(J35))))/MAX((F35)+2*(MAX($D$16,(E89)-(J35)))*SQRT(1+(H35)^2),0.000001))^(2/3),0.000001)))^2)+(((ABS(J89)*$D$6)/(MAX(((G35)+(I35)*(MAX($D$16,(N89)-(K35))))*(MAX($D$16,(N89)-(K35))),0.000001)*MAX(((((G35)+(I35)*(MAX($D$16,(N89)-(K35))))*(MAX($D$16,(N89)-(K35))))/MAX((G35)+2*(MAX($D$16,(N89)-(K35)))*SQRT(1+(I35)^2),0.000001))^(2/3),0.000001)))^2))/2)+(IF((ABS(J89)/MAX(((G35)+(I35)*(MAX($D$16,(N89)-(K35))))*(MAX($D$16,(N89)-(K35))),0.000001))&gt;(ABS(J89)/MAX(((F35)+(H35)*(MAX($D$16,(E89)-(J35))))*(MAX($D$16,(E89)-(J35))),0.000001)),$D$9*((((ABS(J89)/MAX(((G35)+(I35)*(MAX($D$16,(N89)-(K35))))*(MAX($D$16,(N89)-(K35))),0.000001))^2)/(2*$I$5))-(((ABS(J89)/MAX(((F35)+(H35)*(MAX($D$16,(E89)-(J35))))*(MAX($D$16,(E89)-(J35))),0.000001))^2)/(2*$I$5))),$D$8*((((ABS(J89)/MAX(((F35)+(H35)*(MAX($D$16,(E89)-(J35))))*(MAX($D$16,(E89)-(J35))),0.000001))^2)/(2*$I$5))-(((ABS(J89)/MAX(((G35)+(I35)*(MAX($D$16,(N89)-(K35))))*(MAX($D$16,(N89)-(K35))),0.000001))^2)/(2*$I$5)))))+($D$10*(ABS((X35)-(W35))/90)*MAX(((ABS(J89)/MAX(((F35)+(H35)*(MAX($D$16,(E89)-(J35))))*(MAX($D$16,(E89)-(J35))),0.000001))^2)/(2*$I$5),((ABS(J89)/MAX(((G35)+(I35)*(MAX($D$16,(N89)-(K35))))*(MAX($D$16,(N89)-(K35))),0.000001))^2)/(2*$I$5)))+(($D$11*0.34699541*(ABS(I89)/MAX(ABS(G89),0.000001))^2*MAX(((ABS(J89)/MAX(((F35)+(H35)*(MAX($D$16,(E89)-(J35))))*(MAX($D$16,(E89)-(J35))),0.000001))^2)/(2*$I$5),((ABS(J89)/MAX(((G35)+(I35)*(MAX($D$16,(N89)-(K35))))*(MAX($D$16,(N89)-(K35))),0.000001))^2)/(2*$I$5))))-((ABS(J89)/MAX(((F35)+(H35)*(MAX($D$16,(E89)-(J35))))*(MAX($D$16,(E89)-(J35))),0.000001))^2)/(2*$I$5)</f>
        <v>20784.033523923383</v>
      </c>
      <c r="U89">
        <f>(((((F32)*(MAX($D$16,(D89)-(J32)))^2)/2+(H32)*(MAX($D$16,(D89)-(J32)))^3/3+(ABS(G89)^2)/($I$5*MAX(((F32)+(H32)*(MAX($D$16,(D89)-(J32))))*(MAX($D$16,(D89)-(J32))),0.000001)))*0.72785025)-((((F33)*(MAX($D$16,(D89)-(J33)))^2)/2+(H33)*(MAX($D$16,(D89)-(J33)))^3/3+(ABS(H89)^2)/($I$5*MAX(((F33)+(H33)*(MAX($D$16,(D89)-(J33))))*(MAX($D$16,(D89)-(J33))),0.000001)))*0.99999971))/MAX(((G31)*(MAX($D$16,(D89)-(K31)))^2)/2+(I31)*(MAX($D$16,(D89)-(K31)))^3/3+(ABS(F89)^2)/($I$5*MAX(((G31)+(I31)*(MAX($D$16,(D89)-(K31))))*(MAX($D$16,(D89)-(K31))),0.000001)),0.000001)</f>
        <v>-0.27214945999991125</v>
      </c>
      <c r="V89">
        <f>(((((F34)*(MAX($D$16,(E89)-(J34)))^2)/2+(H34)*(MAX($D$16,(E89)-(J34)))^3/3+(ABS(I89)^2)/($I$5*MAX(((F34)+(H34)*(MAX($D$16,(E89)-(J34))))*(MAX($D$16,(E89)-(J34))),0.000001)))*1)-((((F35)*(MAX($D$16,(E89)-(J35)))^2)/2+(H35)*(MAX($D$16,(E89)-(J35)))^3/3+(ABS(J89)^2)/($I$5*MAX(((F35)+(H35)*(MAX($D$16,(E89)-(J35))))*(MAX($D$16,(E89)-(J35))),0.000001)))*0.30600918))/MAX(((G32)*(MAX($D$16,(E89)-(K32)))^2)/2+(I32)*(MAX($D$16,(E89)-(K32)))^3/3+(ABS(G89)^2)/($I$5*MAX(((G32)+(I32)*(MAX($D$16,(E89)-(K32))))*(MAX($D$16,(E89)-(K32))),0.000001)),0.000001)</f>
        <v>0.69398638937190393</v>
      </c>
      <c r="W89">
        <f>IF(N6="None",ABS(P89-D89),MAX(ABS(P89-D89),ABS(Q89-D89)))</f>
        <v>3.4197000786662102E-10</v>
      </c>
      <c r="X89">
        <f>IF(AND(N7="None",N8="None"),0,IF(N8="None",ABS(S89-E89),IF(N7="None",ABS(T89-E89),MAX(ABS(S89-E89),ABS(T89-E89)))))</f>
        <v>51796.641837659452</v>
      </c>
      <c r="AA89">
        <f t="shared" si="18"/>
        <v>52432.141837659779</v>
      </c>
      <c r="AB89">
        <f t="shared" si="19"/>
        <v>41355.303927851826</v>
      </c>
      <c r="AC89">
        <f>IF(N6="None",P89,MAX(P89,Q89))</f>
        <v>52432.141837660005</v>
      </c>
      <c r="AD89">
        <f>IF(AND(N7="None",N8="None"),E89,IF(N8="None",S89,IF(N7="None",T89,MAX(S89,T89))))</f>
        <v>20784.033523923383</v>
      </c>
      <c r="AE89">
        <f t="shared" si="20"/>
        <v>637.65825101089831</v>
      </c>
      <c r="AF89">
        <f t="shared" si="21"/>
        <v>52432.141837659794</v>
      </c>
      <c r="AG89">
        <f>((G31)*(MAX($D$16,(AC89)-(K31)))^2)/2+(I31)*(MAX($D$16,(AC89)-(K31)))^3/3+(ABS(F89)^2)/($I$5*MAX(((G31)+(I31)*(MAX($D$16,(AC89)-(K31))))*(MAX($D$16,(AC89)-(K31))),0.000001))</f>
        <v>8797611517.4109573</v>
      </c>
      <c r="AH89">
        <f>((G31)*(MAX($D$16,(AE89)-(K31)))^2)/2+(I31)*(MAX($D$16,(AE89)-(K31)))^3/3+(ABS(F89)^2)/($I$5*MAX(((G31)+(I31)*(MAX($D$16,(AE89)-(K31))))*(MAX($D$16,(AE89)-(K31))),0.000001))</f>
        <v>49.055863329575246</v>
      </c>
      <c r="AI89">
        <f>((G32)*(MAX($D$16,(AD89)-(K32)))^2)/2+(I32)*(MAX($D$16,(AD89)-(K32)))^3/3+(ABS(G89)^2)/($I$5*MAX(((G32)+(I32)*(MAX($D$16,(AD89)-(K32))))*(MAX($D$16,(AD89)-(K32))),0.000001))</f>
        <v>2072376743.6648321</v>
      </c>
      <c r="AJ89">
        <f>((G32)*(MAX($D$16,(AF89)-(K32)))^2)/2+(I32)*(MAX($D$16,(AF89)-(K32)))^3/3+(ABS(G89)^2)/($I$5*MAX(((G32)+(I32)*(MAX($D$16,(AF89)-(K32))))*(MAX($D$16,(AF89)-(K32))),0.000001))</f>
        <v>13692714789.64292</v>
      </c>
      <c r="AK89" t="str">
        <f t="shared" si="22"/>
        <v>Subcritical</v>
      </c>
      <c r="AL89" t="str">
        <f t="shared" si="23"/>
        <v>Supercritical</v>
      </c>
      <c r="AM89">
        <f t="shared" si="24"/>
        <v>52432.141837659779</v>
      </c>
      <c r="AN89">
        <f t="shared" si="25"/>
        <v>52432.141837659568</v>
      </c>
      <c r="AO89">
        <f t="shared" si="26"/>
        <v>3.4197000786662102E-10</v>
      </c>
      <c r="AP89">
        <f t="shared" si="27"/>
        <v>3.4197000786662102E-10</v>
      </c>
    </row>
    <row r="90" spans="1:42" x14ac:dyDescent="0.35">
      <c r="A90">
        <v>47</v>
      </c>
      <c r="B90">
        <f t="shared" si="28"/>
        <v>0</v>
      </c>
      <c r="C90">
        <f t="shared" si="29"/>
        <v>0</v>
      </c>
      <c r="D90">
        <f t="shared" si="30"/>
        <v>52432.141837659779</v>
      </c>
      <c r="E90">
        <f t="shared" si="31"/>
        <v>52432.141837659568</v>
      </c>
      <c r="F90">
        <f t="shared" si="17"/>
        <v>51</v>
      </c>
      <c r="G90">
        <f>IF(N6="None",F90,MAX(0,F90*B90))</f>
        <v>51</v>
      </c>
      <c r="H90">
        <f>IF(N6="None",0,MAX(0,F90-G90))</f>
        <v>0</v>
      </c>
      <c r="I90">
        <f>IF(AND(N7="None",N8="None"),0,IF(N8="None",G90,IF(N7="None",0,MAX(0,G90*C90))))</f>
        <v>0</v>
      </c>
      <c r="J90">
        <f>IF(AND(N7="None",N8="None"),0,IF(N8="None",0,IF(N7="None",G90,MAX(0,G90-I90))))</f>
        <v>51</v>
      </c>
      <c r="K90">
        <f>P5</f>
        <v>637</v>
      </c>
      <c r="L90">
        <f>P6</f>
        <v>634.3119999999999</v>
      </c>
      <c r="M90">
        <f>P7</f>
        <v>635.5</v>
      </c>
      <c r="N90">
        <f>P8</f>
        <v>631.54999999999995</v>
      </c>
      <c r="O90">
        <f>K90+((ABS(F90)/MAX(((F31)+(H31)*(MAX($D$16,(K90)-(J31))))*(MAX($D$16,(K90)-(J31))),0.000001))^2)/(2*$I$5)-((E31)*((((ABS(F90)*$D$6)/(MAX(((F31)+(H31)*(MAX($D$16,(K90)-(J31))))*(MAX($D$16,(K90)-(J31))),0.000001)*MAX(((((F31)+(H31)*(MAX($D$16,(K90)-(J31))))*(MAX($D$16,(K90)-(J31))))/MAX((F31)+2*(MAX($D$16,(K90)-(J31)))*SQRT(1+(H31)^2),0.000001))^(2/3),0.000001)))^2)+(((ABS(F90)*$D$6)/(MAX(((G31)+(I31)*(MAX($D$16,(D90)-(K31))))*(MAX($D$16,(D90)-(K31))),0.000001)*MAX(((((G31)+(I31)*(MAX($D$16,(D90)-(K31))))*(MAX($D$16,(D90)-(K31))))/MAX((G31)+2*(MAX($D$16,(D90)-(K31)))*SQRT(1+(I31)^2),0.000001))^(2/3),0.000001)))^2))/2)+(IF((ABS(F90)/MAX(((G31)+(I31)*(MAX($D$16,(D90)-(K31))))*(MAX($D$16,(D90)-(K31))),0.000001))&gt;(ABS(F90)/MAX(((F31)+(H31)*(MAX($D$16,(K90)-(J31))))*(MAX($D$16,(K90)-(J31))),0.000001)),$D$9*((((ABS(F90)/MAX(((G31)+(I31)*(MAX($D$16,(D90)-(K31))))*(MAX($D$16,(D90)-(K31))),0.000001))^2)/(2*$I$5))-(((ABS(F90)/MAX(((F31)+(H31)*(MAX($D$16,(K90)-(J31))))*(MAX($D$16,(K90)-(J31))),0.000001))^2)/(2*$I$5))),$D$8*((((ABS(F90)/MAX(((F31)+(H31)*(MAX($D$16,(K90)-(J31))))*(MAX($D$16,(K90)-(J31))),0.000001))^2)/(2*$I$5))-(((ABS(F90)/MAX(((G31)+(I31)*(MAX($D$16,(D90)-(K31))))*(MAX($D$16,(D90)-(K31))),0.000001))^2)/(2*$I$5)))))+($D$10*(ABS((X31)-(W31))/90)*MAX(((ABS(F90)/MAX(((F31)+(H31)*(MAX($D$16,(K90)-(J31))))*(MAX($D$16,(K90)-(J31))),0.000001))^2)/(2*$I$5),((ABS(F90)/MAX(((G31)+(I31)*(MAX($D$16,(D90)-(K31))))*(MAX($D$16,(D90)-(K31))),0.000001))^2)/(2*$I$5)))+(0)-((ABS(F90)/MAX(((G31)+(I31)*(MAX($D$16,(D90)-(K31))))*(MAX($D$16,(D90)-(K31))),0.000001))^2)/(2*$I$5)</f>
        <v>637.65825101089831</v>
      </c>
      <c r="P90">
        <f>E90+((ABS(G90)/MAX(((G32)+(I32)*(MAX($D$16,(E90)-(K32))))*(MAX($D$16,(E90)-(K32))),0.000001))^2)/(2*$I$5)+((E32)*((((ABS(G90)*$D$6)/(MAX(((F32)+(H32)*(MAX($D$16,(D90)-(J32))))*(MAX($D$16,(D90)-(J32))),0.000001)*MAX(((((F32)+(H32)*(MAX($D$16,(D90)-(J32))))*(MAX($D$16,(D90)-(J32))))/MAX((F32)+2*(MAX($D$16,(D90)-(J32)))*SQRT(1+(H32)^2),0.000001))^(2/3),0.000001)))^2)+(((ABS(G90)*$D$6)/(MAX(((G32)+(I32)*(MAX($D$16,(E90)-(K32))))*(MAX($D$16,(E90)-(K32))),0.000001)*MAX(((((G32)+(I32)*(MAX($D$16,(E90)-(K32))))*(MAX($D$16,(E90)-(K32))))/MAX((G32)+2*(MAX($D$16,(E90)-(K32)))*SQRT(1+(I32)^2),0.000001))^(2/3),0.000001)))^2))/2)+(IF((ABS(G90)/MAX(((G32)+(I32)*(MAX($D$16,(E90)-(K32))))*(MAX($D$16,(E90)-(K32))),0.000001))&gt;(ABS(G90)/MAX(((F32)+(H32)*(MAX($D$16,(D90)-(J32))))*(MAX($D$16,(D90)-(J32))),0.000001)),$D$9*((((ABS(G90)/MAX(((G32)+(I32)*(MAX($D$16,(E90)-(K32))))*(MAX($D$16,(E90)-(K32))),0.000001))^2)/(2*$I$5))-(((ABS(G90)/MAX(((F32)+(H32)*(MAX($D$16,(D90)-(J32))))*(MAX($D$16,(D90)-(J32))),0.000001))^2)/(2*$I$5))),$D$8*((((ABS(G90)/MAX(((F32)+(H32)*(MAX($D$16,(D90)-(J32))))*(MAX($D$16,(D90)-(J32))),0.000001))^2)/(2*$I$5))-(((ABS(G90)/MAX(((G32)+(I32)*(MAX($D$16,(E90)-(K32))))*(MAX($D$16,(E90)-(K32))),0.000001))^2)/(2*$I$5)))))+($D$10*(ABS((X32)-(W32))/90)*MAX(((ABS(G90)/MAX(((F32)+(H32)*(MAX($D$16,(D90)-(J32))))*(MAX($D$16,(D90)-(J32))),0.000001))^2)/(2*$I$5),((ABS(G90)/MAX(((G32)+(I32)*(MAX($D$16,(E90)-(K32))))*(MAX($D$16,(E90)-(K32))),0.000001))^2)/(2*$I$5)))+(($D$11*0.13607488*(ABS(H90)/MAX(ABS(F90),0.000001))^2*MAX(((ABS(G90)/MAX(((F32)+(H32)*(MAX($D$16,(D90)-(J32))))*(MAX($D$16,(D90)-(J32))),0.000001))^2)/(2*$I$5),((ABS(G90)/MAX(((G32)+(I32)*(MAX($D$16,(E90)-(K32))))*(MAX($D$16,(E90)-(K32))),0.000001))^2)/(2*$I$5))))-((ABS(G90)/MAX(((F32)+(H32)*(MAX($D$16,(D90)-(J32))))*(MAX($D$16,(D90)-(J32))),0.000001))^2)/(2*$I$5)</f>
        <v>52432.141837660121</v>
      </c>
      <c r="Q90">
        <f>L90+((ABS(H90)/MAX(((G33)+(I33)*(MAX($D$16,(L90)-(K33))))*(MAX($D$16,(L90)-(K33))),0.000001))^2)/(2*$I$5)+((E33)*((((ABS(H90)*$D$6)/(MAX(((F33)+(H33)*(MAX($D$16,(D90)-(J33))))*(MAX($D$16,(D90)-(J33))),0.000001)*MAX(((((F33)+(H33)*(MAX($D$16,(D90)-(J33))))*(MAX($D$16,(D90)-(J33))))/MAX((F33)+2*(MAX($D$16,(D90)-(J33)))*SQRT(1+(H33)^2),0.000001))^(2/3),0.000001)))^2)+(((ABS(H90)*$D$6)/(MAX(((G33)+(I33)*(MAX($D$16,(L90)-(K33))))*(MAX($D$16,(L90)-(K33))),0.000001)*MAX(((((G33)+(I33)*(MAX($D$16,(L90)-(K33))))*(MAX($D$16,(L90)-(K33))))/MAX((G33)+2*(MAX($D$16,(L90)-(K33)))*SQRT(1+(I33)^2),0.000001))^(2/3),0.000001)))^2))/2)+(IF((ABS(H90)/MAX(((G33)+(I33)*(MAX($D$16,(L90)-(K33))))*(MAX($D$16,(L90)-(K33))),0.000001))&gt;(ABS(H90)/MAX(((F33)+(H33)*(MAX($D$16,(D90)-(J33))))*(MAX($D$16,(D90)-(J33))),0.000001)),$D$9*((((ABS(H90)/MAX(((G33)+(I33)*(MAX($D$16,(L90)-(K33))))*(MAX($D$16,(L90)-(K33))),0.000001))^2)/(2*$I$5))-(((ABS(H90)/MAX(((F33)+(H33)*(MAX($D$16,(D90)-(J33))))*(MAX($D$16,(D90)-(J33))),0.000001))^2)/(2*$I$5))),$D$8*((((ABS(H90)/MAX(((F33)+(H33)*(MAX($D$16,(D90)-(J33))))*(MAX($D$16,(D90)-(J33))),0.000001))^2)/(2*$I$5))-(((ABS(H90)/MAX(((G33)+(I33)*(MAX($D$16,(L90)-(K33))))*(MAX($D$16,(L90)-(K33))),0.000001))^2)/(2*$I$5)))))+($D$10*(ABS((X33)-(W33))/90)*MAX(((ABS(H90)/MAX(((F33)+(H33)*(MAX($D$16,(D90)-(J33))))*(MAX($D$16,(D90)-(J33))),0.000001))^2)/(2*$I$5),((ABS(H90)/MAX(((G33)+(I33)*(MAX($D$16,(L90)-(K33))))*(MAX($D$16,(L90)-(K33))),0.000001))^2)/(2*$I$5)))+(($D$11*0.00000015*(ABS(G90)/MAX(ABS(F90),0.000001))^2*MAX(((ABS(H90)/MAX(((F33)+(H33)*(MAX($D$16,(D90)-(J33))))*(MAX($D$16,(D90)-(J33))),0.000001))^2)/(2*$I$5),((ABS(H90)/MAX(((G33)+(I33)*(MAX($D$16,(L90)-(K33))))*(MAX($D$16,(L90)-(K33))),0.000001))^2)/(2*$I$5))))-((ABS(H90)/MAX(((F33)+(H33)*(MAX($D$16,(D90)-(J33))))*(MAX($D$16,(D90)-(J33))),0.000001))^2)/(2*$I$5)</f>
        <v>634.3119999999999</v>
      </c>
      <c r="R90">
        <f>D90+((ABS(G90)/MAX(((F32)+(H32)*(MAX($D$16,(D90)-(J32))))*(MAX($D$16,(D90)-(J32))),0.000001))^2)/(2*$I$5)-((E32)*((((ABS(G90)*$D$6)/(MAX(((F32)+(H32)*(MAX($D$16,(D90)-(J32))))*(MAX($D$16,(D90)-(J32))),0.000001)*MAX(((((F32)+(H32)*(MAX($D$16,(D90)-(J32))))*(MAX($D$16,(D90)-(J32))))/MAX((F32)+2*(MAX($D$16,(D90)-(J32)))*SQRT(1+(H32)^2),0.000001))^(2/3),0.000001)))^2)+(((ABS(G90)*$D$6)/(MAX(((G32)+(I32)*(MAX($D$16,(E90)-(K32))))*(MAX($D$16,(E90)-(K32))),0.000001)*MAX(((((G32)+(I32)*(MAX($D$16,(E90)-(K32))))*(MAX($D$16,(E90)-(K32))))/MAX((G32)+2*(MAX($D$16,(E90)-(K32)))*SQRT(1+(I32)^2),0.000001))^(2/3),0.000001)))^2))/2)+(IF((ABS(G90)/MAX(((G32)+(I32)*(MAX($D$16,(E90)-(K32))))*(MAX($D$16,(E90)-(K32))),0.000001))&gt;(ABS(G90)/MAX(((F32)+(H32)*(MAX($D$16,(D90)-(J32))))*(MAX($D$16,(D90)-(J32))),0.000001)),$D$9*((((ABS(G90)/MAX(((G32)+(I32)*(MAX($D$16,(E90)-(K32))))*(MAX($D$16,(E90)-(K32))),0.000001))^2)/(2*$I$5))-(((ABS(G90)/MAX(((F32)+(H32)*(MAX($D$16,(D90)-(J32))))*(MAX($D$16,(D90)-(J32))),0.000001))^2)/(2*$I$5))),$D$8*((((ABS(G90)/MAX(((F32)+(H32)*(MAX($D$16,(D90)-(J32))))*(MAX($D$16,(D90)-(J32))),0.000001))^2)/(2*$I$5))-(((ABS(G90)/MAX(((G32)+(I32)*(MAX($D$16,(E90)-(K32))))*(MAX($D$16,(E90)-(K32))),0.000001))^2)/(2*$I$5)))))+($D$10*(ABS((X32)-(W32))/90)*MAX(((ABS(G90)/MAX(((F32)+(H32)*(MAX($D$16,(D90)-(J32))))*(MAX($D$16,(D90)-(J32))),0.000001))^2)/(2*$I$5),((ABS(G90)/MAX(((G32)+(I32)*(MAX($D$16,(E90)-(K32))))*(MAX($D$16,(E90)-(K32))),0.000001))^2)/(2*$I$5)))+(($D$11*0.13607488*(ABS(H90)/MAX(ABS(F90),0.000001))^2*MAX(((ABS(G90)/MAX(((F32)+(H32)*(MAX($D$16,(D90)-(J32))))*(MAX($D$16,(D90)-(J32))),0.000001))^2)/(2*$I$5),((ABS(G90)/MAX(((G32)+(I32)*(MAX($D$16,(E90)-(K32))))*(MAX($D$16,(E90)-(K32))),0.000001))^2)/(2*$I$5))))-((ABS(G90)/MAX(((G32)+(I32)*(MAX($D$16,(E90)-(K32))))*(MAX($D$16,(E90)-(K32))),0.000001))^2)/(2*$I$5)</f>
        <v>52432.14183765991</v>
      </c>
      <c r="S90">
        <f>M90+((ABS(I90)/MAX(((G34)+(I34)*(MAX($D$16,(M90)-(K34))))*(MAX($D$16,(M90)-(K34))),0.000001))^2)/(2*$I$5)+((E34)*((((ABS(I90)*$D$6)/(MAX(((F34)+(H34)*(MAX($D$16,(E90)-(J34))))*(MAX($D$16,(E90)-(J34))),0.000001)*MAX(((((F34)+(H34)*(MAX($D$16,(E90)-(J34))))*(MAX($D$16,(E90)-(J34))))/MAX((F34)+2*(MAX($D$16,(E90)-(J34)))*SQRT(1+(H34)^2),0.000001))^(2/3),0.000001)))^2)+(((ABS(I90)*$D$6)/(MAX(((G34)+(I34)*(MAX($D$16,(M90)-(K34))))*(MAX($D$16,(M90)-(K34))),0.000001)*MAX(((((G34)+(I34)*(MAX($D$16,(M90)-(K34))))*(MAX($D$16,(M90)-(K34))))/MAX((G34)+2*(MAX($D$16,(M90)-(K34)))*SQRT(1+(I34)^2),0.000001))^(2/3),0.000001)))^2))/2)+(IF((ABS(I90)/MAX(((G34)+(I34)*(MAX($D$16,(M90)-(K34))))*(MAX($D$16,(M90)-(K34))),0.000001))&gt;(ABS(I90)/MAX(((F34)+(H34)*(MAX($D$16,(E90)-(J34))))*(MAX($D$16,(E90)-(J34))),0.000001)),$D$9*((((ABS(I90)/MAX(((G34)+(I34)*(MAX($D$16,(M90)-(K34))))*(MAX($D$16,(M90)-(K34))),0.000001))^2)/(2*$I$5))-(((ABS(I90)/MAX(((F34)+(H34)*(MAX($D$16,(E90)-(J34))))*(MAX($D$16,(E90)-(J34))),0.000001))^2)/(2*$I$5))),$D$8*((((ABS(I90)/MAX(((F34)+(H34)*(MAX($D$16,(E90)-(J34))))*(MAX($D$16,(E90)-(J34))),0.000001))^2)/(2*$I$5))-(((ABS(I90)/MAX(((G34)+(I34)*(MAX($D$16,(M90)-(K34))))*(MAX($D$16,(M90)-(K34))),0.000001))^2)/(2*$I$5)))))+($D$10*(ABS((X34)-(W34))/90)*MAX(((ABS(I90)/MAX(((F34)+(H34)*(MAX($D$16,(E90)-(J34))))*(MAX($D$16,(E90)-(J34))),0.000001))^2)/(2*$I$5),((ABS(I90)/MAX(((G34)+(I34)*(MAX($D$16,(M90)-(K34))))*(MAX($D$16,(M90)-(K34))),0.000001))^2)/(2*$I$5)))+(0)-((ABS(I90)/MAX(((F34)+(H34)*(MAX($D$16,(E90)-(J34))))*(MAX($D$16,(E90)-(J34))),0.000001))^2)/(2*$I$5)</f>
        <v>635.5</v>
      </c>
      <c r="T90">
        <f>N90+((ABS(J90)/MAX(((G35)+(I35)*(MAX($D$16,(N90)-(K35))))*(MAX($D$16,(N90)-(K35))),0.000001))^2)/(2*$I$5)+((E35)*((((ABS(J90)*$D$6)/(MAX(((F35)+(H35)*(MAX($D$16,(E90)-(J35))))*(MAX($D$16,(E90)-(J35))),0.000001)*MAX(((((F35)+(H35)*(MAX($D$16,(E90)-(J35))))*(MAX($D$16,(E90)-(J35))))/MAX((F35)+2*(MAX($D$16,(E90)-(J35)))*SQRT(1+(H35)^2),0.000001))^(2/3),0.000001)))^2)+(((ABS(J90)*$D$6)/(MAX(((G35)+(I35)*(MAX($D$16,(N90)-(K35))))*(MAX($D$16,(N90)-(K35))),0.000001)*MAX(((((G35)+(I35)*(MAX($D$16,(N90)-(K35))))*(MAX($D$16,(N90)-(K35))))/MAX((G35)+2*(MAX($D$16,(N90)-(K35)))*SQRT(1+(I35)^2),0.000001))^(2/3),0.000001)))^2))/2)+(IF((ABS(J90)/MAX(((G35)+(I35)*(MAX($D$16,(N90)-(K35))))*(MAX($D$16,(N90)-(K35))),0.000001))&gt;(ABS(J90)/MAX(((F35)+(H35)*(MAX($D$16,(E90)-(J35))))*(MAX($D$16,(E90)-(J35))),0.000001)),$D$9*((((ABS(J90)/MAX(((G35)+(I35)*(MAX($D$16,(N90)-(K35))))*(MAX($D$16,(N90)-(K35))),0.000001))^2)/(2*$I$5))-(((ABS(J90)/MAX(((F35)+(H35)*(MAX($D$16,(E90)-(J35))))*(MAX($D$16,(E90)-(J35))),0.000001))^2)/(2*$I$5))),$D$8*((((ABS(J90)/MAX(((F35)+(H35)*(MAX($D$16,(E90)-(J35))))*(MAX($D$16,(E90)-(J35))),0.000001))^2)/(2*$I$5))-(((ABS(J90)/MAX(((G35)+(I35)*(MAX($D$16,(N90)-(K35))))*(MAX($D$16,(N90)-(K35))),0.000001))^2)/(2*$I$5)))))+($D$10*(ABS((X35)-(W35))/90)*MAX(((ABS(J90)/MAX(((F35)+(H35)*(MAX($D$16,(E90)-(J35))))*(MAX($D$16,(E90)-(J35))),0.000001))^2)/(2*$I$5),((ABS(J90)/MAX(((G35)+(I35)*(MAX($D$16,(N90)-(K35))))*(MAX($D$16,(N90)-(K35))),0.000001))^2)/(2*$I$5)))+(($D$11*0.34699541*(ABS(I90)/MAX(ABS(G90),0.000001))^2*MAX(((ABS(J90)/MAX(((F35)+(H35)*(MAX($D$16,(E90)-(J35))))*(MAX($D$16,(E90)-(J35))),0.000001))^2)/(2*$I$5),((ABS(J90)/MAX(((G35)+(I35)*(MAX($D$16,(N90)-(K35))))*(MAX($D$16,(N90)-(K35))),0.000001))^2)/(2*$I$5))))-((ABS(J90)/MAX(((F35)+(H35)*(MAX($D$16,(E90)-(J35))))*(MAX($D$16,(E90)-(J35))),0.000001))^2)/(2*$I$5)</f>
        <v>20784.033523923383</v>
      </c>
      <c r="U90">
        <f>(((((F32)*(MAX($D$16,(D90)-(J32)))^2)/2+(H32)*(MAX($D$16,(D90)-(J32)))^3/3+(ABS(G90)^2)/($I$5*MAX(((F32)+(H32)*(MAX($D$16,(D90)-(J32))))*(MAX($D$16,(D90)-(J32))),0.000001)))*0.72785025)-((((F33)*(MAX($D$16,(D90)-(J33)))^2)/2+(H33)*(MAX($D$16,(D90)-(J33)))^3/3+(ABS(H90)^2)/($I$5*MAX(((F33)+(H33)*(MAX($D$16,(D90)-(J33))))*(MAX($D$16,(D90)-(J33))),0.000001)))*0.99999971))/MAX(((G31)*(MAX($D$16,(D90)-(K31)))^2)/2+(I31)*(MAX($D$16,(D90)-(K31)))^3/3+(ABS(F90)^2)/($I$5*MAX(((G31)+(I31)*(MAX($D$16,(D90)-(K31))))*(MAX($D$16,(D90)-(K31))),0.000001)),0.000001)</f>
        <v>-0.27214945999991125</v>
      </c>
      <c r="V90">
        <f>(((((F34)*(MAX($D$16,(E90)-(J34)))^2)/2+(H34)*(MAX($D$16,(E90)-(J34)))^3/3+(ABS(I90)^2)/($I$5*MAX(((F34)+(H34)*(MAX($D$16,(E90)-(J34))))*(MAX($D$16,(E90)-(J34))),0.000001)))*1)-((((F35)*(MAX($D$16,(E90)-(J35)))^2)/2+(H35)*(MAX($D$16,(E90)-(J35)))^3/3+(ABS(J90)^2)/($I$5*MAX(((F35)+(H35)*(MAX($D$16,(E90)-(J35))))*(MAX($D$16,(E90)-(J35))),0.000001)))*0.30600918))/MAX(((G32)*(MAX($D$16,(E90)-(K32)))^2)/2+(I32)*(MAX($D$16,(E90)-(K32)))^3/3+(ABS(G90)^2)/($I$5*MAX(((G32)+(I32)*(MAX($D$16,(E90)-(K32))))*(MAX($D$16,(E90)-(K32))),0.000001)),0.000001)</f>
        <v>0.69398638937190382</v>
      </c>
      <c r="W90">
        <f>IF(N6="None",ABS(P90-D90),MAX(ABS(P90-D90),ABS(Q90-D90)))</f>
        <v>3.4197000786662102E-10</v>
      </c>
      <c r="X90">
        <f>IF(AND(N7="None",N8="None"),0,IF(N8="None",ABS(S90-E90),IF(N7="None",ABS(T90-E90),MAX(ABS(S90-E90),ABS(T90-E90)))))</f>
        <v>51796.641837659568</v>
      </c>
      <c r="AA90">
        <f t="shared" si="18"/>
        <v>52432.141837659896</v>
      </c>
      <c r="AB90">
        <f t="shared" si="19"/>
        <v>41355.303927851906</v>
      </c>
      <c r="AC90">
        <f>IF(N6="None",P90,MAX(P90,Q90))</f>
        <v>52432.141837660121</v>
      </c>
      <c r="AD90">
        <f>IF(AND(N7="None",N8="None"),E90,IF(N8="None",S90,IF(N7="None",T90,MAX(S90,T90))))</f>
        <v>20784.033523923383</v>
      </c>
      <c r="AE90">
        <f t="shared" si="20"/>
        <v>637.65825101089831</v>
      </c>
      <c r="AF90">
        <f t="shared" si="21"/>
        <v>52432.14183765991</v>
      </c>
      <c r="AG90">
        <f>((G31)*(MAX($D$16,(AC90)-(K31)))^2)/2+(I31)*(MAX($D$16,(AC90)-(K31)))^3/3+(ABS(F90)^2)/($I$5*MAX(((G31)+(I31)*(MAX($D$16,(AC90)-(K31))))*(MAX($D$16,(AC90)-(K31))),0.000001))</f>
        <v>8797611517.4109974</v>
      </c>
      <c r="AH90">
        <f>((G31)*(MAX($D$16,(AE90)-(K31)))^2)/2+(I31)*(MAX($D$16,(AE90)-(K31)))^3/3+(ABS(F90)^2)/($I$5*MAX(((G31)+(I31)*(MAX($D$16,(AE90)-(K31))))*(MAX($D$16,(AE90)-(K31))),0.000001))</f>
        <v>49.055863329575246</v>
      </c>
      <c r="AI90">
        <f>((G32)*(MAX($D$16,(AD90)-(K32)))^2)/2+(I32)*(MAX($D$16,(AD90)-(K32)))^3/3+(ABS(G90)^2)/($I$5*MAX(((G32)+(I32)*(MAX($D$16,(AD90)-(K32))))*(MAX($D$16,(AD90)-(K32))),0.000001))</f>
        <v>2072376743.6648321</v>
      </c>
      <c r="AJ90">
        <f>((G32)*(MAX($D$16,(AF90)-(K32)))^2)/2+(I32)*(MAX($D$16,(AF90)-(K32)))^3/3+(ABS(G90)^2)/($I$5*MAX(((G32)+(I32)*(MAX($D$16,(AF90)-(K32))))*(MAX($D$16,(AF90)-(K32))),0.000001))</f>
        <v>13692714789.642982</v>
      </c>
      <c r="AK90" t="str">
        <f t="shared" si="22"/>
        <v>Subcritical</v>
      </c>
      <c r="AL90" t="str">
        <f t="shared" si="23"/>
        <v>Supercritical</v>
      </c>
      <c r="AM90">
        <f t="shared" si="24"/>
        <v>52432.141837659896</v>
      </c>
      <c r="AN90">
        <f t="shared" si="25"/>
        <v>52432.141837659685</v>
      </c>
      <c r="AO90">
        <f t="shared" si="26"/>
        <v>3.4197000786662102E-10</v>
      </c>
      <c r="AP90">
        <f t="shared" si="27"/>
        <v>3.4197000786662102E-10</v>
      </c>
    </row>
    <row r="91" spans="1:42" x14ac:dyDescent="0.35">
      <c r="A91">
        <v>48</v>
      </c>
      <c r="B91">
        <f t="shared" si="28"/>
        <v>0</v>
      </c>
      <c r="C91">
        <f t="shared" si="29"/>
        <v>0</v>
      </c>
      <c r="D91">
        <f t="shared" si="30"/>
        <v>52432.141837659896</v>
      </c>
      <c r="E91">
        <f t="shared" si="31"/>
        <v>52432.141837659685</v>
      </c>
      <c r="F91">
        <f t="shared" si="17"/>
        <v>51</v>
      </c>
      <c r="G91">
        <f>IF(N6="None",F91,MAX(0,F91*B91))</f>
        <v>51</v>
      </c>
      <c r="H91">
        <f>IF(N6="None",0,MAX(0,F91-G91))</f>
        <v>0</v>
      </c>
      <c r="I91">
        <f>IF(AND(N7="None",N8="None"),0,IF(N8="None",G91,IF(N7="None",0,MAX(0,G91*C91))))</f>
        <v>0</v>
      </c>
      <c r="J91">
        <f>IF(AND(N7="None",N8="None"),0,IF(N8="None",0,IF(N7="None",G91,MAX(0,G91-I91))))</f>
        <v>51</v>
      </c>
      <c r="K91">
        <f>P5</f>
        <v>637</v>
      </c>
      <c r="L91">
        <f>P6</f>
        <v>634.3119999999999</v>
      </c>
      <c r="M91">
        <f>P7</f>
        <v>635.5</v>
      </c>
      <c r="N91">
        <f>P8</f>
        <v>631.54999999999995</v>
      </c>
      <c r="O91">
        <f>K91+((ABS(F91)/MAX(((F31)+(H31)*(MAX($D$16,(K91)-(J31))))*(MAX($D$16,(K91)-(J31))),0.000001))^2)/(2*$I$5)-((E31)*((((ABS(F91)*$D$6)/(MAX(((F31)+(H31)*(MAX($D$16,(K91)-(J31))))*(MAX($D$16,(K91)-(J31))),0.000001)*MAX(((((F31)+(H31)*(MAX($D$16,(K91)-(J31))))*(MAX($D$16,(K91)-(J31))))/MAX((F31)+2*(MAX($D$16,(K91)-(J31)))*SQRT(1+(H31)^2),0.000001))^(2/3),0.000001)))^2)+(((ABS(F91)*$D$6)/(MAX(((G31)+(I31)*(MAX($D$16,(D91)-(K31))))*(MAX($D$16,(D91)-(K31))),0.000001)*MAX(((((G31)+(I31)*(MAX($D$16,(D91)-(K31))))*(MAX($D$16,(D91)-(K31))))/MAX((G31)+2*(MAX($D$16,(D91)-(K31)))*SQRT(1+(I31)^2),0.000001))^(2/3),0.000001)))^2))/2)+(IF((ABS(F91)/MAX(((G31)+(I31)*(MAX($D$16,(D91)-(K31))))*(MAX($D$16,(D91)-(K31))),0.000001))&gt;(ABS(F91)/MAX(((F31)+(H31)*(MAX($D$16,(K91)-(J31))))*(MAX($D$16,(K91)-(J31))),0.000001)),$D$9*((((ABS(F91)/MAX(((G31)+(I31)*(MAX($D$16,(D91)-(K31))))*(MAX($D$16,(D91)-(K31))),0.000001))^2)/(2*$I$5))-(((ABS(F91)/MAX(((F31)+(H31)*(MAX($D$16,(K91)-(J31))))*(MAX($D$16,(K91)-(J31))),0.000001))^2)/(2*$I$5))),$D$8*((((ABS(F91)/MAX(((F31)+(H31)*(MAX($D$16,(K91)-(J31))))*(MAX($D$16,(K91)-(J31))),0.000001))^2)/(2*$I$5))-(((ABS(F91)/MAX(((G31)+(I31)*(MAX($D$16,(D91)-(K31))))*(MAX($D$16,(D91)-(K31))),0.000001))^2)/(2*$I$5)))))+($D$10*(ABS((X31)-(W31))/90)*MAX(((ABS(F91)/MAX(((F31)+(H31)*(MAX($D$16,(K91)-(J31))))*(MAX($D$16,(K91)-(J31))),0.000001))^2)/(2*$I$5),((ABS(F91)/MAX(((G31)+(I31)*(MAX($D$16,(D91)-(K31))))*(MAX($D$16,(D91)-(K31))),0.000001))^2)/(2*$I$5)))+(0)-((ABS(F91)/MAX(((G31)+(I31)*(MAX($D$16,(D91)-(K31))))*(MAX($D$16,(D91)-(K31))),0.000001))^2)/(2*$I$5)</f>
        <v>637.65825101089831</v>
      </c>
      <c r="P91">
        <f>E91+((ABS(G91)/MAX(((G32)+(I32)*(MAX($D$16,(E91)-(K32))))*(MAX($D$16,(E91)-(K32))),0.000001))^2)/(2*$I$5)+((E32)*((((ABS(G91)*$D$6)/(MAX(((F32)+(H32)*(MAX($D$16,(D91)-(J32))))*(MAX($D$16,(D91)-(J32))),0.000001)*MAX(((((F32)+(H32)*(MAX($D$16,(D91)-(J32))))*(MAX($D$16,(D91)-(J32))))/MAX((F32)+2*(MAX($D$16,(D91)-(J32)))*SQRT(1+(H32)^2),0.000001))^(2/3),0.000001)))^2)+(((ABS(G91)*$D$6)/(MAX(((G32)+(I32)*(MAX($D$16,(E91)-(K32))))*(MAX($D$16,(E91)-(K32))),0.000001)*MAX(((((G32)+(I32)*(MAX($D$16,(E91)-(K32))))*(MAX($D$16,(E91)-(K32))))/MAX((G32)+2*(MAX($D$16,(E91)-(K32)))*SQRT(1+(I32)^2),0.000001))^(2/3),0.000001)))^2))/2)+(IF((ABS(G91)/MAX(((G32)+(I32)*(MAX($D$16,(E91)-(K32))))*(MAX($D$16,(E91)-(K32))),0.000001))&gt;(ABS(G91)/MAX(((F32)+(H32)*(MAX($D$16,(D91)-(J32))))*(MAX($D$16,(D91)-(J32))),0.000001)),$D$9*((((ABS(G91)/MAX(((G32)+(I32)*(MAX($D$16,(E91)-(K32))))*(MAX($D$16,(E91)-(K32))),0.000001))^2)/(2*$I$5))-(((ABS(G91)/MAX(((F32)+(H32)*(MAX($D$16,(D91)-(J32))))*(MAX($D$16,(D91)-(J32))),0.000001))^2)/(2*$I$5))),$D$8*((((ABS(G91)/MAX(((F32)+(H32)*(MAX($D$16,(D91)-(J32))))*(MAX($D$16,(D91)-(J32))),0.000001))^2)/(2*$I$5))-(((ABS(G91)/MAX(((G32)+(I32)*(MAX($D$16,(E91)-(K32))))*(MAX($D$16,(E91)-(K32))),0.000001))^2)/(2*$I$5)))))+($D$10*(ABS((X32)-(W32))/90)*MAX(((ABS(G91)/MAX(((F32)+(H32)*(MAX($D$16,(D91)-(J32))))*(MAX($D$16,(D91)-(J32))),0.000001))^2)/(2*$I$5),((ABS(G91)/MAX(((G32)+(I32)*(MAX($D$16,(E91)-(K32))))*(MAX($D$16,(E91)-(K32))),0.000001))^2)/(2*$I$5)))+(($D$11*0.13607488*(ABS(H91)/MAX(ABS(F91),0.000001))^2*MAX(((ABS(G91)/MAX(((F32)+(H32)*(MAX($D$16,(D91)-(J32))))*(MAX($D$16,(D91)-(J32))),0.000001))^2)/(2*$I$5),((ABS(G91)/MAX(((G32)+(I32)*(MAX($D$16,(E91)-(K32))))*(MAX($D$16,(E91)-(K32))),0.000001))^2)/(2*$I$5))))-((ABS(G91)/MAX(((F32)+(H32)*(MAX($D$16,(D91)-(J32))))*(MAX($D$16,(D91)-(J32))),0.000001))^2)/(2*$I$5)</f>
        <v>52432.141837660238</v>
      </c>
      <c r="Q91">
        <f>L91+((ABS(H91)/MAX(((G33)+(I33)*(MAX($D$16,(L91)-(K33))))*(MAX($D$16,(L91)-(K33))),0.000001))^2)/(2*$I$5)+((E33)*((((ABS(H91)*$D$6)/(MAX(((F33)+(H33)*(MAX($D$16,(D91)-(J33))))*(MAX($D$16,(D91)-(J33))),0.000001)*MAX(((((F33)+(H33)*(MAX($D$16,(D91)-(J33))))*(MAX($D$16,(D91)-(J33))))/MAX((F33)+2*(MAX($D$16,(D91)-(J33)))*SQRT(1+(H33)^2),0.000001))^(2/3),0.000001)))^2)+(((ABS(H91)*$D$6)/(MAX(((G33)+(I33)*(MAX($D$16,(L91)-(K33))))*(MAX($D$16,(L91)-(K33))),0.000001)*MAX(((((G33)+(I33)*(MAX($D$16,(L91)-(K33))))*(MAX($D$16,(L91)-(K33))))/MAX((G33)+2*(MAX($D$16,(L91)-(K33)))*SQRT(1+(I33)^2),0.000001))^(2/3),0.000001)))^2))/2)+(IF((ABS(H91)/MAX(((G33)+(I33)*(MAX($D$16,(L91)-(K33))))*(MAX($D$16,(L91)-(K33))),0.000001))&gt;(ABS(H91)/MAX(((F33)+(H33)*(MAX($D$16,(D91)-(J33))))*(MAX($D$16,(D91)-(J33))),0.000001)),$D$9*((((ABS(H91)/MAX(((G33)+(I33)*(MAX($D$16,(L91)-(K33))))*(MAX($D$16,(L91)-(K33))),0.000001))^2)/(2*$I$5))-(((ABS(H91)/MAX(((F33)+(H33)*(MAX($D$16,(D91)-(J33))))*(MAX($D$16,(D91)-(J33))),0.000001))^2)/(2*$I$5))),$D$8*((((ABS(H91)/MAX(((F33)+(H33)*(MAX($D$16,(D91)-(J33))))*(MAX($D$16,(D91)-(J33))),0.000001))^2)/(2*$I$5))-(((ABS(H91)/MAX(((G33)+(I33)*(MAX($D$16,(L91)-(K33))))*(MAX($D$16,(L91)-(K33))),0.000001))^2)/(2*$I$5)))))+($D$10*(ABS((X33)-(W33))/90)*MAX(((ABS(H91)/MAX(((F33)+(H33)*(MAX($D$16,(D91)-(J33))))*(MAX($D$16,(D91)-(J33))),0.000001))^2)/(2*$I$5),((ABS(H91)/MAX(((G33)+(I33)*(MAX($D$16,(L91)-(K33))))*(MAX($D$16,(L91)-(K33))),0.000001))^2)/(2*$I$5)))+(($D$11*0.00000015*(ABS(G91)/MAX(ABS(F91),0.000001))^2*MAX(((ABS(H91)/MAX(((F33)+(H33)*(MAX($D$16,(D91)-(J33))))*(MAX($D$16,(D91)-(J33))),0.000001))^2)/(2*$I$5),((ABS(H91)/MAX(((G33)+(I33)*(MAX($D$16,(L91)-(K33))))*(MAX($D$16,(L91)-(K33))),0.000001))^2)/(2*$I$5))))-((ABS(H91)/MAX(((F33)+(H33)*(MAX($D$16,(D91)-(J33))))*(MAX($D$16,(D91)-(J33))),0.000001))^2)/(2*$I$5)</f>
        <v>634.3119999999999</v>
      </c>
      <c r="R91">
        <f>D91+((ABS(G91)/MAX(((F32)+(H32)*(MAX($D$16,(D91)-(J32))))*(MAX($D$16,(D91)-(J32))),0.000001))^2)/(2*$I$5)-((E32)*((((ABS(G91)*$D$6)/(MAX(((F32)+(H32)*(MAX($D$16,(D91)-(J32))))*(MAX($D$16,(D91)-(J32))),0.000001)*MAX(((((F32)+(H32)*(MAX($D$16,(D91)-(J32))))*(MAX($D$16,(D91)-(J32))))/MAX((F32)+2*(MAX($D$16,(D91)-(J32)))*SQRT(1+(H32)^2),0.000001))^(2/3),0.000001)))^2)+(((ABS(G91)*$D$6)/(MAX(((G32)+(I32)*(MAX($D$16,(E91)-(K32))))*(MAX($D$16,(E91)-(K32))),0.000001)*MAX(((((G32)+(I32)*(MAX($D$16,(E91)-(K32))))*(MAX($D$16,(E91)-(K32))))/MAX((G32)+2*(MAX($D$16,(E91)-(K32)))*SQRT(1+(I32)^2),0.000001))^(2/3),0.000001)))^2))/2)+(IF((ABS(G91)/MAX(((G32)+(I32)*(MAX($D$16,(E91)-(K32))))*(MAX($D$16,(E91)-(K32))),0.000001))&gt;(ABS(G91)/MAX(((F32)+(H32)*(MAX($D$16,(D91)-(J32))))*(MAX($D$16,(D91)-(J32))),0.000001)),$D$9*((((ABS(G91)/MAX(((G32)+(I32)*(MAX($D$16,(E91)-(K32))))*(MAX($D$16,(E91)-(K32))),0.000001))^2)/(2*$I$5))-(((ABS(G91)/MAX(((F32)+(H32)*(MAX($D$16,(D91)-(J32))))*(MAX($D$16,(D91)-(J32))),0.000001))^2)/(2*$I$5))),$D$8*((((ABS(G91)/MAX(((F32)+(H32)*(MAX($D$16,(D91)-(J32))))*(MAX($D$16,(D91)-(J32))),0.000001))^2)/(2*$I$5))-(((ABS(G91)/MAX(((G32)+(I32)*(MAX($D$16,(E91)-(K32))))*(MAX($D$16,(E91)-(K32))),0.000001))^2)/(2*$I$5)))))+($D$10*(ABS((X32)-(W32))/90)*MAX(((ABS(G91)/MAX(((F32)+(H32)*(MAX($D$16,(D91)-(J32))))*(MAX($D$16,(D91)-(J32))),0.000001))^2)/(2*$I$5),((ABS(G91)/MAX(((G32)+(I32)*(MAX($D$16,(E91)-(K32))))*(MAX($D$16,(E91)-(K32))),0.000001))^2)/(2*$I$5)))+(($D$11*0.13607488*(ABS(H91)/MAX(ABS(F91),0.000001))^2*MAX(((ABS(G91)/MAX(((F32)+(H32)*(MAX($D$16,(D91)-(J32))))*(MAX($D$16,(D91)-(J32))),0.000001))^2)/(2*$I$5),((ABS(G91)/MAX(((G32)+(I32)*(MAX($D$16,(E91)-(K32))))*(MAX($D$16,(E91)-(K32))),0.000001))^2)/(2*$I$5))))-((ABS(G91)/MAX(((G32)+(I32)*(MAX($D$16,(E91)-(K32))))*(MAX($D$16,(E91)-(K32))),0.000001))^2)/(2*$I$5)</f>
        <v>52432.141837660027</v>
      </c>
      <c r="S91">
        <f>M91+((ABS(I91)/MAX(((G34)+(I34)*(MAX($D$16,(M91)-(K34))))*(MAX($D$16,(M91)-(K34))),0.000001))^2)/(2*$I$5)+((E34)*((((ABS(I91)*$D$6)/(MAX(((F34)+(H34)*(MAX($D$16,(E91)-(J34))))*(MAX($D$16,(E91)-(J34))),0.000001)*MAX(((((F34)+(H34)*(MAX($D$16,(E91)-(J34))))*(MAX($D$16,(E91)-(J34))))/MAX((F34)+2*(MAX($D$16,(E91)-(J34)))*SQRT(1+(H34)^2),0.000001))^(2/3),0.000001)))^2)+(((ABS(I91)*$D$6)/(MAX(((G34)+(I34)*(MAX($D$16,(M91)-(K34))))*(MAX($D$16,(M91)-(K34))),0.000001)*MAX(((((G34)+(I34)*(MAX($D$16,(M91)-(K34))))*(MAX($D$16,(M91)-(K34))))/MAX((G34)+2*(MAX($D$16,(M91)-(K34)))*SQRT(1+(I34)^2),0.000001))^(2/3),0.000001)))^2))/2)+(IF((ABS(I91)/MAX(((G34)+(I34)*(MAX($D$16,(M91)-(K34))))*(MAX($D$16,(M91)-(K34))),0.000001))&gt;(ABS(I91)/MAX(((F34)+(H34)*(MAX($D$16,(E91)-(J34))))*(MAX($D$16,(E91)-(J34))),0.000001)),$D$9*((((ABS(I91)/MAX(((G34)+(I34)*(MAX($D$16,(M91)-(K34))))*(MAX($D$16,(M91)-(K34))),0.000001))^2)/(2*$I$5))-(((ABS(I91)/MAX(((F34)+(H34)*(MAX($D$16,(E91)-(J34))))*(MAX($D$16,(E91)-(J34))),0.000001))^2)/(2*$I$5))),$D$8*((((ABS(I91)/MAX(((F34)+(H34)*(MAX($D$16,(E91)-(J34))))*(MAX($D$16,(E91)-(J34))),0.000001))^2)/(2*$I$5))-(((ABS(I91)/MAX(((G34)+(I34)*(MAX($D$16,(M91)-(K34))))*(MAX($D$16,(M91)-(K34))),0.000001))^2)/(2*$I$5)))))+($D$10*(ABS((X34)-(W34))/90)*MAX(((ABS(I91)/MAX(((F34)+(H34)*(MAX($D$16,(E91)-(J34))))*(MAX($D$16,(E91)-(J34))),0.000001))^2)/(2*$I$5),((ABS(I91)/MAX(((G34)+(I34)*(MAX($D$16,(M91)-(K34))))*(MAX($D$16,(M91)-(K34))),0.000001))^2)/(2*$I$5)))+(0)-((ABS(I91)/MAX(((F34)+(H34)*(MAX($D$16,(E91)-(J34))))*(MAX($D$16,(E91)-(J34))),0.000001))^2)/(2*$I$5)</f>
        <v>635.5</v>
      </c>
      <c r="T91">
        <f>N91+((ABS(J91)/MAX(((G35)+(I35)*(MAX($D$16,(N91)-(K35))))*(MAX($D$16,(N91)-(K35))),0.000001))^2)/(2*$I$5)+((E35)*((((ABS(J91)*$D$6)/(MAX(((F35)+(H35)*(MAX($D$16,(E91)-(J35))))*(MAX($D$16,(E91)-(J35))),0.000001)*MAX(((((F35)+(H35)*(MAX($D$16,(E91)-(J35))))*(MAX($D$16,(E91)-(J35))))/MAX((F35)+2*(MAX($D$16,(E91)-(J35)))*SQRT(1+(H35)^2),0.000001))^(2/3),0.000001)))^2)+(((ABS(J91)*$D$6)/(MAX(((G35)+(I35)*(MAX($D$16,(N91)-(K35))))*(MAX($D$16,(N91)-(K35))),0.000001)*MAX(((((G35)+(I35)*(MAX($D$16,(N91)-(K35))))*(MAX($D$16,(N91)-(K35))))/MAX((G35)+2*(MAX($D$16,(N91)-(K35)))*SQRT(1+(I35)^2),0.000001))^(2/3),0.000001)))^2))/2)+(IF((ABS(J91)/MAX(((G35)+(I35)*(MAX($D$16,(N91)-(K35))))*(MAX($D$16,(N91)-(K35))),0.000001))&gt;(ABS(J91)/MAX(((F35)+(H35)*(MAX($D$16,(E91)-(J35))))*(MAX($D$16,(E91)-(J35))),0.000001)),$D$9*((((ABS(J91)/MAX(((G35)+(I35)*(MAX($D$16,(N91)-(K35))))*(MAX($D$16,(N91)-(K35))),0.000001))^2)/(2*$I$5))-(((ABS(J91)/MAX(((F35)+(H35)*(MAX($D$16,(E91)-(J35))))*(MAX($D$16,(E91)-(J35))),0.000001))^2)/(2*$I$5))),$D$8*((((ABS(J91)/MAX(((F35)+(H35)*(MAX($D$16,(E91)-(J35))))*(MAX($D$16,(E91)-(J35))),0.000001))^2)/(2*$I$5))-(((ABS(J91)/MAX(((G35)+(I35)*(MAX($D$16,(N91)-(K35))))*(MAX($D$16,(N91)-(K35))),0.000001))^2)/(2*$I$5)))))+($D$10*(ABS((X35)-(W35))/90)*MAX(((ABS(J91)/MAX(((F35)+(H35)*(MAX($D$16,(E91)-(J35))))*(MAX($D$16,(E91)-(J35))),0.000001))^2)/(2*$I$5),((ABS(J91)/MAX(((G35)+(I35)*(MAX($D$16,(N91)-(K35))))*(MAX($D$16,(N91)-(K35))),0.000001))^2)/(2*$I$5)))+(($D$11*0.34699541*(ABS(I91)/MAX(ABS(G91),0.000001))^2*MAX(((ABS(J91)/MAX(((F35)+(H35)*(MAX($D$16,(E91)-(J35))))*(MAX($D$16,(E91)-(J35))),0.000001))^2)/(2*$I$5),((ABS(J91)/MAX(((G35)+(I35)*(MAX($D$16,(N91)-(K35))))*(MAX($D$16,(N91)-(K35))),0.000001))^2)/(2*$I$5))))-((ABS(J91)/MAX(((F35)+(H35)*(MAX($D$16,(E91)-(J35))))*(MAX($D$16,(E91)-(J35))),0.000001))^2)/(2*$I$5)</f>
        <v>20784.033523923383</v>
      </c>
      <c r="U91">
        <f>(((((F32)*(MAX($D$16,(D91)-(J32)))^2)/2+(H32)*(MAX($D$16,(D91)-(J32)))^3/3+(ABS(G91)^2)/($I$5*MAX(((F32)+(H32)*(MAX($D$16,(D91)-(J32))))*(MAX($D$16,(D91)-(J32))),0.000001)))*0.72785025)-((((F33)*(MAX($D$16,(D91)-(J33)))^2)/2+(H33)*(MAX($D$16,(D91)-(J33)))^3/3+(ABS(H91)^2)/($I$5*MAX(((F33)+(H33)*(MAX($D$16,(D91)-(J33))))*(MAX($D$16,(D91)-(J33))),0.000001)))*0.99999971))/MAX(((G31)*(MAX($D$16,(D91)-(K31)))^2)/2+(I31)*(MAX($D$16,(D91)-(K31)))^3/3+(ABS(F91)^2)/($I$5*MAX(((G31)+(I31)*(MAX($D$16,(D91)-(K31))))*(MAX($D$16,(D91)-(K31))),0.000001)),0.000001)</f>
        <v>-0.27214945999991125</v>
      </c>
      <c r="V91">
        <f>(((((F34)*(MAX($D$16,(E91)-(J34)))^2)/2+(H34)*(MAX($D$16,(E91)-(J34)))^3/3+(ABS(I91)^2)/($I$5*MAX(((F34)+(H34)*(MAX($D$16,(E91)-(J34))))*(MAX($D$16,(E91)-(J34))),0.000001)))*1)-((((F35)*(MAX($D$16,(E91)-(J35)))^2)/2+(H35)*(MAX($D$16,(E91)-(J35)))^3/3+(ABS(J91)^2)/($I$5*MAX(((F35)+(H35)*(MAX($D$16,(E91)-(J35))))*(MAX($D$16,(E91)-(J35))),0.000001)))*0.30600918))/MAX(((G32)*(MAX($D$16,(E91)-(K32)))^2)/2+(I32)*(MAX($D$16,(E91)-(K32)))^3/3+(ABS(G91)^2)/($I$5*MAX(((G32)+(I32)*(MAX($D$16,(E91)-(K32))))*(MAX($D$16,(E91)-(K32))),0.000001)),0.000001)</f>
        <v>0.69398638937190393</v>
      </c>
      <c r="W91">
        <f>IF(N6="None",ABS(P91-D91),MAX(ABS(P91-D91),ABS(Q91-D91)))</f>
        <v>3.4197000786662102E-10</v>
      </c>
      <c r="X91">
        <f>IF(AND(N7="None",N8="None"),0,IF(N8="None",ABS(S91-E91),IF(N7="None",ABS(T91-E91),MAX(ABS(S91-E91),ABS(T91-E91)))))</f>
        <v>51796.641837659685</v>
      </c>
      <c r="AA91">
        <f t="shared" si="18"/>
        <v>52432.141837660012</v>
      </c>
      <c r="AB91">
        <f t="shared" si="19"/>
        <v>41355.303927851979</v>
      </c>
      <c r="AC91">
        <f>IF(N6="None",P91,MAX(P91,Q91))</f>
        <v>52432.141837660238</v>
      </c>
      <c r="AD91">
        <f>IF(AND(N7="None",N8="None"),E91,IF(N8="None",S91,IF(N7="None",T91,MAX(S91,T91))))</f>
        <v>20784.033523923383</v>
      </c>
      <c r="AE91">
        <f t="shared" si="20"/>
        <v>637.65825101089831</v>
      </c>
      <c r="AF91">
        <f t="shared" si="21"/>
        <v>52432.141837660027</v>
      </c>
      <c r="AG91">
        <f>((G31)*(MAX($D$16,(AC91)-(K31)))^2)/2+(I31)*(MAX($D$16,(AC91)-(K31)))^3/3+(ABS(F91)^2)/($I$5*MAX(((G31)+(I31)*(MAX($D$16,(AC91)-(K31))))*(MAX($D$16,(AC91)-(K31))),0.000001))</f>
        <v>8797611517.4110374</v>
      </c>
      <c r="AH91">
        <f>((G31)*(MAX($D$16,(AE91)-(K31)))^2)/2+(I31)*(MAX($D$16,(AE91)-(K31)))^3/3+(ABS(F91)^2)/($I$5*MAX(((G31)+(I31)*(MAX($D$16,(AE91)-(K31))))*(MAX($D$16,(AE91)-(K31))),0.000001))</f>
        <v>49.055863329575246</v>
      </c>
      <c r="AI91">
        <f>((G32)*(MAX($D$16,(AD91)-(K32)))^2)/2+(I32)*(MAX($D$16,(AD91)-(K32)))^3/3+(ABS(G91)^2)/($I$5*MAX(((G32)+(I32)*(MAX($D$16,(AD91)-(K32))))*(MAX($D$16,(AD91)-(K32))),0.000001))</f>
        <v>2072376743.6648321</v>
      </c>
      <c r="AJ91">
        <f>((G32)*(MAX($D$16,(AF91)-(K32)))^2)/2+(I32)*(MAX($D$16,(AF91)-(K32)))^3/3+(ABS(G91)^2)/($I$5*MAX(((G32)+(I32)*(MAX($D$16,(AF91)-(K32))))*(MAX($D$16,(AF91)-(K32))),0.000001))</f>
        <v>13692714789.643044</v>
      </c>
      <c r="AK91" t="str">
        <f t="shared" si="22"/>
        <v>Subcritical</v>
      </c>
      <c r="AL91" t="str">
        <f t="shared" si="23"/>
        <v>Supercritical</v>
      </c>
      <c r="AM91">
        <f t="shared" si="24"/>
        <v>52432.141837660012</v>
      </c>
      <c r="AN91">
        <f t="shared" si="25"/>
        <v>52432.141837659801</v>
      </c>
      <c r="AO91">
        <f t="shared" si="26"/>
        <v>3.4197000786662102E-10</v>
      </c>
      <c r="AP91">
        <f t="shared" si="27"/>
        <v>3.4197000786662102E-10</v>
      </c>
    </row>
    <row r="92" spans="1:42" x14ac:dyDescent="0.35">
      <c r="A92">
        <v>49</v>
      </c>
      <c r="B92">
        <f t="shared" si="28"/>
        <v>0</v>
      </c>
      <c r="C92">
        <f t="shared" si="29"/>
        <v>0</v>
      </c>
      <c r="D92">
        <f t="shared" si="30"/>
        <v>52432.141837660012</v>
      </c>
      <c r="E92">
        <f t="shared" si="31"/>
        <v>52432.141837659801</v>
      </c>
      <c r="F92">
        <f t="shared" si="17"/>
        <v>51</v>
      </c>
      <c r="G92">
        <f>IF(N6="None",F92,MAX(0,F92*B92))</f>
        <v>51</v>
      </c>
      <c r="H92">
        <f>IF(N6="None",0,MAX(0,F92-G92))</f>
        <v>0</v>
      </c>
      <c r="I92">
        <f>IF(AND(N7="None",N8="None"),0,IF(N8="None",G92,IF(N7="None",0,MAX(0,G92*C92))))</f>
        <v>0</v>
      </c>
      <c r="J92">
        <f>IF(AND(N7="None",N8="None"),0,IF(N8="None",0,IF(N7="None",G92,MAX(0,G92-I92))))</f>
        <v>51</v>
      </c>
      <c r="K92">
        <f>P5</f>
        <v>637</v>
      </c>
      <c r="L92">
        <f>P6</f>
        <v>634.3119999999999</v>
      </c>
      <c r="M92">
        <f>P7</f>
        <v>635.5</v>
      </c>
      <c r="N92">
        <f>P8</f>
        <v>631.54999999999995</v>
      </c>
      <c r="O92">
        <f>K92+((ABS(F92)/MAX(((F31)+(H31)*(MAX($D$16,(K92)-(J31))))*(MAX($D$16,(K92)-(J31))),0.000001))^2)/(2*$I$5)-((E31)*((((ABS(F92)*$D$6)/(MAX(((F31)+(H31)*(MAX($D$16,(K92)-(J31))))*(MAX($D$16,(K92)-(J31))),0.000001)*MAX(((((F31)+(H31)*(MAX($D$16,(K92)-(J31))))*(MAX($D$16,(K92)-(J31))))/MAX((F31)+2*(MAX($D$16,(K92)-(J31)))*SQRT(1+(H31)^2),0.000001))^(2/3),0.000001)))^2)+(((ABS(F92)*$D$6)/(MAX(((G31)+(I31)*(MAX($D$16,(D92)-(K31))))*(MAX($D$16,(D92)-(K31))),0.000001)*MAX(((((G31)+(I31)*(MAX($D$16,(D92)-(K31))))*(MAX($D$16,(D92)-(K31))))/MAX((G31)+2*(MAX($D$16,(D92)-(K31)))*SQRT(1+(I31)^2),0.000001))^(2/3),0.000001)))^2))/2)+(IF((ABS(F92)/MAX(((G31)+(I31)*(MAX($D$16,(D92)-(K31))))*(MAX($D$16,(D92)-(K31))),0.000001))&gt;(ABS(F92)/MAX(((F31)+(H31)*(MAX($D$16,(K92)-(J31))))*(MAX($D$16,(K92)-(J31))),0.000001)),$D$9*((((ABS(F92)/MAX(((G31)+(I31)*(MAX($D$16,(D92)-(K31))))*(MAX($D$16,(D92)-(K31))),0.000001))^2)/(2*$I$5))-(((ABS(F92)/MAX(((F31)+(H31)*(MAX($D$16,(K92)-(J31))))*(MAX($D$16,(K92)-(J31))),0.000001))^2)/(2*$I$5))),$D$8*((((ABS(F92)/MAX(((F31)+(H31)*(MAX($D$16,(K92)-(J31))))*(MAX($D$16,(K92)-(J31))),0.000001))^2)/(2*$I$5))-(((ABS(F92)/MAX(((G31)+(I31)*(MAX($D$16,(D92)-(K31))))*(MAX($D$16,(D92)-(K31))),0.000001))^2)/(2*$I$5)))))+($D$10*(ABS((X31)-(W31))/90)*MAX(((ABS(F92)/MAX(((F31)+(H31)*(MAX($D$16,(K92)-(J31))))*(MAX($D$16,(K92)-(J31))),0.000001))^2)/(2*$I$5),((ABS(F92)/MAX(((G31)+(I31)*(MAX($D$16,(D92)-(K31))))*(MAX($D$16,(D92)-(K31))),0.000001))^2)/(2*$I$5)))+(0)-((ABS(F92)/MAX(((G31)+(I31)*(MAX($D$16,(D92)-(K31))))*(MAX($D$16,(D92)-(K31))),0.000001))^2)/(2*$I$5)</f>
        <v>637.65825101089831</v>
      </c>
      <c r="P92">
        <f>E92+((ABS(G92)/MAX(((G32)+(I32)*(MAX($D$16,(E92)-(K32))))*(MAX($D$16,(E92)-(K32))),0.000001))^2)/(2*$I$5)+((E32)*((((ABS(G92)*$D$6)/(MAX(((F32)+(H32)*(MAX($D$16,(D92)-(J32))))*(MAX($D$16,(D92)-(J32))),0.000001)*MAX(((((F32)+(H32)*(MAX($D$16,(D92)-(J32))))*(MAX($D$16,(D92)-(J32))))/MAX((F32)+2*(MAX($D$16,(D92)-(J32)))*SQRT(1+(H32)^2),0.000001))^(2/3),0.000001)))^2)+(((ABS(G92)*$D$6)/(MAX(((G32)+(I32)*(MAX($D$16,(E92)-(K32))))*(MAX($D$16,(E92)-(K32))),0.000001)*MAX(((((G32)+(I32)*(MAX($D$16,(E92)-(K32))))*(MAX($D$16,(E92)-(K32))))/MAX((G32)+2*(MAX($D$16,(E92)-(K32)))*SQRT(1+(I32)^2),0.000001))^(2/3),0.000001)))^2))/2)+(IF((ABS(G92)/MAX(((G32)+(I32)*(MAX($D$16,(E92)-(K32))))*(MAX($D$16,(E92)-(K32))),0.000001))&gt;(ABS(G92)/MAX(((F32)+(H32)*(MAX($D$16,(D92)-(J32))))*(MAX($D$16,(D92)-(J32))),0.000001)),$D$9*((((ABS(G92)/MAX(((G32)+(I32)*(MAX($D$16,(E92)-(K32))))*(MAX($D$16,(E92)-(K32))),0.000001))^2)/(2*$I$5))-(((ABS(G92)/MAX(((F32)+(H32)*(MAX($D$16,(D92)-(J32))))*(MAX($D$16,(D92)-(J32))),0.000001))^2)/(2*$I$5))),$D$8*((((ABS(G92)/MAX(((F32)+(H32)*(MAX($D$16,(D92)-(J32))))*(MAX($D$16,(D92)-(J32))),0.000001))^2)/(2*$I$5))-(((ABS(G92)/MAX(((G32)+(I32)*(MAX($D$16,(E92)-(K32))))*(MAX($D$16,(E92)-(K32))),0.000001))^2)/(2*$I$5)))))+($D$10*(ABS((X32)-(W32))/90)*MAX(((ABS(G92)/MAX(((F32)+(H32)*(MAX($D$16,(D92)-(J32))))*(MAX($D$16,(D92)-(J32))),0.000001))^2)/(2*$I$5),((ABS(G92)/MAX(((G32)+(I32)*(MAX($D$16,(E92)-(K32))))*(MAX($D$16,(E92)-(K32))),0.000001))^2)/(2*$I$5)))+(($D$11*0.13607488*(ABS(H92)/MAX(ABS(F92),0.000001))^2*MAX(((ABS(G92)/MAX(((F32)+(H32)*(MAX($D$16,(D92)-(J32))))*(MAX($D$16,(D92)-(J32))),0.000001))^2)/(2*$I$5),((ABS(G92)/MAX(((G32)+(I32)*(MAX($D$16,(E92)-(K32))))*(MAX($D$16,(E92)-(K32))),0.000001))^2)/(2*$I$5))))-((ABS(G92)/MAX(((F32)+(H32)*(MAX($D$16,(D92)-(J32))))*(MAX($D$16,(D92)-(J32))),0.000001))^2)/(2*$I$5)</f>
        <v>52432.141837660354</v>
      </c>
      <c r="Q92">
        <f>L92+((ABS(H92)/MAX(((G33)+(I33)*(MAX($D$16,(L92)-(K33))))*(MAX($D$16,(L92)-(K33))),0.000001))^2)/(2*$I$5)+((E33)*((((ABS(H92)*$D$6)/(MAX(((F33)+(H33)*(MAX($D$16,(D92)-(J33))))*(MAX($D$16,(D92)-(J33))),0.000001)*MAX(((((F33)+(H33)*(MAX($D$16,(D92)-(J33))))*(MAX($D$16,(D92)-(J33))))/MAX((F33)+2*(MAX($D$16,(D92)-(J33)))*SQRT(1+(H33)^2),0.000001))^(2/3),0.000001)))^2)+(((ABS(H92)*$D$6)/(MAX(((G33)+(I33)*(MAX($D$16,(L92)-(K33))))*(MAX($D$16,(L92)-(K33))),0.000001)*MAX(((((G33)+(I33)*(MAX($D$16,(L92)-(K33))))*(MAX($D$16,(L92)-(K33))))/MAX((G33)+2*(MAX($D$16,(L92)-(K33)))*SQRT(1+(I33)^2),0.000001))^(2/3),0.000001)))^2))/2)+(IF((ABS(H92)/MAX(((G33)+(I33)*(MAX($D$16,(L92)-(K33))))*(MAX($D$16,(L92)-(K33))),0.000001))&gt;(ABS(H92)/MAX(((F33)+(H33)*(MAX($D$16,(D92)-(J33))))*(MAX($D$16,(D92)-(J33))),0.000001)),$D$9*((((ABS(H92)/MAX(((G33)+(I33)*(MAX($D$16,(L92)-(K33))))*(MAX($D$16,(L92)-(K33))),0.000001))^2)/(2*$I$5))-(((ABS(H92)/MAX(((F33)+(H33)*(MAX($D$16,(D92)-(J33))))*(MAX($D$16,(D92)-(J33))),0.000001))^2)/(2*$I$5))),$D$8*((((ABS(H92)/MAX(((F33)+(H33)*(MAX($D$16,(D92)-(J33))))*(MAX($D$16,(D92)-(J33))),0.000001))^2)/(2*$I$5))-(((ABS(H92)/MAX(((G33)+(I33)*(MAX($D$16,(L92)-(K33))))*(MAX($D$16,(L92)-(K33))),0.000001))^2)/(2*$I$5)))))+($D$10*(ABS((X33)-(W33))/90)*MAX(((ABS(H92)/MAX(((F33)+(H33)*(MAX($D$16,(D92)-(J33))))*(MAX($D$16,(D92)-(J33))),0.000001))^2)/(2*$I$5),((ABS(H92)/MAX(((G33)+(I33)*(MAX($D$16,(L92)-(K33))))*(MAX($D$16,(L92)-(K33))),0.000001))^2)/(2*$I$5)))+(($D$11*0.00000015*(ABS(G92)/MAX(ABS(F92),0.000001))^2*MAX(((ABS(H92)/MAX(((F33)+(H33)*(MAX($D$16,(D92)-(J33))))*(MAX($D$16,(D92)-(J33))),0.000001))^2)/(2*$I$5),((ABS(H92)/MAX(((G33)+(I33)*(MAX($D$16,(L92)-(K33))))*(MAX($D$16,(L92)-(K33))),0.000001))^2)/(2*$I$5))))-((ABS(H92)/MAX(((F33)+(H33)*(MAX($D$16,(D92)-(J33))))*(MAX($D$16,(D92)-(J33))),0.000001))^2)/(2*$I$5)</f>
        <v>634.3119999999999</v>
      </c>
      <c r="R92">
        <f>D92+((ABS(G92)/MAX(((F32)+(H32)*(MAX($D$16,(D92)-(J32))))*(MAX($D$16,(D92)-(J32))),0.000001))^2)/(2*$I$5)-((E32)*((((ABS(G92)*$D$6)/(MAX(((F32)+(H32)*(MAX($D$16,(D92)-(J32))))*(MAX($D$16,(D92)-(J32))),0.000001)*MAX(((((F32)+(H32)*(MAX($D$16,(D92)-(J32))))*(MAX($D$16,(D92)-(J32))))/MAX((F32)+2*(MAX($D$16,(D92)-(J32)))*SQRT(1+(H32)^2),0.000001))^(2/3),0.000001)))^2)+(((ABS(G92)*$D$6)/(MAX(((G32)+(I32)*(MAX($D$16,(E92)-(K32))))*(MAX($D$16,(E92)-(K32))),0.000001)*MAX(((((G32)+(I32)*(MAX($D$16,(E92)-(K32))))*(MAX($D$16,(E92)-(K32))))/MAX((G32)+2*(MAX($D$16,(E92)-(K32)))*SQRT(1+(I32)^2),0.000001))^(2/3),0.000001)))^2))/2)+(IF((ABS(G92)/MAX(((G32)+(I32)*(MAX($D$16,(E92)-(K32))))*(MAX($D$16,(E92)-(K32))),0.000001))&gt;(ABS(G92)/MAX(((F32)+(H32)*(MAX($D$16,(D92)-(J32))))*(MAX($D$16,(D92)-(J32))),0.000001)),$D$9*((((ABS(G92)/MAX(((G32)+(I32)*(MAX($D$16,(E92)-(K32))))*(MAX($D$16,(E92)-(K32))),0.000001))^2)/(2*$I$5))-(((ABS(G92)/MAX(((F32)+(H32)*(MAX($D$16,(D92)-(J32))))*(MAX($D$16,(D92)-(J32))),0.000001))^2)/(2*$I$5))),$D$8*((((ABS(G92)/MAX(((F32)+(H32)*(MAX($D$16,(D92)-(J32))))*(MAX($D$16,(D92)-(J32))),0.000001))^2)/(2*$I$5))-(((ABS(G92)/MAX(((G32)+(I32)*(MAX($D$16,(E92)-(K32))))*(MAX($D$16,(E92)-(K32))),0.000001))^2)/(2*$I$5)))))+($D$10*(ABS((X32)-(W32))/90)*MAX(((ABS(G92)/MAX(((F32)+(H32)*(MAX($D$16,(D92)-(J32))))*(MAX($D$16,(D92)-(J32))),0.000001))^2)/(2*$I$5),((ABS(G92)/MAX(((G32)+(I32)*(MAX($D$16,(E92)-(K32))))*(MAX($D$16,(E92)-(K32))),0.000001))^2)/(2*$I$5)))+(($D$11*0.13607488*(ABS(H92)/MAX(ABS(F92),0.000001))^2*MAX(((ABS(G92)/MAX(((F32)+(H32)*(MAX($D$16,(D92)-(J32))))*(MAX($D$16,(D92)-(J32))),0.000001))^2)/(2*$I$5),((ABS(G92)/MAX(((G32)+(I32)*(MAX($D$16,(E92)-(K32))))*(MAX($D$16,(E92)-(K32))),0.000001))^2)/(2*$I$5))))-((ABS(G92)/MAX(((G32)+(I32)*(MAX($D$16,(E92)-(K32))))*(MAX($D$16,(E92)-(K32))),0.000001))^2)/(2*$I$5)</f>
        <v>52432.141837660143</v>
      </c>
      <c r="S92">
        <f>M92+((ABS(I92)/MAX(((G34)+(I34)*(MAX($D$16,(M92)-(K34))))*(MAX($D$16,(M92)-(K34))),0.000001))^2)/(2*$I$5)+((E34)*((((ABS(I92)*$D$6)/(MAX(((F34)+(H34)*(MAX($D$16,(E92)-(J34))))*(MAX($D$16,(E92)-(J34))),0.000001)*MAX(((((F34)+(H34)*(MAX($D$16,(E92)-(J34))))*(MAX($D$16,(E92)-(J34))))/MAX((F34)+2*(MAX($D$16,(E92)-(J34)))*SQRT(1+(H34)^2),0.000001))^(2/3),0.000001)))^2)+(((ABS(I92)*$D$6)/(MAX(((G34)+(I34)*(MAX($D$16,(M92)-(K34))))*(MAX($D$16,(M92)-(K34))),0.000001)*MAX(((((G34)+(I34)*(MAX($D$16,(M92)-(K34))))*(MAX($D$16,(M92)-(K34))))/MAX((G34)+2*(MAX($D$16,(M92)-(K34)))*SQRT(1+(I34)^2),0.000001))^(2/3),0.000001)))^2))/2)+(IF((ABS(I92)/MAX(((G34)+(I34)*(MAX($D$16,(M92)-(K34))))*(MAX($D$16,(M92)-(K34))),0.000001))&gt;(ABS(I92)/MAX(((F34)+(H34)*(MAX($D$16,(E92)-(J34))))*(MAX($D$16,(E92)-(J34))),0.000001)),$D$9*((((ABS(I92)/MAX(((G34)+(I34)*(MAX($D$16,(M92)-(K34))))*(MAX($D$16,(M92)-(K34))),0.000001))^2)/(2*$I$5))-(((ABS(I92)/MAX(((F34)+(H34)*(MAX($D$16,(E92)-(J34))))*(MAX($D$16,(E92)-(J34))),0.000001))^2)/(2*$I$5))),$D$8*((((ABS(I92)/MAX(((F34)+(H34)*(MAX($D$16,(E92)-(J34))))*(MAX($D$16,(E92)-(J34))),0.000001))^2)/(2*$I$5))-(((ABS(I92)/MAX(((G34)+(I34)*(MAX($D$16,(M92)-(K34))))*(MAX($D$16,(M92)-(K34))),0.000001))^2)/(2*$I$5)))))+($D$10*(ABS((X34)-(W34))/90)*MAX(((ABS(I92)/MAX(((F34)+(H34)*(MAX($D$16,(E92)-(J34))))*(MAX($D$16,(E92)-(J34))),0.000001))^2)/(2*$I$5),((ABS(I92)/MAX(((G34)+(I34)*(MAX($D$16,(M92)-(K34))))*(MAX($D$16,(M92)-(K34))),0.000001))^2)/(2*$I$5)))+(0)-((ABS(I92)/MAX(((F34)+(H34)*(MAX($D$16,(E92)-(J34))))*(MAX($D$16,(E92)-(J34))),0.000001))^2)/(2*$I$5)</f>
        <v>635.5</v>
      </c>
      <c r="T92">
        <f>N92+((ABS(J92)/MAX(((G35)+(I35)*(MAX($D$16,(N92)-(K35))))*(MAX($D$16,(N92)-(K35))),0.000001))^2)/(2*$I$5)+((E35)*((((ABS(J92)*$D$6)/(MAX(((F35)+(H35)*(MAX($D$16,(E92)-(J35))))*(MAX($D$16,(E92)-(J35))),0.000001)*MAX(((((F35)+(H35)*(MAX($D$16,(E92)-(J35))))*(MAX($D$16,(E92)-(J35))))/MAX((F35)+2*(MAX($D$16,(E92)-(J35)))*SQRT(1+(H35)^2),0.000001))^(2/3),0.000001)))^2)+(((ABS(J92)*$D$6)/(MAX(((G35)+(I35)*(MAX($D$16,(N92)-(K35))))*(MAX($D$16,(N92)-(K35))),0.000001)*MAX(((((G35)+(I35)*(MAX($D$16,(N92)-(K35))))*(MAX($D$16,(N92)-(K35))))/MAX((G35)+2*(MAX($D$16,(N92)-(K35)))*SQRT(1+(I35)^2),0.000001))^(2/3),0.000001)))^2))/2)+(IF((ABS(J92)/MAX(((G35)+(I35)*(MAX($D$16,(N92)-(K35))))*(MAX($D$16,(N92)-(K35))),0.000001))&gt;(ABS(J92)/MAX(((F35)+(H35)*(MAX($D$16,(E92)-(J35))))*(MAX($D$16,(E92)-(J35))),0.000001)),$D$9*((((ABS(J92)/MAX(((G35)+(I35)*(MAX($D$16,(N92)-(K35))))*(MAX($D$16,(N92)-(K35))),0.000001))^2)/(2*$I$5))-(((ABS(J92)/MAX(((F35)+(H35)*(MAX($D$16,(E92)-(J35))))*(MAX($D$16,(E92)-(J35))),0.000001))^2)/(2*$I$5))),$D$8*((((ABS(J92)/MAX(((F35)+(H35)*(MAX($D$16,(E92)-(J35))))*(MAX($D$16,(E92)-(J35))),0.000001))^2)/(2*$I$5))-(((ABS(J92)/MAX(((G35)+(I35)*(MAX($D$16,(N92)-(K35))))*(MAX($D$16,(N92)-(K35))),0.000001))^2)/(2*$I$5)))))+($D$10*(ABS((X35)-(W35))/90)*MAX(((ABS(J92)/MAX(((F35)+(H35)*(MAX($D$16,(E92)-(J35))))*(MAX($D$16,(E92)-(J35))),0.000001))^2)/(2*$I$5),((ABS(J92)/MAX(((G35)+(I35)*(MAX($D$16,(N92)-(K35))))*(MAX($D$16,(N92)-(K35))),0.000001))^2)/(2*$I$5)))+(($D$11*0.34699541*(ABS(I92)/MAX(ABS(G92),0.000001))^2*MAX(((ABS(J92)/MAX(((F35)+(H35)*(MAX($D$16,(E92)-(J35))))*(MAX($D$16,(E92)-(J35))),0.000001))^2)/(2*$I$5),((ABS(J92)/MAX(((G35)+(I35)*(MAX($D$16,(N92)-(K35))))*(MAX($D$16,(N92)-(K35))),0.000001))^2)/(2*$I$5))))-((ABS(J92)/MAX(((F35)+(H35)*(MAX($D$16,(E92)-(J35))))*(MAX($D$16,(E92)-(J35))),0.000001))^2)/(2*$I$5)</f>
        <v>20784.033523923383</v>
      </c>
      <c r="U92">
        <f>(((((F32)*(MAX($D$16,(D92)-(J32)))^2)/2+(H32)*(MAX($D$16,(D92)-(J32)))^3/3+(ABS(G92)^2)/($I$5*MAX(((F32)+(H32)*(MAX($D$16,(D92)-(J32))))*(MAX($D$16,(D92)-(J32))),0.000001)))*0.72785025)-((((F33)*(MAX($D$16,(D92)-(J33)))^2)/2+(H33)*(MAX($D$16,(D92)-(J33)))^3/3+(ABS(H92)^2)/($I$5*MAX(((F33)+(H33)*(MAX($D$16,(D92)-(J33))))*(MAX($D$16,(D92)-(J33))),0.000001)))*0.99999971))/MAX(((G31)*(MAX($D$16,(D92)-(K31)))^2)/2+(I31)*(MAX($D$16,(D92)-(K31)))^3/3+(ABS(F92)^2)/($I$5*MAX(((G31)+(I31)*(MAX($D$16,(D92)-(K31))))*(MAX($D$16,(D92)-(K31))),0.000001)),0.000001)</f>
        <v>-0.27214945999991125</v>
      </c>
      <c r="V92">
        <f>(((((F34)*(MAX($D$16,(E92)-(J34)))^2)/2+(H34)*(MAX($D$16,(E92)-(J34)))^3/3+(ABS(I92)^2)/($I$5*MAX(((F34)+(H34)*(MAX($D$16,(E92)-(J34))))*(MAX($D$16,(E92)-(J34))),0.000001)))*1)-((((F35)*(MAX($D$16,(E92)-(J35)))^2)/2+(H35)*(MAX($D$16,(E92)-(J35)))^3/3+(ABS(J92)^2)/($I$5*MAX(((F35)+(H35)*(MAX($D$16,(E92)-(J35))))*(MAX($D$16,(E92)-(J35))),0.000001)))*0.30600918))/MAX(((G32)*(MAX($D$16,(E92)-(K32)))^2)/2+(I32)*(MAX($D$16,(E92)-(K32)))^3/3+(ABS(G92)^2)/($I$5*MAX(((G32)+(I32)*(MAX($D$16,(E92)-(K32))))*(MAX($D$16,(E92)-(K32))),0.000001)),0.000001)</f>
        <v>0.69398638937190382</v>
      </c>
      <c r="W92">
        <f>IF(N6="None",ABS(P92-D92),MAX(ABS(P92-D92),ABS(Q92-D92)))</f>
        <v>3.4197000786662102E-10</v>
      </c>
      <c r="X92">
        <f>IF(AND(N7="None",N8="None"),0,IF(N8="None",ABS(S92-E92),IF(N7="None",ABS(T92-E92),MAX(ABS(S92-E92),ABS(T92-E92)))))</f>
        <v>51796.641837659801</v>
      </c>
      <c r="AA92">
        <f t="shared" si="18"/>
        <v>52432.141837660129</v>
      </c>
      <c r="AB92">
        <f t="shared" si="19"/>
        <v>41355.303927852059</v>
      </c>
      <c r="AC92">
        <f>IF(N6="None",P92,MAX(P92,Q92))</f>
        <v>52432.141837660354</v>
      </c>
      <c r="AD92">
        <f>IF(AND(N7="None",N8="None"),E92,IF(N8="None",S92,IF(N7="None",T92,MAX(S92,T92))))</f>
        <v>20784.033523923383</v>
      </c>
      <c r="AE92">
        <f t="shared" si="20"/>
        <v>637.65825101089831</v>
      </c>
      <c r="AF92">
        <f t="shared" si="21"/>
        <v>52432.141837660143</v>
      </c>
      <c r="AG92">
        <f>((G31)*(MAX($D$16,(AC92)-(K31)))^2)/2+(I31)*(MAX($D$16,(AC92)-(K31)))^3/3+(ABS(F92)^2)/($I$5*MAX(((G31)+(I31)*(MAX($D$16,(AC92)-(K31))))*(MAX($D$16,(AC92)-(K31))),0.000001))</f>
        <v>8797611517.4110756</v>
      </c>
      <c r="AH92">
        <f>((G31)*(MAX($D$16,(AE92)-(K31)))^2)/2+(I31)*(MAX($D$16,(AE92)-(K31)))^3/3+(ABS(F92)^2)/($I$5*MAX(((G31)+(I31)*(MAX($D$16,(AE92)-(K31))))*(MAX($D$16,(AE92)-(K31))),0.000001))</f>
        <v>49.055863329575246</v>
      </c>
      <c r="AI92">
        <f>((G32)*(MAX($D$16,(AD92)-(K32)))^2)/2+(I32)*(MAX($D$16,(AD92)-(K32)))^3/3+(ABS(G92)^2)/($I$5*MAX(((G32)+(I32)*(MAX($D$16,(AD92)-(K32))))*(MAX($D$16,(AD92)-(K32))),0.000001))</f>
        <v>2072376743.6648321</v>
      </c>
      <c r="AJ92">
        <f>((G32)*(MAX($D$16,(AF92)-(K32)))^2)/2+(I32)*(MAX($D$16,(AF92)-(K32)))^3/3+(ABS(G92)^2)/($I$5*MAX(((G32)+(I32)*(MAX($D$16,(AF92)-(K32))))*(MAX($D$16,(AF92)-(K32))),0.000001))</f>
        <v>13692714789.643105</v>
      </c>
      <c r="AK92" t="str">
        <f t="shared" si="22"/>
        <v>Subcritical</v>
      </c>
      <c r="AL92" t="str">
        <f t="shared" si="23"/>
        <v>Supercritical</v>
      </c>
      <c r="AM92">
        <f t="shared" si="24"/>
        <v>52432.141837660129</v>
      </c>
      <c r="AN92">
        <f t="shared" si="25"/>
        <v>52432.141837659918</v>
      </c>
      <c r="AO92">
        <f t="shared" si="26"/>
        <v>3.4197000786662102E-10</v>
      </c>
      <c r="AP92">
        <f t="shared" si="27"/>
        <v>3.4197000786662102E-10</v>
      </c>
    </row>
    <row r="93" spans="1:42" x14ac:dyDescent="0.35">
      <c r="A93">
        <v>50</v>
      </c>
      <c r="B93">
        <f t="shared" si="28"/>
        <v>0</v>
      </c>
      <c r="C93">
        <f t="shared" si="29"/>
        <v>0</v>
      </c>
      <c r="D93">
        <f t="shared" si="30"/>
        <v>52432.141837660129</v>
      </c>
      <c r="E93">
        <f t="shared" si="31"/>
        <v>52432.141837659918</v>
      </c>
      <c r="F93">
        <f t="shared" si="17"/>
        <v>51</v>
      </c>
      <c r="G93">
        <f>IF(N6="None",F93,MAX(0,F93*B93))</f>
        <v>51</v>
      </c>
      <c r="H93">
        <f>IF(N6="None",0,MAX(0,F93-G93))</f>
        <v>0</v>
      </c>
      <c r="I93">
        <f>IF(AND(N7="None",N8="None"),0,IF(N8="None",G93,IF(N7="None",0,MAX(0,G93*C93))))</f>
        <v>0</v>
      </c>
      <c r="J93">
        <f>IF(AND(N7="None",N8="None"),0,IF(N8="None",0,IF(N7="None",G93,MAX(0,G93-I93))))</f>
        <v>51</v>
      </c>
      <c r="K93">
        <f>P5</f>
        <v>637</v>
      </c>
      <c r="L93">
        <f>P6</f>
        <v>634.3119999999999</v>
      </c>
      <c r="M93">
        <f>P7</f>
        <v>635.5</v>
      </c>
      <c r="N93">
        <f>P8</f>
        <v>631.54999999999995</v>
      </c>
      <c r="O93">
        <f>K93+((ABS(F93)/MAX(((F31)+(H31)*(MAX($D$16,(K93)-(J31))))*(MAX($D$16,(K93)-(J31))),0.000001))^2)/(2*$I$5)-((E31)*((((ABS(F93)*$D$6)/(MAX(((F31)+(H31)*(MAX($D$16,(K93)-(J31))))*(MAX($D$16,(K93)-(J31))),0.000001)*MAX(((((F31)+(H31)*(MAX($D$16,(K93)-(J31))))*(MAX($D$16,(K93)-(J31))))/MAX((F31)+2*(MAX($D$16,(K93)-(J31)))*SQRT(1+(H31)^2),0.000001))^(2/3),0.000001)))^2)+(((ABS(F93)*$D$6)/(MAX(((G31)+(I31)*(MAX($D$16,(D93)-(K31))))*(MAX($D$16,(D93)-(K31))),0.000001)*MAX(((((G31)+(I31)*(MAX($D$16,(D93)-(K31))))*(MAX($D$16,(D93)-(K31))))/MAX((G31)+2*(MAX($D$16,(D93)-(K31)))*SQRT(1+(I31)^2),0.000001))^(2/3),0.000001)))^2))/2)+(IF((ABS(F93)/MAX(((G31)+(I31)*(MAX($D$16,(D93)-(K31))))*(MAX($D$16,(D93)-(K31))),0.000001))&gt;(ABS(F93)/MAX(((F31)+(H31)*(MAX($D$16,(K93)-(J31))))*(MAX($D$16,(K93)-(J31))),0.000001)),$D$9*((((ABS(F93)/MAX(((G31)+(I31)*(MAX($D$16,(D93)-(K31))))*(MAX($D$16,(D93)-(K31))),0.000001))^2)/(2*$I$5))-(((ABS(F93)/MAX(((F31)+(H31)*(MAX($D$16,(K93)-(J31))))*(MAX($D$16,(K93)-(J31))),0.000001))^2)/(2*$I$5))),$D$8*((((ABS(F93)/MAX(((F31)+(H31)*(MAX($D$16,(K93)-(J31))))*(MAX($D$16,(K93)-(J31))),0.000001))^2)/(2*$I$5))-(((ABS(F93)/MAX(((G31)+(I31)*(MAX($D$16,(D93)-(K31))))*(MAX($D$16,(D93)-(K31))),0.000001))^2)/(2*$I$5)))))+($D$10*(ABS((X31)-(W31))/90)*MAX(((ABS(F93)/MAX(((F31)+(H31)*(MAX($D$16,(K93)-(J31))))*(MAX($D$16,(K93)-(J31))),0.000001))^2)/(2*$I$5),((ABS(F93)/MAX(((G31)+(I31)*(MAX($D$16,(D93)-(K31))))*(MAX($D$16,(D93)-(K31))),0.000001))^2)/(2*$I$5)))+(0)-((ABS(F93)/MAX(((G31)+(I31)*(MAX($D$16,(D93)-(K31))))*(MAX($D$16,(D93)-(K31))),0.000001))^2)/(2*$I$5)</f>
        <v>637.65825101089831</v>
      </c>
      <c r="P93">
        <f>E93+((ABS(G93)/MAX(((G32)+(I32)*(MAX($D$16,(E93)-(K32))))*(MAX($D$16,(E93)-(K32))),0.000001))^2)/(2*$I$5)+((E32)*((((ABS(G93)*$D$6)/(MAX(((F32)+(H32)*(MAX($D$16,(D93)-(J32))))*(MAX($D$16,(D93)-(J32))),0.000001)*MAX(((((F32)+(H32)*(MAX($D$16,(D93)-(J32))))*(MAX($D$16,(D93)-(J32))))/MAX((F32)+2*(MAX($D$16,(D93)-(J32)))*SQRT(1+(H32)^2),0.000001))^(2/3),0.000001)))^2)+(((ABS(G93)*$D$6)/(MAX(((G32)+(I32)*(MAX($D$16,(E93)-(K32))))*(MAX($D$16,(E93)-(K32))),0.000001)*MAX(((((G32)+(I32)*(MAX($D$16,(E93)-(K32))))*(MAX($D$16,(E93)-(K32))))/MAX((G32)+2*(MAX($D$16,(E93)-(K32)))*SQRT(1+(I32)^2),0.000001))^(2/3),0.000001)))^2))/2)+(IF((ABS(G93)/MAX(((G32)+(I32)*(MAX($D$16,(E93)-(K32))))*(MAX($D$16,(E93)-(K32))),0.000001))&gt;(ABS(G93)/MAX(((F32)+(H32)*(MAX($D$16,(D93)-(J32))))*(MAX($D$16,(D93)-(J32))),0.000001)),$D$9*((((ABS(G93)/MAX(((G32)+(I32)*(MAX($D$16,(E93)-(K32))))*(MAX($D$16,(E93)-(K32))),0.000001))^2)/(2*$I$5))-(((ABS(G93)/MAX(((F32)+(H32)*(MAX($D$16,(D93)-(J32))))*(MAX($D$16,(D93)-(J32))),0.000001))^2)/(2*$I$5))),$D$8*((((ABS(G93)/MAX(((F32)+(H32)*(MAX($D$16,(D93)-(J32))))*(MAX($D$16,(D93)-(J32))),0.000001))^2)/(2*$I$5))-(((ABS(G93)/MAX(((G32)+(I32)*(MAX($D$16,(E93)-(K32))))*(MAX($D$16,(E93)-(K32))),0.000001))^2)/(2*$I$5)))))+($D$10*(ABS((X32)-(W32))/90)*MAX(((ABS(G93)/MAX(((F32)+(H32)*(MAX($D$16,(D93)-(J32))))*(MAX($D$16,(D93)-(J32))),0.000001))^2)/(2*$I$5),((ABS(G93)/MAX(((G32)+(I32)*(MAX($D$16,(E93)-(K32))))*(MAX($D$16,(E93)-(K32))),0.000001))^2)/(2*$I$5)))+(($D$11*0.13607488*(ABS(H93)/MAX(ABS(F93),0.000001))^2*MAX(((ABS(G93)/MAX(((F32)+(H32)*(MAX($D$16,(D93)-(J32))))*(MAX($D$16,(D93)-(J32))),0.000001))^2)/(2*$I$5),((ABS(G93)/MAX(((G32)+(I32)*(MAX($D$16,(E93)-(K32))))*(MAX($D$16,(E93)-(K32))),0.000001))^2)/(2*$I$5))))-((ABS(G93)/MAX(((F32)+(H32)*(MAX($D$16,(D93)-(J32))))*(MAX($D$16,(D93)-(J32))),0.000001))^2)/(2*$I$5)</f>
        <v>52432.141837660471</v>
      </c>
      <c r="Q93">
        <f>L93+((ABS(H93)/MAX(((G33)+(I33)*(MAX($D$16,(L93)-(K33))))*(MAX($D$16,(L93)-(K33))),0.000001))^2)/(2*$I$5)+((E33)*((((ABS(H93)*$D$6)/(MAX(((F33)+(H33)*(MAX($D$16,(D93)-(J33))))*(MAX($D$16,(D93)-(J33))),0.000001)*MAX(((((F33)+(H33)*(MAX($D$16,(D93)-(J33))))*(MAX($D$16,(D93)-(J33))))/MAX((F33)+2*(MAX($D$16,(D93)-(J33)))*SQRT(1+(H33)^2),0.000001))^(2/3),0.000001)))^2)+(((ABS(H93)*$D$6)/(MAX(((G33)+(I33)*(MAX($D$16,(L93)-(K33))))*(MAX($D$16,(L93)-(K33))),0.000001)*MAX(((((G33)+(I33)*(MAX($D$16,(L93)-(K33))))*(MAX($D$16,(L93)-(K33))))/MAX((G33)+2*(MAX($D$16,(L93)-(K33)))*SQRT(1+(I33)^2),0.000001))^(2/3),0.000001)))^2))/2)+(IF((ABS(H93)/MAX(((G33)+(I33)*(MAX($D$16,(L93)-(K33))))*(MAX($D$16,(L93)-(K33))),0.000001))&gt;(ABS(H93)/MAX(((F33)+(H33)*(MAX($D$16,(D93)-(J33))))*(MAX($D$16,(D93)-(J33))),0.000001)),$D$9*((((ABS(H93)/MAX(((G33)+(I33)*(MAX($D$16,(L93)-(K33))))*(MAX($D$16,(L93)-(K33))),0.000001))^2)/(2*$I$5))-(((ABS(H93)/MAX(((F33)+(H33)*(MAX($D$16,(D93)-(J33))))*(MAX($D$16,(D93)-(J33))),0.000001))^2)/(2*$I$5))),$D$8*((((ABS(H93)/MAX(((F33)+(H33)*(MAX($D$16,(D93)-(J33))))*(MAX($D$16,(D93)-(J33))),0.000001))^2)/(2*$I$5))-(((ABS(H93)/MAX(((G33)+(I33)*(MAX($D$16,(L93)-(K33))))*(MAX($D$16,(L93)-(K33))),0.000001))^2)/(2*$I$5)))))+($D$10*(ABS((X33)-(W33))/90)*MAX(((ABS(H93)/MAX(((F33)+(H33)*(MAX($D$16,(D93)-(J33))))*(MAX($D$16,(D93)-(J33))),0.000001))^2)/(2*$I$5),((ABS(H93)/MAX(((G33)+(I33)*(MAX($D$16,(L93)-(K33))))*(MAX($D$16,(L93)-(K33))),0.000001))^2)/(2*$I$5)))+(($D$11*0.00000015*(ABS(G93)/MAX(ABS(F93),0.000001))^2*MAX(((ABS(H93)/MAX(((F33)+(H33)*(MAX($D$16,(D93)-(J33))))*(MAX($D$16,(D93)-(J33))),0.000001))^2)/(2*$I$5),((ABS(H93)/MAX(((G33)+(I33)*(MAX($D$16,(L93)-(K33))))*(MAX($D$16,(L93)-(K33))),0.000001))^2)/(2*$I$5))))-((ABS(H93)/MAX(((F33)+(H33)*(MAX($D$16,(D93)-(J33))))*(MAX($D$16,(D93)-(J33))),0.000001))^2)/(2*$I$5)</f>
        <v>634.3119999999999</v>
      </c>
      <c r="R93">
        <f>D93+((ABS(G93)/MAX(((F32)+(H32)*(MAX($D$16,(D93)-(J32))))*(MAX($D$16,(D93)-(J32))),0.000001))^2)/(2*$I$5)-((E32)*((((ABS(G93)*$D$6)/(MAX(((F32)+(H32)*(MAX($D$16,(D93)-(J32))))*(MAX($D$16,(D93)-(J32))),0.000001)*MAX(((((F32)+(H32)*(MAX($D$16,(D93)-(J32))))*(MAX($D$16,(D93)-(J32))))/MAX((F32)+2*(MAX($D$16,(D93)-(J32)))*SQRT(1+(H32)^2),0.000001))^(2/3),0.000001)))^2)+(((ABS(G93)*$D$6)/(MAX(((G32)+(I32)*(MAX($D$16,(E93)-(K32))))*(MAX($D$16,(E93)-(K32))),0.000001)*MAX(((((G32)+(I32)*(MAX($D$16,(E93)-(K32))))*(MAX($D$16,(E93)-(K32))))/MAX((G32)+2*(MAX($D$16,(E93)-(K32)))*SQRT(1+(I32)^2),0.000001))^(2/3),0.000001)))^2))/2)+(IF((ABS(G93)/MAX(((G32)+(I32)*(MAX($D$16,(E93)-(K32))))*(MAX($D$16,(E93)-(K32))),0.000001))&gt;(ABS(G93)/MAX(((F32)+(H32)*(MAX($D$16,(D93)-(J32))))*(MAX($D$16,(D93)-(J32))),0.000001)),$D$9*((((ABS(G93)/MAX(((G32)+(I32)*(MAX($D$16,(E93)-(K32))))*(MAX($D$16,(E93)-(K32))),0.000001))^2)/(2*$I$5))-(((ABS(G93)/MAX(((F32)+(H32)*(MAX($D$16,(D93)-(J32))))*(MAX($D$16,(D93)-(J32))),0.000001))^2)/(2*$I$5))),$D$8*((((ABS(G93)/MAX(((F32)+(H32)*(MAX($D$16,(D93)-(J32))))*(MAX($D$16,(D93)-(J32))),0.000001))^2)/(2*$I$5))-(((ABS(G93)/MAX(((G32)+(I32)*(MAX($D$16,(E93)-(K32))))*(MAX($D$16,(E93)-(K32))),0.000001))^2)/(2*$I$5)))))+($D$10*(ABS((X32)-(W32))/90)*MAX(((ABS(G93)/MAX(((F32)+(H32)*(MAX($D$16,(D93)-(J32))))*(MAX($D$16,(D93)-(J32))),0.000001))^2)/(2*$I$5),((ABS(G93)/MAX(((G32)+(I32)*(MAX($D$16,(E93)-(K32))))*(MAX($D$16,(E93)-(K32))),0.000001))^2)/(2*$I$5)))+(($D$11*0.13607488*(ABS(H93)/MAX(ABS(F93),0.000001))^2*MAX(((ABS(G93)/MAX(((F32)+(H32)*(MAX($D$16,(D93)-(J32))))*(MAX($D$16,(D93)-(J32))),0.000001))^2)/(2*$I$5),((ABS(G93)/MAX(((G32)+(I32)*(MAX($D$16,(E93)-(K32))))*(MAX($D$16,(E93)-(K32))),0.000001))^2)/(2*$I$5))))-((ABS(G93)/MAX(((G32)+(I32)*(MAX($D$16,(E93)-(K32))))*(MAX($D$16,(E93)-(K32))),0.000001))^2)/(2*$I$5)</f>
        <v>52432.14183766026</v>
      </c>
      <c r="S93">
        <f>M93+((ABS(I93)/MAX(((G34)+(I34)*(MAX($D$16,(M93)-(K34))))*(MAX($D$16,(M93)-(K34))),0.000001))^2)/(2*$I$5)+((E34)*((((ABS(I93)*$D$6)/(MAX(((F34)+(H34)*(MAX($D$16,(E93)-(J34))))*(MAX($D$16,(E93)-(J34))),0.000001)*MAX(((((F34)+(H34)*(MAX($D$16,(E93)-(J34))))*(MAX($D$16,(E93)-(J34))))/MAX((F34)+2*(MAX($D$16,(E93)-(J34)))*SQRT(1+(H34)^2),0.000001))^(2/3),0.000001)))^2)+(((ABS(I93)*$D$6)/(MAX(((G34)+(I34)*(MAX($D$16,(M93)-(K34))))*(MAX($D$16,(M93)-(K34))),0.000001)*MAX(((((G34)+(I34)*(MAX($D$16,(M93)-(K34))))*(MAX($D$16,(M93)-(K34))))/MAX((G34)+2*(MAX($D$16,(M93)-(K34)))*SQRT(1+(I34)^2),0.000001))^(2/3),0.000001)))^2))/2)+(IF((ABS(I93)/MAX(((G34)+(I34)*(MAX($D$16,(M93)-(K34))))*(MAX($D$16,(M93)-(K34))),0.000001))&gt;(ABS(I93)/MAX(((F34)+(H34)*(MAX($D$16,(E93)-(J34))))*(MAX($D$16,(E93)-(J34))),0.000001)),$D$9*((((ABS(I93)/MAX(((G34)+(I34)*(MAX($D$16,(M93)-(K34))))*(MAX($D$16,(M93)-(K34))),0.000001))^2)/(2*$I$5))-(((ABS(I93)/MAX(((F34)+(H34)*(MAX($D$16,(E93)-(J34))))*(MAX($D$16,(E93)-(J34))),0.000001))^2)/(2*$I$5))),$D$8*((((ABS(I93)/MAX(((F34)+(H34)*(MAX($D$16,(E93)-(J34))))*(MAX($D$16,(E93)-(J34))),0.000001))^2)/(2*$I$5))-(((ABS(I93)/MAX(((G34)+(I34)*(MAX($D$16,(M93)-(K34))))*(MAX($D$16,(M93)-(K34))),0.000001))^2)/(2*$I$5)))))+($D$10*(ABS((X34)-(W34))/90)*MAX(((ABS(I93)/MAX(((F34)+(H34)*(MAX($D$16,(E93)-(J34))))*(MAX($D$16,(E93)-(J34))),0.000001))^2)/(2*$I$5),((ABS(I93)/MAX(((G34)+(I34)*(MAX($D$16,(M93)-(K34))))*(MAX($D$16,(M93)-(K34))),0.000001))^2)/(2*$I$5)))+(0)-((ABS(I93)/MAX(((F34)+(H34)*(MAX($D$16,(E93)-(J34))))*(MAX($D$16,(E93)-(J34))),0.000001))^2)/(2*$I$5)</f>
        <v>635.5</v>
      </c>
      <c r="T93">
        <f>N93+((ABS(J93)/MAX(((G35)+(I35)*(MAX($D$16,(N93)-(K35))))*(MAX($D$16,(N93)-(K35))),0.000001))^2)/(2*$I$5)+((E35)*((((ABS(J93)*$D$6)/(MAX(((F35)+(H35)*(MAX($D$16,(E93)-(J35))))*(MAX($D$16,(E93)-(J35))),0.000001)*MAX(((((F35)+(H35)*(MAX($D$16,(E93)-(J35))))*(MAX($D$16,(E93)-(J35))))/MAX((F35)+2*(MAX($D$16,(E93)-(J35)))*SQRT(1+(H35)^2),0.000001))^(2/3),0.000001)))^2)+(((ABS(J93)*$D$6)/(MAX(((G35)+(I35)*(MAX($D$16,(N93)-(K35))))*(MAX($D$16,(N93)-(K35))),0.000001)*MAX(((((G35)+(I35)*(MAX($D$16,(N93)-(K35))))*(MAX($D$16,(N93)-(K35))))/MAX((G35)+2*(MAX($D$16,(N93)-(K35)))*SQRT(1+(I35)^2),0.000001))^(2/3),0.000001)))^2))/2)+(IF((ABS(J93)/MAX(((G35)+(I35)*(MAX($D$16,(N93)-(K35))))*(MAX($D$16,(N93)-(K35))),0.000001))&gt;(ABS(J93)/MAX(((F35)+(H35)*(MAX($D$16,(E93)-(J35))))*(MAX($D$16,(E93)-(J35))),0.000001)),$D$9*((((ABS(J93)/MAX(((G35)+(I35)*(MAX($D$16,(N93)-(K35))))*(MAX($D$16,(N93)-(K35))),0.000001))^2)/(2*$I$5))-(((ABS(J93)/MAX(((F35)+(H35)*(MAX($D$16,(E93)-(J35))))*(MAX($D$16,(E93)-(J35))),0.000001))^2)/(2*$I$5))),$D$8*((((ABS(J93)/MAX(((F35)+(H35)*(MAX($D$16,(E93)-(J35))))*(MAX($D$16,(E93)-(J35))),0.000001))^2)/(2*$I$5))-(((ABS(J93)/MAX(((G35)+(I35)*(MAX($D$16,(N93)-(K35))))*(MAX($D$16,(N93)-(K35))),0.000001))^2)/(2*$I$5)))))+($D$10*(ABS((X35)-(W35))/90)*MAX(((ABS(J93)/MAX(((F35)+(H35)*(MAX($D$16,(E93)-(J35))))*(MAX($D$16,(E93)-(J35))),0.000001))^2)/(2*$I$5),((ABS(J93)/MAX(((G35)+(I35)*(MAX($D$16,(N93)-(K35))))*(MAX($D$16,(N93)-(K35))),0.000001))^2)/(2*$I$5)))+(($D$11*0.34699541*(ABS(I93)/MAX(ABS(G93),0.000001))^2*MAX(((ABS(J93)/MAX(((F35)+(H35)*(MAX($D$16,(E93)-(J35))))*(MAX($D$16,(E93)-(J35))),0.000001))^2)/(2*$I$5),((ABS(J93)/MAX(((G35)+(I35)*(MAX($D$16,(N93)-(K35))))*(MAX($D$16,(N93)-(K35))),0.000001))^2)/(2*$I$5))))-((ABS(J93)/MAX(((F35)+(H35)*(MAX($D$16,(E93)-(J35))))*(MAX($D$16,(E93)-(J35))),0.000001))^2)/(2*$I$5)</f>
        <v>20784.033523923383</v>
      </c>
      <c r="U93">
        <f>(((((F32)*(MAX($D$16,(D93)-(J32)))^2)/2+(H32)*(MAX($D$16,(D93)-(J32)))^3/3+(ABS(G93)^2)/($I$5*MAX(((F32)+(H32)*(MAX($D$16,(D93)-(J32))))*(MAX($D$16,(D93)-(J32))),0.000001)))*0.72785025)-((((F33)*(MAX($D$16,(D93)-(J33)))^2)/2+(H33)*(MAX($D$16,(D93)-(J33)))^3/3+(ABS(H93)^2)/($I$5*MAX(((F33)+(H33)*(MAX($D$16,(D93)-(J33))))*(MAX($D$16,(D93)-(J33))),0.000001)))*0.99999971))/MAX(((G31)*(MAX($D$16,(D93)-(K31)))^2)/2+(I31)*(MAX($D$16,(D93)-(K31)))^3/3+(ABS(F93)^2)/($I$5*MAX(((G31)+(I31)*(MAX($D$16,(D93)-(K31))))*(MAX($D$16,(D93)-(K31))),0.000001)),0.000001)</f>
        <v>-0.27214945999991125</v>
      </c>
      <c r="V93">
        <f>(((((F34)*(MAX($D$16,(E93)-(J34)))^2)/2+(H34)*(MAX($D$16,(E93)-(J34)))^3/3+(ABS(I93)^2)/($I$5*MAX(((F34)+(H34)*(MAX($D$16,(E93)-(J34))))*(MAX($D$16,(E93)-(J34))),0.000001)))*1)-((((F35)*(MAX($D$16,(E93)-(J35)))^2)/2+(H35)*(MAX($D$16,(E93)-(J35)))^3/3+(ABS(J93)^2)/($I$5*MAX(((F35)+(H35)*(MAX($D$16,(E93)-(J35))))*(MAX($D$16,(E93)-(J35))),0.000001)))*0.30600918))/MAX(((G32)*(MAX($D$16,(E93)-(K32)))^2)/2+(I32)*(MAX($D$16,(E93)-(K32)))^3/3+(ABS(G93)^2)/($I$5*MAX(((G32)+(I32)*(MAX($D$16,(E93)-(K32))))*(MAX($D$16,(E93)-(K32))),0.000001)),0.000001)</f>
        <v>0.69398638937190382</v>
      </c>
      <c r="W93">
        <f>IF(N6="None",ABS(P93-D93),MAX(ABS(P93-D93),ABS(Q93-D93)))</f>
        <v>3.4197000786662102E-10</v>
      </c>
      <c r="X93">
        <f>IF(AND(N7="None",N8="None"),0,IF(N8="None",ABS(S93-E93),IF(N7="None",ABS(T93-E93),MAX(ABS(S93-E93),ABS(T93-E93)))))</f>
        <v>51796.641837659918</v>
      </c>
      <c r="AA93">
        <f t="shared" si="18"/>
        <v>52432.141837660245</v>
      </c>
      <c r="AB93">
        <f t="shared" si="19"/>
        <v>41355.303927852132</v>
      </c>
      <c r="AC93">
        <f>IF(N6="None",P93,MAX(P93,Q93))</f>
        <v>52432.141837660471</v>
      </c>
      <c r="AD93">
        <f>IF(AND(N7="None",N8="None"),E93,IF(N8="None",S93,IF(N7="None",T93,MAX(S93,T93))))</f>
        <v>20784.033523923383</v>
      </c>
      <c r="AE93">
        <f t="shared" si="20"/>
        <v>637.65825101089831</v>
      </c>
      <c r="AF93">
        <f t="shared" si="21"/>
        <v>52432.14183766026</v>
      </c>
      <c r="AG93">
        <f>((G31)*(MAX($D$16,(AC93)-(K31)))^2)/2+(I31)*(MAX($D$16,(AC93)-(K31)))^3/3+(ABS(F93)^2)/($I$5*MAX(((G31)+(I31)*(MAX($D$16,(AC93)-(K31))))*(MAX($D$16,(AC93)-(K31))),0.000001))</f>
        <v>8797611517.4111156</v>
      </c>
      <c r="AH93">
        <f>((G31)*(MAX($D$16,(AE93)-(K31)))^2)/2+(I31)*(MAX($D$16,(AE93)-(K31)))^3/3+(ABS(F93)^2)/($I$5*MAX(((G31)+(I31)*(MAX($D$16,(AE93)-(K31))))*(MAX($D$16,(AE93)-(K31))),0.000001))</f>
        <v>49.055863329575246</v>
      </c>
      <c r="AI93">
        <f>((G32)*(MAX($D$16,(AD93)-(K32)))^2)/2+(I32)*(MAX($D$16,(AD93)-(K32)))^3/3+(ABS(G93)^2)/($I$5*MAX(((G32)+(I32)*(MAX($D$16,(AD93)-(K32))))*(MAX($D$16,(AD93)-(K32))),0.000001))</f>
        <v>2072376743.6648321</v>
      </c>
      <c r="AJ93">
        <f>((G32)*(MAX($D$16,(AF93)-(K32)))^2)/2+(I32)*(MAX($D$16,(AF93)-(K32)))^3/3+(ABS(G93)^2)/($I$5*MAX(((G32)+(I32)*(MAX($D$16,(AF93)-(K32))))*(MAX($D$16,(AF93)-(K32))),0.000001))</f>
        <v>13692714789.643166</v>
      </c>
      <c r="AK93" t="str">
        <f t="shared" si="22"/>
        <v>Subcritical</v>
      </c>
      <c r="AL93" t="str">
        <f t="shared" si="23"/>
        <v>Supercritical</v>
      </c>
      <c r="AM93">
        <f t="shared" si="24"/>
        <v>52432.141837660245</v>
      </c>
      <c r="AN93">
        <f t="shared" si="25"/>
        <v>52432.141837660034</v>
      </c>
      <c r="AO93">
        <f t="shared" si="26"/>
        <v>3.4197000786662102E-10</v>
      </c>
      <c r="AP93">
        <f t="shared" si="27"/>
        <v>3.4197000786662102E-10</v>
      </c>
    </row>
    <row r="94" spans="1:42" x14ac:dyDescent="0.35">
      <c r="A94">
        <v>51</v>
      </c>
      <c r="B94">
        <f t="shared" si="28"/>
        <v>0</v>
      </c>
      <c r="C94">
        <f t="shared" si="29"/>
        <v>0</v>
      </c>
      <c r="D94">
        <f t="shared" si="30"/>
        <v>52432.141837660245</v>
      </c>
      <c r="E94">
        <f t="shared" si="31"/>
        <v>52432.141837660034</v>
      </c>
      <c r="F94">
        <f t="shared" si="17"/>
        <v>51</v>
      </c>
      <c r="G94">
        <f>IF(N6="None",F94,MAX(0,F94*B94))</f>
        <v>51</v>
      </c>
      <c r="H94">
        <f>IF(N6="None",0,MAX(0,F94-G94))</f>
        <v>0</v>
      </c>
      <c r="I94">
        <f>IF(AND(N7="None",N8="None"),0,IF(N8="None",G94,IF(N7="None",0,MAX(0,G94*C94))))</f>
        <v>0</v>
      </c>
      <c r="J94">
        <f>IF(AND(N7="None",N8="None"),0,IF(N8="None",0,IF(N7="None",G94,MAX(0,G94-I94))))</f>
        <v>51</v>
      </c>
      <c r="K94">
        <f>P5</f>
        <v>637</v>
      </c>
      <c r="L94">
        <f>P6</f>
        <v>634.3119999999999</v>
      </c>
      <c r="M94">
        <f>P7</f>
        <v>635.5</v>
      </c>
      <c r="N94">
        <f>P8</f>
        <v>631.54999999999995</v>
      </c>
      <c r="O94">
        <f>K94+((ABS(F94)/MAX(((F31)+(H31)*(MAX($D$16,(K94)-(J31))))*(MAX($D$16,(K94)-(J31))),0.000001))^2)/(2*$I$5)-((E31)*((((ABS(F94)*$D$6)/(MAX(((F31)+(H31)*(MAX($D$16,(K94)-(J31))))*(MAX($D$16,(K94)-(J31))),0.000001)*MAX(((((F31)+(H31)*(MAX($D$16,(K94)-(J31))))*(MAX($D$16,(K94)-(J31))))/MAX((F31)+2*(MAX($D$16,(K94)-(J31)))*SQRT(1+(H31)^2),0.000001))^(2/3),0.000001)))^2)+(((ABS(F94)*$D$6)/(MAX(((G31)+(I31)*(MAX($D$16,(D94)-(K31))))*(MAX($D$16,(D94)-(K31))),0.000001)*MAX(((((G31)+(I31)*(MAX($D$16,(D94)-(K31))))*(MAX($D$16,(D94)-(K31))))/MAX((G31)+2*(MAX($D$16,(D94)-(K31)))*SQRT(1+(I31)^2),0.000001))^(2/3),0.000001)))^2))/2)+(IF((ABS(F94)/MAX(((G31)+(I31)*(MAX($D$16,(D94)-(K31))))*(MAX($D$16,(D94)-(K31))),0.000001))&gt;(ABS(F94)/MAX(((F31)+(H31)*(MAX($D$16,(K94)-(J31))))*(MAX($D$16,(K94)-(J31))),0.000001)),$D$9*((((ABS(F94)/MAX(((G31)+(I31)*(MAX($D$16,(D94)-(K31))))*(MAX($D$16,(D94)-(K31))),0.000001))^2)/(2*$I$5))-(((ABS(F94)/MAX(((F31)+(H31)*(MAX($D$16,(K94)-(J31))))*(MAX($D$16,(K94)-(J31))),0.000001))^2)/(2*$I$5))),$D$8*((((ABS(F94)/MAX(((F31)+(H31)*(MAX($D$16,(K94)-(J31))))*(MAX($D$16,(K94)-(J31))),0.000001))^2)/(2*$I$5))-(((ABS(F94)/MAX(((G31)+(I31)*(MAX($D$16,(D94)-(K31))))*(MAX($D$16,(D94)-(K31))),0.000001))^2)/(2*$I$5)))))+($D$10*(ABS((X31)-(W31))/90)*MAX(((ABS(F94)/MAX(((F31)+(H31)*(MAX($D$16,(K94)-(J31))))*(MAX($D$16,(K94)-(J31))),0.000001))^2)/(2*$I$5),((ABS(F94)/MAX(((G31)+(I31)*(MAX($D$16,(D94)-(K31))))*(MAX($D$16,(D94)-(K31))),0.000001))^2)/(2*$I$5)))+(0)-((ABS(F94)/MAX(((G31)+(I31)*(MAX($D$16,(D94)-(K31))))*(MAX($D$16,(D94)-(K31))),0.000001))^2)/(2*$I$5)</f>
        <v>637.65825101089831</v>
      </c>
      <c r="P94">
        <f>E94+((ABS(G94)/MAX(((G32)+(I32)*(MAX($D$16,(E94)-(K32))))*(MAX($D$16,(E94)-(K32))),0.000001))^2)/(2*$I$5)+((E32)*((((ABS(G94)*$D$6)/(MAX(((F32)+(H32)*(MAX($D$16,(D94)-(J32))))*(MAX($D$16,(D94)-(J32))),0.000001)*MAX(((((F32)+(H32)*(MAX($D$16,(D94)-(J32))))*(MAX($D$16,(D94)-(J32))))/MAX((F32)+2*(MAX($D$16,(D94)-(J32)))*SQRT(1+(H32)^2),0.000001))^(2/3),0.000001)))^2)+(((ABS(G94)*$D$6)/(MAX(((G32)+(I32)*(MAX($D$16,(E94)-(K32))))*(MAX($D$16,(E94)-(K32))),0.000001)*MAX(((((G32)+(I32)*(MAX($D$16,(E94)-(K32))))*(MAX($D$16,(E94)-(K32))))/MAX((G32)+2*(MAX($D$16,(E94)-(K32)))*SQRT(1+(I32)^2),0.000001))^(2/3),0.000001)))^2))/2)+(IF((ABS(G94)/MAX(((G32)+(I32)*(MAX($D$16,(E94)-(K32))))*(MAX($D$16,(E94)-(K32))),0.000001))&gt;(ABS(G94)/MAX(((F32)+(H32)*(MAX($D$16,(D94)-(J32))))*(MAX($D$16,(D94)-(J32))),0.000001)),$D$9*((((ABS(G94)/MAX(((G32)+(I32)*(MAX($D$16,(E94)-(K32))))*(MAX($D$16,(E94)-(K32))),0.000001))^2)/(2*$I$5))-(((ABS(G94)/MAX(((F32)+(H32)*(MAX($D$16,(D94)-(J32))))*(MAX($D$16,(D94)-(J32))),0.000001))^2)/(2*$I$5))),$D$8*((((ABS(G94)/MAX(((F32)+(H32)*(MAX($D$16,(D94)-(J32))))*(MAX($D$16,(D94)-(J32))),0.000001))^2)/(2*$I$5))-(((ABS(G94)/MAX(((G32)+(I32)*(MAX($D$16,(E94)-(K32))))*(MAX($D$16,(E94)-(K32))),0.000001))^2)/(2*$I$5)))))+($D$10*(ABS((X32)-(W32))/90)*MAX(((ABS(G94)/MAX(((F32)+(H32)*(MAX($D$16,(D94)-(J32))))*(MAX($D$16,(D94)-(J32))),0.000001))^2)/(2*$I$5),((ABS(G94)/MAX(((G32)+(I32)*(MAX($D$16,(E94)-(K32))))*(MAX($D$16,(E94)-(K32))),0.000001))^2)/(2*$I$5)))+(($D$11*0.13607488*(ABS(H94)/MAX(ABS(F94),0.000001))^2*MAX(((ABS(G94)/MAX(((F32)+(H32)*(MAX($D$16,(D94)-(J32))))*(MAX($D$16,(D94)-(J32))),0.000001))^2)/(2*$I$5),((ABS(G94)/MAX(((G32)+(I32)*(MAX($D$16,(E94)-(K32))))*(MAX($D$16,(E94)-(K32))),0.000001))^2)/(2*$I$5))))-((ABS(G94)/MAX(((F32)+(H32)*(MAX($D$16,(D94)-(J32))))*(MAX($D$16,(D94)-(J32))),0.000001))^2)/(2*$I$5)</f>
        <v>52432.141837660587</v>
      </c>
      <c r="Q94">
        <f>L94+((ABS(H94)/MAX(((G33)+(I33)*(MAX($D$16,(L94)-(K33))))*(MAX($D$16,(L94)-(K33))),0.000001))^2)/(2*$I$5)+((E33)*((((ABS(H94)*$D$6)/(MAX(((F33)+(H33)*(MAX($D$16,(D94)-(J33))))*(MAX($D$16,(D94)-(J33))),0.000001)*MAX(((((F33)+(H33)*(MAX($D$16,(D94)-(J33))))*(MAX($D$16,(D94)-(J33))))/MAX((F33)+2*(MAX($D$16,(D94)-(J33)))*SQRT(1+(H33)^2),0.000001))^(2/3),0.000001)))^2)+(((ABS(H94)*$D$6)/(MAX(((G33)+(I33)*(MAX($D$16,(L94)-(K33))))*(MAX($D$16,(L94)-(K33))),0.000001)*MAX(((((G33)+(I33)*(MAX($D$16,(L94)-(K33))))*(MAX($D$16,(L94)-(K33))))/MAX((G33)+2*(MAX($D$16,(L94)-(K33)))*SQRT(1+(I33)^2),0.000001))^(2/3),0.000001)))^2))/2)+(IF((ABS(H94)/MAX(((G33)+(I33)*(MAX($D$16,(L94)-(K33))))*(MAX($D$16,(L94)-(K33))),0.000001))&gt;(ABS(H94)/MAX(((F33)+(H33)*(MAX($D$16,(D94)-(J33))))*(MAX($D$16,(D94)-(J33))),0.000001)),$D$9*((((ABS(H94)/MAX(((G33)+(I33)*(MAX($D$16,(L94)-(K33))))*(MAX($D$16,(L94)-(K33))),0.000001))^2)/(2*$I$5))-(((ABS(H94)/MAX(((F33)+(H33)*(MAX($D$16,(D94)-(J33))))*(MAX($D$16,(D94)-(J33))),0.000001))^2)/(2*$I$5))),$D$8*((((ABS(H94)/MAX(((F33)+(H33)*(MAX($D$16,(D94)-(J33))))*(MAX($D$16,(D94)-(J33))),0.000001))^2)/(2*$I$5))-(((ABS(H94)/MAX(((G33)+(I33)*(MAX($D$16,(L94)-(K33))))*(MAX($D$16,(L94)-(K33))),0.000001))^2)/(2*$I$5)))))+($D$10*(ABS((X33)-(W33))/90)*MAX(((ABS(H94)/MAX(((F33)+(H33)*(MAX($D$16,(D94)-(J33))))*(MAX($D$16,(D94)-(J33))),0.000001))^2)/(2*$I$5),((ABS(H94)/MAX(((G33)+(I33)*(MAX($D$16,(L94)-(K33))))*(MAX($D$16,(L94)-(K33))),0.000001))^2)/(2*$I$5)))+(($D$11*0.00000015*(ABS(G94)/MAX(ABS(F94),0.000001))^2*MAX(((ABS(H94)/MAX(((F33)+(H33)*(MAX($D$16,(D94)-(J33))))*(MAX($D$16,(D94)-(J33))),0.000001))^2)/(2*$I$5),((ABS(H94)/MAX(((G33)+(I33)*(MAX($D$16,(L94)-(K33))))*(MAX($D$16,(L94)-(K33))),0.000001))^2)/(2*$I$5))))-((ABS(H94)/MAX(((F33)+(H33)*(MAX($D$16,(D94)-(J33))))*(MAX($D$16,(D94)-(J33))),0.000001))^2)/(2*$I$5)</f>
        <v>634.3119999999999</v>
      </c>
      <c r="R94">
        <f>D94+((ABS(G94)/MAX(((F32)+(H32)*(MAX($D$16,(D94)-(J32))))*(MAX($D$16,(D94)-(J32))),0.000001))^2)/(2*$I$5)-((E32)*((((ABS(G94)*$D$6)/(MAX(((F32)+(H32)*(MAX($D$16,(D94)-(J32))))*(MAX($D$16,(D94)-(J32))),0.000001)*MAX(((((F32)+(H32)*(MAX($D$16,(D94)-(J32))))*(MAX($D$16,(D94)-(J32))))/MAX((F32)+2*(MAX($D$16,(D94)-(J32)))*SQRT(1+(H32)^2),0.000001))^(2/3),0.000001)))^2)+(((ABS(G94)*$D$6)/(MAX(((G32)+(I32)*(MAX($D$16,(E94)-(K32))))*(MAX($D$16,(E94)-(K32))),0.000001)*MAX(((((G32)+(I32)*(MAX($D$16,(E94)-(K32))))*(MAX($D$16,(E94)-(K32))))/MAX((G32)+2*(MAX($D$16,(E94)-(K32)))*SQRT(1+(I32)^2),0.000001))^(2/3),0.000001)))^2))/2)+(IF((ABS(G94)/MAX(((G32)+(I32)*(MAX($D$16,(E94)-(K32))))*(MAX($D$16,(E94)-(K32))),0.000001))&gt;(ABS(G94)/MAX(((F32)+(H32)*(MAX($D$16,(D94)-(J32))))*(MAX($D$16,(D94)-(J32))),0.000001)),$D$9*((((ABS(G94)/MAX(((G32)+(I32)*(MAX($D$16,(E94)-(K32))))*(MAX($D$16,(E94)-(K32))),0.000001))^2)/(2*$I$5))-(((ABS(G94)/MAX(((F32)+(H32)*(MAX($D$16,(D94)-(J32))))*(MAX($D$16,(D94)-(J32))),0.000001))^2)/(2*$I$5))),$D$8*((((ABS(G94)/MAX(((F32)+(H32)*(MAX($D$16,(D94)-(J32))))*(MAX($D$16,(D94)-(J32))),0.000001))^2)/(2*$I$5))-(((ABS(G94)/MAX(((G32)+(I32)*(MAX($D$16,(E94)-(K32))))*(MAX($D$16,(E94)-(K32))),0.000001))^2)/(2*$I$5)))))+($D$10*(ABS((X32)-(W32))/90)*MAX(((ABS(G94)/MAX(((F32)+(H32)*(MAX($D$16,(D94)-(J32))))*(MAX($D$16,(D94)-(J32))),0.000001))^2)/(2*$I$5),((ABS(G94)/MAX(((G32)+(I32)*(MAX($D$16,(E94)-(K32))))*(MAX($D$16,(E94)-(K32))),0.000001))^2)/(2*$I$5)))+(($D$11*0.13607488*(ABS(H94)/MAX(ABS(F94),0.000001))^2*MAX(((ABS(G94)/MAX(((F32)+(H32)*(MAX($D$16,(D94)-(J32))))*(MAX($D$16,(D94)-(J32))),0.000001))^2)/(2*$I$5),((ABS(G94)/MAX(((G32)+(I32)*(MAX($D$16,(E94)-(K32))))*(MAX($D$16,(E94)-(K32))),0.000001))^2)/(2*$I$5))))-((ABS(G94)/MAX(((G32)+(I32)*(MAX($D$16,(E94)-(K32))))*(MAX($D$16,(E94)-(K32))),0.000001))^2)/(2*$I$5)</f>
        <v>52432.141837660376</v>
      </c>
      <c r="S94">
        <f>M94+((ABS(I94)/MAX(((G34)+(I34)*(MAX($D$16,(M94)-(K34))))*(MAX($D$16,(M94)-(K34))),0.000001))^2)/(2*$I$5)+((E34)*((((ABS(I94)*$D$6)/(MAX(((F34)+(H34)*(MAX($D$16,(E94)-(J34))))*(MAX($D$16,(E94)-(J34))),0.000001)*MAX(((((F34)+(H34)*(MAX($D$16,(E94)-(J34))))*(MAX($D$16,(E94)-(J34))))/MAX((F34)+2*(MAX($D$16,(E94)-(J34)))*SQRT(1+(H34)^2),0.000001))^(2/3),0.000001)))^2)+(((ABS(I94)*$D$6)/(MAX(((G34)+(I34)*(MAX($D$16,(M94)-(K34))))*(MAX($D$16,(M94)-(K34))),0.000001)*MAX(((((G34)+(I34)*(MAX($D$16,(M94)-(K34))))*(MAX($D$16,(M94)-(K34))))/MAX((G34)+2*(MAX($D$16,(M94)-(K34)))*SQRT(1+(I34)^2),0.000001))^(2/3),0.000001)))^2))/2)+(IF((ABS(I94)/MAX(((G34)+(I34)*(MAX($D$16,(M94)-(K34))))*(MAX($D$16,(M94)-(K34))),0.000001))&gt;(ABS(I94)/MAX(((F34)+(H34)*(MAX($D$16,(E94)-(J34))))*(MAX($D$16,(E94)-(J34))),0.000001)),$D$9*((((ABS(I94)/MAX(((G34)+(I34)*(MAX($D$16,(M94)-(K34))))*(MAX($D$16,(M94)-(K34))),0.000001))^2)/(2*$I$5))-(((ABS(I94)/MAX(((F34)+(H34)*(MAX($D$16,(E94)-(J34))))*(MAX($D$16,(E94)-(J34))),0.000001))^2)/(2*$I$5))),$D$8*((((ABS(I94)/MAX(((F34)+(H34)*(MAX($D$16,(E94)-(J34))))*(MAX($D$16,(E94)-(J34))),0.000001))^2)/(2*$I$5))-(((ABS(I94)/MAX(((G34)+(I34)*(MAX($D$16,(M94)-(K34))))*(MAX($D$16,(M94)-(K34))),0.000001))^2)/(2*$I$5)))))+($D$10*(ABS((X34)-(W34))/90)*MAX(((ABS(I94)/MAX(((F34)+(H34)*(MAX($D$16,(E94)-(J34))))*(MAX($D$16,(E94)-(J34))),0.000001))^2)/(2*$I$5),((ABS(I94)/MAX(((G34)+(I34)*(MAX($D$16,(M94)-(K34))))*(MAX($D$16,(M94)-(K34))),0.000001))^2)/(2*$I$5)))+(0)-((ABS(I94)/MAX(((F34)+(H34)*(MAX($D$16,(E94)-(J34))))*(MAX($D$16,(E94)-(J34))),0.000001))^2)/(2*$I$5)</f>
        <v>635.5</v>
      </c>
      <c r="T94">
        <f>N94+((ABS(J94)/MAX(((G35)+(I35)*(MAX($D$16,(N94)-(K35))))*(MAX($D$16,(N94)-(K35))),0.000001))^2)/(2*$I$5)+((E35)*((((ABS(J94)*$D$6)/(MAX(((F35)+(H35)*(MAX($D$16,(E94)-(J35))))*(MAX($D$16,(E94)-(J35))),0.000001)*MAX(((((F35)+(H35)*(MAX($D$16,(E94)-(J35))))*(MAX($D$16,(E94)-(J35))))/MAX((F35)+2*(MAX($D$16,(E94)-(J35)))*SQRT(1+(H35)^2),0.000001))^(2/3),0.000001)))^2)+(((ABS(J94)*$D$6)/(MAX(((G35)+(I35)*(MAX($D$16,(N94)-(K35))))*(MAX($D$16,(N94)-(K35))),0.000001)*MAX(((((G35)+(I35)*(MAX($D$16,(N94)-(K35))))*(MAX($D$16,(N94)-(K35))))/MAX((G35)+2*(MAX($D$16,(N94)-(K35)))*SQRT(1+(I35)^2),0.000001))^(2/3),0.000001)))^2))/2)+(IF((ABS(J94)/MAX(((G35)+(I35)*(MAX($D$16,(N94)-(K35))))*(MAX($D$16,(N94)-(K35))),0.000001))&gt;(ABS(J94)/MAX(((F35)+(H35)*(MAX($D$16,(E94)-(J35))))*(MAX($D$16,(E94)-(J35))),0.000001)),$D$9*((((ABS(J94)/MAX(((G35)+(I35)*(MAX($D$16,(N94)-(K35))))*(MAX($D$16,(N94)-(K35))),0.000001))^2)/(2*$I$5))-(((ABS(J94)/MAX(((F35)+(H35)*(MAX($D$16,(E94)-(J35))))*(MAX($D$16,(E94)-(J35))),0.000001))^2)/(2*$I$5))),$D$8*((((ABS(J94)/MAX(((F35)+(H35)*(MAX($D$16,(E94)-(J35))))*(MAX($D$16,(E94)-(J35))),0.000001))^2)/(2*$I$5))-(((ABS(J94)/MAX(((G35)+(I35)*(MAX($D$16,(N94)-(K35))))*(MAX($D$16,(N94)-(K35))),0.000001))^2)/(2*$I$5)))))+($D$10*(ABS((X35)-(W35))/90)*MAX(((ABS(J94)/MAX(((F35)+(H35)*(MAX($D$16,(E94)-(J35))))*(MAX($D$16,(E94)-(J35))),0.000001))^2)/(2*$I$5),((ABS(J94)/MAX(((G35)+(I35)*(MAX($D$16,(N94)-(K35))))*(MAX($D$16,(N94)-(K35))),0.000001))^2)/(2*$I$5)))+(($D$11*0.34699541*(ABS(I94)/MAX(ABS(G94),0.000001))^2*MAX(((ABS(J94)/MAX(((F35)+(H35)*(MAX($D$16,(E94)-(J35))))*(MAX($D$16,(E94)-(J35))),0.000001))^2)/(2*$I$5),((ABS(J94)/MAX(((G35)+(I35)*(MAX($D$16,(N94)-(K35))))*(MAX($D$16,(N94)-(K35))),0.000001))^2)/(2*$I$5))))-((ABS(J94)/MAX(((F35)+(H35)*(MAX($D$16,(E94)-(J35))))*(MAX($D$16,(E94)-(J35))),0.000001))^2)/(2*$I$5)</f>
        <v>20784.033523923383</v>
      </c>
      <c r="U94">
        <f>(((((F32)*(MAX($D$16,(D94)-(J32)))^2)/2+(H32)*(MAX($D$16,(D94)-(J32)))^3/3+(ABS(G94)^2)/($I$5*MAX(((F32)+(H32)*(MAX($D$16,(D94)-(J32))))*(MAX($D$16,(D94)-(J32))),0.000001)))*0.72785025)-((((F33)*(MAX($D$16,(D94)-(J33)))^2)/2+(H33)*(MAX($D$16,(D94)-(J33)))^3/3+(ABS(H94)^2)/($I$5*MAX(((F33)+(H33)*(MAX($D$16,(D94)-(J33))))*(MAX($D$16,(D94)-(J33))),0.000001)))*0.99999971))/MAX(((G31)*(MAX($D$16,(D94)-(K31)))^2)/2+(I31)*(MAX($D$16,(D94)-(K31)))^3/3+(ABS(F94)^2)/($I$5*MAX(((G31)+(I31)*(MAX($D$16,(D94)-(K31))))*(MAX($D$16,(D94)-(K31))),0.000001)),0.000001)</f>
        <v>-0.27214945999991119</v>
      </c>
      <c r="V94">
        <f>(((((F34)*(MAX($D$16,(E94)-(J34)))^2)/2+(H34)*(MAX($D$16,(E94)-(J34)))^3/3+(ABS(I94)^2)/($I$5*MAX(((F34)+(H34)*(MAX($D$16,(E94)-(J34))))*(MAX($D$16,(E94)-(J34))),0.000001)))*1)-((((F35)*(MAX($D$16,(E94)-(J35)))^2)/2+(H35)*(MAX($D$16,(E94)-(J35)))^3/3+(ABS(J94)^2)/($I$5*MAX(((F35)+(H35)*(MAX($D$16,(E94)-(J35))))*(MAX($D$16,(E94)-(J35))),0.000001)))*0.30600918))/MAX(((G32)*(MAX($D$16,(E94)-(K32)))^2)/2+(I32)*(MAX($D$16,(E94)-(K32)))^3/3+(ABS(G94)^2)/($I$5*MAX(((G32)+(I32)*(MAX($D$16,(E94)-(K32))))*(MAX($D$16,(E94)-(K32))),0.000001)),0.000001)</f>
        <v>0.69398638937190382</v>
      </c>
      <c r="W94">
        <f>IF(N6="None",ABS(P94-D94),MAX(ABS(P94-D94),ABS(Q94-D94)))</f>
        <v>3.4197000786662102E-10</v>
      </c>
      <c r="X94">
        <f>IF(AND(N7="None",N8="None"),0,IF(N8="None",ABS(S94-E94),IF(N7="None",ABS(T94-E94),MAX(ABS(S94-E94),ABS(T94-E94)))))</f>
        <v>51796.641837660034</v>
      </c>
      <c r="AA94">
        <f t="shared" si="18"/>
        <v>52432.141837660361</v>
      </c>
      <c r="AB94">
        <f t="shared" si="19"/>
        <v>41355.303927852205</v>
      </c>
      <c r="AC94">
        <f>IF(N6="None",P94,MAX(P94,Q94))</f>
        <v>52432.141837660587</v>
      </c>
      <c r="AD94">
        <f>IF(AND(N7="None",N8="None"),E94,IF(N8="None",S94,IF(N7="None",T94,MAX(S94,T94))))</f>
        <v>20784.033523923383</v>
      </c>
      <c r="AE94">
        <f t="shared" si="20"/>
        <v>637.65825101089831</v>
      </c>
      <c r="AF94">
        <f t="shared" si="21"/>
        <v>52432.141837660376</v>
      </c>
      <c r="AG94">
        <f>((G31)*(MAX($D$16,(AC94)-(K31)))^2)/2+(I31)*(MAX($D$16,(AC94)-(K31)))^3/3+(ABS(F94)^2)/($I$5*MAX(((G31)+(I31)*(MAX($D$16,(AC94)-(K31))))*(MAX($D$16,(AC94)-(K31))),0.000001))</f>
        <v>8797611517.4111538</v>
      </c>
      <c r="AH94">
        <f>((G31)*(MAX($D$16,(AE94)-(K31)))^2)/2+(I31)*(MAX($D$16,(AE94)-(K31)))^3/3+(ABS(F94)^2)/($I$5*MAX(((G31)+(I31)*(MAX($D$16,(AE94)-(K31))))*(MAX($D$16,(AE94)-(K31))),0.000001))</f>
        <v>49.055863329575246</v>
      </c>
      <c r="AI94">
        <f>((G32)*(MAX($D$16,(AD94)-(K32)))^2)/2+(I32)*(MAX($D$16,(AD94)-(K32)))^3/3+(ABS(G94)^2)/($I$5*MAX(((G32)+(I32)*(MAX($D$16,(AD94)-(K32))))*(MAX($D$16,(AD94)-(K32))),0.000001))</f>
        <v>2072376743.6648321</v>
      </c>
      <c r="AJ94">
        <f>((G32)*(MAX($D$16,(AF94)-(K32)))^2)/2+(I32)*(MAX($D$16,(AF94)-(K32)))^3/3+(ABS(G94)^2)/($I$5*MAX(((G32)+(I32)*(MAX($D$16,(AF94)-(K32))))*(MAX($D$16,(AF94)-(K32))),0.000001))</f>
        <v>13692714789.643229</v>
      </c>
      <c r="AK94" t="str">
        <f t="shared" si="22"/>
        <v>Subcritical</v>
      </c>
      <c r="AL94" t="str">
        <f t="shared" si="23"/>
        <v>Supercritical</v>
      </c>
      <c r="AM94">
        <f t="shared" si="24"/>
        <v>52432.141837660361</v>
      </c>
      <c r="AN94">
        <f t="shared" si="25"/>
        <v>52432.14183766015</v>
      </c>
      <c r="AO94">
        <f t="shared" si="26"/>
        <v>3.4197000786662102E-10</v>
      </c>
      <c r="AP94">
        <f t="shared" si="27"/>
        <v>3.4197000786662102E-10</v>
      </c>
    </row>
    <row r="95" spans="1:42" x14ac:dyDescent="0.35">
      <c r="A95">
        <v>52</v>
      </c>
      <c r="B95">
        <f t="shared" si="28"/>
        <v>0</v>
      </c>
      <c r="C95">
        <f t="shared" si="29"/>
        <v>0</v>
      </c>
      <c r="D95">
        <f t="shared" si="30"/>
        <v>52432.141837660361</v>
      </c>
      <c r="E95">
        <f t="shared" si="31"/>
        <v>52432.14183766015</v>
      </c>
      <c r="F95">
        <f t="shared" si="17"/>
        <v>51</v>
      </c>
      <c r="G95">
        <f>IF(N6="None",F95,MAX(0,F95*B95))</f>
        <v>51</v>
      </c>
      <c r="H95">
        <f>IF(N6="None",0,MAX(0,F95-G95))</f>
        <v>0</v>
      </c>
      <c r="I95">
        <f>IF(AND(N7="None",N8="None"),0,IF(N8="None",G95,IF(N7="None",0,MAX(0,G95*C95))))</f>
        <v>0</v>
      </c>
      <c r="J95">
        <f>IF(AND(N7="None",N8="None"),0,IF(N8="None",0,IF(N7="None",G95,MAX(0,G95-I95))))</f>
        <v>51</v>
      </c>
      <c r="K95">
        <f>P5</f>
        <v>637</v>
      </c>
      <c r="L95">
        <f>P6</f>
        <v>634.3119999999999</v>
      </c>
      <c r="M95">
        <f>P7</f>
        <v>635.5</v>
      </c>
      <c r="N95">
        <f>P8</f>
        <v>631.54999999999995</v>
      </c>
      <c r="O95">
        <f>K95+((ABS(F95)/MAX(((F31)+(H31)*(MAX($D$16,(K95)-(J31))))*(MAX($D$16,(K95)-(J31))),0.000001))^2)/(2*$I$5)-((E31)*((((ABS(F95)*$D$6)/(MAX(((F31)+(H31)*(MAX($D$16,(K95)-(J31))))*(MAX($D$16,(K95)-(J31))),0.000001)*MAX(((((F31)+(H31)*(MAX($D$16,(K95)-(J31))))*(MAX($D$16,(K95)-(J31))))/MAX((F31)+2*(MAX($D$16,(K95)-(J31)))*SQRT(1+(H31)^2),0.000001))^(2/3),0.000001)))^2)+(((ABS(F95)*$D$6)/(MAX(((G31)+(I31)*(MAX($D$16,(D95)-(K31))))*(MAX($D$16,(D95)-(K31))),0.000001)*MAX(((((G31)+(I31)*(MAX($D$16,(D95)-(K31))))*(MAX($D$16,(D95)-(K31))))/MAX((G31)+2*(MAX($D$16,(D95)-(K31)))*SQRT(1+(I31)^2),0.000001))^(2/3),0.000001)))^2))/2)+(IF((ABS(F95)/MAX(((G31)+(I31)*(MAX($D$16,(D95)-(K31))))*(MAX($D$16,(D95)-(K31))),0.000001))&gt;(ABS(F95)/MAX(((F31)+(H31)*(MAX($D$16,(K95)-(J31))))*(MAX($D$16,(K95)-(J31))),0.000001)),$D$9*((((ABS(F95)/MAX(((G31)+(I31)*(MAX($D$16,(D95)-(K31))))*(MAX($D$16,(D95)-(K31))),0.000001))^2)/(2*$I$5))-(((ABS(F95)/MAX(((F31)+(H31)*(MAX($D$16,(K95)-(J31))))*(MAX($D$16,(K95)-(J31))),0.000001))^2)/(2*$I$5))),$D$8*((((ABS(F95)/MAX(((F31)+(H31)*(MAX($D$16,(K95)-(J31))))*(MAX($D$16,(K95)-(J31))),0.000001))^2)/(2*$I$5))-(((ABS(F95)/MAX(((G31)+(I31)*(MAX($D$16,(D95)-(K31))))*(MAX($D$16,(D95)-(K31))),0.000001))^2)/(2*$I$5)))))+($D$10*(ABS((X31)-(W31))/90)*MAX(((ABS(F95)/MAX(((F31)+(H31)*(MAX($D$16,(K95)-(J31))))*(MAX($D$16,(K95)-(J31))),0.000001))^2)/(2*$I$5),((ABS(F95)/MAX(((G31)+(I31)*(MAX($D$16,(D95)-(K31))))*(MAX($D$16,(D95)-(K31))),0.000001))^2)/(2*$I$5)))+(0)-((ABS(F95)/MAX(((G31)+(I31)*(MAX($D$16,(D95)-(K31))))*(MAX($D$16,(D95)-(K31))),0.000001))^2)/(2*$I$5)</f>
        <v>637.65825101089831</v>
      </c>
      <c r="P95">
        <f>E95+((ABS(G95)/MAX(((G32)+(I32)*(MAX($D$16,(E95)-(K32))))*(MAX($D$16,(E95)-(K32))),0.000001))^2)/(2*$I$5)+((E32)*((((ABS(G95)*$D$6)/(MAX(((F32)+(H32)*(MAX($D$16,(D95)-(J32))))*(MAX($D$16,(D95)-(J32))),0.000001)*MAX(((((F32)+(H32)*(MAX($D$16,(D95)-(J32))))*(MAX($D$16,(D95)-(J32))))/MAX((F32)+2*(MAX($D$16,(D95)-(J32)))*SQRT(1+(H32)^2),0.000001))^(2/3),0.000001)))^2)+(((ABS(G95)*$D$6)/(MAX(((G32)+(I32)*(MAX($D$16,(E95)-(K32))))*(MAX($D$16,(E95)-(K32))),0.000001)*MAX(((((G32)+(I32)*(MAX($D$16,(E95)-(K32))))*(MAX($D$16,(E95)-(K32))))/MAX((G32)+2*(MAX($D$16,(E95)-(K32)))*SQRT(1+(I32)^2),0.000001))^(2/3),0.000001)))^2))/2)+(IF((ABS(G95)/MAX(((G32)+(I32)*(MAX($D$16,(E95)-(K32))))*(MAX($D$16,(E95)-(K32))),0.000001))&gt;(ABS(G95)/MAX(((F32)+(H32)*(MAX($D$16,(D95)-(J32))))*(MAX($D$16,(D95)-(J32))),0.000001)),$D$9*((((ABS(G95)/MAX(((G32)+(I32)*(MAX($D$16,(E95)-(K32))))*(MAX($D$16,(E95)-(K32))),0.000001))^2)/(2*$I$5))-(((ABS(G95)/MAX(((F32)+(H32)*(MAX($D$16,(D95)-(J32))))*(MAX($D$16,(D95)-(J32))),0.000001))^2)/(2*$I$5))),$D$8*((((ABS(G95)/MAX(((F32)+(H32)*(MAX($D$16,(D95)-(J32))))*(MAX($D$16,(D95)-(J32))),0.000001))^2)/(2*$I$5))-(((ABS(G95)/MAX(((G32)+(I32)*(MAX($D$16,(E95)-(K32))))*(MAX($D$16,(E95)-(K32))),0.000001))^2)/(2*$I$5)))))+($D$10*(ABS((X32)-(W32))/90)*MAX(((ABS(G95)/MAX(((F32)+(H32)*(MAX($D$16,(D95)-(J32))))*(MAX($D$16,(D95)-(J32))),0.000001))^2)/(2*$I$5),((ABS(G95)/MAX(((G32)+(I32)*(MAX($D$16,(E95)-(K32))))*(MAX($D$16,(E95)-(K32))),0.000001))^2)/(2*$I$5)))+(($D$11*0.13607488*(ABS(H95)/MAX(ABS(F95),0.000001))^2*MAX(((ABS(G95)/MAX(((F32)+(H32)*(MAX($D$16,(D95)-(J32))))*(MAX($D$16,(D95)-(J32))),0.000001))^2)/(2*$I$5),((ABS(G95)/MAX(((G32)+(I32)*(MAX($D$16,(E95)-(K32))))*(MAX($D$16,(E95)-(K32))),0.000001))^2)/(2*$I$5))))-((ABS(G95)/MAX(((F32)+(H32)*(MAX($D$16,(D95)-(J32))))*(MAX($D$16,(D95)-(J32))),0.000001))^2)/(2*$I$5)</f>
        <v>52432.141837660703</v>
      </c>
      <c r="Q95">
        <f>L95+((ABS(H95)/MAX(((G33)+(I33)*(MAX($D$16,(L95)-(K33))))*(MAX($D$16,(L95)-(K33))),0.000001))^2)/(2*$I$5)+((E33)*((((ABS(H95)*$D$6)/(MAX(((F33)+(H33)*(MAX($D$16,(D95)-(J33))))*(MAX($D$16,(D95)-(J33))),0.000001)*MAX(((((F33)+(H33)*(MAX($D$16,(D95)-(J33))))*(MAX($D$16,(D95)-(J33))))/MAX((F33)+2*(MAX($D$16,(D95)-(J33)))*SQRT(1+(H33)^2),0.000001))^(2/3),0.000001)))^2)+(((ABS(H95)*$D$6)/(MAX(((G33)+(I33)*(MAX($D$16,(L95)-(K33))))*(MAX($D$16,(L95)-(K33))),0.000001)*MAX(((((G33)+(I33)*(MAX($D$16,(L95)-(K33))))*(MAX($D$16,(L95)-(K33))))/MAX((G33)+2*(MAX($D$16,(L95)-(K33)))*SQRT(1+(I33)^2),0.000001))^(2/3),0.000001)))^2))/2)+(IF((ABS(H95)/MAX(((G33)+(I33)*(MAX($D$16,(L95)-(K33))))*(MAX($D$16,(L95)-(K33))),0.000001))&gt;(ABS(H95)/MAX(((F33)+(H33)*(MAX($D$16,(D95)-(J33))))*(MAX($D$16,(D95)-(J33))),0.000001)),$D$9*((((ABS(H95)/MAX(((G33)+(I33)*(MAX($D$16,(L95)-(K33))))*(MAX($D$16,(L95)-(K33))),0.000001))^2)/(2*$I$5))-(((ABS(H95)/MAX(((F33)+(H33)*(MAX($D$16,(D95)-(J33))))*(MAX($D$16,(D95)-(J33))),0.000001))^2)/(2*$I$5))),$D$8*((((ABS(H95)/MAX(((F33)+(H33)*(MAX($D$16,(D95)-(J33))))*(MAX($D$16,(D95)-(J33))),0.000001))^2)/(2*$I$5))-(((ABS(H95)/MAX(((G33)+(I33)*(MAX($D$16,(L95)-(K33))))*(MAX($D$16,(L95)-(K33))),0.000001))^2)/(2*$I$5)))))+($D$10*(ABS((X33)-(W33))/90)*MAX(((ABS(H95)/MAX(((F33)+(H33)*(MAX($D$16,(D95)-(J33))))*(MAX($D$16,(D95)-(J33))),0.000001))^2)/(2*$I$5),((ABS(H95)/MAX(((G33)+(I33)*(MAX($D$16,(L95)-(K33))))*(MAX($D$16,(L95)-(K33))),0.000001))^2)/(2*$I$5)))+(($D$11*0.00000015*(ABS(G95)/MAX(ABS(F95),0.000001))^2*MAX(((ABS(H95)/MAX(((F33)+(H33)*(MAX($D$16,(D95)-(J33))))*(MAX($D$16,(D95)-(J33))),0.000001))^2)/(2*$I$5),((ABS(H95)/MAX(((G33)+(I33)*(MAX($D$16,(L95)-(K33))))*(MAX($D$16,(L95)-(K33))),0.000001))^2)/(2*$I$5))))-((ABS(H95)/MAX(((F33)+(H33)*(MAX($D$16,(D95)-(J33))))*(MAX($D$16,(D95)-(J33))),0.000001))^2)/(2*$I$5)</f>
        <v>634.3119999999999</v>
      </c>
      <c r="R95">
        <f>D95+((ABS(G95)/MAX(((F32)+(H32)*(MAX($D$16,(D95)-(J32))))*(MAX($D$16,(D95)-(J32))),0.000001))^2)/(2*$I$5)-((E32)*((((ABS(G95)*$D$6)/(MAX(((F32)+(H32)*(MAX($D$16,(D95)-(J32))))*(MAX($D$16,(D95)-(J32))),0.000001)*MAX(((((F32)+(H32)*(MAX($D$16,(D95)-(J32))))*(MAX($D$16,(D95)-(J32))))/MAX((F32)+2*(MAX($D$16,(D95)-(J32)))*SQRT(1+(H32)^2),0.000001))^(2/3),0.000001)))^2)+(((ABS(G95)*$D$6)/(MAX(((G32)+(I32)*(MAX($D$16,(E95)-(K32))))*(MAX($D$16,(E95)-(K32))),0.000001)*MAX(((((G32)+(I32)*(MAX($D$16,(E95)-(K32))))*(MAX($D$16,(E95)-(K32))))/MAX((G32)+2*(MAX($D$16,(E95)-(K32)))*SQRT(1+(I32)^2),0.000001))^(2/3),0.000001)))^2))/2)+(IF((ABS(G95)/MAX(((G32)+(I32)*(MAX($D$16,(E95)-(K32))))*(MAX($D$16,(E95)-(K32))),0.000001))&gt;(ABS(G95)/MAX(((F32)+(H32)*(MAX($D$16,(D95)-(J32))))*(MAX($D$16,(D95)-(J32))),0.000001)),$D$9*((((ABS(G95)/MAX(((G32)+(I32)*(MAX($D$16,(E95)-(K32))))*(MAX($D$16,(E95)-(K32))),0.000001))^2)/(2*$I$5))-(((ABS(G95)/MAX(((F32)+(H32)*(MAX($D$16,(D95)-(J32))))*(MAX($D$16,(D95)-(J32))),0.000001))^2)/(2*$I$5))),$D$8*((((ABS(G95)/MAX(((F32)+(H32)*(MAX($D$16,(D95)-(J32))))*(MAX($D$16,(D95)-(J32))),0.000001))^2)/(2*$I$5))-(((ABS(G95)/MAX(((G32)+(I32)*(MAX($D$16,(E95)-(K32))))*(MAX($D$16,(E95)-(K32))),0.000001))^2)/(2*$I$5)))))+($D$10*(ABS((X32)-(W32))/90)*MAX(((ABS(G95)/MAX(((F32)+(H32)*(MAX($D$16,(D95)-(J32))))*(MAX($D$16,(D95)-(J32))),0.000001))^2)/(2*$I$5),((ABS(G95)/MAX(((G32)+(I32)*(MAX($D$16,(E95)-(K32))))*(MAX($D$16,(E95)-(K32))),0.000001))^2)/(2*$I$5)))+(($D$11*0.13607488*(ABS(H95)/MAX(ABS(F95),0.000001))^2*MAX(((ABS(G95)/MAX(((F32)+(H32)*(MAX($D$16,(D95)-(J32))))*(MAX($D$16,(D95)-(J32))),0.000001))^2)/(2*$I$5),((ABS(G95)/MAX(((G32)+(I32)*(MAX($D$16,(E95)-(K32))))*(MAX($D$16,(E95)-(K32))),0.000001))^2)/(2*$I$5))))-((ABS(G95)/MAX(((G32)+(I32)*(MAX($D$16,(E95)-(K32))))*(MAX($D$16,(E95)-(K32))),0.000001))^2)/(2*$I$5)</f>
        <v>52432.141837660492</v>
      </c>
      <c r="S95">
        <f>M95+((ABS(I95)/MAX(((G34)+(I34)*(MAX($D$16,(M95)-(K34))))*(MAX($D$16,(M95)-(K34))),0.000001))^2)/(2*$I$5)+((E34)*((((ABS(I95)*$D$6)/(MAX(((F34)+(H34)*(MAX($D$16,(E95)-(J34))))*(MAX($D$16,(E95)-(J34))),0.000001)*MAX(((((F34)+(H34)*(MAX($D$16,(E95)-(J34))))*(MAX($D$16,(E95)-(J34))))/MAX((F34)+2*(MAX($D$16,(E95)-(J34)))*SQRT(1+(H34)^2),0.000001))^(2/3),0.000001)))^2)+(((ABS(I95)*$D$6)/(MAX(((G34)+(I34)*(MAX($D$16,(M95)-(K34))))*(MAX($D$16,(M95)-(K34))),0.000001)*MAX(((((G34)+(I34)*(MAX($D$16,(M95)-(K34))))*(MAX($D$16,(M95)-(K34))))/MAX((G34)+2*(MAX($D$16,(M95)-(K34)))*SQRT(1+(I34)^2),0.000001))^(2/3),0.000001)))^2))/2)+(IF((ABS(I95)/MAX(((G34)+(I34)*(MAX($D$16,(M95)-(K34))))*(MAX($D$16,(M95)-(K34))),0.000001))&gt;(ABS(I95)/MAX(((F34)+(H34)*(MAX($D$16,(E95)-(J34))))*(MAX($D$16,(E95)-(J34))),0.000001)),$D$9*((((ABS(I95)/MAX(((G34)+(I34)*(MAX($D$16,(M95)-(K34))))*(MAX($D$16,(M95)-(K34))),0.000001))^2)/(2*$I$5))-(((ABS(I95)/MAX(((F34)+(H34)*(MAX($D$16,(E95)-(J34))))*(MAX($D$16,(E95)-(J34))),0.000001))^2)/(2*$I$5))),$D$8*((((ABS(I95)/MAX(((F34)+(H34)*(MAX($D$16,(E95)-(J34))))*(MAX($D$16,(E95)-(J34))),0.000001))^2)/(2*$I$5))-(((ABS(I95)/MAX(((G34)+(I34)*(MAX($D$16,(M95)-(K34))))*(MAX($D$16,(M95)-(K34))),0.000001))^2)/(2*$I$5)))))+($D$10*(ABS((X34)-(W34))/90)*MAX(((ABS(I95)/MAX(((F34)+(H34)*(MAX($D$16,(E95)-(J34))))*(MAX($D$16,(E95)-(J34))),0.000001))^2)/(2*$I$5),((ABS(I95)/MAX(((G34)+(I34)*(MAX($D$16,(M95)-(K34))))*(MAX($D$16,(M95)-(K34))),0.000001))^2)/(2*$I$5)))+(0)-((ABS(I95)/MAX(((F34)+(H34)*(MAX($D$16,(E95)-(J34))))*(MAX($D$16,(E95)-(J34))),0.000001))^2)/(2*$I$5)</f>
        <v>635.5</v>
      </c>
      <c r="T95">
        <f>N95+((ABS(J95)/MAX(((G35)+(I35)*(MAX($D$16,(N95)-(K35))))*(MAX($D$16,(N95)-(K35))),0.000001))^2)/(2*$I$5)+((E35)*((((ABS(J95)*$D$6)/(MAX(((F35)+(H35)*(MAX($D$16,(E95)-(J35))))*(MAX($D$16,(E95)-(J35))),0.000001)*MAX(((((F35)+(H35)*(MAX($D$16,(E95)-(J35))))*(MAX($D$16,(E95)-(J35))))/MAX((F35)+2*(MAX($D$16,(E95)-(J35)))*SQRT(1+(H35)^2),0.000001))^(2/3),0.000001)))^2)+(((ABS(J95)*$D$6)/(MAX(((G35)+(I35)*(MAX($D$16,(N95)-(K35))))*(MAX($D$16,(N95)-(K35))),0.000001)*MAX(((((G35)+(I35)*(MAX($D$16,(N95)-(K35))))*(MAX($D$16,(N95)-(K35))))/MAX((G35)+2*(MAX($D$16,(N95)-(K35)))*SQRT(1+(I35)^2),0.000001))^(2/3),0.000001)))^2))/2)+(IF((ABS(J95)/MAX(((G35)+(I35)*(MAX($D$16,(N95)-(K35))))*(MAX($D$16,(N95)-(K35))),0.000001))&gt;(ABS(J95)/MAX(((F35)+(H35)*(MAX($D$16,(E95)-(J35))))*(MAX($D$16,(E95)-(J35))),0.000001)),$D$9*((((ABS(J95)/MAX(((G35)+(I35)*(MAX($D$16,(N95)-(K35))))*(MAX($D$16,(N95)-(K35))),0.000001))^2)/(2*$I$5))-(((ABS(J95)/MAX(((F35)+(H35)*(MAX($D$16,(E95)-(J35))))*(MAX($D$16,(E95)-(J35))),0.000001))^2)/(2*$I$5))),$D$8*((((ABS(J95)/MAX(((F35)+(H35)*(MAX($D$16,(E95)-(J35))))*(MAX($D$16,(E95)-(J35))),0.000001))^2)/(2*$I$5))-(((ABS(J95)/MAX(((G35)+(I35)*(MAX($D$16,(N95)-(K35))))*(MAX($D$16,(N95)-(K35))),0.000001))^2)/(2*$I$5)))))+($D$10*(ABS((X35)-(W35))/90)*MAX(((ABS(J95)/MAX(((F35)+(H35)*(MAX($D$16,(E95)-(J35))))*(MAX($D$16,(E95)-(J35))),0.000001))^2)/(2*$I$5),((ABS(J95)/MAX(((G35)+(I35)*(MAX($D$16,(N95)-(K35))))*(MAX($D$16,(N95)-(K35))),0.000001))^2)/(2*$I$5)))+(($D$11*0.34699541*(ABS(I95)/MAX(ABS(G95),0.000001))^2*MAX(((ABS(J95)/MAX(((F35)+(H35)*(MAX($D$16,(E95)-(J35))))*(MAX($D$16,(E95)-(J35))),0.000001))^2)/(2*$I$5),((ABS(J95)/MAX(((G35)+(I35)*(MAX($D$16,(N95)-(K35))))*(MAX($D$16,(N95)-(K35))),0.000001))^2)/(2*$I$5))))-((ABS(J95)/MAX(((F35)+(H35)*(MAX($D$16,(E95)-(J35))))*(MAX($D$16,(E95)-(J35))),0.000001))^2)/(2*$I$5)</f>
        <v>20784.033523923383</v>
      </c>
      <c r="U95">
        <f>(((((F32)*(MAX($D$16,(D95)-(J32)))^2)/2+(H32)*(MAX($D$16,(D95)-(J32)))^3/3+(ABS(G95)^2)/($I$5*MAX(((F32)+(H32)*(MAX($D$16,(D95)-(J32))))*(MAX($D$16,(D95)-(J32))),0.000001)))*0.72785025)-((((F33)*(MAX($D$16,(D95)-(J33)))^2)/2+(H33)*(MAX($D$16,(D95)-(J33)))^3/3+(ABS(H95)^2)/($I$5*MAX(((F33)+(H33)*(MAX($D$16,(D95)-(J33))))*(MAX($D$16,(D95)-(J33))),0.000001)))*0.99999971))/MAX(((G31)*(MAX($D$16,(D95)-(K31)))^2)/2+(I31)*(MAX($D$16,(D95)-(K31)))^3/3+(ABS(F95)^2)/($I$5*MAX(((G31)+(I31)*(MAX($D$16,(D95)-(K31))))*(MAX($D$16,(D95)-(K31))),0.000001)),0.000001)</f>
        <v>-0.27214945999991119</v>
      </c>
      <c r="V95">
        <f>(((((F34)*(MAX($D$16,(E95)-(J34)))^2)/2+(H34)*(MAX($D$16,(E95)-(J34)))^3/3+(ABS(I95)^2)/($I$5*MAX(((F34)+(H34)*(MAX($D$16,(E95)-(J34))))*(MAX($D$16,(E95)-(J34))),0.000001)))*1)-((((F35)*(MAX($D$16,(E95)-(J35)))^2)/2+(H35)*(MAX($D$16,(E95)-(J35)))^3/3+(ABS(J95)^2)/($I$5*MAX(((F35)+(H35)*(MAX($D$16,(E95)-(J35))))*(MAX($D$16,(E95)-(J35))),0.000001)))*0.30600918))/MAX(((G32)*(MAX($D$16,(E95)-(K32)))^2)/2+(I32)*(MAX($D$16,(E95)-(K32)))^3/3+(ABS(G95)^2)/($I$5*MAX(((G32)+(I32)*(MAX($D$16,(E95)-(K32))))*(MAX($D$16,(E95)-(K32))),0.000001)),0.000001)</f>
        <v>0.69398638937190393</v>
      </c>
      <c r="W95">
        <f>IF(N6="None",ABS(P95-D95),MAX(ABS(P95-D95),ABS(Q95-D95)))</f>
        <v>3.4197000786662102E-10</v>
      </c>
      <c r="X95">
        <f>IF(AND(N7="None",N8="None"),0,IF(N8="None",ABS(S95-E95),IF(N7="None",ABS(T95-E95),MAX(ABS(S95-E95),ABS(T95-E95)))))</f>
        <v>51796.64183766015</v>
      </c>
      <c r="AA95">
        <f t="shared" si="18"/>
        <v>52432.141837660478</v>
      </c>
      <c r="AB95">
        <f t="shared" si="19"/>
        <v>41355.303927852285</v>
      </c>
      <c r="AC95">
        <f>IF(N6="None",P95,MAX(P95,Q95))</f>
        <v>52432.141837660703</v>
      </c>
      <c r="AD95">
        <f>IF(AND(N7="None",N8="None"),E95,IF(N8="None",S95,IF(N7="None",T95,MAX(S95,T95))))</f>
        <v>20784.033523923383</v>
      </c>
      <c r="AE95">
        <f t="shared" si="20"/>
        <v>637.65825101089831</v>
      </c>
      <c r="AF95">
        <f t="shared" si="21"/>
        <v>52432.141837660492</v>
      </c>
      <c r="AG95">
        <f>((G31)*(MAX($D$16,(AC95)-(K31)))^2)/2+(I31)*(MAX($D$16,(AC95)-(K31)))^3/3+(ABS(F95)^2)/($I$5*MAX(((G31)+(I31)*(MAX($D$16,(AC95)-(K31))))*(MAX($D$16,(AC95)-(K31))),0.000001))</f>
        <v>8797611517.4111958</v>
      </c>
      <c r="AH95">
        <f>((G31)*(MAX($D$16,(AE95)-(K31)))^2)/2+(I31)*(MAX($D$16,(AE95)-(K31)))^3/3+(ABS(F95)^2)/($I$5*MAX(((G31)+(I31)*(MAX($D$16,(AE95)-(K31))))*(MAX($D$16,(AE95)-(K31))),0.000001))</f>
        <v>49.055863329575246</v>
      </c>
      <c r="AI95">
        <f>((G32)*(MAX($D$16,(AD95)-(K32)))^2)/2+(I32)*(MAX($D$16,(AD95)-(K32)))^3/3+(ABS(G95)^2)/($I$5*MAX(((G32)+(I32)*(MAX($D$16,(AD95)-(K32))))*(MAX($D$16,(AD95)-(K32))),0.000001))</f>
        <v>2072376743.6648321</v>
      </c>
      <c r="AJ95">
        <f>((G32)*(MAX($D$16,(AF95)-(K32)))^2)/2+(I32)*(MAX($D$16,(AF95)-(K32)))^3/3+(ABS(G95)^2)/($I$5*MAX(((G32)+(I32)*(MAX($D$16,(AF95)-(K32))))*(MAX($D$16,(AF95)-(K32))),0.000001))</f>
        <v>13692714789.64329</v>
      </c>
      <c r="AK95" t="str">
        <f t="shared" si="22"/>
        <v>Subcritical</v>
      </c>
      <c r="AL95" t="str">
        <f t="shared" si="23"/>
        <v>Supercritical</v>
      </c>
      <c r="AM95">
        <f t="shared" si="24"/>
        <v>52432.141837660478</v>
      </c>
      <c r="AN95">
        <f t="shared" si="25"/>
        <v>52432.141837660267</v>
      </c>
      <c r="AO95">
        <f t="shared" si="26"/>
        <v>3.4197000786662102E-10</v>
      </c>
      <c r="AP95">
        <f t="shared" si="27"/>
        <v>3.4197000786662102E-10</v>
      </c>
    </row>
    <row r="96" spans="1:42" x14ac:dyDescent="0.35">
      <c r="A96">
        <v>53</v>
      </c>
      <c r="B96">
        <f t="shared" si="28"/>
        <v>0</v>
      </c>
      <c r="C96">
        <f t="shared" si="29"/>
        <v>0</v>
      </c>
      <c r="D96">
        <f t="shared" si="30"/>
        <v>52432.141837660478</v>
      </c>
      <c r="E96">
        <f t="shared" si="31"/>
        <v>52432.141837660267</v>
      </c>
      <c r="F96">
        <f t="shared" si="17"/>
        <v>51</v>
      </c>
      <c r="G96">
        <f>IF(N6="None",F96,MAX(0,F96*B96))</f>
        <v>51</v>
      </c>
      <c r="H96">
        <f>IF(N6="None",0,MAX(0,F96-G96))</f>
        <v>0</v>
      </c>
      <c r="I96">
        <f>IF(AND(N7="None",N8="None"),0,IF(N8="None",G96,IF(N7="None",0,MAX(0,G96*C96))))</f>
        <v>0</v>
      </c>
      <c r="J96">
        <f>IF(AND(N7="None",N8="None"),0,IF(N8="None",0,IF(N7="None",G96,MAX(0,G96-I96))))</f>
        <v>51</v>
      </c>
      <c r="K96">
        <f>P5</f>
        <v>637</v>
      </c>
      <c r="L96">
        <f>P6</f>
        <v>634.3119999999999</v>
      </c>
      <c r="M96">
        <f>P7</f>
        <v>635.5</v>
      </c>
      <c r="N96">
        <f>P8</f>
        <v>631.54999999999995</v>
      </c>
      <c r="O96">
        <f>K96+((ABS(F96)/MAX(((F31)+(H31)*(MAX($D$16,(K96)-(J31))))*(MAX($D$16,(K96)-(J31))),0.000001))^2)/(2*$I$5)-((E31)*((((ABS(F96)*$D$6)/(MAX(((F31)+(H31)*(MAX($D$16,(K96)-(J31))))*(MAX($D$16,(K96)-(J31))),0.000001)*MAX(((((F31)+(H31)*(MAX($D$16,(K96)-(J31))))*(MAX($D$16,(K96)-(J31))))/MAX((F31)+2*(MAX($D$16,(K96)-(J31)))*SQRT(1+(H31)^2),0.000001))^(2/3),0.000001)))^2)+(((ABS(F96)*$D$6)/(MAX(((G31)+(I31)*(MAX($D$16,(D96)-(K31))))*(MAX($D$16,(D96)-(K31))),0.000001)*MAX(((((G31)+(I31)*(MAX($D$16,(D96)-(K31))))*(MAX($D$16,(D96)-(K31))))/MAX((G31)+2*(MAX($D$16,(D96)-(K31)))*SQRT(1+(I31)^2),0.000001))^(2/3),0.000001)))^2))/2)+(IF((ABS(F96)/MAX(((G31)+(I31)*(MAX($D$16,(D96)-(K31))))*(MAX($D$16,(D96)-(K31))),0.000001))&gt;(ABS(F96)/MAX(((F31)+(H31)*(MAX($D$16,(K96)-(J31))))*(MAX($D$16,(K96)-(J31))),0.000001)),$D$9*((((ABS(F96)/MAX(((G31)+(I31)*(MAX($D$16,(D96)-(K31))))*(MAX($D$16,(D96)-(K31))),0.000001))^2)/(2*$I$5))-(((ABS(F96)/MAX(((F31)+(H31)*(MAX($D$16,(K96)-(J31))))*(MAX($D$16,(K96)-(J31))),0.000001))^2)/(2*$I$5))),$D$8*((((ABS(F96)/MAX(((F31)+(H31)*(MAX($D$16,(K96)-(J31))))*(MAX($D$16,(K96)-(J31))),0.000001))^2)/(2*$I$5))-(((ABS(F96)/MAX(((G31)+(I31)*(MAX($D$16,(D96)-(K31))))*(MAX($D$16,(D96)-(K31))),0.000001))^2)/(2*$I$5)))))+($D$10*(ABS((X31)-(W31))/90)*MAX(((ABS(F96)/MAX(((F31)+(H31)*(MAX($D$16,(K96)-(J31))))*(MAX($D$16,(K96)-(J31))),0.000001))^2)/(2*$I$5),((ABS(F96)/MAX(((G31)+(I31)*(MAX($D$16,(D96)-(K31))))*(MAX($D$16,(D96)-(K31))),0.000001))^2)/(2*$I$5)))+(0)-((ABS(F96)/MAX(((G31)+(I31)*(MAX($D$16,(D96)-(K31))))*(MAX($D$16,(D96)-(K31))),0.000001))^2)/(2*$I$5)</f>
        <v>637.65825101089831</v>
      </c>
      <c r="P96">
        <f>E96+((ABS(G96)/MAX(((G32)+(I32)*(MAX($D$16,(E96)-(K32))))*(MAX($D$16,(E96)-(K32))),0.000001))^2)/(2*$I$5)+((E32)*((((ABS(G96)*$D$6)/(MAX(((F32)+(H32)*(MAX($D$16,(D96)-(J32))))*(MAX($D$16,(D96)-(J32))),0.000001)*MAX(((((F32)+(H32)*(MAX($D$16,(D96)-(J32))))*(MAX($D$16,(D96)-(J32))))/MAX((F32)+2*(MAX($D$16,(D96)-(J32)))*SQRT(1+(H32)^2),0.000001))^(2/3),0.000001)))^2)+(((ABS(G96)*$D$6)/(MAX(((G32)+(I32)*(MAX($D$16,(E96)-(K32))))*(MAX($D$16,(E96)-(K32))),0.000001)*MAX(((((G32)+(I32)*(MAX($D$16,(E96)-(K32))))*(MAX($D$16,(E96)-(K32))))/MAX((G32)+2*(MAX($D$16,(E96)-(K32)))*SQRT(1+(I32)^2),0.000001))^(2/3),0.000001)))^2))/2)+(IF((ABS(G96)/MAX(((G32)+(I32)*(MAX($D$16,(E96)-(K32))))*(MAX($D$16,(E96)-(K32))),0.000001))&gt;(ABS(G96)/MAX(((F32)+(H32)*(MAX($D$16,(D96)-(J32))))*(MAX($D$16,(D96)-(J32))),0.000001)),$D$9*((((ABS(G96)/MAX(((G32)+(I32)*(MAX($D$16,(E96)-(K32))))*(MAX($D$16,(E96)-(K32))),0.000001))^2)/(2*$I$5))-(((ABS(G96)/MAX(((F32)+(H32)*(MAX($D$16,(D96)-(J32))))*(MAX($D$16,(D96)-(J32))),0.000001))^2)/(2*$I$5))),$D$8*((((ABS(G96)/MAX(((F32)+(H32)*(MAX($D$16,(D96)-(J32))))*(MAX($D$16,(D96)-(J32))),0.000001))^2)/(2*$I$5))-(((ABS(G96)/MAX(((G32)+(I32)*(MAX($D$16,(E96)-(K32))))*(MAX($D$16,(E96)-(K32))),0.000001))^2)/(2*$I$5)))))+($D$10*(ABS((X32)-(W32))/90)*MAX(((ABS(G96)/MAX(((F32)+(H32)*(MAX($D$16,(D96)-(J32))))*(MAX($D$16,(D96)-(J32))),0.000001))^2)/(2*$I$5),((ABS(G96)/MAX(((G32)+(I32)*(MAX($D$16,(E96)-(K32))))*(MAX($D$16,(E96)-(K32))),0.000001))^2)/(2*$I$5)))+(($D$11*0.13607488*(ABS(H96)/MAX(ABS(F96),0.000001))^2*MAX(((ABS(G96)/MAX(((F32)+(H32)*(MAX($D$16,(D96)-(J32))))*(MAX($D$16,(D96)-(J32))),0.000001))^2)/(2*$I$5),((ABS(G96)/MAX(((G32)+(I32)*(MAX($D$16,(E96)-(K32))))*(MAX($D$16,(E96)-(K32))),0.000001))^2)/(2*$I$5))))-((ABS(G96)/MAX(((F32)+(H32)*(MAX($D$16,(D96)-(J32))))*(MAX($D$16,(D96)-(J32))),0.000001))^2)/(2*$I$5)</f>
        <v>52432.14183766082</v>
      </c>
      <c r="Q96">
        <f>L96+((ABS(H96)/MAX(((G33)+(I33)*(MAX($D$16,(L96)-(K33))))*(MAX($D$16,(L96)-(K33))),0.000001))^2)/(2*$I$5)+((E33)*((((ABS(H96)*$D$6)/(MAX(((F33)+(H33)*(MAX($D$16,(D96)-(J33))))*(MAX($D$16,(D96)-(J33))),0.000001)*MAX(((((F33)+(H33)*(MAX($D$16,(D96)-(J33))))*(MAX($D$16,(D96)-(J33))))/MAX((F33)+2*(MAX($D$16,(D96)-(J33)))*SQRT(1+(H33)^2),0.000001))^(2/3),0.000001)))^2)+(((ABS(H96)*$D$6)/(MAX(((G33)+(I33)*(MAX($D$16,(L96)-(K33))))*(MAX($D$16,(L96)-(K33))),0.000001)*MAX(((((G33)+(I33)*(MAX($D$16,(L96)-(K33))))*(MAX($D$16,(L96)-(K33))))/MAX((G33)+2*(MAX($D$16,(L96)-(K33)))*SQRT(1+(I33)^2),0.000001))^(2/3),0.000001)))^2))/2)+(IF((ABS(H96)/MAX(((G33)+(I33)*(MAX($D$16,(L96)-(K33))))*(MAX($D$16,(L96)-(K33))),0.000001))&gt;(ABS(H96)/MAX(((F33)+(H33)*(MAX($D$16,(D96)-(J33))))*(MAX($D$16,(D96)-(J33))),0.000001)),$D$9*((((ABS(H96)/MAX(((G33)+(I33)*(MAX($D$16,(L96)-(K33))))*(MAX($D$16,(L96)-(K33))),0.000001))^2)/(2*$I$5))-(((ABS(H96)/MAX(((F33)+(H33)*(MAX($D$16,(D96)-(J33))))*(MAX($D$16,(D96)-(J33))),0.000001))^2)/(2*$I$5))),$D$8*((((ABS(H96)/MAX(((F33)+(H33)*(MAX($D$16,(D96)-(J33))))*(MAX($D$16,(D96)-(J33))),0.000001))^2)/(2*$I$5))-(((ABS(H96)/MAX(((G33)+(I33)*(MAX($D$16,(L96)-(K33))))*(MAX($D$16,(L96)-(K33))),0.000001))^2)/(2*$I$5)))))+($D$10*(ABS((X33)-(W33))/90)*MAX(((ABS(H96)/MAX(((F33)+(H33)*(MAX($D$16,(D96)-(J33))))*(MAX($D$16,(D96)-(J33))),0.000001))^2)/(2*$I$5),((ABS(H96)/MAX(((G33)+(I33)*(MAX($D$16,(L96)-(K33))))*(MAX($D$16,(L96)-(K33))),0.000001))^2)/(2*$I$5)))+(($D$11*0.00000015*(ABS(G96)/MAX(ABS(F96),0.000001))^2*MAX(((ABS(H96)/MAX(((F33)+(H33)*(MAX($D$16,(D96)-(J33))))*(MAX($D$16,(D96)-(J33))),0.000001))^2)/(2*$I$5),((ABS(H96)/MAX(((G33)+(I33)*(MAX($D$16,(L96)-(K33))))*(MAX($D$16,(L96)-(K33))),0.000001))^2)/(2*$I$5))))-((ABS(H96)/MAX(((F33)+(H33)*(MAX($D$16,(D96)-(J33))))*(MAX($D$16,(D96)-(J33))),0.000001))^2)/(2*$I$5)</f>
        <v>634.3119999999999</v>
      </c>
      <c r="R96">
        <f>D96+((ABS(G96)/MAX(((F32)+(H32)*(MAX($D$16,(D96)-(J32))))*(MAX($D$16,(D96)-(J32))),0.000001))^2)/(2*$I$5)-((E32)*((((ABS(G96)*$D$6)/(MAX(((F32)+(H32)*(MAX($D$16,(D96)-(J32))))*(MAX($D$16,(D96)-(J32))),0.000001)*MAX(((((F32)+(H32)*(MAX($D$16,(D96)-(J32))))*(MAX($D$16,(D96)-(J32))))/MAX((F32)+2*(MAX($D$16,(D96)-(J32)))*SQRT(1+(H32)^2),0.000001))^(2/3),0.000001)))^2)+(((ABS(G96)*$D$6)/(MAX(((G32)+(I32)*(MAX($D$16,(E96)-(K32))))*(MAX($D$16,(E96)-(K32))),0.000001)*MAX(((((G32)+(I32)*(MAX($D$16,(E96)-(K32))))*(MAX($D$16,(E96)-(K32))))/MAX((G32)+2*(MAX($D$16,(E96)-(K32)))*SQRT(1+(I32)^2),0.000001))^(2/3),0.000001)))^2))/2)+(IF((ABS(G96)/MAX(((G32)+(I32)*(MAX($D$16,(E96)-(K32))))*(MAX($D$16,(E96)-(K32))),0.000001))&gt;(ABS(G96)/MAX(((F32)+(H32)*(MAX($D$16,(D96)-(J32))))*(MAX($D$16,(D96)-(J32))),0.000001)),$D$9*((((ABS(G96)/MAX(((G32)+(I32)*(MAX($D$16,(E96)-(K32))))*(MAX($D$16,(E96)-(K32))),0.000001))^2)/(2*$I$5))-(((ABS(G96)/MAX(((F32)+(H32)*(MAX($D$16,(D96)-(J32))))*(MAX($D$16,(D96)-(J32))),0.000001))^2)/(2*$I$5))),$D$8*((((ABS(G96)/MAX(((F32)+(H32)*(MAX($D$16,(D96)-(J32))))*(MAX($D$16,(D96)-(J32))),0.000001))^2)/(2*$I$5))-(((ABS(G96)/MAX(((G32)+(I32)*(MAX($D$16,(E96)-(K32))))*(MAX($D$16,(E96)-(K32))),0.000001))^2)/(2*$I$5)))))+($D$10*(ABS((X32)-(W32))/90)*MAX(((ABS(G96)/MAX(((F32)+(H32)*(MAX($D$16,(D96)-(J32))))*(MAX($D$16,(D96)-(J32))),0.000001))^2)/(2*$I$5),((ABS(G96)/MAX(((G32)+(I32)*(MAX($D$16,(E96)-(K32))))*(MAX($D$16,(E96)-(K32))),0.000001))^2)/(2*$I$5)))+(($D$11*0.13607488*(ABS(H96)/MAX(ABS(F96),0.000001))^2*MAX(((ABS(G96)/MAX(((F32)+(H32)*(MAX($D$16,(D96)-(J32))))*(MAX($D$16,(D96)-(J32))),0.000001))^2)/(2*$I$5),((ABS(G96)/MAX(((G32)+(I32)*(MAX($D$16,(E96)-(K32))))*(MAX($D$16,(E96)-(K32))),0.000001))^2)/(2*$I$5))))-((ABS(G96)/MAX(((G32)+(I32)*(MAX($D$16,(E96)-(K32))))*(MAX($D$16,(E96)-(K32))),0.000001))^2)/(2*$I$5)</f>
        <v>52432.141837660609</v>
      </c>
      <c r="S96">
        <f>M96+((ABS(I96)/MAX(((G34)+(I34)*(MAX($D$16,(M96)-(K34))))*(MAX($D$16,(M96)-(K34))),0.000001))^2)/(2*$I$5)+((E34)*((((ABS(I96)*$D$6)/(MAX(((F34)+(H34)*(MAX($D$16,(E96)-(J34))))*(MAX($D$16,(E96)-(J34))),0.000001)*MAX(((((F34)+(H34)*(MAX($D$16,(E96)-(J34))))*(MAX($D$16,(E96)-(J34))))/MAX((F34)+2*(MAX($D$16,(E96)-(J34)))*SQRT(1+(H34)^2),0.000001))^(2/3),0.000001)))^2)+(((ABS(I96)*$D$6)/(MAX(((G34)+(I34)*(MAX($D$16,(M96)-(K34))))*(MAX($D$16,(M96)-(K34))),0.000001)*MAX(((((G34)+(I34)*(MAX($D$16,(M96)-(K34))))*(MAX($D$16,(M96)-(K34))))/MAX((G34)+2*(MAX($D$16,(M96)-(K34)))*SQRT(1+(I34)^2),0.000001))^(2/3),0.000001)))^2))/2)+(IF((ABS(I96)/MAX(((G34)+(I34)*(MAX($D$16,(M96)-(K34))))*(MAX($D$16,(M96)-(K34))),0.000001))&gt;(ABS(I96)/MAX(((F34)+(H34)*(MAX($D$16,(E96)-(J34))))*(MAX($D$16,(E96)-(J34))),0.000001)),$D$9*((((ABS(I96)/MAX(((G34)+(I34)*(MAX($D$16,(M96)-(K34))))*(MAX($D$16,(M96)-(K34))),0.000001))^2)/(2*$I$5))-(((ABS(I96)/MAX(((F34)+(H34)*(MAX($D$16,(E96)-(J34))))*(MAX($D$16,(E96)-(J34))),0.000001))^2)/(2*$I$5))),$D$8*((((ABS(I96)/MAX(((F34)+(H34)*(MAX($D$16,(E96)-(J34))))*(MAX($D$16,(E96)-(J34))),0.000001))^2)/(2*$I$5))-(((ABS(I96)/MAX(((G34)+(I34)*(MAX($D$16,(M96)-(K34))))*(MAX($D$16,(M96)-(K34))),0.000001))^2)/(2*$I$5)))))+($D$10*(ABS((X34)-(W34))/90)*MAX(((ABS(I96)/MAX(((F34)+(H34)*(MAX($D$16,(E96)-(J34))))*(MAX($D$16,(E96)-(J34))),0.000001))^2)/(2*$I$5),((ABS(I96)/MAX(((G34)+(I34)*(MAX($D$16,(M96)-(K34))))*(MAX($D$16,(M96)-(K34))),0.000001))^2)/(2*$I$5)))+(0)-((ABS(I96)/MAX(((F34)+(H34)*(MAX($D$16,(E96)-(J34))))*(MAX($D$16,(E96)-(J34))),0.000001))^2)/(2*$I$5)</f>
        <v>635.5</v>
      </c>
      <c r="T96">
        <f>N96+((ABS(J96)/MAX(((G35)+(I35)*(MAX($D$16,(N96)-(K35))))*(MAX($D$16,(N96)-(K35))),0.000001))^2)/(2*$I$5)+((E35)*((((ABS(J96)*$D$6)/(MAX(((F35)+(H35)*(MAX($D$16,(E96)-(J35))))*(MAX($D$16,(E96)-(J35))),0.000001)*MAX(((((F35)+(H35)*(MAX($D$16,(E96)-(J35))))*(MAX($D$16,(E96)-(J35))))/MAX((F35)+2*(MAX($D$16,(E96)-(J35)))*SQRT(1+(H35)^2),0.000001))^(2/3),0.000001)))^2)+(((ABS(J96)*$D$6)/(MAX(((G35)+(I35)*(MAX($D$16,(N96)-(K35))))*(MAX($D$16,(N96)-(K35))),0.000001)*MAX(((((G35)+(I35)*(MAX($D$16,(N96)-(K35))))*(MAX($D$16,(N96)-(K35))))/MAX((G35)+2*(MAX($D$16,(N96)-(K35)))*SQRT(1+(I35)^2),0.000001))^(2/3),0.000001)))^2))/2)+(IF((ABS(J96)/MAX(((G35)+(I35)*(MAX($D$16,(N96)-(K35))))*(MAX($D$16,(N96)-(K35))),0.000001))&gt;(ABS(J96)/MAX(((F35)+(H35)*(MAX($D$16,(E96)-(J35))))*(MAX($D$16,(E96)-(J35))),0.000001)),$D$9*((((ABS(J96)/MAX(((G35)+(I35)*(MAX($D$16,(N96)-(K35))))*(MAX($D$16,(N96)-(K35))),0.000001))^2)/(2*$I$5))-(((ABS(J96)/MAX(((F35)+(H35)*(MAX($D$16,(E96)-(J35))))*(MAX($D$16,(E96)-(J35))),0.000001))^2)/(2*$I$5))),$D$8*((((ABS(J96)/MAX(((F35)+(H35)*(MAX($D$16,(E96)-(J35))))*(MAX($D$16,(E96)-(J35))),0.000001))^2)/(2*$I$5))-(((ABS(J96)/MAX(((G35)+(I35)*(MAX($D$16,(N96)-(K35))))*(MAX($D$16,(N96)-(K35))),0.000001))^2)/(2*$I$5)))))+($D$10*(ABS((X35)-(W35))/90)*MAX(((ABS(J96)/MAX(((F35)+(H35)*(MAX($D$16,(E96)-(J35))))*(MAX($D$16,(E96)-(J35))),0.000001))^2)/(2*$I$5),((ABS(J96)/MAX(((G35)+(I35)*(MAX($D$16,(N96)-(K35))))*(MAX($D$16,(N96)-(K35))),0.000001))^2)/(2*$I$5)))+(($D$11*0.34699541*(ABS(I96)/MAX(ABS(G96),0.000001))^2*MAX(((ABS(J96)/MAX(((F35)+(H35)*(MAX($D$16,(E96)-(J35))))*(MAX($D$16,(E96)-(J35))),0.000001))^2)/(2*$I$5),((ABS(J96)/MAX(((G35)+(I35)*(MAX($D$16,(N96)-(K35))))*(MAX($D$16,(N96)-(K35))),0.000001))^2)/(2*$I$5))))-((ABS(J96)/MAX(((F35)+(H35)*(MAX($D$16,(E96)-(J35))))*(MAX($D$16,(E96)-(J35))),0.000001))^2)/(2*$I$5)</f>
        <v>20784.033523923383</v>
      </c>
      <c r="U96">
        <f>(((((F32)*(MAX($D$16,(D96)-(J32)))^2)/2+(H32)*(MAX($D$16,(D96)-(J32)))^3/3+(ABS(G96)^2)/($I$5*MAX(((F32)+(H32)*(MAX($D$16,(D96)-(J32))))*(MAX($D$16,(D96)-(J32))),0.000001)))*0.72785025)-((((F33)*(MAX($D$16,(D96)-(J33)))^2)/2+(H33)*(MAX($D$16,(D96)-(J33)))^3/3+(ABS(H96)^2)/($I$5*MAX(((F33)+(H33)*(MAX($D$16,(D96)-(J33))))*(MAX($D$16,(D96)-(J33))),0.000001)))*0.99999971))/MAX(((G31)*(MAX($D$16,(D96)-(K31)))^2)/2+(I31)*(MAX($D$16,(D96)-(K31)))^3/3+(ABS(F96)^2)/($I$5*MAX(((G31)+(I31)*(MAX($D$16,(D96)-(K31))))*(MAX($D$16,(D96)-(K31))),0.000001)),0.000001)</f>
        <v>-0.27214945999991119</v>
      </c>
      <c r="V96">
        <f>(((((F34)*(MAX($D$16,(E96)-(J34)))^2)/2+(H34)*(MAX($D$16,(E96)-(J34)))^3/3+(ABS(I96)^2)/($I$5*MAX(((F34)+(H34)*(MAX($D$16,(E96)-(J34))))*(MAX($D$16,(E96)-(J34))),0.000001)))*1)-((((F35)*(MAX($D$16,(E96)-(J35)))^2)/2+(H35)*(MAX($D$16,(E96)-(J35)))^3/3+(ABS(J96)^2)/($I$5*MAX(((F35)+(H35)*(MAX($D$16,(E96)-(J35))))*(MAX($D$16,(E96)-(J35))),0.000001)))*0.30600918))/MAX(((G32)*(MAX($D$16,(E96)-(K32)))^2)/2+(I32)*(MAX($D$16,(E96)-(K32)))^3/3+(ABS(G96)^2)/($I$5*MAX(((G32)+(I32)*(MAX($D$16,(E96)-(K32))))*(MAX($D$16,(E96)-(K32))),0.000001)),0.000001)</f>
        <v>0.69398638937190393</v>
      </c>
      <c r="W96">
        <f>IF(N6="None",ABS(P96-D96),MAX(ABS(P96-D96),ABS(Q96-D96)))</f>
        <v>3.4197000786662102E-10</v>
      </c>
      <c r="X96">
        <f>IF(AND(N7="None",N8="None"),0,IF(N8="None",ABS(S96-E96),IF(N7="None",ABS(T96-E96),MAX(ABS(S96-E96),ABS(T96-E96)))))</f>
        <v>51796.641837660267</v>
      </c>
      <c r="AA96">
        <f t="shared" si="18"/>
        <v>52432.141837660594</v>
      </c>
      <c r="AB96">
        <f t="shared" si="19"/>
        <v>41355.303927852357</v>
      </c>
      <c r="AC96">
        <f>IF(N6="None",P96,MAX(P96,Q96))</f>
        <v>52432.14183766082</v>
      </c>
      <c r="AD96">
        <f>IF(AND(N7="None",N8="None"),E96,IF(N8="None",S96,IF(N7="None",T96,MAX(S96,T96))))</f>
        <v>20784.033523923383</v>
      </c>
      <c r="AE96">
        <f t="shared" si="20"/>
        <v>637.65825101089831</v>
      </c>
      <c r="AF96">
        <f t="shared" si="21"/>
        <v>52432.141837660609</v>
      </c>
      <c r="AG96">
        <f>((G31)*(MAX($D$16,(AC96)-(K31)))^2)/2+(I31)*(MAX($D$16,(AC96)-(K31)))^3/3+(ABS(F96)^2)/($I$5*MAX(((G31)+(I31)*(MAX($D$16,(AC96)-(K31))))*(MAX($D$16,(AC96)-(K31))),0.000001))</f>
        <v>8797611517.4112339</v>
      </c>
      <c r="AH96">
        <f>((G31)*(MAX($D$16,(AE96)-(K31)))^2)/2+(I31)*(MAX($D$16,(AE96)-(K31)))^3/3+(ABS(F96)^2)/($I$5*MAX(((G31)+(I31)*(MAX($D$16,(AE96)-(K31))))*(MAX($D$16,(AE96)-(K31))),0.000001))</f>
        <v>49.055863329575246</v>
      </c>
      <c r="AI96">
        <f>((G32)*(MAX($D$16,(AD96)-(K32)))^2)/2+(I32)*(MAX($D$16,(AD96)-(K32)))^3/3+(ABS(G96)^2)/($I$5*MAX(((G32)+(I32)*(MAX($D$16,(AD96)-(K32))))*(MAX($D$16,(AD96)-(K32))),0.000001))</f>
        <v>2072376743.6648321</v>
      </c>
      <c r="AJ96">
        <f>((G32)*(MAX($D$16,(AF96)-(K32)))^2)/2+(I32)*(MAX($D$16,(AF96)-(K32)))^3/3+(ABS(G96)^2)/($I$5*MAX(((G32)+(I32)*(MAX($D$16,(AF96)-(K32))))*(MAX($D$16,(AF96)-(K32))),0.000001))</f>
        <v>13692714789.643351</v>
      </c>
      <c r="AK96" t="str">
        <f t="shared" si="22"/>
        <v>Subcritical</v>
      </c>
      <c r="AL96" t="str">
        <f t="shared" si="23"/>
        <v>Supercritical</v>
      </c>
      <c r="AM96">
        <f t="shared" si="24"/>
        <v>52432.141837660594</v>
      </c>
      <c r="AN96">
        <f t="shared" si="25"/>
        <v>52432.141837660383</v>
      </c>
      <c r="AO96">
        <f t="shared" si="26"/>
        <v>3.4197000786662102E-10</v>
      </c>
      <c r="AP96">
        <f t="shared" si="27"/>
        <v>3.4197000786662102E-10</v>
      </c>
    </row>
    <row r="97" spans="1:42" x14ac:dyDescent="0.35">
      <c r="A97">
        <v>54</v>
      </c>
      <c r="B97">
        <f t="shared" si="28"/>
        <v>0</v>
      </c>
      <c r="C97">
        <f t="shared" si="29"/>
        <v>0</v>
      </c>
      <c r="D97">
        <f t="shared" si="30"/>
        <v>52432.141837660594</v>
      </c>
      <c r="E97">
        <f t="shared" si="31"/>
        <v>52432.141837660383</v>
      </c>
      <c r="F97">
        <f t="shared" si="17"/>
        <v>51</v>
      </c>
      <c r="G97">
        <f>IF(N6="None",F97,MAX(0,F97*B97))</f>
        <v>51</v>
      </c>
      <c r="H97">
        <f>IF(N6="None",0,MAX(0,F97-G97))</f>
        <v>0</v>
      </c>
      <c r="I97">
        <f>IF(AND(N7="None",N8="None"),0,IF(N8="None",G97,IF(N7="None",0,MAX(0,G97*C97))))</f>
        <v>0</v>
      </c>
      <c r="J97">
        <f>IF(AND(N7="None",N8="None"),0,IF(N8="None",0,IF(N7="None",G97,MAX(0,G97-I97))))</f>
        <v>51</v>
      </c>
      <c r="K97">
        <f>P5</f>
        <v>637</v>
      </c>
      <c r="L97">
        <f>P6</f>
        <v>634.3119999999999</v>
      </c>
      <c r="M97">
        <f>P7</f>
        <v>635.5</v>
      </c>
      <c r="N97">
        <f>P8</f>
        <v>631.54999999999995</v>
      </c>
      <c r="O97">
        <f>K97+((ABS(F97)/MAX(((F31)+(H31)*(MAX($D$16,(K97)-(J31))))*(MAX($D$16,(K97)-(J31))),0.000001))^2)/(2*$I$5)-((E31)*((((ABS(F97)*$D$6)/(MAX(((F31)+(H31)*(MAX($D$16,(K97)-(J31))))*(MAX($D$16,(K97)-(J31))),0.000001)*MAX(((((F31)+(H31)*(MAX($D$16,(K97)-(J31))))*(MAX($D$16,(K97)-(J31))))/MAX((F31)+2*(MAX($D$16,(K97)-(J31)))*SQRT(1+(H31)^2),0.000001))^(2/3),0.000001)))^2)+(((ABS(F97)*$D$6)/(MAX(((G31)+(I31)*(MAX($D$16,(D97)-(K31))))*(MAX($D$16,(D97)-(K31))),0.000001)*MAX(((((G31)+(I31)*(MAX($D$16,(D97)-(K31))))*(MAX($D$16,(D97)-(K31))))/MAX((G31)+2*(MAX($D$16,(D97)-(K31)))*SQRT(1+(I31)^2),0.000001))^(2/3),0.000001)))^2))/2)+(IF((ABS(F97)/MAX(((G31)+(I31)*(MAX($D$16,(D97)-(K31))))*(MAX($D$16,(D97)-(K31))),0.000001))&gt;(ABS(F97)/MAX(((F31)+(H31)*(MAX($D$16,(K97)-(J31))))*(MAX($D$16,(K97)-(J31))),0.000001)),$D$9*((((ABS(F97)/MAX(((G31)+(I31)*(MAX($D$16,(D97)-(K31))))*(MAX($D$16,(D97)-(K31))),0.000001))^2)/(2*$I$5))-(((ABS(F97)/MAX(((F31)+(H31)*(MAX($D$16,(K97)-(J31))))*(MAX($D$16,(K97)-(J31))),0.000001))^2)/(2*$I$5))),$D$8*((((ABS(F97)/MAX(((F31)+(H31)*(MAX($D$16,(K97)-(J31))))*(MAX($D$16,(K97)-(J31))),0.000001))^2)/(2*$I$5))-(((ABS(F97)/MAX(((G31)+(I31)*(MAX($D$16,(D97)-(K31))))*(MAX($D$16,(D97)-(K31))),0.000001))^2)/(2*$I$5)))))+($D$10*(ABS((X31)-(W31))/90)*MAX(((ABS(F97)/MAX(((F31)+(H31)*(MAX($D$16,(K97)-(J31))))*(MAX($D$16,(K97)-(J31))),0.000001))^2)/(2*$I$5),((ABS(F97)/MAX(((G31)+(I31)*(MAX($D$16,(D97)-(K31))))*(MAX($D$16,(D97)-(K31))),0.000001))^2)/(2*$I$5)))+(0)-((ABS(F97)/MAX(((G31)+(I31)*(MAX($D$16,(D97)-(K31))))*(MAX($D$16,(D97)-(K31))),0.000001))^2)/(2*$I$5)</f>
        <v>637.65825101089831</v>
      </c>
      <c r="P97">
        <f>E97+((ABS(G97)/MAX(((G32)+(I32)*(MAX($D$16,(E97)-(K32))))*(MAX($D$16,(E97)-(K32))),0.000001))^2)/(2*$I$5)+((E32)*((((ABS(G97)*$D$6)/(MAX(((F32)+(H32)*(MAX($D$16,(D97)-(J32))))*(MAX($D$16,(D97)-(J32))),0.000001)*MAX(((((F32)+(H32)*(MAX($D$16,(D97)-(J32))))*(MAX($D$16,(D97)-(J32))))/MAX((F32)+2*(MAX($D$16,(D97)-(J32)))*SQRT(1+(H32)^2),0.000001))^(2/3),0.000001)))^2)+(((ABS(G97)*$D$6)/(MAX(((G32)+(I32)*(MAX($D$16,(E97)-(K32))))*(MAX($D$16,(E97)-(K32))),0.000001)*MAX(((((G32)+(I32)*(MAX($D$16,(E97)-(K32))))*(MAX($D$16,(E97)-(K32))))/MAX((G32)+2*(MAX($D$16,(E97)-(K32)))*SQRT(1+(I32)^2),0.000001))^(2/3),0.000001)))^2))/2)+(IF((ABS(G97)/MAX(((G32)+(I32)*(MAX($D$16,(E97)-(K32))))*(MAX($D$16,(E97)-(K32))),0.000001))&gt;(ABS(G97)/MAX(((F32)+(H32)*(MAX($D$16,(D97)-(J32))))*(MAX($D$16,(D97)-(J32))),0.000001)),$D$9*((((ABS(G97)/MAX(((G32)+(I32)*(MAX($D$16,(E97)-(K32))))*(MAX($D$16,(E97)-(K32))),0.000001))^2)/(2*$I$5))-(((ABS(G97)/MAX(((F32)+(H32)*(MAX($D$16,(D97)-(J32))))*(MAX($D$16,(D97)-(J32))),0.000001))^2)/(2*$I$5))),$D$8*((((ABS(G97)/MAX(((F32)+(H32)*(MAX($D$16,(D97)-(J32))))*(MAX($D$16,(D97)-(J32))),0.000001))^2)/(2*$I$5))-(((ABS(G97)/MAX(((G32)+(I32)*(MAX($D$16,(E97)-(K32))))*(MAX($D$16,(E97)-(K32))),0.000001))^2)/(2*$I$5)))))+($D$10*(ABS((X32)-(W32))/90)*MAX(((ABS(G97)/MAX(((F32)+(H32)*(MAX($D$16,(D97)-(J32))))*(MAX($D$16,(D97)-(J32))),0.000001))^2)/(2*$I$5),((ABS(G97)/MAX(((G32)+(I32)*(MAX($D$16,(E97)-(K32))))*(MAX($D$16,(E97)-(K32))),0.000001))^2)/(2*$I$5)))+(($D$11*0.13607488*(ABS(H97)/MAX(ABS(F97),0.000001))^2*MAX(((ABS(G97)/MAX(((F32)+(H32)*(MAX($D$16,(D97)-(J32))))*(MAX($D$16,(D97)-(J32))),0.000001))^2)/(2*$I$5),((ABS(G97)/MAX(((G32)+(I32)*(MAX($D$16,(E97)-(K32))))*(MAX($D$16,(E97)-(K32))),0.000001))^2)/(2*$I$5))))-((ABS(G97)/MAX(((F32)+(H32)*(MAX($D$16,(D97)-(J32))))*(MAX($D$16,(D97)-(J32))),0.000001))^2)/(2*$I$5)</f>
        <v>52432.141837660936</v>
      </c>
      <c r="Q97">
        <f>L97+((ABS(H97)/MAX(((G33)+(I33)*(MAX($D$16,(L97)-(K33))))*(MAX($D$16,(L97)-(K33))),0.000001))^2)/(2*$I$5)+((E33)*((((ABS(H97)*$D$6)/(MAX(((F33)+(H33)*(MAX($D$16,(D97)-(J33))))*(MAX($D$16,(D97)-(J33))),0.000001)*MAX(((((F33)+(H33)*(MAX($D$16,(D97)-(J33))))*(MAX($D$16,(D97)-(J33))))/MAX((F33)+2*(MAX($D$16,(D97)-(J33)))*SQRT(1+(H33)^2),0.000001))^(2/3),0.000001)))^2)+(((ABS(H97)*$D$6)/(MAX(((G33)+(I33)*(MAX($D$16,(L97)-(K33))))*(MAX($D$16,(L97)-(K33))),0.000001)*MAX(((((G33)+(I33)*(MAX($D$16,(L97)-(K33))))*(MAX($D$16,(L97)-(K33))))/MAX((G33)+2*(MAX($D$16,(L97)-(K33)))*SQRT(1+(I33)^2),0.000001))^(2/3),0.000001)))^2))/2)+(IF((ABS(H97)/MAX(((G33)+(I33)*(MAX($D$16,(L97)-(K33))))*(MAX($D$16,(L97)-(K33))),0.000001))&gt;(ABS(H97)/MAX(((F33)+(H33)*(MAX($D$16,(D97)-(J33))))*(MAX($D$16,(D97)-(J33))),0.000001)),$D$9*((((ABS(H97)/MAX(((G33)+(I33)*(MAX($D$16,(L97)-(K33))))*(MAX($D$16,(L97)-(K33))),0.000001))^2)/(2*$I$5))-(((ABS(H97)/MAX(((F33)+(H33)*(MAX($D$16,(D97)-(J33))))*(MAX($D$16,(D97)-(J33))),0.000001))^2)/(2*$I$5))),$D$8*((((ABS(H97)/MAX(((F33)+(H33)*(MAX($D$16,(D97)-(J33))))*(MAX($D$16,(D97)-(J33))),0.000001))^2)/(2*$I$5))-(((ABS(H97)/MAX(((G33)+(I33)*(MAX($D$16,(L97)-(K33))))*(MAX($D$16,(L97)-(K33))),0.000001))^2)/(2*$I$5)))))+($D$10*(ABS((X33)-(W33))/90)*MAX(((ABS(H97)/MAX(((F33)+(H33)*(MAX($D$16,(D97)-(J33))))*(MAX($D$16,(D97)-(J33))),0.000001))^2)/(2*$I$5),((ABS(H97)/MAX(((G33)+(I33)*(MAX($D$16,(L97)-(K33))))*(MAX($D$16,(L97)-(K33))),0.000001))^2)/(2*$I$5)))+(($D$11*0.00000015*(ABS(G97)/MAX(ABS(F97),0.000001))^2*MAX(((ABS(H97)/MAX(((F33)+(H33)*(MAX($D$16,(D97)-(J33))))*(MAX($D$16,(D97)-(J33))),0.000001))^2)/(2*$I$5),((ABS(H97)/MAX(((G33)+(I33)*(MAX($D$16,(L97)-(K33))))*(MAX($D$16,(L97)-(K33))),0.000001))^2)/(2*$I$5))))-((ABS(H97)/MAX(((F33)+(H33)*(MAX($D$16,(D97)-(J33))))*(MAX($D$16,(D97)-(J33))),0.000001))^2)/(2*$I$5)</f>
        <v>634.3119999999999</v>
      </c>
      <c r="R97">
        <f>D97+((ABS(G97)/MAX(((F32)+(H32)*(MAX($D$16,(D97)-(J32))))*(MAX($D$16,(D97)-(J32))),0.000001))^2)/(2*$I$5)-((E32)*((((ABS(G97)*$D$6)/(MAX(((F32)+(H32)*(MAX($D$16,(D97)-(J32))))*(MAX($D$16,(D97)-(J32))),0.000001)*MAX(((((F32)+(H32)*(MAX($D$16,(D97)-(J32))))*(MAX($D$16,(D97)-(J32))))/MAX((F32)+2*(MAX($D$16,(D97)-(J32)))*SQRT(1+(H32)^2),0.000001))^(2/3),0.000001)))^2)+(((ABS(G97)*$D$6)/(MAX(((G32)+(I32)*(MAX($D$16,(E97)-(K32))))*(MAX($D$16,(E97)-(K32))),0.000001)*MAX(((((G32)+(I32)*(MAX($D$16,(E97)-(K32))))*(MAX($D$16,(E97)-(K32))))/MAX((G32)+2*(MAX($D$16,(E97)-(K32)))*SQRT(1+(I32)^2),0.000001))^(2/3),0.000001)))^2))/2)+(IF((ABS(G97)/MAX(((G32)+(I32)*(MAX($D$16,(E97)-(K32))))*(MAX($D$16,(E97)-(K32))),0.000001))&gt;(ABS(G97)/MAX(((F32)+(H32)*(MAX($D$16,(D97)-(J32))))*(MAX($D$16,(D97)-(J32))),0.000001)),$D$9*((((ABS(G97)/MAX(((G32)+(I32)*(MAX($D$16,(E97)-(K32))))*(MAX($D$16,(E97)-(K32))),0.000001))^2)/(2*$I$5))-(((ABS(G97)/MAX(((F32)+(H32)*(MAX($D$16,(D97)-(J32))))*(MAX($D$16,(D97)-(J32))),0.000001))^2)/(2*$I$5))),$D$8*((((ABS(G97)/MAX(((F32)+(H32)*(MAX($D$16,(D97)-(J32))))*(MAX($D$16,(D97)-(J32))),0.000001))^2)/(2*$I$5))-(((ABS(G97)/MAX(((G32)+(I32)*(MAX($D$16,(E97)-(K32))))*(MAX($D$16,(E97)-(K32))),0.000001))^2)/(2*$I$5)))))+($D$10*(ABS((X32)-(W32))/90)*MAX(((ABS(G97)/MAX(((F32)+(H32)*(MAX($D$16,(D97)-(J32))))*(MAX($D$16,(D97)-(J32))),0.000001))^2)/(2*$I$5),((ABS(G97)/MAX(((G32)+(I32)*(MAX($D$16,(E97)-(K32))))*(MAX($D$16,(E97)-(K32))),0.000001))^2)/(2*$I$5)))+(($D$11*0.13607488*(ABS(H97)/MAX(ABS(F97),0.000001))^2*MAX(((ABS(G97)/MAX(((F32)+(H32)*(MAX($D$16,(D97)-(J32))))*(MAX($D$16,(D97)-(J32))),0.000001))^2)/(2*$I$5),((ABS(G97)/MAX(((G32)+(I32)*(MAX($D$16,(E97)-(K32))))*(MAX($D$16,(E97)-(K32))),0.000001))^2)/(2*$I$5))))-((ABS(G97)/MAX(((G32)+(I32)*(MAX($D$16,(E97)-(K32))))*(MAX($D$16,(E97)-(K32))),0.000001))^2)/(2*$I$5)</f>
        <v>52432.141837660725</v>
      </c>
      <c r="S97">
        <f>M97+((ABS(I97)/MAX(((G34)+(I34)*(MAX($D$16,(M97)-(K34))))*(MAX($D$16,(M97)-(K34))),0.000001))^2)/(2*$I$5)+((E34)*((((ABS(I97)*$D$6)/(MAX(((F34)+(H34)*(MAX($D$16,(E97)-(J34))))*(MAX($D$16,(E97)-(J34))),0.000001)*MAX(((((F34)+(H34)*(MAX($D$16,(E97)-(J34))))*(MAX($D$16,(E97)-(J34))))/MAX((F34)+2*(MAX($D$16,(E97)-(J34)))*SQRT(1+(H34)^2),0.000001))^(2/3),0.000001)))^2)+(((ABS(I97)*$D$6)/(MAX(((G34)+(I34)*(MAX($D$16,(M97)-(K34))))*(MAX($D$16,(M97)-(K34))),0.000001)*MAX(((((G34)+(I34)*(MAX($D$16,(M97)-(K34))))*(MAX($D$16,(M97)-(K34))))/MAX((G34)+2*(MAX($D$16,(M97)-(K34)))*SQRT(1+(I34)^2),0.000001))^(2/3),0.000001)))^2))/2)+(IF((ABS(I97)/MAX(((G34)+(I34)*(MAX($D$16,(M97)-(K34))))*(MAX($D$16,(M97)-(K34))),0.000001))&gt;(ABS(I97)/MAX(((F34)+(H34)*(MAX($D$16,(E97)-(J34))))*(MAX($D$16,(E97)-(J34))),0.000001)),$D$9*((((ABS(I97)/MAX(((G34)+(I34)*(MAX($D$16,(M97)-(K34))))*(MAX($D$16,(M97)-(K34))),0.000001))^2)/(2*$I$5))-(((ABS(I97)/MAX(((F34)+(H34)*(MAX($D$16,(E97)-(J34))))*(MAX($D$16,(E97)-(J34))),0.000001))^2)/(2*$I$5))),$D$8*((((ABS(I97)/MAX(((F34)+(H34)*(MAX($D$16,(E97)-(J34))))*(MAX($D$16,(E97)-(J34))),0.000001))^2)/(2*$I$5))-(((ABS(I97)/MAX(((G34)+(I34)*(MAX($D$16,(M97)-(K34))))*(MAX($D$16,(M97)-(K34))),0.000001))^2)/(2*$I$5)))))+($D$10*(ABS((X34)-(W34))/90)*MAX(((ABS(I97)/MAX(((F34)+(H34)*(MAX($D$16,(E97)-(J34))))*(MAX($D$16,(E97)-(J34))),0.000001))^2)/(2*$I$5),((ABS(I97)/MAX(((G34)+(I34)*(MAX($D$16,(M97)-(K34))))*(MAX($D$16,(M97)-(K34))),0.000001))^2)/(2*$I$5)))+(0)-((ABS(I97)/MAX(((F34)+(H34)*(MAX($D$16,(E97)-(J34))))*(MAX($D$16,(E97)-(J34))),0.000001))^2)/(2*$I$5)</f>
        <v>635.5</v>
      </c>
      <c r="T97">
        <f>N97+((ABS(J97)/MAX(((G35)+(I35)*(MAX($D$16,(N97)-(K35))))*(MAX($D$16,(N97)-(K35))),0.000001))^2)/(2*$I$5)+((E35)*((((ABS(J97)*$D$6)/(MAX(((F35)+(H35)*(MAX($D$16,(E97)-(J35))))*(MAX($D$16,(E97)-(J35))),0.000001)*MAX(((((F35)+(H35)*(MAX($D$16,(E97)-(J35))))*(MAX($D$16,(E97)-(J35))))/MAX((F35)+2*(MAX($D$16,(E97)-(J35)))*SQRT(1+(H35)^2),0.000001))^(2/3),0.000001)))^2)+(((ABS(J97)*$D$6)/(MAX(((G35)+(I35)*(MAX($D$16,(N97)-(K35))))*(MAX($D$16,(N97)-(K35))),0.000001)*MAX(((((G35)+(I35)*(MAX($D$16,(N97)-(K35))))*(MAX($D$16,(N97)-(K35))))/MAX((G35)+2*(MAX($D$16,(N97)-(K35)))*SQRT(1+(I35)^2),0.000001))^(2/3),0.000001)))^2))/2)+(IF((ABS(J97)/MAX(((G35)+(I35)*(MAX($D$16,(N97)-(K35))))*(MAX($D$16,(N97)-(K35))),0.000001))&gt;(ABS(J97)/MAX(((F35)+(H35)*(MAX($D$16,(E97)-(J35))))*(MAX($D$16,(E97)-(J35))),0.000001)),$D$9*((((ABS(J97)/MAX(((G35)+(I35)*(MAX($D$16,(N97)-(K35))))*(MAX($D$16,(N97)-(K35))),0.000001))^2)/(2*$I$5))-(((ABS(J97)/MAX(((F35)+(H35)*(MAX($D$16,(E97)-(J35))))*(MAX($D$16,(E97)-(J35))),0.000001))^2)/(2*$I$5))),$D$8*((((ABS(J97)/MAX(((F35)+(H35)*(MAX($D$16,(E97)-(J35))))*(MAX($D$16,(E97)-(J35))),0.000001))^2)/(2*$I$5))-(((ABS(J97)/MAX(((G35)+(I35)*(MAX($D$16,(N97)-(K35))))*(MAX($D$16,(N97)-(K35))),0.000001))^2)/(2*$I$5)))))+($D$10*(ABS((X35)-(W35))/90)*MAX(((ABS(J97)/MAX(((F35)+(H35)*(MAX($D$16,(E97)-(J35))))*(MAX($D$16,(E97)-(J35))),0.000001))^2)/(2*$I$5),((ABS(J97)/MAX(((G35)+(I35)*(MAX($D$16,(N97)-(K35))))*(MAX($D$16,(N97)-(K35))),0.000001))^2)/(2*$I$5)))+(($D$11*0.34699541*(ABS(I97)/MAX(ABS(G97),0.000001))^2*MAX(((ABS(J97)/MAX(((F35)+(H35)*(MAX($D$16,(E97)-(J35))))*(MAX($D$16,(E97)-(J35))),0.000001))^2)/(2*$I$5),((ABS(J97)/MAX(((G35)+(I35)*(MAX($D$16,(N97)-(K35))))*(MAX($D$16,(N97)-(K35))),0.000001))^2)/(2*$I$5))))-((ABS(J97)/MAX(((F35)+(H35)*(MAX($D$16,(E97)-(J35))))*(MAX($D$16,(E97)-(J35))),0.000001))^2)/(2*$I$5)</f>
        <v>20784.033523923383</v>
      </c>
      <c r="U97">
        <f>(((((F32)*(MAX($D$16,(D97)-(J32)))^2)/2+(H32)*(MAX($D$16,(D97)-(J32)))^3/3+(ABS(G97)^2)/($I$5*MAX(((F32)+(H32)*(MAX($D$16,(D97)-(J32))))*(MAX($D$16,(D97)-(J32))),0.000001)))*0.72785025)-((((F33)*(MAX($D$16,(D97)-(J33)))^2)/2+(H33)*(MAX($D$16,(D97)-(J33)))^3/3+(ABS(H97)^2)/($I$5*MAX(((F33)+(H33)*(MAX($D$16,(D97)-(J33))))*(MAX($D$16,(D97)-(J33))),0.000001)))*0.99999971))/MAX(((G31)*(MAX($D$16,(D97)-(K31)))^2)/2+(I31)*(MAX($D$16,(D97)-(K31)))^3/3+(ABS(F97)^2)/($I$5*MAX(((G31)+(I31)*(MAX($D$16,(D97)-(K31))))*(MAX($D$16,(D97)-(K31))),0.000001)),0.000001)</f>
        <v>-0.27214945999991125</v>
      </c>
      <c r="V97">
        <f>(((((F34)*(MAX($D$16,(E97)-(J34)))^2)/2+(H34)*(MAX($D$16,(E97)-(J34)))^3/3+(ABS(I97)^2)/($I$5*MAX(((F34)+(H34)*(MAX($D$16,(E97)-(J34))))*(MAX($D$16,(E97)-(J34))),0.000001)))*1)-((((F35)*(MAX($D$16,(E97)-(J35)))^2)/2+(H35)*(MAX($D$16,(E97)-(J35)))^3/3+(ABS(J97)^2)/($I$5*MAX(((F35)+(H35)*(MAX($D$16,(E97)-(J35))))*(MAX($D$16,(E97)-(J35))),0.000001)))*0.30600918))/MAX(((G32)*(MAX($D$16,(E97)-(K32)))^2)/2+(I32)*(MAX($D$16,(E97)-(K32)))^3/3+(ABS(G97)^2)/($I$5*MAX(((G32)+(I32)*(MAX($D$16,(E97)-(K32))))*(MAX($D$16,(E97)-(K32))),0.000001)),0.000001)</f>
        <v>0.69398638937190393</v>
      </c>
      <c r="W97">
        <f>IF(N6="None",ABS(P97-D97),MAX(ABS(P97-D97),ABS(Q97-D97)))</f>
        <v>3.4197000786662102E-10</v>
      </c>
      <c r="X97">
        <f>IF(AND(N7="None",N8="None"),0,IF(N8="None",ABS(S97-E97),IF(N7="None",ABS(T97-E97),MAX(ABS(S97-E97),ABS(T97-E97)))))</f>
        <v>51796.641837660383</v>
      </c>
      <c r="AA97">
        <f t="shared" si="18"/>
        <v>52432.141837660711</v>
      </c>
      <c r="AB97">
        <f t="shared" si="19"/>
        <v>41355.303927852437</v>
      </c>
      <c r="AC97">
        <f>IF(N6="None",P97,MAX(P97,Q97))</f>
        <v>52432.141837660936</v>
      </c>
      <c r="AD97">
        <f>IF(AND(N7="None",N8="None"),E97,IF(N8="None",S97,IF(N7="None",T97,MAX(S97,T97))))</f>
        <v>20784.033523923383</v>
      </c>
      <c r="AE97">
        <f t="shared" si="20"/>
        <v>637.65825101089831</v>
      </c>
      <c r="AF97">
        <f t="shared" si="21"/>
        <v>52432.141837660725</v>
      </c>
      <c r="AG97">
        <f>((G31)*(MAX($D$16,(AC97)-(K31)))^2)/2+(I31)*(MAX($D$16,(AC97)-(K31)))^3/3+(ABS(F97)^2)/($I$5*MAX(((G31)+(I31)*(MAX($D$16,(AC97)-(K31))))*(MAX($D$16,(AC97)-(K31))),0.000001))</f>
        <v>8797611517.411274</v>
      </c>
      <c r="AH97">
        <f>((G31)*(MAX($D$16,(AE97)-(K31)))^2)/2+(I31)*(MAX($D$16,(AE97)-(K31)))^3/3+(ABS(F97)^2)/($I$5*MAX(((G31)+(I31)*(MAX($D$16,(AE97)-(K31))))*(MAX($D$16,(AE97)-(K31))),0.000001))</f>
        <v>49.055863329575246</v>
      </c>
      <c r="AI97">
        <f>((G32)*(MAX($D$16,(AD97)-(K32)))^2)/2+(I32)*(MAX($D$16,(AD97)-(K32)))^3/3+(ABS(G97)^2)/($I$5*MAX(((G32)+(I32)*(MAX($D$16,(AD97)-(K32))))*(MAX($D$16,(AD97)-(K32))),0.000001))</f>
        <v>2072376743.6648321</v>
      </c>
      <c r="AJ97">
        <f>((G32)*(MAX($D$16,(AF97)-(K32)))^2)/2+(I32)*(MAX($D$16,(AF97)-(K32)))^3/3+(ABS(G97)^2)/($I$5*MAX(((G32)+(I32)*(MAX($D$16,(AF97)-(K32))))*(MAX($D$16,(AF97)-(K32))),0.000001))</f>
        <v>13692714789.643414</v>
      </c>
      <c r="AK97" t="str">
        <f t="shared" si="22"/>
        <v>Subcritical</v>
      </c>
      <c r="AL97" t="str">
        <f t="shared" si="23"/>
        <v>Supercritical</v>
      </c>
      <c r="AM97">
        <f t="shared" si="24"/>
        <v>52432.141837660711</v>
      </c>
      <c r="AN97">
        <f t="shared" si="25"/>
        <v>52432.1418376605</v>
      </c>
      <c r="AO97">
        <f t="shared" si="26"/>
        <v>3.4197000786662102E-10</v>
      </c>
      <c r="AP97">
        <f t="shared" si="27"/>
        <v>3.4197000786662102E-10</v>
      </c>
    </row>
    <row r="98" spans="1:42" x14ac:dyDescent="0.35">
      <c r="A98">
        <v>55</v>
      </c>
      <c r="B98">
        <f t="shared" si="28"/>
        <v>0</v>
      </c>
      <c r="C98">
        <f t="shared" si="29"/>
        <v>0</v>
      </c>
      <c r="D98">
        <f t="shared" si="30"/>
        <v>52432.141837660711</v>
      </c>
      <c r="E98">
        <f t="shared" si="31"/>
        <v>52432.1418376605</v>
      </c>
      <c r="F98">
        <f t="shared" si="17"/>
        <v>51</v>
      </c>
      <c r="G98">
        <f>IF(N6="None",F98,MAX(0,F98*B98))</f>
        <v>51</v>
      </c>
      <c r="H98">
        <f>IF(N6="None",0,MAX(0,F98-G98))</f>
        <v>0</v>
      </c>
      <c r="I98">
        <f>IF(AND(N7="None",N8="None"),0,IF(N8="None",G98,IF(N7="None",0,MAX(0,G98*C98))))</f>
        <v>0</v>
      </c>
      <c r="J98">
        <f>IF(AND(N7="None",N8="None"),0,IF(N8="None",0,IF(N7="None",G98,MAX(0,G98-I98))))</f>
        <v>51</v>
      </c>
      <c r="K98">
        <f>P5</f>
        <v>637</v>
      </c>
      <c r="L98">
        <f>P6</f>
        <v>634.3119999999999</v>
      </c>
      <c r="M98">
        <f>P7</f>
        <v>635.5</v>
      </c>
      <c r="N98">
        <f>P8</f>
        <v>631.54999999999995</v>
      </c>
      <c r="O98">
        <f>K98+((ABS(F98)/MAX(((F31)+(H31)*(MAX($D$16,(K98)-(J31))))*(MAX($D$16,(K98)-(J31))),0.000001))^2)/(2*$I$5)-((E31)*((((ABS(F98)*$D$6)/(MAX(((F31)+(H31)*(MAX($D$16,(K98)-(J31))))*(MAX($D$16,(K98)-(J31))),0.000001)*MAX(((((F31)+(H31)*(MAX($D$16,(K98)-(J31))))*(MAX($D$16,(K98)-(J31))))/MAX((F31)+2*(MAX($D$16,(K98)-(J31)))*SQRT(1+(H31)^2),0.000001))^(2/3),0.000001)))^2)+(((ABS(F98)*$D$6)/(MAX(((G31)+(I31)*(MAX($D$16,(D98)-(K31))))*(MAX($D$16,(D98)-(K31))),0.000001)*MAX(((((G31)+(I31)*(MAX($D$16,(D98)-(K31))))*(MAX($D$16,(D98)-(K31))))/MAX((G31)+2*(MAX($D$16,(D98)-(K31)))*SQRT(1+(I31)^2),0.000001))^(2/3),0.000001)))^2))/2)+(IF((ABS(F98)/MAX(((G31)+(I31)*(MAX($D$16,(D98)-(K31))))*(MAX($D$16,(D98)-(K31))),0.000001))&gt;(ABS(F98)/MAX(((F31)+(H31)*(MAX($D$16,(K98)-(J31))))*(MAX($D$16,(K98)-(J31))),0.000001)),$D$9*((((ABS(F98)/MAX(((G31)+(I31)*(MAX($D$16,(D98)-(K31))))*(MAX($D$16,(D98)-(K31))),0.000001))^2)/(2*$I$5))-(((ABS(F98)/MAX(((F31)+(H31)*(MAX($D$16,(K98)-(J31))))*(MAX($D$16,(K98)-(J31))),0.000001))^2)/(2*$I$5))),$D$8*((((ABS(F98)/MAX(((F31)+(H31)*(MAX($D$16,(K98)-(J31))))*(MAX($D$16,(K98)-(J31))),0.000001))^2)/(2*$I$5))-(((ABS(F98)/MAX(((G31)+(I31)*(MAX($D$16,(D98)-(K31))))*(MAX($D$16,(D98)-(K31))),0.000001))^2)/(2*$I$5)))))+($D$10*(ABS((X31)-(W31))/90)*MAX(((ABS(F98)/MAX(((F31)+(H31)*(MAX($D$16,(K98)-(J31))))*(MAX($D$16,(K98)-(J31))),0.000001))^2)/(2*$I$5),((ABS(F98)/MAX(((G31)+(I31)*(MAX($D$16,(D98)-(K31))))*(MAX($D$16,(D98)-(K31))),0.000001))^2)/(2*$I$5)))+(0)-((ABS(F98)/MAX(((G31)+(I31)*(MAX($D$16,(D98)-(K31))))*(MAX($D$16,(D98)-(K31))),0.000001))^2)/(2*$I$5)</f>
        <v>637.65825101089831</v>
      </c>
      <c r="P98">
        <f>E98+((ABS(G98)/MAX(((G32)+(I32)*(MAX($D$16,(E98)-(K32))))*(MAX($D$16,(E98)-(K32))),0.000001))^2)/(2*$I$5)+((E32)*((((ABS(G98)*$D$6)/(MAX(((F32)+(H32)*(MAX($D$16,(D98)-(J32))))*(MAX($D$16,(D98)-(J32))),0.000001)*MAX(((((F32)+(H32)*(MAX($D$16,(D98)-(J32))))*(MAX($D$16,(D98)-(J32))))/MAX((F32)+2*(MAX($D$16,(D98)-(J32)))*SQRT(1+(H32)^2),0.000001))^(2/3),0.000001)))^2)+(((ABS(G98)*$D$6)/(MAX(((G32)+(I32)*(MAX($D$16,(E98)-(K32))))*(MAX($D$16,(E98)-(K32))),0.000001)*MAX(((((G32)+(I32)*(MAX($D$16,(E98)-(K32))))*(MAX($D$16,(E98)-(K32))))/MAX((G32)+2*(MAX($D$16,(E98)-(K32)))*SQRT(1+(I32)^2),0.000001))^(2/3),0.000001)))^2))/2)+(IF((ABS(G98)/MAX(((G32)+(I32)*(MAX($D$16,(E98)-(K32))))*(MAX($D$16,(E98)-(K32))),0.000001))&gt;(ABS(G98)/MAX(((F32)+(H32)*(MAX($D$16,(D98)-(J32))))*(MAX($D$16,(D98)-(J32))),0.000001)),$D$9*((((ABS(G98)/MAX(((G32)+(I32)*(MAX($D$16,(E98)-(K32))))*(MAX($D$16,(E98)-(K32))),0.000001))^2)/(2*$I$5))-(((ABS(G98)/MAX(((F32)+(H32)*(MAX($D$16,(D98)-(J32))))*(MAX($D$16,(D98)-(J32))),0.000001))^2)/(2*$I$5))),$D$8*((((ABS(G98)/MAX(((F32)+(H32)*(MAX($D$16,(D98)-(J32))))*(MAX($D$16,(D98)-(J32))),0.000001))^2)/(2*$I$5))-(((ABS(G98)/MAX(((G32)+(I32)*(MAX($D$16,(E98)-(K32))))*(MAX($D$16,(E98)-(K32))),0.000001))^2)/(2*$I$5)))))+($D$10*(ABS((X32)-(W32))/90)*MAX(((ABS(G98)/MAX(((F32)+(H32)*(MAX($D$16,(D98)-(J32))))*(MAX($D$16,(D98)-(J32))),0.000001))^2)/(2*$I$5),((ABS(G98)/MAX(((G32)+(I32)*(MAX($D$16,(E98)-(K32))))*(MAX($D$16,(E98)-(K32))),0.000001))^2)/(2*$I$5)))+(($D$11*0.13607488*(ABS(H98)/MAX(ABS(F98),0.000001))^2*MAX(((ABS(G98)/MAX(((F32)+(H32)*(MAX($D$16,(D98)-(J32))))*(MAX($D$16,(D98)-(J32))),0.000001))^2)/(2*$I$5),((ABS(G98)/MAX(((G32)+(I32)*(MAX($D$16,(E98)-(K32))))*(MAX($D$16,(E98)-(K32))),0.000001))^2)/(2*$I$5))))-((ABS(G98)/MAX(((F32)+(H32)*(MAX($D$16,(D98)-(J32))))*(MAX($D$16,(D98)-(J32))),0.000001))^2)/(2*$I$5)</f>
        <v>52432.141837661053</v>
      </c>
      <c r="Q98">
        <f>L98+((ABS(H98)/MAX(((G33)+(I33)*(MAX($D$16,(L98)-(K33))))*(MAX($D$16,(L98)-(K33))),0.000001))^2)/(2*$I$5)+((E33)*((((ABS(H98)*$D$6)/(MAX(((F33)+(H33)*(MAX($D$16,(D98)-(J33))))*(MAX($D$16,(D98)-(J33))),0.000001)*MAX(((((F33)+(H33)*(MAX($D$16,(D98)-(J33))))*(MAX($D$16,(D98)-(J33))))/MAX((F33)+2*(MAX($D$16,(D98)-(J33)))*SQRT(1+(H33)^2),0.000001))^(2/3),0.000001)))^2)+(((ABS(H98)*$D$6)/(MAX(((G33)+(I33)*(MAX($D$16,(L98)-(K33))))*(MAX($D$16,(L98)-(K33))),0.000001)*MAX(((((G33)+(I33)*(MAX($D$16,(L98)-(K33))))*(MAX($D$16,(L98)-(K33))))/MAX((G33)+2*(MAX($D$16,(L98)-(K33)))*SQRT(1+(I33)^2),0.000001))^(2/3),0.000001)))^2))/2)+(IF((ABS(H98)/MAX(((G33)+(I33)*(MAX($D$16,(L98)-(K33))))*(MAX($D$16,(L98)-(K33))),0.000001))&gt;(ABS(H98)/MAX(((F33)+(H33)*(MAX($D$16,(D98)-(J33))))*(MAX($D$16,(D98)-(J33))),0.000001)),$D$9*((((ABS(H98)/MAX(((G33)+(I33)*(MAX($D$16,(L98)-(K33))))*(MAX($D$16,(L98)-(K33))),0.000001))^2)/(2*$I$5))-(((ABS(H98)/MAX(((F33)+(H33)*(MAX($D$16,(D98)-(J33))))*(MAX($D$16,(D98)-(J33))),0.000001))^2)/(2*$I$5))),$D$8*((((ABS(H98)/MAX(((F33)+(H33)*(MAX($D$16,(D98)-(J33))))*(MAX($D$16,(D98)-(J33))),0.000001))^2)/(2*$I$5))-(((ABS(H98)/MAX(((G33)+(I33)*(MAX($D$16,(L98)-(K33))))*(MAX($D$16,(L98)-(K33))),0.000001))^2)/(2*$I$5)))))+($D$10*(ABS((X33)-(W33))/90)*MAX(((ABS(H98)/MAX(((F33)+(H33)*(MAX($D$16,(D98)-(J33))))*(MAX($D$16,(D98)-(J33))),0.000001))^2)/(2*$I$5),((ABS(H98)/MAX(((G33)+(I33)*(MAX($D$16,(L98)-(K33))))*(MAX($D$16,(L98)-(K33))),0.000001))^2)/(2*$I$5)))+(($D$11*0.00000015*(ABS(G98)/MAX(ABS(F98),0.000001))^2*MAX(((ABS(H98)/MAX(((F33)+(H33)*(MAX($D$16,(D98)-(J33))))*(MAX($D$16,(D98)-(J33))),0.000001))^2)/(2*$I$5),((ABS(H98)/MAX(((G33)+(I33)*(MAX($D$16,(L98)-(K33))))*(MAX($D$16,(L98)-(K33))),0.000001))^2)/(2*$I$5))))-((ABS(H98)/MAX(((F33)+(H33)*(MAX($D$16,(D98)-(J33))))*(MAX($D$16,(D98)-(J33))),0.000001))^2)/(2*$I$5)</f>
        <v>634.3119999999999</v>
      </c>
      <c r="R98">
        <f>D98+((ABS(G98)/MAX(((F32)+(H32)*(MAX($D$16,(D98)-(J32))))*(MAX($D$16,(D98)-(J32))),0.000001))^2)/(2*$I$5)-((E32)*((((ABS(G98)*$D$6)/(MAX(((F32)+(H32)*(MAX($D$16,(D98)-(J32))))*(MAX($D$16,(D98)-(J32))),0.000001)*MAX(((((F32)+(H32)*(MAX($D$16,(D98)-(J32))))*(MAX($D$16,(D98)-(J32))))/MAX((F32)+2*(MAX($D$16,(D98)-(J32)))*SQRT(1+(H32)^2),0.000001))^(2/3),0.000001)))^2)+(((ABS(G98)*$D$6)/(MAX(((G32)+(I32)*(MAX($D$16,(E98)-(K32))))*(MAX($D$16,(E98)-(K32))),0.000001)*MAX(((((G32)+(I32)*(MAX($D$16,(E98)-(K32))))*(MAX($D$16,(E98)-(K32))))/MAX((G32)+2*(MAX($D$16,(E98)-(K32)))*SQRT(1+(I32)^2),0.000001))^(2/3),0.000001)))^2))/2)+(IF((ABS(G98)/MAX(((G32)+(I32)*(MAX($D$16,(E98)-(K32))))*(MAX($D$16,(E98)-(K32))),0.000001))&gt;(ABS(G98)/MAX(((F32)+(H32)*(MAX($D$16,(D98)-(J32))))*(MAX($D$16,(D98)-(J32))),0.000001)),$D$9*((((ABS(G98)/MAX(((G32)+(I32)*(MAX($D$16,(E98)-(K32))))*(MAX($D$16,(E98)-(K32))),0.000001))^2)/(2*$I$5))-(((ABS(G98)/MAX(((F32)+(H32)*(MAX($D$16,(D98)-(J32))))*(MAX($D$16,(D98)-(J32))),0.000001))^2)/(2*$I$5))),$D$8*((((ABS(G98)/MAX(((F32)+(H32)*(MAX($D$16,(D98)-(J32))))*(MAX($D$16,(D98)-(J32))),0.000001))^2)/(2*$I$5))-(((ABS(G98)/MAX(((G32)+(I32)*(MAX($D$16,(E98)-(K32))))*(MAX($D$16,(E98)-(K32))),0.000001))^2)/(2*$I$5)))))+($D$10*(ABS((X32)-(W32))/90)*MAX(((ABS(G98)/MAX(((F32)+(H32)*(MAX($D$16,(D98)-(J32))))*(MAX($D$16,(D98)-(J32))),0.000001))^2)/(2*$I$5),((ABS(G98)/MAX(((G32)+(I32)*(MAX($D$16,(E98)-(K32))))*(MAX($D$16,(E98)-(K32))),0.000001))^2)/(2*$I$5)))+(($D$11*0.13607488*(ABS(H98)/MAX(ABS(F98),0.000001))^2*MAX(((ABS(G98)/MAX(((F32)+(H32)*(MAX($D$16,(D98)-(J32))))*(MAX($D$16,(D98)-(J32))),0.000001))^2)/(2*$I$5),((ABS(G98)/MAX(((G32)+(I32)*(MAX($D$16,(E98)-(K32))))*(MAX($D$16,(E98)-(K32))),0.000001))^2)/(2*$I$5))))-((ABS(G98)/MAX(((G32)+(I32)*(MAX($D$16,(E98)-(K32))))*(MAX($D$16,(E98)-(K32))),0.000001))^2)/(2*$I$5)</f>
        <v>52432.141837660842</v>
      </c>
      <c r="S98">
        <f>M98+((ABS(I98)/MAX(((G34)+(I34)*(MAX($D$16,(M98)-(K34))))*(MAX($D$16,(M98)-(K34))),0.000001))^2)/(2*$I$5)+((E34)*((((ABS(I98)*$D$6)/(MAX(((F34)+(H34)*(MAX($D$16,(E98)-(J34))))*(MAX($D$16,(E98)-(J34))),0.000001)*MAX(((((F34)+(H34)*(MAX($D$16,(E98)-(J34))))*(MAX($D$16,(E98)-(J34))))/MAX((F34)+2*(MAX($D$16,(E98)-(J34)))*SQRT(1+(H34)^2),0.000001))^(2/3),0.000001)))^2)+(((ABS(I98)*$D$6)/(MAX(((G34)+(I34)*(MAX($D$16,(M98)-(K34))))*(MAX($D$16,(M98)-(K34))),0.000001)*MAX(((((G34)+(I34)*(MAX($D$16,(M98)-(K34))))*(MAX($D$16,(M98)-(K34))))/MAX((G34)+2*(MAX($D$16,(M98)-(K34)))*SQRT(1+(I34)^2),0.000001))^(2/3),0.000001)))^2))/2)+(IF((ABS(I98)/MAX(((G34)+(I34)*(MAX($D$16,(M98)-(K34))))*(MAX($D$16,(M98)-(K34))),0.000001))&gt;(ABS(I98)/MAX(((F34)+(H34)*(MAX($D$16,(E98)-(J34))))*(MAX($D$16,(E98)-(J34))),0.000001)),$D$9*((((ABS(I98)/MAX(((G34)+(I34)*(MAX($D$16,(M98)-(K34))))*(MAX($D$16,(M98)-(K34))),0.000001))^2)/(2*$I$5))-(((ABS(I98)/MAX(((F34)+(H34)*(MAX($D$16,(E98)-(J34))))*(MAX($D$16,(E98)-(J34))),0.000001))^2)/(2*$I$5))),$D$8*((((ABS(I98)/MAX(((F34)+(H34)*(MAX($D$16,(E98)-(J34))))*(MAX($D$16,(E98)-(J34))),0.000001))^2)/(2*$I$5))-(((ABS(I98)/MAX(((G34)+(I34)*(MAX($D$16,(M98)-(K34))))*(MAX($D$16,(M98)-(K34))),0.000001))^2)/(2*$I$5)))))+($D$10*(ABS((X34)-(W34))/90)*MAX(((ABS(I98)/MAX(((F34)+(H34)*(MAX($D$16,(E98)-(J34))))*(MAX($D$16,(E98)-(J34))),0.000001))^2)/(2*$I$5),((ABS(I98)/MAX(((G34)+(I34)*(MAX($D$16,(M98)-(K34))))*(MAX($D$16,(M98)-(K34))),0.000001))^2)/(2*$I$5)))+(0)-((ABS(I98)/MAX(((F34)+(H34)*(MAX($D$16,(E98)-(J34))))*(MAX($D$16,(E98)-(J34))),0.000001))^2)/(2*$I$5)</f>
        <v>635.5</v>
      </c>
      <c r="T98">
        <f>N98+((ABS(J98)/MAX(((G35)+(I35)*(MAX($D$16,(N98)-(K35))))*(MAX($D$16,(N98)-(K35))),0.000001))^2)/(2*$I$5)+((E35)*((((ABS(J98)*$D$6)/(MAX(((F35)+(H35)*(MAX($D$16,(E98)-(J35))))*(MAX($D$16,(E98)-(J35))),0.000001)*MAX(((((F35)+(H35)*(MAX($D$16,(E98)-(J35))))*(MAX($D$16,(E98)-(J35))))/MAX((F35)+2*(MAX($D$16,(E98)-(J35)))*SQRT(1+(H35)^2),0.000001))^(2/3),0.000001)))^2)+(((ABS(J98)*$D$6)/(MAX(((G35)+(I35)*(MAX($D$16,(N98)-(K35))))*(MAX($D$16,(N98)-(K35))),0.000001)*MAX(((((G35)+(I35)*(MAX($D$16,(N98)-(K35))))*(MAX($D$16,(N98)-(K35))))/MAX((G35)+2*(MAX($D$16,(N98)-(K35)))*SQRT(1+(I35)^2),0.000001))^(2/3),0.000001)))^2))/2)+(IF((ABS(J98)/MAX(((G35)+(I35)*(MAX($D$16,(N98)-(K35))))*(MAX($D$16,(N98)-(K35))),0.000001))&gt;(ABS(J98)/MAX(((F35)+(H35)*(MAX($D$16,(E98)-(J35))))*(MAX($D$16,(E98)-(J35))),0.000001)),$D$9*((((ABS(J98)/MAX(((G35)+(I35)*(MAX($D$16,(N98)-(K35))))*(MAX($D$16,(N98)-(K35))),0.000001))^2)/(2*$I$5))-(((ABS(J98)/MAX(((F35)+(H35)*(MAX($D$16,(E98)-(J35))))*(MAX($D$16,(E98)-(J35))),0.000001))^2)/(2*$I$5))),$D$8*((((ABS(J98)/MAX(((F35)+(H35)*(MAX($D$16,(E98)-(J35))))*(MAX($D$16,(E98)-(J35))),0.000001))^2)/(2*$I$5))-(((ABS(J98)/MAX(((G35)+(I35)*(MAX($D$16,(N98)-(K35))))*(MAX($D$16,(N98)-(K35))),0.000001))^2)/(2*$I$5)))))+($D$10*(ABS((X35)-(W35))/90)*MAX(((ABS(J98)/MAX(((F35)+(H35)*(MAX($D$16,(E98)-(J35))))*(MAX($D$16,(E98)-(J35))),0.000001))^2)/(2*$I$5),((ABS(J98)/MAX(((G35)+(I35)*(MAX($D$16,(N98)-(K35))))*(MAX($D$16,(N98)-(K35))),0.000001))^2)/(2*$I$5)))+(($D$11*0.34699541*(ABS(I98)/MAX(ABS(G98),0.000001))^2*MAX(((ABS(J98)/MAX(((F35)+(H35)*(MAX($D$16,(E98)-(J35))))*(MAX($D$16,(E98)-(J35))),0.000001))^2)/(2*$I$5),((ABS(J98)/MAX(((G35)+(I35)*(MAX($D$16,(N98)-(K35))))*(MAX($D$16,(N98)-(K35))),0.000001))^2)/(2*$I$5))))-((ABS(J98)/MAX(((F35)+(H35)*(MAX($D$16,(E98)-(J35))))*(MAX($D$16,(E98)-(J35))),0.000001))^2)/(2*$I$5)</f>
        <v>20784.033523923383</v>
      </c>
      <c r="U98">
        <f>(((((F32)*(MAX($D$16,(D98)-(J32)))^2)/2+(H32)*(MAX($D$16,(D98)-(J32)))^3/3+(ABS(G98)^2)/($I$5*MAX(((F32)+(H32)*(MAX($D$16,(D98)-(J32))))*(MAX($D$16,(D98)-(J32))),0.000001)))*0.72785025)-((((F33)*(MAX($D$16,(D98)-(J33)))^2)/2+(H33)*(MAX($D$16,(D98)-(J33)))^3/3+(ABS(H98)^2)/($I$5*MAX(((F33)+(H33)*(MAX($D$16,(D98)-(J33))))*(MAX($D$16,(D98)-(J33))),0.000001)))*0.99999971))/MAX(((G31)*(MAX($D$16,(D98)-(K31)))^2)/2+(I31)*(MAX($D$16,(D98)-(K31)))^3/3+(ABS(F98)^2)/($I$5*MAX(((G31)+(I31)*(MAX($D$16,(D98)-(K31))))*(MAX($D$16,(D98)-(K31))),0.000001)),0.000001)</f>
        <v>-0.27214945999991119</v>
      </c>
      <c r="V98">
        <f>(((((F34)*(MAX($D$16,(E98)-(J34)))^2)/2+(H34)*(MAX($D$16,(E98)-(J34)))^3/3+(ABS(I98)^2)/($I$5*MAX(((F34)+(H34)*(MAX($D$16,(E98)-(J34))))*(MAX($D$16,(E98)-(J34))),0.000001)))*1)-((((F35)*(MAX($D$16,(E98)-(J35)))^2)/2+(H35)*(MAX($D$16,(E98)-(J35)))^3/3+(ABS(J98)^2)/($I$5*MAX(((F35)+(H35)*(MAX($D$16,(E98)-(J35))))*(MAX($D$16,(E98)-(J35))),0.000001)))*0.30600918))/MAX(((G32)*(MAX($D$16,(E98)-(K32)))^2)/2+(I32)*(MAX($D$16,(E98)-(K32)))^3/3+(ABS(G98)^2)/($I$5*MAX(((G32)+(I32)*(MAX($D$16,(E98)-(K32))))*(MAX($D$16,(E98)-(K32))),0.000001)),0.000001)</f>
        <v>0.69398638937190393</v>
      </c>
      <c r="W98">
        <f>IF(N6="None",ABS(P98-D98),MAX(ABS(P98-D98),ABS(Q98-D98)))</f>
        <v>3.4197000786662102E-10</v>
      </c>
      <c r="X98">
        <f>IF(AND(N7="None",N8="None"),0,IF(N8="None",ABS(S98-E98),IF(N7="None",ABS(T98-E98),MAX(ABS(S98-E98),ABS(T98-E98)))))</f>
        <v>51796.6418376605</v>
      </c>
      <c r="AA98">
        <f t="shared" si="18"/>
        <v>52432.141837660827</v>
      </c>
      <c r="AB98">
        <f t="shared" si="19"/>
        <v>41355.30392785251</v>
      </c>
      <c r="AC98">
        <f>IF(N6="None",P98,MAX(P98,Q98))</f>
        <v>52432.141837661053</v>
      </c>
      <c r="AD98">
        <f>IF(AND(N7="None",N8="None"),E98,IF(N8="None",S98,IF(N7="None",T98,MAX(S98,T98))))</f>
        <v>20784.033523923383</v>
      </c>
      <c r="AE98">
        <f t="shared" si="20"/>
        <v>637.65825101089831</v>
      </c>
      <c r="AF98">
        <f t="shared" si="21"/>
        <v>52432.141837660842</v>
      </c>
      <c r="AG98">
        <f>((G31)*(MAX($D$16,(AC98)-(K31)))^2)/2+(I31)*(MAX($D$16,(AC98)-(K31)))^3/3+(ABS(F98)^2)/($I$5*MAX(((G31)+(I31)*(MAX($D$16,(AC98)-(K31))))*(MAX($D$16,(AC98)-(K31))),0.000001))</f>
        <v>8797611517.411314</v>
      </c>
      <c r="AH98">
        <f>((G31)*(MAX($D$16,(AE98)-(K31)))^2)/2+(I31)*(MAX($D$16,(AE98)-(K31)))^3/3+(ABS(F98)^2)/($I$5*MAX(((G31)+(I31)*(MAX($D$16,(AE98)-(K31))))*(MAX($D$16,(AE98)-(K31))),0.000001))</f>
        <v>49.055863329575246</v>
      </c>
      <c r="AI98">
        <f>((G32)*(MAX($D$16,(AD98)-(K32)))^2)/2+(I32)*(MAX($D$16,(AD98)-(K32)))^3/3+(ABS(G98)^2)/($I$5*MAX(((G32)+(I32)*(MAX($D$16,(AD98)-(K32))))*(MAX($D$16,(AD98)-(K32))),0.000001))</f>
        <v>2072376743.6648321</v>
      </c>
      <c r="AJ98">
        <f>((G32)*(MAX($D$16,(AF98)-(K32)))^2)/2+(I32)*(MAX($D$16,(AF98)-(K32)))^3/3+(ABS(G98)^2)/($I$5*MAX(((G32)+(I32)*(MAX($D$16,(AF98)-(K32))))*(MAX($D$16,(AF98)-(K32))),0.000001))</f>
        <v>13692714789.643475</v>
      </c>
      <c r="AK98" t="str">
        <f t="shared" si="22"/>
        <v>Subcritical</v>
      </c>
      <c r="AL98" t="str">
        <f t="shared" si="23"/>
        <v>Supercritical</v>
      </c>
      <c r="AM98">
        <f t="shared" si="24"/>
        <v>52432.141837660827</v>
      </c>
      <c r="AN98">
        <f t="shared" si="25"/>
        <v>52432.141837660616</v>
      </c>
      <c r="AO98">
        <f t="shared" si="26"/>
        <v>3.4197000786662102E-10</v>
      </c>
      <c r="AP98">
        <f t="shared" si="27"/>
        <v>3.4197000786662102E-10</v>
      </c>
    </row>
    <row r="99" spans="1:42" x14ac:dyDescent="0.35">
      <c r="A99">
        <v>56</v>
      </c>
      <c r="B99">
        <f t="shared" si="28"/>
        <v>0</v>
      </c>
      <c r="C99">
        <f t="shared" si="29"/>
        <v>0</v>
      </c>
      <c r="D99">
        <f t="shared" si="30"/>
        <v>52432.141837660827</v>
      </c>
      <c r="E99">
        <f t="shared" si="31"/>
        <v>52432.141837660616</v>
      </c>
      <c r="F99">
        <f t="shared" si="17"/>
        <v>51</v>
      </c>
      <c r="G99">
        <f>IF(N6="None",F99,MAX(0,F99*B99))</f>
        <v>51</v>
      </c>
      <c r="H99">
        <f>IF(N6="None",0,MAX(0,F99-G99))</f>
        <v>0</v>
      </c>
      <c r="I99">
        <f>IF(AND(N7="None",N8="None"),0,IF(N8="None",G99,IF(N7="None",0,MAX(0,G99*C99))))</f>
        <v>0</v>
      </c>
      <c r="J99">
        <f>IF(AND(N7="None",N8="None"),0,IF(N8="None",0,IF(N7="None",G99,MAX(0,G99-I99))))</f>
        <v>51</v>
      </c>
      <c r="K99">
        <f>P5</f>
        <v>637</v>
      </c>
      <c r="L99">
        <f>P6</f>
        <v>634.3119999999999</v>
      </c>
      <c r="M99">
        <f>P7</f>
        <v>635.5</v>
      </c>
      <c r="N99">
        <f>P8</f>
        <v>631.54999999999995</v>
      </c>
      <c r="O99">
        <f>K99+((ABS(F99)/MAX(((F31)+(H31)*(MAX($D$16,(K99)-(J31))))*(MAX($D$16,(K99)-(J31))),0.000001))^2)/(2*$I$5)-((E31)*((((ABS(F99)*$D$6)/(MAX(((F31)+(H31)*(MAX($D$16,(K99)-(J31))))*(MAX($D$16,(K99)-(J31))),0.000001)*MAX(((((F31)+(H31)*(MAX($D$16,(K99)-(J31))))*(MAX($D$16,(K99)-(J31))))/MAX((F31)+2*(MAX($D$16,(K99)-(J31)))*SQRT(1+(H31)^2),0.000001))^(2/3),0.000001)))^2)+(((ABS(F99)*$D$6)/(MAX(((G31)+(I31)*(MAX($D$16,(D99)-(K31))))*(MAX($D$16,(D99)-(K31))),0.000001)*MAX(((((G31)+(I31)*(MAX($D$16,(D99)-(K31))))*(MAX($D$16,(D99)-(K31))))/MAX((G31)+2*(MAX($D$16,(D99)-(K31)))*SQRT(1+(I31)^2),0.000001))^(2/3),0.000001)))^2))/2)+(IF((ABS(F99)/MAX(((G31)+(I31)*(MAX($D$16,(D99)-(K31))))*(MAX($D$16,(D99)-(K31))),0.000001))&gt;(ABS(F99)/MAX(((F31)+(H31)*(MAX($D$16,(K99)-(J31))))*(MAX($D$16,(K99)-(J31))),0.000001)),$D$9*((((ABS(F99)/MAX(((G31)+(I31)*(MAX($D$16,(D99)-(K31))))*(MAX($D$16,(D99)-(K31))),0.000001))^2)/(2*$I$5))-(((ABS(F99)/MAX(((F31)+(H31)*(MAX($D$16,(K99)-(J31))))*(MAX($D$16,(K99)-(J31))),0.000001))^2)/(2*$I$5))),$D$8*((((ABS(F99)/MAX(((F31)+(H31)*(MAX($D$16,(K99)-(J31))))*(MAX($D$16,(K99)-(J31))),0.000001))^2)/(2*$I$5))-(((ABS(F99)/MAX(((G31)+(I31)*(MAX($D$16,(D99)-(K31))))*(MAX($D$16,(D99)-(K31))),0.000001))^2)/(2*$I$5)))))+($D$10*(ABS((X31)-(W31))/90)*MAX(((ABS(F99)/MAX(((F31)+(H31)*(MAX($D$16,(K99)-(J31))))*(MAX($D$16,(K99)-(J31))),0.000001))^2)/(2*$I$5),((ABS(F99)/MAX(((G31)+(I31)*(MAX($D$16,(D99)-(K31))))*(MAX($D$16,(D99)-(K31))),0.000001))^2)/(2*$I$5)))+(0)-((ABS(F99)/MAX(((G31)+(I31)*(MAX($D$16,(D99)-(K31))))*(MAX($D$16,(D99)-(K31))),0.000001))^2)/(2*$I$5)</f>
        <v>637.65825101089831</v>
      </c>
      <c r="P99">
        <f>E99+((ABS(G99)/MAX(((G32)+(I32)*(MAX($D$16,(E99)-(K32))))*(MAX($D$16,(E99)-(K32))),0.000001))^2)/(2*$I$5)+((E32)*((((ABS(G99)*$D$6)/(MAX(((F32)+(H32)*(MAX($D$16,(D99)-(J32))))*(MAX($D$16,(D99)-(J32))),0.000001)*MAX(((((F32)+(H32)*(MAX($D$16,(D99)-(J32))))*(MAX($D$16,(D99)-(J32))))/MAX((F32)+2*(MAX($D$16,(D99)-(J32)))*SQRT(1+(H32)^2),0.000001))^(2/3),0.000001)))^2)+(((ABS(G99)*$D$6)/(MAX(((G32)+(I32)*(MAX($D$16,(E99)-(K32))))*(MAX($D$16,(E99)-(K32))),0.000001)*MAX(((((G32)+(I32)*(MAX($D$16,(E99)-(K32))))*(MAX($D$16,(E99)-(K32))))/MAX((G32)+2*(MAX($D$16,(E99)-(K32)))*SQRT(1+(I32)^2),0.000001))^(2/3),0.000001)))^2))/2)+(IF((ABS(G99)/MAX(((G32)+(I32)*(MAX($D$16,(E99)-(K32))))*(MAX($D$16,(E99)-(K32))),0.000001))&gt;(ABS(G99)/MAX(((F32)+(H32)*(MAX($D$16,(D99)-(J32))))*(MAX($D$16,(D99)-(J32))),0.000001)),$D$9*((((ABS(G99)/MAX(((G32)+(I32)*(MAX($D$16,(E99)-(K32))))*(MAX($D$16,(E99)-(K32))),0.000001))^2)/(2*$I$5))-(((ABS(G99)/MAX(((F32)+(H32)*(MAX($D$16,(D99)-(J32))))*(MAX($D$16,(D99)-(J32))),0.000001))^2)/(2*$I$5))),$D$8*((((ABS(G99)/MAX(((F32)+(H32)*(MAX($D$16,(D99)-(J32))))*(MAX($D$16,(D99)-(J32))),0.000001))^2)/(2*$I$5))-(((ABS(G99)/MAX(((G32)+(I32)*(MAX($D$16,(E99)-(K32))))*(MAX($D$16,(E99)-(K32))),0.000001))^2)/(2*$I$5)))))+($D$10*(ABS((X32)-(W32))/90)*MAX(((ABS(G99)/MAX(((F32)+(H32)*(MAX($D$16,(D99)-(J32))))*(MAX($D$16,(D99)-(J32))),0.000001))^2)/(2*$I$5),((ABS(G99)/MAX(((G32)+(I32)*(MAX($D$16,(E99)-(K32))))*(MAX($D$16,(E99)-(K32))),0.000001))^2)/(2*$I$5)))+(($D$11*0.13607488*(ABS(H99)/MAX(ABS(F99),0.000001))^2*MAX(((ABS(G99)/MAX(((F32)+(H32)*(MAX($D$16,(D99)-(J32))))*(MAX($D$16,(D99)-(J32))),0.000001))^2)/(2*$I$5),((ABS(G99)/MAX(((G32)+(I32)*(MAX($D$16,(E99)-(K32))))*(MAX($D$16,(E99)-(K32))),0.000001))^2)/(2*$I$5))))-((ABS(G99)/MAX(((F32)+(H32)*(MAX($D$16,(D99)-(J32))))*(MAX($D$16,(D99)-(J32))),0.000001))^2)/(2*$I$5)</f>
        <v>52432.141837661169</v>
      </c>
      <c r="Q99">
        <f>L99+((ABS(H99)/MAX(((G33)+(I33)*(MAX($D$16,(L99)-(K33))))*(MAX($D$16,(L99)-(K33))),0.000001))^2)/(2*$I$5)+((E33)*((((ABS(H99)*$D$6)/(MAX(((F33)+(H33)*(MAX($D$16,(D99)-(J33))))*(MAX($D$16,(D99)-(J33))),0.000001)*MAX(((((F33)+(H33)*(MAX($D$16,(D99)-(J33))))*(MAX($D$16,(D99)-(J33))))/MAX((F33)+2*(MAX($D$16,(D99)-(J33)))*SQRT(1+(H33)^2),0.000001))^(2/3),0.000001)))^2)+(((ABS(H99)*$D$6)/(MAX(((G33)+(I33)*(MAX($D$16,(L99)-(K33))))*(MAX($D$16,(L99)-(K33))),0.000001)*MAX(((((G33)+(I33)*(MAX($D$16,(L99)-(K33))))*(MAX($D$16,(L99)-(K33))))/MAX((G33)+2*(MAX($D$16,(L99)-(K33)))*SQRT(1+(I33)^2),0.000001))^(2/3),0.000001)))^2))/2)+(IF((ABS(H99)/MAX(((G33)+(I33)*(MAX($D$16,(L99)-(K33))))*(MAX($D$16,(L99)-(K33))),0.000001))&gt;(ABS(H99)/MAX(((F33)+(H33)*(MAX($D$16,(D99)-(J33))))*(MAX($D$16,(D99)-(J33))),0.000001)),$D$9*((((ABS(H99)/MAX(((G33)+(I33)*(MAX($D$16,(L99)-(K33))))*(MAX($D$16,(L99)-(K33))),0.000001))^2)/(2*$I$5))-(((ABS(H99)/MAX(((F33)+(H33)*(MAX($D$16,(D99)-(J33))))*(MAX($D$16,(D99)-(J33))),0.000001))^2)/(2*$I$5))),$D$8*((((ABS(H99)/MAX(((F33)+(H33)*(MAX($D$16,(D99)-(J33))))*(MAX($D$16,(D99)-(J33))),0.000001))^2)/(2*$I$5))-(((ABS(H99)/MAX(((G33)+(I33)*(MAX($D$16,(L99)-(K33))))*(MAX($D$16,(L99)-(K33))),0.000001))^2)/(2*$I$5)))))+($D$10*(ABS((X33)-(W33))/90)*MAX(((ABS(H99)/MAX(((F33)+(H33)*(MAX($D$16,(D99)-(J33))))*(MAX($D$16,(D99)-(J33))),0.000001))^2)/(2*$I$5),((ABS(H99)/MAX(((G33)+(I33)*(MAX($D$16,(L99)-(K33))))*(MAX($D$16,(L99)-(K33))),0.000001))^2)/(2*$I$5)))+(($D$11*0.00000015*(ABS(G99)/MAX(ABS(F99),0.000001))^2*MAX(((ABS(H99)/MAX(((F33)+(H33)*(MAX($D$16,(D99)-(J33))))*(MAX($D$16,(D99)-(J33))),0.000001))^2)/(2*$I$5),((ABS(H99)/MAX(((G33)+(I33)*(MAX($D$16,(L99)-(K33))))*(MAX($D$16,(L99)-(K33))),0.000001))^2)/(2*$I$5))))-((ABS(H99)/MAX(((F33)+(H33)*(MAX($D$16,(D99)-(J33))))*(MAX($D$16,(D99)-(J33))),0.000001))^2)/(2*$I$5)</f>
        <v>634.3119999999999</v>
      </c>
      <c r="R99">
        <f>D99+((ABS(G99)/MAX(((F32)+(H32)*(MAX($D$16,(D99)-(J32))))*(MAX($D$16,(D99)-(J32))),0.000001))^2)/(2*$I$5)-((E32)*((((ABS(G99)*$D$6)/(MAX(((F32)+(H32)*(MAX($D$16,(D99)-(J32))))*(MAX($D$16,(D99)-(J32))),0.000001)*MAX(((((F32)+(H32)*(MAX($D$16,(D99)-(J32))))*(MAX($D$16,(D99)-(J32))))/MAX((F32)+2*(MAX($D$16,(D99)-(J32)))*SQRT(1+(H32)^2),0.000001))^(2/3),0.000001)))^2)+(((ABS(G99)*$D$6)/(MAX(((G32)+(I32)*(MAX($D$16,(E99)-(K32))))*(MAX($D$16,(E99)-(K32))),0.000001)*MAX(((((G32)+(I32)*(MAX($D$16,(E99)-(K32))))*(MAX($D$16,(E99)-(K32))))/MAX((G32)+2*(MAX($D$16,(E99)-(K32)))*SQRT(1+(I32)^2),0.000001))^(2/3),0.000001)))^2))/2)+(IF((ABS(G99)/MAX(((G32)+(I32)*(MAX($D$16,(E99)-(K32))))*(MAX($D$16,(E99)-(K32))),0.000001))&gt;(ABS(G99)/MAX(((F32)+(H32)*(MAX($D$16,(D99)-(J32))))*(MAX($D$16,(D99)-(J32))),0.000001)),$D$9*((((ABS(G99)/MAX(((G32)+(I32)*(MAX($D$16,(E99)-(K32))))*(MAX($D$16,(E99)-(K32))),0.000001))^2)/(2*$I$5))-(((ABS(G99)/MAX(((F32)+(H32)*(MAX($D$16,(D99)-(J32))))*(MAX($D$16,(D99)-(J32))),0.000001))^2)/(2*$I$5))),$D$8*((((ABS(G99)/MAX(((F32)+(H32)*(MAX($D$16,(D99)-(J32))))*(MAX($D$16,(D99)-(J32))),0.000001))^2)/(2*$I$5))-(((ABS(G99)/MAX(((G32)+(I32)*(MAX($D$16,(E99)-(K32))))*(MAX($D$16,(E99)-(K32))),0.000001))^2)/(2*$I$5)))))+($D$10*(ABS((X32)-(W32))/90)*MAX(((ABS(G99)/MAX(((F32)+(H32)*(MAX($D$16,(D99)-(J32))))*(MAX($D$16,(D99)-(J32))),0.000001))^2)/(2*$I$5),((ABS(G99)/MAX(((G32)+(I32)*(MAX($D$16,(E99)-(K32))))*(MAX($D$16,(E99)-(K32))),0.000001))^2)/(2*$I$5)))+(($D$11*0.13607488*(ABS(H99)/MAX(ABS(F99),0.000001))^2*MAX(((ABS(G99)/MAX(((F32)+(H32)*(MAX($D$16,(D99)-(J32))))*(MAX($D$16,(D99)-(J32))),0.000001))^2)/(2*$I$5),((ABS(G99)/MAX(((G32)+(I32)*(MAX($D$16,(E99)-(K32))))*(MAX($D$16,(E99)-(K32))),0.000001))^2)/(2*$I$5))))-((ABS(G99)/MAX(((G32)+(I32)*(MAX($D$16,(E99)-(K32))))*(MAX($D$16,(E99)-(K32))),0.000001))^2)/(2*$I$5)</f>
        <v>52432.141837660958</v>
      </c>
      <c r="S99">
        <f>M99+((ABS(I99)/MAX(((G34)+(I34)*(MAX($D$16,(M99)-(K34))))*(MAX($D$16,(M99)-(K34))),0.000001))^2)/(2*$I$5)+((E34)*((((ABS(I99)*$D$6)/(MAX(((F34)+(H34)*(MAX($D$16,(E99)-(J34))))*(MAX($D$16,(E99)-(J34))),0.000001)*MAX(((((F34)+(H34)*(MAX($D$16,(E99)-(J34))))*(MAX($D$16,(E99)-(J34))))/MAX((F34)+2*(MAX($D$16,(E99)-(J34)))*SQRT(1+(H34)^2),0.000001))^(2/3),0.000001)))^2)+(((ABS(I99)*$D$6)/(MAX(((G34)+(I34)*(MAX($D$16,(M99)-(K34))))*(MAX($D$16,(M99)-(K34))),0.000001)*MAX(((((G34)+(I34)*(MAX($D$16,(M99)-(K34))))*(MAX($D$16,(M99)-(K34))))/MAX((G34)+2*(MAX($D$16,(M99)-(K34)))*SQRT(1+(I34)^2),0.000001))^(2/3),0.000001)))^2))/2)+(IF((ABS(I99)/MAX(((G34)+(I34)*(MAX($D$16,(M99)-(K34))))*(MAX($D$16,(M99)-(K34))),0.000001))&gt;(ABS(I99)/MAX(((F34)+(H34)*(MAX($D$16,(E99)-(J34))))*(MAX($D$16,(E99)-(J34))),0.000001)),$D$9*((((ABS(I99)/MAX(((G34)+(I34)*(MAX($D$16,(M99)-(K34))))*(MAX($D$16,(M99)-(K34))),0.000001))^2)/(2*$I$5))-(((ABS(I99)/MAX(((F34)+(H34)*(MAX($D$16,(E99)-(J34))))*(MAX($D$16,(E99)-(J34))),0.000001))^2)/(2*$I$5))),$D$8*((((ABS(I99)/MAX(((F34)+(H34)*(MAX($D$16,(E99)-(J34))))*(MAX($D$16,(E99)-(J34))),0.000001))^2)/(2*$I$5))-(((ABS(I99)/MAX(((G34)+(I34)*(MAX($D$16,(M99)-(K34))))*(MAX($D$16,(M99)-(K34))),0.000001))^2)/(2*$I$5)))))+($D$10*(ABS((X34)-(W34))/90)*MAX(((ABS(I99)/MAX(((F34)+(H34)*(MAX($D$16,(E99)-(J34))))*(MAX($D$16,(E99)-(J34))),0.000001))^2)/(2*$I$5),((ABS(I99)/MAX(((G34)+(I34)*(MAX($D$16,(M99)-(K34))))*(MAX($D$16,(M99)-(K34))),0.000001))^2)/(2*$I$5)))+(0)-((ABS(I99)/MAX(((F34)+(H34)*(MAX($D$16,(E99)-(J34))))*(MAX($D$16,(E99)-(J34))),0.000001))^2)/(2*$I$5)</f>
        <v>635.5</v>
      </c>
      <c r="T99">
        <f>N99+((ABS(J99)/MAX(((G35)+(I35)*(MAX($D$16,(N99)-(K35))))*(MAX($D$16,(N99)-(K35))),0.000001))^2)/(2*$I$5)+((E35)*((((ABS(J99)*$D$6)/(MAX(((F35)+(H35)*(MAX($D$16,(E99)-(J35))))*(MAX($D$16,(E99)-(J35))),0.000001)*MAX(((((F35)+(H35)*(MAX($D$16,(E99)-(J35))))*(MAX($D$16,(E99)-(J35))))/MAX((F35)+2*(MAX($D$16,(E99)-(J35)))*SQRT(1+(H35)^2),0.000001))^(2/3),0.000001)))^2)+(((ABS(J99)*$D$6)/(MAX(((G35)+(I35)*(MAX($D$16,(N99)-(K35))))*(MAX($D$16,(N99)-(K35))),0.000001)*MAX(((((G35)+(I35)*(MAX($D$16,(N99)-(K35))))*(MAX($D$16,(N99)-(K35))))/MAX((G35)+2*(MAX($D$16,(N99)-(K35)))*SQRT(1+(I35)^2),0.000001))^(2/3),0.000001)))^2))/2)+(IF((ABS(J99)/MAX(((G35)+(I35)*(MAX($D$16,(N99)-(K35))))*(MAX($D$16,(N99)-(K35))),0.000001))&gt;(ABS(J99)/MAX(((F35)+(H35)*(MAX($D$16,(E99)-(J35))))*(MAX($D$16,(E99)-(J35))),0.000001)),$D$9*((((ABS(J99)/MAX(((G35)+(I35)*(MAX($D$16,(N99)-(K35))))*(MAX($D$16,(N99)-(K35))),0.000001))^2)/(2*$I$5))-(((ABS(J99)/MAX(((F35)+(H35)*(MAX($D$16,(E99)-(J35))))*(MAX($D$16,(E99)-(J35))),0.000001))^2)/(2*$I$5))),$D$8*((((ABS(J99)/MAX(((F35)+(H35)*(MAX($D$16,(E99)-(J35))))*(MAX($D$16,(E99)-(J35))),0.000001))^2)/(2*$I$5))-(((ABS(J99)/MAX(((G35)+(I35)*(MAX($D$16,(N99)-(K35))))*(MAX($D$16,(N99)-(K35))),0.000001))^2)/(2*$I$5)))))+($D$10*(ABS((X35)-(W35))/90)*MAX(((ABS(J99)/MAX(((F35)+(H35)*(MAX($D$16,(E99)-(J35))))*(MAX($D$16,(E99)-(J35))),0.000001))^2)/(2*$I$5),((ABS(J99)/MAX(((G35)+(I35)*(MAX($D$16,(N99)-(K35))))*(MAX($D$16,(N99)-(K35))),0.000001))^2)/(2*$I$5)))+(($D$11*0.34699541*(ABS(I99)/MAX(ABS(G99),0.000001))^2*MAX(((ABS(J99)/MAX(((F35)+(H35)*(MAX($D$16,(E99)-(J35))))*(MAX($D$16,(E99)-(J35))),0.000001))^2)/(2*$I$5),((ABS(J99)/MAX(((G35)+(I35)*(MAX($D$16,(N99)-(K35))))*(MAX($D$16,(N99)-(K35))),0.000001))^2)/(2*$I$5))))-((ABS(J99)/MAX(((F35)+(H35)*(MAX($D$16,(E99)-(J35))))*(MAX($D$16,(E99)-(J35))),0.000001))^2)/(2*$I$5)</f>
        <v>20784.033523923383</v>
      </c>
      <c r="U99">
        <f>(((((F32)*(MAX($D$16,(D99)-(J32)))^2)/2+(H32)*(MAX($D$16,(D99)-(J32)))^3/3+(ABS(G99)^2)/($I$5*MAX(((F32)+(H32)*(MAX($D$16,(D99)-(J32))))*(MAX($D$16,(D99)-(J32))),0.000001)))*0.72785025)-((((F33)*(MAX($D$16,(D99)-(J33)))^2)/2+(H33)*(MAX($D$16,(D99)-(J33)))^3/3+(ABS(H99)^2)/($I$5*MAX(((F33)+(H33)*(MAX($D$16,(D99)-(J33))))*(MAX($D$16,(D99)-(J33))),0.000001)))*0.99999971))/MAX(((G31)*(MAX($D$16,(D99)-(K31)))^2)/2+(I31)*(MAX($D$16,(D99)-(K31)))^3/3+(ABS(F99)^2)/($I$5*MAX(((G31)+(I31)*(MAX($D$16,(D99)-(K31))))*(MAX($D$16,(D99)-(K31))),0.000001)),0.000001)</f>
        <v>-0.27214945999991125</v>
      </c>
      <c r="V99">
        <f>(((((F34)*(MAX($D$16,(E99)-(J34)))^2)/2+(H34)*(MAX($D$16,(E99)-(J34)))^3/3+(ABS(I99)^2)/($I$5*MAX(((F34)+(H34)*(MAX($D$16,(E99)-(J34))))*(MAX($D$16,(E99)-(J34))),0.000001)))*1)-((((F35)*(MAX($D$16,(E99)-(J35)))^2)/2+(H35)*(MAX($D$16,(E99)-(J35)))^3/3+(ABS(J99)^2)/($I$5*MAX(((F35)+(H35)*(MAX($D$16,(E99)-(J35))))*(MAX($D$16,(E99)-(J35))),0.000001)))*0.30600918))/MAX(((G32)*(MAX($D$16,(E99)-(K32)))^2)/2+(I32)*(MAX($D$16,(E99)-(K32)))^3/3+(ABS(G99)^2)/($I$5*MAX(((G32)+(I32)*(MAX($D$16,(E99)-(K32))))*(MAX($D$16,(E99)-(K32))),0.000001)),0.000001)</f>
        <v>0.69398638937190393</v>
      </c>
      <c r="W99">
        <f>IF(N6="None",ABS(P99-D99),MAX(ABS(P99-D99),ABS(Q99-D99)))</f>
        <v>3.4197000786662102E-10</v>
      </c>
      <c r="X99">
        <f>IF(AND(N7="None",N8="None"),0,IF(N8="None",ABS(S99-E99),IF(N7="None",ABS(T99-E99),MAX(ABS(S99-E99),ABS(T99-E99)))))</f>
        <v>51796.641837660616</v>
      </c>
      <c r="AA99">
        <f t="shared" si="18"/>
        <v>52432.141837660944</v>
      </c>
      <c r="AB99">
        <f t="shared" si="19"/>
        <v>41355.303927852583</v>
      </c>
      <c r="AC99">
        <f>IF(N6="None",P99,MAX(P99,Q99))</f>
        <v>52432.141837661169</v>
      </c>
      <c r="AD99">
        <f>IF(AND(N7="None",N8="None"),E99,IF(N8="None",S99,IF(N7="None",T99,MAX(S99,T99))))</f>
        <v>20784.033523923383</v>
      </c>
      <c r="AE99">
        <f t="shared" si="20"/>
        <v>637.65825101089831</v>
      </c>
      <c r="AF99">
        <f t="shared" si="21"/>
        <v>52432.141837660958</v>
      </c>
      <c r="AG99">
        <f>((G31)*(MAX($D$16,(AC99)-(K31)))^2)/2+(I31)*(MAX($D$16,(AC99)-(K31)))^3/3+(ABS(F99)^2)/($I$5*MAX(((G31)+(I31)*(MAX($D$16,(AC99)-(K31))))*(MAX($D$16,(AC99)-(K31))),0.000001))</f>
        <v>8797611517.4113541</v>
      </c>
      <c r="AH99">
        <f>((G31)*(MAX($D$16,(AE99)-(K31)))^2)/2+(I31)*(MAX($D$16,(AE99)-(K31)))^3/3+(ABS(F99)^2)/($I$5*MAX(((G31)+(I31)*(MAX($D$16,(AE99)-(K31))))*(MAX($D$16,(AE99)-(K31))),0.000001))</f>
        <v>49.055863329575246</v>
      </c>
      <c r="AI99">
        <f>((G32)*(MAX($D$16,(AD99)-(K32)))^2)/2+(I32)*(MAX($D$16,(AD99)-(K32)))^3/3+(ABS(G99)^2)/($I$5*MAX(((G32)+(I32)*(MAX($D$16,(AD99)-(K32))))*(MAX($D$16,(AD99)-(K32))),0.000001))</f>
        <v>2072376743.6648321</v>
      </c>
      <c r="AJ99">
        <f>((G32)*(MAX($D$16,(AF99)-(K32)))^2)/2+(I32)*(MAX($D$16,(AF99)-(K32)))^3/3+(ABS(G99)^2)/($I$5*MAX(((G32)+(I32)*(MAX($D$16,(AF99)-(K32))))*(MAX($D$16,(AF99)-(K32))),0.000001))</f>
        <v>13692714789.643536</v>
      </c>
      <c r="AK99" t="str">
        <f t="shared" si="22"/>
        <v>Subcritical</v>
      </c>
      <c r="AL99" t="str">
        <f t="shared" si="23"/>
        <v>Supercritical</v>
      </c>
      <c r="AM99">
        <f t="shared" si="24"/>
        <v>52432.141837660944</v>
      </c>
      <c r="AN99">
        <f t="shared" si="25"/>
        <v>52432.141837660733</v>
      </c>
      <c r="AO99">
        <f t="shared" si="26"/>
        <v>3.4197000786662102E-10</v>
      </c>
      <c r="AP99">
        <f t="shared" si="27"/>
        <v>3.4197000786662102E-10</v>
      </c>
    </row>
    <row r="100" spans="1:42" x14ac:dyDescent="0.35">
      <c r="A100">
        <v>57</v>
      </c>
      <c r="B100">
        <f t="shared" si="28"/>
        <v>0</v>
      </c>
      <c r="C100">
        <f t="shared" si="29"/>
        <v>0</v>
      </c>
      <c r="D100">
        <f t="shared" si="30"/>
        <v>52432.141837660944</v>
      </c>
      <c r="E100">
        <f t="shared" si="31"/>
        <v>52432.141837660733</v>
      </c>
      <c r="F100">
        <f t="shared" si="17"/>
        <v>51</v>
      </c>
      <c r="G100">
        <f>IF(N6="None",F100,MAX(0,F100*B100))</f>
        <v>51</v>
      </c>
      <c r="H100">
        <f>IF(N6="None",0,MAX(0,F100-G100))</f>
        <v>0</v>
      </c>
      <c r="I100">
        <f>IF(AND(N7="None",N8="None"),0,IF(N8="None",G100,IF(N7="None",0,MAX(0,G100*C100))))</f>
        <v>0</v>
      </c>
      <c r="J100">
        <f>IF(AND(N7="None",N8="None"),0,IF(N8="None",0,IF(N7="None",G100,MAX(0,G100-I100))))</f>
        <v>51</v>
      </c>
      <c r="K100">
        <f>P5</f>
        <v>637</v>
      </c>
      <c r="L100">
        <f>P6</f>
        <v>634.3119999999999</v>
      </c>
      <c r="M100">
        <f>P7</f>
        <v>635.5</v>
      </c>
      <c r="N100">
        <f>P8</f>
        <v>631.54999999999995</v>
      </c>
      <c r="O100">
        <f>K100+((ABS(F100)/MAX(((F31)+(H31)*(MAX($D$16,(K100)-(J31))))*(MAX($D$16,(K100)-(J31))),0.000001))^2)/(2*$I$5)-((E31)*((((ABS(F100)*$D$6)/(MAX(((F31)+(H31)*(MAX($D$16,(K100)-(J31))))*(MAX($D$16,(K100)-(J31))),0.000001)*MAX(((((F31)+(H31)*(MAX($D$16,(K100)-(J31))))*(MAX($D$16,(K100)-(J31))))/MAX((F31)+2*(MAX($D$16,(K100)-(J31)))*SQRT(1+(H31)^2),0.000001))^(2/3),0.000001)))^2)+(((ABS(F100)*$D$6)/(MAX(((G31)+(I31)*(MAX($D$16,(D100)-(K31))))*(MAX($D$16,(D100)-(K31))),0.000001)*MAX(((((G31)+(I31)*(MAX($D$16,(D100)-(K31))))*(MAX($D$16,(D100)-(K31))))/MAX((G31)+2*(MAX($D$16,(D100)-(K31)))*SQRT(1+(I31)^2),0.000001))^(2/3),0.000001)))^2))/2)+(IF((ABS(F100)/MAX(((G31)+(I31)*(MAX($D$16,(D100)-(K31))))*(MAX($D$16,(D100)-(K31))),0.000001))&gt;(ABS(F100)/MAX(((F31)+(H31)*(MAX($D$16,(K100)-(J31))))*(MAX($D$16,(K100)-(J31))),0.000001)),$D$9*((((ABS(F100)/MAX(((G31)+(I31)*(MAX($D$16,(D100)-(K31))))*(MAX($D$16,(D100)-(K31))),0.000001))^2)/(2*$I$5))-(((ABS(F100)/MAX(((F31)+(H31)*(MAX($D$16,(K100)-(J31))))*(MAX($D$16,(K100)-(J31))),0.000001))^2)/(2*$I$5))),$D$8*((((ABS(F100)/MAX(((F31)+(H31)*(MAX($D$16,(K100)-(J31))))*(MAX($D$16,(K100)-(J31))),0.000001))^2)/(2*$I$5))-(((ABS(F100)/MAX(((G31)+(I31)*(MAX($D$16,(D100)-(K31))))*(MAX($D$16,(D100)-(K31))),0.000001))^2)/(2*$I$5)))))+($D$10*(ABS((X31)-(W31))/90)*MAX(((ABS(F100)/MAX(((F31)+(H31)*(MAX($D$16,(K100)-(J31))))*(MAX($D$16,(K100)-(J31))),0.000001))^2)/(2*$I$5),((ABS(F100)/MAX(((G31)+(I31)*(MAX($D$16,(D100)-(K31))))*(MAX($D$16,(D100)-(K31))),0.000001))^2)/(2*$I$5)))+(0)-((ABS(F100)/MAX(((G31)+(I31)*(MAX($D$16,(D100)-(K31))))*(MAX($D$16,(D100)-(K31))),0.000001))^2)/(2*$I$5)</f>
        <v>637.65825101089831</v>
      </c>
      <c r="P100">
        <f>E100+((ABS(G100)/MAX(((G32)+(I32)*(MAX($D$16,(E100)-(K32))))*(MAX($D$16,(E100)-(K32))),0.000001))^2)/(2*$I$5)+((E32)*((((ABS(G100)*$D$6)/(MAX(((F32)+(H32)*(MAX($D$16,(D100)-(J32))))*(MAX($D$16,(D100)-(J32))),0.000001)*MAX(((((F32)+(H32)*(MAX($D$16,(D100)-(J32))))*(MAX($D$16,(D100)-(J32))))/MAX((F32)+2*(MAX($D$16,(D100)-(J32)))*SQRT(1+(H32)^2),0.000001))^(2/3),0.000001)))^2)+(((ABS(G100)*$D$6)/(MAX(((G32)+(I32)*(MAX($D$16,(E100)-(K32))))*(MAX($D$16,(E100)-(K32))),0.000001)*MAX(((((G32)+(I32)*(MAX($D$16,(E100)-(K32))))*(MAX($D$16,(E100)-(K32))))/MAX((G32)+2*(MAX($D$16,(E100)-(K32)))*SQRT(1+(I32)^2),0.000001))^(2/3),0.000001)))^2))/2)+(IF((ABS(G100)/MAX(((G32)+(I32)*(MAX($D$16,(E100)-(K32))))*(MAX($D$16,(E100)-(K32))),0.000001))&gt;(ABS(G100)/MAX(((F32)+(H32)*(MAX($D$16,(D100)-(J32))))*(MAX($D$16,(D100)-(J32))),0.000001)),$D$9*((((ABS(G100)/MAX(((G32)+(I32)*(MAX($D$16,(E100)-(K32))))*(MAX($D$16,(E100)-(K32))),0.000001))^2)/(2*$I$5))-(((ABS(G100)/MAX(((F32)+(H32)*(MAX($D$16,(D100)-(J32))))*(MAX($D$16,(D100)-(J32))),0.000001))^2)/(2*$I$5))),$D$8*((((ABS(G100)/MAX(((F32)+(H32)*(MAX($D$16,(D100)-(J32))))*(MAX($D$16,(D100)-(J32))),0.000001))^2)/(2*$I$5))-(((ABS(G100)/MAX(((G32)+(I32)*(MAX($D$16,(E100)-(K32))))*(MAX($D$16,(E100)-(K32))),0.000001))^2)/(2*$I$5)))))+($D$10*(ABS((X32)-(W32))/90)*MAX(((ABS(G100)/MAX(((F32)+(H32)*(MAX($D$16,(D100)-(J32))))*(MAX($D$16,(D100)-(J32))),0.000001))^2)/(2*$I$5),((ABS(G100)/MAX(((G32)+(I32)*(MAX($D$16,(E100)-(K32))))*(MAX($D$16,(E100)-(K32))),0.000001))^2)/(2*$I$5)))+(($D$11*0.13607488*(ABS(H100)/MAX(ABS(F100),0.000001))^2*MAX(((ABS(G100)/MAX(((F32)+(H32)*(MAX($D$16,(D100)-(J32))))*(MAX($D$16,(D100)-(J32))),0.000001))^2)/(2*$I$5),((ABS(G100)/MAX(((G32)+(I32)*(MAX($D$16,(E100)-(K32))))*(MAX($D$16,(E100)-(K32))),0.000001))^2)/(2*$I$5))))-((ABS(G100)/MAX(((F32)+(H32)*(MAX($D$16,(D100)-(J32))))*(MAX($D$16,(D100)-(J32))),0.000001))^2)/(2*$I$5)</f>
        <v>52432.141837661286</v>
      </c>
      <c r="Q100">
        <f>L100+((ABS(H100)/MAX(((G33)+(I33)*(MAX($D$16,(L100)-(K33))))*(MAX($D$16,(L100)-(K33))),0.000001))^2)/(2*$I$5)+((E33)*((((ABS(H100)*$D$6)/(MAX(((F33)+(H33)*(MAX($D$16,(D100)-(J33))))*(MAX($D$16,(D100)-(J33))),0.000001)*MAX(((((F33)+(H33)*(MAX($D$16,(D100)-(J33))))*(MAX($D$16,(D100)-(J33))))/MAX((F33)+2*(MAX($D$16,(D100)-(J33)))*SQRT(1+(H33)^2),0.000001))^(2/3),0.000001)))^2)+(((ABS(H100)*$D$6)/(MAX(((G33)+(I33)*(MAX($D$16,(L100)-(K33))))*(MAX($D$16,(L100)-(K33))),0.000001)*MAX(((((G33)+(I33)*(MAX($D$16,(L100)-(K33))))*(MAX($D$16,(L100)-(K33))))/MAX((G33)+2*(MAX($D$16,(L100)-(K33)))*SQRT(1+(I33)^2),0.000001))^(2/3),0.000001)))^2))/2)+(IF((ABS(H100)/MAX(((G33)+(I33)*(MAX($D$16,(L100)-(K33))))*(MAX($D$16,(L100)-(K33))),0.000001))&gt;(ABS(H100)/MAX(((F33)+(H33)*(MAX($D$16,(D100)-(J33))))*(MAX($D$16,(D100)-(J33))),0.000001)),$D$9*((((ABS(H100)/MAX(((G33)+(I33)*(MAX($D$16,(L100)-(K33))))*(MAX($D$16,(L100)-(K33))),0.000001))^2)/(2*$I$5))-(((ABS(H100)/MAX(((F33)+(H33)*(MAX($D$16,(D100)-(J33))))*(MAX($D$16,(D100)-(J33))),0.000001))^2)/(2*$I$5))),$D$8*((((ABS(H100)/MAX(((F33)+(H33)*(MAX($D$16,(D100)-(J33))))*(MAX($D$16,(D100)-(J33))),0.000001))^2)/(2*$I$5))-(((ABS(H100)/MAX(((G33)+(I33)*(MAX($D$16,(L100)-(K33))))*(MAX($D$16,(L100)-(K33))),0.000001))^2)/(2*$I$5)))))+($D$10*(ABS((X33)-(W33))/90)*MAX(((ABS(H100)/MAX(((F33)+(H33)*(MAX($D$16,(D100)-(J33))))*(MAX($D$16,(D100)-(J33))),0.000001))^2)/(2*$I$5),((ABS(H100)/MAX(((G33)+(I33)*(MAX($D$16,(L100)-(K33))))*(MAX($D$16,(L100)-(K33))),0.000001))^2)/(2*$I$5)))+(($D$11*0.00000015*(ABS(G100)/MAX(ABS(F100),0.000001))^2*MAX(((ABS(H100)/MAX(((F33)+(H33)*(MAX($D$16,(D100)-(J33))))*(MAX($D$16,(D100)-(J33))),0.000001))^2)/(2*$I$5),((ABS(H100)/MAX(((G33)+(I33)*(MAX($D$16,(L100)-(K33))))*(MAX($D$16,(L100)-(K33))),0.000001))^2)/(2*$I$5))))-((ABS(H100)/MAX(((F33)+(H33)*(MAX($D$16,(D100)-(J33))))*(MAX($D$16,(D100)-(J33))),0.000001))^2)/(2*$I$5)</f>
        <v>634.3119999999999</v>
      </c>
      <c r="R100">
        <f>D100+((ABS(G100)/MAX(((F32)+(H32)*(MAX($D$16,(D100)-(J32))))*(MAX($D$16,(D100)-(J32))),0.000001))^2)/(2*$I$5)-((E32)*((((ABS(G100)*$D$6)/(MAX(((F32)+(H32)*(MAX($D$16,(D100)-(J32))))*(MAX($D$16,(D100)-(J32))),0.000001)*MAX(((((F32)+(H32)*(MAX($D$16,(D100)-(J32))))*(MAX($D$16,(D100)-(J32))))/MAX((F32)+2*(MAX($D$16,(D100)-(J32)))*SQRT(1+(H32)^2),0.000001))^(2/3),0.000001)))^2)+(((ABS(G100)*$D$6)/(MAX(((G32)+(I32)*(MAX($D$16,(E100)-(K32))))*(MAX($D$16,(E100)-(K32))),0.000001)*MAX(((((G32)+(I32)*(MAX($D$16,(E100)-(K32))))*(MAX($D$16,(E100)-(K32))))/MAX((G32)+2*(MAX($D$16,(E100)-(K32)))*SQRT(1+(I32)^2),0.000001))^(2/3),0.000001)))^2))/2)+(IF((ABS(G100)/MAX(((G32)+(I32)*(MAX($D$16,(E100)-(K32))))*(MAX($D$16,(E100)-(K32))),0.000001))&gt;(ABS(G100)/MAX(((F32)+(H32)*(MAX($D$16,(D100)-(J32))))*(MAX($D$16,(D100)-(J32))),0.000001)),$D$9*((((ABS(G100)/MAX(((G32)+(I32)*(MAX($D$16,(E100)-(K32))))*(MAX($D$16,(E100)-(K32))),0.000001))^2)/(2*$I$5))-(((ABS(G100)/MAX(((F32)+(H32)*(MAX($D$16,(D100)-(J32))))*(MAX($D$16,(D100)-(J32))),0.000001))^2)/(2*$I$5))),$D$8*((((ABS(G100)/MAX(((F32)+(H32)*(MAX($D$16,(D100)-(J32))))*(MAX($D$16,(D100)-(J32))),0.000001))^2)/(2*$I$5))-(((ABS(G100)/MAX(((G32)+(I32)*(MAX($D$16,(E100)-(K32))))*(MAX($D$16,(E100)-(K32))),0.000001))^2)/(2*$I$5)))))+($D$10*(ABS((X32)-(W32))/90)*MAX(((ABS(G100)/MAX(((F32)+(H32)*(MAX($D$16,(D100)-(J32))))*(MAX($D$16,(D100)-(J32))),0.000001))^2)/(2*$I$5),((ABS(G100)/MAX(((G32)+(I32)*(MAX($D$16,(E100)-(K32))))*(MAX($D$16,(E100)-(K32))),0.000001))^2)/(2*$I$5)))+(($D$11*0.13607488*(ABS(H100)/MAX(ABS(F100),0.000001))^2*MAX(((ABS(G100)/MAX(((F32)+(H32)*(MAX($D$16,(D100)-(J32))))*(MAX($D$16,(D100)-(J32))),0.000001))^2)/(2*$I$5),((ABS(G100)/MAX(((G32)+(I32)*(MAX($D$16,(E100)-(K32))))*(MAX($D$16,(E100)-(K32))),0.000001))^2)/(2*$I$5))))-((ABS(G100)/MAX(((G32)+(I32)*(MAX($D$16,(E100)-(K32))))*(MAX($D$16,(E100)-(K32))),0.000001))^2)/(2*$I$5)</f>
        <v>52432.141837661075</v>
      </c>
      <c r="S100">
        <f>M100+((ABS(I100)/MAX(((G34)+(I34)*(MAX($D$16,(M100)-(K34))))*(MAX($D$16,(M100)-(K34))),0.000001))^2)/(2*$I$5)+((E34)*((((ABS(I100)*$D$6)/(MAX(((F34)+(H34)*(MAX($D$16,(E100)-(J34))))*(MAX($D$16,(E100)-(J34))),0.000001)*MAX(((((F34)+(H34)*(MAX($D$16,(E100)-(J34))))*(MAX($D$16,(E100)-(J34))))/MAX((F34)+2*(MAX($D$16,(E100)-(J34)))*SQRT(1+(H34)^2),0.000001))^(2/3),0.000001)))^2)+(((ABS(I100)*$D$6)/(MAX(((G34)+(I34)*(MAX($D$16,(M100)-(K34))))*(MAX($D$16,(M100)-(K34))),0.000001)*MAX(((((G34)+(I34)*(MAX($D$16,(M100)-(K34))))*(MAX($D$16,(M100)-(K34))))/MAX((G34)+2*(MAX($D$16,(M100)-(K34)))*SQRT(1+(I34)^2),0.000001))^(2/3),0.000001)))^2))/2)+(IF((ABS(I100)/MAX(((G34)+(I34)*(MAX($D$16,(M100)-(K34))))*(MAX($D$16,(M100)-(K34))),0.000001))&gt;(ABS(I100)/MAX(((F34)+(H34)*(MAX($D$16,(E100)-(J34))))*(MAX($D$16,(E100)-(J34))),0.000001)),$D$9*((((ABS(I100)/MAX(((G34)+(I34)*(MAX($D$16,(M100)-(K34))))*(MAX($D$16,(M100)-(K34))),0.000001))^2)/(2*$I$5))-(((ABS(I100)/MAX(((F34)+(H34)*(MAX($D$16,(E100)-(J34))))*(MAX($D$16,(E100)-(J34))),0.000001))^2)/(2*$I$5))),$D$8*((((ABS(I100)/MAX(((F34)+(H34)*(MAX($D$16,(E100)-(J34))))*(MAX($D$16,(E100)-(J34))),0.000001))^2)/(2*$I$5))-(((ABS(I100)/MAX(((G34)+(I34)*(MAX($D$16,(M100)-(K34))))*(MAX($D$16,(M100)-(K34))),0.000001))^2)/(2*$I$5)))))+($D$10*(ABS((X34)-(W34))/90)*MAX(((ABS(I100)/MAX(((F34)+(H34)*(MAX($D$16,(E100)-(J34))))*(MAX($D$16,(E100)-(J34))),0.000001))^2)/(2*$I$5),((ABS(I100)/MAX(((G34)+(I34)*(MAX($D$16,(M100)-(K34))))*(MAX($D$16,(M100)-(K34))),0.000001))^2)/(2*$I$5)))+(0)-((ABS(I100)/MAX(((F34)+(H34)*(MAX($D$16,(E100)-(J34))))*(MAX($D$16,(E100)-(J34))),0.000001))^2)/(2*$I$5)</f>
        <v>635.5</v>
      </c>
      <c r="T100">
        <f>N100+((ABS(J100)/MAX(((G35)+(I35)*(MAX($D$16,(N100)-(K35))))*(MAX($D$16,(N100)-(K35))),0.000001))^2)/(2*$I$5)+((E35)*((((ABS(J100)*$D$6)/(MAX(((F35)+(H35)*(MAX($D$16,(E100)-(J35))))*(MAX($D$16,(E100)-(J35))),0.000001)*MAX(((((F35)+(H35)*(MAX($D$16,(E100)-(J35))))*(MAX($D$16,(E100)-(J35))))/MAX((F35)+2*(MAX($D$16,(E100)-(J35)))*SQRT(1+(H35)^2),0.000001))^(2/3),0.000001)))^2)+(((ABS(J100)*$D$6)/(MAX(((G35)+(I35)*(MAX($D$16,(N100)-(K35))))*(MAX($D$16,(N100)-(K35))),0.000001)*MAX(((((G35)+(I35)*(MAX($D$16,(N100)-(K35))))*(MAX($D$16,(N100)-(K35))))/MAX((G35)+2*(MAX($D$16,(N100)-(K35)))*SQRT(1+(I35)^2),0.000001))^(2/3),0.000001)))^2))/2)+(IF((ABS(J100)/MAX(((G35)+(I35)*(MAX($D$16,(N100)-(K35))))*(MAX($D$16,(N100)-(K35))),0.000001))&gt;(ABS(J100)/MAX(((F35)+(H35)*(MAX($D$16,(E100)-(J35))))*(MAX($D$16,(E100)-(J35))),0.000001)),$D$9*((((ABS(J100)/MAX(((G35)+(I35)*(MAX($D$16,(N100)-(K35))))*(MAX($D$16,(N100)-(K35))),0.000001))^2)/(2*$I$5))-(((ABS(J100)/MAX(((F35)+(H35)*(MAX($D$16,(E100)-(J35))))*(MAX($D$16,(E100)-(J35))),0.000001))^2)/(2*$I$5))),$D$8*((((ABS(J100)/MAX(((F35)+(H35)*(MAX($D$16,(E100)-(J35))))*(MAX($D$16,(E100)-(J35))),0.000001))^2)/(2*$I$5))-(((ABS(J100)/MAX(((G35)+(I35)*(MAX($D$16,(N100)-(K35))))*(MAX($D$16,(N100)-(K35))),0.000001))^2)/(2*$I$5)))))+($D$10*(ABS((X35)-(W35))/90)*MAX(((ABS(J100)/MAX(((F35)+(H35)*(MAX($D$16,(E100)-(J35))))*(MAX($D$16,(E100)-(J35))),0.000001))^2)/(2*$I$5),((ABS(J100)/MAX(((G35)+(I35)*(MAX($D$16,(N100)-(K35))))*(MAX($D$16,(N100)-(K35))),0.000001))^2)/(2*$I$5)))+(($D$11*0.34699541*(ABS(I100)/MAX(ABS(G100),0.000001))^2*MAX(((ABS(J100)/MAX(((F35)+(H35)*(MAX($D$16,(E100)-(J35))))*(MAX($D$16,(E100)-(J35))),0.000001))^2)/(2*$I$5),((ABS(J100)/MAX(((G35)+(I35)*(MAX($D$16,(N100)-(K35))))*(MAX($D$16,(N100)-(K35))),0.000001))^2)/(2*$I$5))))-((ABS(J100)/MAX(((F35)+(H35)*(MAX($D$16,(E100)-(J35))))*(MAX($D$16,(E100)-(J35))),0.000001))^2)/(2*$I$5)</f>
        <v>20784.033523923383</v>
      </c>
      <c r="U100">
        <f>(((((F32)*(MAX($D$16,(D100)-(J32)))^2)/2+(H32)*(MAX($D$16,(D100)-(J32)))^3/3+(ABS(G100)^2)/($I$5*MAX(((F32)+(H32)*(MAX($D$16,(D100)-(J32))))*(MAX($D$16,(D100)-(J32))),0.000001)))*0.72785025)-((((F33)*(MAX($D$16,(D100)-(J33)))^2)/2+(H33)*(MAX($D$16,(D100)-(J33)))^3/3+(ABS(H100)^2)/($I$5*MAX(((F33)+(H33)*(MAX($D$16,(D100)-(J33))))*(MAX($D$16,(D100)-(J33))),0.000001)))*0.99999971))/MAX(((G31)*(MAX($D$16,(D100)-(K31)))^2)/2+(I31)*(MAX($D$16,(D100)-(K31)))^3/3+(ABS(F100)^2)/($I$5*MAX(((G31)+(I31)*(MAX($D$16,(D100)-(K31))))*(MAX($D$16,(D100)-(K31))),0.000001)),0.000001)</f>
        <v>-0.27214945999991125</v>
      </c>
      <c r="V100">
        <f>(((((F34)*(MAX($D$16,(E100)-(J34)))^2)/2+(H34)*(MAX($D$16,(E100)-(J34)))^3/3+(ABS(I100)^2)/($I$5*MAX(((F34)+(H34)*(MAX($D$16,(E100)-(J34))))*(MAX($D$16,(E100)-(J34))),0.000001)))*1)-((((F35)*(MAX($D$16,(E100)-(J35)))^2)/2+(H35)*(MAX($D$16,(E100)-(J35)))^3/3+(ABS(J100)^2)/($I$5*MAX(((F35)+(H35)*(MAX($D$16,(E100)-(J35))))*(MAX($D$16,(E100)-(J35))),0.000001)))*0.30600918))/MAX(((G32)*(MAX($D$16,(E100)-(K32)))^2)/2+(I32)*(MAX($D$16,(E100)-(K32)))^3/3+(ABS(G100)^2)/($I$5*MAX(((G32)+(I32)*(MAX($D$16,(E100)-(K32))))*(MAX($D$16,(E100)-(K32))),0.000001)),0.000001)</f>
        <v>0.69398638937190382</v>
      </c>
      <c r="W100">
        <f>IF(N6="None",ABS(P100-D100),MAX(ABS(P100-D100),ABS(Q100-D100)))</f>
        <v>3.4197000786662102E-10</v>
      </c>
      <c r="X100">
        <f>IF(AND(N7="None",N8="None"),0,IF(N8="None",ABS(S100-E100),IF(N7="None",ABS(T100-E100),MAX(ABS(S100-E100),ABS(T100-E100)))))</f>
        <v>51796.641837660733</v>
      </c>
      <c r="AA100">
        <f t="shared" si="18"/>
        <v>52432.14183766106</v>
      </c>
      <c r="AB100">
        <f t="shared" si="19"/>
        <v>41355.303927852663</v>
      </c>
      <c r="AC100">
        <f>IF(N6="None",P100,MAX(P100,Q100))</f>
        <v>52432.141837661286</v>
      </c>
      <c r="AD100">
        <f>IF(AND(N7="None",N8="None"),E100,IF(N8="None",S100,IF(N7="None",T100,MAX(S100,T100))))</f>
        <v>20784.033523923383</v>
      </c>
      <c r="AE100">
        <f t="shared" si="20"/>
        <v>637.65825101089831</v>
      </c>
      <c r="AF100">
        <f t="shared" si="21"/>
        <v>52432.141837661075</v>
      </c>
      <c r="AG100">
        <f>((G31)*(MAX($D$16,(AC100)-(K31)))^2)/2+(I31)*(MAX($D$16,(AC100)-(K31)))^3/3+(ABS(F100)^2)/($I$5*MAX(((G31)+(I31)*(MAX($D$16,(AC100)-(K31))))*(MAX($D$16,(AC100)-(K31))),0.000001))</f>
        <v>8797611517.4113922</v>
      </c>
      <c r="AH100">
        <f>((G31)*(MAX($D$16,(AE100)-(K31)))^2)/2+(I31)*(MAX($D$16,(AE100)-(K31)))^3/3+(ABS(F100)^2)/($I$5*MAX(((G31)+(I31)*(MAX($D$16,(AE100)-(K31))))*(MAX($D$16,(AE100)-(K31))),0.000001))</f>
        <v>49.055863329575246</v>
      </c>
      <c r="AI100">
        <f>((G32)*(MAX($D$16,(AD100)-(K32)))^2)/2+(I32)*(MAX($D$16,(AD100)-(K32)))^3/3+(ABS(G100)^2)/($I$5*MAX(((G32)+(I32)*(MAX($D$16,(AD100)-(K32))))*(MAX($D$16,(AD100)-(K32))),0.000001))</f>
        <v>2072376743.6648321</v>
      </c>
      <c r="AJ100">
        <f>((G32)*(MAX($D$16,(AF100)-(K32)))^2)/2+(I32)*(MAX($D$16,(AF100)-(K32)))^3/3+(ABS(G100)^2)/($I$5*MAX(((G32)+(I32)*(MAX($D$16,(AF100)-(K32))))*(MAX($D$16,(AF100)-(K32))),0.000001))</f>
        <v>13692714789.643597</v>
      </c>
      <c r="AK100" t="str">
        <f t="shared" si="22"/>
        <v>Subcritical</v>
      </c>
      <c r="AL100" t="str">
        <f t="shared" si="23"/>
        <v>Supercritical</v>
      </c>
      <c r="AM100">
        <f t="shared" si="24"/>
        <v>52432.14183766106</v>
      </c>
      <c r="AN100">
        <f t="shared" si="25"/>
        <v>52432.141837660849</v>
      </c>
      <c r="AO100">
        <f t="shared" si="26"/>
        <v>3.4197000786662102E-10</v>
      </c>
      <c r="AP100">
        <f t="shared" si="27"/>
        <v>3.4197000786662102E-10</v>
      </c>
    </row>
    <row r="101" spans="1:42" x14ac:dyDescent="0.35">
      <c r="A101">
        <v>58</v>
      </c>
      <c r="B101">
        <f t="shared" si="28"/>
        <v>0</v>
      </c>
      <c r="C101">
        <f t="shared" si="29"/>
        <v>0</v>
      </c>
      <c r="D101">
        <f t="shared" si="30"/>
        <v>52432.14183766106</v>
      </c>
      <c r="E101">
        <f t="shared" si="31"/>
        <v>52432.141837660849</v>
      </c>
      <c r="F101">
        <f t="shared" si="17"/>
        <v>51</v>
      </c>
      <c r="G101">
        <f>IF(N6="None",F101,MAX(0,F101*B101))</f>
        <v>51</v>
      </c>
      <c r="H101">
        <f>IF(N6="None",0,MAX(0,F101-G101))</f>
        <v>0</v>
      </c>
      <c r="I101">
        <f>IF(AND(N7="None",N8="None"),0,IF(N8="None",G101,IF(N7="None",0,MAX(0,G101*C101))))</f>
        <v>0</v>
      </c>
      <c r="J101">
        <f>IF(AND(N7="None",N8="None"),0,IF(N8="None",0,IF(N7="None",G101,MAX(0,G101-I101))))</f>
        <v>51</v>
      </c>
      <c r="K101">
        <f>P5</f>
        <v>637</v>
      </c>
      <c r="L101">
        <f>P6</f>
        <v>634.3119999999999</v>
      </c>
      <c r="M101">
        <f>P7</f>
        <v>635.5</v>
      </c>
      <c r="N101">
        <f>P8</f>
        <v>631.54999999999995</v>
      </c>
      <c r="O101">
        <f>K101+((ABS(F101)/MAX(((F31)+(H31)*(MAX($D$16,(K101)-(J31))))*(MAX($D$16,(K101)-(J31))),0.000001))^2)/(2*$I$5)-((E31)*((((ABS(F101)*$D$6)/(MAX(((F31)+(H31)*(MAX($D$16,(K101)-(J31))))*(MAX($D$16,(K101)-(J31))),0.000001)*MAX(((((F31)+(H31)*(MAX($D$16,(K101)-(J31))))*(MAX($D$16,(K101)-(J31))))/MAX((F31)+2*(MAX($D$16,(K101)-(J31)))*SQRT(1+(H31)^2),0.000001))^(2/3),0.000001)))^2)+(((ABS(F101)*$D$6)/(MAX(((G31)+(I31)*(MAX($D$16,(D101)-(K31))))*(MAX($D$16,(D101)-(K31))),0.000001)*MAX(((((G31)+(I31)*(MAX($D$16,(D101)-(K31))))*(MAX($D$16,(D101)-(K31))))/MAX((G31)+2*(MAX($D$16,(D101)-(K31)))*SQRT(1+(I31)^2),0.000001))^(2/3),0.000001)))^2))/2)+(IF((ABS(F101)/MAX(((G31)+(I31)*(MAX($D$16,(D101)-(K31))))*(MAX($D$16,(D101)-(K31))),0.000001))&gt;(ABS(F101)/MAX(((F31)+(H31)*(MAX($D$16,(K101)-(J31))))*(MAX($D$16,(K101)-(J31))),0.000001)),$D$9*((((ABS(F101)/MAX(((G31)+(I31)*(MAX($D$16,(D101)-(K31))))*(MAX($D$16,(D101)-(K31))),0.000001))^2)/(2*$I$5))-(((ABS(F101)/MAX(((F31)+(H31)*(MAX($D$16,(K101)-(J31))))*(MAX($D$16,(K101)-(J31))),0.000001))^2)/(2*$I$5))),$D$8*((((ABS(F101)/MAX(((F31)+(H31)*(MAX($D$16,(K101)-(J31))))*(MAX($D$16,(K101)-(J31))),0.000001))^2)/(2*$I$5))-(((ABS(F101)/MAX(((G31)+(I31)*(MAX($D$16,(D101)-(K31))))*(MAX($D$16,(D101)-(K31))),0.000001))^2)/(2*$I$5)))))+($D$10*(ABS((X31)-(W31))/90)*MAX(((ABS(F101)/MAX(((F31)+(H31)*(MAX($D$16,(K101)-(J31))))*(MAX($D$16,(K101)-(J31))),0.000001))^2)/(2*$I$5),((ABS(F101)/MAX(((G31)+(I31)*(MAX($D$16,(D101)-(K31))))*(MAX($D$16,(D101)-(K31))),0.000001))^2)/(2*$I$5)))+(0)-((ABS(F101)/MAX(((G31)+(I31)*(MAX($D$16,(D101)-(K31))))*(MAX($D$16,(D101)-(K31))),0.000001))^2)/(2*$I$5)</f>
        <v>637.65825101089831</v>
      </c>
      <c r="P101">
        <f>E101+((ABS(G101)/MAX(((G32)+(I32)*(MAX($D$16,(E101)-(K32))))*(MAX($D$16,(E101)-(K32))),0.000001))^2)/(2*$I$5)+((E32)*((((ABS(G101)*$D$6)/(MAX(((F32)+(H32)*(MAX($D$16,(D101)-(J32))))*(MAX($D$16,(D101)-(J32))),0.000001)*MAX(((((F32)+(H32)*(MAX($D$16,(D101)-(J32))))*(MAX($D$16,(D101)-(J32))))/MAX((F32)+2*(MAX($D$16,(D101)-(J32)))*SQRT(1+(H32)^2),0.000001))^(2/3),0.000001)))^2)+(((ABS(G101)*$D$6)/(MAX(((G32)+(I32)*(MAX($D$16,(E101)-(K32))))*(MAX($D$16,(E101)-(K32))),0.000001)*MAX(((((G32)+(I32)*(MAX($D$16,(E101)-(K32))))*(MAX($D$16,(E101)-(K32))))/MAX((G32)+2*(MAX($D$16,(E101)-(K32)))*SQRT(1+(I32)^2),0.000001))^(2/3),0.000001)))^2))/2)+(IF((ABS(G101)/MAX(((G32)+(I32)*(MAX($D$16,(E101)-(K32))))*(MAX($D$16,(E101)-(K32))),0.000001))&gt;(ABS(G101)/MAX(((F32)+(H32)*(MAX($D$16,(D101)-(J32))))*(MAX($D$16,(D101)-(J32))),0.000001)),$D$9*((((ABS(G101)/MAX(((G32)+(I32)*(MAX($D$16,(E101)-(K32))))*(MAX($D$16,(E101)-(K32))),0.000001))^2)/(2*$I$5))-(((ABS(G101)/MAX(((F32)+(H32)*(MAX($D$16,(D101)-(J32))))*(MAX($D$16,(D101)-(J32))),0.000001))^2)/(2*$I$5))),$D$8*((((ABS(G101)/MAX(((F32)+(H32)*(MAX($D$16,(D101)-(J32))))*(MAX($D$16,(D101)-(J32))),0.000001))^2)/(2*$I$5))-(((ABS(G101)/MAX(((G32)+(I32)*(MAX($D$16,(E101)-(K32))))*(MAX($D$16,(E101)-(K32))),0.000001))^2)/(2*$I$5)))))+($D$10*(ABS((X32)-(W32))/90)*MAX(((ABS(G101)/MAX(((F32)+(H32)*(MAX($D$16,(D101)-(J32))))*(MAX($D$16,(D101)-(J32))),0.000001))^2)/(2*$I$5),((ABS(G101)/MAX(((G32)+(I32)*(MAX($D$16,(E101)-(K32))))*(MAX($D$16,(E101)-(K32))),0.000001))^2)/(2*$I$5)))+(($D$11*0.13607488*(ABS(H101)/MAX(ABS(F101),0.000001))^2*MAX(((ABS(G101)/MAX(((F32)+(H32)*(MAX($D$16,(D101)-(J32))))*(MAX($D$16,(D101)-(J32))),0.000001))^2)/(2*$I$5),((ABS(G101)/MAX(((G32)+(I32)*(MAX($D$16,(E101)-(K32))))*(MAX($D$16,(E101)-(K32))),0.000001))^2)/(2*$I$5))))-((ABS(G101)/MAX(((F32)+(H32)*(MAX($D$16,(D101)-(J32))))*(MAX($D$16,(D101)-(J32))),0.000001))^2)/(2*$I$5)</f>
        <v>52432.141837661402</v>
      </c>
      <c r="Q101">
        <f>L101+((ABS(H101)/MAX(((G33)+(I33)*(MAX($D$16,(L101)-(K33))))*(MAX($D$16,(L101)-(K33))),0.000001))^2)/(2*$I$5)+((E33)*((((ABS(H101)*$D$6)/(MAX(((F33)+(H33)*(MAX($D$16,(D101)-(J33))))*(MAX($D$16,(D101)-(J33))),0.000001)*MAX(((((F33)+(H33)*(MAX($D$16,(D101)-(J33))))*(MAX($D$16,(D101)-(J33))))/MAX((F33)+2*(MAX($D$16,(D101)-(J33)))*SQRT(1+(H33)^2),0.000001))^(2/3),0.000001)))^2)+(((ABS(H101)*$D$6)/(MAX(((G33)+(I33)*(MAX($D$16,(L101)-(K33))))*(MAX($D$16,(L101)-(K33))),0.000001)*MAX(((((G33)+(I33)*(MAX($D$16,(L101)-(K33))))*(MAX($D$16,(L101)-(K33))))/MAX((G33)+2*(MAX($D$16,(L101)-(K33)))*SQRT(1+(I33)^2),0.000001))^(2/3),0.000001)))^2))/2)+(IF((ABS(H101)/MAX(((G33)+(I33)*(MAX($D$16,(L101)-(K33))))*(MAX($D$16,(L101)-(K33))),0.000001))&gt;(ABS(H101)/MAX(((F33)+(H33)*(MAX($D$16,(D101)-(J33))))*(MAX($D$16,(D101)-(J33))),0.000001)),$D$9*((((ABS(H101)/MAX(((G33)+(I33)*(MAX($D$16,(L101)-(K33))))*(MAX($D$16,(L101)-(K33))),0.000001))^2)/(2*$I$5))-(((ABS(H101)/MAX(((F33)+(H33)*(MAX($D$16,(D101)-(J33))))*(MAX($D$16,(D101)-(J33))),0.000001))^2)/(2*$I$5))),$D$8*((((ABS(H101)/MAX(((F33)+(H33)*(MAX($D$16,(D101)-(J33))))*(MAX($D$16,(D101)-(J33))),0.000001))^2)/(2*$I$5))-(((ABS(H101)/MAX(((G33)+(I33)*(MAX($D$16,(L101)-(K33))))*(MAX($D$16,(L101)-(K33))),0.000001))^2)/(2*$I$5)))))+($D$10*(ABS((X33)-(W33))/90)*MAX(((ABS(H101)/MAX(((F33)+(H33)*(MAX($D$16,(D101)-(J33))))*(MAX($D$16,(D101)-(J33))),0.000001))^2)/(2*$I$5),((ABS(H101)/MAX(((G33)+(I33)*(MAX($D$16,(L101)-(K33))))*(MAX($D$16,(L101)-(K33))),0.000001))^2)/(2*$I$5)))+(($D$11*0.00000015*(ABS(G101)/MAX(ABS(F101),0.000001))^2*MAX(((ABS(H101)/MAX(((F33)+(H33)*(MAX($D$16,(D101)-(J33))))*(MAX($D$16,(D101)-(J33))),0.000001))^2)/(2*$I$5),((ABS(H101)/MAX(((G33)+(I33)*(MAX($D$16,(L101)-(K33))))*(MAX($D$16,(L101)-(K33))),0.000001))^2)/(2*$I$5))))-((ABS(H101)/MAX(((F33)+(H33)*(MAX($D$16,(D101)-(J33))))*(MAX($D$16,(D101)-(J33))),0.000001))^2)/(2*$I$5)</f>
        <v>634.3119999999999</v>
      </c>
      <c r="R101">
        <f>D101+((ABS(G101)/MAX(((F32)+(H32)*(MAX($D$16,(D101)-(J32))))*(MAX($D$16,(D101)-(J32))),0.000001))^2)/(2*$I$5)-((E32)*((((ABS(G101)*$D$6)/(MAX(((F32)+(H32)*(MAX($D$16,(D101)-(J32))))*(MAX($D$16,(D101)-(J32))),0.000001)*MAX(((((F32)+(H32)*(MAX($D$16,(D101)-(J32))))*(MAX($D$16,(D101)-(J32))))/MAX((F32)+2*(MAX($D$16,(D101)-(J32)))*SQRT(1+(H32)^2),0.000001))^(2/3),0.000001)))^2)+(((ABS(G101)*$D$6)/(MAX(((G32)+(I32)*(MAX($D$16,(E101)-(K32))))*(MAX($D$16,(E101)-(K32))),0.000001)*MAX(((((G32)+(I32)*(MAX($D$16,(E101)-(K32))))*(MAX($D$16,(E101)-(K32))))/MAX((G32)+2*(MAX($D$16,(E101)-(K32)))*SQRT(1+(I32)^2),0.000001))^(2/3),0.000001)))^2))/2)+(IF((ABS(G101)/MAX(((G32)+(I32)*(MAX($D$16,(E101)-(K32))))*(MAX($D$16,(E101)-(K32))),0.000001))&gt;(ABS(G101)/MAX(((F32)+(H32)*(MAX($D$16,(D101)-(J32))))*(MAX($D$16,(D101)-(J32))),0.000001)),$D$9*((((ABS(G101)/MAX(((G32)+(I32)*(MAX($D$16,(E101)-(K32))))*(MAX($D$16,(E101)-(K32))),0.000001))^2)/(2*$I$5))-(((ABS(G101)/MAX(((F32)+(H32)*(MAX($D$16,(D101)-(J32))))*(MAX($D$16,(D101)-(J32))),0.000001))^2)/(2*$I$5))),$D$8*((((ABS(G101)/MAX(((F32)+(H32)*(MAX($D$16,(D101)-(J32))))*(MAX($D$16,(D101)-(J32))),0.000001))^2)/(2*$I$5))-(((ABS(G101)/MAX(((G32)+(I32)*(MAX($D$16,(E101)-(K32))))*(MAX($D$16,(E101)-(K32))),0.000001))^2)/(2*$I$5)))))+($D$10*(ABS((X32)-(W32))/90)*MAX(((ABS(G101)/MAX(((F32)+(H32)*(MAX($D$16,(D101)-(J32))))*(MAX($D$16,(D101)-(J32))),0.000001))^2)/(2*$I$5),((ABS(G101)/MAX(((G32)+(I32)*(MAX($D$16,(E101)-(K32))))*(MAX($D$16,(E101)-(K32))),0.000001))^2)/(2*$I$5)))+(($D$11*0.13607488*(ABS(H101)/MAX(ABS(F101),0.000001))^2*MAX(((ABS(G101)/MAX(((F32)+(H32)*(MAX($D$16,(D101)-(J32))))*(MAX($D$16,(D101)-(J32))),0.000001))^2)/(2*$I$5),((ABS(G101)/MAX(((G32)+(I32)*(MAX($D$16,(E101)-(K32))))*(MAX($D$16,(E101)-(K32))),0.000001))^2)/(2*$I$5))))-((ABS(G101)/MAX(((G32)+(I32)*(MAX($D$16,(E101)-(K32))))*(MAX($D$16,(E101)-(K32))),0.000001))^2)/(2*$I$5)</f>
        <v>52432.141837661191</v>
      </c>
      <c r="S101">
        <f>M101+((ABS(I101)/MAX(((G34)+(I34)*(MAX($D$16,(M101)-(K34))))*(MAX($D$16,(M101)-(K34))),0.000001))^2)/(2*$I$5)+((E34)*((((ABS(I101)*$D$6)/(MAX(((F34)+(H34)*(MAX($D$16,(E101)-(J34))))*(MAX($D$16,(E101)-(J34))),0.000001)*MAX(((((F34)+(H34)*(MAX($D$16,(E101)-(J34))))*(MAX($D$16,(E101)-(J34))))/MAX((F34)+2*(MAX($D$16,(E101)-(J34)))*SQRT(1+(H34)^2),0.000001))^(2/3),0.000001)))^2)+(((ABS(I101)*$D$6)/(MAX(((G34)+(I34)*(MAX($D$16,(M101)-(K34))))*(MAX($D$16,(M101)-(K34))),0.000001)*MAX(((((G34)+(I34)*(MAX($D$16,(M101)-(K34))))*(MAX($D$16,(M101)-(K34))))/MAX((G34)+2*(MAX($D$16,(M101)-(K34)))*SQRT(1+(I34)^2),0.000001))^(2/3),0.000001)))^2))/2)+(IF((ABS(I101)/MAX(((G34)+(I34)*(MAX($D$16,(M101)-(K34))))*(MAX($D$16,(M101)-(K34))),0.000001))&gt;(ABS(I101)/MAX(((F34)+(H34)*(MAX($D$16,(E101)-(J34))))*(MAX($D$16,(E101)-(J34))),0.000001)),$D$9*((((ABS(I101)/MAX(((G34)+(I34)*(MAX($D$16,(M101)-(K34))))*(MAX($D$16,(M101)-(K34))),0.000001))^2)/(2*$I$5))-(((ABS(I101)/MAX(((F34)+(H34)*(MAX($D$16,(E101)-(J34))))*(MAX($D$16,(E101)-(J34))),0.000001))^2)/(2*$I$5))),$D$8*((((ABS(I101)/MAX(((F34)+(H34)*(MAX($D$16,(E101)-(J34))))*(MAX($D$16,(E101)-(J34))),0.000001))^2)/(2*$I$5))-(((ABS(I101)/MAX(((G34)+(I34)*(MAX($D$16,(M101)-(K34))))*(MAX($D$16,(M101)-(K34))),0.000001))^2)/(2*$I$5)))))+($D$10*(ABS((X34)-(W34))/90)*MAX(((ABS(I101)/MAX(((F34)+(H34)*(MAX($D$16,(E101)-(J34))))*(MAX($D$16,(E101)-(J34))),0.000001))^2)/(2*$I$5),((ABS(I101)/MAX(((G34)+(I34)*(MAX($D$16,(M101)-(K34))))*(MAX($D$16,(M101)-(K34))),0.000001))^2)/(2*$I$5)))+(0)-((ABS(I101)/MAX(((F34)+(H34)*(MAX($D$16,(E101)-(J34))))*(MAX($D$16,(E101)-(J34))),0.000001))^2)/(2*$I$5)</f>
        <v>635.5</v>
      </c>
      <c r="T101">
        <f>N101+((ABS(J101)/MAX(((G35)+(I35)*(MAX($D$16,(N101)-(K35))))*(MAX($D$16,(N101)-(K35))),0.000001))^2)/(2*$I$5)+((E35)*((((ABS(J101)*$D$6)/(MAX(((F35)+(H35)*(MAX($D$16,(E101)-(J35))))*(MAX($D$16,(E101)-(J35))),0.000001)*MAX(((((F35)+(H35)*(MAX($D$16,(E101)-(J35))))*(MAX($D$16,(E101)-(J35))))/MAX((F35)+2*(MAX($D$16,(E101)-(J35)))*SQRT(1+(H35)^2),0.000001))^(2/3),0.000001)))^2)+(((ABS(J101)*$D$6)/(MAX(((G35)+(I35)*(MAX($D$16,(N101)-(K35))))*(MAX($D$16,(N101)-(K35))),0.000001)*MAX(((((G35)+(I35)*(MAX($D$16,(N101)-(K35))))*(MAX($D$16,(N101)-(K35))))/MAX((G35)+2*(MAX($D$16,(N101)-(K35)))*SQRT(1+(I35)^2),0.000001))^(2/3),0.000001)))^2))/2)+(IF((ABS(J101)/MAX(((G35)+(I35)*(MAX($D$16,(N101)-(K35))))*(MAX($D$16,(N101)-(K35))),0.000001))&gt;(ABS(J101)/MAX(((F35)+(H35)*(MAX($D$16,(E101)-(J35))))*(MAX($D$16,(E101)-(J35))),0.000001)),$D$9*((((ABS(J101)/MAX(((G35)+(I35)*(MAX($D$16,(N101)-(K35))))*(MAX($D$16,(N101)-(K35))),0.000001))^2)/(2*$I$5))-(((ABS(J101)/MAX(((F35)+(H35)*(MAX($D$16,(E101)-(J35))))*(MAX($D$16,(E101)-(J35))),0.000001))^2)/(2*$I$5))),$D$8*((((ABS(J101)/MAX(((F35)+(H35)*(MAX($D$16,(E101)-(J35))))*(MAX($D$16,(E101)-(J35))),0.000001))^2)/(2*$I$5))-(((ABS(J101)/MAX(((G35)+(I35)*(MAX($D$16,(N101)-(K35))))*(MAX($D$16,(N101)-(K35))),0.000001))^2)/(2*$I$5)))))+($D$10*(ABS((X35)-(W35))/90)*MAX(((ABS(J101)/MAX(((F35)+(H35)*(MAX($D$16,(E101)-(J35))))*(MAX($D$16,(E101)-(J35))),0.000001))^2)/(2*$I$5),((ABS(J101)/MAX(((G35)+(I35)*(MAX($D$16,(N101)-(K35))))*(MAX($D$16,(N101)-(K35))),0.000001))^2)/(2*$I$5)))+(($D$11*0.34699541*(ABS(I101)/MAX(ABS(G101),0.000001))^2*MAX(((ABS(J101)/MAX(((F35)+(H35)*(MAX($D$16,(E101)-(J35))))*(MAX($D$16,(E101)-(J35))),0.000001))^2)/(2*$I$5),((ABS(J101)/MAX(((G35)+(I35)*(MAX($D$16,(N101)-(K35))))*(MAX($D$16,(N101)-(K35))),0.000001))^2)/(2*$I$5))))-((ABS(J101)/MAX(((F35)+(H35)*(MAX($D$16,(E101)-(J35))))*(MAX($D$16,(E101)-(J35))),0.000001))^2)/(2*$I$5)</f>
        <v>20784.033523923383</v>
      </c>
      <c r="U101">
        <f>(((((F32)*(MAX($D$16,(D101)-(J32)))^2)/2+(H32)*(MAX($D$16,(D101)-(J32)))^3/3+(ABS(G101)^2)/($I$5*MAX(((F32)+(H32)*(MAX($D$16,(D101)-(J32))))*(MAX($D$16,(D101)-(J32))),0.000001)))*0.72785025)-((((F33)*(MAX($D$16,(D101)-(J33)))^2)/2+(H33)*(MAX($D$16,(D101)-(J33)))^3/3+(ABS(H101)^2)/($I$5*MAX(((F33)+(H33)*(MAX($D$16,(D101)-(J33))))*(MAX($D$16,(D101)-(J33))),0.000001)))*0.99999971))/MAX(((G31)*(MAX($D$16,(D101)-(K31)))^2)/2+(I31)*(MAX($D$16,(D101)-(K31)))^3/3+(ABS(F101)^2)/($I$5*MAX(((G31)+(I31)*(MAX($D$16,(D101)-(K31))))*(MAX($D$16,(D101)-(K31))),0.000001)),0.000001)</f>
        <v>-0.27214945999991119</v>
      </c>
      <c r="V101">
        <f>(((((F34)*(MAX($D$16,(E101)-(J34)))^2)/2+(H34)*(MAX($D$16,(E101)-(J34)))^3/3+(ABS(I101)^2)/($I$5*MAX(((F34)+(H34)*(MAX($D$16,(E101)-(J34))))*(MAX($D$16,(E101)-(J34))),0.000001)))*1)-((((F35)*(MAX($D$16,(E101)-(J35)))^2)/2+(H35)*(MAX($D$16,(E101)-(J35)))^3/3+(ABS(J101)^2)/($I$5*MAX(((F35)+(H35)*(MAX($D$16,(E101)-(J35))))*(MAX($D$16,(E101)-(J35))),0.000001)))*0.30600918))/MAX(((G32)*(MAX($D$16,(E101)-(K32)))^2)/2+(I32)*(MAX($D$16,(E101)-(K32)))^3/3+(ABS(G101)^2)/($I$5*MAX(((G32)+(I32)*(MAX($D$16,(E101)-(K32))))*(MAX($D$16,(E101)-(K32))),0.000001)),0.000001)</f>
        <v>0.69398638937190382</v>
      </c>
      <c r="W101">
        <f>IF(N6="None",ABS(P101-D101),MAX(ABS(P101-D101),ABS(Q101-D101)))</f>
        <v>3.4197000786662102E-10</v>
      </c>
      <c r="X101">
        <f>IF(AND(N7="None",N8="None"),0,IF(N8="None",ABS(S101-E101),IF(N7="None",ABS(T101-E101),MAX(ABS(S101-E101),ABS(T101-E101)))))</f>
        <v>51796.641837660849</v>
      </c>
      <c r="AA101">
        <f t="shared" si="18"/>
        <v>52432.141837661176</v>
      </c>
      <c r="AB101">
        <f t="shared" si="19"/>
        <v>41355.303927852736</v>
      </c>
      <c r="AC101">
        <f>IF(N6="None",P101,MAX(P101,Q101))</f>
        <v>52432.141837661402</v>
      </c>
      <c r="AD101">
        <f>IF(AND(N7="None",N8="None"),E101,IF(N8="None",S101,IF(N7="None",T101,MAX(S101,T101))))</f>
        <v>20784.033523923383</v>
      </c>
      <c r="AE101">
        <f t="shared" si="20"/>
        <v>637.65825101089831</v>
      </c>
      <c r="AF101">
        <f t="shared" si="21"/>
        <v>52432.141837661191</v>
      </c>
      <c r="AG101">
        <f>((G31)*(MAX($D$16,(AC101)-(K31)))^2)/2+(I31)*(MAX($D$16,(AC101)-(K31)))^3/3+(ABS(F101)^2)/($I$5*MAX(((G31)+(I31)*(MAX($D$16,(AC101)-(K31))))*(MAX($D$16,(AC101)-(K31))),0.000001))</f>
        <v>8797611517.4114323</v>
      </c>
      <c r="AH101">
        <f>((G31)*(MAX($D$16,(AE101)-(K31)))^2)/2+(I31)*(MAX($D$16,(AE101)-(K31)))^3/3+(ABS(F101)^2)/($I$5*MAX(((G31)+(I31)*(MAX($D$16,(AE101)-(K31))))*(MAX($D$16,(AE101)-(K31))),0.000001))</f>
        <v>49.055863329575246</v>
      </c>
      <c r="AI101">
        <f>((G32)*(MAX($D$16,(AD101)-(K32)))^2)/2+(I32)*(MAX($D$16,(AD101)-(K32)))^3/3+(ABS(G101)^2)/($I$5*MAX(((G32)+(I32)*(MAX($D$16,(AD101)-(K32))))*(MAX($D$16,(AD101)-(K32))),0.000001))</f>
        <v>2072376743.6648321</v>
      </c>
      <c r="AJ101">
        <f>((G32)*(MAX($D$16,(AF101)-(K32)))^2)/2+(I32)*(MAX($D$16,(AF101)-(K32)))^3/3+(ABS(G101)^2)/($I$5*MAX(((G32)+(I32)*(MAX($D$16,(AF101)-(K32))))*(MAX($D$16,(AF101)-(K32))),0.000001))</f>
        <v>13692714789.64366</v>
      </c>
      <c r="AK101" t="str">
        <f t="shared" si="22"/>
        <v>Subcritical</v>
      </c>
      <c r="AL101" t="str">
        <f t="shared" si="23"/>
        <v>Supercritical</v>
      </c>
      <c r="AM101">
        <f t="shared" si="24"/>
        <v>52432.141837661176</v>
      </c>
      <c r="AN101">
        <f t="shared" si="25"/>
        <v>52432.141837660965</v>
      </c>
      <c r="AO101">
        <f t="shared" si="26"/>
        <v>3.4197000786662102E-10</v>
      </c>
      <c r="AP101">
        <f t="shared" si="27"/>
        <v>3.4197000786662102E-10</v>
      </c>
    </row>
    <row r="102" spans="1:42" x14ac:dyDescent="0.35">
      <c r="A102">
        <v>59</v>
      </c>
      <c r="B102">
        <f t="shared" si="28"/>
        <v>0</v>
      </c>
      <c r="C102">
        <f t="shared" si="29"/>
        <v>0</v>
      </c>
      <c r="D102">
        <f t="shared" si="30"/>
        <v>52432.141837661176</v>
      </c>
      <c r="E102">
        <f t="shared" si="31"/>
        <v>52432.141837660965</v>
      </c>
      <c r="F102">
        <f t="shared" si="17"/>
        <v>51</v>
      </c>
      <c r="G102">
        <f>IF(N6="None",F102,MAX(0,F102*B102))</f>
        <v>51</v>
      </c>
      <c r="H102">
        <f>IF(N6="None",0,MAX(0,F102-G102))</f>
        <v>0</v>
      </c>
      <c r="I102">
        <f>IF(AND(N7="None",N8="None"),0,IF(N8="None",G102,IF(N7="None",0,MAX(0,G102*C102))))</f>
        <v>0</v>
      </c>
      <c r="J102">
        <f>IF(AND(N7="None",N8="None"),0,IF(N8="None",0,IF(N7="None",G102,MAX(0,G102-I102))))</f>
        <v>51</v>
      </c>
      <c r="K102">
        <f>P5</f>
        <v>637</v>
      </c>
      <c r="L102">
        <f>P6</f>
        <v>634.3119999999999</v>
      </c>
      <c r="M102">
        <f>P7</f>
        <v>635.5</v>
      </c>
      <c r="N102">
        <f>P8</f>
        <v>631.54999999999995</v>
      </c>
      <c r="O102">
        <f>K102+((ABS(F102)/MAX(((F31)+(H31)*(MAX($D$16,(K102)-(J31))))*(MAX($D$16,(K102)-(J31))),0.000001))^2)/(2*$I$5)-((E31)*((((ABS(F102)*$D$6)/(MAX(((F31)+(H31)*(MAX($D$16,(K102)-(J31))))*(MAX($D$16,(K102)-(J31))),0.000001)*MAX(((((F31)+(H31)*(MAX($D$16,(K102)-(J31))))*(MAX($D$16,(K102)-(J31))))/MAX((F31)+2*(MAX($D$16,(K102)-(J31)))*SQRT(1+(H31)^2),0.000001))^(2/3),0.000001)))^2)+(((ABS(F102)*$D$6)/(MAX(((G31)+(I31)*(MAX($D$16,(D102)-(K31))))*(MAX($D$16,(D102)-(K31))),0.000001)*MAX(((((G31)+(I31)*(MAX($D$16,(D102)-(K31))))*(MAX($D$16,(D102)-(K31))))/MAX((G31)+2*(MAX($D$16,(D102)-(K31)))*SQRT(1+(I31)^2),0.000001))^(2/3),0.000001)))^2))/2)+(IF((ABS(F102)/MAX(((G31)+(I31)*(MAX($D$16,(D102)-(K31))))*(MAX($D$16,(D102)-(K31))),0.000001))&gt;(ABS(F102)/MAX(((F31)+(H31)*(MAX($D$16,(K102)-(J31))))*(MAX($D$16,(K102)-(J31))),0.000001)),$D$9*((((ABS(F102)/MAX(((G31)+(I31)*(MAX($D$16,(D102)-(K31))))*(MAX($D$16,(D102)-(K31))),0.000001))^2)/(2*$I$5))-(((ABS(F102)/MAX(((F31)+(H31)*(MAX($D$16,(K102)-(J31))))*(MAX($D$16,(K102)-(J31))),0.000001))^2)/(2*$I$5))),$D$8*((((ABS(F102)/MAX(((F31)+(H31)*(MAX($D$16,(K102)-(J31))))*(MAX($D$16,(K102)-(J31))),0.000001))^2)/(2*$I$5))-(((ABS(F102)/MAX(((G31)+(I31)*(MAX($D$16,(D102)-(K31))))*(MAX($D$16,(D102)-(K31))),0.000001))^2)/(2*$I$5)))))+($D$10*(ABS((X31)-(W31))/90)*MAX(((ABS(F102)/MAX(((F31)+(H31)*(MAX($D$16,(K102)-(J31))))*(MAX($D$16,(K102)-(J31))),0.000001))^2)/(2*$I$5),((ABS(F102)/MAX(((G31)+(I31)*(MAX($D$16,(D102)-(K31))))*(MAX($D$16,(D102)-(K31))),0.000001))^2)/(2*$I$5)))+(0)-((ABS(F102)/MAX(((G31)+(I31)*(MAX($D$16,(D102)-(K31))))*(MAX($D$16,(D102)-(K31))),0.000001))^2)/(2*$I$5)</f>
        <v>637.65825101089831</v>
      </c>
      <c r="P102">
        <f>E102+((ABS(G102)/MAX(((G32)+(I32)*(MAX($D$16,(E102)-(K32))))*(MAX($D$16,(E102)-(K32))),0.000001))^2)/(2*$I$5)+((E32)*((((ABS(G102)*$D$6)/(MAX(((F32)+(H32)*(MAX($D$16,(D102)-(J32))))*(MAX($D$16,(D102)-(J32))),0.000001)*MAX(((((F32)+(H32)*(MAX($D$16,(D102)-(J32))))*(MAX($D$16,(D102)-(J32))))/MAX((F32)+2*(MAX($D$16,(D102)-(J32)))*SQRT(1+(H32)^2),0.000001))^(2/3),0.000001)))^2)+(((ABS(G102)*$D$6)/(MAX(((G32)+(I32)*(MAX($D$16,(E102)-(K32))))*(MAX($D$16,(E102)-(K32))),0.000001)*MAX(((((G32)+(I32)*(MAX($D$16,(E102)-(K32))))*(MAX($D$16,(E102)-(K32))))/MAX((G32)+2*(MAX($D$16,(E102)-(K32)))*SQRT(1+(I32)^2),0.000001))^(2/3),0.000001)))^2))/2)+(IF((ABS(G102)/MAX(((G32)+(I32)*(MAX($D$16,(E102)-(K32))))*(MAX($D$16,(E102)-(K32))),0.000001))&gt;(ABS(G102)/MAX(((F32)+(H32)*(MAX($D$16,(D102)-(J32))))*(MAX($D$16,(D102)-(J32))),0.000001)),$D$9*((((ABS(G102)/MAX(((G32)+(I32)*(MAX($D$16,(E102)-(K32))))*(MAX($D$16,(E102)-(K32))),0.000001))^2)/(2*$I$5))-(((ABS(G102)/MAX(((F32)+(H32)*(MAX($D$16,(D102)-(J32))))*(MAX($D$16,(D102)-(J32))),0.000001))^2)/(2*$I$5))),$D$8*((((ABS(G102)/MAX(((F32)+(H32)*(MAX($D$16,(D102)-(J32))))*(MAX($D$16,(D102)-(J32))),0.000001))^2)/(2*$I$5))-(((ABS(G102)/MAX(((G32)+(I32)*(MAX($D$16,(E102)-(K32))))*(MAX($D$16,(E102)-(K32))),0.000001))^2)/(2*$I$5)))))+($D$10*(ABS((X32)-(W32))/90)*MAX(((ABS(G102)/MAX(((F32)+(H32)*(MAX($D$16,(D102)-(J32))))*(MAX($D$16,(D102)-(J32))),0.000001))^2)/(2*$I$5),((ABS(G102)/MAX(((G32)+(I32)*(MAX($D$16,(E102)-(K32))))*(MAX($D$16,(E102)-(K32))),0.000001))^2)/(2*$I$5)))+(($D$11*0.13607488*(ABS(H102)/MAX(ABS(F102),0.000001))^2*MAX(((ABS(G102)/MAX(((F32)+(H32)*(MAX($D$16,(D102)-(J32))))*(MAX($D$16,(D102)-(J32))),0.000001))^2)/(2*$I$5),((ABS(G102)/MAX(((G32)+(I32)*(MAX($D$16,(E102)-(K32))))*(MAX($D$16,(E102)-(K32))),0.000001))^2)/(2*$I$5))))-((ABS(G102)/MAX(((F32)+(H32)*(MAX($D$16,(D102)-(J32))))*(MAX($D$16,(D102)-(J32))),0.000001))^2)/(2*$I$5)</f>
        <v>52432.141837661518</v>
      </c>
      <c r="Q102">
        <f>L102+((ABS(H102)/MAX(((G33)+(I33)*(MAX($D$16,(L102)-(K33))))*(MAX($D$16,(L102)-(K33))),0.000001))^2)/(2*$I$5)+((E33)*((((ABS(H102)*$D$6)/(MAX(((F33)+(H33)*(MAX($D$16,(D102)-(J33))))*(MAX($D$16,(D102)-(J33))),0.000001)*MAX(((((F33)+(H33)*(MAX($D$16,(D102)-(J33))))*(MAX($D$16,(D102)-(J33))))/MAX((F33)+2*(MAX($D$16,(D102)-(J33)))*SQRT(1+(H33)^2),0.000001))^(2/3),0.000001)))^2)+(((ABS(H102)*$D$6)/(MAX(((G33)+(I33)*(MAX($D$16,(L102)-(K33))))*(MAX($D$16,(L102)-(K33))),0.000001)*MAX(((((G33)+(I33)*(MAX($D$16,(L102)-(K33))))*(MAX($D$16,(L102)-(K33))))/MAX((G33)+2*(MAX($D$16,(L102)-(K33)))*SQRT(1+(I33)^2),0.000001))^(2/3),0.000001)))^2))/2)+(IF((ABS(H102)/MAX(((G33)+(I33)*(MAX($D$16,(L102)-(K33))))*(MAX($D$16,(L102)-(K33))),0.000001))&gt;(ABS(H102)/MAX(((F33)+(H33)*(MAX($D$16,(D102)-(J33))))*(MAX($D$16,(D102)-(J33))),0.000001)),$D$9*((((ABS(H102)/MAX(((G33)+(I33)*(MAX($D$16,(L102)-(K33))))*(MAX($D$16,(L102)-(K33))),0.000001))^2)/(2*$I$5))-(((ABS(H102)/MAX(((F33)+(H33)*(MAX($D$16,(D102)-(J33))))*(MAX($D$16,(D102)-(J33))),0.000001))^2)/(2*$I$5))),$D$8*((((ABS(H102)/MAX(((F33)+(H33)*(MAX($D$16,(D102)-(J33))))*(MAX($D$16,(D102)-(J33))),0.000001))^2)/(2*$I$5))-(((ABS(H102)/MAX(((G33)+(I33)*(MAX($D$16,(L102)-(K33))))*(MAX($D$16,(L102)-(K33))),0.000001))^2)/(2*$I$5)))))+($D$10*(ABS((X33)-(W33))/90)*MAX(((ABS(H102)/MAX(((F33)+(H33)*(MAX($D$16,(D102)-(J33))))*(MAX($D$16,(D102)-(J33))),0.000001))^2)/(2*$I$5),((ABS(H102)/MAX(((G33)+(I33)*(MAX($D$16,(L102)-(K33))))*(MAX($D$16,(L102)-(K33))),0.000001))^2)/(2*$I$5)))+(($D$11*0.00000015*(ABS(G102)/MAX(ABS(F102),0.000001))^2*MAX(((ABS(H102)/MAX(((F33)+(H33)*(MAX($D$16,(D102)-(J33))))*(MAX($D$16,(D102)-(J33))),0.000001))^2)/(2*$I$5),((ABS(H102)/MAX(((G33)+(I33)*(MAX($D$16,(L102)-(K33))))*(MAX($D$16,(L102)-(K33))),0.000001))^2)/(2*$I$5))))-((ABS(H102)/MAX(((F33)+(H33)*(MAX($D$16,(D102)-(J33))))*(MAX($D$16,(D102)-(J33))),0.000001))^2)/(2*$I$5)</f>
        <v>634.3119999999999</v>
      </c>
      <c r="R102">
        <f>D102+((ABS(G102)/MAX(((F32)+(H32)*(MAX($D$16,(D102)-(J32))))*(MAX($D$16,(D102)-(J32))),0.000001))^2)/(2*$I$5)-((E32)*((((ABS(G102)*$D$6)/(MAX(((F32)+(H32)*(MAX($D$16,(D102)-(J32))))*(MAX($D$16,(D102)-(J32))),0.000001)*MAX(((((F32)+(H32)*(MAX($D$16,(D102)-(J32))))*(MAX($D$16,(D102)-(J32))))/MAX((F32)+2*(MAX($D$16,(D102)-(J32)))*SQRT(1+(H32)^2),0.000001))^(2/3),0.000001)))^2)+(((ABS(G102)*$D$6)/(MAX(((G32)+(I32)*(MAX($D$16,(E102)-(K32))))*(MAX($D$16,(E102)-(K32))),0.000001)*MAX(((((G32)+(I32)*(MAX($D$16,(E102)-(K32))))*(MAX($D$16,(E102)-(K32))))/MAX((G32)+2*(MAX($D$16,(E102)-(K32)))*SQRT(1+(I32)^2),0.000001))^(2/3),0.000001)))^2))/2)+(IF((ABS(G102)/MAX(((G32)+(I32)*(MAX($D$16,(E102)-(K32))))*(MAX($D$16,(E102)-(K32))),0.000001))&gt;(ABS(G102)/MAX(((F32)+(H32)*(MAX($D$16,(D102)-(J32))))*(MAX($D$16,(D102)-(J32))),0.000001)),$D$9*((((ABS(G102)/MAX(((G32)+(I32)*(MAX($D$16,(E102)-(K32))))*(MAX($D$16,(E102)-(K32))),0.000001))^2)/(2*$I$5))-(((ABS(G102)/MAX(((F32)+(H32)*(MAX($D$16,(D102)-(J32))))*(MAX($D$16,(D102)-(J32))),0.000001))^2)/(2*$I$5))),$D$8*((((ABS(G102)/MAX(((F32)+(H32)*(MAX($D$16,(D102)-(J32))))*(MAX($D$16,(D102)-(J32))),0.000001))^2)/(2*$I$5))-(((ABS(G102)/MAX(((G32)+(I32)*(MAX($D$16,(E102)-(K32))))*(MAX($D$16,(E102)-(K32))),0.000001))^2)/(2*$I$5)))))+($D$10*(ABS((X32)-(W32))/90)*MAX(((ABS(G102)/MAX(((F32)+(H32)*(MAX($D$16,(D102)-(J32))))*(MAX($D$16,(D102)-(J32))),0.000001))^2)/(2*$I$5),((ABS(G102)/MAX(((G32)+(I32)*(MAX($D$16,(E102)-(K32))))*(MAX($D$16,(E102)-(K32))),0.000001))^2)/(2*$I$5)))+(($D$11*0.13607488*(ABS(H102)/MAX(ABS(F102),0.000001))^2*MAX(((ABS(G102)/MAX(((F32)+(H32)*(MAX($D$16,(D102)-(J32))))*(MAX($D$16,(D102)-(J32))),0.000001))^2)/(2*$I$5),((ABS(G102)/MAX(((G32)+(I32)*(MAX($D$16,(E102)-(K32))))*(MAX($D$16,(E102)-(K32))),0.000001))^2)/(2*$I$5))))-((ABS(G102)/MAX(((G32)+(I32)*(MAX($D$16,(E102)-(K32))))*(MAX($D$16,(E102)-(K32))),0.000001))^2)/(2*$I$5)</f>
        <v>52432.141837661307</v>
      </c>
      <c r="S102">
        <f>M102+((ABS(I102)/MAX(((G34)+(I34)*(MAX($D$16,(M102)-(K34))))*(MAX($D$16,(M102)-(K34))),0.000001))^2)/(2*$I$5)+((E34)*((((ABS(I102)*$D$6)/(MAX(((F34)+(H34)*(MAX($D$16,(E102)-(J34))))*(MAX($D$16,(E102)-(J34))),0.000001)*MAX(((((F34)+(H34)*(MAX($D$16,(E102)-(J34))))*(MAX($D$16,(E102)-(J34))))/MAX((F34)+2*(MAX($D$16,(E102)-(J34)))*SQRT(1+(H34)^2),0.000001))^(2/3),0.000001)))^2)+(((ABS(I102)*$D$6)/(MAX(((G34)+(I34)*(MAX($D$16,(M102)-(K34))))*(MAX($D$16,(M102)-(K34))),0.000001)*MAX(((((G34)+(I34)*(MAX($D$16,(M102)-(K34))))*(MAX($D$16,(M102)-(K34))))/MAX((G34)+2*(MAX($D$16,(M102)-(K34)))*SQRT(1+(I34)^2),0.000001))^(2/3),0.000001)))^2))/2)+(IF((ABS(I102)/MAX(((G34)+(I34)*(MAX($D$16,(M102)-(K34))))*(MAX($D$16,(M102)-(K34))),0.000001))&gt;(ABS(I102)/MAX(((F34)+(H34)*(MAX($D$16,(E102)-(J34))))*(MAX($D$16,(E102)-(J34))),0.000001)),$D$9*((((ABS(I102)/MAX(((G34)+(I34)*(MAX($D$16,(M102)-(K34))))*(MAX($D$16,(M102)-(K34))),0.000001))^2)/(2*$I$5))-(((ABS(I102)/MAX(((F34)+(H34)*(MAX($D$16,(E102)-(J34))))*(MAX($D$16,(E102)-(J34))),0.000001))^2)/(2*$I$5))),$D$8*((((ABS(I102)/MAX(((F34)+(H34)*(MAX($D$16,(E102)-(J34))))*(MAX($D$16,(E102)-(J34))),0.000001))^2)/(2*$I$5))-(((ABS(I102)/MAX(((G34)+(I34)*(MAX($D$16,(M102)-(K34))))*(MAX($D$16,(M102)-(K34))),0.000001))^2)/(2*$I$5)))))+($D$10*(ABS((X34)-(W34))/90)*MAX(((ABS(I102)/MAX(((F34)+(H34)*(MAX($D$16,(E102)-(J34))))*(MAX($D$16,(E102)-(J34))),0.000001))^2)/(2*$I$5),((ABS(I102)/MAX(((G34)+(I34)*(MAX($D$16,(M102)-(K34))))*(MAX($D$16,(M102)-(K34))),0.000001))^2)/(2*$I$5)))+(0)-((ABS(I102)/MAX(((F34)+(H34)*(MAX($D$16,(E102)-(J34))))*(MAX($D$16,(E102)-(J34))),0.000001))^2)/(2*$I$5)</f>
        <v>635.5</v>
      </c>
      <c r="T102">
        <f>N102+((ABS(J102)/MAX(((G35)+(I35)*(MAX($D$16,(N102)-(K35))))*(MAX($D$16,(N102)-(K35))),0.000001))^2)/(2*$I$5)+((E35)*((((ABS(J102)*$D$6)/(MAX(((F35)+(H35)*(MAX($D$16,(E102)-(J35))))*(MAX($D$16,(E102)-(J35))),0.000001)*MAX(((((F35)+(H35)*(MAX($D$16,(E102)-(J35))))*(MAX($D$16,(E102)-(J35))))/MAX((F35)+2*(MAX($D$16,(E102)-(J35)))*SQRT(1+(H35)^2),0.000001))^(2/3),0.000001)))^2)+(((ABS(J102)*$D$6)/(MAX(((G35)+(I35)*(MAX($D$16,(N102)-(K35))))*(MAX($D$16,(N102)-(K35))),0.000001)*MAX(((((G35)+(I35)*(MAX($D$16,(N102)-(K35))))*(MAX($D$16,(N102)-(K35))))/MAX((G35)+2*(MAX($D$16,(N102)-(K35)))*SQRT(1+(I35)^2),0.000001))^(2/3),0.000001)))^2))/2)+(IF((ABS(J102)/MAX(((G35)+(I35)*(MAX($D$16,(N102)-(K35))))*(MAX($D$16,(N102)-(K35))),0.000001))&gt;(ABS(J102)/MAX(((F35)+(H35)*(MAX($D$16,(E102)-(J35))))*(MAX($D$16,(E102)-(J35))),0.000001)),$D$9*((((ABS(J102)/MAX(((G35)+(I35)*(MAX($D$16,(N102)-(K35))))*(MAX($D$16,(N102)-(K35))),0.000001))^2)/(2*$I$5))-(((ABS(J102)/MAX(((F35)+(H35)*(MAX($D$16,(E102)-(J35))))*(MAX($D$16,(E102)-(J35))),0.000001))^2)/(2*$I$5))),$D$8*((((ABS(J102)/MAX(((F35)+(H35)*(MAX($D$16,(E102)-(J35))))*(MAX($D$16,(E102)-(J35))),0.000001))^2)/(2*$I$5))-(((ABS(J102)/MAX(((G35)+(I35)*(MAX($D$16,(N102)-(K35))))*(MAX($D$16,(N102)-(K35))),0.000001))^2)/(2*$I$5)))))+($D$10*(ABS((X35)-(W35))/90)*MAX(((ABS(J102)/MAX(((F35)+(H35)*(MAX($D$16,(E102)-(J35))))*(MAX($D$16,(E102)-(J35))),0.000001))^2)/(2*$I$5),((ABS(J102)/MAX(((G35)+(I35)*(MAX($D$16,(N102)-(K35))))*(MAX($D$16,(N102)-(K35))),0.000001))^2)/(2*$I$5)))+(($D$11*0.34699541*(ABS(I102)/MAX(ABS(G102),0.000001))^2*MAX(((ABS(J102)/MAX(((F35)+(H35)*(MAX($D$16,(E102)-(J35))))*(MAX($D$16,(E102)-(J35))),0.000001))^2)/(2*$I$5),((ABS(J102)/MAX(((G35)+(I35)*(MAX($D$16,(N102)-(K35))))*(MAX($D$16,(N102)-(K35))),0.000001))^2)/(2*$I$5))))-((ABS(J102)/MAX(((F35)+(H35)*(MAX($D$16,(E102)-(J35))))*(MAX($D$16,(E102)-(J35))),0.000001))^2)/(2*$I$5)</f>
        <v>20784.033523923383</v>
      </c>
      <c r="U102">
        <f>(((((F32)*(MAX($D$16,(D102)-(J32)))^2)/2+(H32)*(MAX($D$16,(D102)-(J32)))^3/3+(ABS(G102)^2)/($I$5*MAX(((F32)+(H32)*(MAX($D$16,(D102)-(J32))))*(MAX($D$16,(D102)-(J32))),0.000001)))*0.72785025)-((((F33)*(MAX($D$16,(D102)-(J33)))^2)/2+(H33)*(MAX($D$16,(D102)-(J33)))^3/3+(ABS(H102)^2)/($I$5*MAX(((F33)+(H33)*(MAX($D$16,(D102)-(J33))))*(MAX($D$16,(D102)-(J33))),0.000001)))*0.99999971))/MAX(((G31)*(MAX($D$16,(D102)-(K31)))^2)/2+(I31)*(MAX($D$16,(D102)-(K31)))^3/3+(ABS(F102)^2)/($I$5*MAX(((G31)+(I31)*(MAX($D$16,(D102)-(K31))))*(MAX($D$16,(D102)-(K31))),0.000001)),0.000001)</f>
        <v>-0.27214945999991125</v>
      </c>
      <c r="V102">
        <f>(((((F34)*(MAX($D$16,(E102)-(J34)))^2)/2+(H34)*(MAX($D$16,(E102)-(J34)))^3/3+(ABS(I102)^2)/($I$5*MAX(((F34)+(H34)*(MAX($D$16,(E102)-(J34))))*(MAX($D$16,(E102)-(J34))),0.000001)))*1)-((((F35)*(MAX($D$16,(E102)-(J35)))^2)/2+(H35)*(MAX($D$16,(E102)-(J35)))^3/3+(ABS(J102)^2)/($I$5*MAX(((F35)+(H35)*(MAX($D$16,(E102)-(J35))))*(MAX($D$16,(E102)-(J35))),0.000001)))*0.30600918))/MAX(((G32)*(MAX($D$16,(E102)-(K32)))^2)/2+(I32)*(MAX($D$16,(E102)-(K32)))^3/3+(ABS(G102)^2)/($I$5*MAX(((G32)+(I32)*(MAX($D$16,(E102)-(K32))))*(MAX($D$16,(E102)-(K32))),0.000001)),0.000001)</f>
        <v>0.69398638937190382</v>
      </c>
      <c r="W102">
        <f>IF(N6="None",ABS(P102-D102),MAX(ABS(P102-D102),ABS(Q102-D102)))</f>
        <v>3.4197000786662102E-10</v>
      </c>
      <c r="X102">
        <f>IF(AND(N7="None",N8="None"),0,IF(N8="None",ABS(S102-E102),IF(N7="None",ABS(T102-E102),MAX(ABS(S102-E102),ABS(T102-E102)))))</f>
        <v>51796.641837660965</v>
      </c>
      <c r="AA102">
        <f t="shared" si="18"/>
        <v>52432.141837661293</v>
      </c>
      <c r="AB102">
        <f t="shared" si="19"/>
        <v>41355.303927852816</v>
      </c>
      <c r="AC102">
        <f>IF(N6="None",P102,MAX(P102,Q102))</f>
        <v>52432.141837661518</v>
      </c>
      <c r="AD102">
        <f>IF(AND(N7="None",N8="None"),E102,IF(N8="None",S102,IF(N7="None",T102,MAX(S102,T102))))</f>
        <v>20784.033523923383</v>
      </c>
      <c r="AE102">
        <f t="shared" si="20"/>
        <v>637.65825101089831</v>
      </c>
      <c r="AF102">
        <f t="shared" si="21"/>
        <v>52432.141837661307</v>
      </c>
      <c r="AG102">
        <f>((G31)*(MAX($D$16,(AC102)-(K31)))^2)/2+(I31)*(MAX($D$16,(AC102)-(K31)))^3/3+(ABS(F102)^2)/($I$5*MAX(((G31)+(I31)*(MAX($D$16,(AC102)-(K31))))*(MAX($D$16,(AC102)-(K31))),0.000001))</f>
        <v>8797611517.4114723</v>
      </c>
      <c r="AH102">
        <f>((G31)*(MAX($D$16,(AE102)-(K31)))^2)/2+(I31)*(MAX($D$16,(AE102)-(K31)))^3/3+(ABS(F102)^2)/($I$5*MAX(((G31)+(I31)*(MAX($D$16,(AE102)-(K31))))*(MAX($D$16,(AE102)-(K31))),0.000001))</f>
        <v>49.055863329575246</v>
      </c>
      <c r="AI102">
        <f>((G32)*(MAX($D$16,(AD102)-(K32)))^2)/2+(I32)*(MAX($D$16,(AD102)-(K32)))^3/3+(ABS(G102)^2)/($I$5*MAX(((G32)+(I32)*(MAX($D$16,(AD102)-(K32))))*(MAX($D$16,(AD102)-(K32))),0.000001))</f>
        <v>2072376743.6648321</v>
      </c>
      <c r="AJ102">
        <f>((G32)*(MAX($D$16,(AF102)-(K32)))^2)/2+(I32)*(MAX($D$16,(AF102)-(K32)))^3/3+(ABS(G102)^2)/($I$5*MAX(((G32)+(I32)*(MAX($D$16,(AF102)-(K32))))*(MAX($D$16,(AF102)-(K32))),0.000001))</f>
        <v>13692714789.643721</v>
      </c>
      <c r="AK102" t="str">
        <f t="shared" si="22"/>
        <v>Subcritical</v>
      </c>
      <c r="AL102" t="str">
        <f t="shared" si="23"/>
        <v>Supercritical</v>
      </c>
      <c r="AM102">
        <f t="shared" si="24"/>
        <v>52432.141837661293</v>
      </c>
      <c r="AN102">
        <f t="shared" si="25"/>
        <v>52432.141837661082</v>
      </c>
      <c r="AO102">
        <f t="shared" si="26"/>
        <v>3.4197000786662102E-10</v>
      </c>
      <c r="AP102">
        <f t="shared" si="27"/>
        <v>3.4197000786662102E-10</v>
      </c>
    </row>
    <row r="103" spans="1:42" x14ac:dyDescent="0.35">
      <c r="A103">
        <v>60</v>
      </c>
      <c r="B103">
        <f t="shared" si="28"/>
        <v>0</v>
      </c>
      <c r="C103">
        <f t="shared" si="29"/>
        <v>0</v>
      </c>
      <c r="D103">
        <f t="shared" si="30"/>
        <v>52432.141837661293</v>
      </c>
      <c r="E103">
        <f t="shared" si="31"/>
        <v>52432.141837661082</v>
      </c>
      <c r="F103">
        <f t="shared" si="17"/>
        <v>51</v>
      </c>
      <c r="G103">
        <f>IF(N6="None",F103,MAX(0,F103*B103))</f>
        <v>51</v>
      </c>
      <c r="H103">
        <f>IF(N6="None",0,MAX(0,F103-G103))</f>
        <v>0</v>
      </c>
      <c r="I103">
        <f>IF(AND(N7="None",N8="None"),0,IF(N8="None",G103,IF(N7="None",0,MAX(0,G103*C103))))</f>
        <v>0</v>
      </c>
      <c r="J103">
        <f>IF(AND(N7="None",N8="None"),0,IF(N8="None",0,IF(N7="None",G103,MAX(0,G103-I103))))</f>
        <v>51</v>
      </c>
      <c r="K103">
        <f>P5</f>
        <v>637</v>
      </c>
      <c r="L103">
        <f>P6</f>
        <v>634.3119999999999</v>
      </c>
      <c r="M103">
        <f>P7</f>
        <v>635.5</v>
      </c>
      <c r="N103">
        <f>P8</f>
        <v>631.54999999999995</v>
      </c>
      <c r="O103">
        <f>K103+((ABS(F103)/MAX(((F31)+(H31)*(MAX($D$16,(K103)-(J31))))*(MAX($D$16,(K103)-(J31))),0.000001))^2)/(2*$I$5)-((E31)*((((ABS(F103)*$D$6)/(MAX(((F31)+(H31)*(MAX($D$16,(K103)-(J31))))*(MAX($D$16,(K103)-(J31))),0.000001)*MAX(((((F31)+(H31)*(MAX($D$16,(K103)-(J31))))*(MAX($D$16,(K103)-(J31))))/MAX((F31)+2*(MAX($D$16,(K103)-(J31)))*SQRT(1+(H31)^2),0.000001))^(2/3),0.000001)))^2)+(((ABS(F103)*$D$6)/(MAX(((G31)+(I31)*(MAX($D$16,(D103)-(K31))))*(MAX($D$16,(D103)-(K31))),0.000001)*MAX(((((G31)+(I31)*(MAX($D$16,(D103)-(K31))))*(MAX($D$16,(D103)-(K31))))/MAX((G31)+2*(MAX($D$16,(D103)-(K31)))*SQRT(1+(I31)^2),0.000001))^(2/3),0.000001)))^2))/2)+(IF((ABS(F103)/MAX(((G31)+(I31)*(MAX($D$16,(D103)-(K31))))*(MAX($D$16,(D103)-(K31))),0.000001))&gt;(ABS(F103)/MAX(((F31)+(H31)*(MAX($D$16,(K103)-(J31))))*(MAX($D$16,(K103)-(J31))),0.000001)),$D$9*((((ABS(F103)/MAX(((G31)+(I31)*(MAX($D$16,(D103)-(K31))))*(MAX($D$16,(D103)-(K31))),0.000001))^2)/(2*$I$5))-(((ABS(F103)/MAX(((F31)+(H31)*(MAX($D$16,(K103)-(J31))))*(MAX($D$16,(K103)-(J31))),0.000001))^2)/(2*$I$5))),$D$8*((((ABS(F103)/MAX(((F31)+(H31)*(MAX($D$16,(K103)-(J31))))*(MAX($D$16,(K103)-(J31))),0.000001))^2)/(2*$I$5))-(((ABS(F103)/MAX(((G31)+(I31)*(MAX($D$16,(D103)-(K31))))*(MAX($D$16,(D103)-(K31))),0.000001))^2)/(2*$I$5)))))+($D$10*(ABS((X31)-(W31))/90)*MAX(((ABS(F103)/MAX(((F31)+(H31)*(MAX($D$16,(K103)-(J31))))*(MAX($D$16,(K103)-(J31))),0.000001))^2)/(2*$I$5),((ABS(F103)/MAX(((G31)+(I31)*(MAX($D$16,(D103)-(K31))))*(MAX($D$16,(D103)-(K31))),0.000001))^2)/(2*$I$5)))+(0)-((ABS(F103)/MAX(((G31)+(I31)*(MAX($D$16,(D103)-(K31))))*(MAX($D$16,(D103)-(K31))),0.000001))^2)/(2*$I$5)</f>
        <v>637.65825101089831</v>
      </c>
      <c r="P103">
        <f>E103+((ABS(G103)/MAX(((G32)+(I32)*(MAX($D$16,(E103)-(K32))))*(MAX($D$16,(E103)-(K32))),0.000001))^2)/(2*$I$5)+((E32)*((((ABS(G103)*$D$6)/(MAX(((F32)+(H32)*(MAX($D$16,(D103)-(J32))))*(MAX($D$16,(D103)-(J32))),0.000001)*MAX(((((F32)+(H32)*(MAX($D$16,(D103)-(J32))))*(MAX($D$16,(D103)-(J32))))/MAX((F32)+2*(MAX($D$16,(D103)-(J32)))*SQRT(1+(H32)^2),0.000001))^(2/3),0.000001)))^2)+(((ABS(G103)*$D$6)/(MAX(((G32)+(I32)*(MAX($D$16,(E103)-(K32))))*(MAX($D$16,(E103)-(K32))),0.000001)*MAX(((((G32)+(I32)*(MAX($D$16,(E103)-(K32))))*(MAX($D$16,(E103)-(K32))))/MAX((G32)+2*(MAX($D$16,(E103)-(K32)))*SQRT(1+(I32)^2),0.000001))^(2/3),0.000001)))^2))/2)+(IF((ABS(G103)/MAX(((G32)+(I32)*(MAX($D$16,(E103)-(K32))))*(MAX($D$16,(E103)-(K32))),0.000001))&gt;(ABS(G103)/MAX(((F32)+(H32)*(MAX($D$16,(D103)-(J32))))*(MAX($D$16,(D103)-(J32))),0.000001)),$D$9*((((ABS(G103)/MAX(((G32)+(I32)*(MAX($D$16,(E103)-(K32))))*(MAX($D$16,(E103)-(K32))),0.000001))^2)/(2*$I$5))-(((ABS(G103)/MAX(((F32)+(H32)*(MAX($D$16,(D103)-(J32))))*(MAX($D$16,(D103)-(J32))),0.000001))^2)/(2*$I$5))),$D$8*((((ABS(G103)/MAX(((F32)+(H32)*(MAX($D$16,(D103)-(J32))))*(MAX($D$16,(D103)-(J32))),0.000001))^2)/(2*$I$5))-(((ABS(G103)/MAX(((G32)+(I32)*(MAX($D$16,(E103)-(K32))))*(MAX($D$16,(E103)-(K32))),0.000001))^2)/(2*$I$5)))))+($D$10*(ABS((X32)-(W32))/90)*MAX(((ABS(G103)/MAX(((F32)+(H32)*(MAX($D$16,(D103)-(J32))))*(MAX($D$16,(D103)-(J32))),0.000001))^2)/(2*$I$5),((ABS(G103)/MAX(((G32)+(I32)*(MAX($D$16,(E103)-(K32))))*(MAX($D$16,(E103)-(K32))),0.000001))^2)/(2*$I$5)))+(($D$11*0.13607488*(ABS(H103)/MAX(ABS(F103),0.000001))^2*MAX(((ABS(G103)/MAX(((F32)+(H32)*(MAX($D$16,(D103)-(J32))))*(MAX($D$16,(D103)-(J32))),0.000001))^2)/(2*$I$5),((ABS(G103)/MAX(((G32)+(I32)*(MAX($D$16,(E103)-(K32))))*(MAX($D$16,(E103)-(K32))),0.000001))^2)/(2*$I$5))))-((ABS(G103)/MAX(((F32)+(H32)*(MAX($D$16,(D103)-(J32))))*(MAX($D$16,(D103)-(J32))),0.000001))^2)/(2*$I$5)</f>
        <v>52432.141837661635</v>
      </c>
      <c r="Q103">
        <f>L103+((ABS(H103)/MAX(((G33)+(I33)*(MAX($D$16,(L103)-(K33))))*(MAX($D$16,(L103)-(K33))),0.000001))^2)/(2*$I$5)+((E33)*((((ABS(H103)*$D$6)/(MAX(((F33)+(H33)*(MAX($D$16,(D103)-(J33))))*(MAX($D$16,(D103)-(J33))),0.000001)*MAX(((((F33)+(H33)*(MAX($D$16,(D103)-(J33))))*(MAX($D$16,(D103)-(J33))))/MAX((F33)+2*(MAX($D$16,(D103)-(J33)))*SQRT(1+(H33)^2),0.000001))^(2/3),0.000001)))^2)+(((ABS(H103)*$D$6)/(MAX(((G33)+(I33)*(MAX($D$16,(L103)-(K33))))*(MAX($D$16,(L103)-(K33))),0.000001)*MAX(((((G33)+(I33)*(MAX($D$16,(L103)-(K33))))*(MAX($D$16,(L103)-(K33))))/MAX((G33)+2*(MAX($D$16,(L103)-(K33)))*SQRT(1+(I33)^2),0.000001))^(2/3),0.000001)))^2))/2)+(IF((ABS(H103)/MAX(((G33)+(I33)*(MAX($D$16,(L103)-(K33))))*(MAX($D$16,(L103)-(K33))),0.000001))&gt;(ABS(H103)/MAX(((F33)+(H33)*(MAX($D$16,(D103)-(J33))))*(MAX($D$16,(D103)-(J33))),0.000001)),$D$9*((((ABS(H103)/MAX(((G33)+(I33)*(MAX($D$16,(L103)-(K33))))*(MAX($D$16,(L103)-(K33))),0.000001))^2)/(2*$I$5))-(((ABS(H103)/MAX(((F33)+(H33)*(MAX($D$16,(D103)-(J33))))*(MAX($D$16,(D103)-(J33))),0.000001))^2)/(2*$I$5))),$D$8*((((ABS(H103)/MAX(((F33)+(H33)*(MAX($D$16,(D103)-(J33))))*(MAX($D$16,(D103)-(J33))),0.000001))^2)/(2*$I$5))-(((ABS(H103)/MAX(((G33)+(I33)*(MAX($D$16,(L103)-(K33))))*(MAX($D$16,(L103)-(K33))),0.000001))^2)/(2*$I$5)))))+($D$10*(ABS((X33)-(W33))/90)*MAX(((ABS(H103)/MAX(((F33)+(H33)*(MAX($D$16,(D103)-(J33))))*(MAX($D$16,(D103)-(J33))),0.000001))^2)/(2*$I$5),((ABS(H103)/MAX(((G33)+(I33)*(MAX($D$16,(L103)-(K33))))*(MAX($D$16,(L103)-(K33))),0.000001))^2)/(2*$I$5)))+(($D$11*0.00000015*(ABS(G103)/MAX(ABS(F103),0.000001))^2*MAX(((ABS(H103)/MAX(((F33)+(H33)*(MAX($D$16,(D103)-(J33))))*(MAX($D$16,(D103)-(J33))),0.000001))^2)/(2*$I$5),((ABS(H103)/MAX(((G33)+(I33)*(MAX($D$16,(L103)-(K33))))*(MAX($D$16,(L103)-(K33))),0.000001))^2)/(2*$I$5))))-((ABS(H103)/MAX(((F33)+(H33)*(MAX($D$16,(D103)-(J33))))*(MAX($D$16,(D103)-(J33))),0.000001))^2)/(2*$I$5)</f>
        <v>634.3119999999999</v>
      </c>
      <c r="R103">
        <f>D103+((ABS(G103)/MAX(((F32)+(H32)*(MAX($D$16,(D103)-(J32))))*(MAX($D$16,(D103)-(J32))),0.000001))^2)/(2*$I$5)-((E32)*((((ABS(G103)*$D$6)/(MAX(((F32)+(H32)*(MAX($D$16,(D103)-(J32))))*(MAX($D$16,(D103)-(J32))),0.000001)*MAX(((((F32)+(H32)*(MAX($D$16,(D103)-(J32))))*(MAX($D$16,(D103)-(J32))))/MAX((F32)+2*(MAX($D$16,(D103)-(J32)))*SQRT(1+(H32)^2),0.000001))^(2/3),0.000001)))^2)+(((ABS(G103)*$D$6)/(MAX(((G32)+(I32)*(MAX($D$16,(E103)-(K32))))*(MAX($D$16,(E103)-(K32))),0.000001)*MAX(((((G32)+(I32)*(MAX($D$16,(E103)-(K32))))*(MAX($D$16,(E103)-(K32))))/MAX((G32)+2*(MAX($D$16,(E103)-(K32)))*SQRT(1+(I32)^2),0.000001))^(2/3),0.000001)))^2))/2)+(IF((ABS(G103)/MAX(((G32)+(I32)*(MAX($D$16,(E103)-(K32))))*(MAX($D$16,(E103)-(K32))),0.000001))&gt;(ABS(G103)/MAX(((F32)+(H32)*(MAX($D$16,(D103)-(J32))))*(MAX($D$16,(D103)-(J32))),0.000001)),$D$9*((((ABS(G103)/MAX(((G32)+(I32)*(MAX($D$16,(E103)-(K32))))*(MAX($D$16,(E103)-(K32))),0.000001))^2)/(2*$I$5))-(((ABS(G103)/MAX(((F32)+(H32)*(MAX($D$16,(D103)-(J32))))*(MAX($D$16,(D103)-(J32))),0.000001))^2)/(2*$I$5))),$D$8*((((ABS(G103)/MAX(((F32)+(H32)*(MAX($D$16,(D103)-(J32))))*(MAX($D$16,(D103)-(J32))),0.000001))^2)/(2*$I$5))-(((ABS(G103)/MAX(((G32)+(I32)*(MAX($D$16,(E103)-(K32))))*(MAX($D$16,(E103)-(K32))),0.000001))^2)/(2*$I$5)))))+($D$10*(ABS((X32)-(W32))/90)*MAX(((ABS(G103)/MAX(((F32)+(H32)*(MAX($D$16,(D103)-(J32))))*(MAX($D$16,(D103)-(J32))),0.000001))^2)/(2*$I$5),((ABS(G103)/MAX(((G32)+(I32)*(MAX($D$16,(E103)-(K32))))*(MAX($D$16,(E103)-(K32))),0.000001))^2)/(2*$I$5)))+(($D$11*0.13607488*(ABS(H103)/MAX(ABS(F103),0.000001))^2*MAX(((ABS(G103)/MAX(((F32)+(H32)*(MAX($D$16,(D103)-(J32))))*(MAX($D$16,(D103)-(J32))),0.000001))^2)/(2*$I$5),((ABS(G103)/MAX(((G32)+(I32)*(MAX($D$16,(E103)-(K32))))*(MAX($D$16,(E103)-(K32))),0.000001))^2)/(2*$I$5))))-((ABS(G103)/MAX(((G32)+(I32)*(MAX($D$16,(E103)-(K32))))*(MAX($D$16,(E103)-(K32))),0.000001))^2)/(2*$I$5)</f>
        <v>52432.141837661424</v>
      </c>
      <c r="S103">
        <f>M103+((ABS(I103)/MAX(((G34)+(I34)*(MAX($D$16,(M103)-(K34))))*(MAX($D$16,(M103)-(K34))),0.000001))^2)/(2*$I$5)+((E34)*((((ABS(I103)*$D$6)/(MAX(((F34)+(H34)*(MAX($D$16,(E103)-(J34))))*(MAX($D$16,(E103)-(J34))),0.000001)*MAX(((((F34)+(H34)*(MAX($D$16,(E103)-(J34))))*(MAX($D$16,(E103)-(J34))))/MAX((F34)+2*(MAX($D$16,(E103)-(J34)))*SQRT(1+(H34)^2),0.000001))^(2/3),0.000001)))^2)+(((ABS(I103)*$D$6)/(MAX(((G34)+(I34)*(MAX($D$16,(M103)-(K34))))*(MAX($D$16,(M103)-(K34))),0.000001)*MAX(((((G34)+(I34)*(MAX($D$16,(M103)-(K34))))*(MAX($D$16,(M103)-(K34))))/MAX((G34)+2*(MAX($D$16,(M103)-(K34)))*SQRT(1+(I34)^2),0.000001))^(2/3),0.000001)))^2))/2)+(IF((ABS(I103)/MAX(((G34)+(I34)*(MAX($D$16,(M103)-(K34))))*(MAX($D$16,(M103)-(K34))),0.000001))&gt;(ABS(I103)/MAX(((F34)+(H34)*(MAX($D$16,(E103)-(J34))))*(MAX($D$16,(E103)-(J34))),0.000001)),$D$9*((((ABS(I103)/MAX(((G34)+(I34)*(MAX($D$16,(M103)-(K34))))*(MAX($D$16,(M103)-(K34))),0.000001))^2)/(2*$I$5))-(((ABS(I103)/MAX(((F34)+(H34)*(MAX($D$16,(E103)-(J34))))*(MAX($D$16,(E103)-(J34))),0.000001))^2)/(2*$I$5))),$D$8*((((ABS(I103)/MAX(((F34)+(H34)*(MAX($D$16,(E103)-(J34))))*(MAX($D$16,(E103)-(J34))),0.000001))^2)/(2*$I$5))-(((ABS(I103)/MAX(((G34)+(I34)*(MAX($D$16,(M103)-(K34))))*(MAX($D$16,(M103)-(K34))),0.000001))^2)/(2*$I$5)))))+($D$10*(ABS((X34)-(W34))/90)*MAX(((ABS(I103)/MAX(((F34)+(H34)*(MAX($D$16,(E103)-(J34))))*(MAX($D$16,(E103)-(J34))),0.000001))^2)/(2*$I$5),((ABS(I103)/MAX(((G34)+(I34)*(MAX($D$16,(M103)-(K34))))*(MAX($D$16,(M103)-(K34))),0.000001))^2)/(2*$I$5)))+(0)-((ABS(I103)/MAX(((F34)+(H34)*(MAX($D$16,(E103)-(J34))))*(MAX($D$16,(E103)-(J34))),0.000001))^2)/(2*$I$5)</f>
        <v>635.5</v>
      </c>
      <c r="T103">
        <f>N103+((ABS(J103)/MAX(((G35)+(I35)*(MAX($D$16,(N103)-(K35))))*(MAX($D$16,(N103)-(K35))),0.000001))^2)/(2*$I$5)+((E35)*((((ABS(J103)*$D$6)/(MAX(((F35)+(H35)*(MAX($D$16,(E103)-(J35))))*(MAX($D$16,(E103)-(J35))),0.000001)*MAX(((((F35)+(H35)*(MAX($D$16,(E103)-(J35))))*(MAX($D$16,(E103)-(J35))))/MAX((F35)+2*(MAX($D$16,(E103)-(J35)))*SQRT(1+(H35)^2),0.000001))^(2/3),0.000001)))^2)+(((ABS(J103)*$D$6)/(MAX(((G35)+(I35)*(MAX($D$16,(N103)-(K35))))*(MAX($D$16,(N103)-(K35))),0.000001)*MAX(((((G35)+(I35)*(MAX($D$16,(N103)-(K35))))*(MAX($D$16,(N103)-(K35))))/MAX((G35)+2*(MAX($D$16,(N103)-(K35)))*SQRT(1+(I35)^2),0.000001))^(2/3),0.000001)))^2))/2)+(IF((ABS(J103)/MAX(((G35)+(I35)*(MAX($D$16,(N103)-(K35))))*(MAX($D$16,(N103)-(K35))),0.000001))&gt;(ABS(J103)/MAX(((F35)+(H35)*(MAX($D$16,(E103)-(J35))))*(MAX($D$16,(E103)-(J35))),0.000001)),$D$9*((((ABS(J103)/MAX(((G35)+(I35)*(MAX($D$16,(N103)-(K35))))*(MAX($D$16,(N103)-(K35))),0.000001))^2)/(2*$I$5))-(((ABS(J103)/MAX(((F35)+(H35)*(MAX($D$16,(E103)-(J35))))*(MAX($D$16,(E103)-(J35))),0.000001))^2)/(2*$I$5))),$D$8*((((ABS(J103)/MAX(((F35)+(H35)*(MAX($D$16,(E103)-(J35))))*(MAX($D$16,(E103)-(J35))),0.000001))^2)/(2*$I$5))-(((ABS(J103)/MAX(((G35)+(I35)*(MAX($D$16,(N103)-(K35))))*(MAX($D$16,(N103)-(K35))),0.000001))^2)/(2*$I$5)))))+($D$10*(ABS((X35)-(W35))/90)*MAX(((ABS(J103)/MAX(((F35)+(H35)*(MAX($D$16,(E103)-(J35))))*(MAX($D$16,(E103)-(J35))),0.000001))^2)/(2*$I$5),((ABS(J103)/MAX(((G35)+(I35)*(MAX($D$16,(N103)-(K35))))*(MAX($D$16,(N103)-(K35))),0.000001))^2)/(2*$I$5)))+(($D$11*0.34699541*(ABS(I103)/MAX(ABS(G103),0.000001))^2*MAX(((ABS(J103)/MAX(((F35)+(H35)*(MAX($D$16,(E103)-(J35))))*(MAX($D$16,(E103)-(J35))),0.000001))^2)/(2*$I$5),((ABS(J103)/MAX(((G35)+(I35)*(MAX($D$16,(N103)-(K35))))*(MAX($D$16,(N103)-(K35))),0.000001))^2)/(2*$I$5))))-((ABS(J103)/MAX(((F35)+(H35)*(MAX($D$16,(E103)-(J35))))*(MAX($D$16,(E103)-(J35))),0.000001))^2)/(2*$I$5)</f>
        <v>20784.033523923383</v>
      </c>
      <c r="U103">
        <f>(((((F32)*(MAX($D$16,(D103)-(J32)))^2)/2+(H32)*(MAX($D$16,(D103)-(J32)))^3/3+(ABS(G103)^2)/($I$5*MAX(((F32)+(H32)*(MAX($D$16,(D103)-(J32))))*(MAX($D$16,(D103)-(J32))),0.000001)))*0.72785025)-((((F33)*(MAX($D$16,(D103)-(J33)))^2)/2+(H33)*(MAX($D$16,(D103)-(J33)))^3/3+(ABS(H103)^2)/($I$5*MAX(((F33)+(H33)*(MAX($D$16,(D103)-(J33))))*(MAX($D$16,(D103)-(J33))),0.000001)))*0.99999971))/MAX(((G31)*(MAX($D$16,(D103)-(K31)))^2)/2+(I31)*(MAX($D$16,(D103)-(K31)))^3/3+(ABS(F103)^2)/($I$5*MAX(((G31)+(I31)*(MAX($D$16,(D103)-(K31))))*(MAX($D$16,(D103)-(K31))),0.000001)),0.000001)</f>
        <v>-0.27214945999991125</v>
      </c>
      <c r="V103">
        <f>(((((F34)*(MAX($D$16,(E103)-(J34)))^2)/2+(H34)*(MAX($D$16,(E103)-(J34)))^3/3+(ABS(I103)^2)/($I$5*MAX(((F34)+(H34)*(MAX($D$16,(E103)-(J34))))*(MAX($D$16,(E103)-(J34))),0.000001)))*1)-((((F35)*(MAX($D$16,(E103)-(J35)))^2)/2+(H35)*(MAX($D$16,(E103)-(J35)))^3/3+(ABS(J103)^2)/($I$5*MAX(((F35)+(H35)*(MAX($D$16,(E103)-(J35))))*(MAX($D$16,(E103)-(J35))),0.000001)))*0.30600918))/MAX(((G32)*(MAX($D$16,(E103)-(K32)))^2)/2+(I32)*(MAX($D$16,(E103)-(K32)))^3/3+(ABS(G103)^2)/($I$5*MAX(((G32)+(I32)*(MAX($D$16,(E103)-(K32))))*(MAX($D$16,(E103)-(K32))),0.000001)),0.000001)</f>
        <v>0.69398638937190393</v>
      </c>
      <c r="W103">
        <f>IF(N6="None",ABS(P103-D103),MAX(ABS(P103-D103),ABS(Q103-D103)))</f>
        <v>3.4197000786662102E-10</v>
      </c>
      <c r="X103">
        <f>IF(AND(N7="None",N8="None"),0,IF(N8="None",ABS(S103-E103),IF(N7="None",ABS(T103-E103),MAX(ABS(S103-E103),ABS(T103-E103)))))</f>
        <v>51796.641837661082</v>
      </c>
      <c r="AA103">
        <f t="shared" si="18"/>
        <v>52432.141837661409</v>
      </c>
      <c r="AB103">
        <f t="shared" si="19"/>
        <v>41355.303927852889</v>
      </c>
      <c r="AC103">
        <f>IF(N6="None",P103,MAX(P103,Q103))</f>
        <v>52432.141837661635</v>
      </c>
      <c r="AD103">
        <f>IF(AND(N7="None",N8="None"),E103,IF(N8="None",S103,IF(N7="None",T103,MAX(S103,T103))))</f>
        <v>20784.033523923383</v>
      </c>
      <c r="AE103">
        <f t="shared" si="20"/>
        <v>637.65825101089831</v>
      </c>
      <c r="AF103">
        <f t="shared" si="21"/>
        <v>52432.141837661424</v>
      </c>
      <c r="AG103">
        <f>((G31)*(MAX($D$16,(AC103)-(K31)))^2)/2+(I31)*(MAX($D$16,(AC103)-(K31)))^3/3+(ABS(F103)^2)/($I$5*MAX(((G31)+(I31)*(MAX($D$16,(AC103)-(K31))))*(MAX($D$16,(AC103)-(K31))),0.000001))</f>
        <v>8797611517.4115105</v>
      </c>
      <c r="AH103">
        <f>((G31)*(MAX($D$16,(AE103)-(K31)))^2)/2+(I31)*(MAX($D$16,(AE103)-(K31)))^3/3+(ABS(F103)^2)/($I$5*MAX(((G31)+(I31)*(MAX($D$16,(AE103)-(K31))))*(MAX($D$16,(AE103)-(K31))),0.000001))</f>
        <v>49.055863329575246</v>
      </c>
      <c r="AI103">
        <f>((G32)*(MAX($D$16,(AD103)-(K32)))^2)/2+(I32)*(MAX($D$16,(AD103)-(K32)))^3/3+(ABS(G103)^2)/($I$5*MAX(((G32)+(I32)*(MAX($D$16,(AD103)-(K32))))*(MAX($D$16,(AD103)-(K32))),0.000001))</f>
        <v>2072376743.6648321</v>
      </c>
      <c r="AJ103">
        <f>((G32)*(MAX($D$16,(AF103)-(K32)))^2)/2+(I32)*(MAX($D$16,(AF103)-(K32)))^3/3+(ABS(G103)^2)/($I$5*MAX(((G32)+(I32)*(MAX($D$16,(AF103)-(K32))))*(MAX($D$16,(AF103)-(K32))),0.000001))</f>
        <v>13692714789.643782</v>
      </c>
      <c r="AK103" t="str">
        <f t="shared" si="22"/>
        <v>Subcritical</v>
      </c>
      <c r="AL103" t="str">
        <f t="shared" si="23"/>
        <v>Supercritical</v>
      </c>
      <c r="AM103">
        <f t="shared" si="24"/>
        <v>52432.141837661409</v>
      </c>
      <c r="AN103">
        <f t="shared" si="25"/>
        <v>52432.141837661198</v>
      </c>
      <c r="AO103">
        <f t="shared" si="26"/>
        <v>3.4197000786662102E-10</v>
      </c>
      <c r="AP103">
        <f t="shared" si="27"/>
        <v>3.4197000786662102E-10</v>
      </c>
    </row>
    <row r="104" spans="1:42" x14ac:dyDescent="0.35">
      <c r="A104">
        <v>61</v>
      </c>
      <c r="B104">
        <f t="shared" si="28"/>
        <v>0</v>
      </c>
      <c r="C104">
        <f t="shared" si="29"/>
        <v>0</v>
      </c>
      <c r="D104">
        <f t="shared" si="30"/>
        <v>52432.141837661409</v>
      </c>
      <c r="E104">
        <f t="shared" si="31"/>
        <v>52432.141837661198</v>
      </c>
      <c r="F104">
        <f t="shared" si="17"/>
        <v>51</v>
      </c>
      <c r="G104">
        <f>IF(N6="None",F104,MAX(0,F104*B104))</f>
        <v>51</v>
      </c>
      <c r="H104">
        <f>IF(N6="None",0,MAX(0,F104-G104))</f>
        <v>0</v>
      </c>
      <c r="I104">
        <f>IF(AND(N7="None",N8="None"),0,IF(N8="None",G104,IF(N7="None",0,MAX(0,G104*C104))))</f>
        <v>0</v>
      </c>
      <c r="J104">
        <f>IF(AND(N7="None",N8="None"),0,IF(N8="None",0,IF(N7="None",G104,MAX(0,G104-I104))))</f>
        <v>51</v>
      </c>
      <c r="K104">
        <f>P5</f>
        <v>637</v>
      </c>
      <c r="L104">
        <f>P6</f>
        <v>634.3119999999999</v>
      </c>
      <c r="M104">
        <f>P7</f>
        <v>635.5</v>
      </c>
      <c r="N104">
        <f>P8</f>
        <v>631.54999999999995</v>
      </c>
      <c r="O104">
        <f>K104+((ABS(F104)/MAX(((F31)+(H31)*(MAX($D$16,(K104)-(J31))))*(MAX($D$16,(K104)-(J31))),0.000001))^2)/(2*$I$5)-((E31)*((((ABS(F104)*$D$6)/(MAX(((F31)+(H31)*(MAX($D$16,(K104)-(J31))))*(MAX($D$16,(K104)-(J31))),0.000001)*MAX(((((F31)+(H31)*(MAX($D$16,(K104)-(J31))))*(MAX($D$16,(K104)-(J31))))/MAX((F31)+2*(MAX($D$16,(K104)-(J31)))*SQRT(1+(H31)^2),0.000001))^(2/3),0.000001)))^2)+(((ABS(F104)*$D$6)/(MAX(((G31)+(I31)*(MAX($D$16,(D104)-(K31))))*(MAX($D$16,(D104)-(K31))),0.000001)*MAX(((((G31)+(I31)*(MAX($D$16,(D104)-(K31))))*(MAX($D$16,(D104)-(K31))))/MAX((G31)+2*(MAX($D$16,(D104)-(K31)))*SQRT(1+(I31)^2),0.000001))^(2/3),0.000001)))^2))/2)+(IF((ABS(F104)/MAX(((G31)+(I31)*(MAX($D$16,(D104)-(K31))))*(MAX($D$16,(D104)-(K31))),0.000001))&gt;(ABS(F104)/MAX(((F31)+(H31)*(MAX($D$16,(K104)-(J31))))*(MAX($D$16,(K104)-(J31))),0.000001)),$D$9*((((ABS(F104)/MAX(((G31)+(I31)*(MAX($D$16,(D104)-(K31))))*(MAX($D$16,(D104)-(K31))),0.000001))^2)/(2*$I$5))-(((ABS(F104)/MAX(((F31)+(H31)*(MAX($D$16,(K104)-(J31))))*(MAX($D$16,(K104)-(J31))),0.000001))^2)/(2*$I$5))),$D$8*((((ABS(F104)/MAX(((F31)+(H31)*(MAX($D$16,(K104)-(J31))))*(MAX($D$16,(K104)-(J31))),0.000001))^2)/(2*$I$5))-(((ABS(F104)/MAX(((G31)+(I31)*(MAX($D$16,(D104)-(K31))))*(MAX($D$16,(D104)-(K31))),0.000001))^2)/(2*$I$5)))))+($D$10*(ABS((X31)-(W31))/90)*MAX(((ABS(F104)/MAX(((F31)+(H31)*(MAX($D$16,(K104)-(J31))))*(MAX($D$16,(K104)-(J31))),0.000001))^2)/(2*$I$5),((ABS(F104)/MAX(((G31)+(I31)*(MAX($D$16,(D104)-(K31))))*(MAX($D$16,(D104)-(K31))),0.000001))^2)/(2*$I$5)))+(0)-((ABS(F104)/MAX(((G31)+(I31)*(MAX($D$16,(D104)-(K31))))*(MAX($D$16,(D104)-(K31))),0.000001))^2)/(2*$I$5)</f>
        <v>637.65825101089831</v>
      </c>
      <c r="P104">
        <f>E104+((ABS(G104)/MAX(((G32)+(I32)*(MAX($D$16,(E104)-(K32))))*(MAX($D$16,(E104)-(K32))),0.000001))^2)/(2*$I$5)+((E32)*((((ABS(G104)*$D$6)/(MAX(((F32)+(H32)*(MAX($D$16,(D104)-(J32))))*(MAX($D$16,(D104)-(J32))),0.000001)*MAX(((((F32)+(H32)*(MAX($D$16,(D104)-(J32))))*(MAX($D$16,(D104)-(J32))))/MAX((F32)+2*(MAX($D$16,(D104)-(J32)))*SQRT(1+(H32)^2),0.000001))^(2/3),0.000001)))^2)+(((ABS(G104)*$D$6)/(MAX(((G32)+(I32)*(MAX($D$16,(E104)-(K32))))*(MAX($D$16,(E104)-(K32))),0.000001)*MAX(((((G32)+(I32)*(MAX($D$16,(E104)-(K32))))*(MAX($D$16,(E104)-(K32))))/MAX((G32)+2*(MAX($D$16,(E104)-(K32)))*SQRT(1+(I32)^2),0.000001))^(2/3),0.000001)))^2))/2)+(IF((ABS(G104)/MAX(((G32)+(I32)*(MAX($D$16,(E104)-(K32))))*(MAX($D$16,(E104)-(K32))),0.000001))&gt;(ABS(G104)/MAX(((F32)+(H32)*(MAX($D$16,(D104)-(J32))))*(MAX($D$16,(D104)-(J32))),0.000001)),$D$9*((((ABS(G104)/MAX(((G32)+(I32)*(MAX($D$16,(E104)-(K32))))*(MAX($D$16,(E104)-(K32))),0.000001))^2)/(2*$I$5))-(((ABS(G104)/MAX(((F32)+(H32)*(MAX($D$16,(D104)-(J32))))*(MAX($D$16,(D104)-(J32))),0.000001))^2)/(2*$I$5))),$D$8*((((ABS(G104)/MAX(((F32)+(H32)*(MAX($D$16,(D104)-(J32))))*(MAX($D$16,(D104)-(J32))),0.000001))^2)/(2*$I$5))-(((ABS(G104)/MAX(((G32)+(I32)*(MAX($D$16,(E104)-(K32))))*(MAX($D$16,(E104)-(K32))),0.000001))^2)/(2*$I$5)))))+($D$10*(ABS((X32)-(W32))/90)*MAX(((ABS(G104)/MAX(((F32)+(H32)*(MAX($D$16,(D104)-(J32))))*(MAX($D$16,(D104)-(J32))),0.000001))^2)/(2*$I$5),((ABS(G104)/MAX(((G32)+(I32)*(MAX($D$16,(E104)-(K32))))*(MAX($D$16,(E104)-(K32))),0.000001))^2)/(2*$I$5)))+(($D$11*0.13607488*(ABS(H104)/MAX(ABS(F104),0.000001))^2*MAX(((ABS(G104)/MAX(((F32)+(H32)*(MAX($D$16,(D104)-(J32))))*(MAX($D$16,(D104)-(J32))),0.000001))^2)/(2*$I$5),((ABS(G104)/MAX(((G32)+(I32)*(MAX($D$16,(E104)-(K32))))*(MAX($D$16,(E104)-(K32))),0.000001))^2)/(2*$I$5))))-((ABS(G104)/MAX(((F32)+(H32)*(MAX($D$16,(D104)-(J32))))*(MAX($D$16,(D104)-(J32))),0.000001))^2)/(2*$I$5)</f>
        <v>52432.141837661751</v>
      </c>
      <c r="Q104">
        <f>L104+((ABS(H104)/MAX(((G33)+(I33)*(MAX($D$16,(L104)-(K33))))*(MAX($D$16,(L104)-(K33))),0.000001))^2)/(2*$I$5)+((E33)*((((ABS(H104)*$D$6)/(MAX(((F33)+(H33)*(MAX($D$16,(D104)-(J33))))*(MAX($D$16,(D104)-(J33))),0.000001)*MAX(((((F33)+(H33)*(MAX($D$16,(D104)-(J33))))*(MAX($D$16,(D104)-(J33))))/MAX((F33)+2*(MAX($D$16,(D104)-(J33)))*SQRT(1+(H33)^2),0.000001))^(2/3),0.000001)))^2)+(((ABS(H104)*$D$6)/(MAX(((G33)+(I33)*(MAX($D$16,(L104)-(K33))))*(MAX($D$16,(L104)-(K33))),0.000001)*MAX(((((G33)+(I33)*(MAX($D$16,(L104)-(K33))))*(MAX($D$16,(L104)-(K33))))/MAX((G33)+2*(MAX($D$16,(L104)-(K33)))*SQRT(1+(I33)^2),0.000001))^(2/3),0.000001)))^2))/2)+(IF((ABS(H104)/MAX(((G33)+(I33)*(MAX($D$16,(L104)-(K33))))*(MAX($D$16,(L104)-(K33))),0.000001))&gt;(ABS(H104)/MAX(((F33)+(H33)*(MAX($D$16,(D104)-(J33))))*(MAX($D$16,(D104)-(J33))),0.000001)),$D$9*((((ABS(H104)/MAX(((G33)+(I33)*(MAX($D$16,(L104)-(K33))))*(MAX($D$16,(L104)-(K33))),0.000001))^2)/(2*$I$5))-(((ABS(H104)/MAX(((F33)+(H33)*(MAX($D$16,(D104)-(J33))))*(MAX($D$16,(D104)-(J33))),0.000001))^2)/(2*$I$5))),$D$8*((((ABS(H104)/MAX(((F33)+(H33)*(MAX($D$16,(D104)-(J33))))*(MAX($D$16,(D104)-(J33))),0.000001))^2)/(2*$I$5))-(((ABS(H104)/MAX(((G33)+(I33)*(MAX($D$16,(L104)-(K33))))*(MAX($D$16,(L104)-(K33))),0.000001))^2)/(2*$I$5)))))+($D$10*(ABS((X33)-(W33))/90)*MAX(((ABS(H104)/MAX(((F33)+(H33)*(MAX($D$16,(D104)-(J33))))*(MAX($D$16,(D104)-(J33))),0.000001))^2)/(2*$I$5),((ABS(H104)/MAX(((G33)+(I33)*(MAX($D$16,(L104)-(K33))))*(MAX($D$16,(L104)-(K33))),0.000001))^2)/(2*$I$5)))+(($D$11*0.00000015*(ABS(G104)/MAX(ABS(F104),0.000001))^2*MAX(((ABS(H104)/MAX(((F33)+(H33)*(MAX($D$16,(D104)-(J33))))*(MAX($D$16,(D104)-(J33))),0.000001))^2)/(2*$I$5),((ABS(H104)/MAX(((G33)+(I33)*(MAX($D$16,(L104)-(K33))))*(MAX($D$16,(L104)-(K33))),0.000001))^2)/(2*$I$5))))-((ABS(H104)/MAX(((F33)+(H33)*(MAX($D$16,(D104)-(J33))))*(MAX($D$16,(D104)-(J33))),0.000001))^2)/(2*$I$5)</f>
        <v>634.3119999999999</v>
      </c>
      <c r="R104">
        <f>D104+((ABS(G104)/MAX(((F32)+(H32)*(MAX($D$16,(D104)-(J32))))*(MAX($D$16,(D104)-(J32))),0.000001))^2)/(2*$I$5)-((E32)*((((ABS(G104)*$D$6)/(MAX(((F32)+(H32)*(MAX($D$16,(D104)-(J32))))*(MAX($D$16,(D104)-(J32))),0.000001)*MAX(((((F32)+(H32)*(MAX($D$16,(D104)-(J32))))*(MAX($D$16,(D104)-(J32))))/MAX((F32)+2*(MAX($D$16,(D104)-(J32)))*SQRT(1+(H32)^2),0.000001))^(2/3),0.000001)))^2)+(((ABS(G104)*$D$6)/(MAX(((G32)+(I32)*(MAX($D$16,(E104)-(K32))))*(MAX($D$16,(E104)-(K32))),0.000001)*MAX(((((G32)+(I32)*(MAX($D$16,(E104)-(K32))))*(MAX($D$16,(E104)-(K32))))/MAX((G32)+2*(MAX($D$16,(E104)-(K32)))*SQRT(1+(I32)^2),0.000001))^(2/3),0.000001)))^2))/2)+(IF((ABS(G104)/MAX(((G32)+(I32)*(MAX($D$16,(E104)-(K32))))*(MAX($D$16,(E104)-(K32))),0.000001))&gt;(ABS(G104)/MAX(((F32)+(H32)*(MAX($D$16,(D104)-(J32))))*(MAX($D$16,(D104)-(J32))),0.000001)),$D$9*((((ABS(G104)/MAX(((G32)+(I32)*(MAX($D$16,(E104)-(K32))))*(MAX($D$16,(E104)-(K32))),0.000001))^2)/(2*$I$5))-(((ABS(G104)/MAX(((F32)+(H32)*(MAX($D$16,(D104)-(J32))))*(MAX($D$16,(D104)-(J32))),0.000001))^2)/(2*$I$5))),$D$8*((((ABS(G104)/MAX(((F32)+(H32)*(MAX($D$16,(D104)-(J32))))*(MAX($D$16,(D104)-(J32))),0.000001))^2)/(2*$I$5))-(((ABS(G104)/MAX(((G32)+(I32)*(MAX($D$16,(E104)-(K32))))*(MAX($D$16,(E104)-(K32))),0.000001))^2)/(2*$I$5)))))+($D$10*(ABS((X32)-(W32))/90)*MAX(((ABS(G104)/MAX(((F32)+(H32)*(MAX($D$16,(D104)-(J32))))*(MAX($D$16,(D104)-(J32))),0.000001))^2)/(2*$I$5),((ABS(G104)/MAX(((G32)+(I32)*(MAX($D$16,(E104)-(K32))))*(MAX($D$16,(E104)-(K32))),0.000001))^2)/(2*$I$5)))+(($D$11*0.13607488*(ABS(H104)/MAX(ABS(F104),0.000001))^2*MAX(((ABS(G104)/MAX(((F32)+(H32)*(MAX($D$16,(D104)-(J32))))*(MAX($D$16,(D104)-(J32))),0.000001))^2)/(2*$I$5),((ABS(G104)/MAX(((G32)+(I32)*(MAX($D$16,(E104)-(K32))))*(MAX($D$16,(E104)-(K32))),0.000001))^2)/(2*$I$5))))-((ABS(G104)/MAX(((G32)+(I32)*(MAX($D$16,(E104)-(K32))))*(MAX($D$16,(E104)-(K32))),0.000001))^2)/(2*$I$5)</f>
        <v>52432.14183766154</v>
      </c>
      <c r="S104">
        <f>M104+((ABS(I104)/MAX(((G34)+(I34)*(MAX($D$16,(M104)-(K34))))*(MAX($D$16,(M104)-(K34))),0.000001))^2)/(2*$I$5)+((E34)*((((ABS(I104)*$D$6)/(MAX(((F34)+(H34)*(MAX($D$16,(E104)-(J34))))*(MAX($D$16,(E104)-(J34))),0.000001)*MAX(((((F34)+(H34)*(MAX($D$16,(E104)-(J34))))*(MAX($D$16,(E104)-(J34))))/MAX((F34)+2*(MAX($D$16,(E104)-(J34)))*SQRT(1+(H34)^2),0.000001))^(2/3),0.000001)))^2)+(((ABS(I104)*$D$6)/(MAX(((G34)+(I34)*(MAX($D$16,(M104)-(K34))))*(MAX($D$16,(M104)-(K34))),0.000001)*MAX(((((G34)+(I34)*(MAX($D$16,(M104)-(K34))))*(MAX($D$16,(M104)-(K34))))/MAX((G34)+2*(MAX($D$16,(M104)-(K34)))*SQRT(1+(I34)^2),0.000001))^(2/3),0.000001)))^2))/2)+(IF((ABS(I104)/MAX(((G34)+(I34)*(MAX($D$16,(M104)-(K34))))*(MAX($D$16,(M104)-(K34))),0.000001))&gt;(ABS(I104)/MAX(((F34)+(H34)*(MAX($D$16,(E104)-(J34))))*(MAX($D$16,(E104)-(J34))),0.000001)),$D$9*((((ABS(I104)/MAX(((G34)+(I34)*(MAX($D$16,(M104)-(K34))))*(MAX($D$16,(M104)-(K34))),0.000001))^2)/(2*$I$5))-(((ABS(I104)/MAX(((F34)+(H34)*(MAX($D$16,(E104)-(J34))))*(MAX($D$16,(E104)-(J34))),0.000001))^2)/(2*$I$5))),$D$8*((((ABS(I104)/MAX(((F34)+(H34)*(MAX($D$16,(E104)-(J34))))*(MAX($D$16,(E104)-(J34))),0.000001))^2)/(2*$I$5))-(((ABS(I104)/MAX(((G34)+(I34)*(MAX($D$16,(M104)-(K34))))*(MAX($D$16,(M104)-(K34))),0.000001))^2)/(2*$I$5)))))+($D$10*(ABS((X34)-(W34))/90)*MAX(((ABS(I104)/MAX(((F34)+(H34)*(MAX($D$16,(E104)-(J34))))*(MAX($D$16,(E104)-(J34))),0.000001))^2)/(2*$I$5),((ABS(I104)/MAX(((G34)+(I34)*(MAX($D$16,(M104)-(K34))))*(MAX($D$16,(M104)-(K34))),0.000001))^2)/(2*$I$5)))+(0)-((ABS(I104)/MAX(((F34)+(H34)*(MAX($D$16,(E104)-(J34))))*(MAX($D$16,(E104)-(J34))),0.000001))^2)/(2*$I$5)</f>
        <v>635.5</v>
      </c>
      <c r="T104">
        <f>N104+((ABS(J104)/MAX(((G35)+(I35)*(MAX($D$16,(N104)-(K35))))*(MAX($D$16,(N104)-(K35))),0.000001))^2)/(2*$I$5)+((E35)*((((ABS(J104)*$D$6)/(MAX(((F35)+(H35)*(MAX($D$16,(E104)-(J35))))*(MAX($D$16,(E104)-(J35))),0.000001)*MAX(((((F35)+(H35)*(MAX($D$16,(E104)-(J35))))*(MAX($D$16,(E104)-(J35))))/MAX((F35)+2*(MAX($D$16,(E104)-(J35)))*SQRT(1+(H35)^2),0.000001))^(2/3),0.000001)))^2)+(((ABS(J104)*$D$6)/(MAX(((G35)+(I35)*(MAX($D$16,(N104)-(K35))))*(MAX($D$16,(N104)-(K35))),0.000001)*MAX(((((G35)+(I35)*(MAX($D$16,(N104)-(K35))))*(MAX($D$16,(N104)-(K35))))/MAX((G35)+2*(MAX($D$16,(N104)-(K35)))*SQRT(1+(I35)^2),0.000001))^(2/3),0.000001)))^2))/2)+(IF((ABS(J104)/MAX(((G35)+(I35)*(MAX($D$16,(N104)-(K35))))*(MAX($D$16,(N104)-(K35))),0.000001))&gt;(ABS(J104)/MAX(((F35)+(H35)*(MAX($D$16,(E104)-(J35))))*(MAX($D$16,(E104)-(J35))),0.000001)),$D$9*((((ABS(J104)/MAX(((G35)+(I35)*(MAX($D$16,(N104)-(K35))))*(MAX($D$16,(N104)-(K35))),0.000001))^2)/(2*$I$5))-(((ABS(J104)/MAX(((F35)+(H35)*(MAX($D$16,(E104)-(J35))))*(MAX($D$16,(E104)-(J35))),0.000001))^2)/(2*$I$5))),$D$8*((((ABS(J104)/MAX(((F35)+(H35)*(MAX($D$16,(E104)-(J35))))*(MAX($D$16,(E104)-(J35))),0.000001))^2)/(2*$I$5))-(((ABS(J104)/MAX(((G35)+(I35)*(MAX($D$16,(N104)-(K35))))*(MAX($D$16,(N104)-(K35))),0.000001))^2)/(2*$I$5)))))+($D$10*(ABS((X35)-(W35))/90)*MAX(((ABS(J104)/MAX(((F35)+(H35)*(MAX($D$16,(E104)-(J35))))*(MAX($D$16,(E104)-(J35))),0.000001))^2)/(2*$I$5),((ABS(J104)/MAX(((G35)+(I35)*(MAX($D$16,(N104)-(K35))))*(MAX($D$16,(N104)-(K35))),0.000001))^2)/(2*$I$5)))+(($D$11*0.34699541*(ABS(I104)/MAX(ABS(G104),0.000001))^2*MAX(((ABS(J104)/MAX(((F35)+(H35)*(MAX($D$16,(E104)-(J35))))*(MAX($D$16,(E104)-(J35))),0.000001))^2)/(2*$I$5),((ABS(J104)/MAX(((G35)+(I35)*(MAX($D$16,(N104)-(K35))))*(MAX($D$16,(N104)-(K35))),0.000001))^2)/(2*$I$5))))-((ABS(J104)/MAX(((F35)+(H35)*(MAX($D$16,(E104)-(J35))))*(MAX($D$16,(E104)-(J35))),0.000001))^2)/(2*$I$5)</f>
        <v>20784.033523923383</v>
      </c>
      <c r="U104">
        <f>(((((F32)*(MAX($D$16,(D104)-(J32)))^2)/2+(H32)*(MAX($D$16,(D104)-(J32)))^3/3+(ABS(G104)^2)/($I$5*MAX(((F32)+(H32)*(MAX($D$16,(D104)-(J32))))*(MAX($D$16,(D104)-(J32))),0.000001)))*0.72785025)-((((F33)*(MAX($D$16,(D104)-(J33)))^2)/2+(H33)*(MAX($D$16,(D104)-(J33)))^3/3+(ABS(H104)^2)/($I$5*MAX(((F33)+(H33)*(MAX($D$16,(D104)-(J33))))*(MAX($D$16,(D104)-(J33))),0.000001)))*0.99999971))/MAX(((G31)*(MAX($D$16,(D104)-(K31)))^2)/2+(I31)*(MAX($D$16,(D104)-(K31)))^3/3+(ABS(F104)^2)/($I$5*MAX(((G31)+(I31)*(MAX($D$16,(D104)-(K31))))*(MAX($D$16,(D104)-(K31))),0.000001)),0.000001)</f>
        <v>-0.27214945999991125</v>
      </c>
      <c r="V104">
        <f>(((((F34)*(MAX($D$16,(E104)-(J34)))^2)/2+(H34)*(MAX($D$16,(E104)-(J34)))^3/3+(ABS(I104)^2)/($I$5*MAX(((F34)+(H34)*(MAX($D$16,(E104)-(J34))))*(MAX($D$16,(E104)-(J34))),0.000001)))*1)-((((F35)*(MAX($D$16,(E104)-(J35)))^2)/2+(H35)*(MAX($D$16,(E104)-(J35)))^3/3+(ABS(J104)^2)/($I$5*MAX(((F35)+(H35)*(MAX($D$16,(E104)-(J35))))*(MAX($D$16,(E104)-(J35))),0.000001)))*0.30600918))/MAX(((G32)*(MAX($D$16,(E104)-(K32)))^2)/2+(I32)*(MAX($D$16,(E104)-(K32)))^3/3+(ABS(G104)^2)/($I$5*MAX(((G32)+(I32)*(MAX($D$16,(E104)-(K32))))*(MAX($D$16,(E104)-(K32))),0.000001)),0.000001)</f>
        <v>0.69398638937190382</v>
      </c>
      <c r="W104">
        <f>IF(N6="None",ABS(P104-D104),MAX(ABS(P104-D104),ABS(Q104-D104)))</f>
        <v>3.4197000786662102E-10</v>
      </c>
      <c r="X104">
        <f>IF(AND(N7="None",N8="None"),0,IF(N8="None",ABS(S104-E104),IF(N7="None",ABS(T104-E104),MAX(ABS(S104-E104),ABS(T104-E104)))))</f>
        <v>51796.641837661198</v>
      </c>
      <c r="AA104">
        <f t="shared" si="18"/>
        <v>52432.141837661526</v>
      </c>
      <c r="AB104">
        <f t="shared" si="19"/>
        <v>41355.303927852961</v>
      </c>
      <c r="AC104">
        <f>IF(N6="None",P104,MAX(P104,Q104))</f>
        <v>52432.141837661751</v>
      </c>
      <c r="AD104">
        <f>IF(AND(N7="None",N8="None"),E104,IF(N8="None",S104,IF(N7="None",T104,MAX(S104,T104))))</f>
        <v>20784.033523923383</v>
      </c>
      <c r="AE104">
        <f t="shared" si="20"/>
        <v>637.65825101089831</v>
      </c>
      <c r="AF104">
        <f t="shared" si="21"/>
        <v>52432.14183766154</v>
      </c>
      <c r="AG104">
        <f>((G31)*(MAX($D$16,(AC104)-(K31)))^2)/2+(I31)*(MAX($D$16,(AC104)-(K31)))^3/3+(ABS(F104)^2)/($I$5*MAX(((G31)+(I31)*(MAX($D$16,(AC104)-(K31))))*(MAX($D$16,(AC104)-(K31))),0.000001))</f>
        <v>8797611517.4115505</v>
      </c>
      <c r="AH104">
        <f>((G31)*(MAX($D$16,(AE104)-(K31)))^2)/2+(I31)*(MAX($D$16,(AE104)-(K31)))^3/3+(ABS(F104)^2)/($I$5*MAX(((G31)+(I31)*(MAX($D$16,(AE104)-(K31))))*(MAX($D$16,(AE104)-(K31))),0.000001))</f>
        <v>49.055863329575246</v>
      </c>
      <c r="AI104">
        <f>((G32)*(MAX($D$16,(AD104)-(K32)))^2)/2+(I32)*(MAX($D$16,(AD104)-(K32)))^3/3+(ABS(G104)^2)/($I$5*MAX(((G32)+(I32)*(MAX($D$16,(AD104)-(K32))))*(MAX($D$16,(AD104)-(K32))),0.000001))</f>
        <v>2072376743.6648321</v>
      </c>
      <c r="AJ104">
        <f>((G32)*(MAX($D$16,(AF104)-(K32)))^2)/2+(I32)*(MAX($D$16,(AF104)-(K32)))^3/3+(ABS(G104)^2)/($I$5*MAX(((G32)+(I32)*(MAX($D$16,(AF104)-(K32))))*(MAX($D$16,(AF104)-(K32))),0.000001))</f>
        <v>13692714789.643845</v>
      </c>
      <c r="AK104" t="str">
        <f t="shared" si="22"/>
        <v>Subcritical</v>
      </c>
      <c r="AL104" t="str">
        <f t="shared" si="23"/>
        <v>Supercritical</v>
      </c>
      <c r="AM104">
        <f t="shared" si="24"/>
        <v>52432.141837661526</v>
      </c>
      <c r="AN104">
        <f t="shared" si="25"/>
        <v>52432.141837661315</v>
      </c>
      <c r="AO104">
        <f t="shared" si="26"/>
        <v>3.4197000786662102E-10</v>
      </c>
      <c r="AP104">
        <f t="shared" si="27"/>
        <v>3.4197000786662102E-10</v>
      </c>
    </row>
    <row r="105" spans="1:42" x14ac:dyDescent="0.35">
      <c r="A105">
        <v>62</v>
      </c>
      <c r="B105">
        <f t="shared" si="28"/>
        <v>0</v>
      </c>
      <c r="C105">
        <f t="shared" si="29"/>
        <v>0</v>
      </c>
      <c r="D105">
        <f t="shared" si="30"/>
        <v>52432.141837661526</v>
      </c>
      <c r="E105">
        <f t="shared" si="31"/>
        <v>52432.141837661315</v>
      </c>
      <c r="F105">
        <f t="shared" si="17"/>
        <v>51</v>
      </c>
      <c r="G105">
        <f>IF(N6="None",F105,MAX(0,F105*B105))</f>
        <v>51</v>
      </c>
      <c r="H105">
        <f>IF(N6="None",0,MAX(0,F105-G105))</f>
        <v>0</v>
      </c>
      <c r="I105">
        <f>IF(AND(N7="None",N8="None"),0,IF(N8="None",G105,IF(N7="None",0,MAX(0,G105*C105))))</f>
        <v>0</v>
      </c>
      <c r="J105">
        <f>IF(AND(N7="None",N8="None"),0,IF(N8="None",0,IF(N7="None",G105,MAX(0,G105-I105))))</f>
        <v>51</v>
      </c>
      <c r="K105">
        <f>P5</f>
        <v>637</v>
      </c>
      <c r="L105">
        <f>P6</f>
        <v>634.3119999999999</v>
      </c>
      <c r="M105">
        <f>P7</f>
        <v>635.5</v>
      </c>
      <c r="N105">
        <f>P8</f>
        <v>631.54999999999995</v>
      </c>
      <c r="O105">
        <f>K105+((ABS(F105)/MAX(((F31)+(H31)*(MAX($D$16,(K105)-(J31))))*(MAX($D$16,(K105)-(J31))),0.000001))^2)/(2*$I$5)-((E31)*((((ABS(F105)*$D$6)/(MAX(((F31)+(H31)*(MAX($D$16,(K105)-(J31))))*(MAX($D$16,(K105)-(J31))),0.000001)*MAX(((((F31)+(H31)*(MAX($D$16,(K105)-(J31))))*(MAX($D$16,(K105)-(J31))))/MAX((F31)+2*(MAX($D$16,(K105)-(J31)))*SQRT(1+(H31)^2),0.000001))^(2/3),0.000001)))^2)+(((ABS(F105)*$D$6)/(MAX(((G31)+(I31)*(MAX($D$16,(D105)-(K31))))*(MAX($D$16,(D105)-(K31))),0.000001)*MAX(((((G31)+(I31)*(MAX($D$16,(D105)-(K31))))*(MAX($D$16,(D105)-(K31))))/MAX((G31)+2*(MAX($D$16,(D105)-(K31)))*SQRT(1+(I31)^2),0.000001))^(2/3),0.000001)))^2))/2)+(IF((ABS(F105)/MAX(((G31)+(I31)*(MAX($D$16,(D105)-(K31))))*(MAX($D$16,(D105)-(K31))),0.000001))&gt;(ABS(F105)/MAX(((F31)+(H31)*(MAX($D$16,(K105)-(J31))))*(MAX($D$16,(K105)-(J31))),0.000001)),$D$9*((((ABS(F105)/MAX(((G31)+(I31)*(MAX($D$16,(D105)-(K31))))*(MAX($D$16,(D105)-(K31))),0.000001))^2)/(2*$I$5))-(((ABS(F105)/MAX(((F31)+(H31)*(MAX($D$16,(K105)-(J31))))*(MAX($D$16,(K105)-(J31))),0.000001))^2)/(2*$I$5))),$D$8*((((ABS(F105)/MAX(((F31)+(H31)*(MAX($D$16,(K105)-(J31))))*(MAX($D$16,(K105)-(J31))),0.000001))^2)/(2*$I$5))-(((ABS(F105)/MAX(((G31)+(I31)*(MAX($D$16,(D105)-(K31))))*(MAX($D$16,(D105)-(K31))),0.000001))^2)/(2*$I$5)))))+($D$10*(ABS((X31)-(W31))/90)*MAX(((ABS(F105)/MAX(((F31)+(H31)*(MAX($D$16,(K105)-(J31))))*(MAX($D$16,(K105)-(J31))),0.000001))^2)/(2*$I$5),((ABS(F105)/MAX(((G31)+(I31)*(MAX($D$16,(D105)-(K31))))*(MAX($D$16,(D105)-(K31))),0.000001))^2)/(2*$I$5)))+(0)-((ABS(F105)/MAX(((G31)+(I31)*(MAX($D$16,(D105)-(K31))))*(MAX($D$16,(D105)-(K31))),0.000001))^2)/(2*$I$5)</f>
        <v>637.65825101089831</v>
      </c>
      <c r="P105">
        <f>E105+((ABS(G105)/MAX(((G32)+(I32)*(MAX($D$16,(E105)-(K32))))*(MAX($D$16,(E105)-(K32))),0.000001))^2)/(2*$I$5)+((E32)*((((ABS(G105)*$D$6)/(MAX(((F32)+(H32)*(MAX($D$16,(D105)-(J32))))*(MAX($D$16,(D105)-(J32))),0.000001)*MAX(((((F32)+(H32)*(MAX($D$16,(D105)-(J32))))*(MAX($D$16,(D105)-(J32))))/MAX((F32)+2*(MAX($D$16,(D105)-(J32)))*SQRT(1+(H32)^2),0.000001))^(2/3),0.000001)))^2)+(((ABS(G105)*$D$6)/(MAX(((G32)+(I32)*(MAX($D$16,(E105)-(K32))))*(MAX($D$16,(E105)-(K32))),0.000001)*MAX(((((G32)+(I32)*(MAX($D$16,(E105)-(K32))))*(MAX($D$16,(E105)-(K32))))/MAX((G32)+2*(MAX($D$16,(E105)-(K32)))*SQRT(1+(I32)^2),0.000001))^(2/3),0.000001)))^2))/2)+(IF((ABS(G105)/MAX(((G32)+(I32)*(MAX($D$16,(E105)-(K32))))*(MAX($D$16,(E105)-(K32))),0.000001))&gt;(ABS(G105)/MAX(((F32)+(H32)*(MAX($D$16,(D105)-(J32))))*(MAX($D$16,(D105)-(J32))),0.000001)),$D$9*((((ABS(G105)/MAX(((G32)+(I32)*(MAX($D$16,(E105)-(K32))))*(MAX($D$16,(E105)-(K32))),0.000001))^2)/(2*$I$5))-(((ABS(G105)/MAX(((F32)+(H32)*(MAX($D$16,(D105)-(J32))))*(MAX($D$16,(D105)-(J32))),0.000001))^2)/(2*$I$5))),$D$8*((((ABS(G105)/MAX(((F32)+(H32)*(MAX($D$16,(D105)-(J32))))*(MAX($D$16,(D105)-(J32))),0.000001))^2)/(2*$I$5))-(((ABS(G105)/MAX(((G32)+(I32)*(MAX($D$16,(E105)-(K32))))*(MAX($D$16,(E105)-(K32))),0.000001))^2)/(2*$I$5)))))+($D$10*(ABS((X32)-(W32))/90)*MAX(((ABS(G105)/MAX(((F32)+(H32)*(MAX($D$16,(D105)-(J32))))*(MAX($D$16,(D105)-(J32))),0.000001))^2)/(2*$I$5),((ABS(G105)/MAX(((G32)+(I32)*(MAX($D$16,(E105)-(K32))))*(MAX($D$16,(E105)-(K32))),0.000001))^2)/(2*$I$5)))+(($D$11*0.13607488*(ABS(H105)/MAX(ABS(F105),0.000001))^2*MAX(((ABS(G105)/MAX(((F32)+(H32)*(MAX($D$16,(D105)-(J32))))*(MAX($D$16,(D105)-(J32))),0.000001))^2)/(2*$I$5),((ABS(G105)/MAX(((G32)+(I32)*(MAX($D$16,(E105)-(K32))))*(MAX($D$16,(E105)-(K32))),0.000001))^2)/(2*$I$5))))-((ABS(G105)/MAX(((F32)+(H32)*(MAX($D$16,(D105)-(J32))))*(MAX($D$16,(D105)-(J32))),0.000001))^2)/(2*$I$5)</f>
        <v>52432.141837661868</v>
      </c>
      <c r="Q105">
        <f>L105+((ABS(H105)/MAX(((G33)+(I33)*(MAX($D$16,(L105)-(K33))))*(MAX($D$16,(L105)-(K33))),0.000001))^2)/(2*$I$5)+((E33)*((((ABS(H105)*$D$6)/(MAX(((F33)+(H33)*(MAX($D$16,(D105)-(J33))))*(MAX($D$16,(D105)-(J33))),0.000001)*MAX(((((F33)+(H33)*(MAX($D$16,(D105)-(J33))))*(MAX($D$16,(D105)-(J33))))/MAX((F33)+2*(MAX($D$16,(D105)-(J33)))*SQRT(1+(H33)^2),0.000001))^(2/3),0.000001)))^2)+(((ABS(H105)*$D$6)/(MAX(((G33)+(I33)*(MAX($D$16,(L105)-(K33))))*(MAX($D$16,(L105)-(K33))),0.000001)*MAX(((((G33)+(I33)*(MAX($D$16,(L105)-(K33))))*(MAX($D$16,(L105)-(K33))))/MAX((G33)+2*(MAX($D$16,(L105)-(K33)))*SQRT(1+(I33)^2),0.000001))^(2/3),0.000001)))^2))/2)+(IF((ABS(H105)/MAX(((G33)+(I33)*(MAX($D$16,(L105)-(K33))))*(MAX($D$16,(L105)-(K33))),0.000001))&gt;(ABS(H105)/MAX(((F33)+(H33)*(MAX($D$16,(D105)-(J33))))*(MAX($D$16,(D105)-(J33))),0.000001)),$D$9*((((ABS(H105)/MAX(((G33)+(I33)*(MAX($D$16,(L105)-(K33))))*(MAX($D$16,(L105)-(K33))),0.000001))^2)/(2*$I$5))-(((ABS(H105)/MAX(((F33)+(H33)*(MAX($D$16,(D105)-(J33))))*(MAX($D$16,(D105)-(J33))),0.000001))^2)/(2*$I$5))),$D$8*((((ABS(H105)/MAX(((F33)+(H33)*(MAX($D$16,(D105)-(J33))))*(MAX($D$16,(D105)-(J33))),0.000001))^2)/(2*$I$5))-(((ABS(H105)/MAX(((G33)+(I33)*(MAX($D$16,(L105)-(K33))))*(MAX($D$16,(L105)-(K33))),0.000001))^2)/(2*$I$5)))))+($D$10*(ABS((X33)-(W33))/90)*MAX(((ABS(H105)/MAX(((F33)+(H33)*(MAX($D$16,(D105)-(J33))))*(MAX($D$16,(D105)-(J33))),0.000001))^2)/(2*$I$5),((ABS(H105)/MAX(((G33)+(I33)*(MAX($D$16,(L105)-(K33))))*(MAX($D$16,(L105)-(K33))),0.000001))^2)/(2*$I$5)))+(($D$11*0.00000015*(ABS(G105)/MAX(ABS(F105),0.000001))^2*MAX(((ABS(H105)/MAX(((F33)+(H33)*(MAX($D$16,(D105)-(J33))))*(MAX($D$16,(D105)-(J33))),0.000001))^2)/(2*$I$5),((ABS(H105)/MAX(((G33)+(I33)*(MAX($D$16,(L105)-(K33))))*(MAX($D$16,(L105)-(K33))),0.000001))^2)/(2*$I$5))))-((ABS(H105)/MAX(((F33)+(H33)*(MAX($D$16,(D105)-(J33))))*(MAX($D$16,(D105)-(J33))),0.000001))^2)/(2*$I$5)</f>
        <v>634.3119999999999</v>
      </c>
      <c r="R105">
        <f>D105+((ABS(G105)/MAX(((F32)+(H32)*(MAX($D$16,(D105)-(J32))))*(MAX($D$16,(D105)-(J32))),0.000001))^2)/(2*$I$5)-((E32)*((((ABS(G105)*$D$6)/(MAX(((F32)+(H32)*(MAX($D$16,(D105)-(J32))))*(MAX($D$16,(D105)-(J32))),0.000001)*MAX(((((F32)+(H32)*(MAX($D$16,(D105)-(J32))))*(MAX($D$16,(D105)-(J32))))/MAX((F32)+2*(MAX($D$16,(D105)-(J32)))*SQRT(1+(H32)^2),0.000001))^(2/3),0.000001)))^2)+(((ABS(G105)*$D$6)/(MAX(((G32)+(I32)*(MAX($D$16,(E105)-(K32))))*(MAX($D$16,(E105)-(K32))),0.000001)*MAX(((((G32)+(I32)*(MAX($D$16,(E105)-(K32))))*(MAX($D$16,(E105)-(K32))))/MAX((G32)+2*(MAX($D$16,(E105)-(K32)))*SQRT(1+(I32)^2),0.000001))^(2/3),0.000001)))^2))/2)+(IF((ABS(G105)/MAX(((G32)+(I32)*(MAX($D$16,(E105)-(K32))))*(MAX($D$16,(E105)-(K32))),0.000001))&gt;(ABS(G105)/MAX(((F32)+(H32)*(MAX($D$16,(D105)-(J32))))*(MAX($D$16,(D105)-(J32))),0.000001)),$D$9*((((ABS(G105)/MAX(((G32)+(I32)*(MAX($D$16,(E105)-(K32))))*(MAX($D$16,(E105)-(K32))),0.000001))^2)/(2*$I$5))-(((ABS(G105)/MAX(((F32)+(H32)*(MAX($D$16,(D105)-(J32))))*(MAX($D$16,(D105)-(J32))),0.000001))^2)/(2*$I$5))),$D$8*((((ABS(G105)/MAX(((F32)+(H32)*(MAX($D$16,(D105)-(J32))))*(MAX($D$16,(D105)-(J32))),0.000001))^2)/(2*$I$5))-(((ABS(G105)/MAX(((G32)+(I32)*(MAX($D$16,(E105)-(K32))))*(MAX($D$16,(E105)-(K32))),0.000001))^2)/(2*$I$5)))))+($D$10*(ABS((X32)-(W32))/90)*MAX(((ABS(G105)/MAX(((F32)+(H32)*(MAX($D$16,(D105)-(J32))))*(MAX($D$16,(D105)-(J32))),0.000001))^2)/(2*$I$5),((ABS(G105)/MAX(((G32)+(I32)*(MAX($D$16,(E105)-(K32))))*(MAX($D$16,(E105)-(K32))),0.000001))^2)/(2*$I$5)))+(($D$11*0.13607488*(ABS(H105)/MAX(ABS(F105),0.000001))^2*MAX(((ABS(G105)/MAX(((F32)+(H32)*(MAX($D$16,(D105)-(J32))))*(MAX($D$16,(D105)-(J32))),0.000001))^2)/(2*$I$5),((ABS(G105)/MAX(((G32)+(I32)*(MAX($D$16,(E105)-(K32))))*(MAX($D$16,(E105)-(K32))),0.000001))^2)/(2*$I$5))))-((ABS(G105)/MAX(((G32)+(I32)*(MAX($D$16,(E105)-(K32))))*(MAX($D$16,(E105)-(K32))),0.000001))^2)/(2*$I$5)</f>
        <v>52432.141837661657</v>
      </c>
      <c r="S105">
        <f>M105+((ABS(I105)/MAX(((G34)+(I34)*(MAX($D$16,(M105)-(K34))))*(MAX($D$16,(M105)-(K34))),0.000001))^2)/(2*$I$5)+((E34)*((((ABS(I105)*$D$6)/(MAX(((F34)+(H34)*(MAX($D$16,(E105)-(J34))))*(MAX($D$16,(E105)-(J34))),0.000001)*MAX(((((F34)+(H34)*(MAX($D$16,(E105)-(J34))))*(MAX($D$16,(E105)-(J34))))/MAX((F34)+2*(MAX($D$16,(E105)-(J34)))*SQRT(1+(H34)^2),0.000001))^(2/3),0.000001)))^2)+(((ABS(I105)*$D$6)/(MAX(((G34)+(I34)*(MAX($D$16,(M105)-(K34))))*(MAX($D$16,(M105)-(K34))),0.000001)*MAX(((((G34)+(I34)*(MAX($D$16,(M105)-(K34))))*(MAX($D$16,(M105)-(K34))))/MAX((G34)+2*(MAX($D$16,(M105)-(K34)))*SQRT(1+(I34)^2),0.000001))^(2/3),0.000001)))^2))/2)+(IF((ABS(I105)/MAX(((G34)+(I34)*(MAX($D$16,(M105)-(K34))))*(MAX($D$16,(M105)-(K34))),0.000001))&gt;(ABS(I105)/MAX(((F34)+(H34)*(MAX($D$16,(E105)-(J34))))*(MAX($D$16,(E105)-(J34))),0.000001)),$D$9*((((ABS(I105)/MAX(((G34)+(I34)*(MAX($D$16,(M105)-(K34))))*(MAX($D$16,(M105)-(K34))),0.000001))^2)/(2*$I$5))-(((ABS(I105)/MAX(((F34)+(H34)*(MAX($D$16,(E105)-(J34))))*(MAX($D$16,(E105)-(J34))),0.000001))^2)/(2*$I$5))),$D$8*((((ABS(I105)/MAX(((F34)+(H34)*(MAX($D$16,(E105)-(J34))))*(MAX($D$16,(E105)-(J34))),0.000001))^2)/(2*$I$5))-(((ABS(I105)/MAX(((G34)+(I34)*(MAX($D$16,(M105)-(K34))))*(MAX($D$16,(M105)-(K34))),0.000001))^2)/(2*$I$5)))))+($D$10*(ABS((X34)-(W34))/90)*MAX(((ABS(I105)/MAX(((F34)+(H34)*(MAX($D$16,(E105)-(J34))))*(MAX($D$16,(E105)-(J34))),0.000001))^2)/(2*$I$5),((ABS(I105)/MAX(((G34)+(I34)*(MAX($D$16,(M105)-(K34))))*(MAX($D$16,(M105)-(K34))),0.000001))^2)/(2*$I$5)))+(0)-((ABS(I105)/MAX(((F34)+(H34)*(MAX($D$16,(E105)-(J34))))*(MAX($D$16,(E105)-(J34))),0.000001))^2)/(2*$I$5)</f>
        <v>635.5</v>
      </c>
      <c r="T105">
        <f>N105+((ABS(J105)/MAX(((G35)+(I35)*(MAX($D$16,(N105)-(K35))))*(MAX($D$16,(N105)-(K35))),0.000001))^2)/(2*$I$5)+((E35)*((((ABS(J105)*$D$6)/(MAX(((F35)+(H35)*(MAX($D$16,(E105)-(J35))))*(MAX($D$16,(E105)-(J35))),0.000001)*MAX(((((F35)+(H35)*(MAX($D$16,(E105)-(J35))))*(MAX($D$16,(E105)-(J35))))/MAX((F35)+2*(MAX($D$16,(E105)-(J35)))*SQRT(1+(H35)^2),0.000001))^(2/3),0.000001)))^2)+(((ABS(J105)*$D$6)/(MAX(((G35)+(I35)*(MAX($D$16,(N105)-(K35))))*(MAX($D$16,(N105)-(K35))),0.000001)*MAX(((((G35)+(I35)*(MAX($D$16,(N105)-(K35))))*(MAX($D$16,(N105)-(K35))))/MAX((G35)+2*(MAX($D$16,(N105)-(K35)))*SQRT(1+(I35)^2),0.000001))^(2/3),0.000001)))^2))/2)+(IF((ABS(J105)/MAX(((G35)+(I35)*(MAX($D$16,(N105)-(K35))))*(MAX($D$16,(N105)-(K35))),0.000001))&gt;(ABS(J105)/MAX(((F35)+(H35)*(MAX($D$16,(E105)-(J35))))*(MAX($D$16,(E105)-(J35))),0.000001)),$D$9*((((ABS(J105)/MAX(((G35)+(I35)*(MAX($D$16,(N105)-(K35))))*(MAX($D$16,(N105)-(K35))),0.000001))^2)/(2*$I$5))-(((ABS(J105)/MAX(((F35)+(H35)*(MAX($D$16,(E105)-(J35))))*(MAX($D$16,(E105)-(J35))),0.000001))^2)/(2*$I$5))),$D$8*((((ABS(J105)/MAX(((F35)+(H35)*(MAX($D$16,(E105)-(J35))))*(MAX($D$16,(E105)-(J35))),0.000001))^2)/(2*$I$5))-(((ABS(J105)/MAX(((G35)+(I35)*(MAX($D$16,(N105)-(K35))))*(MAX($D$16,(N105)-(K35))),0.000001))^2)/(2*$I$5)))))+($D$10*(ABS((X35)-(W35))/90)*MAX(((ABS(J105)/MAX(((F35)+(H35)*(MAX($D$16,(E105)-(J35))))*(MAX($D$16,(E105)-(J35))),0.000001))^2)/(2*$I$5),((ABS(J105)/MAX(((G35)+(I35)*(MAX($D$16,(N105)-(K35))))*(MAX($D$16,(N105)-(K35))),0.000001))^2)/(2*$I$5)))+(($D$11*0.34699541*(ABS(I105)/MAX(ABS(G105),0.000001))^2*MAX(((ABS(J105)/MAX(((F35)+(H35)*(MAX($D$16,(E105)-(J35))))*(MAX($D$16,(E105)-(J35))),0.000001))^2)/(2*$I$5),((ABS(J105)/MAX(((G35)+(I35)*(MAX($D$16,(N105)-(K35))))*(MAX($D$16,(N105)-(K35))),0.000001))^2)/(2*$I$5))))-((ABS(J105)/MAX(((F35)+(H35)*(MAX($D$16,(E105)-(J35))))*(MAX($D$16,(E105)-(J35))),0.000001))^2)/(2*$I$5)</f>
        <v>20784.033523923383</v>
      </c>
      <c r="U105">
        <f>(((((F32)*(MAX($D$16,(D105)-(J32)))^2)/2+(H32)*(MAX($D$16,(D105)-(J32)))^3/3+(ABS(G105)^2)/($I$5*MAX(((F32)+(H32)*(MAX($D$16,(D105)-(J32))))*(MAX($D$16,(D105)-(J32))),0.000001)))*0.72785025)-((((F33)*(MAX($D$16,(D105)-(J33)))^2)/2+(H33)*(MAX($D$16,(D105)-(J33)))^3/3+(ABS(H105)^2)/($I$5*MAX(((F33)+(H33)*(MAX($D$16,(D105)-(J33))))*(MAX($D$16,(D105)-(J33))),0.000001)))*0.99999971))/MAX(((G31)*(MAX($D$16,(D105)-(K31)))^2)/2+(I31)*(MAX($D$16,(D105)-(K31)))^3/3+(ABS(F105)^2)/($I$5*MAX(((G31)+(I31)*(MAX($D$16,(D105)-(K31))))*(MAX($D$16,(D105)-(K31))),0.000001)),0.000001)</f>
        <v>-0.27214945999991119</v>
      </c>
      <c r="V105">
        <f>(((((F34)*(MAX($D$16,(E105)-(J34)))^2)/2+(H34)*(MAX($D$16,(E105)-(J34)))^3/3+(ABS(I105)^2)/($I$5*MAX(((F34)+(H34)*(MAX($D$16,(E105)-(J34))))*(MAX($D$16,(E105)-(J34))),0.000001)))*1)-((((F35)*(MAX($D$16,(E105)-(J35)))^2)/2+(H35)*(MAX($D$16,(E105)-(J35)))^3/3+(ABS(J105)^2)/($I$5*MAX(((F35)+(H35)*(MAX($D$16,(E105)-(J35))))*(MAX($D$16,(E105)-(J35))),0.000001)))*0.30600918))/MAX(((G32)*(MAX($D$16,(E105)-(K32)))^2)/2+(I32)*(MAX($D$16,(E105)-(K32)))^3/3+(ABS(G105)^2)/($I$5*MAX(((G32)+(I32)*(MAX($D$16,(E105)-(K32))))*(MAX($D$16,(E105)-(K32))),0.000001)),0.000001)</f>
        <v>0.69398638937190393</v>
      </c>
      <c r="W105">
        <f>IF(N6="None",ABS(P105-D105),MAX(ABS(P105-D105),ABS(Q105-D105)))</f>
        <v>3.4197000786662102E-10</v>
      </c>
      <c r="X105">
        <f>IF(AND(N7="None",N8="None"),0,IF(N8="None",ABS(S105-E105),IF(N7="None",ABS(T105-E105),MAX(ABS(S105-E105),ABS(T105-E105)))))</f>
        <v>51796.641837661315</v>
      </c>
      <c r="AA105">
        <f t="shared" si="18"/>
        <v>52432.141837661642</v>
      </c>
      <c r="AB105">
        <f t="shared" si="19"/>
        <v>41355.303927853041</v>
      </c>
      <c r="AC105">
        <f>IF(N6="None",P105,MAX(P105,Q105))</f>
        <v>52432.141837661868</v>
      </c>
      <c r="AD105">
        <f>IF(AND(N7="None",N8="None"),E105,IF(N8="None",S105,IF(N7="None",T105,MAX(S105,T105))))</f>
        <v>20784.033523923383</v>
      </c>
      <c r="AE105">
        <f t="shared" si="20"/>
        <v>637.65825101089831</v>
      </c>
      <c r="AF105">
        <f t="shared" si="21"/>
        <v>52432.141837661657</v>
      </c>
      <c r="AG105">
        <f>((G31)*(MAX($D$16,(AC105)-(K31)))^2)/2+(I31)*(MAX($D$16,(AC105)-(K31)))^3/3+(ABS(F105)^2)/($I$5*MAX(((G31)+(I31)*(MAX($D$16,(AC105)-(K31))))*(MAX($D$16,(AC105)-(K31))),0.000001))</f>
        <v>8797611517.4115906</v>
      </c>
      <c r="AH105">
        <f>((G31)*(MAX($D$16,(AE105)-(K31)))^2)/2+(I31)*(MAX($D$16,(AE105)-(K31)))^3/3+(ABS(F105)^2)/($I$5*MAX(((G31)+(I31)*(MAX($D$16,(AE105)-(K31))))*(MAX($D$16,(AE105)-(K31))),0.000001))</f>
        <v>49.055863329575246</v>
      </c>
      <c r="AI105">
        <f>((G32)*(MAX($D$16,(AD105)-(K32)))^2)/2+(I32)*(MAX($D$16,(AD105)-(K32)))^3/3+(ABS(G105)^2)/($I$5*MAX(((G32)+(I32)*(MAX($D$16,(AD105)-(K32))))*(MAX($D$16,(AD105)-(K32))),0.000001))</f>
        <v>2072376743.6648321</v>
      </c>
      <c r="AJ105">
        <f>((G32)*(MAX($D$16,(AF105)-(K32)))^2)/2+(I32)*(MAX($D$16,(AF105)-(K32)))^3/3+(ABS(G105)^2)/($I$5*MAX(((G32)+(I32)*(MAX($D$16,(AF105)-(K32))))*(MAX($D$16,(AF105)-(K32))),0.000001))</f>
        <v>13692714789.643906</v>
      </c>
      <c r="AK105" t="str">
        <f t="shared" si="22"/>
        <v>Subcritical</v>
      </c>
      <c r="AL105" t="str">
        <f t="shared" si="23"/>
        <v>Supercritical</v>
      </c>
      <c r="AM105">
        <f t="shared" si="24"/>
        <v>52432.141837661642</v>
      </c>
      <c r="AN105">
        <f t="shared" si="25"/>
        <v>52432.141837661431</v>
      </c>
      <c r="AO105">
        <f t="shared" si="26"/>
        <v>3.4197000786662102E-10</v>
      </c>
      <c r="AP105">
        <f t="shared" si="27"/>
        <v>3.4197000786662102E-10</v>
      </c>
    </row>
    <row r="106" spans="1:42" x14ac:dyDescent="0.35">
      <c r="A106">
        <v>63</v>
      </c>
      <c r="B106">
        <f t="shared" si="28"/>
        <v>0</v>
      </c>
      <c r="C106">
        <f t="shared" si="29"/>
        <v>0</v>
      </c>
      <c r="D106">
        <f t="shared" si="30"/>
        <v>52432.141837661642</v>
      </c>
      <c r="E106">
        <f t="shared" si="31"/>
        <v>52432.141837661431</v>
      </c>
      <c r="F106">
        <f t="shared" si="17"/>
        <v>51</v>
      </c>
      <c r="G106">
        <f>IF(N6="None",F106,MAX(0,F106*B106))</f>
        <v>51</v>
      </c>
      <c r="H106">
        <f>IF(N6="None",0,MAX(0,F106-G106))</f>
        <v>0</v>
      </c>
      <c r="I106">
        <f>IF(AND(N7="None",N8="None"),0,IF(N8="None",G106,IF(N7="None",0,MAX(0,G106*C106))))</f>
        <v>0</v>
      </c>
      <c r="J106">
        <f>IF(AND(N7="None",N8="None"),0,IF(N8="None",0,IF(N7="None",G106,MAX(0,G106-I106))))</f>
        <v>51</v>
      </c>
      <c r="K106">
        <f>P5</f>
        <v>637</v>
      </c>
      <c r="L106">
        <f>P6</f>
        <v>634.3119999999999</v>
      </c>
      <c r="M106">
        <f>P7</f>
        <v>635.5</v>
      </c>
      <c r="N106">
        <f>P8</f>
        <v>631.54999999999995</v>
      </c>
      <c r="O106">
        <f>K106+((ABS(F106)/MAX(((F31)+(H31)*(MAX($D$16,(K106)-(J31))))*(MAX($D$16,(K106)-(J31))),0.000001))^2)/(2*$I$5)-((E31)*((((ABS(F106)*$D$6)/(MAX(((F31)+(H31)*(MAX($D$16,(K106)-(J31))))*(MAX($D$16,(K106)-(J31))),0.000001)*MAX(((((F31)+(H31)*(MAX($D$16,(K106)-(J31))))*(MAX($D$16,(K106)-(J31))))/MAX((F31)+2*(MAX($D$16,(K106)-(J31)))*SQRT(1+(H31)^2),0.000001))^(2/3),0.000001)))^2)+(((ABS(F106)*$D$6)/(MAX(((G31)+(I31)*(MAX($D$16,(D106)-(K31))))*(MAX($D$16,(D106)-(K31))),0.000001)*MAX(((((G31)+(I31)*(MAX($D$16,(D106)-(K31))))*(MAX($D$16,(D106)-(K31))))/MAX((G31)+2*(MAX($D$16,(D106)-(K31)))*SQRT(1+(I31)^2),0.000001))^(2/3),0.000001)))^2))/2)+(IF((ABS(F106)/MAX(((G31)+(I31)*(MAX($D$16,(D106)-(K31))))*(MAX($D$16,(D106)-(K31))),0.000001))&gt;(ABS(F106)/MAX(((F31)+(H31)*(MAX($D$16,(K106)-(J31))))*(MAX($D$16,(K106)-(J31))),0.000001)),$D$9*((((ABS(F106)/MAX(((G31)+(I31)*(MAX($D$16,(D106)-(K31))))*(MAX($D$16,(D106)-(K31))),0.000001))^2)/(2*$I$5))-(((ABS(F106)/MAX(((F31)+(H31)*(MAX($D$16,(K106)-(J31))))*(MAX($D$16,(K106)-(J31))),0.000001))^2)/(2*$I$5))),$D$8*((((ABS(F106)/MAX(((F31)+(H31)*(MAX($D$16,(K106)-(J31))))*(MAX($D$16,(K106)-(J31))),0.000001))^2)/(2*$I$5))-(((ABS(F106)/MAX(((G31)+(I31)*(MAX($D$16,(D106)-(K31))))*(MAX($D$16,(D106)-(K31))),0.000001))^2)/(2*$I$5)))))+($D$10*(ABS((X31)-(W31))/90)*MAX(((ABS(F106)/MAX(((F31)+(H31)*(MAX($D$16,(K106)-(J31))))*(MAX($D$16,(K106)-(J31))),0.000001))^2)/(2*$I$5),((ABS(F106)/MAX(((G31)+(I31)*(MAX($D$16,(D106)-(K31))))*(MAX($D$16,(D106)-(K31))),0.000001))^2)/(2*$I$5)))+(0)-((ABS(F106)/MAX(((G31)+(I31)*(MAX($D$16,(D106)-(K31))))*(MAX($D$16,(D106)-(K31))),0.000001))^2)/(2*$I$5)</f>
        <v>637.65825101089831</v>
      </c>
      <c r="P106">
        <f>E106+((ABS(G106)/MAX(((G32)+(I32)*(MAX($D$16,(E106)-(K32))))*(MAX($D$16,(E106)-(K32))),0.000001))^2)/(2*$I$5)+((E32)*((((ABS(G106)*$D$6)/(MAX(((F32)+(H32)*(MAX($D$16,(D106)-(J32))))*(MAX($D$16,(D106)-(J32))),0.000001)*MAX(((((F32)+(H32)*(MAX($D$16,(D106)-(J32))))*(MAX($D$16,(D106)-(J32))))/MAX((F32)+2*(MAX($D$16,(D106)-(J32)))*SQRT(1+(H32)^2),0.000001))^(2/3),0.000001)))^2)+(((ABS(G106)*$D$6)/(MAX(((G32)+(I32)*(MAX($D$16,(E106)-(K32))))*(MAX($D$16,(E106)-(K32))),0.000001)*MAX(((((G32)+(I32)*(MAX($D$16,(E106)-(K32))))*(MAX($D$16,(E106)-(K32))))/MAX((G32)+2*(MAX($D$16,(E106)-(K32)))*SQRT(1+(I32)^2),0.000001))^(2/3),0.000001)))^2))/2)+(IF((ABS(G106)/MAX(((G32)+(I32)*(MAX($D$16,(E106)-(K32))))*(MAX($D$16,(E106)-(K32))),0.000001))&gt;(ABS(G106)/MAX(((F32)+(H32)*(MAX($D$16,(D106)-(J32))))*(MAX($D$16,(D106)-(J32))),0.000001)),$D$9*((((ABS(G106)/MAX(((G32)+(I32)*(MAX($D$16,(E106)-(K32))))*(MAX($D$16,(E106)-(K32))),0.000001))^2)/(2*$I$5))-(((ABS(G106)/MAX(((F32)+(H32)*(MAX($D$16,(D106)-(J32))))*(MAX($D$16,(D106)-(J32))),0.000001))^2)/(2*$I$5))),$D$8*((((ABS(G106)/MAX(((F32)+(H32)*(MAX($D$16,(D106)-(J32))))*(MAX($D$16,(D106)-(J32))),0.000001))^2)/(2*$I$5))-(((ABS(G106)/MAX(((G32)+(I32)*(MAX($D$16,(E106)-(K32))))*(MAX($D$16,(E106)-(K32))),0.000001))^2)/(2*$I$5)))))+($D$10*(ABS((X32)-(W32))/90)*MAX(((ABS(G106)/MAX(((F32)+(H32)*(MAX($D$16,(D106)-(J32))))*(MAX($D$16,(D106)-(J32))),0.000001))^2)/(2*$I$5),((ABS(G106)/MAX(((G32)+(I32)*(MAX($D$16,(E106)-(K32))))*(MAX($D$16,(E106)-(K32))),0.000001))^2)/(2*$I$5)))+(($D$11*0.13607488*(ABS(H106)/MAX(ABS(F106),0.000001))^2*MAX(((ABS(G106)/MAX(((F32)+(H32)*(MAX($D$16,(D106)-(J32))))*(MAX($D$16,(D106)-(J32))),0.000001))^2)/(2*$I$5),((ABS(G106)/MAX(((G32)+(I32)*(MAX($D$16,(E106)-(K32))))*(MAX($D$16,(E106)-(K32))),0.000001))^2)/(2*$I$5))))-((ABS(G106)/MAX(((F32)+(H32)*(MAX($D$16,(D106)-(J32))))*(MAX($D$16,(D106)-(J32))),0.000001))^2)/(2*$I$5)</f>
        <v>52432.141837661984</v>
      </c>
      <c r="Q106">
        <f>L106+((ABS(H106)/MAX(((G33)+(I33)*(MAX($D$16,(L106)-(K33))))*(MAX($D$16,(L106)-(K33))),0.000001))^2)/(2*$I$5)+((E33)*((((ABS(H106)*$D$6)/(MAX(((F33)+(H33)*(MAX($D$16,(D106)-(J33))))*(MAX($D$16,(D106)-(J33))),0.000001)*MAX(((((F33)+(H33)*(MAX($D$16,(D106)-(J33))))*(MAX($D$16,(D106)-(J33))))/MAX((F33)+2*(MAX($D$16,(D106)-(J33)))*SQRT(1+(H33)^2),0.000001))^(2/3),0.000001)))^2)+(((ABS(H106)*$D$6)/(MAX(((G33)+(I33)*(MAX($D$16,(L106)-(K33))))*(MAX($D$16,(L106)-(K33))),0.000001)*MAX(((((G33)+(I33)*(MAX($D$16,(L106)-(K33))))*(MAX($D$16,(L106)-(K33))))/MAX((G33)+2*(MAX($D$16,(L106)-(K33)))*SQRT(1+(I33)^2),0.000001))^(2/3),0.000001)))^2))/2)+(IF((ABS(H106)/MAX(((G33)+(I33)*(MAX($D$16,(L106)-(K33))))*(MAX($D$16,(L106)-(K33))),0.000001))&gt;(ABS(H106)/MAX(((F33)+(H33)*(MAX($D$16,(D106)-(J33))))*(MAX($D$16,(D106)-(J33))),0.000001)),$D$9*((((ABS(H106)/MAX(((G33)+(I33)*(MAX($D$16,(L106)-(K33))))*(MAX($D$16,(L106)-(K33))),0.000001))^2)/(2*$I$5))-(((ABS(H106)/MAX(((F33)+(H33)*(MAX($D$16,(D106)-(J33))))*(MAX($D$16,(D106)-(J33))),0.000001))^2)/(2*$I$5))),$D$8*((((ABS(H106)/MAX(((F33)+(H33)*(MAX($D$16,(D106)-(J33))))*(MAX($D$16,(D106)-(J33))),0.000001))^2)/(2*$I$5))-(((ABS(H106)/MAX(((G33)+(I33)*(MAX($D$16,(L106)-(K33))))*(MAX($D$16,(L106)-(K33))),0.000001))^2)/(2*$I$5)))))+($D$10*(ABS((X33)-(W33))/90)*MAX(((ABS(H106)/MAX(((F33)+(H33)*(MAX($D$16,(D106)-(J33))))*(MAX($D$16,(D106)-(J33))),0.000001))^2)/(2*$I$5),((ABS(H106)/MAX(((G33)+(I33)*(MAX($D$16,(L106)-(K33))))*(MAX($D$16,(L106)-(K33))),0.000001))^2)/(2*$I$5)))+(($D$11*0.00000015*(ABS(G106)/MAX(ABS(F106),0.000001))^2*MAX(((ABS(H106)/MAX(((F33)+(H33)*(MAX($D$16,(D106)-(J33))))*(MAX($D$16,(D106)-(J33))),0.000001))^2)/(2*$I$5),((ABS(H106)/MAX(((G33)+(I33)*(MAX($D$16,(L106)-(K33))))*(MAX($D$16,(L106)-(K33))),0.000001))^2)/(2*$I$5))))-((ABS(H106)/MAX(((F33)+(H33)*(MAX($D$16,(D106)-(J33))))*(MAX($D$16,(D106)-(J33))),0.000001))^2)/(2*$I$5)</f>
        <v>634.3119999999999</v>
      </c>
      <c r="R106">
        <f>D106+((ABS(G106)/MAX(((F32)+(H32)*(MAX($D$16,(D106)-(J32))))*(MAX($D$16,(D106)-(J32))),0.000001))^2)/(2*$I$5)-((E32)*((((ABS(G106)*$D$6)/(MAX(((F32)+(H32)*(MAX($D$16,(D106)-(J32))))*(MAX($D$16,(D106)-(J32))),0.000001)*MAX(((((F32)+(H32)*(MAX($D$16,(D106)-(J32))))*(MAX($D$16,(D106)-(J32))))/MAX((F32)+2*(MAX($D$16,(D106)-(J32)))*SQRT(1+(H32)^2),0.000001))^(2/3),0.000001)))^2)+(((ABS(G106)*$D$6)/(MAX(((G32)+(I32)*(MAX($D$16,(E106)-(K32))))*(MAX($D$16,(E106)-(K32))),0.000001)*MAX(((((G32)+(I32)*(MAX($D$16,(E106)-(K32))))*(MAX($D$16,(E106)-(K32))))/MAX((G32)+2*(MAX($D$16,(E106)-(K32)))*SQRT(1+(I32)^2),0.000001))^(2/3),0.000001)))^2))/2)+(IF((ABS(G106)/MAX(((G32)+(I32)*(MAX($D$16,(E106)-(K32))))*(MAX($D$16,(E106)-(K32))),0.000001))&gt;(ABS(G106)/MAX(((F32)+(H32)*(MAX($D$16,(D106)-(J32))))*(MAX($D$16,(D106)-(J32))),0.000001)),$D$9*((((ABS(G106)/MAX(((G32)+(I32)*(MAX($D$16,(E106)-(K32))))*(MAX($D$16,(E106)-(K32))),0.000001))^2)/(2*$I$5))-(((ABS(G106)/MAX(((F32)+(H32)*(MAX($D$16,(D106)-(J32))))*(MAX($D$16,(D106)-(J32))),0.000001))^2)/(2*$I$5))),$D$8*((((ABS(G106)/MAX(((F32)+(H32)*(MAX($D$16,(D106)-(J32))))*(MAX($D$16,(D106)-(J32))),0.000001))^2)/(2*$I$5))-(((ABS(G106)/MAX(((G32)+(I32)*(MAX($D$16,(E106)-(K32))))*(MAX($D$16,(E106)-(K32))),0.000001))^2)/(2*$I$5)))))+($D$10*(ABS((X32)-(W32))/90)*MAX(((ABS(G106)/MAX(((F32)+(H32)*(MAX($D$16,(D106)-(J32))))*(MAX($D$16,(D106)-(J32))),0.000001))^2)/(2*$I$5),((ABS(G106)/MAX(((G32)+(I32)*(MAX($D$16,(E106)-(K32))))*(MAX($D$16,(E106)-(K32))),0.000001))^2)/(2*$I$5)))+(($D$11*0.13607488*(ABS(H106)/MAX(ABS(F106),0.000001))^2*MAX(((ABS(G106)/MAX(((F32)+(H32)*(MAX($D$16,(D106)-(J32))))*(MAX($D$16,(D106)-(J32))),0.000001))^2)/(2*$I$5),((ABS(G106)/MAX(((G32)+(I32)*(MAX($D$16,(E106)-(K32))))*(MAX($D$16,(E106)-(K32))),0.000001))^2)/(2*$I$5))))-((ABS(G106)/MAX(((G32)+(I32)*(MAX($D$16,(E106)-(K32))))*(MAX($D$16,(E106)-(K32))),0.000001))^2)/(2*$I$5)</f>
        <v>52432.141837661773</v>
      </c>
      <c r="S106">
        <f>M106+((ABS(I106)/MAX(((G34)+(I34)*(MAX($D$16,(M106)-(K34))))*(MAX($D$16,(M106)-(K34))),0.000001))^2)/(2*$I$5)+((E34)*((((ABS(I106)*$D$6)/(MAX(((F34)+(H34)*(MAX($D$16,(E106)-(J34))))*(MAX($D$16,(E106)-(J34))),0.000001)*MAX(((((F34)+(H34)*(MAX($D$16,(E106)-(J34))))*(MAX($D$16,(E106)-(J34))))/MAX((F34)+2*(MAX($D$16,(E106)-(J34)))*SQRT(1+(H34)^2),0.000001))^(2/3),0.000001)))^2)+(((ABS(I106)*$D$6)/(MAX(((G34)+(I34)*(MAX($D$16,(M106)-(K34))))*(MAX($D$16,(M106)-(K34))),0.000001)*MAX(((((G34)+(I34)*(MAX($D$16,(M106)-(K34))))*(MAX($D$16,(M106)-(K34))))/MAX((G34)+2*(MAX($D$16,(M106)-(K34)))*SQRT(1+(I34)^2),0.000001))^(2/3),0.000001)))^2))/2)+(IF((ABS(I106)/MAX(((G34)+(I34)*(MAX($D$16,(M106)-(K34))))*(MAX($D$16,(M106)-(K34))),0.000001))&gt;(ABS(I106)/MAX(((F34)+(H34)*(MAX($D$16,(E106)-(J34))))*(MAX($D$16,(E106)-(J34))),0.000001)),$D$9*((((ABS(I106)/MAX(((G34)+(I34)*(MAX($D$16,(M106)-(K34))))*(MAX($D$16,(M106)-(K34))),0.000001))^2)/(2*$I$5))-(((ABS(I106)/MAX(((F34)+(H34)*(MAX($D$16,(E106)-(J34))))*(MAX($D$16,(E106)-(J34))),0.000001))^2)/(2*$I$5))),$D$8*((((ABS(I106)/MAX(((F34)+(H34)*(MAX($D$16,(E106)-(J34))))*(MAX($D$16,(E106)-(J34))),0.000001))^2)/(2*$I$5))-(((ABS(I106)/MAX(((G34)+(I34)*(MAX($D$16,(M106)-(K34))))*(MAX($D$16,(M106)-(K34))),0.000001))^2)/(2*$I$5)))))+($D$10*(ABS((X34)-(W34))/90)*MAX(((ABS(I106)/MAX(((F34)+(H34)*(MAX($D$16,(E106)-(J34))))*(MAX($D$16,(E106)-(J34))),0.000001))^2)/(2*$I$5),((ABS(I106)/MAX(((G34)+(I34)*(MAX($D$16,(M106)-(K34))))*(MAX($D$16,(M106)-(K34))),0.000001))^2)/(2*$I$5)))+(0)-((ABS(I106)/MAX(((F34)+(H34)*(MAX($D$16,(E106)-(J34))))*(MAX($D$16,(E106)-(J34))),0.000001))^2)/(2*$I$5)</f>
        <v>635.5</v>
      </c>
      <c r="T106">
        <f>N106+((ABS(J106)/MAX(((G35)+(I35)*(MAX($D$16,(N106)-(K35))))*(MAX($D$16,(N106)-(K35))),0.000001))^2)/(2*$I$5)+((E35)*((((ABS(J106)*$D$6)/(MAX(((F35)+(H35)*(MAX($D$16,(E106)-(J35))))*(MAX($D$16,(E106)-(J35))),0.000001)*MAX(((((F35)+(H35)*(MAX($D$16,(E106)-(J35))))*(MAX($D$16,(E106)-(J35))))/MAX((F35)+2*(MAX($D$16,(E106)-(J35)))*SQRT(1+(H35)^2),0.000001))^(2/3),0.000001)))^2)+(((ABS(J106)*$D$6)/(MAX(((G35)+(I35)*(MAX($D$16,(N106)-(K35))))*(MAX($D$16,(N106)-(K35))),0.000001)*MAX(((((G35)+(I35)*(MAX($D$16,(N106)-(K35))))*(MAX($D$16,(N106)-(K35))))/MAX((G35)+2*(MAX($D$16,(N106)-(K35)))*SQRT(1+(I35)^2),0.000001))^(2/3),0.000001)))^2))/2)+(IF((ABS(J106)/MAX(((G35)+(I35)*(MAX($D$16,(N106)-(K35))))*(MAX($D$16,(N106)-(K35))),0.000001))&gt;(ABS(J106)/MAX(((F35)+(H35)*(MAX($D$16,(E106)-(J35))))*(MAX($D$16,(E106)-(J35))),0.000001)),$D$9*((((ABS(J106)/MAX(((G35)+(I35)*(MAX($D$16,(N106)-(K35))))*(MAX($D$16,(N106)-(K35))),0.000001))^2)/(2*$I$5))-(((ABS(J106)/MAX(((F35)+(H35)*(MAX($D$16,(E106)-(J35))))*(MAX($D$16,(E106)-(J35))),0.000001))^2)/(2*$I$5))),$D$8*((((ABS(J106)/MAX(((F35)+(H35)*(MAX($D$16,(E106)-(J35))))*(MAX($D$16,(E106)-(J35))),0.000001))^2)/(2*$I$5))-(((ABS(J106)/MAX(((G35)+(I35)*(MAX($D$16,(N106)-(K35))))*(MAX($D$16,(N106)-(K35))),0.000001))^2)/(2*$I$5)))))+($D$10*(ABS((X35)-(W35))/90)*MAX(((ABS(J106)/MAX(((F35)+(H35)*(MAX($D$16,(E106)-(J35))))*(MAX($D$16,(E106)-(J35))),0.000001))^2)/(2*$I$5),((ABS(J106)/MAX(((G35)+(I35)*(MAX($D$16,(N106)-(K35))))*(MAX($D$16,(N106)-(K35))),0.000001))^2)/(2*$I$5)))+(($D$11*0.34699541*(ABS(I106)/MAX(ABS(G106),0.000001))^2*MAX(((ABS(J106)/MAX(((F35)+(H35)*(MAX($D$16,(E106)-(J35))))*(MAX($D$16,(E106)-(J35))),0.000001))^2)/(2*$I$5),((ABS(J106)/MAX(((G35)+(I35)*(MAX($D$16,(N106)-(K35))))*(MAX($D$16,(N106)-(K35))),0.000001))^2)/(2*$I$5))))-((ABS(J106)/MAX(((F35)+(H35)*(MAX($D$16,(E106)-(J35))))*(MAX($D$16,(E106)-(J35))),0.000001))^2)/(2*$I$5)</f>
        <v>20784.033523923383</v>
      </c>
      <c r="U106">
        <f>(((((F32)*(MAX($D$16,(D106)-(J32)))^2)/2+(H32)*(MAX($D$16,(D106)-(J32)))^3/3+(ABS(G106)^2)/($I$5*MAX(((F32)+(H32)*(MAX($D$16,(D106)-(J32))))*(MAX($D$16,(D106)-(J32))),0.000001)))*0.72785025)-((((F33)*(MAX($D$16,(D106)-(J33)))^2)/2+(H33)*(MAX($D$16,(D106)-(J33)))^3/3+(ABS(H106)^2)/($I$5*MAX(((F33)+(H33)*(MAX($D$16,(D106)-(J33))))*(MAX($D$16,(D106)-(J33))),0.000001)))*0.99999971))/MAX(((G31)*(MAX($D$16,(D106)-(K31)))^2)/2+(I31)*(MAX($D$16,(D106)-(K31)))^3/3+(ABS(F106)^2)/($I$5*MAX(((G31)+(I31)*(MAX($D$16,(D106)-(K31))))*(MAX($D$16,(D106)-(K31))),0.000001)),0.000001)</f>
        <v>-0.27214945999991125</v>
      </c>
      <c r="V106">
        <f>(((((F34)*(MAX($D$16,(E106)-(J34)))^2)/2+(H34)*(MAX($D$16,(E106)-(J34)))^3/3+(ABS(I106)^2)/($I$5*MAX(((F34)+(H34)*(MAX($D$16,(E106)-(J34))))*(MAX($D$16,(E106)-(J34))),0.000001)))*1)-((((F35)*(MAX($D$16,(E106)-(J35)))^2)/2+(H35)*(MAX($D$16,(E106)-(J35)))^3/3+(ABS(J106)^2)/($I$5*MAX(((F35)+(H35)*(MAX($D$16,(E106)-(J35))))*(MAX($D$16,(E106)-(J35))),0.000001)))*0.30600918))/MAX(((G32)*(MAX($D$16,(E106)-(K32)))^2)/2+(I32)*(MAX($D$16,(E106)-(K32)))^3/3+(ABS(G106)^2)/($I$5*MAX(((G32)+(I32)*(MAX($D$16,(E106)-(K32))))*(MAX($D$16,(E106)-(K32))),0.000001)),0.000001)</f>
        <v>0.69398638937190393</v>
      </c>
      <c r="W106">
        <f>IF(N6="None",ABS(P106-D106),MAX(ABS(P106-D106),ABS(Q106-D106)))</f>
        <v>3.4197000786662102E-10</v>
      </c>
      <c r="X106">
        <f>IF(AND(N7="None",N8="None"),0,IF(N8="None",ABS(S106-E106),IF(N7="None",ABS(T106-E106),MAX(ABS(S106-E106),ABS(T106-E106)))))</f>
        <v>51796.641837661431</v>
      </c>
      <c r="AA106">
        <f t="shared" si="18"/>
        <v>52432.141837661758</v>
      </c>
      <c r="AB106">
        <f t="shared" si="19"/>
        <v>41355.303927853114</v>
      </c>
      <c r="AC106">
        <f>IF(N6="None",P106,MAX(P106,Q106))</f>
        <v>52432.141837661984</v>
      </c>
      <c r="AD106">
        <f>IF(AND(N7="None",N8="None"),E106,IF(N8="None",S106,IF(N7="None",T106,MAX(S106,T106))))</f>
        <v>20784.033523923383</v>
      </c>
      <c r="AE106">
        <f t="shared" si="20"/>
        <v>637.65825101089831</v>
      </c>
      <c r="AF106">
        <f t="shared" si="21"/>
        <v>52432.141837661773</v>
      </c>
      <c r="AG106">
        <f>((G31)*(MAX($D$16,(AC106)-(K31)))^2)/2+(I31)*(MAX($D$16,(AC106)-(K31)))^3/3+(ABS(F106)^2)/($I$5*MAX(((G31)+(I31)*(MAX($D$16,(AC106)-(K31))))*(MAX($D$16,(AC106)-(K31))),0.000001))</f>
        <v>8797611517.4116306</v>
      </c>
      <c r="AH106">
        <f>((G31)*(MAX($D$16,(AE106)-(K31)))^2)/2+(I31)*(MAX($D$16,(AE106)-(K31)))^3/3+(ABS(F106)^2)/($I$5*MAX(((G31)+(I31)*(MAX($D$16,(AE106)-(K31))))*(MAX($D$16,(AE106)-(K31))),0.000001))</f>
        <v>49.055863329575246</v>
      </c>
      <c r="AI106">
        <f>((G32)*(MAX($D$16,(AD106)-(K32)))^2)/2+(I32)*(MAX($D$16,(AD106)-(K32)))^3/3+(ABS(G106)^2)/($I$5*MAX(((G32)+(I32)*(MAX($D$16,(AD106)-(K32))))*(MAX($D$16,(AD106)-(K32))),0.000001))</f>
        <v>2072376743.6648321</v>
      </c>
      <c r="AJ106">
        <f>((G32)*(MAX($D$16,(AF106)-(K32)))^2)/2+(I32)*(MAX($D$16,(AF106)-(K32)))^3/3+(ABS(G106)^2)/($I$5*MAX(((G32)+(I32)*(MAX($D$16,(AF106)-(K32))))*(MAX($D$16,(AF106)-(K32))),0.000001))</f>
        <v>13692714789.643965</v>
      </c>
      <c r="AK106" t="str">
        <f t="shared" si="22"/>
        <v>Subcritical</v>
      </c>
      <c r="AL106" t="str">
        <f t="shared" si="23"/>
        <v>Supercritical</v>
      </c>
      <c r="AM106">
        <f t="shared" si="24"/>
        <v>52432.141837661758</v>
      </c>
      <c r="AN106">
        <f t="shared" si="25"/>
        <v>52432.141837661547</v>
      </c>
      <c r="AO106">
        <f t="shared" si="26"/>
        <v>3.4197000786662102E-10</v>
      </c>
      <c r="AP106">
        <f t="shared" si="27"/>
        <v>3.4197000786662102E-10</v>
      </c>
    </row>
    <row r="107" spans="1:42" x14ac:dyDescent="0.35">
      <c r="A107">
        <v>64</v>
      </c>
      <c r="B107">
        <f t="shared" si="28"/>
        <v>0</v>
      </c>
      <c r="C107">
        <f t="shared" si="29"/>
        <v>0</v>
      </c>
      <c r="D107">
        <f t="shared" si="30"/>
        <v>52432.141837661758</v>
      </c>
      <c r="E107">
        <f t="shared" si="31"/>
        <v>52432.141837661547</v>
      </c>
      <c r="F107">
        <f t="shared" ref="F107:F122" si="32">$D$5</f>
        <v>51</v>
      </c>
      <c r="G107">
        <f>IF(N6="None",F107,MAX(0,F107*B107))</f>
        <v>51</v>
      </c>
      <c r="H107">
        <f>IF(N6="None",0,MAX(0,F107-G107))</f>
        <v>0</v>
      </c>
      <c r="I107">
        <f>IF(AND(N7="None",N8="None"),0,IF(N8="None",G107,IF(N7="None",0,MAX(0,G107*C107))))</f>
        <v>0</v>
      </c>
      <c r="J107">
        <f>IF(AND(N7="None",N8="None"),0,IF(N8="None",0,IF(N7="None",G107,MAX(0,G107-I107))))</f>
        <v>51</v>
      </c>
      <c r="K107">
        <f>P5</f>
        <v>637</v>
      </c>
      <c r="L107">
        <f>P6</f>
        <v>634.3119999999999</v>
      </c>
      <c r="M107">
        <f>P7</f>
        <v>635.5</v>
      </c>
      <c r="N107">
        <f>P8</f>
        <v>631.54999999999995</v>
      </c>
      <c r="O107">
        <f>K107+((ABS(F107)/MAX(((F31)+(H31)*(MAX($D$16,(K107)-(J31))))*(MAX($D$16,(K107)-(J31))),0.000001))^2)/(2*$I$5)-((E31)*((((ABS(F107)*$D$6)/(MAX(((F31)+(H31)*(MAX($D$16,(K107)-(J31))))*(MAX($D$16,(K107)-(J31))),0.000001)*MAX(((((F31)+(H31)*(MAX($D$16,(K107)-(J31))))*(MAX($D$16,(K107)-(J31))))/MAX((F31)+2*(MAX($D$16,(K107)-(J31)))*SQRT(1+(H31)^2),0.000001))^(2/3),0.000001)))^2)+(((ABS(F107)*$D$6)/(MAX(((G31)+(I31)*(MAX($D$16,(D107)-(K31))))*(MAX($D$16,(D107)-(K31))),0.000001)*MAX(((((G31)+(I31)*(MAX($D$16,(D107)-(K31))))*(MAX($D$16,(D107)-(K31))))/MAX((G31)+2*(MAX($D$16,(D107)-(K31)))*SQRT(1+(I31)^2),0.000001))^(2/3),0.000001)))^2))/2)+(IF((ABS(F107)/MAX(((G31)+(I31)*(MAX($D$16,(D107)-(K31))))*(MAX($D$16,(D107)-(K31))),0.000001))&gt;(ABS(F107)/MAX(((F31)+(H31)*(MAX($D$16,(K107)-(J31))))*(MAX($D$16,(K107)-(J31))),0.000001)),$D$9*((((ABS(F107)/MAX(((G31)+(I31)*(MAX($D$16,(D107)-(K31))))*(MAX($D$16,(D107)-(K31))),0.000001))^2)/(2*$I$5))-(((ABS(F107)/MAX(((F31)+(H31)*(MAX($D$16,(K107)-(J31))))*(MAX($D$16,(K107)-(J31))),0.000001))^2)/(2*$I$5))),$D$8*((((ABS(F107)/MAX(((F31)+(H31)*(MAX($D$16,(K107)-(J31))))*(MAX($D$16,(K107)-(J31))),0.000001))^2)/(2*$I$5))-(((ABS(F107)/MAX(((G31)+(I31)*(MAX($D$16,(D107)-(K31))))*(MAX($D$16,(D107)-(K31))),0.000001))^2)/(2*$I$5)))))+($D$10*(ABS((X31)-(W31))/90)*MAX(((ABS(F107)/MAX(((F31)+(H31)*(MAX($D$16,(K107)-(J31))))*(MAX($D$16,(K107)-(J31))),0.000001))^2)/(2*$I$5),((ABS(F107)/MAX(((G31)+(I31)*(MAX($D$16,(D107)-(K31))))*(MAX($D$16,(D107)-(K31))),0.000001))^2)/(2*$I$5)))+(0)-((ABS(F107)/MAX(((G31)+(I31)*(MAX($D$16,(D107)-(K31))))*(MAX($D$16,(D107)-(K31))),0.000001))^2)/(2*$I$5)</f>
        <v>637.65825101089831</v>
      </c>
      <c r="P107">
        <f>E107+((ABS(G107)/MAX(((G32)+(I32)*(MAX($D$16,(E107)-(K32))))*(MAX($D$16,(E107)-(K32))),0.000001))^2)/(2*$I$5)+((E32)*((((ABS(G107)*$D$6)/(MAX(((F32)+(H32)*(MAX($D$16,(D107)-(J32))))*(MAX($D$16,(D107)-(J32))),0.000001)*MAX(((((F32)+(H32)*(MAX($D$16,(D107)-(J32))))*(MAX($D$16,(D107)-(J32))))/MAX((F32)+2*(MAX($D$16,(D107)-(J32)))*SQRT(1+(H32)^2),0.000001))^(2/3),0.000001)))^2)+(((ABS(G107)*$D$6)/(MAX(((G32)+(I32)*(MAX($D$16,(E107)-(K32))))*(MAX($D$16,(E107)-(K32))),0.000001)*MAX(((((G32)+(I32)*(MAX($D$16,(E107)-(K32))))*(MAX($D$16,(E107)-(K32))))/MAX((G32)+2*(MAX($D$16,(E107)-(K32)))*SQRT(1+(I32)^2),0.000001))^(2/3),0.000001)))^2))/2)+(IF((ABS(G107)/MAX(((G32)+(I32)*(MAX($D$16,(E107)-(K32))))*(MAX($D$16,(E107)-(K32))),0.000001))&gt;(ABS(G107)/MAX(((F32)+(H32)*(MAX($D$16,(D107)-(J32))))*(MAX($D$16,(D107)-(J32))),0.000001)),$D$9*((((ABS(G107)/MAX(((G32)+(I32)*(MAX($D$16,(E107)-(K32))))*(MAX($D$16,(E107)-(K32))),0.000001))^2)/(2*$I$5))-(((ABS(G107)/MAX(((F32)+(H32)*(MAX($D$16,(D107)-(J32))))*(MAX($D$16,(D107)-(J32))),0.000001))^2)/(2*$I$5))),$D$8*((((ABS(G107)/MAX(((F32)+(H32)*(MAX($D$16,(D107)-(J32))))*(MAX($D$16,(D107)-(J32))),0.000001))^2)/(2*$I$5))-(((ABS(G107)/MAX(((G32)+(I32)*(MAX($D$16,(E107)-(K32))))*(MAX($D$16,(E107)-(K32))),0.000001))^2)/(2*$I$5)))))+($D$10*(ABS((X32)-(W32))/90)*MAX(((ABS(G107)/MAX(((F32)+(H32)*(MAX($D$16,(D107)-(J32))))*(MAX($D$16,(D107)-(J32))),0.000001))^2)/(2*$I$5),((ABS(G107)/MAX(((G32)+(I32)*(MAX($D$16,(E107)-(K32))))*(MAX($D$16,(E107)-(K32))),0.000001))^2)/(2*$I$5)))+(($D$11*0.13607488*(ABS(H107)/MAX(ABS(F107),0.000001))^2*MAX(((ABS(G107)/MAX(((F32)+(H32)*(MAX($D$16,(D107)-(J32))))*(MAX($D$16,(D107)-(J32))),0.000001))^2)/(2*$I$5),((ABS(G107)/MAX(((G32)+(I32)*(MAX($D$16,(E107)-(K32))))*(MAX($D$16,(E107)-(K32))),0.000001))^2)/(2*$I$5))))-((ABS(G107)/MAX(((F32)+(H32)*(MAX($D$16,(D107)-(J32))))*(MAX($D$16,(D107)-(J32))),0.000001))^2)/(2*$I$5)</f>
        <v>52432.1418376621</v>
      </c>
      <c r="Q107">
        <f>L107+((ABS(H107)/MAX(((G33)+(I33)*(MAX($D$16,(L107)-(K33))))*(MAX($D$16,(L107)-(K33))),0.000001))^2)/(2*$I$5)+((E33)*((((ABS(H107)*$D$6)/(MAX(((F33)+(H33)*(MAX($D$16,(D107)-(J33))))*(MAX($D$16,(D107)-(J33))),0.000001)*MAX(((((F33)+(H33)*(MAX($D$16,(D107)-(J33))))*(MAX($D$16,(D107)-(J33))))/MAX((F33)+2*(MAX($D$16,(D107)-(J33)))*SQRT(1+(H33)^2),0.000001))^(2/3),0.000001)))^2)+(((ABS(H107)*$D$6)/(MAX(((G33)+(I33)*(MAX($D$16,(L107)-(K33))))*(MAX($D$16,(L107)-(K33))),0.000001)*MAX(((((G33)+(I33)*(MAX($D$16,(L107)-(K33))))*(MAX($D$16,(L107)-(K33))))/MAX((G33)+2*(MAX($D$16,(L107)-(K33)))*SQRT(1+(I33)^2),0.000001))^(2/3),0.000001)))^2))/2)+(IF((ABS(H107)/MAX(((G33)+(I33)*(MAX($D$16,(L107)-(K33))))*(MAX($D$16,(L107)-(K33))),0.000001))&gt;(ABS(H107)/MAX(((F33)+(H33)*(MAX($D$16,(D107)-(J33))))*(MAX($D$16,(D107)-(J33))),0.000001)),$D$9*((((ABS(H107)/MAX(((G33)+(I33)*(MAX($D$16,(L107)-(K33))))*(MAX($D$16,(L107)-(K33))),0.000001))^2)/(2*$I$5))-(((ABS(H107)/MAX(((F33)+(H33)*(MAX($D$16,(D107)-(J33))))*(MAX($D$16,(D107)-(J33))),0.000001))^2)/(2*$I$5))),$D$8*((((ABS(H107)/MAX(((F33)+(H33)*(MAX($D$16,(D107)-(J33))))*(MAX($D$16,(D107)-(J33))),0.000001))^2)/(2*$I$5))-(((ABS(H107)/MAX(((G33)+(I33)*(MAX($D$16,(L107)-(K33))))*(MAX($D$16,(L107)-(K33))),0.000001))^2)/(2*$I$5)))))+($D$10*(ABS((X33)-(W33))/90)*MAX(((ABS(H107)/MAX(((F33)+(H33)*(MAX($D$16,(D107)-(J33))))*(MAX($D$16,(D107)-(J33))),0.000001))^2)/(2*$I$5),((ABS(H107)/MAX(((G33)+(I33)*(MAX($D$16,(L107)-(K33))))*(MAX($D$16,(L107)-(K33))),0.000001))^2)/(2*$I$5)))+(($D$11*0.00000015*(ABS(G107)/MAX(ABS(F107),0.000001))^2*MAX(((ABS(H107)/MAX(((F33)+(H33)*(MAX($D$16,(D107)-(J33))))*(MAX($D$16,(D107)-(J33))),0.000001))^2)/(2*$I$5),((ABS(H107)/MAX(((G33)+(I33)*(MAX($D$16,(L107)-(K33))))*(MAX($D$16,(L107)-(K33))),0.000001))^2)/(2*$I$5))))-((ABS(H107)/MAX(((F33)+(H33)*(MAX($D$16,(D107)-(J33))))*(MAX($D$16,(D107)-(J33))),0.000001))^2)/(2*$I$5)</f>
        <v>634.3119999999999</v>
      </c>
      <c r="R107">
        <f>D107+((ABS(G107)/MAX(((F32)+(H32)*(MAX($D$16,(D107)-(J32))))*(MAX($D$16,(D107)-(J32))),0.000001))^2)/(2*$I$5)-((E32)*((((ABS(G107)*$D$6)/(MAX(((F32)+(H32)*(MAX($D$16,(D107)-(J32))))*(MAX($D$16,(D107)-(J32))),0.000001)*MAX(((((F32)+(H32)*(MAX($D$16,(D107)-(J32))))*(MAX($D$16,(D107)-(J32))))/MAX((F32)+2*(MAX($D$16,(D107)-(J32)))*SQRT(1+(H32)^2),0.000001))^(2/3),0.000001)))^2)+(((ABS(G107)*$D$6)/(MAX(((G32)+(I32)*(MAX($D$16,(E107)-(K32))))*(MAX($D$16,(E107)-(K32))),0.000001)*MAX(((((G32)+(I32)*(MAX($D$16,(E107)-(K32))))*(MAX($D$16,(E107)-(K32))))/MAX((G32)+2*(MAX($D$16,(E107)-(K32)))*SQRT(1+(I32)^2),0.000001))^(2/3),0.000001)))^2))/2)+(IF((ABS(G107)/MAX(((G32)+(I32)*(MAX($D$16,(E107)-(K32))))*(MAX($D$16,(E107)-(K32))),0.000001))&gt;(ABS(G107)/MAX(((F32)+(H32)*(MAX($D$16,(D107)-(J32))))*(MAX($D$16,(D107)-(J32))),0.000001)),$D$9*((((ABS(G107)/MAX(((G32)+(I32)*(MAX($D$16,(E107)-(K32))))*(MAX($D$16,(E107)-(K32))),0.000001))^2)/(2*$I$5))-(((ABS(G107)/MAX(((F32)+(H32)*(MAX($D$16,(D107)-(J32))))*(MAX($D$16,(D107)-(J32))),0.000001))^2)/(2*$I$5))),$D$8*((((ABS(G107)/MAX(((F32)+(H32)*(MAX($D$16,(D107)-(J32))))*(MAX($D$16,(D107)-(J32))),0.000001))^2)/(2*$I$5))-(((ABS(G107)/MAX(((G32)+(I32)*(MAX($D$16,(E107)-(K32))))*(MAX($D$16,(E107)-(K32))),0.000001))^2)/(2*$I$5)))))+($D$10*(ABS((X32)-(W32))/90)*MAX(((ABS(G107)/MAX(((F32)+(H32)*(MAX($D$16,(D107)-(J32))))*(MAX($D$16,(D107)-(J32))),0.000001))^2)/(2*$I$5),((ABS(G107)/MAX(((G32)+(I32)*(MAX($D$16,(E107)-(K32))))*(MAX($D$16,(E107)-(K32))),0.000001))^2)/(2*$I$5)))+(($D$11*0.13607488*(ABS(H107)/MAX(ABS(F107),0.000001))^2*MAX(((ABS(G107)/MAX(((F32)+(H32)*(MAX($D$16,(D107)-(J32))))*(MAX($D$16,(D107)-(J32))),0.000001))^2)/(2*$I$5),((ABS(G107)/MAX(((G32)+(I32)*(MAX($D$16,(E107)-(K32))))*(MAX($D$16,(E107)-(K32))),0.000001))^2)/(2*$I$5))))-((ABS(G107)/MAX(((G32)+(I32)*(MAX($D$16,(E107)-(K32))))*(MAX($D$16,(E107)-(K32))),0.000001))^2)/(2*$I$5)</f>
        <v>52432.141837661889</v>
      </c>
      <c r="S107">
        <f>M107+((ABS(I107)/MAX(((G34)+(I34)*(MAX($D$16,(M107)-(K34))))*(MAX($D$16,(M107)-(K34))),0.000001))^2)/(2*$I$5)+((E34)*((((ABS(I107)*$D$6)/(MAX(((F34)+(H34)*(MAX($D$16,(E107)-(J34))))*(MAX($D$16,(E107)-(J34))),0.000001)*MAX(((((F34)+(H34)*(MAX($D$16,(E107)-(J34))))*(MAX($D$16,(E107)-(J34))))/MAX((F34)+2*(MAX($D$16,(E107)-(J34)))*SQRT(1+(H34)^2),0.000001))^(2/3),0.000001)))^2)+(((ABS(I107)*$D$6)/(MAX(((G34)+(I34)*(MAX($D$16,(M107)-(K34))))*(MAX($D$16,(M107)-(K34))),0.000001)*MAX(((((G34)+(I34)*(MAX($D$16,(M107)-(K34))))*(MAX($D$16,(M107)-(K34))))/MAX((G34)+2*(MAX($D$16,(M107)-(K34)))*SQRT(1+(I34)^2),0.000001))^(2/3),0.000001)))^2))/2)+(IF((ABS(I107)/MAX(((G34)+(I34)*(MAX($D$16,(M107)-(K34))))*(MAX($D$16,(M107)-(K34))),0.000001))&gt;(ABS(I107)/MAX(((F34)+(H34)*(MAX($D$16,(E107)-(J34))))*(MAX($D$16,(E107)-(J34))),0.000001)),$D$9*((((ABS(I107)/MAX(((G34)+(I34)*(MAX($D$16,(M107)-(K34))))*(MAX($D$16,(M107)-(K34))),0.000001))^2)/(2*$I$5))-(((ABS(I107)/MAX(((F34)+(H34)*(MAX($D$16,(E107)-(J34))))*(MAX($D$16,(E107)-(J34))),0.000001))^2)/(2*$I$5))),$D$8*((((ABS(I107)/MAX(((F34)+(H34)*(MAX($D$16,(E107)-(J34))))*(MAX($D$16,(E107)-(J34))),0.000001))^2)/(2*$I$5))-(((ABS(I107)/MAX(((G34)+(I34)*(MAX($D$16,(M107)-(K34))))*(MAX($D$16,(M107)-(K34))),0.000001))^2)/(2*$I$5)))))+($D$10*(ABS((X34)-(W34))/90)*MAX(((ABS(I107)/MAX(((F34)+(H34)*(MAX($D$16,(E107)-(J34))))*(MAX($D$16,(E107)-(J34))),0.000001))^2)/(2*$I$5),((ABS(I107)/MAX(((G34)+(I34)*(MAX($D$16,(M107)-(K34))))*(MAX($D$16,(M107)-(K34))),0.000001))^2)/(2*$I$5)))+(0)-((ABS(I107)/MAX(((F34)+(H34)*(MAX($D$16,(E107)-(J34))))*(MAX($D$16,(E107)-(J34))),0.000001))^2)/(2*$I$5)</f>
        <v>635.5</v>
      </c>
      <c r="T107">
        <f>N107+((ABS(J107)/MAX(((G35)+(I35)*(MAX($D$16,(N107)-(K35))))*(MAX($D$16,(N107)-(K35))),0.000001))^2)/(2*$I$5)+((E35)*((((ABS(J107)*$D$6)/(MAX(((F35)+(H35)*(MAX($D$16,(E107)-(J35))))*(MAX($D$16,(E107)-(J35))),0.000001)*MAX(((((F35)+(H35)*(MAX($D$16,(E107)-(J35))))*(MAX($D$16,(E107)-(J35))))/MAX((F35)+2*(MAX($D$16,(E107)-(J35)))*SQRT(1+(H35)^2),0.000001))^(2/3),0.000001)))^2)+(((ABS(J107)*$D$6)/(MAX(((G35)+(I35)*(MAX($D$16,(N107)-(K35))))*(MAX($D$16,(N107)-(K35))),0.000001)*MAX(((((G35)+(I35)*(MAX($D$16,(N107)-(K35))))*(MAX($D$16,(N107)-(K35))))/MAX((G35)+2*(MAX($D$16,(N107)-(K35)))*SQRT(1+(I35)^2),0.000001))^(2/3),0.000001)))^2))/2)+(IF((ABS(J107)/MAX(((G35)+(I35)*(MAX($D$16,(N107)-(K35))))*(MAX($D$16,(N107)-(K35))),0.000001))&gt;(ABS(J107)/MAX(((F35)+(H35)*(MAX($D$16,(E107)-(J35))))*(MAX($D$16,(E107)-(J35))),0.000001)),$D$9*((((ABS(J107)/MAX(((G35)+(I35)*(MAX($D$16,(N107)-(K35))))*(MAX($D$16,(N107)-(K35))),0.000001))^2)/(2*$I$5))-(((ABS(J107)/MAX(((F35)+(H35)*(MAX($D$16,(E107)-(J35))))*(MAX($D$16,(E107)-(J35))),0.000001))^2)/(2*$I$5))),$D$8*((((ABS(J107)/MAX(((F35)+(H35)*(MAX($D$16,(E107)-(J35))))*(MAX($D$16,(E107)-(J35))),0.000001))^2)/(2*$I$5))-(((ABS(J107)/MAX(((G35)+(I35)*(MAX($D$16,(N107)-(K35))))*(MAX($D$16,(N107)-(K35))),0.000001))^2)/(2*$I$5)))))+($D$10*(ABS((X35)-(W35))/90)*MAX(((ABS(J107)/MAX(((F35)+(H35)*(MAX($D$16,(E107)-(J35))))*(MAX($D$16,(E107)-(J35))),0.000001))^2)/(2*$I$5),((ABS(J107)/MAX(((G35)+(I35)*(MAX($D$16,(N107)-(K35))))*(MAX($D$16,(N107)-(K35))),0.000001))^2)/(2*$I$5)))+(($D$11*0.34699541*(ABS(I107)/MAX(ABS(G107),0.000001))^2*MAX(((ABS(J107)/MAX(((F35)+(H35)*(MAX($D$16,(E107)-(J35))))*(MAX($D$16,(E107)-(J35))),0.000001))^2)/(2*$I$5),((ABS(J107)/MAX(((G35)+(I35)*(MAX($D$16,(N107)-(K35))))*(MAX($D$16,(N107)-(K35))),0.000001))^2)/(2*$I$5))))-((ABS(J107)/MAX(((F35)+(H35)*(MAX($D$16,(E107)-(J35))))*(MAX($D$16,(E107)-(J35))),0.000001))^2)/(2*$I$5)</f>
        <v>20784.033523923383</v>
      </c>
      <c r="U107">
        <f>(((((F32)*(MAX($D$16,(D107)-(J32)))^2)/2+(H32)*(MAX($D$16,(D107)-(J32)))^3/3+(ABS(G107)^2)/($I$5*MAX(((F32)+(H32)*(MAX($D$16,(D107)-(J32))))*(MAX($D$16,(D107)-(J32))),0.000001)))*0.72785025)-((((F33)*(MAX($D$16,(D107)-(J33)))^2)/2+(H33)*(MAX($D$16,(D107)-(J33)))^3/3+(ABS(H107)^2)/($I$5*MAX(((F33)+(H33)*(MAX($D$16,(D107)-(J33))))*(MAX($D$16,(D107)-(J33))),0.000001)))*0.99999971))/MAX(((G31)*(MAX($D$16,(D107)-(K31)))^2)/2+(I31)*(MAX($D$16,(D107)-(K31)))^3/3+(ABS(F107)^2)/($I$5*MAX(((G31)+(I31)*(MAX($D$16,(D107)-(K31))))*(MAX($D$16,(D107)-(K31))),0.000001)),0.000001)</f>
        <v>-0.27214945999991125</v>
      </c>
      <c r="V107">
        <f>(((((F34)*(MAX($D$16,(E107)-(J34)))^2)/2+(H34)*(MAX($D$16,(E107)-(J34)))^3/3+(ABS(I107)^2)/($I$5*MAX(((F34)+(H34)*(MAX($D$16,(E107)-(J34))))*(MAX($D$16,(E107)-(J34))),0.000001)))*1)-((((F35)*(MAX($D$16,(E107)-(J35)))^2)/2+(H35)*(MAX($D$16,(E107)-(J35)))^3/3+(ABS(J107)^2)/($I$5*MAX(((F35)+(H35)*(MAX($D$16,(E107)-(J35))))*(MAX($D$16,(E107)-(J35))),0.000001)))*0.30600918))/MAX(((G32)*(MAX($D$16,(E107)-(K32)))^2)/2+(I32)*(MAX($D$16,(E107)-(K32)))^3/3+(ABS(G107)^2)/($I$5*MAX(((G32)+(I32)*(MAX($D$16,(E107)-(K32))))*(MAX($D$16,(E107)-(K32))),0.000001)),0.000001)</f>
        <v>0.69398638937190382</v>
      </c>
      <c r="W107">
        <f>IF(N6="None",ABS(P107-D107),MAX(ABS(P107-D107),ABS(Q107-D107)))</f>
        <v>3.4197000786662102E-10</v>
      </c>
      <c r="X107">
        <f>IF(AND(N7="None",N8="None"),0,IF(N8="None",ABS(S107-E107),IF(N7="None",ABS(T107-E107),MAX(ABS(S107-E107),ABS(T107-E107)))))</f>
        <v>51796.641837661547</v>
      </c>
      <c r="AA107">
        <f t="shared" ref="AA107:AA122" si="33">D107+$D$13*(AC107-D107)</f>
        <v>52432.141837661875</v>
      </c>
      <c r="AB107">
        <f t="shared" ref="AB107:AB122" si="34">E107+$D$13*(AD107-E107)</f>
        <v>41355.303927853194</v>
      </c>
      <c r="AC107">
        <f>IF(N6="None",P107,MAX(P107,Q107))</f>
        <v>52432.1418376621</v>
      </c>
      <c r="AD107">
        <f>IF(AND(N7="None",N8="None"),E107,IF(N8="None",S107,IF(N7="None",T107,MAX(S107,T107))))</f>
        <v>20784.033523923383</v>
      </c>
      <c r="AE107">
        <f t="shared" ref="AE107:AE122" si="35">O107</f>
        <v>637.65825101089831</v>
      </c>
      <c r="AF107">
        <f t="shared" ref="AF107:AF122" si="36">R107</f>
        <v>52432.141837661889</v>
      </c>
      <c r="AG107">
        <f>((G31)*(MAX($D$16,(AC107)-(K31)))^2)/2+(I31)*(MAX($D$16,(AC107)-(K31)))^3/3+(ABS(F107)^2)/($I$5*MAX(((G31)+(I31)*(MAX($D$16,(AC107)-(K31))))*(MAX($D$16,(AC107)-(K31))),0.000001))</f>
        <v>8797611517.4116688</v>
      </c>
      <c r="AH107">
        <f>((G31)*(MAX($D$16,(AE107)-(K31)))^2)/2+(I31)*(MAX($D$16,(AE107)-(K31)))^3/3+(ABS(F107)^2)/($I$5*MAX(((G31)+(I31)*(MAX($D$16,(AE107)-(K31))))*(MAX($D$16,(AE107)-(K31))),0.000001))</f>
        <v>49.055863329575246</v>
      </c>
      <c r="AI107">
        <f>((G32)*(MAX($D$16,(AD107)-(K32)))^2)/2+(I32)*(MAX($D$16,(AD107)-(K32)))^3/3+(ABS(G107)^2)/($I$5*MAX(((G32)+(I32)*(MAX($D$16,(AD107)-(K32))))*(MAX($D$16,(AD107)-(K32))),0.000001))</f>
        <v>2072376743.6648321</v>
      </c>
      <c r="AJ107">
        <f>((G32)*(MAX($D$16,(AF107)-(K32)))^2)/2+(I32)*(MAX($D$16,(AF107)-(K32)))^3/3+(ABS(G107)^2)/($I$5*MAX(((G32)+(I32)*(MAX($D$16,(AF107)-(K32))))*(MAX($D$16,(AF107)-(K32))),0.000001))</f>
        <v>13692714789.64403</v>
      </c>
      <c r="AK107" t="str">
        <f t="shared" ref="AK107:AK122" si="37">IF(AH107&gt;=AG107,"Supercritical","Subcritical")</f>
        <v>Subcritical</v>
      </c>
      <c r="AL107" t="str">
        <f t="shared" ref="AL107:AL122" si="38">IF(AJ107&gt;=AI107,"Supercritical","Subcritical")</f>
        <v>Supercritical</v>
      </c>
      <c r="AM107">
        <f t="shared" ref="AM107:AM122" si="39">D107+$D$13*(IF(AK107="Supercritical",AE107,AC107)-D107)</f>
        <v>52432.141837661875</v>
      </c>
      <c r="AN107">
        <f t="shared" ref="AN107:AN122" si="40">E107+$D$13*(IF(AL107="Supercritical",AF107,AD107)-E107)</f>
        <v>52432.141837661664</v>
      </c>
      <c r="AO107">
        <f t="shared" ref="AO107:AO122" si="41">ABS(IF(AK107="Supercritical",AE107,AC107)-D107)</f>
        <v>3.4197000786662102E-10</v>
      </c>
      <c r="AP107">
        <f t="shared" ref="AP107:AP122" si="42">ABS(IF(AL107="Supercritical",AF107,AD107)-E107)</f>
        <v>3.4197000786662102E-10</v>
      </c>
    </row>
    <row r="108" spans="1:42" x14ac:dyDescent="0.35">
      <c r="A108">
        <v>65</v>
      </c>
      <c r="B108">
        <f t="shared" ref="B108:B122" si="43">Y107</f>
        <v>0</v>
      </c>
      <c r="C108">
        <f t="shared" ref="C108:C122" si="44">Z107</f>
        <v>0</v>
      </c>
      <c r="D108">
        <f t="shared" ref="D108:D122" si="45">AM107</f>
        <v>52432.141837661875</v>
      </c>
      <c r="E108">
        <f t="shared" ref="E108:E122" si="46">AN107</f>
        <v>52432.141837661664</v>
      </c>
      <c r="F108">
        <f t="shared" si="32"/>
        <v>51</v>
      </c>
      <c r="G108">
        <f>IF(N6="None",F108,MAX(0,F108*B108))</f>
        <v>51</v>
      </c>
      <c r="H108">
        <f>IF(N6="None",0,MAX(0,F108-G108))</f>
        <v>0</v>
      </c>
      <c r="I108">
        <f>IF(AND(N7="None",N8="None"),0,IF(N8="None",G108,IF(N7="None",0,MAX(0,G108*C108))))</f>
        <v>0</v>
      </c>
      <c r="J108">
        <f>IF(AND(N7="None",N8="None"),0,IF(N8="None",0,IF(N7="None",G108,MAX(0,G108-I108))))</f>
        <v>51</v>
      </c>
      <c r="K108">
        <f>P5</f>
        <v>637</v>
      </c>
      <c r="L108">
        <f>P6</f>
        <v>634.3119999999999</v>
      </c>
      <c r="M108">
        <f>P7</f>
        <v>635.5</v>
      </c>
      <c r="N108">
        <f>P8</f>
        <v>631.54999999999995</v>
      </c>
      <c r="O108">
        <f>K108+((ABS(F108)/MAX(((F31)+(H31)*(MAX($D$16,(K108)-(J31))))*(MAX($D$16,(K108)-(J31))),0.000001))^2)/(2*$I$5)-((E31)*((((ABS(F108)*$D$6)/(MAX(((F31)+(H31)*(MAX($D$16,(K108)-(J31))))*(MAX($D$16,(K108)-(J31))),0.000001)*MAX(((((F31)+(H31)*(MAX($D$16,(K108)-(J31))))*(MAX($D$16,(K108)-(J31))))/MAX((F31)+2*(MAX($D$16,(K108)-(J31)))*SQRT(1+(H31)^2),0.000001))^(2/3),0.000001)))^2)+(((ABS(F108)*$D$6)/(MAX(((G31)+(I31)*(MAX($D$16,(D108)-(K31))))*(MAX($D$16,(D108)-(K31))),0.000001)*MAX(((((G31)+(I31)*(MAX($D$16,(D108)-(K31))))*(MAX($D$16,(D108)-(K31))))/MAX((G31)+2*(MAX($D$16,(D108)-(K31)))*SQRT(1+(I31)^2),0.000001))^(2/3),0.000001)))^2))/2)+(IF((ABS(F108)/MAX(((G31)+(I31)*(MAX($D$16,(D108)-(K31))))*(MAX($D$16,(D108)-(K31))),0.000001))&gt;(ABS(F108)/MAX(((F31)+(H31)*(MAX($D$16,(K108)-(J31))))*(MAX($D$16,(K108)-(J31))),0.000001)),$D$9*((((ABS(F108)/MAX(((G31)+(I31)*(MAX($D$16,(D108)-(K31))))*(MAX($D$16,(D108)-(K31))),0.000001))^2)/(2*$I$5))-(((ABS(F108)/MAX(((F31)+(H31)*(MAX($D$16,(K108)-(J31))))*(MAX($D$16,(K108)-(J31))),0.000001))^2)/(2*$I$5))),$D$8*((((ABS(F108)/MAX(((F31)+(H31)*(MAX($D$16,(K108)-(J31))))*(MAX($D$16,(K108)-(J31))),0.000001))^2)/(2*$I$5))-(((ABS(F108)/MAX(((G31)+(I31)*(MAX($D$16,(D108)-(K31))))*(MAX($D$16,(D108)-(K31))),0.000001))^2)/(2*$I$5)))))+($D$10*(ABS((X31)-(W31))/90)*MAX(((ABS(F108)/MAX(((F31)+(H31)*(MAX($D$16,(K108)-(J31))))*(MAX($D$16,(K108)-(J31))),0.000001))^2)/(2*$I$5),((ABS(F108)/MAX(((G31)+(I31)*(MAX($D$16,(D108)-(K31))))*(MAX($D$16,(D108)-(K31))),0.000001))^2)/(2*$I$5)))+(0)-((ABS(F108)/MAX(((G31)+(I31)*(MAX($D$16,(D108)-(K31))))*(MAX($D$16,(D108)-(K31))),0.000001))^2)/(2*$I$5)</f>
        <v>637.65825101089831</v>
      </c>
      <c r="P108">
        <f>E108+((ABS(G108)/MAX(((G32)+(I32)*(MAX($D$16,(E108)-(K32))))*(MAX($D$16,(E108)-(K32))),0.000001))^2)/(2*$I$5)+((E32)*((((ABS(G108)*$D$6)/(MAX(((F32)+(H32)*(MAX($D$16,(D108)-(J32))))*(MAX($D$16,(D108)-(J32))),0.000001)*MAX(((((F32)+(H32)*(MAX($D$16,(D108)-(J32))))*(MAX($D$16,(D108)-(J32))))/MAX((F32)+2*(MAX($D$16,(D108)-(J32)))*SQRT(1+(H32)^2),0.000001))^(2/3),0.000001)))^2)+(((ABS(G108)*$D$6)/(MAX(((G32)+(I32)*(MAX($D$16,(E108)-(K32))))*(MAX($D$16,(E108)-(K32))),0.000001)*MAX(((((G32)+(I32)*(MAX($D$16,(E108)-(K32))))*(MAX($D$16,(E108)-(K32))))/MAX((G32)+2*(MAX($D$16,(E108)-(K32)))*SQRT(1+(I32)^2),0.000001))^(2/3),0.000001)))^2))/2)+(IF((ABS(G108)/MAX(((G32)+(I32)*(MAX($D$16,(E108)-(K32))))*(MAX($D$16,(E108)-(K32))),0.000001))&gt;(ABS(G108)/MAX(((F32)+(H32)*(MAX($D$16,(D108)-(J32))))*(MAX($D$16,(D108)-(J32))),0.000001)),$D$9*((((ABS(G108)/MAX(((G32)+(I32)*(MAX($D$16,(E108)-(K32))))*(MAX($D$16,(E108)-(K32))),0.000001))^2)/(2*$I$5))-(((ABS(G108)/MAX(((F32)+(H32)*(MAX($D$16,(D108)-(J32))))*(MAX($D$16,(D108)-(J32))),0.000001))^2)/(2*$I$5))),$D$8*((((ABS(G108)/MAX(((F32)+(H32)*(MAX($D$16,(D108)-(J32))))*(MAX($D$16,(D108)-(J32))),0.000001))^2)/(2*$I$5))-(((ABS(G108)/MAX(((G32)+(I32)*(MAX($D$16,(E108)-(K32))))*(MAX($D$16,(E108)-(K32))),0.000001))^2)/(2*$I$5)))))+($D$10*(ABS((X32)-(W32))/90)*MAX(((ABS(G108)/MAX(((F32)+(H32)*(MAX($D$16,(D108)-(J32))))*(MAX($D$16,(D108)-(J32))),0.000001))^2)/(2*$I$5),((ABS(G108)/MAX(((G32)+(I32)*(MAX($D$16,(E108)-(K32))))*(MAX($D$16,(E108)-(K32))),0.000001))^2)/(2*$I$5)))+(($D$11*0.13607488*(ABS(H108)/MAX(ABS(F108),0.000001))^2*MAX(((ABS(G108)/MAX(((F32)+(H32)*(MAX($D$16,(D108)-(J32))))*(MAX($D$16,(D108)-(J32))),0.000001))^2)/(2*$I$5),((ABS(G108)/MAX(((G32)+(I32)*(MAX($D$16,(E108)-(K32))))*(MAX($D$16,(E108)-(K32))),0.000001))^2)/(2*$I$5))))-((ABS(G108)/MAX(((F32)+(H32)*(MAX($D$16,(D108)-(J32))))*(MAX($D$16,(D108)-(J32))),0.000001))^2)/(2*$I$5)</f>
        <v>52432.141837662217</v>
      </c>
      <c r="Q108">
        <f>L108+((ABS(H108)/MAX(((G33)+(I33)*(MAX($D$16,(L108)-(K33))))*(MAX($D$16,(L108)-(K33))),0.000001))^2)/(2*$I$5)+((E33)*((((ABS(H108)*$D$6)/(MAX(((F33)+(H33)*(MAX($D$16,(D108)-(J33))))*(MAX($D$16,(D108)-(J33))),0.000001)*MAX(((((F33)+(H33)*(MAX($D$16,(D108)-(J33))))*(MAX($D$16,(D108)-(J33))))/MAX((F33)+2*(MAX($D$16,(D108)-(J33)))*SQRT(1+(H33)^2),0.000001))^(2/3),0.000001)))^2)+(((ABS(H108)*$D$6)/(MAX(((G33)+(I33)*(MAX($D$16,(L108)-(K33))))*(MAX($D$16,(L108)-(K33))),0.000001)*MAX(((((G33)+(I33)*(MAX($D$16,(L108)-(K33))))*(MAX($D$16,(L108)-(K33))))/MAX((G33)+2*(MAX($D$16,(L108)-(K33)))*SQRT(1+(I33)^2),0.000001))^(2/3),0.000001)))^2))/2)+(IF((ABS(H108)/MAX(((G33)+(I33)*(MAX($D$16,(L108)-(K33))))*(MAX($D$16,(L108)-(K33))),0.000001))&gt;(ABS(H108)/MAX(((F33)+(H33)*(MAX($D$16,(D108)-(J33))))*(MAX($D$16,(D108)-(J33))),0.000001)),$D$9*((((ABS(H108)/MAX(((G33)+(I33)*(MAX($D$16,(L108)-(K33))))*(MAX($D$16,(L108)-(K33))),0.000001))^2)/(2*$I$5))-(((ABS(H108)/MAX(((F33)+(H33)*(MAX($D$16,(D108)-(J33))))*(MAX($D$16,(D108)-(J33))),0.000001))^2)/(2*$I$5))),$D$8*((((ABS(H108)/MAX(((F33)+(H33)*(MAX($D$16,(D108)-(J33))))*(MAX($D$16,(D108)-(J33))),0.000001))^2)/(2*$I$5))-(((ABS(H108)/MAX(((G33)+(I33)*(MAX($D$16,(L108)-(K33))))*(MAX($D$16,(L108)-(K33))),0.000001))^2)/(2*$I$5)))))+($D$10*(ABS((X33)-(W33))/90)*MAX(((ABS(H108)/MAX(((F33)+(H33)*(MAX($D$16,(D108)-(J33))))*(MAX($D$16,(D108)-(J33))),0.000001))^2)/(2*$I$5),((ABS(H108)/MAX(((G33)+(I33)*(MAX($D$16,(L108)-(K33))))*(MAX($D$16,(L108)-(K33))),0.000001))^2)/(2*$I$5)))+(($D$11*0.00000015*(ABS(G108)/MAX(ABS(F108),0.000001))^2*MAX(((ABS(H108)/MAX(((F33)+(H33)*(MAX($D$16,(D108)-(J33))))*(MAX($D$16,(D108)-(J33))),0.000001))^2)/(2*$I$5),((ABS(H108)/MAX(((G33)+(I33)*(MAX($D$16,(L108)-(K33))))*(MAX($D$16,(L108)-(K33))),0.000001))^2)/(2*$I$5))))-((ABS(H108)/MAX(((F33)+(H33)*(MAX($D$16,(D108)-(J33))))*(MAX($D$16,(D108)-(J33))),0.000001))^2)/(2*$I$5)</f>
        <v>634.3119999999999</v>
      </c>
      <c r="R108">
        <f>D108+((ABS(G108)/MAX(((F32)+(H32)*(MAX($D$16,(D108)-(J32))))*(MAX($D$16,(D108)-(J32))),0.000001))^2)/(2*$I$5)-((E32)*((((ABS(G108)*$D$6)/(MAX(((F32)+(H32)*(MAX($D$16,(D108)-(J32))))*(MAX($D$16,(D108)-(J32))),0.000001)*MAX(((((F32)+(H32)*(MAX($D$16,(D108)-(J32))))*(MAX($D$16,(D108)-(J32))))/MAX((F32)+2*(MAX($D$16,(D108)-(J32)))*SQRT(1+(H32)^2),0.000001))^(2/3),0.000001)))^2)+(((ABS(G108)*$D$6)/(MAX(((G32)+(I32)*(MAX($D$16,(E108)-(K32))))*(MAX($D$16,(E108)-(K32))),0.000001)*MAX(((((G32)+(I32)*(MAX($D$16,(E108)-(K32))))*(MAX($D$16,(E108)-(K32))))/MAX((G32)+2*(MAX($D$16,(E108)-(K32)))*SQRT(1+(I32)^2),0.000001))^(2/3),0.000001)))^2))/2)+(IF((ABS(G108)/MAX(((G32)+(I32)*(MAX($D$16,(E108)-(K32))))*(MAX($D$16,(E108)-(K32))),0.000001))&gt;(ABS(G108)/MAX(((F32)+(H32)*(MAX($D$16,(D108)-(J32))))*(MAX($D$16,(D108)-(J32))),0.000001)),$D$9*((((ABS(G108)/MAX(((G32)+(I32)*(MAX($D$16,(E108)-(K32))))*(MAX($D$16,(E108)-(K32))),0.000001))^2)/(2*$I$5))-(((ABS(G108)/MAX(((F32)+(H32)*(MAX($D$16,(D108)-(J32))))*(MAX($D$16,(D108)-(J32))),0.000001))^2)/(2*$I$5))),$D$8*((((ABS(G108)/MAX(((F32)+(H32)*(MAX($D$16,(D108)-(J32))))*(MAX($D$16,(D108)-(J32))),0.000001))^2)/(2*$I$5))-(((ABS(G108)/MAX(((G32)+(I32)*(MAX($D$16,(E108)-(K32))))*(MAX($D$16,(E108)-(K32))),0.000001))^2)/(2*$I$5)))))+($D$10*(ABS((X32)-(W32))/90)*MAX(((ABS(G108)/MAX(((F32)+(H32)*(MAX($D$16,(D108)-(J32))))*(MAX($D$16,(D108)-(J32))),0.000001))^2)/(2*$I$5),((ABS(G108)/MAX(((G32)+(I32)*(MAX($D$16,(E108)-(K32))))*(MAX($D$16,(E108)-(K32))),0.000001))^2)/(2*$I$5)))+(($D$11*0.13607488*(ABS(H108)/MAX(ABS(F108),0.000001))^2*MAX(((ABS(G108)/MAX(((F32)+(H32)*(MAX($D$16,(D108)-(J32))))*(MAX($D$16,(D108)-(J32))),0.000001))^2)/(2*$I$5),((ABS(G108)/MAX(((G32)+(I32)*(MAX($D$16,(E108)-(K32))))*(MAX($D$16,(E108)-(K32))),0.000001))^2)/(2*$I$5))))-((ABS(G108)/MAX(((G32)+(I32)*(MAX($D$16,(E108)-(K32))))*(MAX($D$16,(E108)-(K32))),0.000001))^2)/(2*$I$5)</f>
        <v>52432.141837662006</v>
      </c>
      <c r="S108">
        <f>M108+((ABS(I108)/MAX(((G34)+(I34)*(MAX($D$16,(M108)-(K34))))*(MAX($D$16,(M108)-(K34))),0.000001))^2)/(2*$I$5)+((E34)*((((ABS(I108)*$D$6)/(MAX(((F34)+(H34)*(MAX($D$16,(E108)-(J34))))*(MAX($D$16,(E108)-(J34))),0.000001)*MAX(((((F34)+(H34)*(MAX($D$16,(E108)-(J34))))*(MAX($D$16,(E108)-(J34))))/MAX((F34)+2*(MAX($D$16,(E108)-(J34)))*SQRT(1+(H34)^2),0.000001))^(2/3),0.000001)))^2)+(((ABS(I108)*$D$6)/(MAX(((G34)+(I34)*(MAX($D$16,(M108)-(K34))))*(MAX($D$16,(M108)-(K34))),0.000001)*MAX(((((G34)+(I34)*(MAX($D$16,(M108)-(K34))))*(MAX($D$16,(M108)-(K34))))/MAX((G34)+2*(MAX($D$16,(M108)-(K34)))*SQRT(1+(I34)^2),0.000001))^(2/3),0.000001)))^2))/2)+(IF((ABS(I108)/MAX(((G34)+(I34)*(MAX($D$16,(M108)-(K34))))*(MAX($D$16,(M108)-(K34))),0.000001))&gt;(ABS(I108)/MAX(((F34)+(H34)*(MAX($D$16,(E108)-(J34))))*(MAX($D$16,(E108)-(J34))),0.000001)),$D$9*((((ABS(I108)/MAX(((G34)+(I34)*(MAX($D$16,(M108)-(K34))))*(MAX($D$16,(M108)-(K34))),0.000001))^2)/(2*$I$5))-(((ABS(I108)/MAX(((F34)+(H34)*(MAX($D$16,(E108)-(J34))))*(MAX($D$16,(E108)-(J34))),0.000001))^2)/(2*$I$5))),$D$8*((((ABS(I108)/MAX(((F34)+(H34)*(MAX($D$16,(E108)-(J34))))*(MAX($D$16,(E108)-(J34))),0.000001))^2)/(2*$I$5))-(((ABS(I108)/MAX(((G34)+(I34)*(MAX($D$16,(M108)-(K34))))*(MAX($D$16,(M108)-(K34))),0.000001))^2)/(2*$I$5)))))+($D$10*(ABS((X34)-(W34))/90)*MAX(((ABS(I108)/MAX(((F34)+(H34)*(MAX($D$16,(E108)-(J34))))*(MAX($D$16,(E108)-(J34))),0.000001))^2)/(2*$I$5),((ABS(I108)/MAX(((G34)+(I34)*(MAX($D$16,(M108)-(K34))))*(MAX($D$16,(M108)-(K34))),0.000001))^2)/(2*$I$5)))+(0)-((ABS(I108)/MAX(((F34)+(H34)*(MAX($D$16,(E108)-(J34))))*(MAX($D$16,(E108)-(J34))),0.000001))^2)/(2*$I$5)</f>
        <v>635.5</v>
      </c>
      <c r="T108">
        <f>N108+((ABS(J108)/MAX(((G35)+(I35)*(MAX($D$16,(N108)-(K35))))*(MAX($D$16,(N108)-(K35))),0.000001))^2)/(2*$I$5)+((E35)*((((ABS(J108)*$D$6)/(MAX(((F35)+(H35)*(MAX($D$16,(E108)-(J35))))*(MAX($D$16,(E108)-(J35))),0.000001)*MAX(((((F35)+(H35)*(MAX($D$16,(E108)-(J35))))*(MAX($D$16,(E108)-(J35))))/MAX((F35)+2*(MAX($D$16,(E108)-(J35)))*SQRT(1+(H35)^2),0.000001))^(2/3),0.000001)))^2)+(((ABS(J108)*$D$6)/(MAX(((G35)+(I35)*(MAX($D$16,(N108)-(K35))))*(MAX($D$16,(N108)-(K35))),0.000001)*MAX(((((G35)+(I35)*(MAX($D$16,(N108)-(K35))))*(MAX($D$16,(N108)-(K35))))/MAX((G35)+2*(MAX($D$16,(N108)-(K35)))*SQRT(1+(I35)^2),0.000001))^(2/3),0.000001)))^2))/2)+(IF((ABS(J108)/MAX(((G35)+(I35)*(MAX($D$16,(N108)-(K35))))*(MAX($D$16,(N108)-(K35))),0.000001))&gt;(ABS(J108)/MAX(((F35)+(H35)*(MAX($D$16,(E108)-(J35))))*(MAX($D$16,(E108)-(J35))),0.000001)),$D$9*((((ABS(J108)/MAX(((G35)+(I35)*(MAX($D$16,(N108)-(K35))))*(MAX($D$16,(N108)-(K35))),0.000001))^2)/(2*$I$5))-(((ABS(J108)/MAX(((F35)+(H35)*(MAX($D$16,(E108)-(J35))))*(MAX($D$16,(E108)-(J35))),0.000001))^2)/(2*$I$5))),$D$8*((((ABS(J108)/MAX(((F35)+(H35)*(MAX($D$16,(E108)-(J35))))*(MAX($D$16,(E108)-(J35))),0.000001))^2)/(2*$I$5))-(((ABS(J108)/MAX(((G35)+(I35)*(MAX($D$16,(N108)-(K35))))*(MAX($D$16,(N108)-(K35))),0.000001))^2)/(2*$I$5)))))+($D$10*(ABS((X35)-(W35))/90)*MAX(((ABS(J108)/MAX(((F35)+(H35)*(MAX($D$16,(E108)-(J35))))*(MAX($D$16,(E108)-(J35))),0.000001))^2)/(2*$I$5),((ABS(J108)/MAX(((G35)+(I35)*(MAX($D$16,(N108)-(K35))))*(MAX($D$16,(N108)-(K35))),0.000001))^2)/(2*$I$5)))+(($D$11*0.34699541*(ABS(I108)/MAX(ABS(G108),0.000001))^2*MAX(((ABS(J108)/MAX(((F35)+(H35)*(MAX($D$16,(E108)-(J35))))*(MAX($D$16,(E108)-(J35))),0.000001))^2)/(2*$I$5),((ABS(J108)/MAX(((G35)+(I35)*(MAX($D$16,(N108)-(K35))))*(MAX($D$16,(N108)-(K35))),0.000001))^2)/(2*$I$5))))-((ABS(J108)/MAX(((F35)+(H35)*(MAX($D$16,(E108)-(J35))))*(MAX($D$16,(E108)-(J35))),0.000001))^2)/(2*$I$5)</f>
        <v>20784.033523923383</v>
      </c>
      <c r="U108">
        <f>(((((F32)*(MAX($D$16,(D108)-(J32)))^2)/2+(H32)*(MAX($D$16,(D108)-(J32)))^3/3+(ABS(G108)^2)/($I$5*MAX(((F32)+(H32)*(MAX($D$16,(D108)-(J32))))*(MAX($D$16,(D108)-(J32))),0.000001)))*0.72785025)-((((F33)*(MAX($D$16,(D108)-(J33)))^2)/2+(H33)*(MAX($D$16,(D108)-(J33)))^3/3+(ABS(H108)^2)/($I$5*MAX(((F33)+(H33)*(MAX($D$16,(D108)-(J33))))*(MAX($D$16,(D108)-(J33))),0.000001)))*0.99999971))/MAX(((G31)*(MAX($D$16,(D108)-(K31)))^2)/2+(I31)*(MAX($D$16,(D108)-(K31)))^3/3+(ABS(F108)^2)/($I$5*MAX(((G31)+(I31)*(MAX($D$16,(D108)-(K31))))*(MAX($D$16,(D108)-(K31))),0.000001)),0.000001)</f>
        <v>-0.27214945999991119</v>
      </c>
      <c r="V108">
        <f>(((((F34)*(MAX($D$16,(E108)-(J34)))^2)/2+(H34)*(MAX($D$16,(E108)-(J34)))^3/3+(ABS(I108)^2)/($I$5*MAX(((F34)+(H34)*(MAX($D$16,(E108)-(J34))))*(MAX($D$16,(E108)-(J34))),0.000001)))*1)-((((F35)*(MAX($D$16,(E108)-(J35)))^2)/2+(H35)*(MAX($D$16,(E108)-(J35)))^3/3+(ABS(J108)^2)/($I$5*MAX(((F35)+(H35)*(MAX($D$16,(E108)-(J35))))*(MAX($D$16,(E108)-(J35))),0.000001)))*0.30600918))/MAX(((G32)*(MAX($D$16,(E108)-(K32)))^2)/2+(I32)*(MAX($D$16,(E108)-(K32)))^3/3+(ABS(G108)^2)/($I$5*MAX(((G32)+(I32)*(MAX($D$16,(E108)-(K32))))*(MAX($D$16,(E108)-(K32))),0.000001)),0.000001)</f>
        <v>0.69398638937190393</v>
      </c>
      <c r="W108">
        <f>IF(N6="None",ABS(P108-D108),MAX(ABS(P108-D108),ABS(Q108-D108)))</f>
        <v>3.4197000786662102E-10</v>
      </c>
      <c r="X108">
        <f>IF(AND(N7="None",N8="None"),0,IF(N8="None",ABS(S108-E108),IF(N7="None",ABS(T108-E108),MAX(ABS(S108-E108),ABS(T108-E108)))))</f>
        <v>51796.641837661664</v>
      </c>
      <c r="AA108">
        <f t="shared" si="33"/>
        <v>52432.141837661991</v>
      </c>
      <c r="AB108">
        <f t="shared" si="34"/>
        <v>41355.303927853267</v>
      </c>
      <c r="AC108">
        <f>IF(N6="None",P108,MAX(P108,Q108))</f>
        <v>52432.141837662217</v>
      </c>
      <c r="AD108">
        <f>IF(AND(N7="None",N8="None"),E108,IF(N8="None",S108,IF(N7="None",T108,MAX(S108,T108))))</f>
        <v>20784.033523923383</v>
      </c>
      <c r="AE108">
        <f t="shared" si="35"/>
        <v>637.65825101089831</v>
      </c>
      <c r="AF108">
        <f t="shared" si="36"/>
        <v>52432.141837662006</v>
      </c>
      <c r="AG108">
        <f>((G31)*(MAX($D$16,(AC108)-(K31)))^2)/2+(I31)*(MAX($D$16,(AC108)-(K31)))^3/3+(ABS(F108)^2)/($I$5*MAX(((G31)+(I31)*(MAX($D$16,(AC108)-(K31))))*(MAX($D$16,(AC108)-(K31))),0.000001))</f>
        <v>8797611517.4117088</v>
      </c>
      <c r="AH108">
        <f>((G31)*(MAX($D$16,(AE108)-(K31)))^2)/2+(I31)*(MAX($D$16,(AE108)-(K31)))^3/3+(ABS(F108)^2)/($I$5*MAX(((G31)+(I31)*(MAX($D$16,(AE108)-(K31))))*(MAX($D$16,(AE108)-(K31))),0.000001))</f>
        <v>49.055863329575246</v>
      </c>
      <c r="AI108">
        <f>((G32)*(MAX($D$16,(AD108)-(K32)))^2)/2+(I32)*(MAX($D$16,(AD108)-(K32)))^3/3+(ABS(G108)^2)/($I$5*MAX(((G32)+(I32)*(MAX($D$16,(AD108)-(K32))))*(MAX($D$16,(AD108)-(K32))),0.000001))</f>
        <v>2072376743.6648321</v>
      </c>
      <c r="AJ108">
        <f>((G32)*(MAX($D$16,(AF108)-(K32)))^2)/2+(I32)*(MAX($D$16,(AF108)-(K32)))^3/3+(ABS(G108)^2)/($I$5*MAX(((G32)+(I32)*(MAX($D$16,(AF108)-(K32))))*(MAX($D$16,(AF108)-(K32))),0.000001))</f>
        <v>13692714789.644091</v>
      </c>
      <c r="AK108" t="str">
        <f t="shared" si="37"/>
        <v>Subcritical</v>
      </c>
      <c r="AL108" t="str">
        <f t="shared" si="38"/>
        <v>Supercritical</v>
      </c>
      <c r="AM108">
        <f t="shared" si="39"/>
        <v>52432.141837661991</v>
      </c>
      <c r="AN108">
        <f t="shared" si="40"/>
        <v>52432.14183766178</v>
      </c>
      <c r="AO108">
        <f t="shared" si="41"/>
        <v>3.4197000786662102E-10</v>
      </c>
      <c r="AP108">
        <f t="shared" si="42"/>
        <v>3.4197000786662102E-10</v>
      </c>
    </row>
    <row r="109" spans="1:42" x14ac:dyDescent="0.35">
      <c r="A109">
        <v>66</v>
      </c>
      <c r="B109">
        <f t="shared" si="43"/>
        <v>0</v>
      </c>
      <c r="C109">
        <f t="shared" si="44"/>
        <v>0</v>
      </c>
      <c r="D109">
        <f t="shared" si="45"/>
        <v>52432.141837661991</v>
      </c>
      <c r="E109">
        <f t="shared" si="46"/>
        <v>52432.14183766178</v>
      </c>
      <c r="F109">
        <f t="shared" si="32"/>
        <v>51</v>
      </c>
      <c r="G109">
        <f>IF(N6="None",F109,MAX(0,F109*B109))</f>
        <v>51</v>
      </c>
      <c r="H109">
        <f>IF(N6="None",0,MAX(0,F109-G109))</f>
        <v>0</v>
      </c>
      <c r="I109">
        <f>IF(AND(N7="None",N8="None"),0,IF(N8="None",G109,IF(N7="None",0,MAX(0,G109*C109))))</f>
        <v>0</v>
      </c>
      <c r="J109">
        <f>IF(AND(N7="None",N8="None"),0,IF(N8="None",0,IF(N7="None",G109,MAX(0,G109-I109))))</f>
        <v>51</v>
      </c>
      <c r="K109">
        <f>P5</f>
        <v>637</v>
      </c>
      <c r="L109">
        <f>P6</f>
        <v>634.3119999999999</v>
      </c>
      <c r="M109">
        <f>P7</f>
        <v>635.5</v>
      </c>
      <c r="N109">
        <f>P8</f>
        <v>631.54999999999995</v>
      </c>
      <c r="O109">
        <f>K109+((ABS(F109)/MAX(((F31)+(H31)*(MAX($D$16,(K109)-(J31))))*(MAX($D$16,(K109)-(J31))),0.000001))^2)/(2*$I$5)-((E31)*((((ABS(F109)*$D$6)/(MAX(((F31)+(H31)*(MAX($D$16,(K109)-(J31))))*(MAX($D$16,(K109)-(J31))),0.000001)*MAX(((((F31)+(H31)*(MAX($D$16,(K109)-(J31))))*(MAX($D$16,(K109)-(J31))))/MAX((F31)+2*(MAX($D$16,(K109)-(J31)))*SQRT(1+(H31)^2),0.000001))^(2/3),0.000001)))^2)+(((ABS(F109)*$D$6)/(MAX(((G31)+(I31)*(MAX($D$16,(D109)-(K31))))*(MAX($D$16,(D109)-(K31))),0.000001)*MAX(((((G31)+(I31)*(MAX($D$16,(D109)-(K31))))*(MAX($D$16,(D109)-(K31))))/MAX((G31)+2*(MAX($D$16,(D109)-(K31)))*SQRT(1+(I31)^2),0.000001))^(2/3),0.000001)))^2))/2)+(IF((ABS(F109)/MAX(((G31)+(I31)*(MAX($D$16,(D109)-(K31))))*(MAX($D$16,(D109)-(K31))),0.000001))&gt;(ABS(F109)/MAX(((F31)+(H31)*(MAX($D$16,(K109)-(J31))))*(MAX($D$16,(K109)-(J31))),0.000001)),$D$9*((((ABS(F109)/MAX(((G31)+(I31)*(MAX($D$16,(D109)-(K31))))*(MAX($D$16,(D109)-(K31))),0.000001))^2)/(2*$I$5))-(((ABS(F109)/MAX(((F31)+(H31)*(MAX($D$16,(K109)-(J31))))*(MAX($D$16,(K109)-(J31))),0.000001))^2)/(2*$I$5))),$D$8*((((ABS(F109)/MAX(((F31)+(H31)*(MAX($D$16,(K109)-(J31))))*(MAX($D$16,(K109)-(J31))),0.000001))^2)/(2*$I$5))-(((ABS(F109)/MAX(((G31)+(I31)*(MAX($D$16,(D109)-(K31))))*(MAX($D$16,(D109)-(K31))),0.000001))^2)/(2*$I$5)))))+($D$10*(ABS((X31)-(W31))/90)*MAX(((ABS(F109)/MAX(((F31)+(H31)*(MAX($D$16,(K109)-(J31))))*(MAX($D$16,(K109)-(J31))),0.000001))^2)/(2*$I$5),((ABS(F109)/MAX(((G31)+(I31)*(MAX($D$16,(D109)-(K31))))*(MAX($D$16,(D109)-(K31))),0.000001))^2)/(2*$I$5)))+(0)-((ABS(F109)/MAX(((G31)+(I31)*(MAX($D$16,(D109)-(K31))))*(MAX($D$16,(D109)-(K31))),0.000001))^2)/(2*$I$5)</f>
        <v>637.65825101089831</v>
      </c>
      <c r="P109">
        <f>E109+((ABS(G109)/MAX(((G32)+(I32)*(MAX($D$16,(E109)-(K32))))*(MAX($D$16,(E109)-(K32))),0.000001))^2)/(2*$I$5)+((E32)*((((ABS(G109)*$D$6)/(MAX(((F32)+(H32)*(MAX($D$16,(D109)-(J32))))*(MAX($D$16,(D109)-(J32))),0.000001)*MAX(((((F32)+(H32)*(MAX($D$16,(D109)-(J32))))*(MAX($D$16,(D109)-(J32))))/MAX((F32)+2*(MAX($D$16,(D109)-(J32)))*SQRT(1+(H32)^2),0.000001))^(2/3),0.000001)))^2)+(((ABS(G109)*$D$6)/(MAX(((G32)+(I32)*(MAX($D$16,(E109)-(K32))))*(MAX($D$16,(E109)-(K32))),0.000001)*MAX(((((G32)+(I32)*(MAX($D$16,(E109)-(K32))))*(MAX($D$16,(E109)-(K32))))/MAX((G32)+2*(MAX($D$16,(E109)-(K32)))*SQRT(1+(I32)^2),0.000001))^(2/3),0.000001)))^2))/2)+(IF((ABS(G109)/MAX(((G32)+(I32)*(MAX($D$16,(E109)-(K32))))*(MAX($D$16,(E109)-(K32))),0.000001))&gt;(ABS(G109)/MAX(((F32)+(H32)*(MAX($D$16,(D109)-(J32))))*(MAX($D$16,(D109)-(J32))),0.000001)),$D$9*((((ABS(G109)/MAX(((G32)+(I32)*(MAX($D$16,(E109)-(K32))))*(MAX($D$16,(E109)-(K32))),0.000001))^2)/(2*$I$5))-(((ABS(G109)/MAX(((F32)+(H32)*(MAX($D$16,(D109)-(J32))))*(MAX($D$16,(D109)-(J32))),0.000001))^2)/(2*$I$5))),$D$8*((((ABS(G109)/MAX(((F32)+(H32)*(MAX($D$16,(D109)-(J32))))*(MAX($D$16,(D109)-(J32))),0.000001))^2)/(2*$I$5))-(((ABS(G109)/MAX(((G32)+(I32)*(MAX($D$16,(E109)-(K32))))*(MAX($D$16,(E109)-(K32))),0.000001))^2)/(2*$I$5)))))+($D$10*(ABS((X32)-(W32))/90)*MAX(((ABS(G109)/MAX(((F32)+(H32)*(MAX($D$16,(D109)-(J32))))*(MAX($D$16,(D109)-(J32))),0.000001))^2)/(2*$I$5),((ABS(G109)/MAX(((G32)+(I32)*(MAX($D$16,(E109)-(K32))))*(MAX($D$16,(E109)-(K32))),0.000001))^2)/(2*$I$5)))+(($D$11*0.13607488*(ABS(H109)/MAX(ABS(F109),0.000001))^2*MAX(((ABS(G109)/MAX(((F32)+(H32)*(MAX($D$16,(D109)-(J32))))*(MAX($D$16,(D109)-(J32))),0.000001))^2)/(2*$I$5),((ABS(G109)/MAX(((G32)+(I32)*(MAX($D$16,(E109)-(K32))))*(MAX($D$16,(E109)-(K32))),0.000001))^2)/(2*$I$5))))-((ABS(G109)/MAX(((F32)+(H32)*(MAX($D$16,(D109)-(J32))))*(MAX($D$16,(D109)-(J32))),0.000001))^2)/(2*$I$5)</f>
        <v>52432.141837662333</v>
      </c>
      <c r="Q109">
        <f>L109+((ABS(H109)/MAX(((G33)+(I33)*(MAX($D$16,(L109)-(K33))))*(MAX($D$16,(L109)-(K33))),0.000001))^2)/(2*$I$5)+((E33)*((((ABS(H109)*$D$6)/(MAX(((F33)+(H33)*(MAX($D$16,(D109)-(J33))))*(MAX($D$16,(D109)-(J33))),0.000001)*MAX(((((F33)+(H33)*(MAX($D$16,(D109)-(J33))))*(MAX($D$16,(D109)-(J33))))/MAX((F33)+2*(MAX($D$16,(D109)-(J33)))*SQRT(1+(H33)^2),0.000001))^(2/3),0.000001)))^2)+(((ABS(H109)*$D$6)/(MAX(((G33)+(I33)*(MAX($D$16,(L109)-(K33))))*(MAX($D$16,(L109)-(K33))),0.000001)*MAX(((((G33)+(I33)*(MAX($D$16,(L109)-(K33))))*(MAX($D$16,(L109)-(K33))))/MAX((G33)+2*(MAX($D$16,(L109)-(K33)))*SQRT(1+(I33)^2),0.000001))^(2/3),0.000001)))^2))/2)+(IF((ABS(H109)/MAX(((G33)+(I33)*(MAX($D$16,(L109)-(K33))))*(MAX($D$16,(L109)-(K33))),0.000001))&gt;(ABS(H109)/MAX(((F33)+(H33)*(MAX($D$16,(D109)-(J33))))*(MAX($D$16,(D109)-(J33))),0.000001)),$D$9*((((ABS(H109)/MAX(((G33)+(I33)*(MAX($D$16,(L109)-(K33))))*(MAX($D$16,(L109)-(K33))),0.000001))^2)/(2*$I$5))-(((ABS(H109)/MAX(((F33)+(H33)*(MAX($D$16,(D109)-(J33))))*(MAX($D$16,(D109)-(J33))),0.000001))^2)/(2*$I$5))),$D$8*((((ABS(H109)/MAX(((F33)+(H33)*(MAX($D$16,(D109)-(J33))))*(MAX($D$16,(D109)-(J33))),0.000001))^2)/(2*$I$5))-(((ABS(H109)/MAX(((G33)+(I33)*(MAX($D$16,(L109)-(K33))))*(MAX($D$16,(L109)-(K33))),0.000001))^2)/(2*$I$5)))))+($D$10*(ABS((X33)-(W33))/90)*MAX(((ABS(H109)/MAX(((F33)+(H33)*(MAX($D$16,(D109)-(J33))))*(MAX($D$16,(D109)-(J33))),0.000001))^2)/(2*$I$5),((ABS(H109)/MAX(((G33)+(I33)*(MAX($D$16,(L109)-(K33))))*(MAX($D$16,(L109)-(K33))),0.000001))^2)/(2*$I$5)))+(($D$11*0.00000015*(ABS(G109)/MAX(ABS(F109),0.000001))^2*MAX(((ABS(H109)/MAX(((F33)+(H33)*(MAX($D$16,(D109)-(J33))))*(MAX($D$16,(D109)-(J33))),0.000001))^2)/(2*$I$5),((ABS(H109)/MAX(((G33)+(I33)*(MAX($D$16,(L109)-(K33))))*(MAX($D$16,(L109)-(K33))),0.000001))^2)/(2*$I$5))))-((ABS(H109)/MAX(((F33)+(H33)*(MAX($D$16,(D109)-(J33))))*(MAX($D$16,(D109)-(J33))),0.000001))^2)/(2*$I$5)</f>
        <v>634.3119999999999</v>
      </c>
      <c r="R109">
        <f>D109+((ABS(G109)/MAX(((F32)+(H32)*(MAX($D$16,(D109)-(J32))))*(MAX($D$16,(D109)-(J32))),0.000001))^2)/(2*$I$5)-((E32)*((((ABS(G109)*$D$6)/(MAX(((F32)+(H32)*(MAX($D$16,(D109)-(J32))))*(MAX($D$16,(D109)-(J32))),0.000001)*MAX(((((F32)+(H32)*(MAX($D$16,(D109)-(J32))))*(MAX($D$16,(D109)-(J32))))/MAX((F32)+2*(MAX($D$16,(D109)-(J32)))*SQRT(1+(H32)^2),0.000001))^(2/3),0.000001)))^2)+(((ABS(G109)*$D$6)/(MAX(((G32)+(I32)*(MAX($D$16,(E109)-(K32))))*(MAX($D$16,(E109)-(K32))),0.000001)*MAX(((((G32)+(I32)*(MAX($D$16,(E109)-(K32))))*(MAX($D$16,(E109)-(K32))))/MAX((G32)+2*(MAX($D$16,(E109)-(K32)))*SQRT(1+(I32)^2),0.000001))^(2/3),0.000001)))^2))/2)+(IF((ABS(G109)/MAX(((G32)+(I32)*(MAX($D$16,(E109)-(K32))))*(MAX($D$16,(E109)-(K32))),0.000001))&gt;(ABS(G109)/MAX(((F32)+(H32)*(MAX($D$16,(D109)-(J32))))*(MAX($D$16,(D109)-(J32))),0.000001)),$D$9*((((ABS(G109)/MAX(((G32)+(I32)*(MAX($D$16,(E109)-(K32))))*(MAX($D$16,(E109)-(K32))),0.000001))^2)/(2*$I$5))-(((ABS(G109)/MAX(((F32)+(H32)*(MAX($D$16,(D109)-(J32))))*(MAX($D$16,(D109)-(J32))),0.000001))^2)/(2*$I$5))),$D$8*((((ABS(G109)/MAX(((F32)+(H32)*(MAX($D$16,(D109)-(J32))))*(MAX($D$16,(D109)-(J32))),0.000001))^2)/(2*$I$5))-(((ABS(G109)/MAX(((G32)+(I32)*(MAX($D$16,(E109)-(K32))))*(MAX($D$16,(E109)-(K32))),0.000001))^2)/(2*$I$5)))))+($D$10*(ABS((X32)-(W32))/90)*MAX(((ABS(G109)/MAX(((F32)+(H32)*(MAX($D$16,(D109)-(J32))))*(MAX($D$16,(D109)-(J32))),0.000001))^2)/(2*$I$5),((ABS(G109)/MAX(((G32)+(I32)*(MAX($D$16,(E109)-(K32))))*(MAX($D$16,(E109)-(K32))),0.000001))^2)/(2*$I$5)))+(($D$11*0.13607488*(ABS(H109)/MAX(ABS(F109),0.000001))^2*MAX(((ABS(G109)/MAX(((F32)+(H32)*(MAX($D$16,(D109)-(J32))))*(MAX($D$16,(D109)-(J32))),0.000001))^2)/(2*$I$5),((ABS(G109)/MAX(((G32)+(I32)*(MAX($D$16,(E109)-(K32))))*(MAX($D$16,(E109)-(K32))),0.000001))^2)/(2*$I$5))))-((ABS(G109)/MAX(((G32)+(I32)*(MAX($D$16,(E109)-(K32))))*(MAX($D$16,(E109)-(K32))),0.000001))^2)/(2*$I$5)</f>
        <v>52432.141837662122</v>
      </c>
      <c r="S109">
        <f>M109+((ABS(I109)/MAX(((G34)+(I34)*(MAX($D$16,(M109)-(K34))))*(MAX($D$16,(M109)-(K34))),0.000001))^2)/(2*$I$5)+((E34)*((((ABS(I109)*$D$6)/(MAX(((F34)+(H34)*(MAX($D$16,(E109)-(J34))))*(MAX($D$16,(E109)-(J34))),0.000001)*MAX(((((F34)+(H34)*(MAX($D$16,(E109)-(J34))))*(MAX($D$16,(E109)-(J34))))/MAX((F34)+2*(MAX($D$16,(E109)-(J34)))*SQRT(1+(H34)^2),0.000001))^(2/3),0.000001)))^2)+(((ABS(I109)*$D$6)/(MAX(((G34)+(I34)*(MAX($D$16,(M109)-(K34))))*(MAX($D$16,(M109)-(K34))),0.000001)*MAX(((((G34)+(I34)*(MAX($D$16,(M109)-(K34))))*(MAX($D$16,(M109)-(K34))))/MAX((G34)+2*(MAX($D$16,(M109)-(K34)))*SQRT(1+(I34)^2),0.000001))^(2/3),0.000001)))^2))/2)+(IF((ABS(I109)/MAX(((G34)+(I34)*(MAX($D$16,(M109)-(K34))))*(MAX($D$16,(M109)-(K34))),0.000001))&gt;(ABS(I109)/MAX(((F34)+(H34)*(MAX($D$16,(E109)-(J34))))*(MAX($D$16,(E109)-(J34))),0.000001)),$D$9*((((ABS(I109)/MAX(((G34)+(I34)*(MAX($D$16,(M109)-(K34))))*(MAX($D$16,(M109)-(K34))),0.000001))^2)/(2*$I$5))-(((ABS(I109)/MAX(((F34)+(H34)*(MAX($D$16,(E109)-(J34))))*(MAX($D$16,(E109)-(J34))),0.000001))^2)/(2*$I$5))),$D$8*((((ABS(I109)/MAX(((F34)+(H34)*(MAX($D$16,(E109)-(J34))))*(MAX($D$16,(E109)-(J34))),0.000001))^2)/(2*$I$5))-(((ABS(I109)/MAX(((G34)+(I34)*(MAX($D$16,(M109)-(K34))))*(MAX($D$16,(M109)-(K34))),0.000001))^2)/(2*$I$5)))))+($D$10*(ABS((X34)-(W34))/90)*MAX(((ABS(I109)/MAX(((F34)+(H34)*(MAX($D$16,(E109)-(J34))))*(MAX($D$16,(E109)-(J34))),0.000001))^2)/(2*$I$5),((ABS(I109)/MAX(((G34)+(I34)*(MAX($D$16,(M109)-(K34))))*(MAX($D$16,(M109)-(K34))),0.000001))^2)/(2*$I$5)))+(0)-((ABS(I109)/MAX(((F34)+(H34)*(MAX($D$16,(E109)-(J34))))*(MAX($D$16,(E109)-(J34))),0.000001))^2)/(2*$I$5)</f>
        <v>635.5</v>
      </c>
      <c r="T109">
        <f>N109+((ABS(J109)/MAX(((G35)+(I35)*(MAX($D$16,(N109)-(K35))))*(MAX($D$16,(N109)-(K35))),0.000001))^2)/(2*$I$5)+((E35)*((((ABS(J109)*$D$6)/(MAX(((F35)+(H35)*(MAX($D$16,(E109)-(J35))))*(MAX($D$16,(E109)-(J35))),0.000001)*MAX(((((F35)+(H35)*(MAX($D$16,(E109)-(J35))))*(MAX($D$16,(E109)-(J35))))/MAX((F35)+2*(MAX($D$16,(E109)-(J35)))*SQRT(1+(H35)^2),0.000001))^(2/3),0.000001)))^2)+(((ABS(J109)*$D$6)/(MAX(((G35)+(I35)*(MAX($D$16,(N109)-(K35))))*(MAX($D$16,(N109)-(K35))),0.000001)*MAX(((((G35)+(I35)*(MAX($D$16,(N109)-(K35))))*(MAX($D$16,(N109)-(K35))))/MAX((G35)+2*(MAX($D$16,(N109)-(K35)))*SQRT(1+(I35)^2),0.000001))^(2/3),0.000001)))^2))/2)+(IF((ABS(J109)/MAX(((G35)+(I35)*(MAX($D$16,(N109)-(K35))))*(MAX($D$16,(N109)-(K35))),0.000001))&gt;(ABS(J109)/MAX(((F35)+(H35)*(MAX($D$16,(E109)-(J35))))*(MAX($D$16,(E109)-(J35))),0.000001)),$D$9*((((ABS(J109)/MAX(((G35)+(I35)*(MAX($D$16,(N109)-(K35))))*(MAX($D$16,(N109)-(K35))),0.000001))^2)/(2*$I$5))-(((ABS(J109)/MAX(((F35)+(H35)*(MAX($D$16,(E109)-(J35))))*(MAX($D$16,(E109)-(J35))),0.000001))^2)/(2*$I$5))),$D$8*((((ABS(J109)/MAX(((F35)+(H35)*(MAX($D$16,(E109)-(J35))))*(MAX($D$16,(E109)-(J35))),0.000001))^2)/(2*$I$5))-(((ABS(J109)/MAX(((G35)+(I35)*(MAX($D$16,(N109)-(K35))))*(MAX($D$16,(N109)-(K35))),0.000001))^2)/(2*$I$5)))))+($D$10*(ABS((X35)-(W35))/90)*MAX(((ABS(J109)/MAX(((F35)+(H35)*(MAX($D$16,(E109)-(J35))))*(MAX($D$16,(E109)-(J35))),0.000001))^2)/(2*$I$5),((ABS(J109)/MAX(((G35)+(I35)*(MAX($D$16,(N109)-(K35))))*(MAX($D$16,(N109)-(K35))),0.000001))^2)/(2*$I$5)))+(($D$11*0.34699541*(ABS(I109)/MAX(ABS(G109),0.000001))^2*MAX(((ABS(J109)/MAX(((F35)+(H35)*(MAX($D$16,(E109)-(J35))))*(MAX($D$16,(E109)-(J35))),0.000001))^2)/(2*$I$5),((ABS(J109)/MAX(((G35)+(I35)*(MAX($D$16,(N109)-(K35))))*(MAX($D$16,(N109)-(K35))),0.000001))^2)/(2*$I$5))))-((ABS(J109)/MAX(((F35)+(H35)*(MAX($D$16,(E109)-(J35))))*(MAX($D$16,(E109)-(J35))),0.000001))^2)/(2*$I$5)</f>
        <v>20784.033523923383</v>
      </c>
      <c r="U109">
        <f>(((((F32)*(MAX($D$16,(D109)-(J32)))^2)/2+(H32)*(MAX($D$16,(D109)-(J32)))^3/3+(ABS(G109)^2)/($I$5*MAX(((F32)+(H32)*(MAX($D$16,(D109)-(J32))))*(MAX($D$16,(D109)-(J32))),0.000001)))*0.72785025)-((((F33)*(MAX($D$16,(D109)-(J33)))^2)/2+(H33)*(MAX($D$16,(D109)-(J33)))^3/3+(ABS(H109)^2)/($I$5*MAX(((F33)+(H33)*(MAX($D$16,(D109)-(J33))))*(MAX($D$16,(D109)-(J33))),0.000001)))*0.99999971))/MAX(((G31)*(MAX($D$16,(D109)-(K31)))^2)/2+(I31)*(MAX($D$16,(D109)-(K31)))^3/3+(ABS(F109)^2)/($I$5*MAX(((G31)+(I31)*(MAX($D$16,(D109)-(K31))))*(MAX($D$16,(D109)-(K31))),0.000001)),0.000001)</f>
        <v>-0.2721494599999113</v>
      </c>
      <c r="V109">
        <f>(((((F34)*(MAX($D$16,(E109)-(J34)))^2)/2+(H34)*(MAX($D$16,(E109)-(J34)))^3/3+(ABS(I109)^2)/($I$5*MAX(((F34)+(H34)*(MAX($D$16,(E109)-(J34))))*(MAX($D$16,(E109)-(J34))),0.000001)))*1)-((((F35)*(MAX($D$16,(E109)-(J35)))^2)/2+(H35)*(MAX($D$16,(E109)-(J35)))^3/3+(ABS(J109)^2)/($I$5*MAX(((F35)+(H35)*(MAX($D$16,(E109)-(J35))))*(MAX($D$16,(E109)-(J35))),0.000001)))*0.30600918))/MAX(((G32)*(MAX($D$16,(E109)-(K32)))^2)/2+(I32)*(MAX($D$16,(E109)-(K32)))^3/3+(ABS(G109)^2)/($I$5*MAX(((G32)+(I32)*(MAX($D$16,(E109)-(K32))))*(MAX($D$16,(E109)-(K32))),0.000001)),0.000001)</f>
        <v>0.69398638937190404</v>
      </c>
      <c r="W109">
        <f>IF(N6="None",ABS(P109-D109),MAX(ABS(P109-D109),ABS(Q109-D109)))</f>
        <v>3.4197000786662102E-10</v>
      </c>
      <c r="X109">
        <f>IF(AND(N7="None",N8="None"),0,IF(N8="None",ABS(S109-E109),IF(N7="None",ABS(T109-E109),MAX(ABS(S109-E109),ABS(T109-E109)))))</f>
        <v>51796.64183766178</v>
      </c>
      <c r="AA109">
        <f t="shared" si="33"/>
        <v>52432.141837662108</v>
      </c>
      <c r="AB109">
        <f t="shared" si="34"/>
        <v>41355.30392785334</v>
      </c>
      <c r="AC109">
        <f>IF(N6="None",P109,MAX(P109,Q109))</f>
        <v>52432.141837662333</v>
      </c>
      <c r="AD109">
        <f>IF(AND(N7="None",N8="None"),E109,IF(N8="None",S109,IF(N7="None",T109,MAX(S109,T109))))</f>
        <v>20784.033523923383</v>
      </c>
      <c r="AE109">
        <f t="shared" si="35"/>
        <v>637.65825101089831</v>
      </c>
      <c r="AF109">
        <f t="shared" si="36"/>
        <v>52432.141837662122</v>
      </c>
      <c r="AG109">
        <f>((G31)*(MAX($D$16,(AC109)-(K31)))^2)/2+(I31)*(MAX($D$16,(AC109)-(K31)))^3/3+(ABS(F109)^2)/($I$5*MAX(((G31)+(I31)*(MAX($D$16,(AC109)-(K31))))*(MAX($D$16,(AC109)-(K31))),0.000001))</f>
        <v>8797611517.4117489</v>
      </c>
      <c r="AH109">
        <f>((G31)*(MAX($D$16,(AE109)-(K31)))^2)/2+(I31)*(MAX($D$16,(AE109)-(K31)))^3/3+(ABS(F109)^2)/($I$5*MAX(((G31)+(I31)*(MAX($D$16,(AE109)-(K31))))*(MAX($D$16,(AE109)-(K31))),0.000001))</f>
        <v>49.055863329575246</v>
      </c>
      <c r="AI109">
        <f>((G32)*(MAX($D$16,(AD109)-(K32)))^2)/2+(I32)*(MAX($D$16,(AD109)-(K32)))^3/3+(ABS(G109)^2)/($I$5*MAX(((G32)+(I32)*(MAX($D$16,(AD109)-(K32))))*(MAX($D$16,(AD109)-(K32))),0.000001))</f>
        <v>2072376743.6648321</v>
      </c>
      <c r="AJ109">
        <f>((G32)*(MAX($D$16,(AF109)-(K32)))^2)/2+(I32)*(MAX($D$16,(AF109)-(K32)))^3/3+(ABS(G109)^2)/($I$5*MAX(((G32)+(I32)*(MAX($D$16,(AF109)-(K32))))*(MAX($D$16,(AF109)-(K32))),0.000001))</f>
        <v>13692714789.64415</v>
      </c>
      <c r="AK109" t="str">
        <f t="shared" si="37"/>
        <v>Subcritical</v>
      </c>
      <c r="AL109" t="str">
        <f t="shared" si="38"/>
        <v>Supercritical</v>
      </c>
      <c r="AM109">
        <f t="shared" si="39"/>
        <v>52432.141837662108</v>
      </c>
      <c r="AN109">
        <f t="shared" si="40"/>
        <v>52432.141837661897</v>
      </c>
      <c r="AO109">
        <f t="shared" si="41"/>
        <v>3.4197000786662102E-10</v>
      </c>
      <c r="AP109">
        <f t="shared" si="42"/>
        <v>3.4197000786662102E-10</v>
      </c>
    </row>
    <row r="110" spans="1:42" x14ac:dyDescent="0.35">
      <c r="A110">
        <v>67</v>
      </c>
      <c r="B110">
        <f t="shared" si="43"/>
        <v>0</v>
      </c>
      <c r="C110">
        <f t="shared" si="44"/>
        <v>0</v>
      </c>
      <c r="D110">
        <f t="shared" si="45"/>
        <v>52432.141837662108</v>
      </c>
      <c r="E110">
        <f t="shared" si="46"/>
        <v>52432.141837661897</v>
      </c>
      <c r="F110">
        <f t="shared" si="32"/>
        <v>51</v>
      </c>
      <c r="G110">
        <f>IF(N6="None",F110,MAX(0,F110*B110))</f>
        <v>51</v>
      </c>
      <c r="H110">
        <f>IF(N6="None",0,MAX(0,F110-G110))</f>
        <v>0</v>
      </c>
      <c r="I110">
        <f>IF(AND(N7="None",N8="None"),0,IF(N8="None",G110,IF(N7="None",0,MAX(0,G110*C110))))</f>
        <v>0</v>
      </c>
      <c r="J110">
        <f>IF(AND(N7="None",N8="None"),0,IF(N8="None",0,IF(N7="None",G110,MAX(0,G110-I110))))</f>
        <v>51</v>
      </c>
      <c r="K110">
        <f>P5</f>
        <v>637</v>
      </c>
      <c r="L110">
        <f>P6</f>
        <v>634.3119999999999</v>
      </c>
      <c r="M110">
        <f>P7</f>
        <v>635.5</v>
      </c>
      <c r="N110">
        <f>P8</f>
        <v>631.54999999999995</v>
      </c>
      <c r="O110">
        <f>K110+((ABS(F110)/MAX(((F31)+(H31)*(MAX($D$16,(K110)-(J31))))*(MAX($D$16,(K110)-(J31))),0.000001))^2)/(2*$I$5)-((E31)*((((ABS(F110)*$D$6)/(MAX(((F31)+(H31)*(MAX($D$16,(K110)-(J31))))*(MAX($D$16,(K110)-(J31))),0.000001)*MAX(((((F31)+(H31)*(MAX($D$16,(K110)-(J31))))*(MAX($D$16,(K110)-(J31))))/MAX((F31)+2*(MAX($D$16,(K110)-(J31)))*SQRT(1+(H31)^2),0.000001))^(2/3),0.000001)))^2)+(((ABS(F110)*$D$6)/(MAX(((G31)+(I31)*(MAX($D$16,(D110)-(K31))))*(MAX($D$16,(D110)-(K31))),0.000001)*MAX(((((G31)+(I31)*(MAX($D$16,(D110)-(K31))))*(MAX($D$16,(D110)-(K31))))/MAX((G31)+2*(MAX($D$16,(D110)-(K31)))*SQRT(1+(I31)^2),0.000001))^(2/3),0.000001)))^2))/2)+(IF((ABS(F110)/MAX(((G31)+(I31)*(MAX($D$16,(D110)-(K31))))*(MAX($D$16,(D110)-(K31))),0.000001))&gt;(ABS(F110)/MAX(((F31)+(H31)*(MAX($D$16,(K110)-(J31))))*(MAX($D$16,(K110)-(J31))),0.000001)),$D$9*((((ABS(F110)/MAX(((G31)+(I31)*(MAX($D$16,(D110)-(K31))))*(MAX($D$16,(D110)-(K31))),0.000001))^2)/(2*$I$5))-(((ABS(F110)/MAX(((F31)+(H31)*(MAX($D$16,(K110)-(J31))))*(MAX($D$16,(K110)-(J31))),0.000001))^2)/(2*$I$5))),$D$8*((((ABS(F110)/MAX(((F31)+(H31)*(MAX($D$16,(K110)-(J31))))*(MAX($D$16,(K110)-(J31))),0.000001))^2)/(2*$I$5))-(((ABS(F110)/MAX(((G31)+(I31)*(MAX($D$16,(D110)-(K31))))*(MAX($D$16,(D110)-(K31))),0.000001))^2)/(2*$I$5)))))+($D$10*(ABS((X31)-(W31))/90)*MAX(((ABS(F110)/MAX(((F31)+(H31)*(MAX($D$16,(K110)-(J31))))*(MAX($D$16,(K110)-(J31))),0.000001))^2)/(2*$I$5),((ABS(F110)/MAX(((G31)+(I31)*(MAX($D$16,(D110)-(K31))))*(MAX($D$16,(D110)-(K31))),0.000001))^2)/(2*$I$5)))+(0)-((ABS(F110)/MAX(((G31)+(I31)*(MAX($D$16,(D110)-(K31))))*(MAX($D$16,(D110)-(K31))),0.000001))^2)/(2*$I$5)</f>
        <v>637.65825101089831</v>
      </c>
      <c r="P110">
        <f>E110+((ABS(G110)/MAX(((G32)+(I32)*(MAX($D$16,(E110)-(K32))))*(MAX($D$16,(E110)-(K32))),0.000001))^2)/(2*$I$5)+((E32)*((((ABS(G110)*$D$6)/(MAX(((F32)+(H32)*(MAX($D$16,(D110)-(J32))))*(MAX($D$16,(D110)-(J32))),0.000001)*MAX(((((F32)+(H32)*(MAX($D$16,(D110)-(J32))))*(MAX($D$16,(D110)-(J32))))/MAX((F32)+2*(MAX($D$16,(D110)-(J32)))*SQRT(1+(H32)^2),0.000001))^(2/3),0.000001)))^2)+(((ABS(G110)*$D$6)/(MAX(((G32)+(I32)*(MAX($D$16,(E110)-(K32))))*(MAX($D$16,(E110)-(K32))),0.000001)*MAX(((((G32)+(I32)*(MAX($D$16,(E110)-(K32))))*(MAX($D$16,(E110)-(K32))))/MAX((G32)+2*(MAX($D$16,(E110)-(K32)))*SQRT(1+(I32)^2),0.000001))^(2/3),0.000001)))^2))/2)+(IF((ABS(G110)/MAX(((G32)+(I32)*(MAX($D$16,(E110)-(K32))))*(MAX($D$16,(E110)-(K32))),0.000001))&gt;(ABS(G110)/MAX(((F32)+(H32)*(MAX($D$16,(D110)-(J32))))*(MAX($D$16,(D110)-(J32))),0.000001)),$D$9*((((ABS(G110)/MAX(((G32)+(I32)*(MAX($D$16,(E110)-(K32))))*(MAX($D$16,(E110)-(K32))),0.000001))^2)/(2*$I$5))-(((ABS(G110)/MAX(((F32)+(H32)*(MAX($D$16,(D110)-(J32))))*(MAX($D$16,(D110)-(J32))),0.000001))^2)/(2*$I$5))),$D$8*((((ABS(G110)/MAX(((F32)+(H32)*(MAX($D$16,(D110)-(J32))))*(MAX($D$16,(D110)-(J32))),0.000001))^2)/(2*$I$5))-(((ABS(G110)/MAX(((G32)+(I32)*(MAX($D$16,(E110)-(K32))))*(MAX($D$16,(E110)-(K32))),0.000001))^2)/(2*$I$5)))))+($D$10*(ABS((X32)-(W32))/90)*MAX(((ABS(G110)/MAX(((F32)+(H32)*(MAX($D$16,(D110)-(J32))))*(MAX($D$16,(D110)-(J32))),0.000001))^2)/(2*$I$5),((ABS(G110)/MAX(((G32)+(I32)*(MAX($D$16,(E110)-(K32))))*(MAX($D$16,(E110)-(K32))),0.000001))^2)/(2*$I$5)))+(($D$11*0.13607488*(ABS(H110)/MAX(ABS(F110),0.000001))^2*MAX(((ABS(G110)/MAX(((F32)+(H32)*(MAX($D$16,(D110)-(J32))))*(MAX($D$16,(D110)-(J32))),0.000001))^2)/(2*$I$5),((ABS(G110)/MAX(((G32)+(I32)*(MAX($D$16,(E110)-(K32))))*(MAX($D$16,(E110)-(K32))),0.000001))^2)/(2*$I$5))))-((ABS(G110)/MAX(((F32)+(H32)*(MAX($D$16,(D110)-(J32))))*(MAX($D$16,(D110)-(J32))),0.000001))^2)/(2*$I$5)</f>
        <v>52432.14183766245</v>
      </c>
      <c r="Q110">
        <f>L110+((ABS(H110)/MAX(((G33)+(I33)*(MAX($D$16,(L110)-(K33))))*(MAX($D$16,(L110)-(K33))),0.000001))^2)/(2*$I$5)+((E33)*((((ABS(H110)*$D$6)/(MAX(((F33)+(H33)*(MAX($D$16,(D110)-(J33))))*(MAX($D$16,(D110)-(J33))),0.000001)*MAX(((((F33)+(H33)*(MAX($D$16,(D110)-(J33))))*(MAX($D$16,(D110)-(J33))))/MAX((F33)+2*(MAX($D$16,(D110)-(J33)))*SQRT(1+(H33)^2),0.000001))^(2/3),0.000001)))^2)+(((ABS(H110)*$D$6)/(MAX(((G33)+(I33)*(MAX($D$16,(L110)-(K33))))*(MAX($D$16,(L110)-(K33))),0.000001)*MAX(((((G33)+(I33)*(MAX($D$16,(L110)-(K33))))*(MAX($D$16,(L110)-(K33))))/MAX((G33)+2*(MAX($D$16,(L110)-(K33)))*SQRT(1+(I33)^2),0.000001))^(2/3),0.000001)))^2))/2)+(IF((ABS(H110)/MAX(((G33)+(I33)*(MAX($D$16,(L110)-(K33))))*(MAX($D$16,(L110)-(K33))),0.000001))&gt;(ABS(H110)/MAX(((F33)+(H33)*(MAX($D$16,(D110)-(J33))))*(MAX($D$16,(D110)-(J33))),0.000001)),$D$9*((((ABS(H110)/MAX(((G33)+(I33)*(MAX($D$16,(L110)-(K33))))*(MAX($D$16,(L110)-(K33))),0.000001))^2)/(2*$I$5))-(((ABS(H110)/MAX(((F33)+(H33)*(MAX($D$16,(D110)-(J33))))*(MAX($D$16,(D110)-(J33))),0.000001))^2)/(2*$I$5))),$D$8*((((ABS(H110)/MAX(((F33)+(H33)*(MAX($D$16,(D110)-(J33))))*(MAX($D$16,(D110)-(J33))),0.000001))^2)/(2*$I$5))-(((ABS(H110)/MAX(((G33)+(I33)*(MAX($D$16,(L110)-(K33))))*(MAX($D$16,(L110)-(K33))),0.000001))^2)/(2*$I$5)))))+($D$10*(ABS((X33)-(W33))/90)*MAX(((ABS(H110)/MAX(((F33)+(H33)*(MAX($D$16,(D110)-(J33))))*(MAX($D$16,(D110)-(J33))),0.000001))^2)/(2*$I$5),((ABS(H110)/MAX(((G33)+(I33)*(MAX($D$16,(L110)-(K33))))*(MAX($D$16,(L110)-(K33))),0.000001))^2)/(2*$I$5)))+(($D$11*0.00000015*(ABS(G110)/MAX(ABS(F110),0.000001))^2*MAX(((ABS(H110)/MAX(((F33)+(H33)*(MAX($D$16,(D110)-(J33))))*(MAX($D$16,(D110)-(J33))),0.000001))^2)/(2*$I$5),((ABS(H110)/MAX(((G33)+(I33)*(MAX($D$16,(L110)-(K33))))*(MAX($D$16,(L110)-(K33))),0.000001))^2)/(2*$I$5))))-((ABS(H110)/MAX(((F33)+(H33)*(MAX($D$16,(D110)-(J33))))*(MAX($D$16,(D110)-(J33))),0.000001))^2)/(2*$I$5)</f>
        <v>634.3119999999999</v>
      </c>
      <c r="R110">
        <f>D110+((ABS(G110)/MAX(((F32)+(H32)*(MAX($D$16,(D110)-(J32))))*(MAX($D$16,(D110)-(J32))),0.000001))^2)/(2*$I$5)-((E32)*((((ABS(G110)*$D$6)/(MAX(((F32)+(H32)*(MAX($D$16,(D110)-(J32))))*(MAX($D$16,(D110)-(J32))),0.000001)*MAX(((((F32)+(H32)*(MAX($D$16,(D110)-(J32))))*(MAX($D$16,(D110)-(J32))))/MAX((F32)+2*(MAX($D$16,(D110)-(J32)))*SQRT(1+(H32)^2),0.000001))^(2/3),0.000001)))^2)+(((ABS(G110)*$D$6)/(MAX(((G32)+(I32)*(MAX($D$16,(E110)-(K32))))*(MAX($D$16,(E110)-(K32))),0.000001)*MAX(((((G32)+(I32)*(MAX($D$16,(E110)-(K32))))*(MAX($D$16,(E110)-(K32))))/MAX((G32)+2*(MAX($D$16,(E110)-(K32)))*SQRT(1+(I32)^2),0.000001))^(2/3),0.000001)))^2))/2)+(IF((ABS(G110)/MAX(((G32)+(I32)*(MAX($D$16,(E110)-(K32))))*(MAX($D$16,(E110)-(K32))),0.000001))&gt;(ABS(G110)/MAX(((F32)+(H32)*(MAX($D$16,(D110)-(J32))))*(MAX($D$16,(D110)-(J32))),0.000001)),$D$9*((((ABS(G110)/MAX(((G32)+(I32)*(MAX($D$16,(E110)-(K32))))*(MAX($D$16,(E110)-(K32))),0.000001))^2)/(2*$I$5))-(((ABS(G110)/MAX(((F32)+(H32)*(MAX($D$16,(D110)-(J32))))*(MAX($D$16,(D110)-(J32))),0.000001))^2)/(2*$I$5))),$D$8*((((ABS(G110)/MAX(((F32)+(H32)*(MAX($D$16,(D110)-(J32))))*(MAX($D$16,(D110)-(J32))),0.000001))^2)/(2*$I$5))-(((ABS(G110)/MAX(((G32)+(I32)*(MAX($D$16,(E110)-(K32))))*(MAX($D$16,(E110)-(K32))),0.000001))^2)/(2*$I$5)))))+($D$10*(ABS((X32)-(W32))/90)*MAX(((ABS(G110)/MAX(((F32)+(H32)*(MAX($D$16,(D110)-(J32))))*(MAX($D$16,(D110)-(J32))),0.000001))^2)/(2*$I$5),((ABS(G110)/MAX(((G32)+(I32)*(MAX($D$16,(E110)-(K32))))*(MAX($D$16,(E110)-(K32))),0.000001))^2)/(2*$I$5)))+(($D$11*0.13607488*(ABS(H110)/MAX(ABS(F110),0.000001))^2*MAX(((ABS(G110)/MAX(((F32)+(H32)*(MAX($D$16,(D110)-(J32))))*(MAX($D$16,(D110)-(J32))),0.000001))^2)/(2*$I$5),((ABS(G110)/MAX(((G32)+(I32)*(MAX($D$16,(E110)-(K32))))*(MAX($D$16,(E110)-(K32))),0.000001))^2)/(2*$I$5))))-((ABS(G110)/MAX(((G32)+(I32)*(MAX($D$16,(E110)-(K32))))*(MAX($D$16,(E110)-(K32))),0.000001))^2)/(2*$I$5)</f>
        <v>52432.141837662239</v>
      </c>
      <c r="S110">
        <f>M110+((ABS(I110)/MAX(((G34)+(I34)*(MAX($D$16,(M110)-(K34))))*(MAX($D$16,(M110)-(K34))),0.000001))^2)/(2*$I$5)+((E34)*((((ABS(I110)*$D$6)/(MAX(((F34)+(H34)*(MAX($D$16,(E110)-(J34))))*(MAX($D$16,(E110)-(J34))),0.000001)*MAX(((((F34)+(H34)*(MAX($D$16,(E110)-(J34))))*(MAX($D$16,(E110)-(J34))))/MAX((F34)+2*(MAX($D$16,(E110)-(J34)))*SQRT(1+(H34)^2),0.000001))^(2/3),0.000001)))^2)+(((ABS(I110)*$D$6)/(MAX(((G34)+(I34)*(MAX($D$16,(M110)-(K34))))*(MAX($D$16,(M110)-(K34))),0.000001)*MAX(((((G34)+(I34)*(MAX($D$16,(M110)-(K34))))*(MAX($D$16,(M110)-(K34))))/MAX((G34)+2*(MAX($D$16,(M110)-(K34)))*SQRT(1+(I34)^2),0.000001))^(2/3),0.000001)))^2))/2)+(IF((ABS(I110)/MAX(((G34)+(I34)*(MAX($D$16,(M110)-(K34))))*(MAX($D$16,(M110)-(K34))),0.000001))&gt;(ABS(I110)/MAX(((F34)+(H34)*(MAX($D$16,(E110)-(J34))))*(MAX($D$16,(E110)-(J34))),0.000001)),$D$9*((((ABS(I110)/MAX(((G34)+(I34)*(MAX($D$16,(M110)-(K34))))*(MAX($D$16,(M110)-(K34))),0.000001))^2)/(2*$I$5))-(((ABS(I110)/MAX(((F34)+(H34)*(MAX($D$16,(E110)-(J34))))*(MAX($D$16,(E110)-(J34))),0.000001))^2)/(2*$I$5))),$D$8*((((ABS(I110)/MAX(((F34)+(H34)*(MAX($D$16,(E110)-(J34))))*(MAX($D$16,(E110)-(J34))),0.000001))^2)/(2*$I$5))-(((ABS(I110)/MAX(((G34)+(I34)*(MAX($D$16,(M110)-(K34))))*(MAX($D$16,(M110)-(K34))),0.000001))^2)/(2*$I$5)))))+($D$10*(ABS((X34)-(W34))/90)*MAX(((ABS(I110)/MAX(((F34)+(H34)*(MAX($D$16,(E110)-(J34))))*(MAX($D$16,(E110)-(J34))),0.000001))^2)/(2*$I$5),((ABS(I110)/MAX(((G34)+(I34)*(MAX($D$16,(M110)-(K34))))*(MAX($D$16,(M110)-(K34))),0.000001))^2)/(2*$I$5)))+(0)-((ABS(I110)/MAX(((F34)+(H34)*(MAX($D$16,(E110)-(J34))))*(MAX($D$16,(E110)-(J34))),0.000001))^2)/(2*$I$5)</f>
        <v>635.5</v>
      </c>
      <c r="T110">
        <f>N110+((ABS(J110)/MAX(((G35)+(I35)*(MAX($D$16,(N110)-(K35))))*(MAX($D$16,(N110)-(K35))),0.000001))^2)/(2*$I$5)+((E35)*((((ABS(J110)*$D$6)/(MAX(((F35)+(H35)*(MAX($D$16,(E110)-(J35))))*(MAX($D$16,(E110)-(J35))),0.000001)*MAX(((((F35)+(H35)*(MAX($D$16,(E110)-(J35))))*(MAX($D$16,(E110)-(J35))))/MAX((F35)+2*(MAX($D$16,(E110)-(J35)))*SQRT(1+(H35)^2),0.000001))^(2/3),0.000001)))^2)+(((ABS(J110)*$D$6)/(MAX(((G35)+(I35)*(MAX($D$16,(N110)-(K35))))*(MAX($D$16,(N110)-(K35))),0.000001)*MAX(((((G35)+(I35)*(MAX($D$16,(N110)-(K35))))*(MAX($D$16,(N110)-(K35))))/MAX((G35)+2*(MAX($D$16,(N110)-(K35)))*SQRT(1+(I35)^2),0.000001))^(2/3),0.000001)))^2))/2)+(IF((ABS(J110)/MAX(((G35)+(I35)*(MAX($D$16,(N110)-(K35))))*(MAX($D$16,(N110)-(K35))),0.000001))&gt;(ABS(J110)/MAX(((F35)+(H35)*(MAX($D$16,(E110)-(J35))))*(MAX($D$16,(E110)-(J35))),0.000001)),$D$9*((((ABS(J110)/MAX(((G35)+(I35)*(MAX($D$16,(N110)-(K35))))*(MAX($D$16,(N110)-(K35))),0.000001))^2)/(2*$I$5))-(((ABS(J110)/MAX(((F35)+(H35)*(MAX($D$16,(E110)-(J35))))*(MAX($D$16,(E110)-(J35))),0.000001))^2)/(2*$I$5))),$D$8*((((ABS(J110)/MAX(((F35)+(H35)*(MAX($D$16,(E110)-(J35))))*(MAX($D$16,(E110)-(J35))),0.000001))^2)/(2*$I$5))-(((ABS(J110)/MAX(((G35)+(I35)*(MAX($D$16,(N110)-(K35))))*(MAX($D$16,(N110)-(K35))),0.000001))^2)/(2*$I$5)))))+($D$10*(ABS((X35)-(W35))/90)*MAX(((ABS(J110)/MAX(((F35)+(H35)*(MAX($D$16,(E110)-(J35))))*(MAX($D$16,(E110)-(J35))),0.000001))^2)/(2*$I$5),((ABS(J110)/MAX(((G35)+(I35)*(MAX($D$16,(N110)-(K35))))*(MAX($D$16,(N110)-(K35))),0.000001))^2)/(2*$I$5)))+(($D$11*0.34699541*(ABS(I110)/MAX(ABS(G110),0.000001))^2*MAX(((ABS(J110)/MAX(((F35)+(H35)*(MAX($D$16,(E110)-(J35))))*(MAX($D$16,(E110)-(J35))),0.000001))^2)/(2*$I$5),((ABS(J110)/MAX(((G35)+(I35)*(MAX($D$16,(N110)-(K35))))*(MAX($D$16,(N110)-(K35))),0.000001))^2)/(2*$I$5))))-((ABS(J110)/MAX(((F35)+(H35)*(MAX($D$16,(E110)-(J35))))*(MAX($D$16,(E110)-(J35))),0.000001))^2)/(2*$I$5)</f>
        <v>20784.033523923383</v>
      </c>
      <c r="U110">
        <f>(((((F32)*(MAX($D$16,(D110)-(J32)))^2)/2+(H32)*(MAX($D$16,(D110)-(J32)))^3/3+(ABS(G110)^2)/($I$5*MAX(((F32)+(H32)*(MAX($D$16,(D110)-(J32))))*(MAX($D$16,(D110)-(J32))),0.000001)))*0.72785025)-((((F33)*(MAX($D$16,(D110)-(J33)))^2)/2+(H33)*(MAX($D$16,(D110)-(J33)))^3/3+(ABS(H110)^2)/($I$5*MAX(((F33)+(H33)*(MAX($D$16,(D110)-(J33))))*(MAX($D$16,(D110)-(J33))),0.000001)))*0.99999971))/MAX(((G31)*(MAX($D$16,(D110)-(K31)))^2)/2+(I31)*(MAX($D$16,(D110)-(K31)))^3/3+(ABS(F110)^2)/($I$5*MAX(((G31)+(I31)*(MAX($D$16,(D110)-(K31))))*(MAX($D$16,(D110)-(K31))),0.000001)),0.000001)</f>
        <v>-0.27214945999991125</v>
      </c>
      <c r="V110">
        <f>(((((F34)*(MAX($D$16,(E110)-(J34)))^2)/2+(H34)*(MAX($D$16,(E110)-(J34)))^3/3+(ABS(I110)^2)/($I$5*MAX(((F34)+(H34)*(MAX($D$16,(E110)-(J34))))*(MAX($D$16,(E110)-(J34))),0.000001)))*1)-((((F35)*(MAX($D$16,(E110)-(J35)))^2)/2+(H35)*(MAX($D$16,(E110)-(J35)))^3/3+(ABS(J110)^2)/($I$5*MAX(((F35)+(H35)*(MAX($D$16,(E110)-(J35))))*(MAX($D$16,(E110)-(J35))),0.000001)))*0.30600918))/MAX(((G32)*(MAX($D$16,(E110)-(K32)))^2)/2+(I32)*(MAX($D$16,(E110)-(K32)))^3/3+(ABS(G110)^2)/($I$5*MAX(((G32)+(I32)*(MAX($D$16,(E110)-(K32))))*(MAX($D$16,(E110)-(K32))),0.000001)),0.000001)</f>
        <v>0.69398638937190393</v>
      </c>
      <c r="W110">
        <f>IF(N6="None",ABS(P110-D110),MAX(ABS(P110-D110),ABS(Q110-D110)))</f>
        <v>3.4197000786662102E-10</v>
      </c>
      <c r="X110">
        <f>IF(AND(N7="None",N8="None"),0,IF(N8="None",ABS(S110-E110),IF(N7="None",ABS(T110-E110),MAX(ABS(S110-E110),ABS(T110-E110)))))</f>
        <v>51796.641837661897</v>
      </c>
      <c r="AA110">
        <f t="shared" si="33"/>
        <v>52432.141837662224</v>
      </c>
      <c r="AB110">
        <f t="shared" si="34"/>
        <v>41355.30392785342</v>
      </c>
      <c r="AC110">
        <f>IF(N6="None",P110,MAX(P110,Q110))</f>
        <v>52432.14183766245</v>
      </c>
      <c r="AD110">
        <f>IF(AND(N7="None",N8="None"),E110,IF(N8="None",S110,IF(N7="None",T110,MAX(S110,T110))))</f>
        <v>20784.033523923383</v>
      </c>
      <c r="AE110">
        <f t="shared" si="35"/>
        <v>637.65825101089831</v>
      </c>
      <c r="AF110">
        <f t="shared" si="36"/>
        <v>52432.141837662239</v>
      </c>
      <c r="AG110">
        <f>((G31)*(MAX($D$16,(AC110)-(K31)))^2)/2+(I31)*(MAX($D$16,(AC110)-(K31)))^3/3+(ABS(F110)^2)/($I$5*MAX(((G31)+(I31)*(MAX($D$16,(AC110)-(K31))))*(MAX($D$16,(AC110)-(K31))),0.000001))</f>
        <v>8797611517.411787</v>
      </c>
      <c r="AH110">
        <f>((G31)*(MAX($D$16,(AE110)-(K31)))^2)/2+(I31)*(MAX($D$16,(AE110)-(K31)))^3/3+(ABS(F110)^2)/($I$5*MAX(((G31)+(I31)*(MAX($D$16,(AE110)-(K31))))*(MAX($D$16,(AE110)-(K31))),0.000001))</f>
        <v>49.055863329575246</v>
      </c>
      <c r="AI110">
        <f>((G32)*(MAX($D$16,(AD110)-(K32)))^2)/2+(I32)*(MAX($D$16,(AD110)-(K32)))^3/3+(ABS(G110)^2)/($I$5*MAX(((G32)+(I32)*(MAX($D$16,(AD110)-(K32))))*(MAX($D$16,(AD110)-(K32))),0.000001))</f>
        <v>2072376743.6648321</v>
      </c>
      <c r="AJ110">
        <f>((G32)*(MAX($D$16,(AF110)-(K32)))^2)/2+(I32)*(MAX($D$16,(AF110)-(K32)))^3/3+(ABS(G110)^2)/($I$5*MAX(((G32)+(I32)*(MAX($D$16,(AF110)-(K32))))*(MAX($D$16,(AF110)-(K32))),0.000001))</f>
        <v>13692714789.644211</v>
      </c>
      <c r="AK110" t="str">
        <f t="shared" si="37"/>
        <v>Subcritical</v>
      </c>
      <c r="AL110" t="str">
        <f t="shared" si="38"/>
        <v>Supercritical</v>
      </c>
      <c r="AM110">
        <f t="shared" si="39"/>
        <v>52432.141837662224</v>
      </c>
      <c r="AN110">
        <f t="shared" si="40"/>
        <v>52432.141837662013</v>
      </c>
      <c r="AO110">
        <f t="shared" si="41"/>
        <v>3.4197000786662102E-10</v>
      </c>
      <c r="AP110">
        <f t="shared" si="42"/>
        <v>3.4197000786662102E-10</v>
      </c>
    </row>
    <row r="111" spans="1:42" x14ac:dyDescent="0.35">
      <c r="A111">
        <v>68</v>
      </c>
      <c r="B111">
        <f t="shared" si="43"/>
        <v>0</v>
      </c>
      <c r="C111">
        <f t="shared" si="44"/>
        <v>0</v>
      </c>
      <c r="D111">
        <f t="shared" si="45"/>
        <v>52432.141837662224</v>
      </c>
      <c r="E111">
        <f t="shared" si="46"/>
        <v>52432.141837662013</v>
      </c>
      <c r="F111">
        <f t="shared" si="32"/>
        <v>51</v>
      </c>
      <c r="G111">
        <f>IF(N6="None",F111,MAX(0,F111*B111))</f>
        <v>51</v>
      </c>
      <c r="H111">
        <f>IF(N6="None",0,MAX(0,F111-G111))</f>
        <v>0</v>
      </c>
      <c r="I111">
        <f>IF(AND(N7="None",N8="None"),0,IF(N8="None",G111,IF(N7="None",0,MAX(0,G111*C111))))</f>
        <v>0</v>
      </c>
      <c r="J111">
        <f>IF(AND(N7="None",N8="None"),0,IF(N8="None",0,IF(N7="None",G111,MAX(0,G111-I111))))</f>
        <v>51</v>
      </c>
      <c r="K111">
        <f>P5</f>
        <v>637</v>
      </c>
      <c r="L111">
        <f>P6</f>
        <v>634.3119999999999</v>
      </c>
      <c r="M111">
        <f>P7</f>
        <v>635.5</v>
      </c>
      <c r="N111">
        <f>P8</f>
        <v>631.54999999999995</v>
      </c>
      <c r="O111">
        <f>K111+((ABS(F111)/MAX(((F31)+(H31)*(MAX($D$16,(K111)-(J31))))*(MAX($D$16,(K111)-(J31))),0.000001))^2)/(2*$I$5)-((E31)*((((ABS(F111)*$D$6)/(MAX(((F31)+(H31)*(MAX($D$16,(K111)-(J31))))*(MAX($D$16,(K111)-(J31))),0.000001)*MAX(((((F31)+(H31)*(MAX($D$16,(K111)-(J31))))*(MAX($D$16,(K111)-(J31))))/MAX((F31)+2*(MAX($D$16,(K111)-(J31)))*SQRT(1+(H31)^2),0.000001))^(2/3),0.000001)))^2)+(((ABS(F111)*$D$6)/(MAX(((G31)+(I31)*(MAX($D$16,(D111)-(K31))))*(MAX($D$16,(D111)-(K31))),0.000001)*MAX(((((G31)+(I31)*(MAX($D$16,(D111)-(K31))))*(MAX($D$16,(D111)-(K31))))/MAX((G31)+2*(MAX($D$16,(D111)-(K31)))*SQRT(1+(I31)^2),0.000001))^(2/3),0.000001)))^2))/2)+(IF((ABS(F111)/MAX(((G31)+(I31)*(MAX($D$16,(D111)-(K31))))*(MAX($D$16,(D111)-(K31))),0.000001))&gt;(ABS(F111)/MAX(((F31)+(H31)*(MAX($D$16,(K111)-(J31))))*(MAX($D$16,(K111)-(J31))),0.000001)),$D$9*((((ABS(F111)/MAX(((G31)+(I31)*(MAX($D$16,(D111)-(K31))))*(MAX($D$16,(D111)-(K31))),0.000001))^2)/(2*$I$5))-(((ABS(F111)/MAX(((F31)+(H31)*(MAX($D$16,(K111)-(J31))))*(MAX($D$16,(K111)-(J31))),0.000001))^2)/(2*$I$5))),$D$8*((((ABS(F111)/MAX(((F31)+(H31)*(MAX($D$16,(K111)-(J31))))*(MAX($D$16,(K111)-(J31))),0.000001))^2)/(2*$I$5))-(((ABS(F111)/MAX(((G31)+(I31)*(MAX($D$16,(D111)-(K31))))*(MAX($D$16,(D111)-(K31))),0.000001))^2)/(2*$I$5)))))+($D$10*(ABS((X31)-(W31))/90)*MAX(((ABS(F111)/MAX(((F31)+(H31)*(MAX($D$16,(K111)-(J31))))*(MAX($D$16,(K111)-(J31))),0.000001))^2)/(2*$I$5),((ABS(F111)/MAX(((G31)+(I31)*(MAX($D$16,(D111)-(K31))))*(MAX($D$16,(D111)-(K31))),0.000001))^2)/(2*$I$5)))+(0)-((ABS(F111)/MAX(((G31)+(I31)*(MAX($D$16,(D111)-(K31))))*(MAX($D$16,(D111)-(K31))),0.000001))^2)/(2*$I$5)</f>
        <v>637.65825101089831</v>
      </c>
      <c r="P111">
        <f>E111+((ABS(G111)/MAX(((G32)+(I32)*(MAX($D$16,(E111)-(K32))))*(MAX($D$16,(E111)-(K32))),0.000001))^2)/(2*$I$5)+((E32)*((((ABS(G111)*$D$6)/(MAX(((F32)+(H32)*(MAX($D$16,(D111)-(J32))))*(MAX($D$16,(D111)-(J32))),0.000001)*MAX(((((F32)+(H32)*(MAX($D$16,(D111)-(J32))))*(MAX($D$16,(D111)-(J32))))/MAX((F32)+2*(MAX($D$16,(D111)-(J32)))*SQRT(1+(H32)^2),0.000001))^(2/3),0.000001)))^2)+(((ABS(G111)*$D$6)/(MAX(((G32)+(I32)*(MAX($D$16,(E111)-(K32))))*(MAX($D$16,(E111)-(K32))),0.000001)*MAX(((((G32)+(I32)*(MAX($D$16,(E111)-(K32))))*(MAX($D$16,(E111)-(K32))))/MAX((G32)+2*(MAX($D$16,(E111)-(K32)))*SQRT(1+(I32)^2),0.000001))^(2/3),0.000001)))^2))/2)+(IF((ABS(G111)/MAX(((G32)+(I32)*(MAX($D$16,(E111)-(K32))))*(MAX($D$16,(E111)-(K32))),0.000001))&gt;(ABS(G111)/MAX(((F32)+(H32)*(MAX($D$16,(D111)-(J32))))*(MAX($D$16,(D111)-(J32))),0.000001)),$D$9*((((ABS(G111)/MAX(((G32)+(I32)*(MAX($D$16,(E111)-(K32))))*(MAX($D$16,(E111)-(K32))),0.000001))^2)/(2*$I$5))-(((ABS(G111)/MAX(((F32)+(H32)*(MAX($D$16,(D111)-(J32))))*(MAX($D$16,(D111)-(J32))),0.000001))^2)/(2*$I$5))),$D$8*((((ABS(G111)/MAX(((F32)+(H32)*(MAX($D$16,(D111)-(J32))))*(MAX($D$16,(D111)-(J32))),0.000001))^2)/(2*$I$5))-(((ABS(G111)/MAX(((G32)+(I32)*(MAX($D$16,(E111)-(K32))))*(MAX($D$16,(E111)-(K32))),0.000001))^2)/(2*$I$5)))))+($D$10*(ABS((X32)-(W32))/90)*MAX(((ABS(G111)/MAX(((F32)+(H32)*(MAX($D$16,(D111)-(J32))))*(MAX($D$16,(D111)-(J32))),0.000001))^2)/(2*$I$5),((ABS(G111)/MAX(((G32)+(I32)*(MAX($D$16,(E111)-(K32))))*(MAX($D$16,(E111)-(K32))),0.000001))^2)/(2*$I$5)))+(($D$11*0.13607488*(ABS(H111)/MAX(ABS(F111),0.000001))^2*MAX(((ABS(G111)/MAX(((F32)+(H32)*(MAX($D$16,(D111)-(J32))))*(MAX($D$16,(D111)-(J32))),0.000001))^2)/(2*$I$5),((ABS(G111)/MAX(((G32)+(I32)*(MAX($D$16,(E111)-(K32))))*(MAX($D$16,(E111)-(K32))),0.000001))^2)/(2*$I$5))))-((ABS(G111)/MAX(((F32)+(H32)*(MAX($D$16,(D111)-(J32))))*(MAX($D$16,(D111)-(J32))),0.000001))^2)/(2*$I$5)</f>
        <v>52432.141837662566</v>
      </c>
      <c r="Q111">
        <f>L111+((ABS(H111)/MAX(((G33)+(I33)*(MAX($D$16,(L111)-(K33))))*(MAX($D$16,(L111)-(K33))),0.000001))^2)/(2*$I$5)+((E33)*((((ABS(H111)*$D$6)/(MAX(((F33)+(H33)*(MAX($D$16,(D111)-(J33))))*(MAX($D$16,(D111)-(J33))),0.000001)*MAX(((((F33)+(H33)*(MAX($D$16,(D111)-(J33))))*(MAX($D$16,(D111)-(J33))))/MAX((F33)+2*(MAX($D$16,(D111)-(J33)))*SQRT(1+(H33)^2),0.000001))^(2/3),0.000001)))^2)+(((ABS(H111)*$D$6)/(MAX(((G33)+(I33)*(MAX($D$16,(L111)-(K33))))*(MAX($D$16,(L111)-(K33))),0.000001)*MAX(((((G33)+(I33)*(MAX($D$16,(L111)-(K33))))*(MAX($D$16,(L111)-(K33))))/MAX((G33)+2*(MAX($D$16,(L111)-(K33)))*SQRT(1+(I33)^2),0.000001))^(2/3),0.000001)))^2))/2)+(IF((ABS(H111)/MAX(((G33)+(I33)*(MAX($D$16,(L111)-(K33))))*(MAX($D$16,(L111)-(K33))),0.000001))&gt;(ABS(H111)/MAX(((F33)+(H33)*(MAX($D$16,(D111)-(J33))))*(MAX($D$16,(D111)-(J33))),0.000001)),$D$9*((((ABS(H111)/MAX(((G33)+(I33)*(MAX($D$16,(L111)-(K33))))*(MAX($D$16,(L111)-(K33))),0.000001))^2)/(2*$I$5))-(((ABS(H111)/MAX(((F33)+(H33)*(MAX($D$16,(D111)-(J33))))*(MAX($D$16,(D111)-(J33))),0.000001))^2)/(2*$I$5))),$D$8*((((ABS(H111)/MAX(((F33)+(H33)*(MAX($D$16,(D111)-(J33))))*(MAX($D$16,(D111)-(J33))),0.000001))^2)/(2*$I$5))-(((ABS(H111)/MAX(((G33)+(I33)*(MAX($D$16,(L111)-(K33))))*(MAX($D$16,(L111)-(K33))),0.000001))^2)/(2*$I$5)))))+($D$10*(ABS((X33)-(W33))/90)*MAX(((ABS(H111)/MAX(((F33)+(H33)*(MAX($D$16,(D111)-(J33))))*(MAX($D$16,(D111)-(J33))),0.000001))^2)/(2*$I$5),((ABS(H111)/MAX(((G33)+(I33)*(MAX($D$16,(L111)-(K33))))*(MAX($D$16,(L111)-(K33))),0.000001))^2)/(2*$I$5)))+(($D$11*0.00000015*(ABS(G111)/MAX(ABS(F111),0.000001))^2*MAX(((ABS(H111)/MAX(((F33)+(H33)*(MAX($D$16,(D111)-(J33))))*(MAX($D$16,(D111)-(J33))),0.000001))^2)/(2*$I$5),((ABS(H111)/MAX(((G33)+(I33)*(MAX($D$16,(L111)-(K33))))*(MAX($D$16,(L111)-(K33))),0.000001))^2)/(2*$I$5))))-((ABS(H111)/MAX(((F33)+(H33)*(MAX($D$16,(D111)-(J33))))*(MAX($D$16,(D111)-(J33))),0.000001))^2)/(2*$I$5)</f>
        <v>634.3119999999999</v>
      </c>
      <c r="R111">
        <f>D111+((ABS(G111)/MAX(((F32)+(H32)*(MAX($D$16,(D111)-(J32))))*(MAX($D$16,(D111)-(J32))),0.000001))^2)/(2*$I$5)-((E32)*((((ABS(G111)*$D$6)/(MAX(((F32)+(H32)*(MAX($D$16,(D111)-(J32))))*(MAX($D$16,(D111)-(J32))),0.000001)*MAX(((((F32)+(H32)*(MAX($D$16,(D111)-(J32))))*(MAX($D$16,(D111)-(J32))))/MAX((F32)+2*(MAX($D$16,(D111)-(J32)))*SQRT(1+(H32)^2),0.000001))^(2/3),0.000001)))^2)+(((ABS(G111)*$D$6)/(MAX(((G32)+(I32)*(MAX($D$16,(E111)-(K32))))*(MAX($D$16,(E111)-(K32))),0.000001)*MAX(((((G32)+(I32)*(MAX($D$16,(E111)-(K32))))*(MAX($D$16,(E111)-(K32))))/MAX((G32)+2*(MAX($D$16,(E111)-(K32)))*SQRT(1+(I32)^2),0.000001))^(2/3),0.000001)))^2))/2)+(IF((ABS(G111)/MAX(((G32)+(I32)*(MAX($D$16,(E111)-(K32))))*(MAX($D$16,(E111)-(K32))),0.000001))&gt;(ABS(G111)/MAX(((F32)+(H32)*(MAX($D$16,(D111)-(J32))))*(MAX($D$16,(D111)-(J32))),0.000001)),$D$9*((((ABS(G111)/MAX(((G32)+(I32)*(MAX($D$16,(E111)-(K32))))*(MAX($D$16,(E111)-(K32))),0.000001))^2)/(2*$I$5))-(((ABS(G111)/MAX(((F32)+(H32)*(MAX($D$16,(D111)-(J32))))*(MAX($D$16,(D111)-(J32))),0.000001))^2)/(2*$I$5))),$D$8*((((ABS(G111)/MAX(((F32)+(H32)*(MAX($D$16,(D111)-(J32))))*(MAX($D$16,(D111)-(J32))),0.000001))^2)/(2*$I$5))-(((ABS(G111)/MAX(((G32)+(I32)*(MAX($D$16,(E111)-(K32))))*(MAX($D$16,(E111)-(K32))),0.000001))^2)/(2*$I$5)))))+($D$10*(ABS((X32)-(W32))/90)*MAX(((ABS(G111)/MAX(((F32)+(H32)*(MAX($D$16,(D111)-(J32))))*(MAX($D$16,(D111)-(J32))),0.000001))^2)/(2*$I$5),((ABS(G111)/MAX(((G32)+(I32)*(MAX($D$16,(E111)-(K32))))*(MAX($D$16,(E111)-(K32))),0.000001))^2)/(2*$I$5)))+(($D$11*0.13607488*(ABS(H111)/MAX(ABS(F111),0.000001))^2*MAX(((ABS(G111)/MAX(((F32)+(H32)*(MAX($D$16,(D111)-(J32))))*(MAX($D$16,(D111)-(J32))),0.000001))^2)/(2*$I$5),((ABS(G111)/MAX(((G32)+(I32)*(MAX($D$16,(E111)-(K32))))*(MAX($D$16,(E111)-(K32))),0.000001))^2)/(2*$I$5))))-((ABS(G111)/MAX(((G32)+(I32)*(MAX($D$16,(E111)-(K32))))*(MAX($D$16,(E111)-(K32))),0.000001))^2)/(2*$I$5)</f>
        <v>52432.141837662355</v>
      </c>
      <c r="S111">
        <f>M111+((ABS(I111)/MAX(((G34)+(I34)*(MAX($D$16,(M111)-(K34))))*(MAX($D$16,(M111)-(K34))),0.000001))^2)/(2*$I$5)+((E34)*((((ABS(I111)*$D$6)/(MAX(((F34)+(H34)*(MAX($D$16,(E111)-(J34))))*(MAX($D$16,(E111)-(J34))),0.000001)*MAX(((((F34)+(H34)*(MAX($D$16,(E111)-(J34))))*(MAX($D$16,(E111)-(J34))))/MAX((F34)+2*(MAX($D$16,(E111)-(J34)))*SQRT(1+(H34)^2),0.000001))^(2/3),0.000001)))^2)+(((ABS(I111)*$D$6)/(MAX(((G34)+(I34)*(MAX($D$16,(M111)-(K34))))*(MAX($D$16,(M111)-(K34))),0.000001)*MAX(((((G34)+(I34)*(MAX($D$16,(M111)-(K34))))*(MAX($D$16,(M111)-(K34))))/MAX((G34)+2*(MAX($D$16,(M111)-(K34)))*SQRT(1+(I34)^2),0.000001))^(2/3),0.000001)))^2))/2)+(IF((ABS(I111)/MAX(((G34)+(I34)*(MAX($D$16,(M111)-(K34))))*(MAX($D$16,(M111)-(K34))),0.000001))&gt;(ABS(I111)/MAX(((F34)+(H34)*(MAX($D$16,(E111)-(J34))))*(MAX($D$16,(E111)-(J34))),0.000001)),$D$9*((((ABS(I111)/MAX(((G34)+(I34)*(MAX($D$16,(M111)-(K34))))*(MAX($D$16,(M111)-(K34))),0.000001))^2)/(2*$I$5))-(((ABS(I111)/MAX(((F34)+(H34)*(MAX($D$16,(E111)-(J34))))*(MAX($D$16,(E111)-(J34))),0.000001))^2)/(2*$I$5))),$D$8*((((ABS(I111)/MAX(((F34)+(H34)*(MAX($D$16,(E111)-(J34))))*(MAX($D$16,(E111)-(J34))),0.000001))^2)/(2*$I$5))-(((ABS(I111)/MAX(((G34)+(I34)*(MAX($D$16,(M111)-(K34))))*(MAX($D$16,(M111)-(K34))),0.000001))^2)/(2*$I$5)))))+($D$10*(ABS((X34)-(W34))/90)*MAX(((ABS(I111)/MAX(((F34)+(H34)*(MAX($D$16,(E111)-(J34))))*(MAX($D$16,(E111)-(J34))),0.000001))^2)/(2*$I$5),((ABS(I111)/MAX(((G34)+(I34)*(MAX($D$16,(M111)-(K34))))*(MAX($D$16,(M111)-(K34))),0.000001))^2)/(2*$I$5)))+(0)-((ABS(I111)/MAX(((F34)+(H34)*(MAX($D$16,(E111)-(J34))))*(MAX($D$16,(E111)-(J34))),0.000001))^2)/(2*$I$5)</f>
        <v>635.5</v>
      </c>
      <c r="T111">
        <f>N111+((ABS(J111)/MAX(((G35)+(I35)*(MAX($D$16,(N111)-(K35))))*(MAX($D$16,(N111)-(K35))),0.000001))^2)/(2*$I$5)+((E35)*((((ABS(J111)*$D$6)/(MAX(((F35)+(H35)*(MAX($D$16,(E111)-(J35))))*(MAX($D$16,(E111)-(J35))),0.000001)*MAX(((((F35)+(H35)*(MAX($D$16,(E111)-(J35))))*(MAX($D$16,(E111)-(J35))))/MAX((F35)+2*(MAX($D$16,(E111)-(J35)))*SQRT(1+(H35)^2),0.000001))^(2/3),0.000001)))^2)+(((ABS(J111)*$D$6)/(MAX(((G35)+(I35)*(MAX($D$16,(N111)-(K35))))*(MAX($D$16,(N111)-(K35))),0.000001)*MAX(((((G35)+(I35)*(MAX($D$16,(N111)-(K35))))*(MAX($D$16,(N111)-(K35))))/MAX((G35)+2*(MAX($D$16,(N111)-(K35)))*SQRT(1+(I35)^2),0.000001))^(2/3),0.000001)))^2))/2)+(IF((ABS(J111)/MAX(((G35)+(I35)*(MAX($D$16,(N111)-(K35))))*(MAX($D$16,(N111)-(K35))),0.000001))&gt;(ABS(J111)/MAX(((F35)+(H35)*(MAX($D$16,(E111)-(J35))))*(MAX($D$16,(E111)-(J35))),0.000001)),$D$9*((((ABS(J111)/MAX(((G35)+(I35)*(MAX($D$16,(N111)-(K35))))*(MAX($D$16,(N111)-(K35))),0.000001))^2)/(2*$I$5))-(((ABS(J111)/MAX(((F35)+(H35)*(MAX($D$16,(E111)-(J35))))*(MAX($D$16,(E111)-(J35))),0.000001))^2)/(2*$I$5))),$D$8*((((ABS(J111)/MAX(((F35)+(H35)*(MAX($D$16,(E111)-(J35))))*(MAX($D$16,(E111)-(J35))),0.000001))^2)/(2*$I$5))-(((ABS(J111)/MAX(((G35)+(I35)*(MAX($D$16,(N111)-(K35))))*(MAX($D$16,(N111)-(K35))),0.000001))^2)/(2*$I$5)))))+($D$10*(ABS((X35)-(W35))/90)*MAX(((ABS(J111)/MAX(((F35)+(H35)*(MAX($D$16,(E111)-(J35))))*(MAX($D$16,(E111)-(J35))),0.000001))^2)/(2*$I$5),((ABS(J111)/MAX(((G35)+(I35)*(MAX($D$16,(N111)-(K35))))*(MAX($D$16,(N111)-(K35))),0.000001))^2)/(2*$I$5)))+(($D$11*0.34699541*(ABS(I111)/MAX(ABS(G111),0.000001))^2*MAX(((ABS(J111)/MAX(((F35)+(H35)*(MAX($D$16,(E111)-(J35))))*(MAX($D$16,(E111)-(J35))),0.000001))^2)/(2*$I$5),((ABS(J111)/MAX(((G35)+(I35)*(MAX($D$16,(N111)-(K35))))*(MAX($D$16,(N111)-(K35))),0.000001))^2)/(2*$I$5))))-((ABS(J111)/MAX(((F35)+(H35)*(MAX($D$16,(E111)-(J35))))*(MAX($D$16,(E111)-(J35))),0.000001))^2)/(2*$I$5)</f>
        <v>20784.033523923383</v>
      </c>
      <c r="U111">
        <f>(((((F32)*(MAX($D$16,(D111)-(J32)))^2)/2+(H32)*(MAX($D$16,(D111)-(J32)))^3/3+(ABS(G111)^2)/($I$5*MAX(((F32)+(H32)*(MAX($D$16,(D111)-(J32))))*(MAX($D$16,(D111)-(J32))),0.000001)))*0.72785025)-((((F33)*(MAX($D$16,(D111)-(J33)))^2)/2+(H33)*(MAX($D$16,(D111)-(J33)))^3/3+(ABS(H111)^2)/($I$5*MAX(((F33)+(H33)*(MAX($D$16,(D111)-(J33))))*(MAX($D$16,(D111)-(J33))),0.000001)))*0.99999971))/MAX(((G31)*(MAX($D$16,(D111)-(K31)))^2)/2+(I31)*(MAX($D$16,(D111)-(K31)))^3/3+(ABS(F111)^2)/($I$5*MAX(((G31)+(I31)*(MAX($D$16,(D111)-(K31))))*(MAX($D$16,(D111)-(K31))),0.000001)),0.000001)</f>
        <v>-0.27214945999991125</v>
      </c>
      <c r="V111">
        <f>(((((F34)*(MAX($D$16,(E111)-(J34)))^2)/2+(H34)*(MAX($D$16,(E111)-(J34)))^3/3+(ABS(I111)^2)/($I$5*MAX(((F34)+(H34)*(MAX($D$16,(E111)-(J34))))*(MAX($D$16,(E111)-(J34))),0.000001)))*1)-((((F35)*(MAX($D$16,(E111)-(J35)))^2)/2+(H35)*(MAX($D$16,(E111)-(J35)))^3/3+(ABS(J111)^2)/($I$5*MAX(((F35)+(H35)*(MAX($D$16,(E111)-(J35))))*(MAX($D$16,(E111)-(J35))),0.000001)))*0.30600918))/MAX(((G32)*(MAX($D$16,(E111)-(K32)))^2)/2+(I32)*(MAX($D$16,(E111)-(K32)))^3/3+(ABS(G111)^2)/($I$5*MAX(((G32)+(I32)*(MAX($D$16,(E111)-(K32))))*(MAX($D$16,(E111)-(K32))),0.000001)),0.000001)</f>
        <v>0.69398638937190393</v>
      </c>
      <c r="W111">
        <f>IF(N6="None",ABS(P111-D111),MAX(ABS(P111-D111),ABS(Q111-D111)))</f>
        <v>3.4197000786662102E-10</v>
      </c>
      <c r="X111">
        <f>IF(AND(N7="None",N8="None"),0,IF(N8="None",ABS(S111-E111),IF(N7="None",ABS(T111-E111),MAX(ABS(S111-E111),ABS(T111-E111)))))</f>
        <v>51796.641837662013</v>
      </c>
      <c r="AA111">
        <f t="shared" si="33"/>
        <v>52432.141837662341</v>
      </c>
      <c r="AB111">
        <f t="shared" si="34"/>
        <v>41355.303927853492</v>
      </c>
      <c r="AC111">
        <f>IF(N6="None",P111,MAX(P111,Q111))</f>
        <v>52432.141837662566</v>
      </c>
      <c r="AD111">
        <f>IF(AND(N7="None",N8="None"),E111,IF(N8="None",S111,IF(N7="None",T111,MAX(S111,T111))))</f>
        <v>20784.033523923383</v>
      </c>
      <c r="AE111">
        <f t="shared" si="35"/>
        <v>637.65825101089831</v>
      </c>
      <c r="AF111">
        <f t="shared" si="36"/>
        <v>52432.141837662355</v>
      </c>
      <c r="AG111">
        <f>((G31)*(MAX($D$16,(AC111)-(K31)))^2)/2+(I31)*(MAX($D$16,(AC111)-(K31)))^3/3+(ABS(F111)^2)/($I$5*MAX(((G31)+(I31)*(MAX($D$16,(AC111)-(K31))))*(MAX($D$16,(AC111)-(K31))),0.000001))</f>
        <v>8797611517.4118271</v>
      </c>
      <c r="AH111">
        <f>((G31)*(MAX($D$16,(AE111)-(K31)))^2)/2+(I31)*(MAX($D$16,(AE111)-(K31)))^3/3+(ABS(F111)^2)/($I$5*MAX(((G31)+(I31)*(MAX($D$16,(AE111)-(K31))))*(MAX($D$16,(AE111)-(K31))),0.000001))</f>
        <v>49.055863329575246</v>
      </c>
      <c r="AI111">
        <f>((G32)*(MAX($D$16,(AD111)-(K32)))^2)/2+(I32)*(MAX($D$16,(AD111)-(K32)))^3/3+(ABS(G111)^2)/($I$5*MAX(((G32)+(I32)*(MAX($D$16,(AD111)-(K32))))*(MAX($D$16,(AD111)-(K32))),0.000001))</f>
        <v>2072376743.6648321</v>
      </c>
      <c r="AJ111">
        <f>((G32)*(MAX($D$16,(AF111)-(K32)))^2)/2+(I32)*(MAX($D$16,(AF111)-(K32)))^3/3+(ABS(G111)^2)/($I$5*MAX(((G32)+(I32)*(MAX($D$16,(AF111)-(K32))))*(MAX($D$16,(AF111)-(K32))),0.000001))</f>
        <v>13692714789.644274</v>
      </c>
      <c r="AK111" t="str">
        <f t="shared" si="37"/>
        <v>Subcritical</v>
      </c>
      <c r="AL111" t="str">
        <f t="shared" si="38"/>
        <v>Supercritical</v>
      </c>
      <c r="AM111">
        <f t="shared" si="39"/>
        <v>52432.141837662341</v>
      </c>
      <c r="AN111">
        <f t="shared" si="40"/>
        <v>52432.14183766213</v>
      </c>
      <c r="AO111">
        <f t="shared" si="41"/>
        <v>3.4197000786662102E-10</v>
      </c>
      <c r="AP111">
        <f t="shared" si="42"/>
        <v>3.4197000786662102E-10</v>
      </c>
    </row>
    <row r="112" spans="1:42" x14ac:dyDescent="0.35">
      <c r="A112">
        <v>69</v>
      </c>
      <c r="B112">
        <f t="shared" si="43"/>
        <v>0</v>
      </c>
      <c r="C112">
        <f t="shared" si="44"/>
        <v>0</v>
      </c>
      <c r="D112">
        <f t="shared" si="45"/>
        <v>52432.141837662341</v>
      </c>
      <c r="E112">
        <f t="shared" si="46"/>
        <v>52432.14183766213</v>
      </c>
      <c r="F112">
        <f t="shared" si="32"/>
        <v>51</v>
      </c>
      <c r="G112">
        <f>IF(N6="None",F112,MAX(0,F112*B112))</f>
        <v>51</v>
      </c>
      <c r="H112">
        <f>IF(N6="None",0,MAX(0,F112-G112))</f>
        <v>0</v>
      </c>
      <c r="I112">
        <f>IF(AND(N7="None",N8="None"),0,IF(N8="None",G112,IF(N7="None",0,MAX(0,G112*C112))))</f>
        <v>0</v>
      </c>
      <c r="J112">
        <f>IF(AND(N7="None",N8="None"),0,IF(N8="None",0,IF(N7="None",G112,MAX(0,G112-I112))))</f>
        <v>51</v>
      </c>
      <c r="K112">
        <f>P5</f>
        <v>637</v>
      </c>
      <c r="L112">
        <f>P6</f>
        <v>634.3119999999999</v>
      </c>
      <c r="M112">
        <f>P7</f>
        <v>635.5</v>
      </c>
      <c r="N112">
        <f>P8</f>
        <v>631.54999999999995</v>
      </c>
      <c r="O112">
        <f>K112+((ABS(F112)/MAX(((F31)+(H31)*(MAX($D$16,(K112)-(J31))))*(MAX($D$16,(K112)-(J31))),0.000001))^2)/(2*$I$5)-((E31)*((((ABS(F112)*$D$6)/(MAX(((F31)+(H31)*(MAX($D$16,(K112)-(J31))))*(MAX($D$16,(K112)-(J31))),0.000001)*MAX(((((F31)+(H31)*(MAX($D$16,(K112)-(J31))))*(MAX($D$16,(K112)-(J31))))/MAX((F31)+2*(MAX($D$16,(K112)-(J31)))*SQRT(1+(H31)^2),0.000001))^(2/3),0.000001)))^2)+(((ABS(F112)*$D$6)/(MAX(((G31)+(I31)*(MAX($D$16,(D112)-(K31))))*(MAX($D$16,(D112)-(K31))),0.000001)*MAX(((((G31)+(I31)*(MAX($D$16,(D112)-(K31))))*(MAX($D$16,(D112)-(K31))))/MAX((G31)+2*(MAX($D$16,(D112)-(K31)))*SQRT(1+(I31)^2),0.000001))^(2/3),0.000001)))^2))/2)+(IF((ABS(F112)/MAX(((G31)+(I31)*(MAX($D$16,(D112)-(K31))))*(MAX($D$16,(D112)-(K31))),0.000001))&gt;(ABS(F112)/MAX(((F31)+(H31)*(MAX($D$16,(K112)-(J31))))*(MAX($D$16,(K112)-(J31))),0.000001)),$D$9*((((ABS(F112)/MAX(((G31)+(I31)*(MAX($D$16,(D112)-(K31))))*(MAX($D$16,(D112)-(K31))),0.000001))^2)/(2*$I$5))-(((ABS(F112)/MAX(((F31)+(H31)*(MAX($D$16,(K112)-(J31))))*(MAX($D$16,(K112)-(J31))),0.000001))^2)/(2*$I$5))),$D$8*((((ABS(F112)/MAX(((F31)+(H31)*(MAX($D$16,(K112)-(J31))))*(MAX($D$16,(K112)-(J31))),0.000001))^2)/(2*$I$5))-(((ABS(F112)/MAX(((G31)+(I31)*(MAX($D$16,(D112)-(K31))))*(MAX($D$16,(D112)-(K31))),0.000001))^2)/(2*$I$5)))))+($D$10*(ABS((X31)-(W31))/90)*MAX(((ABS(F112)/MAX(((F31)+(H31)*(MAX($D$16,(K112)-(J31))))*(MAX($D$16,(K112)-(J31))),0.000001))^2)/(2*$I$5),((ABS(F112)/MAX(((G31)+(I31)*(MAX($D$16,(D112)-(K31))))*(MAX($D$16,(D112)-(K31))),0.000001))^2)/(2*$I$5)))+(0)-((ABS(F112)/MAX(((G31)+(I31)*(MAX($D$16,(D112)-(K31))))*(MAX($D$16,(D112)-(K31))),0.000001))^2)/(2*$I$5)</f>
        <v>637.65825101089831</v>
      </c>
      <c r="P112">
        <f>E112+((ABS(G112)/MAX(((G32)+(I32)*(MAX($D$16,(E112)-(K32))))*(MAX($D$16,(E112)-(K32))),0.000001))^2)/(2*$I$5)+((E32)*((((ABS(G112)*$D$6)/(MAX(((F32)+(H32)*(MAX($D$16,(D112)-(J32))))*(MAX($D$16,(D112)-(J32))),0.000001)*MAX(((((F32)+(H32)*(MAX($D$16,(D112)-(J32))))*(MAX($D$16,(D112)-(J32))))/MAX((F32)+2*(MAX($D$16,(D112)-(J32)))*SQRT(1+(H32)^2),0.000001))^(2/3),0.000001)))^2)+(((ABS(G112)*$D$6)/(MAX(((G32)+(I32)*(MAX($D$16,(E112)-(K32))))*(MAX($D$16,(E112)-(K32))),0.000001)*MAX(((((G32)+(I32)*(MAX($D$16,(E112)-(K32))))*(MAX($D$16,(E112)-(K32))))/MAX((G32)+2*(MAX($D$16,(E112)-(K32)))*SQRT(1+(I32)^2),0.000001))^(2/3),0.000001)))^2))/2)+(IF((ABS(G112)/MAX(((G32)+(I32)*(MAX($D$16,(E112)-(K32))))*(MAX($D$16,(E112)-(K32))),0.000001))&gt;(ABS(G112)/MAX(((F32)+(H32)*(MAX($D$16,(D112)-(J32))))*(MAX($D$16,(D112)-(J32))),0.000001)),$D$9*((((ABS(G112)/MAX(((G32)+(I32)*(MAX($D$16,(E112)-(K32))))*(MAX($D$16,(E112)-(K32))),0.000001))^2)/(2*$I$5))-(((ABS(G112)/MAX(((F32)+(H32)*(MAX($D$16,(D112)-(J32))))*(MAX($D$16,(D112)-(J32))),0.000001))^2)/(2*$I$5))),$D$8*((((ABS(G112)/MAX(((F32)+(H32)*(MAX($D$16,(D112)-(J32))))*(MAX($D$16,(D112)-(J32))),0.000001))^2)/(2*$I$5))-(((ABS(G112)/MAX(((G32)+(I32)*(MAX($D$16,(E112)-(K32))))*(MAX($D$16,(E112)-(K32))),0.000001))^2)/(2*$I$5)))))+($D$10*(ABS((X32)-(W32))/90)*MAX(((ABS(G112)/MAX(((F32)+(H32)*(MAX($D$16,(D112)-(J32))))*(MAX($D$16,(D112)-(J32))),0.000001))^2)/(2*$I$5),((ABS(G112)/MAX(((G32)+(I32)*(MAX($D$16,(E112)-(K32))))*(MAX($D$16,(E112)-(K32))),0.000001))^2)/(2*$I$5)))+(($D$11*0.13607488*(ABS(H112)/MAX(ABS(F112),0.000001))^2*MAX(((ABS(G112)/MAX(((F32)+(H32)*(MAX($D$16,(D112)-(J32))))*(MAX($D$16,(D112)-(J32))),0.000001))^2)/(2*$I$5),((ABS(G112)/MAX(((G32)+(I32)*(MAX($D$16,(E112)-(K32))))*(MAX($D$16,(E112)-(K32))),0.000001))^2)/(2*$I$5))))-((ABS(G112)/MAX(((F32)+(H32)*(MAX($D$16,(D112)-(J32))))*(MAX($D$16,(D112)-(J32))),0.000001))^2)/(2*$I$5)</f>
        <v>52432.141837662683</v>
      </c>
      <c r="Q112">
        <f>L112+((ABS(H112)/MAX(((G33)+(I33)*(MAX($D$16,(L112)-(K33))))*(MAX($D$16,(L112)-(K33))),0.000001))^2)/(2*$I$5)+((E33)*((((ABS(H112)*$D$6)/(MAX(((F33)+(H33)*(MAX($D$16,(D112)-(J33))))*(MAX($D$16,(D112)-(J33))),0.000001)*MAX(((((F33)+(H33)*(MAX($D$16,(D112)-(J33))))*(MAX($D$16,(D112)-(J33))))/MAX((F33)+2*(MAX($D$16,(D112)-(J33)))*SQRT(1+(H33)^2),0.000001))^(2/3),0.000001)))^2)+(((ABS(H112)*$D$6)/(MAX(((G33)+(I33)*(MAX($D$16,(L112)-(K33))))*(MAX($D$16,(L112)-(K33))),0.000001)*MAX(((((G33)+(I33)*(MAX($D$16,(L112)-(K33))))*(MAX($D$16,(L112)-(K33))))/MAX((G33)+2*(MAX($D$16,(L112)-(K33)))*SQRT(1+(I33)^2),0.000001))^(2/3),0.000001)))^2))/2)+(IF((ABS(H112)/MAX(((G33)+(I33)*(MAX($D$16,(L112)-(K33))))*(MAX($D$16,(L112)-(K33))),0.000001))&gt;(ABS(H112)/MAX(((F33)+(H33)*(MAX($D$16,(D112)-(J33))))*(MAX($D$16,(D112)-(J33))),0.000001)),$D$9*((((ABS(H112)/MAX(((G33)+(I33)*(MAX($D$16,(L112)-(K33))))*(MAX($D$16,(L112)-(K33))),0.000001))^2)/(2*$I$5))-(((ABS(H112)/MAX(((F33)+(H33)*(MAX($D$16,(D112)-(J33))))*(MAX($D$16,(D112)-(J33))),0.000001))^2)/(2*$I$5))),$D$8*((((ABS(H112)/MAX(((F33)+(H33)*(MAX($D$16,(D112)-(J33))))*(MAX($D$16,(D112)-(J33))),0.000001))^2)/(2*$I$5))-(((ABS(H112)/MAX(((G33)+(I33)*(MAX($D$16,(L112)-(K33))))*(MAX($D$16,(L112)-(K33))),0.000001))^2)/(2*$I$5)))))+($D$10*(ABS((X33)-(W33))/90)*MAX(((ABS(H112)/MAX(((F33)+(H33)*(MAX($D$16,(D112)-(J33))))*(MAX($D$16,(D112)-(J33))),0.000001))^2)/(2*$I$5),((ABS(H112)/MAX(((G33)+(I33)*(MAX($D$16,(L112)-(K33))))*(MAX($D$16,(L112)-(K33))),0.000001))^2)/(2*$I$5)))+(($D$11*0.00000015*(ABS(G112)/MAX(ABS(F112),0.000001))^2*MAX(((ABS(H112)/MAX(((F33)+(H33)*(MAX($D$16,(D112)-(J33))))*(MAX($D$16,(D112)-(J33))),0.000001))^2)/(2*$I$5),((ABS(H112)/MAX(((G33)+(I33)*(MAX($D$16,(L112)-(K33))))*(MAX($D$16,(L112)-(K33))),0.000001))^2)/(2*$I$5))))-((ABS(H112)/MAX(((F33)+(H33)*(MAX($D$16,(D112)-(J33))))*(MAX($D$16,(D112)-(J33))),0.000001))^2)/(2*$I$5)</f>
        <v>634.3119999999999</v>
      </c>
      <c r="R112">
        <f>D112+((ABS(G112)/MAX(((F32)+(H32)*(MAX($D$16,(D112)-(J32))))*(MAX($D$16,(D112)-(J32))),0.000001))^2)/(2*$I$5)-((E32)*((((ABS(G112)*$D$6)/(MAX(((F32)+(H32)*(MAX($D$16,(D112)-(J32))))*(MAX($D$16,(D112)-(J32))),0.000001)*MAX(((((F32)+(H32)*(MAX($D$16,(D112)-(J32))))*(MAX($D$16,(D112)-(J32))))/MAX((F32)+2*(MAX($D$16,(D112)-(J32)))*SQRT(1+(H32)^2),0.000001))^(2/3),0.000001)))^2)+(((ABS(G112)*$D$6)/(MAX(((G32)+(I32)*(MAX($D$16,(E112)-(K32))))*(MAX($D$16,(E112)-(K32))),0.000001)*MAX(((((G32)+(I32)*(MAX($D$16,(E112)-(K32))))*(MAX($D$16,(E112)-(K32))))/MAX((G32)+2*(MAX($D$16,(E112)-(K32)))*SQRT(1+(I32)^2),0.000001))^(2/3),0.000001)))^2))/2)+(IF((ABS(G112)/MAX(((G32)+(I32)*(MAX($D$16,(E112)-(K32))))*(MAX($D$16,(E112)-(K32))),0.000001))&gt;(ABS(G112)/MAX(((F32)+(H32)*(MAX($D$16,(D112)-(J32))))*(MAX($D$16,(D112)-(J32))),0.000001)),$D$9*((((ABS(G112)/MAX(((G32)+(I32)*(MAX($D$16,(E112)-(K32))))*(MAX($D$16,(E112)-(K32))),0.000001))^2)/(2*$I$5))-(((ABS(G112)/MAX(((F32)+(H32)*(MAX($D$16,(D112)-(J32))))*(MAX($D$16,(D112)-(J32))),0.000001))^2)/(2*$I$5))),$D$8*((((ABS(G112)/MAX(((F32)+(H32)*(MAX($D$16,(D112)-(J32))))*(MAX($D$16,(D112)-(J32))),0.000001))^2)/(2*$I$5))-(((ABS(G112)/MAX(((G32)+(I32)*(MAX($D$16,(E112)-(K32))))*(MAX($D$16,(E112)-(K32))),0.000001))^2)/(2*$I$5)))))+($D$10*(ABS((X32)-(W32))/90)*MAX(((ABS(G112)/MAX(((F32)+(H32)*(MAX($D$16,(D112)-(J32))))*(MAX($D$16,(D112)-(J32))),0.000001))^2)/(2*$I$5),((ABS(G112)/MAX(((G32)+(I32)*(MAX($D$16,(E112)-(K32))))*(MAX($D$16,(E112)-(K32))),0.000001))^2)/(2*$I$5)))+(($D$11*0.13607488*(ABS(H112)/MAX(ABS(F112),0.000001))^2*MAX(((ABS(G112)/MAX(((F32)+(H32)*(MAX($D$16,(D112)-(J32))))*(MAX($D$16,(D112)-(J32))),0.000001))^2)/(2*$I$5),((ABS(G112)/MAX(((G32)+(I32)*(MAX($D$16,(E112)-(K32))))*(MAX($D$16,(E112)-(K32))),0.000001))^2)/(2*$I$5))))-((ABS(G112)/MAX(((G32)+(I32)*(MAX($D$16,(E112)-(K32))))*(MAX($D$16,(E112)-(K32))),0.000001))^2)/(2*$I$5)</f>
        <v>52432.141837662472</v>
      </c>
      <c r="S112">
        <f>M112+((ABS(I112)/MAX(((G34)+(I34)*(MAX($D$16,(M112)-(K34))))*(MAX($D$16,(M112)-(K34))),0.000001))^2)/(2*$I$5)+((E34)*((((ABS(I112)*$D$6)/(MAX(((F34)+(H34)*(MAX($D$16,(E112)-(J34))))*(MAX($D$16,(E112)-(J34))),0.000001)*MAX(((((F34)+(H34)*(MAX($D$16,(E112)-(J34))))*(MAX($D$16,(E112)-(J34))))/MAX((F34)+2*(MAX($D$16,(E112)-(J34)))*SQRT(1+(H34)^2),0.000001))^(2/3),0.000001)))^2)+(((ABS(I112)*$D$6)/(MAX(((G34)+(I34)*(MAX($D$16,(M112)-(K34))))*(MAX($D$16,(M112)-(K34))),0.000001)*MAX(((((G34)+(I34)*(MAX($D$16,(M112)-(K34))))*(MAX($D$16,(M112)-(K34))))/MAX((G34)+2*(MAX($D$16,(M112)-(K34)))*SQRT(1+(I34)^2),0.000001))^(2/3),0.000001)))^2))/2)+(IF((ABS(I112)/MAX(((G34)+(I34)*(MAX($D$16,(M112)-(K34))))*(MAX($D$16,(M112)-(K34))),0.000001))&gt;(ABS(I112)/MAX(((F34)+(H34)*(MAX($D$16,(E112)-(J34))))*(MAX($D$16,(E112)-(J34))),0.000001)),$D$9*((((ABS(I112)/MAX(((G34)+(I34)*(MAX($D$16,(M112)-(K34))))*(MAX($D$16,(M112)-(K34))),0.000001))^2)/(2*$I$5))-(((ABS(I112)/MAX(((F34)+(H34)*(MAX($D$16,(E112)-(J34))))*(MAX($D$16,(E112)-(J34))),0.000001))^2)/(2*$I$5))),$D$8*((((ABS(I112)/MAX(((F34)+(H34)*(MAX($D$16,(E112)-(J34))))*(MAX($D$16,(E112)-(J34))),0.000001))^2)/(2*$I$5))-(((ABS(I112)/MAX(((G34)+(I34)*(MAX($D$16,(M112)-(K34))))*(MAX($D$16,(M112)-(K34))),0.000001))^2)/(2*$I$5)))))+($D$10*(ABS((X34)-(W34))/90)*MAX(((ABS(I112)/MAX(((F34)+(H34)*(MAX($D$16,(E112)-(J34))))*(MAX($D$16,(E112)-(J34))),0.000001))^2)/(2*$I$5),((ABS(I112)/MAX(((G34)+(I34)*(MAX($D$16,(M112)-(K34))))*(MAX($D$16,(M112)-(K34))),0.000001))^2)/(2*$I$5)))+(0)-((ABS(I112)/MAX(((F34)+(H34)*(MAX($D$16,(E112)-(J34))))*(MAX($D$16,(E112)-(J34))),0.000001))^2)/(2*$I$5)</f>
        <v>635.5</v>
      </c>
      <c r="T112">
        <f>N112+((ABS(J112)/MAX(((G35)+(I35)*(MAX($D$16,(N112)-(K35))))*(MAX($D$16,(N112)-(K35))),0.000001))^2)/(2*$I$5)+((E35)*((((ABS(J112)*$D$6)/(MAX(((F35)+(H35)*(MAX($D$16,(E112)-(J35))))*(MAX($D$16,(E112)-(J35))),0.000001)*MAX(((((F35)+(H35)*(MAX($D$16,(E112)-(J35))))*(MAX($D$16,(E112)-(J35))))/MAX((F35)+2*(MAX($D$16,(E112)-(J35)))*SQRT(1+(H35)^2),0.000001))^(2/3),0.000001)))^2)+(((ABS(J112)*$D$6)/(MAX(((G35)+(I35)*(MAX($D$16,(N112)-(K35))))*(MAX($D$16,(N112)-(K35))),0.000001)*MAX(((((G35)+(I35)*(MAX($D$16,(N112)-(K35))))*(MAX($D$16,(N112)-(K35))))/MAX((G35)+2*(MAX($D$16,(N112)-(K35)))*SQRT(1+(I35)^2),0.000001))^(2/3),0.000001)))^2))/2)+(IF((ABS(J112)/MAX(((G35)+(I35)*(MAX($D$16,(N112)-(K35))))*(MAX($D$16,(N112)-(K35))),0.000001))&gt;(ABS(J112)/MAX(((F35)+(H35)*(MAX($D$16,(E112)-(J35))))*(MAX($D$16,(E112)-(J35))),0.000001)),$D$9*((((ABS(J112)/MAX(((G35)+(I35)*(MAX($D$16,(N112)-(K35))))*(MAX($D$16,(N112)-(K35))),0.000001))^2)/(2*$I$5))-(((ABS(J112)/MAX(((F35)+(H35)*(MAX($D$16,(E112)-(J35))))*(MAX($D$16,(E112)-(J35))),0.000001))^2)/(2*$I$5))),$D$8*((((ABS(J112)/MAX(((F35)+(H35)*(MAX($D$16,(E112)-(J35))))*(MAX($D$16,(E112)-(J35))),0.000001))^2)/(2*$I$5))-(((ABS(J112)/MAX(((G35)+(I35)*(MAX($D$16,(N112)-(K35))))*(MAX($D$16,(N112)-(K35))),0.000001))^2)/(2*$I$5)))))+($D$10*(ABS((X35)-(W35))/90)*MAX(((ABS(J112)/MAX(((F35)+(H35)*(MAX($D$16,(E112)-(J35))))*(MAX($D$16,(E112)-(J35))),0.000001))^2)/(2*$I$5),((ABS(J112)/MAX(((G35)+(I35)*(MAX($D$16,(N112)-(K35))))*(MAX($D$16,(N112)-(K35))),0.000001))^2)/(2*$I$5)))+(($D$11*0.34699541*(ABS(I112)/MAX(ABS(G112),0.000001))^2*MAX(((ABS(J112)/MAX(((F35)+(H35)*(MAX($D$16,(E112)-(J35))))*(MAX($D$16,(E112)-(J35))),0.000001))^2)/(2*$I$5),((ABS(J112)/MAX(((G35)+(I35)*(MAX($D$16,(N112)-(K35))))*(MAX($D$16,(N112)-(K35))),0.000001))^2)/(2*$I$5))))-((ABS(J112)/MAX(((F35)+(H35)*(MAX($D$16,(E112)-(J35))))*(MAX($D$16,(E112)-(J35))),0.000001))^2)/(2*$I$5)</f>
        <v>20784.033523923383</v>
      </c>
      <c r="U112">
        <f>(((((F32)*(MAX($D$16,(D112)-(J32)))^2)/2+(H32)*(MAX($D$16,(D112)-(J32)))^3/3+(ABS(G112)^2)/($I$5*MAX(((F32)+(H32)*(MAX($D$16,(D112)-(J32))))*(MAX($D$16,(D112)-(J32))),0.000001)))*0.72785025)-((((F33)*(MAX($D$16,(D112)-(J33)))^2)/2+(H33)*(MAX($D$16,(D112)-(J33)))^3/3+(ABS(H112)^2)/($I$5*MAX(((F33)+(H33)*(MAX($D$16,(D112)-(J33))))*(MAX($D$16,(D112)-(J33))),0.000001)))*0.99999971))/MAX(((G31)*(MAX($D$16,(D112)-(K31)))^2)/2+(I31)*(MAX($D$16,(D112)-(K31)))^3/3+(ABS(F112)^2)/($I$5*MAX(((G31)+(I31)*(MAX($D$16,(D112)-(K31))))*(MAX($D$16,(D112)-(K31))),0.000001)),0.000001)</f>
        <v>-0.27214945999991119</v>
      </c>
      <c r="V112">
        <f>(((((F34)*(MAX($D$16,(E112)-(J34)))^2)/2+(H34)*(MAX($D$16,(E112)-(J34)))^3/3+(ABS(I112)^2)/($I$5*MAX(((F34)+(H34)*(MAX($D$16,(E112)-(J34))))*(MAX($D$16,(E112)-(J34))),0.000001)))*1)-((((F35)*(MAX($D$16,(E112)-(J35)))^2)/2+(H35)*(MAX($D$16,(E112)-(J35)))^3/3+(ABS(J112)^2)/($I$5*MAX(((F35)+(H35)*(MAX($D$16,(E112)-(J35))))*(MAX($D$16,(E112)-(J35))),0.000001)))*0.30600918))/MAX(((G32)*(MAX($D$16,(E112)-(K32)))^2)/2+(I32)*(MAX($D$16,(E112)-(K32)))^3/3+(ABS(G112)^2)/($I$5*MAX(((G32)+(I32)*(MAX($D$16,(E112)-(K32))))*(MAX($D$16,(E112)-(K32))),0.000001)),0.000001)</f>
        <v>0.69398638937190393</v>
      </c>
      <c r="W112">
        <f>IF(N6="None",ABS(P112-D112),MAX(ABS(P112-D112),ABS(Q112-D112)))</f>
        <v>3.4197000786662102E-10</v>
      </c>
      <c r="X112">
        <f>IF(AND(N7="None",N8="None"),0,IF(N8="None",ABS(S112-E112),IF(N7="None",ABS(T112-E112),MAX(ABS(S112-E112),ABS(T112-E112)))))</f>
        <v>51796.64183766213</v>
      </c>
      <c r="AA112">
        <f t="shared" si="33"/>
        <v>52432.141837662457</v>
      </c>
      <c r="AB112">
        <f t="shared" si="34"/>
        <v>41355.303927853573</v>
      </c>
      <c r="AC112">
        <f>IF(N6="None",P112,MAX(P112,Q112))</f>
        <v>52432.141837662683</v>
      </c>
      <c r="AD112">
        <f>IF(AND(N7="None",N8="None"),E112,IF(N8="None",S112,IF(N7="None",T112,MAX(S112,T112))))</f>
        <v>20784.033523923383</v>
      </c>
      <c r="AE112">
        <f t="shared" si="35"/>
        <v>637.65825101089831</v>
      </c>
      <c r="AF112">
        <f t="shared" si="36"/>
        <v>52432.141837662472</v>
      </c>
      <c r="AG112">
        <f>((G31)*(MAX($D$16,(AC112)-(K31)))^2)/2+(I31)*(MAX($D$16,(AC112)-(K31)))^3/3+(ABS(F112)^2)/($I$5*MAX(((G31)+(I31)*(MAX($D$16,(AC112)-(K31))))*(MAX($D$16,(AC112)-(K31))),0.000001))</f>
        <v>8797611517.4118671</v>
      </c>
      <c r="AH112">
        <f>((G31)*(MAX($D$16,(AE112)-(K31)))^2)/2+(I31)*(MAX($D$16,(AE112)-(K31)))^3/3+(ABS(F112)^2)/($I$5*MAX(((G31)+(I31)*(MAX($D$16,(AE112)-(K31))))*(MAX($D$16,(AE112)-(K31))),0.000001))</f>
        <v>49.055863329575246</v>
      </c>
      <c r="AI112">
        <f>((G32)*(MAX($D$16,(AD112)-(K32)))^2)/2+(I32)*(MAX($D$16,(AD112)-(K32)))^3/3+(ABS(G112)^2)/($I$5*MAX(((G32)+(I32)*(MAX($D$16,(AD112)-(K32))))*(MAX($D$16,(AD112)-(K32))),0.000001))</f>
        <v>2072376743.6648321</v>
      </c>
      <c r="AJ112">
        <f>((G32)*(MAX($D$16,(AF112)-(K32)))^2)/2+(I32)*(MAX($D$16,(AF112)-(K32)))^3/3+(ABS(G112)^2)/($I$5*MAX(((G32)+(I32)*(MAX($D$16,(AF112)-(K32))))*(MAX($D$16,(AF112)-(K32))),0.000001))</f>
        <v>13692714789.644335</v>
      </c>
      <c r="AK112" t="str">
        <f t="shared" si="37"/>
        <v>Subcritical</v>
      </c>
      <c r="AL112" t="str">
        <f t="shared" si="38"/>
        <v>Supercritical</v>
      </c>
      <c r="AM112">
        <f t="shared" si="39"/>
        <v>52432.141837662457</v>
      </c>
      <c r="AN112">
        <f t="shared" si="40"/>
        <v>52432.141837662246</v>
      </c>
      <c r="AO112">
        <f t="shared" si="41"/>
        <v>3.4197000786662102E-10</v>
      </c>
      <c r="AP112">
        <f t="shared" si="42"/>
        <v>3.4197000786662102E-10</v>
      </c>
    </row>
    <row r="113" spans="1:42" x14ac:dyDescent="0.35">
      <c r="A113">
        <v>70</v>
      </c>
      <c r="B113">
        <f t="shared" si="43"/>
        <v>0</v>
      </c>
      <c r="C113">
        <f t="shared" si="44"/>
        <v>0</v>
      </c>
      <c r="D113">
        <f t="shared" si="45"/>
        <v>52432.141837662457</v>
      </c>
      <c r="E113">
        <f t="shared" si="46"/>
        <v>52432.141837662246</v>
      </c>
      <c r="F113">
        <f t="shared" si="32"/>
        <v>51</v>
      </c>
      <c r="G113">
        <f>IF(N6="None",F113,MAX(0,F113*B113))</f>
        <v>51</v>
      </c>
      <c r="H113">
        <f>IF(N6="None",0,MAX(0,F113-G113))</f>
        <v>0</v>
      </c>
      <c r="I113">
        <f>IF(AND(N7="None",N8="None"),0,IF(N8="None",G113,IF(N7="None",0,MAX(0,G113*C113))))</f>
        <v>0</v>
      </c>
      <c r="J113">
        <f>IF(AND(N7="None",N8="None"),0,IF(N8="None",0,IF(N7="None",G113,MAX(0,G113-I113))))</f>
        <v>51</v>
      </c>
      <c r="K113">
        <f>P5</f>
        <v>637</v>
      </c>
      <c r="L113">
        <f>P6</f>
        <v>634.3119999999999</v>
      </c>
      <c r="M113">
        <f>P7</f>
        <v>635.5</v>
      </c>
      <c r="N113">
        <f>P8</f>
        <v>631.54999999999995</v>
      </c>
      <c r="O113">
        <f>K113+((ABS(F113)/MAX(((F31)+(H31)*(MAX($D$16,(K113)-(J31))))*(MAX($D$16,(K113)-(J31))),0.000001))^2)/(2*$I$5)-((E31)*((((ABS(F113)*$D$6)/(MAX(((F31)+(H31)*(MAX($D$16,(K113)-(J31))))*(MAX($D$16,(K113)-(J31))),0.000001)*MAX(((((F31)+(H31)*(MAX($D$16,(K113)-(J31))))*(MAX($D$16,(K113)-(J31))))/MAX((F31)+2*(MAX($D$16,(K113)-(J31)))*SQRT(1+(H31)^2),0.000001))^(2/3),0.000001)))^2)+(((ABS(F113)*$D$6)/(MAX(((G31)+(I31)*(MAX($D$16,(D113)-(K31))))*(MAX($D$16,(D113)-(K31))),0.000001)*MAX(((((G31)+(I31)*(MAX($D$16,(D113)-(K31))))*(MAX($D$16,(D113)-(K31))))/MAX((G31)+2*(MAX($D$16,(D113)-(K31)))*SQRT(1+(I31)^2),0.000001))^(2/3),0.000001)))^2))/2)+(IF((ABS(F113)/MAX(((G31)+(I31)*(MAX($D$16,(D113)-(K31))))*(MAX($D$16,(D113)-(K31))),0.000001))&gt;(ABS(F113)/MAX(((F31)+(H31)*(MAX($D$16,(K113)-(J31))))*(MAX($D$16,(K113)-(J31))),0.000001)),$D$9*((((ABS(F113)/MAX(((G31)+(I31)*(MAX($D$16,(D113)-(K31))))*(MAX($D$16,(D113)-(K31))),0.000001))^2)/(2*$I$5))-(((ABS(F113)/MAX(((F31)+(H31)*(MAX($D$16,(K113)-(J31))))*(MAX($D$16,(K113)-(J31))),0.000001))^2)/(2*$I$5))),$D$8*((((ABS(F113)/MAX(((F31)+(H31)*(MAX($D$16,(K113)-(J31))))*(MAX($D$16,(K113)-(J31))),0.000001))^2)/(2*$I$5))-(((ABS(F113)/MAX(((G31)+(I31)*(MAX($D$16,(D113)-(K31))))*(MAX($D$16,(D113)-(K31))),0.000001))^2)/(2*$I$5)))))+($D$10*(ABS((X31)-(W31))/90)*MAX(((ABS(F113)/MAX(((F31)+(H31)*(MAX($D$16,(K113)-(J31))))*(MAX($D$16,(K113)-(J31))),0.000001))^2)/(2*$I$5),((ABS(F113)/MAX(((G31)+(I31)*(MAX($D$16,(D113)-(K31))))*(MAX($D$16,(D113)-(K31))),0.000001))^2)/(2*$I$5)))+(0)-((ABS(F113)/MAX(((G31)+(I31)*(MAX($D$16,(D113)-(K31))))*(MAX($D$16,(D113)-(K31))),0.000001))^2)/(2*$I$5)</f>
        <v>637.65825101089831</v>
      </c>
      <c r="P113">
        <f>E113+((ABS(G113)/MAX(((G32)+(I32)*(MAX($D$16,(E113)-(K32))))*(MAX($D$16,(E113)-(K32))),0.000001))^2)/(2*$I$5)+((E32)*((((ABS(G113)*$D$6)/(MAX(((F32)+(H32)*(MAX($D$16,(D113)-(J32))))*(MAX($D$16,(D113)-(J32))),0.000001)*MAX(((((F32)+(H32)*(MAX($D$16,(D113)-(J32))))*(MAX($D$16,(D113)-(J32))))/MAX((F32)+2*(MAX($D$16,(D113)-(J32)))*SQRT(1+(H32)^2),0.000001))^(2/3),0.000001)))^2)+(((ABS(G113)*$D$6)/(MAX(((G32)+(I32)*(MAX($D$16,(E113)-(K32))))*(MAX($D$16,(E113)-(K32))),0.000001)*MAX(((((G32)+(I32)*(MAX($D$16,(E113)-(K32))))*(MAX($D$16,(E113)-(K32))))/MAX((G32)+2*(MAX($D$16,(E113)-(K32)))*SQRT(1+(I32)^2),0.000001))^(2/3),0.000001)))^2))/2)+(IF((ABS(G113)/MAX(((G32)+(I32)*(MAX($D$16,(E113)-(K32))))*(MAX($D$16,(E113)-(K32))),0.000001))&gt;(ABS(G113)/MAX(((F32)+(H32)*(MAX($D$16,(D113)-(J32))))*(MAX($D$16,(D113)-(J32))),0.000001)),$D$9*((((ABS(G113)/MAX(((G32)+(I32)*(MAX($D$16,(E113)-(K32))))*(MAX($D$16,(E113)-(K32))),0.000001))^2)/(2*$I$5))-(((ABS(G113)/MAX(((F32)+(H32)*(MAX($D$16,(D113)-(J32))))*(MAX($D$16,(D113)-(J32))),0.000001))^2)/(2*$I$5))),$D$8*((((ABS(G113)/MAX(((F32)+(H32)*(MAX($D$16,(D113)-(J32))))*(MAX($D$16,(D113)-(J32))),0.000001))^2)/(2*$I$5))-(((ABS(G113)/MAX(((G32)+(I32)*(MAX($D$16,(E113)-(K32))))*(MAX($D$16,(E113)-(K32))),0.000001))^2)/(2*$I$5)))))+($D$10*(ABS((X32)-(W32))/90)*MAX(((ABS(G113)/MAX(((F32)+(H32)*(MAX($D$16,(D113)-(J32))))*(MAX($D$16,(D113)-(J32))),0.000001))^2)/(2*$I$5),((ABS(G113)/MAX(((G32)+(I32)*(MAX($D$16,(E113)-(K32))))*(MAX($D$16,(E113)-(K32))),0.000001))^2)/(2*$I$5)))+(($D$11*0.13607488*(ABS(H113)/MAX(ABS(F113),0.000001))^2*MAX(((ABS(G113)/MAX(((F32)+(H32)*(MAX($D$16,(D113)-(J32))))*(MAX($D$16,(D113)-(J32))),0.000001))^2)/(2*$I$5),((ABS(G113)/MAX(((G32)+(I32)*(MAX($D$16,(E113)-(K32))))*(MAX($D$16,(E113)-(K32))),0.000001))^2)/(2*$I$5))))-((ABS(G113)/MAX(((F32)+(H32)*(MAX($D$16,(D113)-(J32))))*(MAX($D$16,(D113)-(J32))),0.000001))^2)/(2*$I$5)</f>
        <v>52432.141837662799</v>
      </c>
      <c r="Q113">
        <f>L113+((ABS(H113)/MAX(((G33)+(I33)*(MAX($D$16,(L113)-(K33))))*(MAX($D$16,(L113)-(K33))),0.000001))^2)/(2*$I$5)+((E33)*((((ABS(H113)*$D$6)/(MAX(((F33)+(H33)*(MAX($D$16,(D113)-(J33))))*(MAX($D$16,(D113)-(J33))),0.000001)*MAX(((((F33)+(H33)*(MAX($D$16,(D113)-(J33))))*(MAX($D$16,(D113)-(J33))))/MAX((F33)+2*(MAX($D$16,(D113)-(J33)))*SQRT(1+(H33)^2),0.000001))^(2/3),0.000001)))^2)+(((ABS(H113)*$D$6)/(MAX(((G33)+(I33)*(MAX($D$16,(L113)-(K33))))*(MAX($D$16,(L113)-(K33))),0.000001)*MAX(((((G33)+(I33)*(MAX($D$16,(L113)-(K33))))*(MAX($D$16,(L113)-(K33))))/MAX((G33)+2*(MAX($D$16,(L113)-(K33)))*SQRT(1+(I33)^2),0.000001))^(2/3),0.000001)))^2))/2)+(IF((ABS(H113)/MAX(((G33)+(I33)*(MAX($D$16,(L113)-(K33))))*(MAX($D$16,(L113)-(K33))),0.000001))&gt;(ABS(H113)/MAX(((F33)+(H33)*(MAX($D$16,(D113)-(J33))))*(MAX($D$16,(D113)-(J33))),0.000001)),$D$9*((((ABS(H113)/MAX(((G33)+(I33)*(MAX($D$16,(L113)-(K33))))*(MAX($D$16,(L113)-(K33))),0.000001))^2)/(2*$I$5))-(((ABS(H113)/MAX(((F33)+(H33)*(MAX($D$16,(D113)-(J33))))*(MAX($D$16,(D113)-(J33))),0.000001))^2)/(2*$I$5))),$D$8*((((ABS(H113)/MAX(((F33)+(H33)*(MAX($D$16,(D113)-(J33))))*(MAX($D$16,(D113)-(J33))),0.000001))^2)/(2*$I$5))-(((ABS(H113)/MAX(((G33)+(I33)*(MAX($D$16,(L113)-(K33))))*(MAX($D$16,(L113)-(K33))),0.000001))^2)/(2*$I$5)))))+($D$10*(ABS((X33)-(W33))/90)*MAX(((ABS(H113)/MAX(((F33)+(H33)*(MAX($D$16,(D113)-(J33))))*(MAX($D$16,(D113)-(J33))),0.000001))^2)/(2*$I$5),((ABS(H113)/MAX(((G33)+(I33)*(MAX($D$16,(L113)-(K33))))*(MAX($D$16,(L113)-(K33))),0.000001))^2)/(2*$I$5)))+(($D$11*0.00000015*(ABS(G113)/MAX(ABS(F113),0.000001))^2*MAX(((ABS(H113)/MAX(((F33)+(H33)*(MAX($D$16,(D113)-(J33))))*(MAX($D$16,(D113)-(J33))),0.000001))^2)/(2*$I$5),((ABS(H113)/MAX(((G33)+(I33)*(MAX($D$16,(L113)-(K33))))*(MAX($D$16,(L113)-(K33))),0.000001))^2)/(2*$I$5))))-((ABS(H113)/MAX(((F33)+(H33)*(MAX($D$16,(D113)-(J33))))*(MAX($D$16,(D113)-(J33))),0.000001))^2)/(2*$I$5)</f>
        <v>634.3119999999999</v>
      </c>
      <c r="R113">
        <f>D113+((ABS(G113)/MAX(((F32)+(H32)*(MAX($D$16,(D113)-(J32))))*(MAX($D$16,(D113)-(J32))),0.000001))^2)/(2*$I$5)-((E32)*((((ABS(G113)*$D$6)/(MAX(((F32)+(H32)*(MAX($D$16,(D113)-(J32))))*(MAX($D$16,(D113)-(J32))),0.000001)*MAX(((((F32)+(H32)*(MAX($D$16,(D113)-(J32))))*(MAX($D$16,(D113)-(J32))))/MAX((F32)+2*(MAX($D$16,(D113)-(J32)))*SQRT(1+(H32)^2),0.000001))^(2/3),0.000001)))^2)+(((ABS(G113)*$D$6)/(MAX(((G32)+(I32)*(MAX($D$16,(E113)-(K32))))*(MAX($D$16,(E113)-(K32))),0.000001)*MAX(((((G32)+(I32)*(MAX($D$16,(E113)-(K32))))*(MAX($D$16,(E113)-(K32))))/MAX((G32)+2*(MAX($D$16,(E113)-(K32)))*SQRT(1+(I32)^2),0.000001))^(2/3),0.000001)))^2))/2)+(IF((ABS(G113)/MAX(((G32)+(I32)*(MAX($D$16,(E113)-(K32))))*(MAX($D$16,(E113)-(K32))),0.000001))&gt;(ABS(G113)/MAX(((F32)+(H32)*(MAX($D$16,(D113)-(J32))))*(MAX($D$16,(D113)-(J32))),0.000001)),$D$9*((((ABS(G113)/MAX(((G32)+(I32)*(MAX($D$16,(E113)-(K32))))*(MAX($D$16,(E113)-(K32))),0.000001))^2)/(2*$I$5))-(((ABS(G113)/MAX(((F32)+(H32)*(MAX($D$16,(D113)-(J32))))*(MAX($D$16,(D113)-(J32))),0.000001))^2)/(2*$I$5))),$D$8*((((ABS(G113)/MAX(((F32)+(H32)*(MAX($D$16,(D113)-(J32))))*(MAX($D$16,(D113)-(J32))),0.000001))^2)/(2*$I$5))-(((ABS(G113)/MAX(((G32)+(I32)*(MAX($D$16,(E113)-(K32))))*(MAX($D$16,(E113)-(K32))),0.000001))^2)/(2*$I$5)))))+($D$10*(ABS((X32)-(W32))/90)*MAX(((ABS(G113)/MAX(((F32)+(H32)*(MAX($D$16,(D113)-(J32))))*(MAX($D$16,(D113)-(J32))),0.000001))^2)/(2*$I$5),((ABS(G113)/MAX(((G32)+(I32)*(MAX($D$16,(E113)-(K32))))*(MAX($D$16,(E113)-(K32))),0.000001))^2)/(2*$I$5)))+(($D$11*0.13607488*(ABS(H113)/MAX(ABS(F113),0.000001))^2*MAX(((ABS(G113)/MAX(((F32)+(H32)*(MAX($D$16,(D113)-(J32))))*(MAX($D$16,(D113)-(J32))),0.000001))^2)/(2*$I$5),((ABS(G113)/MAX(((G32)+(I32)*(MAX($D$16,(E113)-(K32))))*(MAX($D$16,(E113)-(K32))),0.000001))^2)/(2*$I$5))))-((ABS(G113)/MAX(((G32)+(I32)*(MAX($D$16,(E113)-(K32))))*(MAX($D$16,(E113)-(K32))),0.000001))^2)/(2*$I$5)</f>
        <v>52432.141837662588</v>
      </c>
      <c r="S113">
        <f>M113+((ABS(I113)/MAX(((G34)+(I34)*(MAX($D$16,(M113)-(K34))))*(MAX($D$16,(M113)-(K34))),0.000001))^2)/(2*$I$5)+((E34)*((((ABS(I113)*$D$6)/(MAX(((F34)+(H34)*(MAX($D$16,(E113)-(J34))))*(MAX($D$16,(E113)-(J34))),0.000001)*MAX(((((F34)+(H34)*(MAX($D$16,(E113)-(J34))))*(MAX($D$16,(E113)-(J34))))/MAX((F34)+2*(MAX($D$16,(E113)-(J34)))*SQRT(1+(H34)^2),0.000001))^(2/3),0.000001)))^2)+(((ABS(I113)*$D$6)/(MAX(((G34)+(I34)*(MAX($D$16,(M113)-(K34))))*(MAX($D$16,(M113)-(K34))),0.000001)*MAX(((((G34)+(I34)*(MAX($D$16,(M113)-(K34))))*(MAX($D$16,(M113)-(K34))))/MAX((G34)+2*(MAX($D$16,(M113)-(K34)))*SQRT(1+(I34)^2),0.000001))^(2/3),0.000001)))^2))/2)+(IF((ABS(I113)/MAX(((G34)+(I34)*(MAX($D$16,(M113)-(K34))))*(MAX($D$16,(M113)-(K34))),0.000001))&gt;(ABS(I113)/MAX(((F34)+(H34)*(MAX($D$16,(E113)-(J34))))*(MAX($D$16,(E113)-(J34))),0.000001)),$D$9*((((ABS(I113)/MAX(((G34)+(I34)*(MAX($D$16,(M113)-(K34))))*(MAX($D$16,(M113)-(K34))),0.000001))^2)/(2*$I$5))-(((ABS(I113)/MAX(((F34)+(H34)*(MAX($D$16,(E113)-(J34))))*(MAX($D$16,(E113)-(J34))),0.000001))^2)/(2*$I$5))),$D$8*((((ABS(I113)/MAX(((F34)+(H34)*(MAX($D$16,(E113)-(J34))))*(MAX($D$16,(E113)-(J34))),0.000001))^2)/(2*$I$5))-(((ABS(I113)/MAX(((G34)+(I34)*(MAX($D$16,(M113)-(K34))))*(MAX($D$16,(M113)-(K34))),0.000001))^2)/(2*$I$5)))))+($D$10*(ABS((X34)-(W34))/90)*MAX(((ABS(I113)/MAX(((F34)+(H34)*(MAX($D$16,(E113)-(J34))))*(MAX($D$16,(E113)-(J34))),0.000001))^2)/(2*$I$5),((ABS(I113)/MAX(((G34)+(I34)*(MAX($D$16,(M113)-(K34))))*(MAX($D$16,(M113)-(K34))),0.000001))^2)/(2*$I$5)))+(0)-((ABS(I113)/MAX(((F34)+(H34)*(MAX($D$16,(E113)-(J34))))*(MAX($D$16,(E113)-(J34))),0.000001))^2)/(2*$I$5)</f>
        <v>635.5</v>
      </c>
      <c r="T113">
        <f>N113+((ABS(J113)/MAX(((G35)+(I35)*(MAX($D$16,(N113)-(K35))))*(MAX($D$16,(N113)-(K35))),0.000001))^2)/(2*$I$5)+((E35)*((((ABS(J113)*$D$6)/(MAX(((F35)+(H35)*(MAX($D$16,(E113)-(J35))))*(MAX($D$16,(E113)-(J35))),0.000001)*MAX(((((F35)+(H35)*(MAX($D$16,(E113)-(J35))))*(MAX($D$16,(E113)-(J35))))/MAX((F35)+2*(MAX($D$16,(E113)-(J35)))*SQRT(1+(H35)^2),0.000001))^(2/3),0.000001)))^2)+(((ABS(J113)*$D$6)/(MAX(((G35)+(I35)*(MAX($D$16,(N113)-(K35))))*(MAX($D$16,(N113)-(K35))),0.000001)*MAX(((((G35)+(I35)*(MAX($D$16,(N113)-(K35))))*(MAX($D$16,(N113)-(K35))))/MAX((G35)+2*(MAX($D$16,(N113)-(K35)))*SQRT(1+(I35)^2),0.000001))^(2/3),0.000001)))^2))/2)+(IF((ABS(J113)/MAX(((G35)+(I35)*(MAX($D$16,(N113)-(K35))))*(MAX($D$16,(N113)-(K35))),0.000001))&gt;(ABS(J113)/MAX(((F35)+(H35)*(MAX($D$16,(E113)-(J35))))*(MAX($D$16,(E113)-(J35))),0.000001)),$D$9*((((ABS(J113)/MAX(((G35)+(I35)*(MAX($D$16,(N113)-(K35))))*(MAX($D$16,(N113)-(K35))),0.000001))^2)/(2*$I$5))-(((ABS(J113)/MAX(((F35)+(H35)*(MAX($D$16,(E113)-(J35))))*(MAX($D$16,(E113)-(J35))),0.000001))^2)/(2*$I$5))),$D$8*((((ABS(J113)/MAX(((F35)+(H35)*(MAX($D$16,(E113)-(J35))))*(MAX($D$16,(E113)-(J35))),0.000001))^2)/(2*$I$5))-(((ABS(J113)/MAX(((G35)+(I35)*(MAX($D$16,(N113)-(K35))))*(MAX($D$16,(N113)-(K35))),0.000001))^2)/(2*$I$5)))))+($D$10*(ABS((X35)-(W35))/90)*MAX(((ABS(J113)/MAX(((F35)+(H35)*(MAX($D$16,(E113)-(J35))))*(MAX($D$16,(E113)-(J35))),0.000001))^2)/(2*$I$5),((ABS(J113)/MAX(((G35)+(I35)*(MAX($D$16,(N113)-(K35))))*(MAX($D$16,(N113)-(K35))),0.000001))^2)/(2*$I$5)))+(($D$11*0.34699541*(ABS(I113)/MAX(ABS(G113),0.000001))^2*MAX(((ABS(J113)/MAX(((F35)+(H35)*(MAX($D$16,(E113)-(J35))))*(MAX($D$16,(E113)-(J35))),0.000001))^2)/(2*$I$5),((ABS(J113)/MAX(((G35)+(I35)*(MAX($D$16,(N113)-(K35))))*(MAX($D$16,(N113)-(K35))),0.000001))^2)/(2*$I$5))))-((ABS(J113)/MAX(((F35)+(H35)*(MAX($D$16,(E113)-(J35))))*(MAX($D$16,(E113)-(J35))),0.000001))^2)/(2*$I$5)</f>
        <v>20784.033523923383</v>
      </c>
      <c r="U113">
        <f>(((((F32)*(MAX($D$16,(D113)-(J32)))^2)/2+(H32)*(MAX($D$16,(D113)-(J32)))^3/3+(ABS(G113)^2)/($I$5*MAX(((F32)+(H32)*(MAX($D$16,(D113)-(J32))))*(MAX($D$16,(D113)-(J32))),0.000001)))*0.72785025)-((((F33)*(MAX($D$16,(D113)-(J33)))^2)/2+(H33)*(MAX($D$16,(D113)-(J33)))^3/3+(ABS(H113)^2)/($I$5*MAX(((F33)+(H33)*(MAX($D$16,(D113)-(J33))))*(MAX($D$16,(D113)-(J33))),0.000001)))*0.99999971))/MAX(((G31)*(MAX($D$16,(D113)-(K31)))^2)/2+(I31)*(MAX($D$16,(D113)-(K31)))^3/3+(ABS(F113)^2)/($I$5*MAX(((G31)+(I31)*(MAX($D$16,(D113)-(K31))))*(MAX($D$16,(D113)-(K31))),0.000001)),0.000001)</f>
        <v>-0.27214945999991125</v>
      </c>
      <c r="V113">
        <f>(((((F34)*(MAX($D$16,(E113)-(J34)))^2)/2+(H34)*(MAX($D$16,(E113)-(J34)))^3/3+(ABS(I113)^2)/($I$5*MAX(((F34)+(H34)*(MAX($D$16,(E113)-(J34))))*(MAX($D$16,(E113)-(J34))),0.000001)))*1)-((((F35)*(MAX($D$16,(E113)-(J35)))^2)/2+(H35)*(MAX($D$16,(E113)-(J35)))^3/3+(ABS(J113)^2)/($I$5*MAX(((F35)+(H35)*(MAX($D$16,(E113)-(J35))))*(MAX($D$16,(E113)-(J35))),0.000001)))*0.30600918))/MAX(((G32)*(MAX($D$16,(E113)-(K32)))^2)/2+(I32)*(MAX($D$16,(E113)-(K32)))^3/3+(ABS(G113)^2)/($I$5*MAX(((G32)+(I32)*(MAX($D$16,(E113)-(K32))))*(MAX($D$16,(E113)-(K32))),0.000001)),0.000001)</f>
        <v>0.69398638937190393</v>
      </c>
      <c r="W113">
        <f>IF(N6="None",ABS(P113-D113),MAX(ABS(P113-D113),ABS(Q113-D113)))</f>
        <v>3.4197000786662102E-10</v>
      </c>
      <c r="X113">
        <f>IF(AND(N7="None",N8="None"),0,IF(N8="None",ABS(S113-E113),IF(N7="None",ABS(T113-E113),MAX(ABS(S113-E113),ABS(T113-E113)))))</f>
        <v>51796.641837662246</v>
      </c>
      <c r="AA113">
        <f t="shared" si="33"/>
        <v>52432.141837662573</v>
      </c>
      <c r="AB113">
        <f t="shared" si="34"/>
        <v>41355.303927853645</v>
      </c>
      <c r="AC113">
        <f>IF(N6="None",P113,MAX(P113,Q113))</f>
        <v>52432.141837662799</v>
      </c>
      <c r="AD113">
        <f>IF(AND(N7="None",N8="None"),E113,IF(N8="None",S113,IF(N7="None",T113,MAX(S113,T113))))</f>
        <v>20784.033523923383</v>
      </c>
      <c r="AE113">
        <f t="shared" si="35"/>
        <v>637.65825101089831</v>
      </c>
      <c r="AF113">
        <f t="shared" si="36"/>
        <v>52432.141837662588</v>
      </c>
      <c r="AG113">
        <f>((G31)*(MAX($D$16,(AC113)-(K31)))^2)/2+(I31)*(MAX($D$16,(AC113)-(K31)))^3/3+(ABS(F113)^2)/($I$5*MAX(((G31)+(I31)*(MAX($D$16,(AC113)-(K31))))*(MAX($D$16,(AC113)-(K31))),0.000001))</f>
        <v>8797611517.4119072</v>
      </c>
      <c r="AH113">
        <f>((G31)*(MAX($D$16,(AE113)-(K31)))^2)/2+(I31)*(MAX($D$16,(AE113)-(K31)))^3/3+(ABS(F113)^2)/($I$5*MAX(((G31)+(I31)*(MAX($D$16,(AE113)-(K31))))*(MAX($D$16,(AE113)-(K31))),0.000001))</f>
        <v>49.055863329575246</v>
      </c>
      <c r="AI113">
        <f>((G32)*(MAX($D$16,(AD113)-(K32)))^2)/2+(I32)*(MAX($D$16,(AD113)-(K32)))^3/3+(ABS(G113)^2)/($I$5*MAX(((G32)+(I32)*(MAX($D$16,(AD113)-(K32))))*(MAX($D$16,(AD113)-(K32))),0.000001))</f>
        <v>2072376743.6648321</v>
      </c>
      <c r="AJ113">
        <f>((G32)*(MAX($D$16,(AF113)-(K32)))^2)/2+(I32)*(MAX($D$16,(AF113)-(K32)))^3/3+(ABS(G113)^2)/($I$5*MAX(((G32)+(I32)*(MAX($D$16,(AF113)-(K32))))*(MAX($D$16,(AF113)-(K32))),0.000001))</f>
        <v>13692714789.644396</v>
      </c>
      <c r="AK113" t="str">
        <f t="shared" si="37"/>
        <v>Subcritical</v>
      </c>
      <c r="AL113" t="str">
        <f t="shared" si="38"/>
        <v>Supercritical</v>
      </c>
      <c r="AM113">
        <f t="shared" si="39"/>
        <v>52432.141837662573</v>
      </c>
      <c r="AN113">
        <f t="shared" si="40"/>
        <v>52432.141837662362</v>
      </c>
      <c r="AO113">
        <f t="shared" si="41"/>
        <v>3.4197000786662102E-10</v>
      </c>
      <c r="AP113">
        <f t="shared" si="42"/>
        <v>3.4197000786662102E-10</v>
      </c>
    </row>
    <row r="114" spans="1:42" x14ac:dyDescent="0.35">
      <c r="A114">
        <v>71</v>
      </c>
      <c r="B114">
        <f t="shared" si="43"/>
        <v>0</v>
      </c>
      <c r="C114">
        <f t="shared" si="44"/>
        <v>0</v>
      </c>
      <c r="D114">
        <f t="shared" si="45"/>
        <v>52432.141837662573</v>
      </c>
      <c r="E114">
        <f t="shared" si="46"/>
        <v>52432.141837662362</v>
      </c>
      <c r="F114">
        <f t="shared" si="32"/>
        <v>51</v>
      </c>
      <c r="G114">
        <f>IF(N6="None",F114,MAX(0,F114*B114))</f>
        <v>51</v>
      </c>
      <c r="H114">
        <f>IF(N6="None",0,MAX(0,F114-G114))</f>
        <v>0</v>
      </c>
      <c r="I114">
        <f>IF(AND(N7="None",N8="None"),0,IF(N8="None",G114,IF(N7="None",0,MAX(0,G114*C114))))</f>
        <v>0</v>
      </c>
      <c r="J114">
        <f>IF(AND(N7="None",N8="None"),0,IF(N8="None",0,IF(N7="None",G114,MAX(0,G114-I114))))</f>
        <v>51</v>
      </c>
      <c r="K114">
        <f>P5</f>
        <v>637</v>
      </c>
      <c r="L114">
        <f>P6</f>
        <v>634.3119999999999</v>
      </c>
      <c r="M114">
        <f>P7</f>
        <v>635.5</v>
      </c>
      <c r="N114">
        <f>P8</f>
        <v>631.54999999999995</v>
      </c>
      <c r="O114">
        <f>K114+((ABS(F114)/MAX(((F31)+(H31)*(MAX($D$16,(K114)-(J31))))*(MAX($D$16,(K114)-(J31))),0.000001))^2)/(2*$I$5)-((E31)*((((ABS(F114)*$D$6)/(MAX(((F31)+(H31)*(MAX($D$16,(K114)-(J31))))*(MAX($D$16,(K114)-(J31))),0.000001)*MAX(((((F31)+(H31)*(MAX($D$16,(K114)-(J31))))*(MAX($D$16,(K114)-(J31))))/MAX((F31)+2*(MAX($D$16,(K114)-(J31)))*SQRT(1+(H31)^2),0.000001))^(2/3),0.000001)))^2)+(((ABS(F114)*$D$6)/(MAX(((G31)+(I31)*(MAX($D$16,(D114)-(K31))))*(MAX($D$16,(D114)-(K31))),0.000001)*MAX(((((G31)+(I31)*(MAX($D$16,(D114)-(K31))))*(MAX($D$16,(D114)-(K31))))/MAX((G31)+2*(MAX($D$16,(D114)-(K31)))*SQRT(1+(I31)^2),0.000001))^(2/3),0.000001)))^2))/2)+(IF((ABS(F114)/MAX(((G31)+(I31)*(MAX($D$16,(D114)-(K31))))*(MAX($D$16,(D114)-(K31))),0.000001))&gt;(ABS(F114)/MAX(((F31)+(H31)*(MAX($D$16,(K114)-(J31))))*(MAX($D$16,(K114)-(J31))),0.000001)),$D$9*((((ABS(F114)/MAX(((G31)+(I31)*(MAX($D$16,(D114)-(K31))))*(MAX($D$16,(D114)-(K31))),0.000001))^2)/(2*$I$5))-(((ABS(F114)/MAX(((F31)+(H31)*(MAX($D$16,(K114)-(J31))))*(MAX($D$16,(K114)-(J31))),0.000001))^2)/(2*$I$5))),$D$8*((((ABS(F114)/MAX(((F31)+(H31)*(MAX($D$16,(K114)-(J31))))*(MAX($D$16,(K114)-(J31))),0.000001))^2)/(2*$I$5))-(((ABS(F114)/MAX(((G31)+(I31)*(MAX($D$16,(D114)-(K31))))*(MAX($D$16,(D114)-(K31))),0.000001))^2)/(2*$I$5)))))+($D$10*(ABS((X31)-(W31))/90)*MAX(((ABS(F114)/MAX(((F31)+(H31)*(MAX($D$16,(K114)-(J31))))*(MAX($D$16,(K114)-(J31))),0.000001))^2)/(2*$I$5),((ABS(F114)/MAX(((G31)+(I31)*(MAX($D$16,(D114)-(K31))))*(MAX($D$16,(D114)-(K31))),0.000001))^2)/(2*$I$5)))+(0)-((ABS(F114)/MAX(((G31)+(I31)*(MAX($D$16,(D114)-(K31))))*(MAX($D$16,(D114)-(K31))),0.000001))^2)/(2*$I$5)</f>
        <v>637.65825101089831</v>
      </c>
      <c r="P114">
        <f>E114+((ABS(G114)/MAX(((G32)+(I32)*(MAX($D$16,(E114)-(K32))))*(MAX($D$16,(E114)-(K32))),0.000001))^2)/(2*$I$5)+((E32)*((((ABS(G114)*$D$6)/(MAX(((F32)+(H32)*(MAX($D$16,(D114)-(J32))))*(MAX($D$16,(D114)-(J32))),0.000001)*MAX(((((F32)+(H32)*(MAX($D$16,(D114)-(J32))))*(MAX($D$16,(D114)-(J32))))/MAX((F32)+2*(MAX($D$16,(D114)-(J32)))*SQRT(1+(H32)^2),0.000001))^(2/3),0.000001)))^2)+(((ABS(G114)*$D$6)/(MAX(((G32)+(I32)*(MAX($D$16,(E114)-(K32))))*(MAX($D$16,(E114)-(K32))),0.000001)*MAX(((((G32)+(I32)*(MAX($D$16,(E114)-(K32))))*(MAX($D$16,(E114)-(K32))))/MAX((G32)+2*(MAX($D$16,(E114)-(K32)))*SQRT(1+(I32)^2),0.000001))^(2/3),0.000001)))^2))/2)+(IF((ABS(G114)/MAX(((G32)+(I32)*(MAX($D$16,(E114)-(K32))))*(MAX($D$16,(E114)-(K32))),0.000001))&gt;(ABS(G114)/MAX(((F32)+(H32)*(MAX($D$16,(D114)-(J32))))*(MAX($D$16,(D114)-(J32))),0.000001)),$D$9*((((ABS(G114)/MAX(((G32)+(I32)*(MAX($D$16,(E114)-(K32))))*(MAX($D$16,(E114)-(K32))),0.000001))^2)/(2*$I$5))-(((ABS(G114)/MAX(((F32)+(H32)*(MAX($D$16,(D114)-(J32))))*(MAX($D$16,(D114)-(J32))),0.000001))^2)/(2*$I$5))),$D$8*((((ABS(G114)/MAX(((F32)+(H32)*(MAX($D$16,(D114)-(J32))))*(MAX($D$16,(D114)-(J32))),0.000001))^2)/(2*$I$5))-(((ABS(G114)/MAX(((G32)+(I32)*(MAX($D$16,(E114)-(K32))))*(MAX($D$16,(E114)-(K32))),0.000001))^2)/(2*$I$5)))))+($D$10*(ABS((X32)-(W32))/90)*MAX(((ABS(G114)/MAX(((F32)+(H32)*(MAX($D$16,(D114)-(J32))))*(MAX($D$16,(D114)-(J32))),0.000001))^2)/(2*$I$5),((ABS(G114)/MAX(((G32)+(I32)*(MAX($D$16,(E114)-(K32))))*(MAX($D$16,(E114)-(K32))),0.000001))^2)/(2*$I$5)))+(($D$11*0.13607488*(ABS(H114)/MAX(ABS(F114),0.000001))^2*MAX(((ABS(G114)/MAX(((F32)+(H32)*(MAX($D$16,(D114)-(J32))))*(MAX($D$16,(D114)-(J32))),0.000001))^2)/(2*$I$5),((ABS(G114)/MAX(((G32)+(I32)*(MAX($D$16,(E114)-(K32))))*(MAX($D$16,(E114)-(K32))),0.000001))^2)/(2*$I$5))))-((ABS(G114)/MAX(((F32)+(H32)*(MAX($D$16,(D114)-(J32))))*(MAX($D$16,(D114)-(J32))),0.000001))^2)/(2*$I$5)</f>
        <v>52432.141837662915</v>
      </c>
      <c r="Q114">
        <f>L114+((ABS(H114)/MAX(((G33)+(I33)*(MAX($D$16,(L114)-(K33))))*(MAX($D$16,(L114)-(K33))),0.000001))^2)/(2*$I$5)+((E33)*((((ABS(H114)*$D$6)/(MAX(((F33)+(H33)*(MAX($D$16,(D114)-(J33))))*(MAX($D$16,(D114)-(J33))),0.000001)*MAX(((((F33)+(H33)*(MAX($D$16,(D114)-(J33))))*(MAX($D$16,(D114)-(J33))))/MAX((F33)+2*(MAX($D$16,(D114)-(J33)))*SQRT(1+(H33)^2),0.000001))^(2/3),0.000001)))^2)+(((ABS(H114)*$D$6)/(MAX(((G33)+(I33)*(MAX($D$16,(L114)-(K33))))*(MAX($D$16,(L114)-(K33))),0.000001)*MAX(((((G33)+(I33)*(MAX($D$16,(L114)-(K33))))*(MAX($D$16,(L114)-(K33))))/MAX((G33)+2*(MAX($D$16,(L114)-(K33)))*SQRT(1+(I33)^2),0.000001))^(2/3),0.000001)))^2))/2)+(IF((ABS(H114)/MAX(((G33)+(I33)*(MAX($D$16,(L114)-(K33))))*(MAX($D$16,(L114)-(K33))),0.000001))&gt;(ABS(H114)/MAX(((F33)+(H33)*(MAX($D$16,(D114)-(J33))))*(MAX($D$16,(D114)-(J33))),0.000001)),$D$9*((((ABS(H114)/MAX(((G33)+(I33)*(MAX($D$16,(L114)-(K33))))*(MAX($D$16,(L114)-(K33))),0.000001))^2)/(2*$I$5))-(((ABS(H114)/MAX(((F33)+(H33)*(MAX($D$16,(D114)-(J33))))*(MAX($D$16,(D114)-(J33))),0.000001))^2)/(2*$I$5))),$D$8*((((ABS(H114)/MAX(((F33)+(H33)*(MAX($D$16,(D114)-(J33))))*(MAX($D$16,(D114)-(J33))),0.000001))^2)/(2*$I$5))-(((ABS(H114)/MAX(((G33)+(I33)*(MAX($D$16,(L114)-(K33))))*(MAX($D$16,(L114)-(K33))),0.000001))^2)/(2*$I$5)))))+($D$10*(ABS((X33)-(W33))/90)*MAX(((ABS(H114)/MAX(((F33)+(H33)*(MAX($D$16,(D114)-(J33))))*(MAX($D$16,(D114)-(J33))),0.000001))^2)/(2*$I$5),((ABS(H114)/MAX(((G33)+(I33)*(MAX($D$16,(L114)-(K33))))*(MAX($D$16,(L114)-(K33))),0.000001))^2)/(2*$I$5)))+(($D$11*0.00000015*(ABS(G114)/MAX(ABS(F114),0.000001))^2*MAX(((ABS(H114)/MAX(((F33)+(H33)*(MAX($D$16,(D114)-(J33))))*(MAX($D$16,(D114)-(J33))),0.000001))^2)/(2*$I$5),((ABS(H114)/MAX(((G33)+(I33)*(MAX($D$16,(L114)-(K33))))*(MAX($D$16,(L114)-(K33))),0.000001))^2)/(2*$I$5))))-((ABS(H114)/MAX(((F33)+(H33)*(MAX($D$16,(D114)-(J33))))*(MAX($D$16,(D114)-(J33))),0.000001))^2)/(2*$I$5)</f>
        <v>634.3119999999999</v>
      </c>
      <c r="R114">
        <f>D114+((ABS(G114)/MAX(((F32)+(H32)*(MAX($D$16,(D114)-(J32))))*(MAX($D$16,(D114)-(J32))),0.000001))^2)/(2*$I$5)-((E32)*((((ABS(G114)*$D$6)/(MAX(((F32)+(H32)*(MAX($D$16,(D114)-(J32))))*(MAX($D$16,(D114)-(J32))),0.000001)*MAX(((((F32)+(H32)*(MAX($D$16,(D114)-(J32))))*(MAX($D$16,(D114)-(J32))))/MAX((F32)+2*(MAX($D$16,(D114)-(J32)))*SQRT(1+(H32)^2),0.000001))^(2/3),0.000001)))^2)+(((ABS(G114)*$D$6)/(MAX(((G32)+(I32)*(MAX($D$16,(E114)-(K32))))*(MAX($D$16,(E114)-(K32))),0.000001)*MAX(((((G32)+(I32)*(MAX($D$16,(E114)-(K32))))*(MAX($D$16,(E114)-(K32))))/MAX((G32)+2*(MAX($D$16,(E114)-(K32)))*SQRT(1+(I32)^2),0.000001))^(2/3),0.000001)))^2))/2)+(IF((ABS(G114)/MAX(((G32)+(I32)*(MAX($D$16,(E114)-(K32))))*(MAX($D$16,(E114)-(K32))),0.000001))&gt;(ABS(G114)/MAX(((F32)+(H32)*(MAX($D$16,(D114)-(J32))))*(MAX($D$16,(D114)-(J32))),0.000001)),$D$9*((((ABS(G114)/MAX(((G32)+(I32)*(MAX($D$16,(E114)-(K32))))*(MAX($D$16,(E114)-(K32))),0.000001))^2)/(2*$I$5))-(((ABS(G114)/MAX(((F32)+(H32)*(MAX($D$16,(D114)-(J32))))*(MAX($D$16,(D114)-(J32))),0.000001))^2)/(2*$I$5))),$D$8*((((ABS(G114)/MAX(((F32)+(H32)*(MAX($D$16,(D114)-(J32))))*(MAX($D$16,(D114)-(J32))),0.000001))^2)/(2*$I$5))-(((ABS(G114)/MAX(((G32)+(I32)*(MAX($D$16,(E114)-(K32))))*(MAX($D$16,(E114)-(K32))),0.000001))^2)/(2*$I$5)))))+($D$10*(ABS((X32)-(W32))/90)*MAX(((ABS(G114)/MAX(((F32)+(H32)*(MAX($D$16,(D114)-(J32))))*(MAX($D$16,(D114)-(J32))),0.000001))^2)/(2*$I$5),((ABS(G114)/MAX(((G32)+(I32)*(MAX($D$16,(E114)-(K32))))*(MAX($D$16,(E114)-(K32))),0.000001))^2)/(2*$I$5)))+(($D$11*0.13607488*(ABS(H114)/MAX(ABS(F114),0.000001))^2*MAX(((ABS(G114)/MAX(((F32)+(H32)*(MAX($D$16,(D114)-(J32))))*(MAX($D$16,(D114)-(J32))),0.000001))^2)/(2*$I$5),((ABS(G114)/MAX(((G32)+(I32)*(MAX($D$16,(E114)-(K32))))*(MAX($D$16,(E114)-(K32))),0.000001))^2)/(2*$I$5))))-((ABS(G114)/MAX(((G32)+(I32)*(MAX($D$16,(E114)-(K32))))*(MAX($D$16,(E114)-(K32))),0.000001))^2)/(2*$I$5)</f>
        <v>52432.141837662704</v>
      </c>
      <c r="S114">
        <f>M114+((ABS(I114)/MAX(((G34)+(I34)*(MAX($D$16,(M114)-(K34))))*(MAX($D$16,(M114)-(K34))),0.000001))^2)/(2*$I$5)+((E34)*((((ABS(I114)*$D$6)/(MAX(((F34)+(H34)*(MAX($D$16,(E114)-(J34))))*(MAX($D$16,(E114)-(J34))),0.000001)*MAX(((((F34)+(H34)*(MAX($D$16,(E114)-(J34))))*(MAX($D$16,(E114)-(J34))))/MAX((F34)+2*(MAX($D$16,(E114)-(J34)))*SQRT(1+(H34)^2),0.000001))^(2/3),0.000001)))^2)+(((ABS(I114)*$D$6)/(MAX(((G34)+(I34)*(MAX($D$16,(M114)-(K34))))*(MAX($D$16,(M114)-(K34))),0.000001)*MAX(((((G34)+(I34)*(MAX($D$16,(M114)-(K34))))*(MAX($D$16,(M114)-(K34))))/MAX((G34)+2*(MAX($D$16,(M114)-(K34)))*SQRT(1+(I34)^2),0.000001))^(2/3),0.000001)))^2))/2)+(IF((ABS(I114)/MAX(((G34)+(I34)*(MAX($D$16,(M114)-(K34))))*(MAX($D$16,(M114)-(K34))),0.000001))&gt;(ABS(I114)/MAX(((F34)+(H34)*(MAX($D$16,(E114)-(J34))))*(MAX($D$16,(E114)-(J34))),0.000001)),$D$9*((((ABS(I114)/MAX(((G34)+(I34)*(MAX($D$16,(M114)-(K34))))*(MAX($D$16,(M114)-(K34))),0.000001))^2)/(2*$I$5))-(((ABS(I114)/MAX(((F34)+(H34)*(MAX($D$16,(E114)-(J34))))*(MAX($D$16,(E114)-(J34))),0.000001))^2)/(2*$I$5))),$D$8*((((ABS(I114)/MAX(((F34)+(H34)*(MAX($D$16,(E114)-(J34))))*(MAX($D$16,(E114)-(J34))),0.000001))^2)/(2*$I$5))-(((ABS(I114)/MAX(((G34)+(I34)*(MAX($D$16,(M114)-(K34))))*(MAX($D$16,(M114)-(K34))),0.000001))^2)/(2*$I$5)))))+($D$10*(ABS((X34)-(W34))/90)*MAX(((ABS(I114)/MAX(((F34)+(H34)*(MAX($D$16,(E114)-(J34))))*(MAX($D$16,(E114)-(J34))),0.000001))^2)/(2*$I$5),((ABS(I114)/MAX(((G34)+(I34)*(MAX($D$16,(M114)-(K34))))*(MAX($D$16,(M114)-(K34))),0.000001))^2)/(2*$I$5)))+(0)-((ABS(I114)/MAX(((F34)+(H34)*(MAX($D$16,(E114)-(J34))))*(MAX($D$16,(E114)-(J34))),0.000001))^2)/(2*$I$5)</f>
        <v>635.5</v>
      </c>
      <c r="T114">
        <f>N114+((ABS(J114)/MAX(((G35)+(I35)*(MAX($D$16,(N114)-(K35))))*(MAX($D$16,(N114)-(K35))),0.000001))^2)/(2*$I$5)+((E35)*((((ABS(J114)*$D$6)/(MAX(((F35)+(H35)*(MAX($D$16,(E114)-(J35))))*(MAX($D$16,(E114)-(J35))),0.000001)*MAX(((((F35)+(H35)*(MAX($D$16,(E114)-(J35))))*(MAX($D$16,(E114)-(J35))))/MAX((F35)+2*(MAX($D$16,(E114)-(J35)))*SQRT(1+(H35)^2),0.000001))^(2/3),0.000001)))^2)+(((ABS(J114)*$D$6)/(MAX(((G35)+(I35)*(MAX($D$16,(N114)-(K35))))*(MAX($D$16,(N114)-(K35))),0.000001)*MAX(((((G35)+(I35)*(MAX($D$16,(N114)-(K35))))*(MAX($D$16,(N114)-(K35))))/MAX((G35)+2*(MAX($D$16,(N114)-(K35)))*SQRT(1+(I35)^2),0.000001))^(2/3),0.000001)))^2))/2)+(IF((ABS(J114)/MAX(((G35)+(I35)*(MAX($D$16,(N114)-(K35))))*(MAX($D$16,(N114)-(K35))),0.000001))&gt;(ABS(J114)/MAX(((F35)+(H35)*(MAX($D$16,(E114)-(J35))))*(MAX($D$16,(E114)-(J35))),0.000001)),$D$9*((((ABS(J114)/MAX(((G35)+(I35)*(MAX($D$16,(N114)-(K35))))*(MAX($D$16,(N114)-(K35))),0.000001))^2)/(2*$I$5))-(((ABS(J114)/MAX(((F35)+(H35)*(MAX($D$16,(E114)-(J35))))*(MAX($D$16,(E114)-(J35))),0.000001))^2)/(2*$I$5))),$D$8*((((ABS(J114)/MAX(((F35)+(H35)*(MAX($D$16,(E114)-(J35))))*(MAX($D$16,(E114)-(J35))),0.000001))^2)/(2*$I$5))-(((ABS(J114)/MAX(((G35)+(I35)*(MAX($D$16,(N114)-(K35))))*(MAX($D$16,(N114)-(K35))),0.000001))^2)/(2*$I$5)))))+($D$10*(ABS((X35)-(W35))/90)*MAX(((ABS(J114)/MAX(((F35)+(H35)*(MAX($D$16,(E114)-(J35))))*(MAX($D$16,(E114)-(J35))),0.000001))^2)/(2*$I$5),((ABS(J114)/MAX(((G35)+(I35)*(MAX($D$16,(N114)-(K35))))*(MAX($D$16,(N114)-(K35))),0.000001))^2)/(2*$I$5)))+(($D$11*0.34699541*(ABS(I114)/MAX(ABS(G114),0.000001))^2*MAX(((ABS(J114)/MAX(((F35)+(H35)*(MAX($D$16,(E114)-(J35))))*(MAX($D$16,(E114)-(J35))),0.000001))^2)/(2*$I$5),((ABS(J114)/MAX(((G35)+(I35)*(MAX($D$16,(N114)-(K35))))*(MAX($D$16,(N114)-(K35))),0.000001))^2)/(2*$I$5))))-((ABS(J114)/MAX(((F35)+(H35)*(MAX($D$16,(E114)-(J35))))*(MAX($D$16,(E114)-(J35))),0.000001))^2)/(2*$I$5)</f>
        <v>20784.033523923383</v>
      </c>
      <c r="U114">
        <f>(((((F32)*(MAX($D$16,(D114)-(J32)))^2)/2+(H32)*(MAX($D$16,(D114)-(J32)))^3/3+(ABS(G114)^2)/($I$5*MAX(((F32)+(H32)*(MAX($D$16,(D114)-(J32))))*(MAX($D$16,(D114)-(J32))),0.000001)))*0.72785025)-((((F33)*(MAX($D$16,(D114)-(J33)))^2)/2+(H33)*(MAX($D$16,(D114)-(J33)))^3/3+(ABS(H114)^2)/($I$5*MAX(((F33)+(H33)*(MAX($D$16,(D114)-(J33))))*(MAX($D$16,(D114)-(J33))),0.000001)))*0.99999971))/MAX(((G31)*(MAX($D$16,(D114)-(K31)))^2)/2+(I31)*(MAX($D$16,(D114)-(K31)))^3/3+(ABS(F114)^2)/($I$5*MAX(((G31)+(I31)*(MAX($D$16,(D114)-(K31))))*(MAX($D$16,(D114)-(K31))),0.000001)),0.000001)</f>
        <v>-0.27214945999991119</v>
      </c>
      <c r="V114">
        <f>(((((F34)*(MAX($D$16,(E114)-(J34)))^2)/2+(H34)*(MAX($D$16,(E114)-(J34)))^3/3+(ABS(I114)^2)/($I$5*MAX(((F34)+(H34)*(MAX($D$16,(E114)-(J34))))*(MAX($D$16,(E114)-(J34))),0.000001)))*1)-((((F35)*(MAX($D$16,(E114)-(J35)))^2)/2+(H35)*(MAX($D$16,(E114)-(J35)))^3/3+(ABS(J114)^2)/($I$5*MAX(((F35)+(H35)*(MAX($D$16,(E114)-(J35))))*(MAX($D$16,(E114)-(J35))),0.000001)))*0.30600918))/MAX(((G32)*(MAX($D$16,(E114)-(K32)))^2)/2+(I32)*(MAX($D$16,(E114)-(K32)))^3/3+(ABS(G114)^2)/($I$5*MAX(((G32)+(I32)*(MAX($D$16,(E114)-(K32))))*(MAX($D$16,(E114)-(K32))),0.000001)),0.000001)</f>
        <v>0.69398638937190393</v>
      </c>
      <c r="W114">
        <f>IF(N6="None",ABS(P114-D114),MAX(ABS(P114-D114),ABS(Q114-D114)))</f>
        <v>3.4197000786662102E-10</v>
      </c>
      <c r="X114">
        <f>IF(AND(N7="None",N8="None"),0,IF(N8="None",ABS(S114-E114),IF(N7="None",ABS(T114-E114),MAX(ABS(S114-E114),ABS(T114-E114)))))</f>
        <v>51796.641837662362</v>
      </c>
      <c r="AA114">
        <f t="shared" si="33"/>
        <v>52432.14183766269</v>
      </c>
      <c r="AB114">
        <f t="shared" si="34"/>
        <v>41355.303927853718</v>
      </c>
      <c r="AC114">
        <f>IF(N6="None",P114,MAX(P114,Q114))</f>
        <v>52432.141837662915</v>
      </c>
      <c r="AD114">
        <f>IF(AND(N7="None",N8="None"),E114,IF(N8="None",S114,IF(N7="None",T114,MAX(S114,T114))))</f>
        <v>20784.033523923383</v>
      </c>
      <c r="AE114">
        <f t="shared" si="35"/>
        <v>637.65825101089831</v>
      </c>
      <c r="AF114">
        <f t="shared" si="36"/>
        <v>52432.141837662704</v>
      </c>
      <c r="AG114">
        <f>((G31)*(MAX($D$16,(AC114)-(K31)))^2)/2+(I31)*(MAX($D$16,(AC114)-(K31)))^3/3+(ABS(F114)^2)/($I$5*MAX(((G31)+(I31)*(MAX($D$16,(AC114)-(K31))))*(MAX($D$16,(AC114)-(K31))),0.000001))</f>
        <v>8797611517.4119453</v>
      </c>
      <c r="AH114">
        <f>((G31)*(MAX($D$16,(AE114)-(K31)))^2)/2+(I31)*(MAX($D$16,(AE114)-(K31)))^3/3+(ABS(F114)^2)/($I$5*MAX(((G31)+(I31)*(MAX($D$16,(AE114)-(K31))))*(MAX($D$16,(AE114)-(K31))),0.000001))</f>
        <v>49.055863329575246</v>
      </c>
      <c r="AI114">
        <f>((G32)*(MAX($D$16,(AD114)-(K32)))^2)/2+(I32)*(MAX($D$16,(AD114)-(K32)))^3/3+(ABS(G114)^2)/($I$5*MAX(((G32)+(I32)*(MAX($D$16,(AD114)-(K32))))*(MAX($D$16,(AD114)-(K32))),0.000001))</f>
        <v>2072376743.6648321</v>
      </c>
      <c r="AJ114">
        <f>((G32)*(MAX($D$16,(AF114)-(K32)))^2)/2+(I32)*(MAX($D$16,(AF114)-(K32)))^3/3+(ABS(G114)^2)/($I$5*MAX(((G32)+(I32)*(MAX($D$16,(AF114)-(K32))))*(MAX($D$16,(AF114)-(K32))),0.000001))</f>
        <v>13692714789.644459</v>
      </c>
      <c r="AK114" t="str">
        <f t="shared" si="37"/>
        <v>Subcritical</v>
      </c>
      <c r="AL114" t="str">
        <f t="shared" si="38"/>
        <v>Supercritical</v>
      </c>
      <c r="AM114">
        <f t="shared" si="39"/>
        <v>52432.14183766269</v>
      </c>
      <c r="AN114">
        <f t="shared" si="40"/>
        <v>52432.141837662479</v>
      </c>
      <c r="AO114">
        <f t="shared" si="41"/>
        <v>3.4197000786662102E-10</v>
      </c>
      <c r="AP114">
        <f t="shared" si="42"/>
        <v>3.4197000786662102E-10</v>
      </c>
    </row>
    <row r="115" spans="1:42" x14ac:dyDescent="0.35">
      <c r="A115">
        <v>72</v>
      </c>
      <c r="B115">
        <f t="shared" si="43"/>
        <v>0</v>
      </c>
      <c r="C115">
        <f t="shared" si="44"/>
        <v>0</v>
      </c>
      <c r="D115">
        <f t="shared" si="45"/>
        <v>52432.14183766269</v>
      </c>
      <c r="E115">
        <f t="shared" si="46"/>
        <v>52432.141837662479</v>
      </c>
      <c r="F115">
        <f t="shared" si="32"/>
        <v>51</v>
      </c>
      <c r="G115">
        <f>IF(N6="None",F115,MAX(0,F115*B115))</f>
        <v>51</v>
      </c>
      <c r="H115">
        <f>IF(N6="None",0,MAX(0,F115-G115))</f>
        <v>0</v>
      </c>
      <c r="I115">
        <f>IF(AND(N7="None",N8="None"),0,IF(N8="None",G115,IF(N7="None",0,MAX(0,G115*C115))))</f>
        <v>0</v>
      </c>
      <c r="J115">
        <f>IF(AND(N7="None",N8="None"),0,IF(N8="None",0,IF(N7="None",G115,MAX(0,G115-I115))))</f>
        <v>51</v>
      </c>
      <c r="K115">
        <f>P5</f>
        <v>637</v>
      </c>
      <c r="L115">
        <f>P6</f>
        <v>634.3119999999999</v>
      </c>
      <c r="M115">
        <f>P7</f>
        <v>635.5</v>
      </c>
      <c r="N115">
        <f>P8</f>
        <v>631.54999999999995</v>
      </c>
      <c r="O115">
        <f>K115+((ABS(F115)/MAX(((F31)+(H31)*(MAX($D$16,(K115)-(J31))))*(MAX($D$16,(K115)-(J31))),0.000001))^2)/(2*$I$5)-((E31)*((((ABS(F115)*$D$6)/(MAX(((F31)+(H31)*(MAX($D$16,(K115)-(J31))))*(MAX($D$16,(K115)-(J31))),0.000001)*MAX(((((F31)+(H31)*(MAX($D$16,(K115)-(J31))))*(MAX($D$16,(K115)-(J31))))/MAX((F31)+2*(MAX($D$16,(K115)-(J31)))*SQRT(1+(H31)^2),0.000001))^(2/3),0.000001)))^2)+(((ABS(F115)*$D$6)/(MAX(((G31)+(I31)*(MAX($D$16,(D115)-(K31))))*(MAX($D$16,(D115)-(K31))),0.000001)*MAX(((((G31)+(I31)*(MAX($D$16,(D115)-(K31))))*(MAX($D$16,(D115)-(K31))))/MAX((G31)+2*(MAX($D$16,(D115)-(K31)))*SQRT(1+(I31)^2),0.000001))^(2/3),0.000001)))^2))/2)+(IF((ABS(F115)/MAX(((G31)+(I31)*(MAX($D$16,(D115)-(K31))))*(MAX($D$16,(D115)-(K31))),0.000001))&gt;(ABS(F115)/MAX(((F31)+(H31)*(MAX($D$16,(K115)-(J31))))*(MAX($D$16,(K115)-(J31))),0.000001)),$D$9*((((ABS(F115)/MAX(((G31)+(I31)*(MAX($D$16,(D115)-(K31))))*(MAX($D$16,(D115)-(K31))),0.000001))^2)/(2*$I$5))-(((ABS(F115)/MAX(((F31)+(H31)*(MAX($D$16,(K115)-(J31))))*(MAX($D$16,(K115)-(J31))),0.000001))^2)/(2*$I$5))),$D$8*((((ABS(F115)/MAX(((F31)+(H31)*(MAX($D$16,(K115)-(J31))))*(MAX($D$16,(K115)-(J31))),0.000001))^2)/(2*$I$5))-(((ABS(F115)/MAX(((G31)+(I31)*(MAX($D$16,(D115)-(K31))))*(MAX($D$16,(D115)-(K31))),0.000001))^2)/(2*$I$5)))))+($D$10*(ABS((X31)-(W31))/90)*MAX(((ABS(F115)/MAX(((F31)+(H31)*(MAX($D$16,(K115)-(J31))))*(MAX($D$16,(K115)-(J31))),0.000001))^2)/(2*$I$5),((ABS(F115)/MAX(((G31)+(I31)*(MAX($D$16,(D115)-(K31))))*(MAX($D$16,(D115)-(K31))),0.000001))^2)/(2*$I$5)))+(0)-((ABS(F115)/MAX(((G31)+(I31)*(MAX($D$16,(D115)-(K31))))*(MAX($D$16,(D115)-(K31))),0.000001))^2)/(2*$I$5)</f>
        <v>637.65825101089831</v>
      </c>
      <c r="P115">
        <f>E115+((ABS(G115)/MAX(((G32)+(I32)*(MAX($D$16,(E115)-(K32))))*(MAX($D$16,(E115)-(K32))),0.000001))^2)/(2*$I$5)+((E32)*((((ABS(G115)*$D$6)/(MAX(((F32)+(H32)*(MAX($D$16,(D115)-(J32))))*(MAX($D$16,(D115)-(J32))),0.000001)*MAX(((((F32)+(H32)*(MAX($D$16,(D115)-(J32))))*(MAX($D$16,(D115)-(J32))))/MAX((F32)+2*(MAX($D$16,(D115)-(J32)))*SQRT(1+(H32)^2),0.000001))^(2/3),0.000001)))^2)+(((ABS(G115)*$D$6)/(MAX(((G32)+(I32)*(MAX($D$16,(E115)-(K32))))*(MAX($D$16,(E115)-(K32))),0.000001)*MAX(((((G32)+(I32)*(MAX($D$16,(E115)-(K32))))*(MAX($D$16,(E115)-(K32))))/MAX((G32)+2*(MAX($D$16,(E115)-(K32)))*SQRT(1+(I32)^2),0.000001))^(2/3),0.000001)))^2))/2)+(IF((ABS(G115)/MAX(((G32)+(I32)*(MAX($D$16,(E115)-(K32))))*(MAX($D$16,(E115)-(K32))),0.000001))&gt;(ABS(G115)/MAX(((F32)+(H32)*(MAX($D$16,(D115)-(J32))))*(MAX($D$16,(D115)-(J32))),0.000001)),$D$9*((((ABS(G115)/MAX(((G32)+(I32)*(MAX($D$16,(E115)-(K32))))*(MAX($D$16,(E115)-(K32))),0.000001))^2)/(2*$I$5))-(((ABS(G115)/MAX(((F32)+(H32)*(MAX($D$16,(D115)-(J32))))*(MAX($D$16,(D115)-(J32))),0.000001))^2)/(2*$I$5))),$D$8*((((ABS(G115)/MAX(((F32)+(H32)*(MAX($D$16,(D115)-(J32))))*(MAX($D$16,(D115)-(J32))),0.000001))^2)/(2*$I$5))-(((ABS(G115)/MAX(((G32)+(I32)*(MAX($D$16,(E115)-(K32))))*(MAX($D$16,(E115)-(K32))),0.000001))^2)/(2*$I$5)))))+($D$10*(ABS((X32)-(W32))/90)*MAX(((ABS(G115)/MAX(((F32)+(H32)*(MAX($D$16,(D115)-(J32))))*(MAX($D$16,(D115)-(J32))),0.000001))^2)/(2*$I$5),((ABS(G115)/MAX(((G32)+(I32)*(MAX($D$16,(E115)-(K32))))*(MAX($D$16,(E115)-(K32))),0.000001))^2)/(2*$I$5)))+(($D$11*0.13607488*(ABS(H115)/MAX(ABS(F115),0.000001))^2*MAX(((ABS(G115)/MAX(((F32)+(H32)*(MAX($D$16,(D115)-(J32))))*(MAX($D$16,(D115)-(J32))),0.000001))^2)/(2*$I$5),((ABS(G115)/MAX(((G32)+(I32)*(MAX($D$16,(E115)-(K32))))*(MAX($D$16,(E115)-(K32))),0.000001))^2)/(2*$I$5))))-((ABS(G115)/MAX(((F32)+(H32)*(MAX($D$16,(D115)-(J32))))*(MAX($D$16,(D115)-(J32))),0.000001))^2)/(2*$I$5)</f>
        <v>52432.141837663032</v>
      </c>
      <c r="Q115">
        <f>L115+((ABS(H115)/MAX(((G33)+(I33)*(MAX($D$16,(L115)-(K33))))*(MAX($D$16,(L115)-(K33))),0.000001))^2)/(2*$I$5)+((E33)*((((ABS(H115)*$D$6)/(MAX(((F33)+(H33)*(MAX($D$16,(D115)-(J33))))*(MAX($D$16,(D115)-(J33))),0.000001)*MAX(((((F33)+(H33)*(MAX($D$16,(D115)-(J33))))*(MAX($D$16,(D115)-(J33))))/MAX((F33)+2*(MAX($D$16,(D115)-(J33)))*SQRT(1+(H33)^2),0.000001))^(2/3),0.000001)))^2)+(((ABS(H115)*$D$6)/(MAX(((G33)+(I33)*(MAX($D$16,(L115)-(K33))))*(MAX($D$16,(L115)-(K33))),0.000001)*MAX(((((G33)+(I33)*(MAX($D$16,(L115)-(K33))))*(MAX($D$16,(L115)-(K33))))/MAX((G33)+2*(MAX($D$16,(L115)-(K33)))*SQRT(1+(I33)^2),0.000001))^(2/3),0.000001)))^2))/2)+(IF((ABS(H115)/MAX(((G33)+(I33)*(MAX($D$16,(L115)-(K33))))*(MAX($D$16,(L115)-(K33))),0.000001))&gt;(ABS(H115)/MAX(((F33)+(H33)*(MAX($D$16,(D115)-(J33))))*(MAX($D$16,(D115)-(J33))),0.000001)),$D$9*((((ABS(H115)/MAX(((G33)+(I33)*(MAX($D$16,(L115)-(K33))))*(MAX($D$16,(L115)-(K33))),0.000001))^2)/(2*$I$5))-(((ABS(H115)/MAX(((F33)+(H33)*(MAX($D$16,(D115)-(J33))))*(MAX($D$16,(D115)-(J33))),0.000001))^2)/(2*$I$5))),$D$8*((((ABS(H115)/MAX(((F33)+(H33)*(MAX($D$16,(D115)-(J33))))*(MAX($D$16,(D115)-(J33))),0.000001))^2)/(2*$I$5))-(((ABS(H115)/MAX(((G33)+(I33)*(MAX($D$16,(L115)-(K33))))*(MAX($D$16,(L115)-(K33))),0.000001))^2)/(2*$I$5)))))+($D$10*(ABS((X33)-(W33))/90)*MAX(((ABS(H115)/MAX(((F33)+(H33)*(MAX($D$16,(D115)-(J33))))*(MAX($D$16,(D115)-(J33))),0.000001))^2)/(2*$I$5),((ABS(H115)/MAX(((G33)+(I33)*(MAX($D$16,(L115)-(K33))))*(MAX($D$16,(L115)-(K33))),0.000001))^2)/(2*$I$5)))+(($D$11*0.00000015*(ABS(G115)/MAX(ABS(F115),0.000001))^2*MAX(((ABS(H115)/MAX(((F33)+(H33)*(MAX($D$16,(D115)-(J33))))*(MAX($D$16,(D115)-(J33))),0.000001))^2)/(2*$I$5),((ABS(H115)/MAX(((G33)+(I33)*(MAX($D$16,(L115)-(K33))))*(MAX($D$16,(L115)-(K33))),0.000001))^2)/(2*$I$5))))-((ABS(H115)/MAX(((F33)+(H33)*(MAX($D$16,(D115)-(J33))))*(MAX($D$16,(D115)-(J33))),0.000001))^2)/(2*$I$5)</f>
        <v>634.3119999999999</v>
      </c>
      <c r="R115">
        <f>D115+((ABS(G115)/MAX(((F32)+(H32)*(MAX($D$16,(D115)-(J32))))*(MAX($D$16,(D115)-(J32))),0.000001))^2)/(2*$I$5)-((E32)*((((ABS(G115)*$D$6)/(MAX(((F32)+(H32)*(MAX($D$16,(D115)-(J32))))*(MAX($D$16,(D115)-(J32))),0.000001)*MAX(((((F32)+(H32)*(MAX($D$16,(D115)-(J32))))*(MAX($D$16,(D115)-(J32))))/MAX((F32)+2*(MAX($D$16,(D115)-(J32)))*SQRT(1+(H32)^2),0.000001))^(2/3),0.000001)))^2)+(((ABS(G115)*$D$6)/(MAX(((G32)+(I32)*(MAX($D$16,(E115)-(K32))))*(MAX($D$16,(E115)-(K32))),0.000001)*MAX(((((G32)+(I32)*(MAX($D$16,(E115)-(K32))))*(MAX($D$16,(E115)-(K32))))/MAX((G32)+2*(MAX($D$16,(E115)-(K32)))*SQRT(1+(I32)^2),0.000001))^(2/3),0.000001)))^2))/2)+(IF((ABS(G115)/MAX(((G32)+(I32)*(MAX($D$16,(E115)-(K32))))*(MAX($D$16,(E115)-(K32))),0.000001))&gt;(ABS(G115)/MAX(((F32)+(H32)*(MAX($D$16,(D115)-(J32))))*(MAX($D$16,(D115)-(J32))),0.000001)),$D$9*((((ABS(G115)/MAX(((G32)+(I32)*(MAX($D$16,(E115)-(K32))))*(MAX($D$16,(E115)-(K32))),0.000001))^2)/(2*$I$5))-(((ABS(G115)/MAX(((F32)+(H32)*(MAX($D$16,(D115)-(J32))))*(MAX($D$16,(D115)-(J32))),0.000001))^2)/(2*$I$5))),$D$8*((((ABS(G115)/MAX(((F32)+(H32)*(MAX($D$16,(D115)-(J32))))*(MAX($D$16,(D115)-(J32))),0.000001))^2)/(2*$I$5))-(((ABS(G115)/MAX(((G32)+(I32)*(MAX($D$16,(E115)-(K32))))*(MAX($D$16,(E115)-(K32))),0.000001))^2)/(2*$I$5)))))+($D$10*(ABS((X32)-(W32))/90)*MAX(((ABS(G115)/MAX(((F32)+(H32)*(MAX($D$16,(D115)-(J32))))*(MAX($D$16,(D115)-(J32))),0.000001))^2)/(2*$I$5),((ABS(G115)/MAX(((G32)+(I32)*(MAX($D$16,(E115)-(K32))))*(MAX($D$16,(E115)-(K32))),0.000001))^2)/(2*$I$5)))+(($D$11*0.13607488*(ABS(H115)/MAX(ABS(F115),0.000001))^2*MAX(((ABS(G115)/MAX(((F32)+(H32)*(MAX($D$16,(D115)-(J32))))*(MAX($D$16,(D115)-(J32))),0.000001))^2)/(2*$I$5),((ABS(G115)/MAX(((G32)+(I32)*(MAX($D$16,(E115)-(K32))))*(MAX($D$16,(E115)-(K32))),0.000001))^2)/(2*$I$5))))-((ABS(G115)/MAX(((G32)+(I32)*(MAX($D$16,(E115)-(K32))))*(MAX($D$16,(E115)-(K32))),0.000001))^2)/(2*$I$5)</f>
        <v>52432.141837662821</v>
      </c>
      <c r="S115">
        <f>M115+((ABS(I115)/MAX(((G34)+(I34)*(MAX($D$16,(M115)-(K34))))*(MAX($D$16,(M115)-(K34))),0.000001))^2)/(2*$I$5)+((E34)*((((ABS(I115)*$D$6)/(MAX(((F34)+(H34)*(MAX($D$16,(E115)-(J34))))*(MAX($D$16,(E115)-(J34))),0.000001)*MAX(((((F34)+(H34)*(MAX($D$16,(E115)-(J34))))*(MAX($D$16,(E115)-(J34))))/MAX((F34)+2*(MAX($D$16,(E115)-(J34)))*SQRT(1+(H34)^2),0.000001))^(2/3),0.000001)))^2)+(((ABS(I115)*$D$6)/(MAX(((G34)+(I34)*(MAX($D$16,(M115)-(K34))))*(MAX($D$16,(M115)-(K34))),0.000001)*MAX(((((G34)+(I34)*(MAX($D$16,(M115)-(K34))))*(MAX($D$16,(M115)-(K34))))/MAX((G34)+2*(MAX($D$16,(M115)-(K34)))*SQRT(1+(I34)^2),0.000001))^(2/3),0.000001)))^2))/2)+(IF((ABS(I115)/MAX(((G34)+(I34)*(MAX($D$16,(M115)-(K34))))*(MAX($D$16,(M115)-(K34))),0.000001))&gt;(ABS(I115)/MAX(((F34)+(H34)*(MAX($D$16,(E115)-(J34))))*(MAX($D$16,(E115)-(J34))),0.000001)),$D$9*((((ABS(I115)/MAX(((G34)+(I34)*(MAX($D$16,(M115)-(K34))))*(MAX($D$16,(M115)-(K34))),0.000001))^2)/(2*$I$5))-(((ABS(I115)/MAX(((F34)+(H34)*(MAX($D$16,(E115)-(J34))))*(MAX($D$16,(E115)-(J34))),0.000001))^2)/(2*$I$5))),$D$8*((((ABS(I115)/MAX(((F34)+(H34)*(MAX($D$16,(E115)-(J34))))*(MAX($D$16,(E115)-(J34))),0.000001))^2)/(2*$I$5))-(((ABS(I115)/MAX(((G34)+(I34)*(MAX($D$16,(M115)-(K34))))*(MAX($D$16,(M115)-(K34))),0.000001))^2)/(2*$I$5)))))+($D$10*(ABS((X34)-(W34))/90)*MAX(((ABS(I115)/MAX(((F34)+(H34)*(MAX($D$16,(E115)-(J34))))*(MAX($D$16,(E115)-(J34))),0.000001))^2)/(2*$I$5),((ABS(I115)/MAX(((G34)+(I34)*(MAX($D$16,(M115)-(K34))))*(MAX($D$16,(M115)-(K34))),0.000001))^2)/(2*$I$5)))+(0)-((ABS(I115)/MAX(((F34)+(H34)*(MAX($D$16,(E115)-(J34))))*(MAX($D$16,(E115)-(J34))),0.000001))^2)/(2*$I$5)</f>
        <v>635.5</v>
      </c>
      <c r="T115">
        <f>N115+((ABS(J115)/MAX(((G35)+(I35)*(MAX($D$16,(N115)-(K35))))*(MAX($D$16,(N115)-(K35))),0.000001))^2)/(2*$I$5)+((E35)*((((ABS(J115)*$D$6)/(MAX(((F35)+(H35)*(MAX($D$16,(E115)-(J35))))*(MAX($D$16,(E115)-(J35))),0.000001)*MAX(((((F35)+(H35)*(MAX($D$16,(E115)-(J35))))*(MAX($D$16,(E115)-(J35))))/MAX((F35)+2*(MAX($D$16,(E115)-(J35)))*SQRT(1+(H35)^2),0.000001))^(2/3),0.000001)))^2)+(((ABS(J115)*$D$6)/(MAX(((G35)+(I35)*(MAX($D$16,(N115)-(K35))))*(MAX($D$16,(N115)-(K35))),0.000001)*MAX(((((G35)+(I35)*(MAX($D$16,(N115)-(K35))))*(MAX($D$16,(N115)-(K35))))/MAX((G35)+2*(MAX($D$16,(N115)-(K35)))*SQRT(1+(I35)^2),0.000001))^(2/3),0.000001)))^2))/2)+(IF((ABS(J115)/MAX(((G35)+(I35)*(MAX($D$16,(N115)-(K35))))*(MAX($D$16,(N115)-(K35))),0.000001))&gt;(ABS(J115)/MAX(((F35)+(H35)*(MAX($D$16,(E115)-(J35))))*(MAX($D$16,(E115)-(J35))),0.000001)),$D$9*((((ABS(J115)/MAX(((G35)+(I35)*(MAX($D$16,(N115)-(K35))))*(MAX($D$16,(N115)-(K35))),0.000001))^2)/(2*$I$5))-(((ABS(J115)/MAX(((F35)+(H35)*(MAX($D$16,(E115)-(J35))))*(MAX($D$16,(E115)-(J35))),0.000001))^2)/(2*$I$5))),$D$8*((((ABS(J115)/MAX(((F35)+(H35)*(MAX($D$16,(E115)-(J35))))*(MAX($D$16,(E115)-(J35))),0.000001))^2)/(2*$I$5))-(((ABS(J115)/MAX(((G35)+(I35)*(MAX($D$16,(N115)-(K35))))*(MAX($D$16,(N115)-(K35))),0.000001))^2)/(2*$I$5)))))+($D$10*(ABS((X35)-(W35))/90)*MAX(((ABS(J115)/MAX(((F35)+(H35)*(MAX($D$16,(E115)-(J35))))*(MAX($D$16,(E115)-(J35))),0.000001))^2)/(2*$I$5),((ABS(J115)/MAX(((G35)+(I35)*(MAX($D$16,(N115)-(K35))))*(MAX($D$16,(N115)-(K35))),0.000001))^2)/(2*$I$5)))+(($D$11*0.34699541*(ABS(I115)/MAX(ABS(G115),0.000001))^2*MAX(((ABS(J115)/MAX(((F35)+(H35)*(MAX($D$16,(E115)-(J35))))*(MAX($D$16,(E115)-(J35))),0.000001))^2)/(2*$I$5),((ABS(J115)/MAX(((G35)+(I35)*(MAX($D$16,(N115)-(K35))))*(MAX($D$16,(N115)-(K35))),0.000001))^2)/(2*$I$5))))-((ABS(J115)/MAX(((F35)+(H35)*(MAX($D$16,(E115)-(J35))))*(MAX($D$16,(E115)-(J35))),0.000001))^2)/(2*$I$5)</f>
        <v>20784.033523923383</v>
      </c>
      <c r="U115">
        <f>(((((F32)*(MAX($D$16,(D115)-(J32)))^2)/2+(H32)*(MAX($D$16,(D115)-(J32)))^3/3+(ABS(G115)^2)/($I$5*MAX(((F32)+(H32)*(MAX($D$16,(D115)-(J32))))*(MAX($D$16,(D115)-(J32))),0.000001)))*0.72785025)-((((F33)*(MAX($D$16,(D115)-(J33)))^2)/2+(H33)*(MAX($D$16,(D115)-(J33)))^3/3+(ABS(H115)^2)/($I$5*MAX(((F33)+(H33)*(MAX($D$16,(D115)-(J33))))*(MAX($D$16,(D115)-(J33))),0.000001)))*0.99999971))/MAX(((G31)*(MAX($D$16,(D115)-(K31)))^2)/2+(I31)*(MAX($D$16,(D115)-(K31)))^3/3+(ABS(F115)^2)/($I$5*MAX(((G31)+(I31)*(MAX($D$16,(D115)-(K31))))*(MAX($D$16,(D115)-(K31))),0.000001)),0.000001)</f>
        <v>-0.27214945999991125</v>
      </c>
      <c r="V115">
        <f>(((((F34)*(MAX($D$16,(E115)-(J34)))^2)/2+(H34)*(MAX($D$16,(E115)-(J34)))^3/3+(ABS(I115)^2)/($I$5*MAX(((F34)+(H34)*(MAX($D$16,(E115)-(J34))))*(MAX($D$16,(E115)-(J34))),0.000001)))*1)-((((F35)*(MAX($D$16,(E115)-(J35)))^2)/2+(H35)*(MAX($D$16,(E115)-(J35)))^3/3+(ABS(J115)^2)/($I$5*MAX(((F35)+(H35)*(MAX($D$16,(E115)-(J35))))*(MAX($D$16,(E115)-(J35))),0.000001)))*0.30600918))/MAX(((G32)*(MAX($D$16,(E115)-(K32)))^2)/2+(I32)*(MAX($D$16,(E115)-(K32)))^3/3+(ABS(G115)^2)/($I$5*MAX(((G32)+(I32)*(MAX($D$16,(E115)-(K32))))*(MAX($D$16,(E115)-(K32))),0.000001)),0.000001)</f>
        <v>0.69398638937190393</v>
      </c>
      <c r="W115">
        <f>IF(N6="None",ABS(P115-D115),MAX(ABS(P115-D115),ABS(Q115-D115)))</f>
        <v>3.4197000786662102E-10</v>
      </c>
      <c r="X115">
        <f>IF(AND(N7="None",N8="None"),0,IF(N8="None",ABS(S115-E115),IF(N7="None",ABS(T115-E115),MAX(ABS(S115-E115),ABS(T115-E115)))))</f>
        <v>51796.641837662479</v>
      </c>
      <c r="AA115">
        <f t="shared" si="33"/>
        <v>52432.141837662806</v>
      </c>
      <c r="AB115">
        <f t="shared" si="34"/>
        <v>41355.303927853798</v>
      </c>
      <c r="AC115">
        <f>IF(N6="None",P115,MAX(P115,Q115))</f>
        <v>52432.141837663032</v>
      </c>
      <c r="AD115">
        <f>IF(AND(N7="None",N8="None"),E115,IF(N8="None",S115,IF(N7="None",T115,MAX(S115,T115))))</f>
        <v>20784.033523923383</v>
      </c>
      <c r="AE115">
        <f t="shared" si="35"/>
        <v>637.65825101089831</v>
      </c>
      <c r="AF115">
        <f t="shared" si="36"/>
        <v>52432.141837662821</v>
      </c>
      <c r="AG115">
        <f>((G31)*(MAX($D$16,(AC115)-(K31)))^2)/2+(I31)*(MAX($D$16,(AC115)-(K31)))^3/3+(ABS(F115)^2)/($I$5*MAX(((G31)+(I31)*(MAX($D$16,(AC115)-(K31))))*(MAX($D$16,(AC115)-(K31))),0.000001))</f>
        <v>8797611517.4119873</v>
      </c>
      <c r="AH115">
        <f>((G31)*(MAX($D$16,(AE115)-(K31)))^2)/2+(I31)*(MAX($D$16,(AE115)-(K31)))^3/3+(ABS(F115)^2)/($I$5*MAX(((G31)+(I31)*(MAX($D$16,(AE115)-(K31))))*(MAX($D$16,(AE115)-(K31))),0.000001))</f>
        <v>49.055863329575246</v>
      </c>
      <c r="AI115">
        <f>((G32)*(MAX($D$16,(AD115)-(K32)))^2)/2+(I32)*(MAX($D$16,(AD115)-(K32)))^3/3+(ABS(G115)^2)/($I$5*MAX(((G32)+(I32)*(MAX($D$16,(AD115)-(K32))))*(MAX($D$16,(AD115)-(K32))),0.000001))</f>
        <v>2072376743.6648321</v>
      </c>
      <c r="AJ115">
        <f>((G32)*(MAX($D$16,(AF115)-(K32)))^2)/2+(I32)*(MAX($D$16,(AF115)-(K32)))^3/3+(ABS(G115)^2)/($I$5*MAX(((G32)+(I32)*(MAX($D$16,(AF115)-(K32))))*(MAX($D$16,(AF115)-(K32))),0.000001))</f>
        <v>13692714789.64452</v>
      </c>
      <c r="AK115" t="str">
        <f t="shared" si="37"/>
        <v>Subcritical</v>
      </c>
      <c r="AL115" t="str">
        <f t="shared" si="38"/>
        <v>Supercritical</v>
      </c>
      <c r="AM115">
        <f t="shared" si="39"/>
        <v>52432.141837662806</v>
      </c>
      <c r="AN115">
        <f t="shared" si="40"/>
        <v>52432.141837662595</v>
      </c>
      <c r="AO115">
        <f t="shared" si="41"/>
        <v>3.4197000786662102E-10</v>
      </c>
      <c r="AP115">
        <f t="shared" si="42"/>
        <v>3.4197000786662102E-10</v>
      </c>
    </row>
    <row r="116" spans="1:42" x14ac:dyDescent="0.35">
      <c r="A116">
        <v>73</v>
      </c>
      <c r="B116">
        <f t="shared" si="43"/>
        <v>0</v>
      </c>
      <c r="C116">
        <f t="shared" si="44"/>
        <v>0</v>
      </c>
      <c r="D116">
        <f t="shared" si="45"/>
        <v>52432.141837662806</v>
      </c>
      <c r="E116">
        <f t="shared" si="46"/>
        <v>52432.141837662595</v>
      </c>
      <c r="F116">
        <f t="shared" si="32"/>
        <v>51</v>
      </c>
      <c r="G116">
        <f>IF(N6="None",F116,MAX(0,F116*B116))</f>
        <v>51</v>
      </c>
      <c r="H116">
        <f>IF(N6="None",0,MAX(0,F116-G116))</f>
        <v>0</v>
      </c>
      <c r="I116">
        <f>IF(AND(N7="None",N8="None"),0,IF(N8="None",G116,IF(N7="None",0,MAX(0,G116*C116))))</f>
        <v>0</v>
      </c>
      <c r="J116">
        <f>IF(AND(N7="None",N8="None"),0,IF(N8="None",0,IF(N7="None",G116,MAX(0,G116-I116))))</f>
        <v>51</v>
      </c>
      <c r="K116">
        <f>P5</f>
        <v>637</v>
      </c>
      <c r="L116">
        <f>P6</f>
        <v>634.3119999999999</v>
      </c>
      <c r="M116">
        <f>P7</f>
        <v>635.5</v>
      </c>
      <c r="N116">
        <f>P8</f>
        <v>631.54999999999995</v>
      </c>
      <c r="O116">
        <f>K116+((ABS(F116)/MAX(((F31)+(H31)*(MAX($D$16,(K116)-(J31))))*(MAX($D$16,(K116)-(J31))),0.000001))^2)/(2*$I$5)-((E31)*((((ABS(F116)*$D$6)/(MAX(((F31)+(H31)*(MAX($D$16,(K116)-(J31))))*(MAX($D$16,(K116)-(J31))),0.000001)*MAX(((((F31)+(H31)*(MAX($D$16,(K116)-(J31))))*(MAX($D$16,(K116)-(J31))))/MAX((F31)+2*(MAX($D$16,(K116)-(J31)))*SQRT(1+(H31)^2),0.000001))^(2/3),0.000001)))^2)+(((ABS(F116)*$D$6)/(MAX(((G31)+(I31)*(MAX($D$16,(D116)-(K31))))*(MAX($D$16,(D116)-(K31))),0.000001)*MAX(((((G31)+(I31)*(MAX($D$16,(D116)-(K31))))*(MAX($D$16,(D116)-(K31))))/MAX((G31)+2*(MAX($D$16,(D116)-(K31)))*SQRT(1+(I31)^2),0.000001))^(2/3),0.000001)))^2))/2)+(IF((ABS(F116)/MAX(((G31)+(I31)*(MAX($D$16,(D116)-(K31))))*(MAX($D$16,(D116)-(K31))),0.000001))&gt;(ABS(F116)/MAX(((F31)+(H31)*(MAX($D$16,(K116)-(J31))))*(MAX($D$16,(K116)-(J31))),0.000001)),$D$9*((((ABS(F116)/MAX(((G31)+(I31)*(MAX($D$16,(D116)-(K31))))*(MAX($D$16,(D116)-(K31))),0.000001))^2)/(2*$I$5))-(((ABS(F116)/MAX(((F31)+(H31)*(MAX($D$16,(K116)-(J31))))*(MAX($D$16,(K116)-(J31))),0.000001))^2)/(2*$I$5))),$D$8*((((ABS(F116)/MAX(((F31)+(H31)*(MAX($D$16,(K116)-(J31))))*(MAX($D$16,(K116)-(J31))),0.000001))^2)/(2*$I$5))-(((ABS(F116)/MAX(((G31)+(I31)*(MAX($D$16,(D116)-(K31))))*(MAX($D$16,(D116)-(K31))),0.000001))^2)/(2*$I$5)))))+($D$10*(ABS((X31)-(W31))/90)*MAX(((ABS(F116)/MAX(((F31)+(H31)*(MAX($D$16,(K116)-(J31))))*(MAX($D$16,(K116)-(J31))),0.000001))^2)/(2*$I$5),((ABS(F116)/MAX(((G31)+(I31)*(MAX($D$16,(D116)-(K31))))*(MAX($D$16,(D116)-(K31))),0.000001))^2)/(2*$I$5)))+(0)-((ABS(F116)/MAX(((G31)+(I31)*(MAX($D$16,(D116)-(K31))))*(MAX($D$16,(D116)-(K31))),0.000001))^2)/(2*$I$5)</f>
        <v>637.65825101089831</v>
      </c>
      <c r="P116">
        <f>E116+((ABS(G116)/MAX(((G32)+(I32)*(MAX($D$16,(E116)-(K32))))*(MAX($D$16,(E116)-(K32))),0.000001))^2)/(2*$I$5)+((E32)*((((ABS(G116)*$D$6)/(MAX(((F32)+(H32)*(MAX($D$16,(D116)-(J32))))*(MAX($D$16,(D116)-(J32))),0.000001)*MAX(((((F32)+(H32)*(MAX($D$16,(D116)-(J32))))*(MAX($D$16,(D116)-(J32))))/MAX((F32)+2*(MAX($D$16,(D116)-(J32)))*SQRT(1+(H32)^2),0.000001))^(2/3),0.000001)))^2)+(((ABS(G116)*$D$6)/(MAX(((G32)+(I32)*(MAX($D$16,(E116)-(K32))))*(MAX($D$16,(E116)-(K32))),0.000001)*MAX(((((G32)+(I32)*(MAX($D$16,(E116)-(K32))))*(MAX($D$16,(E116)-(K32))))/MAX((G32)+2*(MAX($D$16,(E116)-(K32)))*SQRT(1+(I32)^2),0.000001))^(2/3),0.000001)))^2))/2)+(IF((ABS(G116)/MAX(((G32)+(I32)*(MAX($D$16,(E116)-(K32))))*(MAX($D$16,(E116)-(K32))),0.000001))&gt;(ABS(G116)/MAX(((F32)+(H32)*(MAX($D$16,(D116)-(J32))))*(MAX($D$16,(D116)-(J32))),0.000001)),$D$9*((((ABS(G116)/MAX(((G32)+(I32)*(MAX($D$16,(E116)-(K32))))*(MAX($D$16,(E116)-(K32))),0.000001))^2)/(2*$I$5))-(((ABS(G116)/MAX(((F32)+(H32)*(MAX($D$16,(D116)-(J32))))*(MAX($D$16,(D116)-(J32))),0.000001))^2)/(2*$I$5))),$D$8*((((ABS(G116)/MAX(((F32)+(H32)*(MAX($D$16,(D116)-(J32))))*(MAX($D$16,(D116)-(J32))),0.000001))^2)/(2*$I$5))-(((ABS(G116)/MAX(((G32)+(I32)*(MAX($D$16,(E116)-(K32))))*(MAX($D$16,(E116)-(K32))),0.000001))^2)/(2*$I$5)))))+($D$10*(ABS((X32)-(W32))/90)*MAX(((ABS(G116)/MAX(((F32)+(H32)*(MAX($D$16,(D116)-(J32))))*(MAX($D$16,(D116)-(J32))),0.000001))^2)/(2*$I$5),((ABS(G116)/MAX(((G32)+(I32)*(MAX($D$16,(E116)-(K32))))*(MAX($D$16,(E116)-(K32))),0.000001))^2)/(2*$I$5)))+(($D$11*0.13607488*(ABS(H116)/MAX(ABS(F116),0.000001))^2*MAX(((ABS(G116)/MAX(((F32)+(H32)*(MAX($D$16,(D116)-(J32))))*(MAX($D$16,(D116)-(J32))),0.000001))^2)/(2*$I$5),((ABS(G116)/MAX(((G32)+(I32)*(MAX($D$16,(E116)-(K32))))*(MAX($D$16,(E116)-(K32))),0.000001))^2)/(2*$I$5))))-((ABS(G116)/MAX(((F32)+(H32)*(MAX($D$16,(D116)-(J32))))*(MAX($D$16,(D116)-(J32))),0.000001))^2)/(2*$I$5)</f>
        <v>52432.141837663148</v>
      </c>
      <c r="Q116">
        <f>L116+((ABS(H116)/MAX(((G33)+(I33)*(MAX($D$16,(L116)-(K33))))*(MAX($D$16,(L116)-(K33))),0.000001))^2)/(2*$I$5)+((E33)*((((ABS(H116)*$D$6)/(MAX(((F33)+(H33)*(MAX($D$16,(D116)-(J33))))*(MAX($D$16,(D116)-(J33))),0.000001)*MAX(((((F33)+(H33)*(MAX($D$16,(D116)-(J33))))*(MAX($D$16,(D116)-(J33))))/MAX((F33)+2*(MAX($D$16,(D116)-(J33)))*SQRT(1+(H33)^2),0.000001))^(2/3),0.000001)))^2)+(((ABS(H116)*$D$6)/(MAX(((G33)+(I33)*(MAX($D$16,(L116)-(K33))))*(MAX($D$16,(L116)-(K33))),0.000001)*MAX(((((G33)+(I33)*(MAX($D$16,(L116)-(K33))))*(MAX($D$16,(L116)-(K33))))/MAX((G33)+2*(MAX($D$16,(L116)-(K33)))*SQRT(1+(I33)^2),0.000001))^(2/3),0.000001)))^2))/2)+(IF((ABS(H116)/MAX(((G33)+(I33)*(MAX($D$16,(L116)-(K33))))*(MAX($D$16,(L116)-(K33))),0.000001))&gt;(ABS(H116)/MAX(((F33)+(H33)*(MAX($D$16,(D116)-(J33))))*(MAX($D$16,(D116)-(J33))),0.000001)),$D$9*((((ABS(H116)/MAX(((G33)+(I33)*(MAX($D$16,(L116)-(K33))))*(MAX($D$16,(L116)-(K33))),0.000001))^2)/(2*$I$5))-(((ABS(H116)/MAX(((F33)+(H33)*(MAX($D$16,(D116)-(J33))))*(MAX($D$16,(D116)-(J33))),0.000001))^2)/(2*$I$5))),$D$8*((((ABS(H116)/MAX(((F33)+(H33)*(MAX($D$16,(D116)-(J33))))*(MAX($D$16,(D116)-(J33))),0.000001))^2)/(2*$I$5))-(((ABS(H116)/MAX(((G33)+(I33)*(MAX($D$16,(L116)-(K33))))*(MAX($D$16,(L116)-(K33))),0.000001))^2)/(2*$I$5)))))+($D$10*(ABS((X33)-(W33))/90)*MAX(((ABS(H116)/MAX(((F33)+(H33)*(MAX($D$16,(D116)-(J33))))*(MAX($D$16,(D116)-(J33))),0.000001))^2)/(2*$I$5),((ABS(H116)/MAX(((G33)+(I33)*(MAX($D$16,(L116)-(K33))))*(MAX($D$16,(L116)-(K33))),0.000001))^2)/(2*$I$5)))+(($D$11*0.00000015*(ABS(G116)/MAX(ABS(F116),0.000001))^2*MAX(((ABS(H116)/MAX(((F33)+(H33)*(MAX($D$16,(D116)-(J33))))*(MAX($D$16,(D116)-(J33))),0.000001))^2)/(2*$I$5),((ABS(H116)/MAX(((G33)+(I33)*(MAX($D$16,(L116)-(K33))))*(MAX($D$16,(L116)-(K33))),0.000001))^2)/(2*$I$5))))-((ABS(H116)/MAX(((F33)+(H33)*(MAX($D$16,(D116)-(J33))))*(MAX($D$16,(D116)-(J33))),0.000001))^2)/(2*$I$5)</f>
        <v>634.3119999999999</v>
      </c>
      <c r="R116">
        <f>D116+((ABS(G116)/MAX(((F32)+(H32)*(MAX($D$16,(D116)-(J32))))*(MAX($D$16,(D116)-(J32))),0.000001))^2)/(2*$I$5)-((E32)*((((ABS(G116)*$D$6)/(MAX(((F32)+(H32)*(MAX($D$16,(D116)-(J32))))*(MAX($D$16,(D116)-(J32))),0.000001)*MAX(((((F32)+(H32)*(MAX($D$16,(D116)-(J32))))*(MAX($D$16,(D116)-(J32))))/MAX((F32)+2*(MAX($D$16,(D116)-(J32)))*SQRT(1+(H32)^2),0.000001))^(2/3),0.000001)))^2)+(((ABS(G116)*$D$6)/(MAX(((G32)+(I32)*(MAX($D$16,(E116)-(K32))))*(MAX($D$16,(E116)-(K32))),0.000001)*MAX(((((G32)+(I32)*(MAX($D$16,(E116)-(K32))))*(MAX($D$16,(E116)-(K32))))/MAX((G32)+2*(MAX($D$16,(E116)-(K32)))*SQRT(1+(I32)^2),0.000001))^(2/3),0.000001)))^2))/2)+(IF((ABS(G116)/MAX(((G32)+(I32)*(MAX($D$16,(E116)-(K32))))*(MAX($D$16,(E116)-(K32))),0.000001))&gt;(ABS(G116)/MAX(((F32)+(H32)*(MAX($D$16,(D116)-(J32))))*(MAX($D$16,(D116)-(J32))),0.000001)),$D$9*((((ABS(G116)/MAX(((G32)+(I32)*(MAX($D$16,(E116)-(K32))))*(MAX($D$16,(E116)-(K32))),0.000001))^2)/(2*$I$5))-(((ABS(G116)/MAX(((F32)+(H32)*(MAX($D$16,(D116)-(J32))))*(MAX($D$16,(D116)-(J32))),0.000001))^2)/(2*$I$5))),$D$8*((((ABS(G116)/MAX(((F32)+(H32)*(MAX($D$16,(D116)-(J32))))*(MAX($D$16,(D116)-(J32))),0.000001))^2)/(2*$I$5))-(((ABS(G116)/MAX(((G32)+(I32)*(MAX($D$16,(E116)-(K32))))*(MAX($D$16,(E116)-(K32))),0.000001))^2)/(2*$I$5)))))+($D$10*(ABS((X32)-(W32))/90)*MAX(((ABS(G116)/MAX(((F32)+(H32)*(MAX($D$16,(D116)-(J32))))*(MAX($D$16,(D116)-(J32))),0.000001))^2)/(2*$I$5),((ABS(G116)/MAX(((G32)+(I32)*(MAX($D$16,(E116)-(K32))))*(MAX($D$16,(E116)-(K32))),0.000001))^2)/(2*$I$5)))+(($D$11*0.13607488*(ABS(H116)/MAX(ABS(F116),0.000001))^2*MAX(((ABS(G116)/MAX(((F32)+(H32)*(MAX($D$16,(D116)-(J32))))*(MAX($D$16,(D116)-(J32))),0.000001))^2)/(2*$I$5),((ABS(G116)/MAX(((G32)+(I32)*(MAX($D$16,(E116)-(K32))))*(MAX($D$16,(E116)-(K32))),0.000001))^2)/(2*$I$5))))-((ABS(G116)/MAX(((G32)+(I32)*(MAX($D$16,(E116)-(K32))))*(MAX($D$16,(E116)-(K32))),0.000001))^2)/(2*$I$5)</f>
        <v>52432.141837662937</v>
      </c>
      <c r="S116">
        <f>M116+((ABS(I116)/MAX(((G34)+(I34)*(MAX($D$16,(M116)-(K34))))*(MAX($D$16,(M116)-(K34))),0.000001))^2)/(2*$I$5)+((E34)*((((ABS(I116)*$D$6)/(MAX(((F34)+(H34)*(MAX($D$16,(E116)-(J34))))*(MAX($D$16,(E116)-(J34))),0.000001)*MAX(((((F34)+(H34)*(MAX($D$16,(E116)-(J34))))*(MAX($D$16,(E116)-(J34))))/MAX((F34)+2*(MAX($D$16,(E116)-(J34)))*SQRT(1+(H34)^2),0.000001))^(2/3),0.000001)))^2)+(((ABS(I116)*$D$6)/(MAX(((G34)+(I34)*(MAX($D$16,(M116)-(K34))))*(MAX($D$16,(M116)-(K34))),0.000001)*MAX(((((G34)+(I34)*(MAX($D$16,(M116)-(K34))))*(MAX($D$16,(M116)-(K34))))/MAX((G34)+2*(MAX($D$16,(M116)-(K34)))*SQRT(1+(I34)^2),0.000001))^(2/3),0.000001)))^2))/2)+(IF((ABS(I116)/MAX(((G34)+(I34)*(MAX($D$16,(M116)-(K34))))*(MAX($D$16,(M116)-(K34))),0.000001))&gt;(ABS(I116)/MAX(((F34)+(H34)*(MAX($D$16,(E116)-(J34))))*(MAX($D$16,(E116)-(J34))),0.000001)),$D$9*((((ABS(I116)/MAX(((G34)+(I34)*(MAX($D$16,(M116)-(K34))))*(MAX($D$16,(M116)-(K34))),0.000001))^2)/(2*$I$5))-(((ABS(I116)/MAX(((F34)+(H34)*(MAX($D$16,(E116)-(J34))))*(MAX($D$16,(E116)-(J34))),0.000001))^2)/(2*$I$5))),$D$8*((((ABS(I116)/MAX(((F34)+(H34)*(MAX($D$16,(E116)-(J34))))*(MAX($D$16,(E116)-(J34))),0.000001))^2)/(2*$I$5))-(((ABS(I116)/MAX(((G34)+(I34)*(MAX($D$16,(M116)-(K34))))*(MAX($D$16,(M116)-(K34))),0.000001))^2)/(2*$I$5)))))+($D$10*(ABS((X34)-(W34))/90)*MAX(((ABS(I116)/MAX(((F34)+(H34)*(MAX($D$16,(E116)-(J34))))*(MAX($D$16,(E116)-(J34))),0.000001))^2)/(2*$I$5),((ABS(I116)/MAX(((G34)+(I34)*(MAX($D$16,(M116)-(K34))))*(MAX($D$16,(M116)-(K34))),0.000001))^2)/(2*$I$5)))+(0)-((ABS(I116)/MAX(((F34)+(H34)*(MAX($D$16,(E116)-(J34))))*(MAX($D$16,(E116)-(J34))),0.000001))^2)/(2*$I$5)</f>
        <v>635.5</v>
      </c>
      <c r="T116">
        <f>N116+((ABS(J116)/MAX(((G35)+(I35)*(MAX($D$16,(N116)-(K35))))*(MAX($D$16,(N116)-(K35))),0.000001))^2)/(2*$I$5)+((E35)*((((ABS(J116)*$D$6)/(MAX(((F35)+(H35)*(MAX($D$16,(E116)-(J35))))*(MAX($D$16,(E116)-(J35))),0.000001)*MAX(((((F35)+(H35)*(MAX($D$16,(E116)-(J35))))*(MAX($D$16,(E116)-(J35))))/MAX((F35)+2*(MAX($D$16,(E116)-(J35)))*SQRT(1+(H35)^2),0.000001))^(2/3),0.000001)))^2)+(((ABS(J116)*$D$6)/(MAX(((G35)+(I35)*(MAX($D$16,(N116)-(K35))))*(MAX($D$16,(N116)-(K35))),0.000001)*MAX(((((G35)+(I35)*(MAX($D$16,(N116)-(K35))))*(MAX($D$16,(N116)-(K35))))/MAX((G35)+2*(MAX($D$16,(N116)-(K35)))*SQRT(1+(I35)^2),0.000001))^(2/3),0.000001)))^2))/2)+(IF((ABS(J116)/MAX(((G35)+(I35)*(MAX($D$16,(N116)-(K35))))*(MAX($D$16,(N116)-(K35))),0.000001))&gt;(ABS(J116)/MAX(((F35)+(H35)*(MAX($D$16,(E116)-(J35))))*(MAX($D$16,(E116)-(J35))),0.000001)),$D$9*((((ABS(J116)/MAX(((G35)+(I35)*(MAX($D$16,(N116)-(K35))))*(MAX($D$16,(N116)-(K35))),0.000001))^2)/(2*$I$5))-(((ABS(J116)/MAX(((F35)+(H35)*(MAX($D$16,(E116)-(J35))))*(MAX($D$16,(E116)-(J35))),0.000001))^2)/(2*$I$5))),$D$8*((((ABS(J116)/MAX(((F35)+(H35)*(MAX($D$16,(E116)-(J35))))*(MAX($D$16,(E116)-(J35))),0.000001))^2)/(2*$I$5))-(((ABS(J116)/MAX(((G35)+(I35)*(MAX($D$16,(N116)-(K35))))*(MAX($D$16,(N116)-(K35))),0.000001))^2)/(2*$I$5)))))+($D$10*(ABS((X35)-(W35))/90)*MAX(((ABS(J116)/MAX(((F35)+(H35)*(MAX($D$16,(E116)-(J35))))*(MAX($D$16,(E116)-(J35))),0.000001))^2)/(2*$I$5),((ABS(J116)/MAX(((G35)+(I35)*(MAX($D$16,(N116)-(K35))))*(MAX($D$16,(N116)-(K35))),0.000001))^2)/(2*$I$5)))+(($D$11*0.34699541*(ABS(I116)/MAX(ABS(G116),0.000001))^2*MAX(((ABS(J116)/MAX(((F35)+(H35)*(MAX($D$16,(E116)-(J35))))*(MAX($D$16,(E116)-(J35))),0.000001))^2)/(2*$I$5),((ABS(J116)/MAX(((G35)+(I35)*(MAX($D$16,(N116)-(K35))))*(MAX($D$16,(N116)-(K35))),0.000001))^2)/(2*$I$5))))-((ABS(J116)/MAX(((F35)+(H35)*(MAX($D$16,(E116)-(J35))))*(MAX($D$16,(E116)-(J35))),0.000001))^2)/(2*$I$5)</f>
        <v>20784.033523923383</v>
      </c>
      <c r="U116">
        <f>(((((F32)*(MAX($D$16,(D116)-(J32)))^2)/2+(H32)*(MAX($D$16,(D116)-(J32)))^3/3+(ABS(G116)^2)/($I$5*MAX(((F32)+(H32)*(MAX($D$16,(D116)-(J32))))*(MAX($D$16,(D116)-(J32))),0.000001)))*0.72785025)-((((F33)*(MAX($D$16,(D116)-(J33)))^2)/2+(H33)*(MAX($D$16,(D116)-(J33)))^3/3+(ABS(H116)^2)/($I$5*MAX(((F33)+(H33)*(MAX($D$16,(D116)-(J33))))*(MAX($D$16,(D116)-(J33))),0.000001)))*0.99999971))/MAX(((G31)*(MAX($D$16,(D116)-(K31)))^2)/2+(I31)*(MAX($D$16,(D116)-(K31)))^3/3+(ABS(F116)^2)/($I$5*MAX(((G31)+(I31)*(MAX($D$16,(D116)-(K31))))*(MAX($D$16,(D116)-(K31))),0.000001)),0.000001)</f>
        <v>-0.27214945999991119</v>
      </c>
      <c r="V116">
        <f>(((((F34)*(MAX($D$16,(E116)-(J34)))^2)/2+(H34)*(MAX($D$16,(E116)-(J34)))^3/3+(ABS(I116)^2)/($I$5*MAX(((F34)+(H34)*(MAX($D$16,(E116)-(J34))))*(MAX($D$16,(E116)-(J34))),0.000001)))*1)-((((F35)*(MAX($D$16,(E116)-(J35)))^2)/2+(H35)*(MAX($D$16,(E116)-(J35)))^3/3+(ABS(J116)^2)/($I$5*MAX(((F35)+(H35)*(MAX($D$16,(E116)-(J35))))*(MAX($D$16,(E116)-(J35))),0.000001)))*0.30600918))/MAX(((G32)*(MAX($D$16,(E116)-(K32)))^2)/2+(I32)*(MAX($D$16,(E116)-(K32)))^3/3+(ABS(G116)^2)/($I$5*MAX(((G32)+(I32)*(MAX($D$16,(E116)-(K32))))*(MAX($D$16,(E116)-(K32))),0.000001)),0.000001)</f>
        <v>0.69398638937190393</v>
      </c>
      <c r="W116">
        <f>IF(N6="None",ABS(P116-D116),MAX(ABS(P116-D116),ABS(Q116-D116)))</f>
        <v>3.4197000786662102E-10</v>
      </c>
      <c r="X116">
        <f>IF(AND(N7="None",N8="None"),0,IF(N8="None",ABS(S116-E116),IF(N7="None",ABS(T116-E116),MAX(ABS(S116-E116),ABS(T116-E116)))))</f>
        <v>51796.641837662595</v>
      </c>
      <c r="AA116">
        <f t="shared" si="33"/>
        <v>52432.141837662923</v>
      </c>
      <c r="AB116">
        <f t="shared" si="34"/>
        <v>41355.303927853871</v>
      </c>
      <c r="AC116">
        <f>IF(N6="None",P116,MAX(P116,Q116))</f>
        <v>52432.141837663148</v>
      </c>
      <c r="AD116">
        <f>IF(AND(N7="None",N8="None"),E116,IF(N8="None",S116,IF(N7="None",T116,MAX(S116,T116))))</f>
        <v>20784.033523923383</v>
      </c>
      <c r="AE116">
        <f t="shared" si="35"/>
        <v>637.65825101089831</v>
      </c>
      <c r="AF116">
        <f t="shared" si="36"/>
        <v>52432.141837662937</v>
      </c>
      <c r="AG116">
        <f>((G31)*(MAX($D$16,(AC116)-(K31)))^2)/2+(I31)*(MAX($D$16,(AC116)-(K31)))^3/3+(ABS(F116)^2)/($I$5*MAX(((G31)+(I31)*(MAX($D$16,(AC116)-(K31))))*(MAX($D$16,(AC116)-(K31))),0.000001))</f>
        <v>8797611517.4120255</v>
      </c>
      <c r="AH116">
        <f>((G31)*(MAX($D$16,(AE116)-(K31)))^2)/2+(I31)*(MAX($D$16,(AE116)-(K31)))^3/3+(ABS(F116)^2)/($I$5*MAX(((G31)+(I31)*(MAX($D$16,(AE116)-(K31))))*(MAX($D$16,(AE116)-(K31))),0.000001))</f>
        <v>49.055863329575246</v>
      </c>
      <c r="AI116">
        <f>((G32)*(MAX($D$16,(AD116)-(K32)))^2)/2+(I32)*(MAX($D$16,(AD116)-(K32)))^3/3+(ABS(G116)^2)/($I$5*MAX(((G32)+(I32)*(MAX($D$16,(AD116)-(K32))))*(MAX($D$16,(AD116)-(K32))),0.000001))</f>
        <v>2072376743.6648321</v>
      </c>
      <c r="AJ116">
        <f>((G32)*(MAX($D$16,(AF116)-(K32)))^2)/2+(I32)*(MAX($D$16,(AF116)-(K32)))^3/3+(ABS(G116)^2)/($I$5*MAX(((G32)+(I32)*(MAX($D$16,(AF116)-(K32))))*(MAX($D$16,(AF116)-(K32))),0.000001))</f>
        <v>13692714789.644581</v>
      </c>
      <c r="AK116" t="str">
        <f t="shared" si="37"/>
        <v>Subcritical</v>
      </c>
      <c r="AL116" t="str">
        <f t="shared" si="38"/>
        <v>Supercritical</v>
      </c>
      <c r="AM116">
        <f t="shared" si="39"/>
        <v>52432.141837662923</v>
      </c>
      <c r="AN116">
        <f t="shared" si="40"/>
        <v>52432.141837662712</v>
      </c>
      <c r="AO116">
        <f t="shared" si="41"/>
        <v>3.4197000786662102E-10</v>
      </c>
      <c r="AP116">
        <f t="shared" si="42"/>
        <v>3.4197000786662102E-10</v>
      </c>
    </row>
    <row r="117" spans="1:42" x14ac:dyDescent="0.35">
      <c r="A117">
        <v>74</v>
      </c>
      <c r="B117">
        <f t="shared" si="43"/>
        <v>0</v>
      </c>
      <c r="C117">
        <f t="shared" si="44"/>
        <v>0</v>
      </c>
      <c r="D117">
        <f t="shared" si="45"/>
        <v>52432.141837662923</v>
      </c>
      <c r="E117">
        <f t="shared" si="46"/>
        <v>52432.141837662712</v>
      </c>
      <c r="F117">
        <f t="shared" si="32"/>
        <v>51</v>
      </c>
      <c r="G117">
        <f>IF(N6="None",F117,MAX(0,F117*B117))</f>
        <v>51</v>
      </c>
      <c r="H117">
        <f>IF(N6="None",0,MAX(0,F117-G117))</f>
        <v>0</v>
      </c>
      <c r="I117">
        <f>IF(AND(N7="None",N8="None"),0,IF(N8="None",G117,IF(N7="None",0,MAX(0,G117*C117))))</f>
        <v>0</v>
      </c>
      <c r="J117">
        <f>IF(AND(N7="None",N8="None"),0,IF(N8="None",0,IF(N7="None",G117,MAX(0,G117-I117))))</f>
        <v>51</v>
      </c>
      <c r="K117">
        <f>P5</f>
        <v>637</v>
      </c>
      <c r="L117">
        <f>P6</f>
        <v>634.3119999999999</v>
      </c>
      <c r="M117">
        <f>P7</f>
        <v>635.5</v>
      </c>
      <c r="N117">
        <f>P8</f>
        <v>631.54999999999995</v>
      </c>
      <c r="O117">
        <f>K117+((ABS(F117)/MAX(((F31)+(H31)*(MAX($D$16,(K117)-(J31))))*(MAX($D$16,(K117)-(J31))),0.000001))^2)/(2*$I$5)-((E31)*((((ABS(F117)*$D$6)/(MAX(((F31)+(H31)*(MAX($D$16,(K117)-(J31))))*(MAX($D$16,(K117)-(J31))),0.000001)*MAX(((((F31)+(H31)*(MAX($D$16,(K117)-(J31))))*(MAX($D$16,(K117)-(J31))))/MAX((F31)+2*(MAX($D$16,(K117)-(J31)))*SQRT(1+(H31)^2),0.000001))^(2/3),0.000001)))^2)+(((ABS(F117)*$D$6)/(MAX(((G31)+(I31)*(MAX($D$16,(D117)-(K31))))*(MAX($D$16,(D117)-(K31))),0.000001)*MAX(((((G31)+(I31)*(MAX($D$16,(D117)-(K31))))*(MAX($D$16,(D117)-(K31))))/MAX((G31)+2*(MAX($D$16,(D117)-(K31)))*SQRT(1+(I31)^2),0.000001))^(2/3),0.000001)))^2))/2)+(IF((ABS(F117)/MAX(((G31)+(I31)*(MAX($D$16,(D117)-(K31))))*(MAX($D$16,(D117)-(K31))),0.000001))&gt;(ABS(F117)/MAX(((F31)+(H31)*(MAX($D$16,(K117)-(J31))))*(MAX($D$16,(K117)-(J31))),0.000001)),$D$9*((((ABS(F117)/MAX(((G31)+(I31)*(MAX($D$16,(D117)-(K31))))*(MAX($D$16,(D117)-(K31))),0.000001))^2)/(2*$I$5))-(((ABS(F117)/MAX(((F31)+(H31)*(MAX($D$16,(K117)-(J31))))*(MAX($D$16,(K117)-(J31))),0.000001))^2)/(2*$I$5))),$D$8*((((ABS(F117)/MAX(((F31)+(H31)*(MAX($D$16,(K117)-(J31))))*(MAX($D$16,(K117)-(J31))),0.000001))^2)/(2*$I$5))-(((ABS(F117)/MAX(((G31)+(I31)*(MAX($D$16,(D117)-(K31))))*(MAX($D$16,(D117)-(K31))),0.000001))^2)/(2*$I$5)))))+($D$10*(ABS((X31)-(W31))/90)*MAX(((ABS(F117)/MAX(((F31)+(H31)*(MAX($D$16,(K117)-(J31))))*(MAX($D$16,(K117)-(J31))),0.000001))^2)/(2*$I$5),((ABS(F117)/MAX(((G31)+(I31)*(MAX($D$16,(D117)-(K31))))*(MAX($D$16,(D117)-(K31))),0.000001))^2)/(2*$I$5)))+(0)-((ABS(F117)/MAX(((G31)+(I31)*(MAX($D$16,(D117)-(K31))))*(MAX($D$16,(D117)-(K31))),0.000001))^2)/(2*$I$5)</f>
        <v>637.65825101089831</v>
      </c>
      <c r="P117">
        <f>E117+((ABS(G117)/MAX(((G32)+(I32)*(MAX($D$16,(E117)-(K32))))*(MAX($D$16,(E117)-(K32))),0.000001))^2)/(2*$I$5)+((E32)*((((ABS(G117)*$D$6)/(MAX(((F32)+(H32)*(MAX($D$16,(D117)-(J32))))*(MAX($D$16,(D117)-(J32))),0.000001)*MAX(((((F32)+(H32)*(MAX($D$16,(D117)-(J32))))*(MAX($D$16,(D117)-(J32))))/MAX((F32)+2*(MAX($D$16,(D117)-(J32)))*SQRT(1+(H32)^2),0.000001))^(2/3),0.000001)))^2)+(((ABS(G117)*$D$6)/(MAX(((G32)+(I32)*(MAX($D$16,(E117)-(K32))))*(MAX($D$16,(E117)-(K32))),0.000001)*MAX(((((G32)+(I32)*(MAX($D$16,(E117)-(K32))))*(MAX($D$16,(E117)-(K32))))/MAX((G32)+2*(MAX($D$16,(E117)-(K32)))*SQRT(1+(I32)^2),0.000001))^(2/3),0.000001)))^2))/2)+(IF((ABS(G117)/MAX(((G32)+(I32)*(MAX($D$16,(E117)-(K32))))*(MAX($D$16,(E117)-(K32))),0.000001))&gt;(ABS(G117)/MAX(((F32)+(H32)*(MAX($D$16,(D117)-(J32))))*(MAX($D$16,(D117)-(J32))),0.000001)),$D$9*((((ABS(G117)/MAX(((G32)+(I32)*(MAX($D$16,(E117)-(K32))))*(MAX($D$16,(E117)-(K32))),0.000001))^2)/(2*$I$5))-(((ABS(G117)/MAX(((F32)+(H32)*(MAX($D$16,(D117)-(J32))))*(MAX($D$16,(D117)-(J32))),0.000001))^2)/(2*$I$5))),$D$8*((((ABS(G117)/MAX(((F32)+(H32)*(MAX($D$16,(D117)-(J32))))*(MAX($D$16,(D117)-(J32))),0.000001))^2)/(2*$I$5))-(((ABS(G117)/MAX(((G32)+(I32)*(MAX($D$16,(E117)-(K32))))*(MAX($D$16,(E117)-(K32))),0.000001))^2)/(2*$I$5)))))+($D$10*(ABS((X32)-(W32))/90)*MAX(((ABS(G117)/MAX(((F32)+(H32)*(MAX($D$16,(D117)-(J32))))*(MAX($D$16,(D117)-(J32))),0.000001))^2)/(2*$I$5),((ABS(G117)/MAX(((G32)+(I32)*(MAX($D$16,(E117)-(K32))))*(MAX($D$16,(E117)-(K32))),0.000001))^2)/(2*$I$5)))+(($D$11*0.13607488*(ABS(H117)/MAX(ABS(F117),0.000001))^2*MAX(((ABS(G117)/MAX(((F32)+(H32)*(MAX($D$16,(D117)-(J32))))*(MAX($D$16,(D117)-(J32))),0.000001))^2)/(2*$I$5),((ABS(G117)/MAX(((G32)+(I32)*(MAX($D$16,(E117)-(K32))))*(MAX($D$16,(E117)-(K32))),0.000001))^2)/(2*$I$5))))-((ABS(G117)/MAX(((F32)+(H32)*(MAX($D$16,(D117)-(J32))))*(MAX($D$16,(D117)-(J32))),0.000001))^2)/(2*$I$5)</f>
        <v>52432.141837663265</v>
      </c>
      <c r="Q117">
        <f>L117+((ABS(H117)/MAX(((G33)+(I33)*(MAX($D$16,(L117)-(K33))))*(MAX($D$16,(L117)-(K33))),0.000001))^2)/(2*$I$5)+((E33)*((((ABS(H117)*$D$6)/(MAX(((F33)+(H33)*(MAX($D$16,(D117)-(J33))))*(MAX($D$16,(D117)-(J33))),0.000001)*MAX(((((F33)+(H33)*(MAX($D$16,(D117)-(J33))))*(MAX($D$16,(D117)-(J33))))/MAX((F33)+2*(MAX($D$16,(D117)-(J33)))*SQRT(1+(H33)^2),0.000001))^(2/3),0.000001)))^2)+(((ABS(H117)*$D$6)/(MAX(((G33)+(I33)*(MAX($D$16,(L117)-(K33))))*(MAX($D$16,(L117)-(K33))),0.000001)*MAX(((((G33)+(I33)*(MAX($D$16,(L117)-(K33))))*(MAX($D$16,(L117)-(K33))))/MAX((G33)+2*(MAX($D$16,(L117)-(K33)))*SQRT(1+(I33)^2),0.000001))^(2/3),0.000001)))^2))/2)+(IF((ABS(H117)/MAX(((G33)+(I33)*(MAX($D$16,(L117)-(K33))))*(MAX($D$16,(L117)-(K33))),0.000001))&gt;(ABS(H117)/MAX(((F33)+(H33)*(MAX($D$16,(D117)-(J33))))*(MAX($D$16,(D117)-(J33))),0.000001)),$D$9*((((ABS(H117)/MAX(((G33)+(I33)*(MAX($D$16,(L117)-(K33))))*(MAX($D$16,(L117)-(K33))),0.000001))^2)/(2*$I$5))-(((ABS(H117)/MAX(((F33)+(H33)*(MAX($D$16,(D117)-(J33))))*(MAX($D$16,(D117)-(J33))),0.000001))^2)/(2*$I$5))),$D$8*((((ABS(H117)/MAX(((F33)+(H33)*(MAX($D$16,(D117)-(J33))))*(MAX($D$16,(D117)-(J33))),0.000001))^2)/(2*$I$5))-(((ABS(H117)/MAX(((G33)+(I33)*(MAX($D$16,(L117)-(K33))))*(MAX($D$16,(L117)-(K33))),0.000001))^2)/(2*$I$5)))))+($D$10*(ABS((X33)-(W33))/90)*MAX(((ABS(H117)/MAX(((F33)+(H33)*(MAX($D$16,(D117)-(J33))))*(MAX($D$16,(D117)-(J33))),0.000001))^2)/(2*$I$5),((ABS(H117)/MAX(((G33)+(I33)*(MAX($D$16,(L117)-(K33))))*(MAX($D$16,(L117)-(K33))),0.000001))^2)/(2*$I$5)))+(($D$11*0.00000015*(ABS(G117)/MAX(ABS(F117),0.000001))^2*MAX(((ABS(H117)/MAX(((F33)+(H33)*(MAX($D$16,(D117)-(J33))))*(MAX($D$16,(D117)-(J33))),0.000001))^2)/(2*$I$5),((ABS(H117)/MAX(((G33)+(I33)*(MAX($D$16,(L117)-(K33))))*(MAX($D$16,(L117)-(K33))),0.000001))^2)/(2*$I$5))))-((ABS(H117)/MAX(((F33)+(H33)*(MAX($D$16,(D117)-(J33))))*(MAX($D$16,(D117)-(J33))),0.000001))^2)/(2*$I$5)</f>
        <v>634.3119999999999</v>
      </c>
      <c r="R117">
        <f>D117+((ABS(G117)/MAX(((F32)+(H32)*(MAX($D$16,(D117)-(J32))))*(MAX($D$16,(D117)-(J32))),0.000001))^2)/(2*$I$5)-((E32)*((((ABS(G117)*$D$6)/(MAX(((F32)+(H32)*(MAX($D$16,(D117)-(J32))))*(MAX($D$16,(D117)-(J32))),0.000001)*MAX(((((F32)+(H32)*(MAX($D$16,(D117)-(J32))))*(MAX($D$16,(D117)-(J32))))/MAX((F32)+2*(MAX($D$16,(D117)-(J32)))*SQRT(1+(H32)^2),0.000001))^(2/3),0.000001)))^2)+(((ABS(G117)*$D$6)/(MAX(((G32)+(I32)*(MAX($D$16,(E117)-(K32))))*(MAX($D$16,(E117)-(K32))),0.000001)*MAX(((((G32)+(I32)*(MAX($D$16,(E117)-(K32))))*(MAX($D$16,(E117)-(K32))))/MAX((G32)+2*(MAX($D$16,(E117)-(K32)))*SQRT(1+(I32)^2),0.000001))^(2/3),0.000001)))^2))/2)+(IF((ABS(G117)/MAX(((G32)+(I32)*(MAX($D$16,(E117)-(K32))))*(MAX($D$16,(E117)-(K32))),0.000001))&gt;(ABS(G117)/MAX(((F32)+(H32)*(MAX($D$16,(D117)-(J32))))*(MAX($D$16,(D117)-(J32))),0.000001)),$D$9*((((ABS(G117)/MAX(((G32)+(I32)*(MAX($D$16,(E117)-(K32))))*(MAX($D$16,(E117)-(K32))),0.000001))^2)/(2*$I$5))-(((ABS(G117)/MAX(((F32)+(H32)*(MAX($D$16,(D117)-(J32))))*(MAX($D$16,(D117)-(J32))),0.000001))^2)/(2*$I$5))),$D$8*((((ABS(G117)/MAX(((F32)+(H32)*(MAX($D$16,(D117)-(J32))))*(MAX($D$16,(D117)-(J32))),0.000001))^2)/(2*$I$5))-(((ABS(G117)/MAX(((G32)+(I32)*(MAX($D$16,(E117)-(K32))))*(MAX($D$16,(E117)-(K32))),0.000001))^2)/(2*$I$5)))))+($D$10*(ABS((X32)-(W32))/90)*MAX(((ABS(G117)/MAX(((F32)+(H32)*(MAX($D$16,(D117)-(J32))))*(MAX($D$16,(D117)-(J32))),0.000001))^2)/(2*$I$5),((ABS(G117)/MAX(((G32)+(I32)*(MAX($D$16,(E117)-(K32))))*(MAX($D$16,(E117)-(K32))),0.000001))^2)/(2*$I$5)))+(($D$11*0.13607488*(ABS(H117)/MAX(ABS(F117),0.000001))^2*MAX(((ABS(G117)/MAX(((F32)+(H32)*(MAX($D$16,(D117)-(J32))))*(MAX($D$16,(D117)-(J32))),0.000001))^2)/(2*$I$5),((ABS(G117)/MAX(((G32)+(I32)*(MAX($D$16,(E117)-(K32))))*(MAX($D$16,(E117)-(K32))),0.000001))^2)/(2*$I$5))))-((ABS(G117)/MAX(((G32)+(I32)*(MAX($D$16,(E117)-(K32))))*(MAX($D$16,(E117)-(K32))),0.000001))^2)/(2*$I$5)</f>
        <v>52432.141837663054</v>
      </c>
      <c r="S117">
        <f>M117+((ABS(I117)/MAX(((G34)+(I34)*(MAX($D$16,(M117)-(K34))))*(MAX($D$16,(M117)-(K34))),0.000001))^2)/(2*$I$5)+((E34)*((((ABS(I117)*$D$6)/(MAX(((F34)+(H34)*(MAX($D$16,(E117)-(J34))))*(MAX($D$16,(E117)-(J34))),0.000001)*MAX(((((F34)+(H34)*(MAX($D$16,(E117)-(J34))))*(MAX($D$16,(E117)-(J34))))/MAX((F34)+2*(MAX($D$16,(E117)-(J34)))*SQRT(1+(H34)^2),0.000001))^(2/3),0.000001)))^2)+(((ABS(I117)*$D$6)/(MAX(((G34)+(I34)*(MAX($D$16,(M117)-(K34))))*(MAX($D$16,(M117)-(K34))),0.000001)*MAX(((((G34)+(I34)*(MAX($D$16,(M117)-(K34))))*(MAX($D$16,(M117)-(K34))))/MAX((G34)+2*(MAX($D$16,(M117)-(K34)))*SQRT(1+(I34)^2),0.000001))^(2/3),0.000001)))^2))/2)+(IF((ABS(I117)/MAX(((G34)+(I34)*(MAX($D$16,(M117)-(K34))))*(MAX($D$16,(M117)-(K34))),0.000001))&gt;(ABS(I117)/MAX(((F34)+(H34)*(MAX($D$16,(E117)-(J34))))*(MAX($D$16,(E117)-(J34))),0.000001)),$D$9*((((ABS(I117)/MAX(((G34)+(I34)*(MAX($D$16,(M117)-(K34))))*(MAX($D$16,(M117)-(K34))),0.000001))^2)/(2*$I$5))-(((ABS(I117)/MAX(((F34)+(H34)*(MAX($D$16,(E117)-(J34))))*(MAX($D$16,(E117)-(J34))),0.000001))^2)/(2*$I$5))),$D$8*((((ABS(I117)/MAX(((F34)+(H34)*(MAX($D$16,(E117)-(J34))))*(MAX($D$16,(E117)-(J34))),0.000001))^2)/(2*$I$5))-(((ABS(I117)/MAX(((G34)+(I34)*(MAX($D$16,(M117)-(K34))))*(MAX($D$16,(M117)-(K34))),0.000001))^2)/(2*$I$5)))))+($D$10*(ABS((X34)-(W34))/90)*MAX(((ABS(I117)/MAX(((F34)+(H34)*(MAX($D$16,(E117)-(J34))))*(MAX($D$16,(E117)-(J34))),0.000001))^2)/(2*$I$5),((ABS(I117)/MAX(((G34)+(I34)*(MAX($D$16,(M117)-(K34))))*(MAX($D$16,(M117)-(K34))),0.000001))^2)/(2*$I$5)))+(0)-((ABS(I117)/MAX(((F34)+(H34)*(MAX($D$16,(E117)-(J34))))*(MAX($D$16,(E117)-(J34))),0.000001))^2)/(2*$I$5)</f>
        <v>635.5</v>
      </c>
      <c r="T117">
        <f>N117+((ABS(J117)/MAX(((G35)+(I35)*(MAX($D$16,(N117)-(K35))))*(MAX($D$16,(N117)-(K35))),0.000001))^2)/(2*$I$5)+((E35)*((((ABS(J117)*$D$6)/(MAX(((F35)+(H35)*(MAX($D$16,(E117)-(J35))))*(MAX($D$16,(E117)-(J35))),0.000001)*MAX(((((F35)+(H35)*(MAX($D$16,(E117)-(J35))))*(MAX($D$16,(E117)-(J35))))/MAX((F35)+2*(MAX($D$16,(E117)-(J35)))*SQRT(1+(H35)^2),0.000001))^(2/3),0.000001)))^2)+(((ABS(J117)*$D$6)/(MAX(((G35)+(I35)*(MAX($D$16,(N117)-(K35))))*(MAX($D$16,(N117)-(K35))),0.000001)*MAX(((((G35)+(I35)*(MAX($D$16,(N117)-(K35))))*(MAX($D$16,(N117)-(K35))))/MAX((G35)+2*(MAX($D$16,(N117)-(K35)))*SQRT(1+(I35)^2),0.000001))^(2/3),0.000001)))^2))/2)+(IF((ABS(J117)/MAX(((G35)+(I35)*(MAX($D$16,(N117)-(K35))))*(MAX($D$16,(N117)-(K35))),0.000001))&gt;(ABS(J117)/MAX(((F35)+(H35)*(MAX($D$16,(E117)-(J35))))*(MAX($D$16,(E117)-(J35))),0.000001)),$D$9*((((ABS(J117)/MAX(((G35)+(I35)*(MAX($D$16,(N117)-(K35))))*(MAX($D$16,(N117)-(K35))),0.000001))^2)/(2*$I$5))-(((ABS(J117)/MAX(((F35)+(H35)*(MAX($D$16,(E117)-(J35))))*(MAX($D$16,(E117)-(J35))),0.000001))^2)/(2*$I$5))),$D$8*((((ABS(J117)/MAX(((F35)+(H35)*(MAX($D$16,(E117)-(J35))))*(MAX($D$16,(E117)-(J35))),0.000001))^2)/(2*$I$5))-(((ABS(J117)/MAX(((G35)+(I35)*(MAX($D$16,(N117)-(K35))))*(MAX($D$16,(N117)-(K35))),0.000001))^2)/(2*$I$5)))))+($D$10*(ABS((X35)-(W35))/90)*MAX(((ABS(J117)/MAX(((F35)+(H35)*(MAX($D$16,(E117)-(J35))))*(MAX($D$16,(E117)-(J35))),0.000001))^2)/(2*$I$5),((ABS(J117)/MAX(((G35)+(I35)*(MAX($D$16,(N117)-(K35))))*(MAX($D$16,(N117)-(K35))),0.000001))^2)/(2*$I$5)))+(($D$11*0.34699541*(ABS(I117)/MAX(ABS(G117),0.000001))^2*MAX(((ABS(J117)/MAX(((F35)+(H35)*(MAX($D$16,(E117)-(J35))))*(MAX($D$16,(E117)-(J35))),0.000001))^2)/(2*$I$5),((ABS(J117)/MAX(((G35)+(I35)*(MAX($D$16,(N117)-(K35))))*(MAX($D$16,(N117)-(K35))),0.000001))^2)/(2*$I$5))))-((ABS(J117)/MAX(((F35)+(H35)*(MAX($D$16,(E117)-(J35))))*(MAX($D$16,(E117)-(J35))),0.000001))^2)/(2*$I$5)</f>
        <v>20784.033523923383</v>
      </c>
      <c r="U117">
        <f>(((((F32)*(MAX($D$16,(D117)-(J32)))^2)/2+(H32)*(MAX($D$16,(D117)-(J32)))^3/3+(ABS(G117)^2)/($I$5*MAX(((F32)+(H32)*(MAX($D$16,(D117)-(J32))))*(MAX($D$16,(D117)-(J32))),0.000001)))*0.72785025)-((((F33)*(MAX($D$16,(D117)-(J33)))^2)/2+(H33)*(MAX($D$16,(D117)-(J33)))^3/3+(ABS(H117)^2)/($I$5*MAX(((F33)+(H33)*(MAX($D$16,(D117)-(J33))))*(MAX($D$16,(D117)-(J33))),0.000001)))*0.99999971))/MAX(((G31)*(MAX($D$16,(D117)-(K31)))^2)/2+(I31)*(MAX($D$16,(D117)-(K31)))^3/3+(ABS(F117)^2)/($I$5*MAX(((G31)+(I31)*(MAX($D$16,(D117)-(K31))))*(MAX($D$16,(D117)-(K31))),0.000001)),0.000001)</f>
        <v>-0.27214945999991125</v>
      </c>
      <c r="V117">
        <f>(((((F34)*(MAX($D$16,(E117)-(J34)))^2)/2+(H34)*(MAX($D$16,(E117)-(J34)))^3/3+(ABS(I117)^2)/($I$5*MAX(((F34)+(H34)*(MAX($D$16,(E117)-(J34))))*(MAX($D$16,(E117)-(J34))),0.000001)))*1)-((((F35)*(MAX($D$16,(E117)-(J35)))^2)/2+(H35)*(MAX($D$16,(E117)-(J35)))^3/3+(ABS(J117)^2)/($I$5*MAX(((F35)+(H35)*(MAX($D$16,(E117)-(J35))))*(MAX($D$16,(E117)-(J35))),0.000001)))*0.30600918))/MAX(((G32)*(MAX($D$16,(E117)-(K32)))^2)/2+(I32)*(MAX($D$16,(E117)-(K32)))^3/3+(ABS(G117)^2)/($I$5*MAX(((G32)+(I32)*(MAX($D$16,(E117)-(K32))))*(MAX($D$16,(E117)-(K32))),0.000001)),0.000001)</f>
        <v>0.69398638937190382</v>
      </c>
      <c r="W117">
        <f>IF(N6="None",ABS(P117-D117),MAX(ABS(P117-D117),ABS(Q117-D117)))</f>
        <v>3.4197000786662102E-10</v>
      </c>
      <c r="X117">
        <f>IF(AND(N7="None",N8="None"),0,IF(N8="None",ABS(S117-E117),IF(N7="None",ABS(T117-E117),MAX(ABS(S117-E117),ABS(T117-E117)))))</f>
        <v>51796.641837662712</v>
      </c>
      <c r="AA117">
        <f t="shared" si="33"/>
        <v>52432.141837663039</v>
      </c>
      <c r="AB117">
        <f t="shared" si="34"/>
        <v>41355.303927853951</v>
      </c>
      <c r="AC117">
        <f>IF(N6="None",P117,MAX(P117,Q117))</f>
        <v>52432.141837663265</v>
      </c>
      <c r="AD117">
        <f>IF(AND(N7="None",N8="None"),E117,IF(N8="None",S117,IF(N7="None",T117,MAX(S117,T117))))</f>
        <v>20784.033523923383</v>
      </c>
      <c r="AE117">
        <f t="shared" si="35"/>
        <v>637.65825101089831</v>
      </c>
      <c r="AF117">
        <f t="shared" si="36"/>
        <v>52432.141837663054</v>
      </c>
      <c r="AG117">
        <f>((G31)*(MAX($D$16,(AC117)-(K31)))^2)/2+(I31)*(MAX($D$16,(AC117)-(K31)))^3/3+(ABS(F117)^2)/($I$5*MAX(((G31)+(I31)*(MAX($D$16,(AC117)-(K31))))*(MAX($D$16,(AC117)-(K31))),0.000001))</f>
        <v>8797611517.4120636</v>
      </c>
      <c r="AH117">
        <f>((G31)*(MAX($D$16,(AE117)-(K31)))^2)/2+(I31)*(MAX($D$16,(AE117)-(K31)))^3/3+(ABS(F117)^2)/($I$5*MAX(((G31)+(I31)*(MAX($D$16,(AE117)-(K31))))*(MAX($D$16,(AE117)-(K31))),0.000001))</f>
        <v>49.055863329575246</v>
      </c>
      <c r="AI117">
        <f>((G32)*(MAX($D$16,(AD117)-(K32)))^2)/2+(I32)*(MAX($D$16,(AD117)-(K32)))^3/3+(ABS(G117)^2)/($I$5*MAX(((G32)+(I32)*(MAX($D$16,(AD117)-(K32))))*(MAX($D$16,(AD117)-(K32))),0.000001))</f>
        <v>2072376743.6648321</v>
      </c>
      <c r="AJ117">
        <f>((G32)*(MAX($D$16,(AF117)-(K32)))^2)/2+(I32)*(MAX($D$16,(AF117)-(K32)))^3/3+(ABS(G117)^2)/($I$5*MAX(((G32)+(I32)*(MAX($D$16,(AF117)-(K32))))*(MAX($D$16,(AF117)-(K32))),0.000001))</f>
        <v>13692714789.644642</v>
      </c>
      <c r="AK117" t="str">
        <f t="shared" si="37"/>
        <v>Subcritical</v>
      </c>
      <c r="AL117" t="str">
        <f t="shared" si="38"/>
        <v>Supercritical</v>
      </c>
      <c r="AM117">
        <f t="shared" si="39"/>
        <v>52432.141837663039</v>
      </c>
      <c r="AN117">
        <f t="shared" si="40"/>
        <v>52432.141837662828</v>
      </c>
      <c r="AO117">
        <f t="shared" si="41"/>
        <v>3.4197000786662102E-10</v>
      </c>
      <c r="AP117">
        <f t="shared" si="42"/>
        <v>3.4197000786662102E-10</v>
      </c>
    </row>
    <row r="118" spans="1:42" x14ac:dyDescent="0.35">
      <c r="A118">
        <v>75</v>
      </c>
      <c r="B118">
        <f t="shared" si="43"/>
        <v>0</v>
      </c>
      <c r="C118">
        <f t="shared" si="44"/>
        <v>0</v>
      </c>
      <c r="D118">
        <f t="shared" si="45"/>
        <v>52432.141837663039</v>
      </c>
      <c r="E118">
        <f t="shared" si="46"/>
        <v>52432.141837662828</v>
      </c>
      <c r="F118">
        <f t="shared" si="32"/>
        <v>51</v>
      </c>
      <c r="G118">
        <f>IF(N6="None",F118,MAX(0,F118*B118))</f>
        <v>51</v>
      </c>
      <c r="H118">
        <f>IF(N6="None",0,MAX(0,F118-G118))</f>
        <v>0</v>
      </c>
      <c r="I118">
        <f>IF(AND(N7="None",N8="None"),0,IF(N8="None",G118,IF(N7="None",0,MAX(0,G118*C118))))</f>
        <v>0</v>
      </c>
      <c r="J118">
        <f>IF(AND(N7="None",N8="None"),0,IF(N8="None",0,IF(N7="None",G118,MAX(0,G118-I118))))</f>
        <v>51</v>
      </c>
      <c r="K118">
        <f>P5</f>
        <v>637</v>
      </c>
      <c r="L118">
        <f>P6</f>
        <v>634.3119999999999</v>
      </c>
      <c r="M118">
        <f>P7</f>
        <v>635.5</v>
      </c>
      <c r="N118">
        <f>P8</f>
        <v>631.54999999999995</v>
      </c>
      <c r="O118">
        <f>K118+((ABS(F118)/MAX(((F31)+(H31)*(MAX($D$16,(K118)-(J31))))*(MAX($D$16,(K118)-(J31))),0.000001))^2)/(2*$I$5)-((E31)*((((ABS(F118)*$D$6)/(MAX(((F31)+(H31)*(MAX($D$16,(K118)-(J31))))*(MAX($D$16,(K118)-(J31))),0.000001)*MAX(((((F31)+(H31)*(MAX($D$16,(K118)-(J31))))*(MAX($D$16,(K118)-(J31))))/MAX((F31)+2*(MAX($D$16,(K118)-(J31)))*SQRT(1+(H31)^2),0.000001))^(2/3),0.000001)))^2)+(((ABS(F118)*$D$6)/(MAX(((G31)+(I31)*(MAX($D$16,(D118)-(K31))))*(MAX($D$16,(D118)-(K31))),0.000001)*MAX(((((G31)+(I31)*(MAX($D$16,(D118)-(K31))))*(MAX($D$16,(D118)-(K31))))/MAX((G31)+2*(MAX($D$16,(D118)-(K31)))*SQRT(1+(I31)^2),0.000001))^(2/3),0.000001)))^2))/2)+(IF((ABS(F118)/MAX(((G31)+(I31)*(MAX($D$16,(D118)-(K31))))*(MAX($D$16,(D118)-(K31))),0.000001))&gt;(ABS(F118)/MAX(((F31)+(H31)*(MAX($D$16,(K118)-(J31))))*(MAX($D$16,(K118)-(J31))),0.000001)),$D$9*((((ABS(F118)/MAX(((G31)+(I31)*(MAX($D$16,(D118)-(K31))))*(MAX($D$16,(D118)-(K31))),0.000001))^2)/(2*$I$5))-(((ABS(F118)/MAX(((F31)+(H31)*(MAX($D$16,(K118)-(J31))))*(MAX($D$16,(K118)-(J31))),0.000001))^2)/(2*$I$5))),$D$8*((((ABS(F118)/MAX(((F31)+(H31)*(MAX($D$16,(K118)-(J31))))*(MAX($D$16,(K118)-(J31))),0.000001))^2)/(2*$I$5))-(((ABS(F118)/MAX(((G31)+(I31)*(MAX($D$16,(D118)-(K31))))*(MAX($D$16,(D118)-(K31))),0.000001))^2)/(2*$I$5)))))+($D$10*(ABS((X31)-(W31))/90)*MAX(((ABS(F118)/MAX(((F31)+(H31)*(MAX($D$16,(K118)-(J31))))*(MAX($D$16,(K118)-(J31))),0.000001))^2)/(2*$I$5),((ABS(F118)/MAX(((G31)+(I31)*(MAX($D$16,(D118)-(K31))))*(MAX($D$16,(D118)-(K31))),0.000001))^2)/(2*$I$5)))+(0)-((ABS(F118)/MAX(((G31)+(I31)*(MAX($D$16,(D118)-(K31))))*(MAX($D$16,(D118)-(K31))),0.000001))^2)/(2*$I$5)</f>
        <v>637.65825101089831</v>
      </c>
      <c r="P118">
        <f>E118+((ABS(G118)/MAX(((G32)+(I32)*(MAX($D$16,(E118)-(K32))))*(MAX($D$16,(E118)-(K32))),0.000001))^2)/(2*$I$5)+((E32)*((((ABS(G118)*$D$6)/(MAX(((F32)+(H32)*(MAX($D$16,(D118)-(J32))))*(MAX($D$16,(D118)-(J32))),0.000001)*MAX(((((F32)+(H32)*(MAX($D$16,(D118)-(J32))))*(MAX($D$16,(D118)-(J32))))/MAX((F32)+2*(MAX($D$16,(D118)-(J32)))*SQRT(1+(H32)^2),0.000001))^(2/3),0.000001)))^2)+(((ABS(G118)*$D$6)/(MAX(((G32)+(I32)*(MAX($D$16,(E118)-(K32))))*(MAX($D$16,(E118)-(K32))),0.000001)*MAX(((((G32)+(I32)*(MAX($D$16,(E118)-(K32))))*(MAX($D$16,(E118)-(K32))))/MAX((G32)+2*(MAX($D$16,(E118)-(K32)))*SQRT(1+(I32)^2),0.000001))^(2/3),0.000001)))^2))/2)+(IF((ABS(G118)/MAX(((G32)+(I32)*(MAX($D$16,(E118)-(K32))))*(MAX($D$16,(E118)-(K32))),0.000001))&gt;(ABS(G118)/MAX(((F32)+(H32)*(MAX($D$16,(D118)-(J32))))*(MAX($D$16,(D118)-(J32))),0.000001)),$D$9*((((ABS(G118)/MAX(((G32)+(I32)*(MAX($D$16,(E118)-(K32))))*(MAX($D$16,(E118)-(K32))),0.000001))^2)/(2*$I$5))-(((ABS(G118)/MAX(((F32)+(H32)*(MAX($D$16,(D118)-(J32))))*(MAX($D$16,(D118)-(J32))),0.000001))^2)/(2*$I$5))),$D$8*((((ABS(G118)/MAX(((F32)+(H32)*(MAX($D$16,(D118)-(J32))))*(MAX($D$16,(D118)-(J32))),0.000001))^2)/(2*$I$5))-(((ABS(G118)/MAX(((G32)+(I32)*(MAX($D$16,(E118)-(K32))))*(MAX($D$16,(E118)-(K32))),0.000001))^2)/(2*$I$5)))))+($D$10*(ABS((X32)-(W32))/90)*MAX(((ABS(G118)/MAX(((F32)+(H32)*(MAX($D$16,(D118)-(J32))))*(MAX($D$16,(D118)-(J32))),0.000001))^2)/(2*$I$5),((ABS(G118)/MAX(((G32)+(I32)*(MAX($D$16,(E118)-(K32))))*(MAX($D$16,(E118)-(K32))),0.000001))^2)/(2*$I$5)))+(($D$11*0.13607488*(ABS(H118)/MAX(ABS(F118),0.000001))^2*MAX(((ABS(G118)/MAX(((F32)+(H32)*(MAX($D$16,(D118)-(J32))))*(MAX($D$16,(D118)-(J32))),0.000001))^2)/(2*$I$5),((ABS(G118)/MAX(((G32)+(I32)*(MAX($D$16,(E118)-(K32))))*(MAX($D$16,(E118)-(K32))),0.000001))^2)/(2*$I$5))))-((ABS(G118)/MAX(((F32)+(H32)*(MAX($D$16,(D118)-(J32))))*(MAX($D$16,(D118)-(J32))),0.000001))^2)/(2*$I$5)</f>
        <v>52432.141837663381</v>
      </c>
      <c r="Q118">
        <f>L118+((ABS(H118)/MAX(((G33)+(I33)*(MAX($D$16,(L118)-(K33))))*(MAX($D$16,(L118)-(K33))),0.000001))^2)/(2*$I$5)+((E33)*((((ABS(H118)*$D$6)/(MAX(((F33)+(H33)*(MAX($D$16,(D118)-(J33))))*(MAX($D$16,(D118)-(J33))),0.000001)*MAX(((((F33)+(H33)*(MAX($D$16,(D118)-(J33))))*(MAX($D$16,(D118)-(J33))))/MAX((F33)+2*(MAX($D$16,(D118)-(J33)))*SQRT(1+(H33)^2),0.000001))^(2/3),0.000001)))^2)+(((ABS(H118)*$D$6)/(MAX(((G33)+(I33)*(MAX($D$16,(L118)-(K33))))*(MAX($D$16,(L118)-(K33))),0.000001)*MAX(((((G33)+(I33)*(MAX($D$16,(L118)-(K33))))*(MAX($D$16,(L118)-(K33))))/MAX((G33)+2*(MAX($D$16,(L118)-(K33)))*SQRT(1+(I33)^2),0.000001))^(2/3),0.000001)))^2))/2)+(IF((ABS(H118)/MAX(((G33)+(I33)*(MAX($D$16,(L118)-(K33))))*(MAX($D$16,(L118)-(K33))),0.000001))&gt;(ABS(H118)/MAX(((F33)+(H33)*(MAX($D$16,(D118)-(J33))))*(MAX($D$16,(D118)-(J33))),0.000001)),$D$9*((((ABS(H118)/MAX(((G33)+(I33)*(MAX($D$16,(L118)-(K33))))*(MAX($D$16,(L118)-(K33))),0.000001))^2)/(2*$I$5))-(((ABS(H118)/MAX(((F33)+(H33)*(MAX($D$16,(D118)-(J33))))*(MAX($D$16,(D118)-(J33))),0.000001))^2)/(2*$I$5))),$D$8*((((ABS(H118)/MAX(((F33)+(H33)*(MAX($D$16,(D118)-(J33))))*(MAX($D$16,(D118)-(J33))),0.000001))^2)/(2*$I$5))-(((ABS(H118)/MAX(((G33)+(I33)*(MAX($D$16,(L118)-(K33))))*(MAX($D$16,(L118)-(K33))),0.000001))^2)/(2*$I$5)))))+($D$10*(ABS((X33)-(W33))/90)*MAX(((ABS(H118)/MAX(((F33)+(H33)*(MAX($D$16,(D118)-(J33))))*(MAX($D$16,(D118)-(J33))),0.000001))^2)/(2*$I$5),((ABS(H118)/MAX(((G33)+(I33)*(MAX($D$16,(L118)-(K33))))*(MAX($D$16,(L118)-(K33))),0.000001))^2)/(2*$I$5)))+(($D$11*0.00000015*(ABS(G118)/MAX(ABS(F118),0.000001))^2*MAX(((ABS(H118)/MAX(((F33)+(H33)*(MAX($D$16,(D118)-(J33))))*(MAX($D$16,(D118)-(J33))),0.000001))^2)/(2*$I$5),((ABS(H118)/MAX(((G33)+(I33)*(MAX($D$16,(L118)-(K33))))*(MAX($D$16,(L118)-(K33))),0.000001))^2)/(2*$I$5))))-((ABS(H118)/MAX(((F33)+(H33)*(MAX($D$16,(D118)-(J33))))*(MAX($D$16,(D118)-(J33))),0.000001))^2)/(2*$I$5)</f>
        <v>634.3119999999999</v>
      </c>
      <c r="R118">
        <f>D118+((ABS(G118)/MAX(((F32)+(H32)*(MAX($D$16,(D118)-(J32))))*(MAX($D$16,(D118)-(J32))),0.000001))^2)/(2*$I$5)-((E32)*((((ABS(G118)*$D$6)/(MAX(((F32)+(H32)*(MAX($D$16,(D118)-(J32))))*(MAX($D$16,(D118)-(J32))),0.000001)*MAX(((((F32)+(H32)*(MAX($D$16,(D118)-(J32))))*(MAX($D$16,(D118)-(J32))))/MAX((F32)+2*(MAX($D$16,(D118)-(J32)))*SQRT(1+(H32)^2),0.000001))^(2/3),0.000001)))^2)+(((ABS(G118)*$D$6)/(MAX(((G32)+(I32)*(MAX($D$16,(E118)-(K32))))*(MAX($D$16,(E118)-(K32))),0.000001)*MAX(((((G32)+(I32)*(MAX($D$16,(E118)-(K32))))*(MAX($D$16,(E118)-(K32))))/MAX((G32)+2*(MAX($D$16,(E118)-(K32)))*SQRT(1+(I32)^2),0.000001))^(2/3),0.000001)))^2))/2)+(IF((ABS(G118)/MAX(((G32)+(I32)*(MAX($D$16,(E118)-(K32))))*(MAX($D$16,(E118)-(K32))),0.000001))&gt;(ABS(G118)/MAX(((F32)+(H32)*(MAX($D$16,(D118)-(J32))))*(MAX($D$16,(D118)-(J32))),0.000001)),$D$9*((((ABS(G118)/MAX(((G32)+(I32)*(MAX($D$16,(E118)-(K32))))*(MAX($D$16,(E118)-(K32))),0.000001))^2)/(2*$I$5))-(((ABS(G118)/MAX(((F32)+(H32)*(MAX($D$16,(D118)-(J32))))*(MAX($D$16,(D118)-(J32))),0.000001))^2)/(2*$I$5))),$D$8*((((ABS(G118)/MAX(((F32)+(H32)*(MAX($D$16,(D118)-(J32))))*(MAX($D$16,(D118)-(J32))),0.000001))^2)/(2*$I$5))-(((ABS(G118)/MAX(((G32)+(I32)*(MAX($D$16,(E118)-(K32))))*(MAX($D$16,(E118)-(K32))),0.000001))^2)/(2*$I$5)))))+($D$10*(ABS((X32)-(W32))/90)*MAX(((ABS(G118)/MAX(((F32)+(H32)*(MAX($D$16,(D118)-(J32))))*(MAX($D$16,(D118)-(J32))),0.000001))^2)/(2*$I$5),((ABS(G118)/MAX(((G32)+(I32)*(MAX($D$16,(E118)-(K32))))*(MAX($D$16,(E118)-(K32))),0.000001))^2)/(2*$I$5)))+(($D$11*0.13607488*(ABS(H118)/MAX(ABS(F118),0.000001))^2*MAX(((ABS(G118)/MAX(((F32)+(H32)*(MAX($D$16,(D118)-(J32))))*(MAX($D$16,(D118)-(J32))),0.000001))^2)/(2*$I$5),((ABS(G118)/MAX(((G32)+(I32)*(MAX($D$16,(E118)-(K32))))*(MAX($D$16,(E118)-(K32))),0.000001))^2)/(2*$I$5))))-((ABS(G118)/MAX(((G32)+(I32)*(MAX($D$16,(E118)-(K32))))*(MAX($D$16,(E118)-(K32))),0.000001))^2)/(2*$I$5)</f>
        <v>52432.14183766317</v>
      </c>
      <c r="S118">
        <f>M118+((ABS(I118)/MAX(((G34)+(I34)*(MAX($D$16,(M118)-(K34))))*(MAX($D$16,(M118)-(K34))),0.000001))^2)/(2*$I$5)+((E34)*((((ABS(I118)*$D$6)/(MAX(((F34)+(H34)*(MAX($D$16,(E118)-(J34))))*(MAX($D$16,(E118)-(J34))),0.000001)*MAX(((((F34)+(H34)*(MAX($D$16,(E118)-(J34))))*(MAX($D$16,(E118)-(J34))))/MAX((F34)+2*(MAX($D$16,(E118)-(J34)))*SQRT(1+(H34)^2),0.000001))^(2/3),0.000001)))^2)+(((ABS(I118)*$D$6)/(MAX(((G34)+(I34)*(MAX($D$16,(M118)-(K34))))*(MAX($D$16,(M118)-(K34))),0.000001)*MAX(((((G34)+(I34)*(MAX($D$16,(M118)-(K34))))*(MAX($D$16,(M118)-(K34))))/MAX((G34)+2*(MAX($D$16,(M118)-(K34)))*SQRT(1+(I34)^2),0.000001))^(2/3),0.000001)))^2))/2)+(IF((ABS(I118)/MAX(((G34)+(I34)*(MAX($D$16,(M118)-(K34))))*(MAX($D$16,(M118)-(K34))),0.000001))&gt;(ABS(I118)/MAX(((F34)+(H34)*(MAX($D$16,(E118)-(J34))))*(MAX($D$16,(E118)-(J34))),0.000001)),$D$9*((((ABS(I118)/MAX(((G34)+(I34)*(MAX($D$16,(M118)-(K34))))*(MAX($D$16,(M118)-(K34))),0.000001))^2)/(2*$I$5))-(((ABS(I118)/MAX(((F34)+(H34)*(MAX($D$16,(E118)-(J34))))*(MAX($D$16,(E118)-(J34))),0.000001))^2)/(2*$I$5))),$D$8*((((ABS(I118)/MAX(((F34)+(H34)*(MAX($D$16,(E118)-(J34))))*(MAX($D$16,(E118)-(J34))),0.000001))^2)/(2*$I$5))-(((ABS(I118)/MAX(((G34)+(I34)*(MAX($D$16,(M118)-(K34))))*(MAX($D$16,(M118)-(K34))),0.000001))^2)/(2*$I$5)))))+($D$10*(ABS((X34)-(W34))/90)*MAX(((ABS(I118)/MAX(((F34)+(H34)*(MAX($D$16,(E118)-(J34))))*(MAX($D$16,(E118)-(J34))),0.000001))^2)/(2*$I$5),((ABS(I118)/MAX(((G34)+(I34)*(MAX($D$16,(M118)-(K34))))*(MAX($D$16,(M118)-(K34))),0.000001))^2)/(2*$I$5)))+(0)-((ABS(I118)/MAX(((F34)+(H34)*(MAX($D$16,(E118)-(J34))))*(MAX($D$16,(E118)-(J34))),0.000001))^2)/(2*$I$5)</f>
        <v>635.5</v>
      </c>
      <c r="T118">
        <f>N118+((ABS(J118)/MAX(((G35)+(I35)*(MAX($D$16,(N118)-(K35))))*(MAX($D$16,(N118)-(K35))),0.000001))^2)/(2*$I$5)+((E35)*((((ABS(J118)*$D$6)/(MAX(((F35)+(H35)*(MAX($D$16,(E118)-(J35))))*(MAX($D$16,(E118)-(J35))),0.000001)*MAX(((((F35)+(H35)*(MAX($D$16,(E118)-(J35))))*(MAX($D$16,(E118)-(J35))))/MAX((F35)+2*(MAX($D$16,(E118)-(J35)))*SQRT(1+(H35)^2),0.000001))^(2/3),0.000001)))^2)+(((ABS(J118)*$D$6)/(MAX(((G35)+(I35)*(MAX($D$16,(N118)-(K35))))*(MAX($D$16,(N118)-(K35))),0.000001)*MAX(((((G35)+(I35)*(MAX($D$16,(N118)-(K35))))*(MAX($D$16,(N118)-(K35))))/MAX((G35)+2*(MAX($D$16,(N118)-(K35)))*SQRT(1+(I35)^2),0.000001))^(2/3),0.000001)))^2))/2)+(IF((ABS(J118)/MAX(((G35)+(I35)*(MAX($D$16,(N118)-(K35))))*(MAX($D$16,(N118)-(K35))),0.000001))&gt;(ABS(J118)/MAX(((F35)+(H35)*(MAX($D$16,(E118)-(J35))))*(MAX($D$16,(E118)-(J35))),0.000001)),$D$9*((((ABS(J118)/MAX(((G35)+(I35)*(MAX($D$16,(N118)-(K35))))*(MAX($D$16,(N118)-(K35))),0.000001))^2)/(2*$I$5))-(((ABS(J118)/MAX(((F35)+(H35)*(MAX($D$16,(E118)-(J35))))*(MAX($D$16,(E118)-(J35))),0.000001))^2)/(2*$I$5))),$D$8*((((ABS(J118)/MAX(((F35)+(H35)*(MAX($D$16,(E118)-(J35))))*(MAX($D$16,(E118)-(J35))),0.000001))^2)/(2*$I$5))-(((ABS(J118)/MAX(((G35)+(I35)*(MAX($D$16,(N118)-(K35))))*(MAX($D$16,(N118)-(K35))),0.000001))^2)/(2*$I$5)))))+($D$10*(ABS((X35)-(W35))/90)*MAX(((ABS(J118)/MAX(((F35)+(H35)*(MAX($D$16,(E118)-(J35))))*(MAX($D$16,(E118)-(J35))),0.000001))^2)/(2*$I$5),((ABS(J118)/MAX(((G35)+(I35)*(MAX($D$16,(N118)-(K35))))*(MAX($D$16,(N118)-(K35))),0.000001))^2)/(2*$I$5)))+(($D$11*0.34699541*(ABS(I118)/MAX(ABS(G118),0.000001))^2*MAX(((ABS(J118)/MAX(((F35)+(H35)*(MAX($D$16,(E118)-(J35))))*(MAX($D$16,(E118)-(J35))),0.000001))^2)/(2*$I$5),((ABS(J118)/MAX(((G35)+(I35)*(MAX($D$16,(N118)-(K35))))*(MAX($D$16,(N118)-(K35))),0.000001))^2)/(2*$I$5))))-((ABS(J118)/MAX(((F35)+(H35)*(MAX($D$16,(E118)-(J35))))*(MAX($D$16,(E118)-(J35))),0.000001))^2)/(2*$I$5)</f>
        <v>20784.033523923383</v>
      </c>
      <c r="U118">
        <f>(((((F32)*(MAX($D$16,(D118)-(J32)))^2)/2+(H32)*(MAX($D$16,(D118)-(J32)))^3/3+(ABS(G118)^2)/($I$5*MAX(((F32)+(H32)*(MAX($D$16,(D118)-(J32))))*(MAX($D$16,(D118)-(J32))),0.000001)))*0.72785025)-((((F33)*(MAX($D$16,(D118)-(J33)))^2)/2+(H33)*(MAX($D$16,(D118)-(J33)))^3/3+(ABS(H118)^2)/($I$5*MAX(((F33)+(H33)*(MAX($D$16,(D118)-(J33))))*(MAX($D$16,(D118)-(J33))),0.000001)))*0.99999971))/MAX(((G31)*(MAX($D$16,(D118)-(K31)))^2)/2+(I31)*(MAX($D$16,(D118)-(K31)))^3/3+(ABS(F118)^2)/($I$5*MAX(((G31)+(I31)*(MAX($D$16,(D118)-(K31))))*(MAX($D$16,(D118)-(K31))),0.000001)),0.000001)</f>
        <v>-0.27214945999991125</v>
      </c>
      <c r="V118">
        <f>(((((F34)*(MAX($D$16,(E118)-(J34)))^2)/2+(H34)*(MAX($D$16,(E118)-(J34)))^3/3+(ABS(I118)^2)/($I$5*MAX(((F34)+(H34)*(MAX($D$16,(E118)-(J34))))*(MAX($D$16,(E118)-(J34))),0.000001)))*1)-((((F35)*(MAX($D$16,(E118)-(J35)))^2)/2+(H35)*(MAX($D$16,(E118)-(J35)))^3/3+(ABS(J118)^2)/($I$5*MAX(((F35)+(H35)*(MAX($D$16,(E118)-(J35))))*(MAX($D$16,(E118)-(J35))),0.000001)))*0.30600918))/MAX(((G32)*(MAX($D$16,(E118)-(K32)))^2)/2+(I32)*(MAX($D$16,(E118)-(K32)))^3/3+(ABS(G118)^2)/($I$5*MAX(((G32)+(I32)*(MAX($D$16,(E118)-(K32))))*(MAX($D$16,(E118)-(K32))),0.000001)),0.000001)</f>
        <v>0.69398638937190382</v>
      </c>
      <c r="W118">
        <f>IF(N6="None",ABS(P118-D118),MAX(ABS(P118-D118),ABS(Q118-D118)))</f>
        <v>3.4197000786662102E-10</v>
      </c>
      <c r="X118">
        <f>IF(AND(N7="None",N8="None"),0,IF(N8="None",ABS(S118-E118),IF(N7="None",ABS(T118-E118),MAX(ABS(S118-E118),ABS(T118-E118)))))</f>
        <v>51796.641837662828</v>
      </c>
      <c r="AA118">
        <f t="shared" si="33"/>
        <v>52432.141837663155</v>
      </c>
      <c r="AB118">
        <f t="shared" si="34"/>
        <v>41355.303927854024</v>
      </c>
      <c r="AC118">
        <f>IF(N6="None",P118,MAX(P118,Q118))</f>
        <v>52432.141837663381</v>
      </c>
      <c r="AD118">
        <f>IF(AND(N7="None",N8="None"),E118,IF(N8="None",S118,IF(N7="None",T118,MAX(S118,T118))))</f>
        <v>20784.033523923383</v>
      </c>
      <c r="AE118">
        <f t="shared" si="35"/>
        <v>637.65825101089831</v>
      </c>
      <c r="AF118">
        <f t="shared" si="36"/>
        <v>52432.14183766317</v>
      </c>
      <c r="AG118">
        <f>((G31)*(MAX($D$16,(AC118)-(K31)))^2)/2+(I31)*(MAX($D$16,(AC118)-(K31)))^3/3+(ABS(F118)^2)/($I$5*MAX(((G31)+(I31)*(MAX($D$16,(AC118)-(K31))))*(MAX($D$16,(AC118)-(K31))),0.000001))</f>
        <v>8797611517.4121037</v>
      </c>
      <c r="AH118">
        <f>((G31)*(MAX($D$16,(AE118)-(K31)))^2)/2+(I31)*(MAX($D$16,(AE118)-(K31)))^3/3+(ABS(F118)^2)/($I$5*MAX(((G31)+(I31)*(MAX($D$16,(AE118)-(K31))))*(MAX($D$16,(AE118)-(K31))),0.000001))</f>
        <v>49.055863329575246</v>
      </c>
      <c r="AI118">
        <f>((G32)*(MAX($D$16,(AD118)-(K32)))^2)/2+(I32)*(MAX($D$16,(AD118)-(K32)))^3/3+(ABS(G118)^2)/($I$5*MAX(((G32)+(I32)*(MAX($D$16,(AD118)-(K32))))*(MAX($D$16,(AD118)-(K32))),0.000001))</f>
        <v>2072376743.6648321</v>
      </c>
      <c r="AJ118">
        <f>((G32)*(MAX($D$16,(AF118)-(K32)))^2)/2+(I32)*(MAX($D$16,(AF118)-(K32)))^3/3+(ABS(G118)^2)/($I$5*MAX(((G32)+(I32)*(MAX($D$16,(AF118)-(K32))))*(MAX($D$16,(AF118)-(K32))),0.000001))</f>
        <v>13692714789.644705</v>
      </c>
      <c r="AK118" t="str">
        <f t="shared" si="37"/>
        <v>Subcritical</v>
      </c>
      <c r="AL118" t="str">
        <f t="shared" si="38"/>
        <v>Supercritical</v>
      </c>
      <c r="AM118">
        <f t="shared" si="39"/>
        <v>52432.141837663155</v>
      </c>
      <c r="AN118">
        <f t="shared" si="40"/>
        <v>52432.141837662944</v>
      </c>
      <c r="AO118">
        <f t="shared" si="41"/>
        <v>3.4197000786662102E-10</v>
      </c>
      <c r="AP118">
        <f t="shared" si="42"/>
        <v>3.4197000786662102E-10</v>
      </c>
    </row>
    <row r="119" spans="1:42" x14ac:dyDescent="0.35">
      <c r="A119">
        <v>76</v>
      </c>
      <c r="B119">
        <f t="shared" si="43"/>
        <v>0</v>
      </c>
      <c r="C119">
        <f t="shared" si="44"/>
        <v>0</v>
      </c>
      <c r="D119">
        <f t="shared" si="45"/>
        <v>52432.141837663155</v>
      </c>
      <c r="E119">
        <f t="shared" si="46"/>
        <v>52432.141837662944</v>
      </c>
      <c r="F119">
        <f t="shared" si="32"/>
        <v>51</v>
      </c>
      <c r="G119">
        <f>IF(N6="None",F119,MAX(0,F119*B119))</f>
        <v>51</v>
      </c>
      <c r="H119">
        <f>IF(N6="None",0,MAX(0,F119-G119))</f>
        <v>0</v>
      </c>
      <c r="I119">
        <f>IF(AND(N7="None",N8="None"),0,IF(N8="None",G119,IF(N7="None",0,MAX(0,G119*C119))))</f>
        <v>0</v>
      </c>
      <c r="J119">
        <f>IF(AND(N7="None",N8="None"),0,IF(N8="None",0,IF(N7="None",G119,MAX(0,G119-I119))))</f>
        <v>51</v>
      </c>
      <c r="K119">
        <f>P5</f>
        <v>637</v>
      </c>
      <c r="L119">
        <f>P6</f>
        <v>634.3119999999999</v>
      </c>
      <c r="M119">
        <f>P7</f>
        <v>635.5</v>
      </c>
      <c r="N119">
        <f>P8</f>
        <v>631.54999999999995</v>
      </c>
      <c r="O119">
        <f>K119+((ABS(F119)/MAX(((F31)+(H31)*(MAX($D$16,(K119)-(J31))))*(MAX($D$16,(K119)-(J31))),0.000001))^2)/(2*$I$5)-((E31)*((((ABS(F119)*$D$6)/(MAX(((F31)+(H31)*(MAX($D$16,(K119)-(J31))))*(MAX($D$16,(K119)-(J31))),0.000001)*MAX(((((F31)+(H31)*(MAX($D$16,(K119)-(J31))))*(MAX($D$16,(K119)-(J31))))/MAX((F31)+2*(MAX($D$16,(K119)-(J31)))*SQRT(1+(H31)^2),0.000001))^(2/3),0.000001)))^2)+(((ABS(F119)*$D$6)/(MAX(((G31)+(I31)*(MAX($D$16,(D119)-(K31))))*(MAX($D$16,(D119)-(K31))),0.000001)*MAX(((((G31)+(I31)*(MAX($D$16,(D119)-(K31))))*(MAX($D$16,(D119)-(K31))))/MAX((G31)+2*(MAX($D$16,(D119)-(K31)))*SQRT(1+(I31)^2),0.000001))^(2/3),0.000001)))^2))/2)+(IF((ABS(F119)/MAX(((G31)+(I31)*(MAX($D$16,(D119)-(K31))))*(MAX($D$16,(D119)-(K31))),0.000001))&gt;(ABS(F119)/MAX(((F31)+(H31)*(MAX($D$16,(K119)-(J31))))*(MAX($D$16,(K119)-(J31))),0.000001)),$D$9*((((ABS(F119)/MAX(((G31)+(I31)*(MAX($D$16,(D119)-(K31))))*(MAX($D$16,(D119)-(K31))),0.000001))^2)/(2*$I$5))-(((ABS(F119)/MAX(((F31)+(H31)*(MAX($D$16,(K119)-(J31))))*(MAX($D$16,(K119)-(J31))),0.000001))^2)/(2*$I$5))),$D$8*((((ABS(F119)/MAX(((F31)+(H31)*(MAX($D$16,(K119)-(J31))))*(MAX($D$16,(K119)-(J31))),0.000001))^2)/(2*$I$5))-(((ABS(F119)/MAX(((G31)+(I31)*(MAX($D$16,(D119)-(K31))))*(MAX($D$16,(D119)-(K31))),0.000001))^2)/(2*$I$5)))))+($D$10*(ABS((X31)-(W31))/90)*MAX(((ABS(F119)/MAX(((F31)+(H31)*(MAX($D$16,(K119)-(J31))))*(MAX($D$16,(K119)-(J31))),0.000001))^2)/(2*$I$5),((ABS(F119)/MAX(((G31)+(I31)*(MAX($D$16,(D119)-(K31))))*(MAX($D$16,(D119)-(K31))),0.000001))^2)/(2*$I$5)))+(0)-((ABS(F119)/MAX(((G31)+(I31)*(MAX($D$16,(D119)-(K31))))*(MAX($D$16,(D119)-(K31))),0.000001))^2)/(2*$I$5)</f>
        <v>637.65825101089831</v>
      </c>
      <c r="P119">
        <f>E119+((ABS(G119)/MAX(((G32)+(I32)*(MAX($D$16,(E119)-(K32))))*(MAX($D$16,(E119)-(K32))),0.000001))^2)/(2*$I$5)+((E32)*((((ABS(G119)*$D$6)/(MAX(((F32)+(H32)*(MAX($D$16,(D119)-(J32))))*(MAX($D$16,(D119)-(J32))),0.000001)*MAX(((((F32)+(H32)*(MAX($D$16,(D119)-(J32))))*(MAX($D$16,(D119)-(J32))))/MAX((F32)+2*(MAX($D$16,(D119)-(J32)))*SQRT(1+(H32)^2),0.000001))^(2/3),0.000001)))^2)+(((ABS(G119)*$D$6)/(MAX(((G32)+(I32)*(MAX($D$16,(E119)-(K32))))*(MAX($D$16,(E119)-(K32))),0.000001)*MAX(((((G32)+(I32)*(MAX($D$16,(E119)-(K32))))*(MAX($D$16,(E119)-(K32))))/MAX((G32)+2*(MAX($D$16,(E119)-(K32)))*SQRT(1+(I32)^2),0.000001))^(2/3),0.000001)))^2))/2)+(IF((ABS(G119)/MAX(((G32)+(I32)*(MAX($D$16,(E119)-(K32))))*(MAX($D$16,(E119)-(K32))),0.000001))&gt;(ABS(G119)/MAX(((F32)+(H32)*(MAX($D$16,(D119)-(J32))))*(MAX($D$16,(D119)-(J32))),0.000001)),$D$9*((((ABS(G119)/MAX(((G32)+(I32)*(MAX($D$16,(E119)-(K32))))*(MAX($D$16,(E119)-(K32))),0.000001))^2)/(2*$I$5))-(((ABS(G119)/MAX(((F32)+(H32)*(MAX($D$16,(D119)-(J32))))*(MAX($D$16,(D119)-(J32))),0.000001))^2)/(2*$I$5))),$D$8*((((ABS(G119)/MAX(((F32)+(H32)*(MAX($D$16,(D119)-(J32))))*(MAX($D$16,(D119)-(J32))),0.000001))^2)/(2*$I$5))-(((ABS(G119)/MAX(((G32)+(I32)*(MAX($D$16,(E119)-(K32))))*(MAX($D$16,(E119)-(K32))),0.000001))^2)/(2*$I$5)))))+($D$10*(ABS((X32)-(W32))/90)*MAX(((ABS(G119)/MAX(((F32)+(H32)*(MAX($D$16,(D119)-(J32))))*(MAX($D$16,(D119)-(J32))),0.000001))^2)/(2*$I$5),((ABS(G119)/MAX(((G32)+(I32)*(MAX($D$16,(E119)-(K32))))*(MAX($D$16,(E119)-(K32))),0.000001))^2)/(2*$I$5)))+(($D$11*0.13607488*(ABS(H119)/MAX(ABS(F119),0.000001))^2*MAX(((ABS(G119)/MAX(((F32)+(H32)*(MAX($D$16,(D119)-(J32))))*(MAX($D$16,(D119)-(J32))),0.000001))^2)/(2*$I$5),((ABS(G119)/MAX(((G32)+(I32)*(MAX($D$16,(E119)-(K32))))*(MAX($D$16,(E119)-(K32))),0.000001))^2)/(2*$I$5))))-((ABS(G119)/MAX(((F32)+(H32)*(MAX($D$16,(D119)-(J32))))*(MAX($D$16,(D119)-(J32))),0.000001))^2)/(2*$I$5)</f>
        <v>52432.141837663497</v>
      </c>
      <c r="Q119">
        <f>L119+((ABS(H119)/MAX(((G33)+(I33)*(MAX($D$16,(L119)-(K33))))*(MAX($D$16,(L119)-(K33))),0.000001))^2)/(2*$I$5)+((E33)*((((ABS(H119)*$D$6)/(MAX(((F33)+(H33)*(MAX($D$16,(D119)-(J33))))*(MAX($D$16,(D119)-(J33))),0.000001)*MAX(((((F33)+(H33)*(MAX($D$16,(D119)-(J33))))*(MAX($D$16,(D119)-(J33))))/MAX((F33)+2*(MAX($D$16,(D119)-(J33)))*SQRT(1+(H33)^2),0.000001))^(2/3),0.000001)))^2)+(((ABS(H119)*$D$6)/(MAX(((G33)+(I33)*(MAX($D$16,(L119)-(K33))))*(MAX($D$16,(L119)-(K33))),0.000001)*MAX(((((G33)+(I33)*(MAX($D$16,(L119)-(K33))))*(MAX($D$16,(L119)-(K33))))/MAX((G33)+2*(MAX($D$16,(L119)-(K33)))*SQRT(1+(I33)^2),0.000001))^(2/3),0.000001)))^2))/2)+(IF((ABS(H119)/MAX(((G33)+(I33)*(MAX($D$16,(L119)-(K33))))*(MAX($D$16,(L119)-(K33))),0.000001))&gt;(ABS(H119)/MAX(((F33)+(H33)*(MAX($D$16,(D119)-(J33))))*(MAX($D$16,(D119)-(J33))),0.000001)),$D$9*((((ABS(H119)/MAX(((G33)+(I33)*(MAX($D$16,(L119)-(K33))))*(MAX($D$16,(L119)-(K33))),0.000001))^2)/(2*$I$5))-(((ABS(H119)/MAX(((F33)+(H33)*(MAX($D$16,(D119)-(J33))))*(MAX($D$16,(D119)-(J33))),0.000001))^2)/(2*$I$5))),$D$8*((((ABS(H119)/MAX(((F33)+(H33)*(MAX($D$16,(D119)-(J33))))*(MAX($D$16,(D119)-(J33))),0.000001))^2)/(2*$I$5))-(((ABS(H119)/MAX(((G33)+(I33)*(MAX($D$16,(L119)-(K33))))*(MAX($D$16,(L119)-(K33))),0.000001))^2)/(2*$I$5)))))+($D$10*(ABS((X33)-(W33))/90)*MAX(((ABS(H119)/MAX(((F33)+(H33)*(MAX($D$16,(D119)-(J33))))*(MAX($D$16,(D119)-(J33))),0.000001))^2)/(2*$I$5),((ABS(H119)/MAX(((G33)+(I33)*(MAX($D$16,(L119)-(K33))))*(MAX($D$16,(L119)-(K33))),0.000001))^2)/(2*$I$5)))+(($D$11*0.00000015*(ABS(G119)/MAX(ABS(F119),0.000001))^2*MAX(((ABS(H119)/MAX(((F33)+(H33)*(MAX($D$16,(D119)-(J33))))*(MAX($D$16,(D119)-(J33))),0.000001))^2)/(2*$I$5),((ABS(H119)/MAX(((G33)+(I33)*(MAX($D$16,(L119)-(K33))))*(MAX($D$16,(L119)-(K33))),0.000001))^2)/(2*$I$5))))-((ABS(H119)/MAX(((F33)+(H33)*(MAX($D$16,(D119)-(J33))))*(MAX($D$16,(D119)-(J33))),0.000001))^2)/(2*$I$5)</f>
        <v>634.3119999999999</v>
      </c>
      <c r="R119">
        <f>D119+((ABS(G119)/MAX(((F32)+(H32)*(MAX($D$16,(D119)-(J32))))*(MAX($D$16,(D119)-(J32))),0.000001))^2)/(2*$I$5)-((E32)*((((ABS(G119)*$D$6)/(MAX(((F32)+(H32)*(MAX($D$16,(D119)-(J32))))*(MAX($D$16,(D119)-(J32))),0.000001)*MAX(((((F32)+(H32)*(MAX($D$16,(D119)-(J32))))*(MAX($D$16,(D119)-(J32))))/MAX((F32)+2*(MAX($D$16,(D119)-(J32)))*SQRT(1+(H32)^2),0.000001))^(2/3),0.000001)))^2)+(((ABS(G119)*$D$6)/(MAX(((G32)+(I32)*(MAX($D$16,(E119)-(K32))))*(MAX($D$16,(E119)-(K32))),0.000001)*MAX(((((G32)+(I32)*(MAX($D$16,(E119)-(K32))))*(MAX($D$16,(E119)-(K32))))/MAX((G32)+2*(MAX($D$16,(E119)-(K32)))*SQRT(1+(I32)^2),0.000001))^(2/3),0.000001)))^2))/2)+(IF((ABS(G119)/MAX(((G32)+(I32)*(MAX($D$16,(E119)-(K32))))*(MAX($D$16,(E119)-(K32))),0.000001))&gt;(ABS(G119)/MAX(((F32)+(H32)*(MAX($D$16,(D119)-(J32))))*(MAX($D$16,(D119)-(J32))),0.000001)),$D$9*((((ABS(G119)/MAX(((G32)+(I32)*(MAX($D$16,(E119)-(K32))))*(MAX($D$16,(E119)-(K32))),0.000001))^2)/(2*$I$5))-(((ABS(G119)/MAX(((F32)+(H32)*(MAX($D$16,(D119)-(J32))))*(MAX($D$16,(D119)-(J32))),0.000001))^2)/(2*$I$5))),$D$8*((((ABS(G119)/MAX(((F32)+(H32)*(MAX($D$16,(D119)-(J32))))*(MAX($D$16,(D119)-(J32))),0.000001))^2)/(2*$I$5))-(((ABS(G119)/MAX(((G32)+(I32)*(MAX($D$16,(E119)-(K32))))*(MAX($D$16,(E119)-(K32))),0.000001))^2)/(2*$I$5)))))+($D$10*(ABS((X32)-(W32))/90)*MAX(((ABS(G119)/MAX(((F32)+(H32)*(MAX($D$16,(D119)-(J32))))*(MAX($D$16,(D119)-(J32))),0.000001))^2)/(2*$I$5),((ABS(G119)/MAX(((G32)+(I32)*(MAX($D$16,(E119)-(K32))))*(MAX($D$16,(E119)-(K32))),0.000001))^2)/(2*$I$5)))+(($D$11*0.13607488*(ABS(H119)/MAX(ABS(F119),0.000001))^2*MAX(((ABS(G119)/MAX(((F32)+(H32)*(MAX($D$16,(D119)-(J32))))*(MAX($D$16,(D119)-(J32))),0.000001))^2)/(2*$I$5),((ABS(G119)/MAX(((G32)+(I32)*(MAX($D$16,(E119)-(K32))))*(MAX($D$16,(E119)-(K32))),0.000001))^2)/(2*$I$5))))-((ABS(G119)/MAX(((G32)+(I32)*(MAX($D$16,(E119)-(K32))))*(MAX($D$16,(E119)-(K32))),0.000001))^2)/(2*$I$5)</f>
        <v>52432.141837663286</v>
      </c>
      <c r="S119">
        <f>M119+((ABS(I119)/MAX(((G34)+(I34)*(MAX($D$16,(M119)-(K34))))*(MAX($D$16,(M119)-(K34))),0.000001))^2)/(2*$I$5)+((E34)*((((ABS(I119)*$D$6)/(MAX(((F34)+(H34)*(MAX($D$16,(E119)-(J34))))*(MAX($D$16,(E119)-(J34))),0.000001)*MAX(((((F34)+(H34)*(MAX($D$16,(E119)-(J34))))*(MAX($D$16,(E119)-(J34))))/MAX((F34)+2*(MAX($D$16,(E119)-(J34)))*SQRT(1+(H34)^2),0.000001))^(2/3),0.000001)))^2)+(((ABS(I119)*$D$6)/(MAX(((G34)+(I34)*(MAX($D$16,(M119)-(K34))))*(MAX($D$16,(M119)-(K34))),0.000001)*MAX(((((G34)+(I34)*(MAX($D$16,(M119)-(K34))))*(MAX($D$16,(M119)-(K34))))/MAX((G34)+2*(MAX($D$16,(M119)-(K34)))*SQRT(1+(I34)^2),0.000001))^(2/3),0.000001)))^2))/2)+(IF((ABS(I119)/MAX(((G34)+(I34)*(MAX($D$16,(M119)-(K34))))*(MAX($D$16,(M119)-(K34))),0.000001))&gt;(ABS(I119)/MAX(((F34)+(H34)*(MAX($D$16,(E119)-(J34))))*(MAX($D$16,(E119)-(J34))),0.000001)),$D$9*((((ABS(I119)/MAX(((G34)+(I34)*(MAX($D$16,(M119)-(K34))))*(MAX($D$16,(M119)-(K34))),0.000001))^2)/(2*$I$5))-(((ABS(I119)/MAX(((F34)+(H34)*(MAX($D$16,(E119)-(J34))))*(MAX($D$16,(E119)-(J34))),0.000001))^2)/(2*$I$5))),$D$8*((((ABS(I119)/MAX(((F34)+(H34)*(MAX($D$16,(E119)-(J34))))*(MAX($D$16,(E119)-(J34))),0.000001))^2)/(2*$I$5))-(((ABS(I119)/MAX(((G34)+(I34)*(MAX($D$16,(M119)-(K34))))*(MAX($D$16,(M119)-(K34))),0.000001))^2)/(2*$I$5)))))+($D$10*(ABS((X34)-(W34))/90)*MAX(((ABS(I119)/MAX(((F34)+(H34)*(MAX($D$16,(E119)-(J34))))*(MAX($D$16,(E119)-(J34))),0.000001))^2)/(2*$I$5),((ABS(I119)/MAX(((G34)+(I34)*(MAX($D$16,(M119)-(K34))))*(MAX($D$16,(M119)-(K34))),0.000001))^2)/(2*$I$5)))+(0)-((ABS(I119)/MAX(((F34)+(H34)*(MAX($D$16,(E119)-(J34))))*(MAX($D$16,(E119)-(J34))),0.000001))^2)/(2*$I$5)</f>
        <v>635.5</v>
      </c>
      <c r="T119">
        <f>N119+((ABS(J119)/MAX(((G35)+(I35)*(MAX($D$16,(N119)-(K35))))*(MAX($D$16,(N119)-(K35))),0.000001))^2)/(2*$I$5)+((E35)*((((ABS(J119)*$D$6)/(MAX(((F35)+(H35)*(MAX($D$16,(E119)-(J35))))*(MAX($D$16,(E119)-(J35))),0.000001)*MAX(((((F35)+(H35)*(MAX($D$16,(E119)-(J35))))*(MAX($D$16,(E119)-(J35))))/MAX((F35)+2*(MAX($D$16,(E119)-(J35)))*SQRT(1+(H35)^2),0.000001))^(2/3),0.000001)))^2)+(((ABS(J119)*$D$6)/(MAX(((G35)+(I35)*(MAX($D$16,(N119)-(K35))))*(MAX($D$16,(N119)-(K35))),0.000001)*MAX(((((G35)+(I35)*(MAX($D$16,(N119)-(K35))))*(MAX($D$16,(N119)-(K35))))/MAX((G35)+2*(MAX($D$16,(N119)-(K35)))*SQRT(1+(I35)^2),0.000001))^(2/3),0.000001)))^2))/2)+(IF((ABS(J119)/MAX(((G35)+(I35)*(MAX($D$16,(N119)-(K35))))*(MAX($D$16,(N119)-(K35))),0.000001))&gt;(ABS(J119)/MAX(((F35)+(H35)*(MAX($D$16,(E119)-(J35))))*(MAX($D$16,(E119)-(J35))),0.000001)),$D$9*((((ABS(J119)/MAX(((G35)+(I35)*(MAX($D$16,(N119)-(K35))))*(MAX($D$16,(N119)-(K35))),0.000001))^2)/(2*$I$5))-(((ABS(J119)/MAX(((F35)+(H35)*(MAX($D$16,(E119)-(J35))))*(MAX($D$16,(E119)-(J35))),0.000001))^2)/(2*$I$5))),$D$8*((((ABS(J119)/MAX(((F35)+(H35)*(MAX($D$16,(E119)-(J35))))*(MAX($D$16,(E119)-(J35))),0.000001))^2)/(2*$I$5))-(((ABS(J119)/MAX(((G35)+(I35)*(MAX($D$16,(N119)-(K35))))*(MAX($D$16,(N119)-(K35))),0.000001))^2)/(2*$I$5)))))+($D$10*(ABS((X35)-(W35))/90)*MAX(((ABS(J119)/MAX(((F35)+(H35)*(MAX($D$16,(E119)-(J35))))*(MAX($D$16,(E119)-(J35))),0.000001))^2)/(2*$I$5),((ABS(J119)/MAX(((G35)+(I35)*(MAX($D$16,(N119)-(K35))))*(MAX($D$16,(N119)-(K35))),0.000001))^2)/(2*$I$5)))+(($D$11*0.34699541*(ABS(I119)/MAX(ABS(G119),0.000001))^2*MAX(((ABS(J119)/MAX(((F35)+(H35)*(MAX($D$16,(E119)-(J35))))*(MAX($D$16,(E119)-(J35))),0.000001))^2)/(2*$I$5),((ABS(J119)/MAX(((G35)+(I35)*(MAX($D$16,(N119)-(K35))))*(MAX($D$16,(N119)-(K35))),0.000001))^2)/(2*$I$5))))-((ABS(J119)/MAX(((F35)+(H35)*(MAX($D$16,(E119)-(J35))))*(MAX($D$16,(E119)-(J35))),0.000001))^2)/(2*$I$5)</f>
        <v>20784.033523923383</v>
      </c>
      <c r="U119">
        <f>(((((F32)*(MAX($D$16,(D119)-(J32)))^2)/2+(H32)*(MAX($D$16,(D119)-(J32)))^3/3+(ABS(G119)^2)/($I$5*MAX(((F32)+(H32)*(MAX($D$16,(D119)-(J32))))*(MAX($D$16,(D119)-(J32))),0.000001)))*0.72785025)-((((F33)*(MAX($D$16,(D119)-(J33)))^2)/2+(H33)*(MAX($D$16,(D119)-(J33)))^3/3+(ABS(H119)^2)/($I$5*MAX(((F33)+(H33)*(MAX($D$16,(D119)-(J33))))*(MAX($D$16,(D119)-(J33))),0.000001)))*0.99999971))/MAX(((G31)*(MAX($D$16,(D119)-(K31)))^2)/2+(I31)*(MAX($D$16,(D119)-(K31)))^3/3+(ABS(F119)^2)/($I$5*MAX(((G31)+(I31)*(MAX($D$16,(D119)-(K31))))*(MAX($D$16,(D119)-(K31))),0.000001)),0.000001)</f>
        <v>-0.27214945999991119</v>
      </c>
      <c r="V119">
        <f>(((((F34)*(MAX($D$16,(E119)-(J34)))^2)/2+(H34)*(MAX($D$16,(E119)-(J34)))^3/3+(ABS(I119)^2)/($I$5*MAX(((F34)+(H34)*(MAX($D$16,(E119)-(J34))))*(MAX($D$16,(E119)-(J34))),0.000001)))*1)-((((F35)*(MAX($D$16,(E119)-(J35)))^2)/2+(H35)*(MAX($D$16,(E119)-(J35)))^3/3+(ABS(J119)^2)/($I$5*MAX(((F35)+(H35)*(MAX($D$16,(E119)-(J35))))*(MAX($D$16,(E119)-(J35))),0.000001)))*0.30600918))/MAX(((G32)*(MAX($D$16,(E119)-(K32)))^2)/2+(I32)*(MAX($D$16,(E119)-(K32)))^3/3+(ABS(G119)^2)/($I$5*MAX(((G32)+(I32)*(MAX($D$16,(E119)-(K32))))*(MAX($D$16,(E119)-(K32))),0.000001)),0.000001)</f>
        <v>0.69398638937190393</v>
      </c>
      <c r="W119">
        <f>IF(N6="None",ABS(P119-D119),MAX(ABS(P119-D119),ABS(Q119-D119)))</f>
        <v>3.4197000786662102E-10</v>
      </c>
      <c r="X119">
        <f>IF(AND(N7="None",N8="None"),0,IF(N8="None",ABS(S119-E119),IF(N7="None",ABS(T119-E119),MAX(ABS(S119-E119),ABS(T119-E119)))))</f>
        <v>51796.641837662944</v>
      </c>
      <c r="AA119">
        <f t="shared" si="33"/>
        <v>52432.141837663272</v>
      </c>
      <c r="AB119">
        <f t="shared" si="34"/>
        <v>41355.303927854096</v>
      </c>
      <c r="AC119">
        <f>IF(N6="None",P119,MAX(P119,Q119))</f>
        <v>52432.141837663497</v>
      </c>
      <c r="AD119">
        <f>IF(AND(N7="None",N8="None"),E119,IF(N8="None",S119,IF(N7="None",T119,MAX(S119,T119))))</f>
        <v>20784.033523923383</v>
      </c>
      <c r="AE119">
        <f t="shared" si="35"/>
        <v>637.65825101089831</v>
      </c>
      <c r="AF119">
        <f t="shared" si="36"/>
        <v>52432.141837663286</v>
      </c>
      <c r="AG119">
        <f>((G31)*(MAX($D$16,(AC119)-(K31)))^2)/2+(I31)*(MAX($D$16,(AC119)-(K31)))^3/3+(ABS(F119)^2)/($I$5*MAX(((G31)+(I31)*(MAX($D$16,(AC119)-(K31))))*(MAX($D$16,(AC119)-(K31))),0.000001))</f>
        <v>8797611517.4121437</v>
      </c>
      <c r="AH119">
        <f>((G31)*(MAX($D$16,(AE119)-(K31)))^2)/2+(I31)*(MAX($D$16,(AE119)-(K31)))^3/3+(ABS(F119)^2)/($I$5*MAX(((G31)+(I31)*(MAX($D$16,(AE119)-(K31))))*(MAX($D$16,(AE119)-(K31))),0.000001))</f>
        <v>49.055863329575246</v>
      </c>
      <c r="AI119">
        <f>((G32)*(MAX($D$16,(AD119)-(K32)))^2)/2+(I32)*(MAX($D$16,(AD119)-(K32)))^3/3+(ABS(G119)^2)/($I$5*MAX(((G32)+(I32)*(MAX($D$16,(AD119)-(K32))))*(MAX($D$16,(AD119)-(K32))),0.000001))</f>
        <v>2072376743.6648321</v>
      </c>
      <c r="AJ119">
        <f>((G32)*(MAX($D$16,(AF119)-(K32)))^2)/2+(I32)*(MAX($D$16,(AF119)-(K32)))^3/3+(ABS(G119)^2)/($I$5*MAX(((G32)+(I32)*(MAX($D$16,(AF119)-(K32))))*(MAX($D$16,(AF119)-(K32))),0.000001))</f>
        <v>13692714789.644766</v>
      </c>
      <c r="AK119" t="str">
        <f t="shared" si="37"/>
        <v>Subcritical</v>
      </c>
      <c r="AL119" t="str">
        <f t="shared" si="38"/>
        <v>Supercritical</v>
      </c>
      <c r="AM119">
        <f t="shared" si="39"/>
        <v>52432.141837663272</v>
      </c>
      <c r="AN119">
        <f t="shared" si="40"/>
        <v>52432.141837663061</v>
      </c>
      <c r="AO119">
        <f t="shared" si="41"/>
        <v>3.4197000786662102E-10</v>
      </c>
      <c r="AP119">
        <f t="shared" si="42"/>
        <v>3.4197000786662102E-10</v>
      </c>
    </row>
    <row r="120" spans="1:42" x14ac:dyDescent="0.35">
      <c r="A120">
        <v>77</v>
      </c>
      <c r="B120">
        <f t="shared" si="43"/>
        <v>0</v>
      </c>
      <c r="C120">
        <f t="shared" si="44"/>
        <v>0</v>
      </c>
      <c r="D120">
        <f t="shared" si="45"/>
        <v>52432.141837663272</v>
      </c>
      <c r="E120">
        <f t="shared" si="46"/>
        <v>52432.141837663061</v>
      </c>
      <c r="F120">
        <f t="shared" si="32"/>
        <v>51</v>
      </c>
      <c r="G120">
        <f>IF(N6="None",F120,MAX(0,F120*B120))</f>
        <v>51</v>
      </c>
      <c r="H120">
        <f>IF(N6="None",0,MAX(0,F120-G120))</f>
        <v>0</v>
      </c>
      <c r="I120">
        <f>IF(AND(N7="None",N8="None"),0,IF(N8="None",G120,IF(N7="None",0,MAX(0,G120*C120))))</f>
        <v>0</v>
      </c>
      <c r="J120">
        <f>IF(AND(N7="None",N8="None"),0,IF(N8="None",0,IF(N7="None",G120,MAX(0,G120-I120))))</f>
        <v>51</v>
      </c>
      <c r="K120">
        <f>P5</f>
        <v>637</v>
      </c>
      <c r="L120">
        <f>P6</f>
        <v>634.3119999999999</v>
      </c>
      <c r="M120">
        <f>P7</f>
        <v>635.5</v>
      </c>
      <c r="N120">
        <f>P8</f>
        <v>631.54999999999995</v>
      </c>
      <c r="O120">
        <f>K120+((ABS(F120)/MAX(((F31)+(H31)*(MAX($D$16,(K120)-(J31))))*(MAX($D$16,(K120)-(J31))),0.000001))^2)/(2*$I$5)-((E31)*((((ABS(F120)*$D$6)/(MAX(((F31)+(H31)*(MAX($D$16,(K120)-(J31))))*(MAX($D$16,(K120)-(J31))),0.000001)*MAX(((((F31)+(H31)*(MAX($D$16,(K120)-(J31))))*(MAX($D$16,(K120)-(J31))))/MAX((F31)+2*(MAX($D$16,(K120)-(J31)))*SQRT(1+(H31)^2),0.000001))^(2/3),0.000001)))^2)+(((ABS(F120)*$D$6)/(MAX(((G31)+(I31)*(MAX($D$16,(D120)-(K31))))*(MAX($D$16,(D120)-(K31))),0.000001)*MAX(((((G31)+(I31)*(MAX($D$16,(D120)-(K31))))*(MAX($D$16,(D120)-(K31))))/MAX((G31)+2*(MAX($D$16,(D120)-(K31)))*SQRT(1+(I31)^2),0.000001))^(2/3),0.000001)))^2))/2)+(IF((ABS(F120)/MAX(((G31)+(I31)*(MAX($D$16,(D120)-(K31))))*(MAX($D$16,(D120)-(K31))),0.000001))&gt;(ABS(F120)/MAX(((F31)+(H31)*(MAX($D$16,(K120)-(J31))))*(MAX($D$16,(K120)-(J31))),0.000001)),$D$9*((((ABS(F120)/MAX(((G31)+(I31)*(MAX($D$16,(D120)-(K31))))*(MAX($D$16,(D120)-(K31))),0.000001))^2)/(2*$I$5))-(((ABS(F120)/MAX(((F31)+(H31)*(MAX($D$16,(K120)-(J31))))*(MAX($D$16,(K120)-(J31))),0.000001))^2)/(2*$I$5))),$D$8*((((ABS(F120)/MAX(((F31)+(H31)*(MAX($D$16,(K120)-(J31))))*(MAX($D$16,(K120)-(J31))),0.000001))^2)/(2*$I$5))-(((ABS(F120)/MAX(((G31)+(I31)*(MAX($D$16,(D120)-(K31))))*(MAX($D$16,(D120)-(K31))),0.000001))^2)/(2*$I$5)))))+($D$10*(ABS((X31)-(W31))/90)*MAX(((ABS(F120)/MAX(((F31)+(H31)*(MAX($D$16,(K120)-(J31))))*(MAX($D$16,(K120)-(J31))),0.000001))^2)/(2*$I$5),((ABS(F120)/MAX(((G31)+(I31)*(MAX($D$16,(D120)-(K31))))*(MAX($D$16,(D120)-(K31))),0.000001))^2)/(2*$I$5)))+(0)-((ABS(F120)/MAX(((G31)+(I31)*(MAX($D$16,(D120)-(K31))))*(MAX($D$16,(D120)-(K31))),0.000001))^2)/(2*$I$5)</f>
        <v>637.65825101089831</v>
      </c>
      <c r="P120">
        <f>E120+((ABS(G120)/MAX(((G32)+(I32)*(MAX($D$16,(E120)-(K32))))*(MAX($D$16,(E120)-(K32))),0.000001))^2)/(2*$I$5)+((E32)*((((ABS(G120)*$D$6)/(MAX(((F32)+(H32)*(MAX($D$16,(D120)-(J32))))*(MAX($D$16,(D120)-(J32))),0.000001)*MAX(((((F32)+(H32)*(MAX($D$16,(D120)-(J32))))*(MAX($D$16,(D120)-(J32))))/MAX((F32)+2*(MAX($D$16,(D120)-(J32)))*SQRT(1+(H32)^2),0.000001))^(2/3),0.000001)))^2)+(((ABS(G120)*$D$6)/(MAX(((G32)+(I32)*(MAX($D$16,(E120)-(K32))))*(MAX($D$16,(E120)-(K32))),0.000001)*MAX(((((G32)+(I32)*(MAX($D$16,(E120)-(K32))))*(MAX($D$16,(E120)-(K32))))/MAX((G32)+2*(MAX($D$16,(E120)-(K32)))*SQRT(1+(I32)^2),0.000001))^(2/3),0.000001)))^2))/2)+(IF((ABS(G120)/MAX(((G32)+(I32)*(MAX($D$16,(E120)-(K32))))*(MAX($D$16,(E120)-(K32))),0.000001))&gt;(ABS(G120)/MAX(((F32)+(H32)*(MAX($D$16,(D120)-(J32))))*(MAX($D$16,(D120)-(J32))),0.000001)),$D$9*((((ABS(G120)/MAX(((G32)+(I32)*(MAX($D$16,(E120)-(K32))))*(MAX($D$16,(E120)-(K32))),0.000001))^2)/(2*$I$5))-(((ABS(G120)/MAX(((F32)+(H32)*(MAX($D$16,(D120)-(J32))))*(MAX($D$16,(D120)-(J32))),0.000001))^2)/(2*$I$5))),$D$8*((((ABS(G120)/MAX(((F32)+(H32)*(MAX($D$16,(D120)-(J32))))*(MAX($D$16,(D120)-(J32))),0.000001))^2)/(2*$I$5))-(((ABS(G120)/MAX(((G32)+(I32)*(MAX($D$16,(E120)-(K32))))*(MAX($D$16,(E120)-(K32))),0.000001))^2)/(2*$I$5)))))+($D$10*(ABS((X32)-(W32))/90)*MAX(((ABS(G120)/MAX(((F32)+(H32)*(MAX($D$16,(D120)-(J32))))*(MAX($D$16,(D120)-(J32))),0.000001))^2)/(2*$I$5),((ABS(G120)/MAX(((G32)+(I32)*(MAX($D$16,(E120)-(K32))))*(MAX($D$16,(E120)-(K32))),0.000001))^2)/(2*$I$5)))+(($D$11*0.13607488*(ABS(H120)/MAX(ABS(F120),0.000001))^2*MAX(((ABS(G120)/MAX(((F32)+(H32)*(MAX($D$16,(D120)-(J32))))*(MAX($D$16,(D120)-(J32))),0.000001))^2)/(2*$I$5),((ABS(G120)/MAX(((G32)+(I32)*(MAX($D$16,(E120)-(K32))))*(MAX($D$16,(E120)-(K32))),0.000001))^2)/(2*$I$5))))-((ABS(G120)/MAX(((F32)+(H32)*(MAX($D$16,(D120)-(J32))))*(MAX($D$16,(D120)-(J32))),0.000001))^2)/(2*$I$5)</f>
        <v>52432.141837663614</v>
      </c>
      <c r="Q120">
        <f>L120+((ABS(H120)/MAX(((G33)+(I33)*(MAX($D$16,(L120)-(K33))))*(MAX($D$16,(L120)-(K33))),0.000001))^2)/(2*$I$5)+((E33)*((((ABS(H120)*$D$6)/(MAX(((F33)+(H33)*(MAX($D$16,(D120)-(J33))))*(MAX($D$16,(D120)-(J33))),0.000001)*MAX(((((F33)+(H33)*(MAX($D$16,(D120)-(J33))))*(MAX($D$16,(D120)-(J33))))/MAX((F33)+2*(MAX($D$16,(D120)-(J33)))*SQRT(1+(H33)^2),0.000001))^(2/3),0.000001)))^2)+(((ABS(H120)*$D$6)/(MAX(((G33)+(I33)*(MAX($D$16,(L120)-(K33))))*(MAX($D$16,(L120)-(K33))),0.000001)*MAX(((((G33)+(I33)*(MAX($D$16,(L120)-(K33))))*(MAX($D$16,(L120)-(K33))))/MAX((G33)+2*(MAX($D$16,(L120)-(K33)))*SQRT(1+(I33)^2),0.000001))^(2/3),0.000001)))^2))/2)+(IF((ABS(H120)/MAX(((G33)+(I33)*(MAX($D$16,(L120)-(K33))))*(MAX($D$16,(L120)-(K33))),0.000001))&gt;(ABS(H120)/MAX(((F33)+(H33)*(MAX($D$16,(D120)-(J33))))*(MAX($D$16,(D120)-(J33))),0.000001)),$D$9*((((ABS(H120)/MAX(((G33)+(I33)*(MAX($D$16,(L120)-(K33))))*(MAX($D$16,(L120)-(K33))),0.000001))^2)/(2*$I$5))-(((ABS(H120)/MAX(((F33)+(H33)*(MAX($D$16,(D120)-(J33))))*(MAX($D$16,(D120)-(J33))),0.000001))^2)/(2*$I$5))),$D$8*((((ABS(H120)/MAX(((F33)+(H33)*(MAX($D$16,(D120)-(J33))))*(MAX($D$16,(D120)-(J33))),0.000001))^2)/(2*$I$5))-(((ABS(H120)/MAX(((G33)+(I33)*(MAX($D$16,(L120)-(K33))))*(MAX($D$16,(L120)-(K33))),0.000001))^2)/(2*$I$5)))))+($D$10*(ABS((X33)-(W33))/90)*MAX(((ABS(H120)/MAX(((F33)+(H33)*(MAX($D$16,(D120)-(J33))))*(MAX($D$16,(D120)-(J33))),0.000001))^2)/(2*$I$5),((ABS(H120)/MAX(((G33)+(I33)*(MAX($D$16,(L120)-(K33))))*(MAX($D$16,(L120)-(K33))),0.000001))^2)/(2*$I$5)))+(($D$11*0.00000015*(ABS(G120)/MAX(ABS(F120),0.000001))^2*MAX(((ABS(H120)/MAX(((F33)+(H33)*(MAX($D$16,(D120)-(J33))))*(MAX($D$16,(D120)-(J33))),0.000001))^2)/(2*$I$5),((ABS(H120)/MAX(((G33)+(I33)*(MAX($D$16,(L120)-(K33))))*(MAX($D$16,(L120)-(K33))),0.000001))^2)/(2*$I$5))))-((ABS(H120)/MAX(((F33)+(H33)*(MAX($D$16,(D120)-(J33))))*(MAX($D$16,(D120)-(J33))),0.000001))^2)/(2*$I$5)</f>
        <v>634.3119999999999</v>
      </c>
      <c r="R120">
        <f>D120+((ABS(G120)/MAX(((F32)+(H32)*(MAX($D$16,(D120)-(J32))))*(MAX($D$16,(D120)-(J32))),0.000001))^2)/(2*$I$5)-((E32)*((((ABS(G120)*$D$6)/(MAX(((F32)+(H32)*(MAX($D$16,(D120)-(J32))))*(MAX($D$16,(D120)-(J32))),0.000001)*MAX(((((F32)+(H32)*(MAX($D$16,(D120)-(J32))))*(MAX($D$16,(D120)-(J32))))/MAX((F32)+2*(MAX($D$16,(D120)-(J32)))*SQRT(1+(H32)^2),0.000001))^(2/3),0.000001)))^2)+(((ABS(G120)*$D$6)/(MAX(((G32)+(I32)*(MAX($D$16,(E120)-(K32))))*(MAX($D$16,(E120)-(K32))),0.000001)*MAX(((((G32)+(I32)*(MAX($D$16,(E120)-(K32))))*(MAX($D$16,(E120)-(K32))))/MAX((G32)+2*(MAX($D$16,(E120)-(K32)))*SQRT(1+(I32)^2),0.000001))^(2/3),0.000001)))^2))/2)+(IF((ABS(G120)/MAX(((G32)+(I32)*(MAX($D$16,(E120)-(K32))))*(MAX($D$16,(E120)-(K32))),0.000001))&gt;(ABS(G120)/MAX(((F32)+(H32)*(MAX($D$16,(D120)-(J32))))*(MAX($D$16,(D120)-(J32))),0.000001)),$D$9*((((ABS(G120)/MAX(((G32)+(I32)*(MAX($D$16,(E120)-(K32))))*(MAX($D$16,(E120)-(K32))),0.000001))^2)/(2*$I$5))-(((ABS(G120)/MAX(((F32)+(H32)*(MAX($D$16,(D120)-(J32))))*(MAX($D$16,(D120)-(J32))),0.000001))^2)/(2*$I$5))),$D$8*((((ABS(G120)/MAX(((F32)+(H32)*(MAX($D$16,(D120)-(J32))))*(MAX($D$16,(D120)-(J32))),0.000001))^2)/(2*$I$5))-(((ABS(G120)/MAX(((G32)+(I32)*(MAX($D$16,(E120)-(K32))))*(MAX($D$16,(E120)-(K32))),0.000001))^2)/(2*$I$5)))))+($D$10*(ABS((X32)-(W32))/90)*MAX(((ABS(G120)/MAX(((F32)+(H32)*(MAX($D$16,(D120)-(J32))))*(MAX($D$16,(D120)-(J32))),0.000001))^2)/(2*$I$5),((ABS(G120)/MAX(((G32)+(I32)*(MAX($D$16,(E120)-(K32))))*(MAX($D$16,(E120)-(K32))),0.000001))^2)/(2*$I$5)))+(($D$11*0.13607488*(ABS(H120)/MAX(ABS(F120),0.000001))^2*MAX(((ABS(G120)/MAX(((F32)+(H32)*(MAX($D$16,(D120)-(J32))))*(MAX($D$16,(D120)-(J32))),0.000001))^2)/(2*$I$5),((ABS(G120)/MAX(((G32)+(I32)*(MAX($D$16,(E120)-(K32))))*(MAX($D$16,(E120)-(K32))),0.000001))^2)/(2*$I$5))))-((ABS(G120)/MAX(((G32)+(I32)*(MAX($D$16,(E120)-(K32))))*(MAX($D$16,(E120)-(K32))),0.000001))^2)/(2*$I$5)</f>
        <v>52432.141837663403</v>
      </c>
      <c r="S120">
        <f>M120+((ABS(I120)/MAX(((G34)+(I34)*(MAX($D$16,(M120)-(K34))))*(MAX($D$16,(M120)-(K34))),0.000001))^2)/(2*$I$5)+((E34)*((((ABS(I120)*$D$6)/(MAX(((F34)+(H34)*(MAX($D$16,(E120)-(J34))))*(MAX($D$16,(E120)-(J34))),0.000001)*MAX(((((F34)+(H34)*(MAX($D$16,(E120)-(J34))))*(MAX($D$16,(E120)-(J34))))/MAX((F34)+2*(MAX($D$16,(E120)-(J34)))*SQRT(1+(H34)^2),0.000001))^(2/3),0.000001)))^2)+(((ABS(I120)*$D$6)/(MAX(((G34)+(I34)*(MAX($D$16,(M120)-(K34))))*(MAX($D$16,(M120)-(K34))),0.000001)*MAX(((((G34)+(I34)*(MAX($D$16,(M120)-(K34))))*(MAX($D$16,(M120)-(K34))))/MAX((G34)+2*(MAX($D$16,(M120)-(K34)))*SQRT(1+(I34)^2),0.000001))^(2/3),0.000001)))^2))/2)+(IF((ABS(I120)/MAX(((G34)+(I34)*(MAX($D$16,(M120)-(K34))))*(MAX($D$16,(M120)-(K34))),0.000001))&gt;(ABS(I120)/MAX(((F34)+(H34)*(MAX($D$16,(E120)-(J34))))*(MAX($D$16,(E120)-(J34))),0.000001)),$D$9*((((ABS(I120)/MAX(((G34)+(I34)*(MAX($D$16,(M120)-(K34))))*(MAX($D$16,(M120)-(K34))),0.000001))^2)/(2*$I$5))-(((ABS(I120)/MAX(((F34)+(H34)*(MAX($D$16,(E120)-(J34))))*(MAX($D$16,(E120)-(J34))),0.000001))^2)/(2*$I$5))),$D$8*((((ABS(I120)/MAX(((F34)+(H34)*(MAX($D$16,(E120)-(J34))))*(MAX($D$16,(E120)-(J34))),0.000001))^2)/(2*$I$5))-(((ABS(I120)/MAX(((G34)+(I34)*(MAX($D$16,(M120)-(K34))))*(MAX($D$16,(M120)-(K34))),0.000001))^2)/(2*$I$5)))))+($D$10*(ABS((X34)-(W34))/90)*MAX(((ABS(I120)/MAX(((F34)+(H34)*(MAX($D$16,(E120)-(J34))))*(MAX($D$16,(E120)-(J34))),0.000001))^2)/(2*$I$5),((ABS(I120)/MAX(((G34)+(I34)*(MAX($D$16,(M120)-(K34))))*(MAX($D$16,(M120)-(K34))),0.000001))^2)/(2*$I$5)))+(0)-((ABS(I120)/MAX(((F34)+(H34)*(MAX($D$16,(E120)-(J34))))*(MAX($D$16,(E120)-(J34))),0.000001))^2)/(2*$I$5)</f>
        <v>635.5</v>
      </c>
      <c r="T120">
        <f>N120+((ABS(J120)/MAX(((G35)+(I35)*(MAX($D$16,(N120)-(K35))))*(MAX($D$16,(N120)-(K35))),0.000001))^2)/(2*$I$5)+((E35)*((((ABS(J120)*$D$6)/(MAX(((F35)+(H35)*(MAX($D$16,(E120)-(J35))))*(MAX($D$16,(E120)-(J35))),0.000001)*MAX(((((F35)+(H35)*(MAX($D$16,(E120)-(J35))))*(MAX($D$16,(E120)-(J35))))/MAX((F35)+2*(MAX($D$16,(E120)-(J35)))*SQRT(1+(H35)^2),0.000001))^(2/3),0.000001)))^2)+(((ABS(J120)*$D$6)/(MAX(((G35)+(I35)*(MAX($D$16,(N120)-(K35))))*(MAX($D$16,(N120)-(K35))),0.000001)*MAX(((((G35)+(I35)*(MAX($D$16,(N120)-(K35))))*(MAX($D$16,(N120)-(K35))))/MAX((G35)+2*(MAX($D$16,(N120)-(K35)))*SQRT(1+(I35)^2),0.000001))^(2/3),0.000001)))^2))/2)+(IF((ABS(J120)/MAX(((G35)+(I35)*(MAX($D$16,(N120)-(K35))))*(MAX($D$16,(N120)-(K35))),0.000001))&gt;(ABS(J120)/MAX(((F35)+(H35)*(MAX($D$16,(E120)-(J35))))*(MAX($D$16,(E120)-(J35))),0.000001)),$D$9*((((ABS(J120)/MAX(((G35)+(I35)*(MAX($D$16,(N120)-(K35))))*(MAX($D$16,(N120)-(K35))),0.000001))^2)/(2*$I$5))-(((ABS(J120)/MAX(((F35)+(H35)*(MAX($D$16,(E120)-(J35))))*(MAX($D$16,(E120)-(J35))),0.000001))^2)/(2*$I$5))),$D$8*((((ABS(J120)/MAX(((F35)+(H35)*(MAX($D$16,(E120)-(J35))))*(MAX($D$16,(E120)-(J35))),0.000001))^2)/(2*$I$5))-(((ABS(J120)/MAX(((G35)+(I35)*(MAX($D$16,(N120)-(K35))))*(MAX($D$16,(N120)-(K35))),0.000001))^2)/(2*$I$5)))))+($D$10*(ABS((X35)-(W35))/90)*MAX(((ABS(J120)/MAX(((F35)+(H35)*(MAX($D$16,(E120)-(J35))))*(MAX($D$16,(E120)-(J35))),0.000001))^2)/(2*$I$5),((ABS(J120)/MAX(((G35)+(I35)*(MAX($D$16,(N120)-(K35))))*(MAX($D$16,(N120)-(K35))),0.000001))^2)/(2*$I$5)))+(($D$11*0.34699541*(ABS(I120)/MAX(ABS(G120),0.000001))^2*MAX(((ABS(J120)/MAX(((F35)+(H35)*(MAX($D$16,(E120)-(J35))))*(MAX($D$16,(E120)-(J35))),0.000001))^2)/(2*$I$5),((ABS(J120)/MAX(((G35)+(I35)*(MAX($D$16,(N120)-(K35))))*(MAX($D$16,(N120)-(K35))),0.000001))^2)/(2*$I$5))))-((ABS(J120)/MAX(((F35)+(H35)*(MAX($D$16,(E120)-(J35))))*(MAX($D$16,(E120)-(J35))),0.000001))^2)/(2*$I$5)</f>
        <v>20784.033523923383</v>
      </c>
      <c r="U120">
        <f>(((((F32)*(MAX($D$16,(D120)-(J32)))^2)/2+(H32)*(MAX($D$16,(D120)-(J32)))^3/3+(ABS(G120)^2)/($I$5*MAX(((F32)+(H32)*(MAX($D$16,(D120)-(J32))))*(MAX($D$16,(D120)-(J32))),0.000001)))*0.72785025)-((((F33)*(MAX($D$16,(D120)-(J33)))^2)/2+(H33)*(MAX($D$16,(D120)-(J33)))^3/3+(ABS(H120)^2)/($I$5*MAX(((F33)+(H33)*(MAX($D$16,(D120)-(J33))))*(MAX($D$16,(D120)-(J33))),0.000001)))*0.99999971))/MAX(((G31)*(MAX($D$16,(D120)-(K31)))^2)/2+(I31)*(MAX($D$16,(D120)-(K31)))^3/3+(ABS(F120)^2)/($I$5*MAX(((G31)+(I31)*(MAX($D$16,(D120)-(K31))))*(MAX($D$16,(D120)-(K31))),0.000001)),0.000001)</f>
        <v>-0.27214945999991125</v>
      </c>
      <c r="V120">
        <f>(((((F34)*(MAX($D$16,(E120)-(J34)))^2)/2+(H34)*(MAX($D$16,(E120)-(J34)))^3/3+(ABS(I120)^2)/($I$5*MAX(((F34)+(H34)*(MAX($D$16,(E120)-(J34))))*(MAX($D$16,(E120)-(J34))),0.000001)))*1)-((((F35)*(MAX($D$16,(E120)-(J35)))^2)/2+(H35)*(MAX($D$16,(E120)-(J35)))^3/3+(ABS(J120)^2)/($I$5*MAX(((F35)+(H35)*(MAX($D$16,(E120)-(J35))))*(MAX($D$16,(E120)-(J35))),0.000001)))*0.30600918))/MAX(((G32)*(MAX($D$16,(E120)-(K32)))^2)/2+(I32)*(MAX($D$16,(E120)-(K32)))^3/3+(ABS(G120)^2)/($I$5*MAX(((G32)+(I32)*(MAX($D$16,(E120)-(K32))))*(MAX($D$16,(E120)-(K32))),0.000001)),0.000001)</f>
        <v>0.69398638937190393</v>
      </c>
      <c r="W120">
        <f>IF(N6="None",ABS(P120-D120),MAX(ABS(P120-D120),ABS(Q120-D120)))</f>
        <v>3.4197000786662102E-10</v>
      </c>
      <c r="X120">
        <f>IF(AND(N7="None",N8="None"),0,IF(N8="None",ABS(S120-E120),IF(N7="None",ABS(T120-E120),MAX(ABS(S120-E120),ABS(T120-E120)))))</f>
        <v>51796.641837663061</v>
      </c>
      <c r="AA120">
        <f t="shared" si="33"/>
        <v>52432.141837663388</v>
      </c>
      <c r="AB120">
        <f t="shared" si="34"/>
        <v>41355.303927854176</v>
      </c>
      <c r="AC120">
        <f>IF(N6="None",P120,MAX(P120,Q120))</f>
        <v>52432.141837663614</v>
      </c>
      <c r="AD120">
        <f>IF(AND(N7="None",N8="None"),E120,IF(N8="None",S120,IF(N7="None",T120,MAX(S120,T120))))</f>
        <v>20784.033523923383</v>
      </c>
      <c r="AE120">
        <f t="shared" si="35"/>
        <v>637.65825101089831</v>
      </c>
      <c r="AF120">
        <f t="shared" si="36"/>
        <v>52432.141837663403</v>
      </c>
      <c r="AG120">
        <f>((G31)*(MAX($D$16,(AC120)-(K31)))^2)/2+(I31)*(MAX($D$16,(AC120)-(K31)))^3/3+(ABS(F120)^2)/($I$5*MAX(((G31)+(I31)*(MAX($D$16,(AC120)-(K31))))*(MAX($D$16,(AC120)-(K31))),0.000001))</f>
        <v>8797611517.4121838</v>
      </c>
      <c r="AH120">
        <f>((G31)*(MAX($D$16,(AE120)-(K31)))^2)/2+(I31)*(MAX($D$16,(AE120)-(K31)))^3/3+(ABS(F120)^2)/($I$5*MAX(((G31)+(I31)*(MAX($D$16,(AE120)-(K31))))*(MAX($D$16,(AE120)-(K31))),0.000001))</f>
        <v>49.055863329575246</v>
      </c>
      <c r="AI120">
        <f>((G32)*(MAX($D$16,(AD120)-(K32)))^2)/2+(I32)*(MAX($D$16,(AD120)-(K32)))^3/3+(ABS(G120)^2)/($I$5*MAX(((G32)+(I32)*(MAX($D$16,(AD120)-(K32))))*(MAX($D$16,(AD120)-(K32))),0.000001))</f>
        <v>2072376743.6648321</v>
      </c>
      <c r="AJ120">
        <f>((G32)*(MAX($D$16,(AF120)-(K32)))^2)/2+(I32)*(MAX($D$16,(AF120)-(K32)))^3/3+(ABS(G120)^2)/($I$5*MAX(((G32)+(I32)*(MAX($D$16,(AF120)-(K32))))*(MAX($D$16,(AF120)-(K32))),0.000001))</f>
        <v>13692714789.644827</v>
      </c>
      <c r="AK120" t="str">
        <f t="shared" si="37"/>
        <v>Subcritical</v>
      </c>
      <c r="AL120" t="str">
        <f t="shared" si="38"/>
        <v>Supercritical</v>
      </c>
      <c r="AM120">
        <f t="shared" si="39"/>
        <v>52432.141837663388</v>
      </c>
      <c r="AN120">
        <f t="shared" si="40"/>
        <v>52432.141837663177</v>
      </c>
      <c r="AO120">
        <f t="shared" si="41"/>
        <v>3.4197000786662102E-10</v>
      </c>
      <c r="AP120">
        <f t="shared" si="42"/>
        <v>3.4197000786662102E-10</v>
      </c>
    </row>
    <row r="121" spans="1:42" x14ac:dyDescent="0.35">
      <c r="A121">
        <v>78</v>
      </c>
      <c r="B121">
        <f t="shared" si="43"/>
        <v>0</v>
      </c>
      <c r="C121">
        <f t="shared" si="44"/>
        <v>0</v>
      </c>
      <c r="D121">
        <f t="shared" si="45"/>
        <v>52432.141837663388</v>
      </c>
      <c r="E121">
        <f t="shared" si="46"/>
        <v>52432.141837663177</v>
      </c>
      <c r="F121">
        <f t="shared" si="32"/>
        <v>51</v>
      </c>
      <c r="G121">
        <f>IF(N6="None",F121,MAX(0,F121*B121))</f>
        <v>51</v>
      </c>
      <c r="H121">
        <f>IF(N6="None",0,MAX(0,F121-G121))</f>
        <v>0</v>
      </c>
      <c r="I121">
        <f>IF(AND(N7="None",N8="None"),0,IF(N8="None",G121,IF(N7="None",0,MAX(0,G121*C121))))</f>
        <v>0</v>
      </c>
      <c r="J121">
        <f>IF(AND(N7="None",N8="None"),0,IF(N8="None",0,IF(N7="None",G121,MAX(0,G121-I121))))</f>
        <v>51</v>
      </c>
      <c r="K121">
        <f>P5</f>
        <v>637</v>
      </c>
      <c r="L121">
        <f>P6</f>
        <v>634.3119999999999</v>
      </c>
      <c r="M121">
        <f>P7</f>
        <v>635.5</v>
      </c>
      <c r="N121">
        <f>P8</f>
        <v>631.54999999999995</v>
      </c>
      <c r="O121">
        <f>K121+((ABS(F121)/MAX(((F31)+(H31)*(MAX($D$16,(K121)-(J31))))*(MAX($D$16,(K121)-(J31))),0.000001))^2)/(2*$I$5)-((E31)*((((ABS(F121)*$D$6)/(MAX(((F31)+(H31)*(MAX($D$16,(K121)-(J31))))*(MAX($D$16,(K121)-(J31))),0.000001)*MAX(((((F31)+(H31)*(MAX($D$16,(K121)-(J31))))*(MAX($D$16,(K121)-(J31))))/MAX((F31)+2*(MAX($D$16,(K121)-(J31)))*SQRT(1+(H31)^2),0.000001))^(2/3),0.000001)))^2)+(((ABS(F121)*$D$6)/(MAX(((G31)+(I31)*(MAX($D$16,(D121)-(K31))))*(MAX($D$16,(D121)-(K31))),0.000001)*MAX(((((G31)+(I31)*(MAX($D$16,(D121)-(K31))))*(MAX($D$16,(D121)-(K31))))/MAX((G31)+2*(MAX($D$16,(D121)-(K31)))*SQRT(1+(I31)^2),0.000001))^(2/3),0.000001)))^2))/2)+(IF((ABS(F121)/MAX(((G31)+(I31)*(MAX($D$16,(D121)-(K31))))*(MAX($D$16,(D121)-(K31))),0.000001))&gt;(ABS(F121)/MAX(((F31)+(H31)*(MAX($D$16,(K121)-(J31))))*(MAX($D$16,(K121)-(J31))),0.000001)),$D$9*((((ABS(F121)/MAX(((G31)+(I31)*(MAX($D$16,(D121)-(K31))))*(MAX($D$16,(D121)-(K31))),0.000001))^2)/(2*$I$5))-(((ABS(F121)/MAX(((F31)+(H31)*(MAX($D$16,(K121)-(J31))))*(MAX($D$16,(K121)-(J31))),0.000001))^2)/(2*$I$5))),$D$8*((((ABS(F121)/MAX(((F31)+(H31)*(MAX($D$16,(K121)-(J31))))*(MAX($D$16,(K121)-(J31))),0.000001))^2)/(2*$I$5))-(((ABS(F121)/MAX(((G31)+(I31)*(MAX($D$16,(D121)-(K31))))*(MAX($D$16,(D121)-(K31))),0.000001))^2)/(2*$I$5)))))+($D$10*(ABS((X31)-(W31))/90)*MAX(((ABS(F121)/MAX(((F31)+(H31)*(MAX($D$16,(K121)-(J31))))*(MAX($D$16,(K121)-(J31))),0.000001))^2)/(2*$I$5),((ABS(F121)/MAX(((G31)+(I31)*(MAX($D$16,(D121)-(K31))))*(MAX($D$16,(D121)-(K31))),0.000001))^2)/(2*$I$5)))+(0)-((ABS(F121)/MAX(((G31)+(I31)*(MAX($D$16,(D121)-(K31))))*(MAX($D$16,(D121)-(K31))),0.000001))^2)/(2*$I$5)</f>
        <v>637.65825101089831</v>
      </c>
      <c r="P121">
        <f>E121+((ABS(G121)/MAX(((G32)+(I32)*(MAX($D$16,(E121)-(K32))))*(MAX($D$16,(E121)-(K32))),0.000001))^2)/(2*$I$5)+((E32)*((((ABS(G121)*$D$6)/(MAX(((F32)+(H32)*(MAX($D$16,(D121)-(J32))))*(MAX($D$16,(D121)-(J32))),0.000001)*MAX(((((F32)+(H32)*(MAX($D$16,(D121)-(J32))))*(MAX($D$16,(D121)-(J32))))/MAX((F32)+2*(MAX($D$16,(D121)-(J32)))*SQRT(1+(H32)^2),0.000001))^(2/3),0.000001)))^2)+(((ABS(G121)*$D$6)/(MAX(((G32)+(I32)*(MAX($D$16,(E121)-(K32))))*(MAX($D$16,(E121)-(K32))),0.000001)*MAX(((((G32)+(I32)*(MAX($D$16,(E121)-(K32))))*(MAX($D$16,(E121)-(K32))))/MAX((G32)+2*(MAX($D$16,(E121)-(K32)))*SQRT(1+(I32)^2),0.000001))^(2/3),0.000001)))^2))/2)+(IF((ABS(G121)/MAX(((G32)+(I32)*(MAX($D$16,(E121)-(K32))))*(MAX($D$16,(E121)-(K32))),0.000001))&gt;(ABS(G121)/MAX(((F32)+(H32)*(MAX($D$16,(D121)-(J32))))*(MAX($D$16,(D121)-(J32))),0.000001)),$D$9*((((ABS(G121)/MAX(((G32)+(I32)*(MAX($D$16,(E121)-(K32))))*(MAX($D$16,(E121)-(K32))),0.000001))^2)/(2*$I$5))-(((ABS(G121)/MAX(((F32)+(H32)*(MAX($D$16,(D121)-(J32))))*(MAX($D$16,(D121)-(J32))),0.000001))^2)/(2*$I$5))),$D$8*((((ABS(G121)/MAX(((F32)+(H32)*(MAX($D$16,(D121)-(J32))))*(MAX($D$16,(D121)-(J32))),0.000001))^2)/(2*$I$5))-(((ABS(G121)/MAX(((G32)+(I32)*(MAX($D$16,(E121)-(K32))))*(MAX($D$16,(E121)-(K32))),0.000001))^2)/(2*$I$5)))))+($D$10*(ABS((X32)-(W32))/90)*MAX(((ABS(G121)/MAX(((F32)+(H32)*(MAX($D$16,(D121)-(J32))))*(MAX($D$16,(D121)-(J32))),0.000001))^2)/(2*$I$5),((ABS(G121)/MAX(((G32)+(I32)*(MAX($D$16,(E121)-(K32))))*(MAX($D$16,(E121)-(K32))),0.000001))^2)/(2*$I$5)))+(($D$11*0.13607488*(ABS(H121)/MAX(ABS(F121),0.000001))^2*MAX(((ABS(G121)/MAX(((F32)+(H32)*(MAX($D$16,(D121)-(J32))))*(MAX($D$16,(D121)-(J32))),0.000001))^2)/(2*$I$5),((ABS(G121)/MAX(((G32)+(I32)*(MAX($D$16,(E121)-(K32))))*(MAX($D$16,(E121)-(K32))),0.000001))^2)/(2*$I$5))))-((ABS(G121)/MAX(((F32)+(H32)*(MAX($D$16,(D121)-(J32))))*(MAX($D$16,(D121)-(J32))),0.000001))^2)/(2*$I$5)</f>
        <v>52432.14183766373</v>
      </c>
      <c r="Q121">
        <f>L121+((ABS(H121)/MAX(((G33)+(I33)*(MAX($D$16,(L121)-(K33))))*(MAX($D$16,(L121)-(K33))),0.000001))^2)/(2*$I$5)+((E33)*((((ABS(H121)*$D$6)/(MAX(((F33)+(H33)*(MAX($D$16,(D121)-(J33))))*(MAX($D$16,(D121)-(J33))),0.000001)*MAX(((((F33)+(H33)*(MAX($D$16,(D121)-(J33))))*(MAX($D$16,(D121)-(J33))))/MAX((F33)+2*(MAX($D$16,(D121)-(J33)))*SQRT(1+(H33)^2),0.000001))^(2/3),0.000001)))^2)+(((ABS(H121)*$D$6)/(MAX(((G33)+(I33)*(MAX($D$16,(L121)-(K33))))*(MAX($D$16,(L121)-(K33))),0.000001)*MAX(((((G33)+(I33)*(MAX($D$16,(L121)-(K33))))*(MAX($D$16,(L121)-(K33))))/MAX((G33)+2*(MAX($D$16,(L121)-(K33)))*SQRT(1+(I33)^2),0.000001))^(2/3),0.000001)))^2))/2)+(IF((ABS(H121)/MAX(((G33)+(I33)*(MAX($D$16,(L121)-(K33))))*(MAX($D$16,(L121)-(K33))),0.000001))&gt;(ABS(H121)/MAX(((F33)+(H33)*(MAX($D$16,(D121)-(J33))))*(MAX($D$16,(D121)-(J33))),0.000001)),$D$9*((((ABS(H121)/MAX(((G33)+(I33)*(MAX($D$16,(L121)-(K33))))*(MAX($D$16,(L121)-(K33))),0.000001))^2)/(2*$I$5))-(((ABS(H121)/MAX(((F33)+(H33)*(MAX($D$16,(D121)-(J33))))*(MAX($D$16,(D121)-(J33))),0.000001))^2)/(2*$I$5))),$D$8*((((ABS(H121)/MAX(((F33)+(H33)*(MAX($D$16,(D121)-(J33))))*(MAX($D$16,(D121)-(J33))),0.000001))^2)/(2*$I$5))-(((ABS(H121)/MAX(((G33)+(I33)*(MAX($D$16,(L121)-(K33))))*(MAX($D$16,(L121)-(K33))),0.000001))^2)/(2*$I$5)))))+($D$10*(ABS((X33)-(W33))/90)*MAX(((ABS(H121)/MAX(((F33)+(H33)*(MAX($D$16,(D121)-(J33))))*(MAX($D$16,(D121)-(J33))),0.000001))^2)/(2*$I$5),((ABS(H121)/MAX(((G33)+(I33)*(MAX($D$16,(L121)-(K33))))*(MAX($D$16,(L121)-(K33))),0.000001))^2)/(2*$I$5)))+(($D$11*0.00000015*(ABS(G121)/MAX(ABS(F121),0.000001))^2*MAX(((ABS(H121)/MAX(((F33)+(H33)*(MAX($D$16,(D121)-(J33))))*(MAX($D$16,(D121)-(J33))),0.000001))^2)/(2*$I$5),((ABS(H121)/MAX(((G33)+(I33)*(MAX($D$16,(L121)-(K33))))*(MAX($D$16,(L121)-(K33))),0.000001))^2)/(2*$I$5))))-((ABS(H121)/MAX(((F33)+(H33)*(MAX($D$16,(D121)-(J33))))*(MAX($D$16,(D121)-(J33))),0.000001))^2)/(2*$I$5)</f>
        <v>634.3119999999999</v>
      </c>
      <c r="R121">
        <f>D121+((ABS(G121)/MAX(((F32)+(H32)*(MAX($D$16,(D121)-(J32))))*(MAX($D$16,(D121)-(J32))),0.000001))^2)/(2*$I$5)-((E32)*((((ABS(G121)*$D$6)/(MAX(((F32)+(H32)*(MAX($D$16,(D121)-(J32))))*(MAX($D$16,(D121)-(J32))),0.000001)*MAX(((((F32)+(H32)*(MAX($D$16,(D121)-(J32))))*(MAX($D$16,(D121)-(J32))))/MAX((F32)+2*(MAX($D$16,(D121)-(J32)))*SQRT(1+(H32)^2),0.000001))^(2/3),0.000001)))^2)+(((ABS(G121)*$D$6)/(MAX(((G32)+(I32)*(MAX($D$16,(E121)-(K32))))*(MAX($D$16,(E121)-(K32))),0.000001)*MAX(((((G32)+(I32)*(MAX($D$16,(E121)-(K32))))*(MAX($D$16,(E121)-(K32))))/MAX((G32)+2*(MAX($D$16,(E121)-(K32)))*SQRT(1+(I32)^2),0.000001))^(2/3),0.000001)))^2))/2)+(IF((ABS(G121)/MAX(((G32)+(I32)*(MAX($D$16,(E121)-(K32))))*(MAX($D$16,(E121)-(K32))),0.000001))&gt;(ABS(G121)/MAX(((F32)+(H32)*(MAX($D$16,(D121)-(J32))))*(MAX($D$16,(D121)-(J32))),0.000001)),$D$9*((((ABS(G121)/MAX(((G32)+(I32)*(MAX($D$16,(E121)-(K32))))*(MAX($D$16,(E121)-(K32))),0.000001))^2)/(2*$I$5))-(((ABS(G121)/MAX(((F32)+(H32)*(MAX($D$16,(D121)-(J32))))*(MAX($D$16,(D121)-(J32))),0.000001))^2)/(2*$I$5))),$D$8*((((ABS(G121)/MAX(((F32)+(H32)*(MAX($D$16,(D121)-(J32))))*(MAX($D$16,(D121)-(J32))),0.000001))^2)/(2*$I$5))-(((ABS(G121)/MAX(((G32)+(I32)*(MAX($D$16,(E121)-(K32))))*(MAX($D$16,(E121)-(K32))),0.000001))^2)/(2*$I$5)))))+($D$10*(ABS((X32)-(W32))/90)*MAX(((ABS(G121)/MAX(((F32)+(H32)*(MAX($D$16,(D121)-(J32))))*(MAX($D$16,(D121)-(J32))),0.000001))^2)/(2*$I$5),((ABS(G121)/MAX(((G32)+(I32)*(MAX($D$16,(E121)-(K32))))*(MAX($D$16,(E121)-(K32))),0.000001))^2)/(2*$I$5)))+(($D$11*0.13607488*(ABS(H121)/MAX(ABS(F121),0.000001))^2*MAX(((ABS(G121)/MAX(((F32)+(H32)*(MAX($D$16,(D121)-(J32))))*(MAX($D$16,(D121)-(J32))),0.000001))^2)/(2*$I$5),((ABS(G121)/MAX(((G32)+(I32)*(MAX($D$16,(E121)-(K32))))*(MAX($D$16,(E121)-(K32))),0.000001))^2)/(2*$I$5))))-((ABS(G121)/MAX(((G32)+(I32)*(MAX($D$16,(E121)-(K32))))*(MAX($D$16,(E121)-(K32))),0.000001))^2)/(2*$I$5)</f>
        <v>52432.141837663519</v>
      </c>
      <c r="S121">
        <f>M121+((ABS(I121)/MAX(((G34)+(I34)*(MAX($D$16,(M121)-(K34))))*(MAX($D$16,(M121)-(K34))),0.000001))^2)/(2*$I$5)+((E34)*((((ABS(I121)*$D$6)/(MAX(((F34)+(H34)*(MAX($D$16,(E121)-(J34))))*(MAX($D$16,(E121)-(J34))),0.000001)*MAX(((((F34)+(H34)*(MAX($D$16,(E121)-(J34))))*(MAX($D$16,(E121)-(J34))))/MAX((F34)+2*(MAX($D$16,(E121)-(J34)))*SQRT(1+(H34)^2),0.000001))^(2/3),0.000001)))^2)+(((ABS(I121)*$D$6)/(MAX(((G34)+(I34)*(MAX($D$16,(M121)-(K34))))*(MAX($D$16,(M121)-(K34))),0.000001)*MAX(((((G34)+(I34)*(MAX($D$16,(M121)-(K34))))*(MAX($D$16,(M121)-(K34))))/MAX((G34)+2*(MAX($D$16,(M121)-(K34)))*SQRT(1+(I34)^2),0.000001))^(2/3),0.000001)))^2))/2)+(IF((ABS(I121)/MAX(((G34)+(I34)*(MAX($D$16,(M121)-(K34))))*(MAX($D$16,(M121)-(K34))),0.000001))&gt;(ABS(I121)/MAX(((F34)+(H34)*(MAX($D$16,(E121)-(J34))))*(MAX($D$16,(E121)-(J34))),0.000001)),$D$9*((((ABS(I121)/MAX(((G34)+(I34)*(MAX($D$16,(M121)-(K34))))*(MAX($D$16,(M121)-(K34))),0.000001))^2)/(2*$I$5))-(((ABS(I121)/MAX(((F34)+(H34)*(MAX($D$16,(E121)-(J34))))*(MAX($D$16,(E121)-(J34))),0.000001))^2)/(2*$I$5))),$D$8*((((ABS(I121)/MAX(((F34)+(H34)*(MAX($D$16,(E121)-(J34))))*(MAX($D$16,(E121)-(J34))),0.000001))^2)/(2*$I$5))-(((ABS(I121)/MAX(((G34)+(I34)*(MAX($D$16,(M121)-(K34))))*(MAX($D$16,(M121)-(K34))),0.000001))^2)/(2*$I$5)))))+($D$10*(ABS((X34)-(W34))/90)*MAX(((ABS(I121)/MAX(((F34)+(H34)*(MAX($D$16,(E121)-(J34))))*(MAX($D$16,(E121)-(J34))),0.000001))^2)/(2*$I$5),((ABS(I121)/MAX(((G34)+(I34)*(MAX($D$16,(M121)-(K34))))*(MAX($D$16,(M121)-(K34))),0.000001))^2)/(2*$I$5)))+(0)-((ABS(I121)/MAX(((F34)+(H34)*(MAX($D$16,(E121)-(J34))))*(MAX($D$16,(E121)-(J34))),0.000001))^2)/(2*$I$5)</f>
        <v>635.5</v>
      </c>
      <c r="T121">
        <f>N121+((ABS(J121)/MAX(((G35)+(I35)*(MAX($D$16,(N121)-(K35))))*(MAX($D$16,(N121)-(K35))),0.000001))^2)/(2*$I$5)+((E35)*((((ABS(J121)*$D$6)/(MAX(((F35)+(H35)*(MAX($D$16,(E121)-(J35))))*(MAX($D$16,(E121)-(J35))),0.000001)*MAX(((((F35)+(H35)*(MAX($D$16,(E121)-(J35))))*(MAX($D$16,(E121)-(J35))))/MAX((F35)+2*(MAX($D$16,(E121)-(J35)))*SQRT(1+(H35)^2),0.000001))^(2/3),0.000001)))^2)+(((ABS(J121)*$D$6)/(MAX(((G35)+(I35)*(MAX($D$16,(N121)-(K35))))*(MAX($D$16,(N121)-(K35))),0.000001)*MAX(((((G35)+(I35)*(MAX($D$16,(N121)-(K35))))*(MAX($D$16,(N121)-(K35))))/MAX((G35)+2*(MAX($D$16,(N121)-(K35)))*SQRT(1+(I35)^2),0.000001))^(2/3),0.000001)))^2))/2)+(IF((ABS(J121)/MAX(((G35)+(I35)*(MAX($D$16,(N121)-(K35))))*(MAX($D$16,(N121)-(K35))),0.000001))&gt;(ABS(J121)/MAX(((F35)+(H35)*(MAX($D$16,(E121)-(J35))))*(MAX($D$16,(E121)-(J35))),0.000001)),$D$9*((((ABS(J121)/MAX(((G35)+(I35)*(MAX($D$16,(N121)-(K35))))*(MAX($D$16,(N121)-(K35))),0.000001))^2)/(2*$I$5))-(((ABS(J121)/MAX(((F35)+(H35)*(MAX($D$16,(E121)-(J35))))*(MAX($D$16,(E121)-(J35))),0.000001))^2)/(2*$I$5))),$D$8*((((ABS(J121)/MAX(((F35)+(H35)*(MAX($D$16,(E121)-(J35))))*(MAX($D$16,(E121)-(J35))),0.000001))^2)/(2*$I$5))-(((ABS(J121)/MAX(((G35)+(I35)*(MAX($D$16,(N121)-(K35))))*(MAX($D$16,(N121)-(K35))),0.000001))^2)/(2*$I$5)))))+($D$10*(ABS((X35)-(W35))/90)*MAX(((ABS(J121)/MAX(((F35)+(H35)*(MAX($D$16,(E121)-(J35))))*(MAX($D$16,(E121)-(J35))),0.000001))^2)/(2*$I$5),((ABS(J121)/MAX(((G35)+(I35)*(MAX($D$16,(N121)-(K35))))*(MAX($D$16,(N121)-(K35))),0.000001))^2)/(2*$I$5)))+(($D$11*0.34699541*(ABS(I121)/MAX(ABS(G121),0.000001))^2*MAX(((ABS(J121)/MAX(((F35)+(H35)*(MAX($D$16,(E121)-(J35))))*(MAX($D$16,(E121)-(J35))),0.000001))^2)/(2*$I$5),((ABS(J121)/MAX(((G35)+(I35)*(MAX($D$16,(N121)-(K35))))*(MAX($D$16,(N121)-(K35))),0.000001))^2)/(2*$I$5))))-((ABS(J121)/MAX(((F35)+(H35)*(MAX($D$16,(E121)-(J35))))*(MAX($D$16,(E121)-(J35))),0.000001))^2)/(2*$I$5)</f>
        <v>20784.033523923383</v>
      </c>
      <c r="U121">
        <f>(((((F32)*(MAX($D$16,(D121)-(J32)))^2)/2+(H32)*(MAX($D$16,(D121)-(J32)))^3/3+(ABS(G121)^2)/($I$5*MAX(((F32)+(H32)*(MAX($D$16,(D121)-(J32))))*(MAX($D$16,(D121)-(J32))),0.000001)))*0.72785025)-((((F33)*(MAX($D$16,(D121)-(J33)))^2)/2+(H33)*(MAX($D$16,(D121)-(J33)))^3/3+(ABS(H121)^2)/($I$5*MAX(((F33)+(H33)*(MAX($D$16,(D121)-(J33))))*(MAX($D$16,(D121)-(J33))),0.000001)))*0.99999971))/MAX(((G31)*(MAX($D$16,(D121)-(K31)))^2)/2+(I31)*(MAX($D$16,(D121)-(K31)))^3/3+(ABS(F121)^2)/($I$5*MAX(((G31)+(I31)*(MAX($D$16,(D121)-(K31))))*(MAX($D$16,(D121)-(K31))),0.000001)),0.000001)</f>
        <v>-0.27214945999991125</v>
      </c>
      <c r="V121">
        <f>(((((F34)*(MAX($D$16,(E121)-(J34)))^2)/2+(H34)*(MAX($D$16,(E121)-(J34)))^3/3+(ABS(I121)^2)/($I$5*MAX(((F34)+(H34)*(MAX($D$16,(E121)-(J34))))*(MAX($D$16,(E121)-(J34))),0.000001)))*1)-((((F35)*(MAX($D$16,(E121)-(J35)))^2)/2+(H35)*(MAX($D$16,(E121)-(J35)))^3/3+(ABS(J121)^2)/($I$5*MAX(((F35)+(H35)*(MAX($D$16,(E121)-(J35))))*(MAX($D$16,(E121)-(J35))),0.000001)))*0.30600918))/MAX(((G32)*(MAX($D$16,(E121)-(K32)))^2)/2+(I32)*(MAX($D$16,(E121)-(K32)))^3/3+(ABS(G121)^2)/($I$5*MAX(((G32)+(I32)*(MAX($D$16,(E121)-(K32))))*(MAX($D$16,(E121)-(K32))),0.000001)),0.000001)</f>
        <v>0.69398638937190393</v>
      </c>
      <c r="W121">
        <f>IF(N6="None",ABS(P121-D121),MAX(ABS(P121-D121),ABS(Q121-D121)))</f>
        <v>3.4197000786662102E-10</v>
      </c>
      <c r="X121">
        <f>IF(AND(N7="None",N8="None"),0,IF(N8="None",ABS(S121-E121),IF(N7="None",ABS(T121-E121),MAX(ABS(S121-E121),ABS(T121-E121)))))</f>
        <v>51796.641837663177</v>
      </c>
      <c r="AA121">
        <f t="shared" si="33"/>
        <v>52432.141837663505</v>
      </c>
      <c r="AB121">
        <f t="shared" si="34"/>
        <v>41355.303927854249</v>
      </c>
      <c r="AC121">
        <f>IF(N6="None",P121,MAX(P121,Q121))</f>
        <v>52432.14183766373</v>
      </c>
      <c r="AD121">
        <f>IF(AND(N7="None",N8="None"),E121,IF(N8="None",S121,IF(N7="None",T121,MAX(S121,T121))))</f>
        <v>20784.033523923383</v>
      </c>
      <c r="AE121">
        <f t="shared" si="35"/>
        <v>637.65825101089831</v>
      </c>
      <c r="AF121">
        <f t="shared" si="36"/>
        <v>52432.141837663519</v>
      </c>
      <c r="AG121">
        <f>((G31)*(MAX($D$16,(AC121)-(K31)))^2)/2+(I31)*(MAX($D$16,(AC121)-(K31)))^3/3+(ABS(F121)^2)/($I$5*MAX(((G31)+(I31)*(MAX($D$16,(AC121)-(K31))))*(MAX($D$16,(AC121)-(K31))),0.000001))</f>
        <v>8797611517.4122219</v>
      </c>
      <c r="AH121">
        <f>((G31)*(MAX($D$16,(AE121)-(K31)))^2)/2+(I31)*(MAX($D$16,(AE121)-(K31)))^3/3+(ABS(F121)^2)/($I$5*MAX(((G31)+(I31)*(MAX($D$16,(AE121)-(K31))))*(MAX($D$16,(AE121)-(K31))),0.000001))</f>
        <v>49.055863329575246</v>
      </c>
      <c r="AI121">
        <f>((G32)*(MAX($D$16,(AD121)-(K32)))^2)/2+(I32)*(MAX($D$16,(AD121)-(K32)))^3/3+(ABS(G121)^2)/($I$5*MAX(((G32)+(I32)*(MAX($D$16,(AD121)-(K32))))*(MAX($D$16,(AD121)-(K32))),0.000001))</f>
        <v>2072376743.6648321</v>
      </c>
      <c r="AJ121">
        <f>((G32)*(MAX($D$16,(AF121)-(K32)))^2)/2+(I32)*(MAX($D$16,(AF121)-(K32)))^3/3+(ABS(G121)^2)/($I$5*MAX(((G32)+(I32)*(MAX($D$16,(AF121)-(K32))))*(MAX($D$16,(AF121)-(K32))),0.000001))</f>
        <v>13692714789.64489</v>
      </c>
      <c r="AK121" t="str">
        <f t="shared" si="37"/>
        <v>Subcritical</v>
      </c>
      <c r="AL121" t="str">
        <f t="shared" si="38"/>
        <v>Supercritical</v>
      </c>
      <c r="AM121">
        <f t="shared" si="39"/>
        <v>52432.141837663505</v>
      </c>
      <c r="AN121">
        <f t="shared" si="40"/>
        <v>52432.141837663294</v>
      </c>
      <c r="AO121">
        <f t="shared" si="41"/>
        <v>3.4197000786662102E-10</v>
      </c>
      <c r="AP121">
        <f t="shared" si="42"/>
        <v>3.4197000786662102E-10</v>
      </c>
    </row>
    <row r="122" spans="1:42" x14ac:dyDescent="0.35">
      <c r="A122">
        <v>79</v>
      </c>
      <c r="B122">
        <f t="shared" si="43"/>
        <v>0</v>
      </c>
      <c r="C122">
        <f t="shared" si="44"/>
        <v>0</v>
      </c>
      <c r="D122">
        <f t="shared" si="45"/>
        <v>52432.141837663505</v>
      </c>
      <c r="E122">
        <f t="shared" si="46"/>
        <v>52432.141837663294</v>
      </c>
      <c r="F122">
        <f t="shared" si="32"/>
        <v>51</v>
      </c>
      <c r="G122">
        <f>IF(N6="None",F122,MAX(0,F122*B122))</f>
        <v>51</v>
      </c>
      <c r="H122">
        <f>IF(N6="None",0,MAX(0,F122-G122))</f>
        <v>0</v>
      </c>
      <c r="I122">
        <f>IF(AND(N7="None",N8="None"),0,IF(N8="None",G122,IF(N7="None",0,MAX(0,G122*C122))))</f>
        <v>0</v>
      </c>
      <c r="J122">
        <f>IF(AND(N7="None",N8="None"),0,IF(N8="None",0,IF(N7="None",G122,MAX(0,G122-I122))))</f>
        <v>51</v>
      </c>
      <c r="K122">
        <f>P5</f>
        <v>637</v>
      </c>
      <c r="L122">
        <f>P6</f>
        <v>634.3119999999999</v>
      </c>
      <c r="M122">
        <f>P7</f>
        <v>635.5</v>
      </c>
      <c r="N122">
        <f>P8</f>
        <v>631.54999999999995</v>
      </c>
      <c r="O122">
        <f>K122+((ABS(F122)/MAX(((F31)+(H31)*(MAX($D$16,(K122)-(J31))))*(MAX($D$16,(K122)-(J31))),0.000001))^2)/(2*$I$5)-((E31)*((((ABS(F122)*$D$6)/(MAX(((F31)+(H31)*(MAX($D$16,(K122)-(J31))))*(MAX($D$16,(K122)-(J31))),0.000001)*MAX(((((F31)+(H31)*(MAX($D$16,(K122)-(J31))))*(MAX($D$16,(K122)-(J31))))/MAX((F31)+2*(MAX($D$16,(K122)-(J31)))*SQRT(1+(H31)^2),0.000001))^(2/3),0.000001)))^2)+(((ABS(F122)*$D$6)/(MAX(((G31)+(I31)*(MAX($D$16,(D122)-(K31))))*(MAX($D$16,(D122)-(K31))),0.000001)*MAX(((((G31)+(I31)*(MAX($D$16,(D122)-(K31))))*(MAX($D$16,(D122)-(K31))))/MAX((G31)+2*(MAX($D$16,(D122)-(K31)))*SQRT(1+(I31)^2),0.000001))^(2/3),0.000001)))^2))/2)+(IF((ABS(F122)/MAX(((G31)+(I31)*(MAX($D$16,(D122)-(K31))))*(MAX($D$16,(D122)-(K31))),0.000001))&gt;(ABS(F122)/MAX(((F31)+(H31)*(MAX($D$16,(K122)-(J31))))*(MAX($D$16,(K122)-(J31))),0.000001)),$D$9*((((ABS(F122)/MAX(((G31)+(I31)*(MAX($D$16,(D122)-(K31))))*(MAX($D$16,(D122)-(K31))),0.000001))^2)/(2*$I$5))-(((ABS(F122)/MAX(((F31)+(H31)*(MAX($D$16,(K122)-(J31))))*(MAX($D$16,(K122)-(J31))),0.000001))^2)/(2*$I$5))),$D$8*((((ABS(F122)/MAX(((F31)+(H31)*(MAX($D$16,(K122)-(J31))))*(MAX($D$16,(K122)-(J31))),0.000001))^2)/(2*$I$5))-(((ABS(F122)/MAX(((G31)+(I31)*(MAX($D$16,(D122)-(K31))))*(MAX($D$16,(D122)-(K31))),0.000001))^2)/(2*$I$5)))))+($D$10*(ABS((X31)-(W31))/90)*MAX(((ABS(F122)/MAX(((F31)+(H31)*(MAX($D$16,(K122)-(J31))))*(MAX($D$16,(K122)-(J31))),0.000001))^2)/(2*$I$5),((ABS(F122)/MAX(((G31)+(I31)*(MAX($D$16,(D122)-(K31))))*(MAX($D$16,(D122)-(K31))),0.000001))^2)/(2*$I$5)))+(0)-((ABS(F122)/MAX(((G31)+(I31)*(MAX($D$16,(D122)-(K31))))*(MAX($D$16,(D122)-(K31))),0.000001))^2)/(2*$I$5)</f>
        <v>637.65825101089831</v>
      </c>
      <c r="P122">
        <f>E122+((ABS(G122)/MAX(((G32)+(I32)*(MAX($D$16,(E122)-(K32))))*(MAX($D$16,(E122)-(K32))),0.000001))^2)/(2*$I$5)+((E32)*((((ABS(G122)*$D$6)/(MAX(((F32)+(H32)*(MAX($D$16,(D122)-(J32))))*(MAX($D$16,(D122)-(J32))),0.000001)*MAX(((((F32)+(H32)*(MAX($D$16,(D122)-(J32))))*(MAX($D$16,(D122)-(J32))))/MAX((F32)+2*(MAX($D$16,(D122)-(J32)))*SQRT(1+(H32)^2),0.000001))^(2/3),0.000001)))^2)+(((ABS(G122)*$D$6)/(MAX(((G32)+(I32)*(MAX($D$16,(E122)-(K32))))*(MAX($D$16,(E122)-(K32))),0.000001)*MAX(((((G32)+(I32)*(MAX($D$16,(E122)-(K32))))*(MAX($D$16,(E122)-(K32))))/MAX((G32)+2*(MAX($D$16,(E122)-(K32)))*SQRT(1+(I32)^2),0.000001))^(2/3),0.000001)))^2))/2)+(IF((ABS(G122)/MAX(((G32)+(I32)*(MAX($D$16,(E122)-(K32))))*(MAX($D$16,(E122)-(K32))),0.000001))&gt;(ABS(G122)/MAX(((F32)+(H32)*(MAX($D$16,(D122)-(J32))))*(MAX($D$16,(D122)-(J32))),0.000001)),$D$9*((((ABS(G122)/MAX(((G32)+(I32)*(MAX($D$16,(E122)-(K32))))*(MAX($D$16,(E122)-(K32))),0.000001))^2)/(2*$I$5))-(((ABS(G122)/MAX(((F32)+(H32)*(MAX($D$16,(D122)-(J32))))*(MAX($D$16,(D122)-(J32))),0.000001))^2)/(2*$I$5))),$D$8*((((ABS(G122)/MAX(((F32)+(H32)*(MAX($D$16,(D122)-(J32))))*(MAX($D$16,(D122)-(J32))),0.000001))^2)/(2*$I$5))-(((ABS(G122)/MAX(((G32)+(I32)*(MAX($D$16,(E122)-(K32))))*(MAX($D$16,(E122)-(K32))),0.000001))^2)/(2*$I$5)))))+($D$10*(ABS((X32)-(W32))/90)*MAX(((ABS(G122)/MAX(((F32)+(H32)*(MAX($D$16,(D122)-(J32))))*(MAX($D$16,(D122)-(J32))),0.000001))^2)/(2*$I$5),((ABS(G122)/MAX(((G32)+(I32)*(MAX($D$16,(E122)-(K32))))*(MAX($D$16,(E122)-(K32))),0.000001))^2)/(2*$I$5)))+(($D$11*0.13607488*(ABS(H122)/MAX(ABS(F122),0.000001))^2*MAX(((ABS(G122)/MAX(((F32)+(H32)*(MAX($D$16,(D122)-(J32))))*(MAX($D$16,(D122)-(J32))),0.000001))^2)/(2*$I$5),((ABS(G122)/MAX(((G32)+(I32)*(MAX($D$16,(E122)-(K32))))*(MAX($D$16,(E122)-(K32))),0.000001))^2)/(2*$I$5))))-((ABS(G122)/MAX(((F32)+(H32)*(MAX($D$16,(D122)-(J32))))*(MAX($D$16,(D122)-(J32))),0.000001))^2)/(2*$I$5)</f>
        <v>52432.141837663847</v>
      </c>
      <c r="Q122">
        <f>L122+((ABS(H122)/MAX(((G33)+(I33)*(MAX($D$16,(L122)-(K33))))*(MAX($D$16,(L122)-(K33))),0.000001))^2)/(2*$I$5)+((E33)*((((ABS(H122)*$D$6)/(MAX(((F33)+(H33)*(MAX($D$16,(D122)-(J33))))*(MAX($D$16,(D122)-(J33))),0.000001)*MAX(((((F33)+(H33)*(MAX($D$16,(D122)-(J33))))*(MAX($D$16,(D122)-(J33))))/MAX((F33)+2*(MAX($D$16,(D122)-(J33)))*SQRT(1+(H33)^2),0.000001))^(2/3),0.000001)))^2)+(((ABS(H122)*$D$6)/(MAX(((G33)+(I33)*(MAX($D$16,(L122)-(K33))))*(MAX($D$16,(L122)-(K33))),0.000001)*MAX(((((G33)+(I33)*(MAX($D$16,(L122)-(K33))))*(MAX($D$16,(L122)-(K33))))/MAX((G33)+2*(MAX($D$16,(L122)-(K33)))*SQRT(1+(I33)^2),0.000001))^(2/3),0.000001)))^2))/2)+(IF((ABS(H122)/MAX(((G33)+(I33)*(MAX($D$16,(L122)-(K33))))*(MAX($D$16,(L122)-(K33))),0.000001))&gt;(ABS(H122)/MAX(((F33)+(H33)*(MAX($D$16,(D122)-(J33))))*(MAX($D$16,(D122)-(J33))),0.000001)),$D$9*((((ABS(H122)/MAX(((G33)+(I33)*(MAX($D$16,(L122)-(K33))))*(MAX($D$16,(L122)-(K33))),0.000001))^2)/(2*$I$5))-(((ABS(H122)/MAX(((F33)+(H33)*(MAX($D$16,(D122)-(J33))))*(MAX($D$16,(D122)-(J33))),0.000001))^2)/(2*$I$5))),$D$8*((((ABS(H122)/MAX(((F33)+(H33)*(MAX($D$16,(D122)-(J33))))*(MAX($D$16,(D122)-(J33))),0.000001))^2)/(2*$I$5))-(((ABS(H122)/MAX(((G33)+(I33)*(MAX($D$16,(L122)-(K33))))*(MAX($D$16,(L122)-(K33))),0.000001))^2)/(2*$I$5)))))+($D$10*(ABS((X33)-(W33))/90)*MAX(((ABS(H122)/MAX(((F33)+(H33)*(MAX($D$16,(D122)-(J33))))*(MAX($D$16,(D122)-(J33))),0.000001))^2)/(2*$I$5),((ABS(H122)/MAX(((G33)+(I33)*(MAX($D$16,(L122)-(K33))))*(MAX($D$16,(L122)-(K33))),0.000001))^2)/(2*$I$5)))+(($D$11*0.00000015*(ABS(G122)/MAX(ABS(F122),0.000001))^2*MAX(((ABS(H122)/MAX(((F33)+(H33)*(MAX($D$16,(D122)-(J33))))*(MAX($D$16,(D122)-(J33))),0.000001))^2)/(2*$I$5),((ABS(H122)/MAX(((G33)+(I33)*(MAX($D$16,(L122)-(K33))))*(MAX($D$16,(L122)-(K33))),0.000001))^2)/(2*$I$5))))-((ABS(H122)/MAX(((F33)+(H33)*(MAX($D$16,(D122)-(J33))))*(MAX($D$16,(D122)-(J33))),0.000001))^2)/(2*$I$5)</f>
        <v>634.3119999999999</v>
      </c>
      <c r="R122">
        <f>D122+((ABS(G122)/MAX(((F32)+(H32)*(MAX($D$16,(D122)-(J32))))*(MAX($D$16,(D122)-(J32))),0.000001))^2)/(2*$I$5)-((E32)*((((ABS(G122)*$D$6)/(MAX(((F32)+(H32)*(MAX($D$16,(D122)-(J32))))*(MAX($D$16,(D122)-(J32))),0.000001)*MAX(((((F32)+(H32)*(MAX($D$16,(D122)-(J32))))*(MAX($D$16,(D122)-(J32))))/MAX((F32)+2*(MAX($D$16,(D122)-(J32)))*SQRT(1+(H32)^2),0.000001))^(2/3),0.000001)))^2)+(((ABS(G122)*$D$6)/(MAX(((G32)+(I32)*(MAX($D$16,(E122)-(K32))))*(MAX($D$16,(E122)-(K32))),0.000001)*MAX(((((G32)+(I32)*(MAX($D$16,(E122)-(K32))))*(MAX($D$16,(E122)-(K32))))/MAX((G32)+2*(MAX($D$16,(E122)-(K32)))*SQRT(1+(I32)^2),0.000001))^(2/3),0.000001)))^2))/2)+(IF((ABS(G122)/MAX(((G32)+(I32)*(MAX($D$16,(E122)-(K32))))*(MAX($D$16,(E122)-(K32))),0.000001))&gt;(ABS(G122)/MAX(((F32)+(H32)*(MAX($D$16,(D122)-(J32))))*(MAX($D$16,(D122)-(J32))),0.000001)),$D$9*((((ABS(G122)/MAX(((G32)+(I32)*(MAX($D$16,(E122)-(K32))))*(MAX($D$16,(E122)-(K32))),0.000001))^2)/(2*$I$5))-(((ABS(G122)/MAX(((F32)+(H32)*(MAX($D$16,(D122)-(J32))))*(MAX($D$16,(D122)-(J32))),0.000001))^2)/(2*$I$5))),$D$8*((((ABS(G122)/MAX(((F32)+(H32)*(MAX($D$16,(D122)-(J32))))*(MAX($D$16,(D122)-(J32))),0.000001))^2)/(2*$I$5))-(((ABS(G122)/MAX(((G32)+(I32)*(MAX($D$16,(E122)-(K32))))*(MAX($D$16,(E122)-(K32))),0.000001))^2)/(2*$I$5)))))+($D$10*(ABS((X32)-(W32))/90)*MAX(((ABS(G122)/MAX(((F32)+(H32)*(MAX($D$16,(D122)-(J32))))*(MAX($D$16,(D122)-(J32))),0.000001))^2)/(2*$I$5),((ABS(G122)/MAX(((G32)+(I32)*(MAX($D$16,(E122)-(K32))))*(MAX($D$16,(E122)-(K32))),0.000001))^2)/(2*$I$5)))+(($D$11*0.13607488*(ABS(H122)/MAX(ABS(F122),0.000001))^2*MAX(((ABS(G122)/MAX(((F32)+(H32)*(MAX($D$16,(D122)-(J32))))*(MAX($D$16,(D122)-(J32))),0.000001))^2)/(2*$I$5),((ABS(G122)/MAX(((G32)+(I32)*(MAX($D$16,(E122)-(K32))))*(MAX($D$16,(E122)-(K32))),0.000001))^2)/(2*$I$5))))-((ABS(G122)/MAX(((G32)+(I32)*(MAX($D$16,(E122)-(K32))))*(MAX($D$16,(E122)-(K32))),0.000001))^2)/(2*$I$5)</f>
        <v>52432.141837663636</v>
      </c>
      <c r="S122">
        <f>M122+((ABS(I122)/MAX(((G34)+(I34)*(MAX($D$16,(M122)-(K34))))*(MAX($D$16,(M122)-(K34))),0.000001))^2)/(2*$I$5)+((E34)*((((ABS(I122)*$D$6)/(MAX(((F34)+(H34)*(MAX($D$16,(E122)-(J34))))*(MAX($D$16,(E122)-(J34))),0.000001)*MAX(((((F34)+(H34)*(MAX($D$16,(E122)-(J34))))*(MAX($D$16,(E122)-(J34))))/MAX((F34)+2*(MAX($D$16,(E122)-(J34)))*SQRT(1+(H34)^2),0.000001))^(2/3),0.000001)))^2)+(((ABS(I122)*$D$6)/(MAX(((G34)+(I34)*(MAX($D$16,(M122)-(K34))))*(MAX($D$16,(M122)-(K34))),0.000001)*MAX(((((G34)+(I34)*(MAX($D$16,(M122)-(K34))))*(MAX($D$16,(M122)-(K34))))/MAX((G34)+2*(MAX($D$16,(M122)-(K34)))*SQRT(1+(I34)^2),0.000001))^(2/3),0.000001)))^2))/2)+(IF((ABS(I122)/MAX(((G34)+(I34)*(MAX($D$16,(M122)-(K34))))*(MAX($D$16,(M122)-(K34))),0.000001))&gt;(ABS(I122)/MAX(((F34)+(H34)*(MAX($D$16,(E122)-(J34))))*(MAX($D$16,(E122)-(J34))),0.000001)),$D$9*((((ABS(I122)/MAX(((G34)+(I34)*(MAX($D$16,(M122)-(K34))))*(MAX($D$16,(M122)-(K34))),0.000001))^2)/(2*$I$5))-(((ABS(I122)/MAX(((F34)+(H34)*(MAX($D$16,(E122)-(J34))))*(MAX($D$16,(E122)-(J34))),0.000001))^2)/(2*$I$5))),$D$8*((((ABS(I122)/MAX(((F34)+(H34)*(MAX($D$16,(E122)-(J34))))*(MAX($D$16,(E122)-(J34))),0.000001))^2)/(2*$I$5))-(((ABS(I122)/MAX(((G34)+(I34)*(MAX($D$16,(M122)-(K34))))*(MAX($D$16,(M122)-(K34))),0.000001))^2)/(2*$I$5)))))+($D$10*(ABS((X34)-(W34))/90)*MAX(((ABS(I122)/MAX(((F34)+(H34)*(MAX($D$16,(E122)-(J34))))*(MAX($D$16,(E122)-(J34))),0.000001))^2)/(2*$I$5),((ABS(I122)/MAX(((G34)+(I34)*(MAX($D$16,(M122)-(K34))))*(MAX($D$16,(M122)-(K34))),0.000001))^2)/(2*$I$5)))+(0)-((ABS(I122)/MAX(((F34)+(H34)*(MAX($D$16,(E122)-(J34))))*(MAX($D$16,(E122)-(J34))),0.000001))^2)/(2*$I$5)</f>
        <v>635.5</v>
      </c>
      <c r="T122">
        <f>N122+((ABS(J122)/MAX(((G35)+(I35)*(MAX($D$16,(N122)-(K35))))*(MAX($D$16,(N122)-(K35))),0.000001))^2)/(2*$I$5)+((E35)*((((ABS(J122)*$D$6)/(MAX(((F35)+(H35)*(MAX($D$16,(E122)-(J35))))*(MAX($D$16,(E122)-(J35))),0.000001)*MAX(((((F35)+(H35)*(MAX($D$16,(E122)-(J35))))*(MAX($D$16,(E122)-(J35))))/MAX((F35)+2*(MAX($D$16,(E122)-(J35)))*SQRT(1+(H35)^2),0.000001))^(2/3),0.000001)))^2)+(((ABS(J122)*$D$6)/(MAX(((G35)+(I35)*(MAX($D$16,(N122)-(K35))))*(MAX($D$16,(N122)-(K35))),0.000001)*MAX(((((G35)+(I35)*(MAX($D$16,(N122)-(K35))))*(MAX($D$16,(N122)-(K35))))/MAX((G35)+2*(MAX($D$16,(N122)-(K35)))*SQRT(1+(I35)^2),0.000001))^(2/3),0.000001)))^2))/2)+(IF((ABS(J122)/MAX(((G35)+(I35)*(MAX($D$16,(N122)-(K35))))*(MAX($D$16,(N122)-(K35))),0.000001))&gt;(ABS(J122)/MAX(((F35)+(H35)*(MAX($D$16,(E122)-(J35))))*(MAX($D$16,(E122)-(J35))),0.000001)),$D$9*((((ABS(J122)/MAX(((G35)+(I35)*(MAX($D$16,(N122)-(K35))))*(MAX($D$16,(N122)-(K35))),0.000001))^2)/(2*$I$5))-(((ABS(J122)/MAX(((F35)+(H35)*(MAX($D$16,(E122)-(J35))))*(MAX($D$16,(E122)-(J35))),0.000001))^2)/(2*$I$5))),$D$8*((((ABS(J122)/MAX(((F35)+(H35)*(MAX($D$16,(E122)-(J35))))*(MAX($D$16,(E122)-(J35))),0.000001))^2)/(2*$I$5))-(((ABS(J122)/MAX(((G35)+(I35)*(MAX($D$16,(N122)-(K35))))*(MAX($D$16,(N122)-(K35))),0.000001))^2)/(2*$I$5)))))+($D$10*(ABS((X35)-(W35))/90)*MAX(((ABS(J122)/MAX(((F35)+(H35)*(MAX($D$16,(E122)-(J35))))*(MAX($D$16,(E122)-(J35))),0.000001))^2)/(2*$I$5),((ABS(J122)/MAX(((G35)+(I35)*(MAX($D$16,(N122)-(K35))))*(MAX($D$16,(N122)-(K35))),0.000001))^2)/(2*$I$5)))+(($D$11*0.34699541*(ABS(I122)/MAX(ABS(G122),0.000001))^2*MAX(((ABS(J122)/MAX(((F35)+(H35)*(MAX($D$16,(E122)-(J35))))*(MAX($D$16,(E122)-(J35))),0.000001))^2)/(2*$I$5),((ABS(J122)/MAX(((G35)+(I35)*(MAX($D$16,(N122)-(K35))))*(MAX($D$16,(N122)-(K35))),0.000001))^2)/(2*$I$5))))-((ABS(J122)/MAX(((F35)+(H35)*(MAX($D$16,(E122)-(J35))))*(MAX($D$16,(E122)-(J35))),0.000001))^2)/(2*$I$5)</f>
        <v>20784.033523923383</v>
      </c>
      <c r="U122">
        <f>(((((F32)*(MAX($D$16,(D122)-(J32)))^2)/2+(H32)*(MAX($D$16,(D122)-(J32)))^3/3+(ABS(G122)^2)/($I$5*MAX(((F32)+(H32)*(MAX($D$16,(D122)-(J32))))*(MAX($D$16,(D122)-(J32))),0.000001)))*0.72785025)-((((F33)*(MAX($D$16,(D122)-(J33)))^2)/2+(H33)*(MAX($D$16,(D122)-(J33)))^3/3+(ABS(H122)^2)/($I$5*MAX(((F33)+(H33)*(MAX($D$16,(D122)-(J33))))*(MAX($D$16,(D122)-(J33))),0.000001)))*0.99999971))/MAX(((G31)*(MAX($D$16,(D122)-(K31)))^2)/2+(I31)*(MAX($D$16,(D122)-(K31)))^3/3+(ABS(F122)^2)/($I$5*MAX(((G31)+(I31)*(MAX($D$16,(D122)-(K31))))*(MAX($D$16,(D122)-(K31))),0.000001)),0.000001)</f>
        <v>-0.27214945999991125</v>
      </c>
      <c r="V122">
        <f>(((((F34)*(MAX($D$16,(E122)-(J34)))^2)/2+(H34)*(MAX($D$16,(E122)-(J34)))^3/3+(ABS(I122)^2)/($I$5*MAX(((F34)+(H34)*(MAX($D$16,(E122)-(J34))))*(MAX($D$16,(E122)-(J34))),0.000001)))*1)-((((F35)*(MAX($D$16,(E122)-(J35)))^2)/2+(H35)*(MAX($D$16,(E122)-(J35)))^3/3+(ABS(J122)^2)/($I$5*MAX(((F35)+(H35)*(MAX($D$16,(E122)-(J35))))*(MAX($D$16,(E122)-(J35))),0.000001)))*0.30600918))/MAX(((G32)*(MAX($D$16,(E122)-(K32)))^2)/2+(I32)*(MAX($D$16,(E122)-(K32)))^3/3+(ABS(G122)^2)/($I$5*MAX(((G32)+(I32)*(MAX($D$16,(E122)-(K32))))*(MAX($D$16,(E122)-(K32))),0.000001)),0.000001)</f>
        <v>0.69398638937190393</v>
      </c>
      <c r="W122">
        <f>IF(N6="None",ABS(P122-D122),MAX(ABS(P122-D122),ABS(Q122-D122)))</f>
        <v>3.4197000786662102E-10</v>
      </c>
      <c r="X122">
        <f>IF(AND(N7="None",N8="None"),0,IF(N8="None",ABS(S122-E122),IF(N7="None",ABS(T122-E122),MAX(ABS(S122-E122),ABS(T122-E122)))))</f>
        <v>51796.641837663294</v>
      </c>
      <c r="AA122">
        <f t="shared" si="33"/>
        <v>52432.141837663621</v>
      </c>
      <c r="AB122">
        <f t="shared" si="34"/>
        <v>41355.303927854329</v>
      </c>
      <c r="AC122">
        <f>IF(N6="None",P122,MAX(P122,Q122))</f>
        <v>52432.141837663847</v>
      </c>
      <c r="AD122">
        <f>IF(AND(N7="None",N8="None"),E122,IF(N8="None",S122,IF(N7="None",T122,MAX(S122,T122))))</f>
        <v>20784.033523923383</v>
      </c>
      <c r="AE122">
        <f t="shared" si="35"/>
        <v>637.65825101089831</v>
      </c>
      <c r="AF122">
        <f t="shared" si="36"/>
        <v>52432.141837663636</v>
      </c>
      <c r="AG122">
        <f>((G31)*(MAX($D$16,(AC122)-(K31)))^2)/2+(I31)*(MAX($D$16,(AC122)-(K31)))^3/3+(ABS(F122)^2)/($I$5*MAX(((G31)+(I31)*(MAX($D$16,(AC122)-(K31))))*(MAX($D$16,(AC122)-(K31))),0.000001))</f>
        <v>8797611517.4122639</v>
      </c>
      <c r="AH122">
        <f>((G31)*(MAX($D$16,(AE122)-(K31)))^2)/2+(I31)*(MAX($D$16,(AE122)-(K31)))^3/3+(ABS(F122)^2)/($I$5*MAX(((G31)+(I31)*(MAX($D$16,(AE122)-(K31))))*(MAX($D$16,(AE122)-(K31))),0.000001))</f>
        <v>49.055863329575246</v>
      </c>
      <c r="AI122">
        <f>((G32)*(MAX($D$16,(AD122)-(K32)))^2)/2+(I32)*(MAX($D$16,(AD122)-(K32)))^3/3+(ABS(G122)^2)/($I$5*MAX(((G32)+(I32)*(MAX($D$16,(AD122)-(K32))))*(MAX($D$16,(AD122)-(K32))),0.000001))</f>
        <v>2072376743.6648321</v>
      </c>
      <c r="AJ122">
        <f>((G32)*(MAX($D$16,(AF122)-(K32)))^2)/2+(I32)*(MAX($D$16,(AF122)-(K32)))^3/3+(ABS(G122)^2)/($I$5*MAX(((G32)+(I32)*(MAX($D$16,(AF122)-(K32))))*(MAX($D$16,(AF122)-(K32))),0.000001))</f>
        <v>13692714789.644951</v>
      </c>
      <c r="AK122" t="str">
        <f t="shared" si="37"/>
        <v>Subcritical</v>
      </c>
      <c r="AL122" t="str">
        <f t="shared" si="38"/>
        <v>Supercritical</v>
      </c>
      <c r="AM122">
        <f t="shared" si="39"/>
        <v>52432.141837663621</v>
      </c>
      <c r="AN122">
        <f t="shared" si="40"/>
        <v>52432.14183766341</v>
      </c>
      <c r="AO122">
        <f t="shared" si="41"/>
        <v>3.4197000786662102E-10</v>
      </c>
      <c r="AP122">
        <f t="shared" si="42"/>
        <v>3.4197000786662102E-10</v>
      </c>
    </row>
    <row r="130" spans="1:45" x14ac:dyDescent="0.35">
      <c r="A130" t="s">
        <v>140</v>
      </c>
      <c r="E130">
        <f>E31</f>
        <v>10.742000000000001</v>
      </c>
      <c r="F130" t="s">
        <v>141</v>
      </c>
      <c r="H130">
        <f>N31</f>
        <v>51</v>
      </c>
      <c r="I130" t="s">
        <v>13</v>
      </c>
      <c r="K130" t="str">
        <f>V31</f>
        <v>Mixed</v>
      </c>
      <c r="L130" t="s">
        <v>142</v>
      </c>
    </row>
    <row r="131" spans="1:45" x14ac:dyDescent="0.35">
      <c r="A131" t="s">
        <v>143</v>
      </c>
      <c r="B131" t="s">
        <v>144</v>
      </c>
      <c r="C131" t="s">
        <v>145</v>
      </c>
      <c r="D131" t="s">
        <v>146</v>
      </c>
      <c r="E131" t="s">
        <v>147</v>
      </c>
      <c r="F131" t="s">
        <v>148</v>
      </c>
      <c r="G131" t="s">
        <v>149</v>
      </c>
      <c r="H131" t="s">
        <v>9</v>
      </c>
      <c r="I131" t="s">
        <v>150</v>
      </c>
      <c r="J131" t="s">
        <v>151</v>
      </c>
      <c r="K131" t="s">
        <v>152</v>
      </c>
      <c r="L131" t="s">
        <v>153</v>
      </c>
      <c r="M131" t="s">
        <v>154</v>
      </c>
      <c r="N131" t="s">
        <v>155</v>
      </c>
      <c r="O131" t="s">
        <v>156</v>
      </c>
      <c r="P131" t="s">
        <v>157</v>
      </c>
      <c r="Q131" t="s">
        <v>158</v>
      </c>
      <c r="R131" t="s">
        <v>159</v>
      </c>
      <c r="S131" t="s">
        <v>160</v>
      </c>
      <c r="T131" t="s">
        <v>161</v>
      </c>
      <c r="U131" t="s">
        <v>162</v>
      </c>
      <c r="V131" t="s">
        <v>163</v>
      </c>
      <c r="W131" t="s">
        <v>164</v>
      </c>
      <c r="X131" t="s">
        <v>165</v>
      </c>
      <c r="Y131" t="s">
        <v>166</v>
      </c>
      <c r="Z131" t="s">
        <v>167</v>
      </c>
      <c r="AA131" t="s">
        <v>168</v>
      </c>
      <c r="AB131" t="s">
        <v>169</v>
      </c>
      <c r="AC131" t="s">
        <v>170</v>
      </c>
      <c r="AD131" t="s">
        <v>171</v>
      </c>
      <c r="AE131" t="s">
        <v>172</v>
      </c>
      <c r="AF131" t="s">
        <v>173</v>
      </c>
      <c r="AG131" t="s">
        <v>174</v>
      </c>
      <c r="AH131" t="s">
        <v>175</v>
      </c>
      <c r="AI131" t="s">
        <v>176</v>
      </c>
      <c r="AJ131" t="s">
        <v>177</v>
      </c>
      <c r="AK131" t="s">
        <v>178</v>
      </c>
      <c r="AL131" t="s">
        <v>179</v>
      </c>
      <c r="AM131" t="s">
        <v>180</v>
      </c>
      <c r="AN131" t="s">
        <v>181</v>
      </c>
      <c r="AO131" t="s">
        <v>182</v>
      </c>
      <c r="AP131" t="s">
        <v>183</v>
      </c>
      <c r="AQ131" t="s">
        <v>184</v>
      </c>
      <c r="AR131" t="s">
        <v>185</v>
      </c>
      <c r="AS131" t="s">
        <v>186</v>
      </c>
    </row>
    <row r="132" spans="1:45" x14ac:dyDescent="0.35">
      <c r="A132" t="s">
        <v>22</v>
      </c>
      <c r="B132" t="s">
        <v>52</v>
      </c>
      <c r="C132" t="s">
        <v>52</v>
      </c>
      <c r="D132" t="s">
        <v>52</v>
      </c>
      <c r="E132" t="s">
        <v>52</v>
      </c>
      <c r="F132" t="s">
        <v>52</v>
      </c>
      <c r="G132" t="s">
        <v>22</v>
      </c>
      <c r="H132" t="s">
        <v>22</v>
      </c>
      <c r="I132" t="s">
        <v>187</v>
      </c>
      <c r="J132" t="s">
        <v>52</v>
      </c>
      <c r="K132" t="s">
        <v>13</v>
      </c>
      <c r="L132" t="s">
        <v>52</v>
      </c>
      <c r="M132" t="s">
        <v>188</v>
      </c>
      <c r="N132" t="s">
        <v>52</v>
      </c>
      <c r="O132" t="s">
        <v>189</v>
      </c>
      <c r="P132" t="s">
        <v>52</v>
      </c>
      <c r="Q132" t="s">
        <v>52</v>
      </c>
      <c r="R132" t="s">
        <v>22</v>
      </c>
      <c r="S132" t="s">
        <v>22</v>
      </c>
      <c r="T132" t="s">
        <v>190</v>
      </c>
      <c r="U132" t="s">
        <v>52</v>
      </c>
      <c r="V132" t="s">
        <v>22</v>
      </c>
      <c r="W132" t="s">
        <v>52</v>
      </c>
      <c r="X132" t="s">
        <v>188</v>
      </c>
      <c r="Y132" t="s">
        <v>52</v>
      </c>
      <c r="Z132" t="s">
        <v>189</v>
      </c>
      <c r="AA132" t="s">
        <v>52</v>
      </c>
      <c r="AB132" t="s">
        <v>52</v>
      </c>
      <c r="AC132" t="s">
        <v>22</v>
      </c>
      <c r="AD132" t="s">
        <v>22</v>
      </c>
      <c r="AE132" t="s">
        <v>190</v>
      </c>
      <c r="AF132" t="s">
        <v>52</v>
      </c>
      <c r="AG132" t="s">
        <v>22</v>
      </c>
      <c r="AH132" t="s">
        <v>52</v>
      </c>
      <c r="AI132" t="s">
        <v>52</v>
      </c>
      <c r="AJ132" t="s">
        <v>52</v>
      </c>
      <c r="AK132" t="s">
        <v>52</v>
      </c>
      <c r="AL132" t="s">
        <v>52</v>
      </c>
      <c r="AM132" t="s">
        <v>13</v>
      </c>
      <c r="AN132" t="s">
        <v>13</v>
      </c>
      <c r="AO132" t="s">
        <v>13</v>
      </c>
      <c r="AP132" t="s">
        <v>13</v>
      </c>
      <c r="AQ132" t="s">
        <v>22</v>
      </c>
      <c r="AR132" t="s">
        <v>22</v>
      </c>
      <c r="AS132" t="s">
        <v>22</v>
      </c>
    </row>
    <row r="133" spans="1:45" x14ac:dyDescent="0.35">
      <c r="A133">
        <v>1</v>
      </c>
      <c r="B133">
        <v>0</v>
      </c>
      <c r="C133">
        <v>616561.06099999999</v>
      </c>
      <c r="D133">
        <v>3097769.93</v>
      </c>
      <c r="E133">
        <v>634.32000000000005</v>
      </c>
      <c r="F133">
        <v>6.0030000000000001</v>
      </c>
      <c r="G133">
        <v>0</v>
      </c>
      <c r="H133" t="s">
        <v>191</v>
      </c>
      <c r="I133">
        <v>0</v>
      </c>
      <c r="J133">
        <v>0</v>
      </c>
      <c r="K133">
        <f>N31</f>
        <v>51</v>
      </c>
      <c r="L133">
        <f>MAX($D$16,(P5)-E133)</f>
        <v>2.67999999999995</v>
      </c>
      <c r="M133">
        <f t="shared" ref="M133:M144" si="47">((F133)+(G133)*(L133))*(L133)</f>
        <v>16.088039999999701</v>
      </c>
      <c r="N133">
        <f t="shared" ref="N133:N144" si="48">(((F133)+(G133)*(L133))*(L133))/MAX((F133)+2*(L133)*SQRT(1+(G133)^2),0.000001)</f>
        <v>1.415826806301139</v>
      </c>
      <c r="O133">
        <f t="shared" ref="O133:O144" si="49">ABS(K133)/MAX(((F133)+(G133)*(L133))*(L133),0.000001)</f>
        <v>3.1700567626635032</v>
      </c>
      <c r="P133">
        <f t="shared" ref="P133:P144" si="50">E133+L133</f>
        <v>637</v>
      </c>
      <c r="Q133">
        <f t="shared" ref="Q133:Q144" si="51">P133+((ABS(K133)/MAX(((F133)+(G133)*(L133))*(L133),0.000001))^2)/(2*$I$5)</f>
        <v>637.51219469309422</v>
      </c>
      <c r="R133">
        <f t="shared" ref="R133:R144" si="52">((ABS(K133)*$D$6)/(MAX(((F133)+(G133)*(L133))*(L133),0.000001)*MAX(((((F133)+(G133)*(L133))*(L133))/MAX((F133)+2*(L133)*SQRT(1+(G133)^2),0.000001))^(2/3),0.000001)))^2</f>
        <v>1.4222297358722554E-3</v>
      </c>
      <c r="S133">
        <f t="shared" ref="S133:S144" si="53">ABS(ABS(K133)/MAX(((F133)+(G133)*(L133))*(L133),0.000001))/SQRT($I$5*MAX((((F133)+(G133)*(L133))*(L133))/MAX((F133)+2*(G133)*(L133),0.000001),0.000001))</f>
        <v>0.61825144204660709</v>
      </c>
      <c r="T133">
        <f t="shared" ref="T133:T144" si="54">((F133)*(L133)^2)/2+(G133)*(L133)^3/3+(ABS(K133)^2)/($I$5*MAX(((F133)+(G133)*(L133))*(L133),0.000001))</f>
        <v>38.038391020573982</v>
      </c>
      <c r="U133">
        <v>0</v>
      </c>
      <c r="V133">
        <v>1</v>
      </c>
      <c r="W133" t="e">
        <f t="shared" ref="W133:W143" ca="1" si="55">IF($D$20=0,W134,IF(AG134=0,W134,IF(W133=0,W134,IF(ABS(AF133)&gt;$D$19,MAX($D$16,W133+((AF133)*$D$18*IF((AD133)&lt;1,1,-1))),W133))))</f>
        <v>#VALUE!</v>
      </c>
      <c r="X133" t="e">
        <f t="shared" ref="X133:X144" ca="1" si="56">((F133)+(G133)*(W133))*(W133)</f>
        <v>#VALUE!</v>
      </c>
      <c r="Y133" t="e">
        <f t="shared" ref="Y133:Y144" ca="1" si="57">(((F133)+(G133)*(W133))*(W133))/MAX((F133)+2*(W133)*SQRT(1+(G133)^2),0.000001)</f>
        <v>#VALUE!</v>
      </c>
      <c r="Z133" t="e">
        <f t="shared" ref="Z133:Z144" ca="1" si="58">ABS(K133)/MAX(((F133)+(G133)*(W133))*(W133),0.000001)</f>
        <v>#VALUE!</v>
      </c>
      <c r="AA133" t="e">
        <f t="shared" ref="AA133:AA144" ca="1" si="59">E133+W133</f>
        <v>#VALUE!</v>
      </c>
      <c r="AB133" t="e">
        <f t="shared" ref="AB133:AB144" ca="1" si="60">AA133+((ABS(K133)/MAX(((F133)+(G133)*(W133))*(W133),0.000001))^2)/(2*$I$5)</f>
        <v>#VALUE!</v>
      </c>
      <c r="AC133" t="e">
        <f t="shared" ref="AC133:AC144" ca="1" si="61">((ABS(K133)*$D$6)/(MAX(((F133)+(G133)*(W133))*(W133),0.000001)*MAX(((((F133)+(G133)*(W133))*(W133))/MAX((F133)+2*(W133)*SQRT(1+(G133)^2),0.000001))^(2/3),0.000001)))^2</f>
        <v>#VALUE!</v>
      </c>
      <c r="AD133" t="e">
        <f t="shared" ref="AD133:AD144" ca="1" si="62">ABS(ABS(K133)/MAX(((F133)+(G133)*(W133))*(W133),0.000001))/SQRT($I$5*MAX((((F133)+(G133)*(W133))*(W133))/MAX((F133)+2*(G133)*(W133),0.000001),0.000001))</f>
        <v>#VALUE!</v>
      </c>
      <c r="AE133" t="e">
        <f t="shared" ref="AE133:AE144" ca="1" si="63">((F133)*(W133)^2)/2+(G133)*(W133)^3/3+(ABS(K133)^2)/($I$5*MAX(((F133)+(G133)*(W133))*(W133),0.000001))</f>
        <v>#VALUE!</v>
      </c>
      <c r="AF133" t="e">
        <f t="shared" ref="AF133:AF143" ca="1" si="64">AB134+(((AC133+AC134)/2)*J134)+(IF(Z133&gt;Z134,$D$8*((Z133^2-Z134^2)/(2*$I$5)),$D$9*((Z134^2-Z133^2)/(2*$I$5)))+($D$10*(ABS(I134)/90)*(MAX(Z133^2,Z134^2)/(2*$I$5))))-AB133</f>
        <v>#VALUE!</v>
      </c>
      <c r="AG133" t="e">
        <f t="shared" ref="AG133:AG143" ca="1" si="65">IF(ABS(AF133)&lt;$D$19,1,0)</f>
        <v>#VALUE!</v>
      </c>
      <c r="AH133" t="e">
        <f ca="1">IF(V31="Supercritical",L133,IF(V31="Subcritical",W133,IF(AND(V133=1,AG133=1),IF(T133&gt;=AE133,L133,W133),IF(V133=1,L133,IF(AG133=1,W133,MAX($D$16,POWER((ABS(K133)^2)/($I$5*MAX(F133,0.1)^2),1/3)))))))</f>
        <v>#VALUE!</v>
      </c>
      <c r="AI133" t="e">
        <f t="shared" ref="AI133:AI144" ca="1" si="66">E133+AH133</f>
        <v>#VALUE!</v>
      </c>
      <c r="AJ133" t="e">
        <f t="shared" ref="AJ133:AJ144" ca="1" si="67">AI133+((ABS(K133)/MAX(((F133)+(G133)*(AH133))*(AH133),0.000001))^2)/(2*$I$5)</f>
        <v>#VALUE!</v>
      </c>
      <c r="AM133">
        <v>0</v>
      </c>
      <c r="AN133">
        <v>0</v>
      </c>
      <c r="AO133">
        <f t="shared" ref="AO133:AO144" si="68">AM133+AN133</f>
        <v>0</v>
      </c>
      <c r="AP133">
        <f>AO133</f>
        <v>0</v>
      </c>
      <c r="AQ133" t="e">
        <f t="shared" ref="AQ133:AQ144" ca="1" si="69">ABS(ABS(K133)/MAX(((F133)+(G133)*(AH133))*(AH133),0.000001))/SQRT($I$5*MAX((((F133)+(G133)*(AH133))*(AH133))/MAX((F133)+2*(G133)*(AH133),0.000001),0.000001))</f>
        <v>#VALUE!</v>
      </c>
      <c r="AR133" t="e">
        <f t="shared" ref="AR133:AR144" ca="1" si="70">IF(AQ133&lt;1,"Subcritical","Supercritical")</f>
        <v>#VALUE!</v>
      </c>
      <c r="AS133" t="e">
        <f t="shared" ref="AS133:AS144" ca="1" si="71">((ABS(K133)*$D$6)/(MAX(((F133)+(G133)*(AH133))*(AH133),0.000001)*MAX(((((F133)+(G133)*(AH133))*(AH133))/MAX((F133)+2*(AH133)*SQRT(1+(G133)^2),0.000001))^(2/3),0.000001)))^2</f>
        <v>#VALUE!</v>
      </c>
    </row>
    <row r="134" spans="1:45" x14ac:dyDescent="0.35">
      <c r="A134">
        <v>2</v>
      </c>
      <c r="B134">
        <v>1</v>
      </c>
      <c r="C134">
        <v>616560.59100000001</v>
      </c>
      <c r="D134">
        <v>3097769.0469999998</v>
      </c>
      <c r="E134">
        <v>634.31799999999998</v>
      </c>
      <c r="F134">
        <v>6.0030000000000001</v>
      </c>
      <c r="G134">
        <v>0</v>
      </c>
      <c r="H134" t="s">
        <v>191</v>
      </c>
      <c r="I134">
        <v>0</v>
      </c>
      <c r="J134">
        <f t="shared" ref="J134:J144" si="72">B134-B133</f>
        <v>1</v>
      </c>
      <c r="K134">
        <f t="shared" ref="K134:K144" si="73">MAX(0,K133-AO133)</f>
        <v>51</v>
      </c>
      <c r="L134" t="e">
        <f t="shared" ref="L134:L144" ca="1" si="74">IF($D$20=0,L133,IF(V133=0,L133,IF(L134=0,L133,IF(ABS(U134)&gt;$D$19,MAX($D$16,L134+((U134)*$D$18*IF((S134)&lt;1,1,-1))),L134))))</f>
        <v>#VALUE!</v>
      </c>
      <c r="M134" t="e">
        <f t="shared" ca="1" si="47"/>
        <v>#VALUE!</v>
      </c>
      <c r="N134" t="e">
        <f t="shared" ca="1" si="48"/>
        <v>#VALUE!</v>
      </c>
      <c r="O134" t="e">
        <f t="shared" ca="1" si="49"/>
        <v>#VALUE!</v>
      </c>
      <c r="P134" t="e">
        <f t="shared" ca="1" si="50"/>
        <v>#VALUE!</v>
      </c>
      <c r="Q134" t="e">
        <f t="shared" ca="1" si="51"/>
        <v>#VALUE!</v>
      </c>
      <c r="R134" t="e">
        <f t="shared" ca="1" si="52"/>
        <v>#VALUE!</v>
      </c>
      <c r="S134" t="e">
        <f t="shared" ca="1" si="53"/>
        <v>#VALUE!</v>
      </c>
      <c r="T134" t="e">
        <f t="shared" ca="1" si="54"/>
        <v>#VALUE!</v>
      </c>
      <c r="U134" t="e">
        <f t="shared" ref="U134:U144" ca="1" si="75">Q133-(((R133+R134)/2)*J134)-(IF(O133&gt;O134,$D$8*((O133^2-O134^2)/(2*$I$5)),$D$9*((O134^2-O133^2)/(2*$I$5)))+($D$10*(ABS(I134)/90)*(MAX(O133^2,O134^2)/(2*$I$5))))-Q134</f>
        <v>#VALUE!</v>
      </c>
      <c r="V134" t="e">
        <f t="shared" ref="V134:V144" ca="1" si="76">IF(ABS(U134)&lt;$D$19,1,0)</f>
        <v>#VALUE!</v>
      </c>
      <c r="W134" t="e">
        <f t="shared" ca="1" si="55"/>
        <v>#VALUE!</v>
      </c>
      <c r="X134" t="e">
        <f t="shared" ca="1" si="56"/>
        <v>#VALUE!</v>
      </c>
      <c r="Y134" t="e">
        <f t="shared" ca="1" si="57"/>
        <v>#VALUE!</v>
      </c>
      <c r="Z134" t="e">
        <f t="shared" ca="1" si="58"/>
        <v>#VALUE!</v>
      </c>
      <c r="AA134" t="e">
        <f t="shared" ca="1" si="59"/>
        <v>#VALUE!</v>
      </c>
      <c r="AB134" t="e">
        <f t="shared" ca="1" si="60"/>
        <v>#VALUE!</v>
      </c>
      <c r="AC134" t="e">
        <f t="shared" ca="1" si="61"/>
        <v>#VALUE!</v>
      </c>
      <c r="AD134" t="e">
        <f t="shared" ca="1" si="62"/>
        <v>#VALUE!</v>
      </c>
      <c r="AE134" t="e">
        <f t="shared" ca="1" si="63"/>
        <v>#VALUE!</v>
      </c>
      <c r="AF134" t="e">
        <f t="shared" ca="1" si="64"/>
        <v>#VALUE!</v>
      </c>
      <c r="AG134" t="e">
        <f t="shared" ca="1" si="65"/>
        <v>#VALUE!</v>
      </c>
      <c r="AH134" t="e">
        <f ca="1">IF(V31="Supercritical",L134,IF(V31="Subcritical",W134,IF(AND(V134=1,AG134=1),IF(T134&gt;=AE134,L134,W134),IF(V134=1,L134,IF(AG134=1,W134,MAX($D$16,POWER((ABS(K134)^2)/($I$5*MAX(F134,0.1)^2),1/3)))))))</f>
        <v>#VALUE!</v>
      </c>
      <c r="AI134" t="e">
        <f t="shared" ca="1" si="66"/>
        <v>#VALUE!</v>
      </c>
      <c r="AJ134" t="e">
        <f t="shared" ca="1" si="67"/>
        <v>#VALUE!</v>
      </c>
      <c r="AM134">
        <v>0</v>
      </c>
      <c r="AN134">
        <v>0</v>
      </c>
      <c r="AO134">
        <f t="shared" si="68"/>
        <v>0</v>
      </c>
      <c r="AP134">
        <f t="shared" ref="AP134:AP144" si="77">AP133+AO134</f>
        <v>0</v>
      </c>
      <c r="AQ134" t="e">
        <f t="shared" ca="1" si="69"/>
        <v>#VALUE!</v>
      </c>
      <c r="AR134" t="e">
        <f t="shared" ca="1" si="70"/>
        <v>#VALUE!</v>
      </c>
      <c r="AS134" t="e">
        <f t="shared" ca="1" si="71"/>
        <v>#VALUE!</v>
      </c>
    </row>
    <row r="135" spans="1:45" x14ac:dyDescent="0.35">
      <c r="A135">
        <v>3</v>
      </c>
      <c r="B135">
        <v>2.0009999999999999</v>
      </c>
      <c r="C135">
        <v>616560.12100000004</v>
      </c>
      <c r="D135">
        <v>3097768.1639999999</v>
      </c>
      <c r="E135">
        <v>634.31600000000003</v>
      </c>
      <c r="F135">
        <v>6.0039999999999996</v>
      </c>
      <c r="G135">
        <v>0</v>
      </c>
      <c r="H135" t="s">
        <v>191</v>
      </c>
      <c r="I135">
        <v>2.7E-2</v>
      </c>
      <c r="J135">
        <f t="shared" si="72"/>
        <v>1.0009999999999999</v>
      </c>
      <c r="K135">
        <f t="shared" si="73"/>
        <v>51</v>
      </c>
      <c r="L135" t="e">
        <f t="shared" ca="1" si="74"/>
        <v>#VALUE!</v>
      </c>
      <c r="M135" t="e">
        <f t="shared" ca="1" si="47"/>
        <v>#VALUE!</v>
      </c>
      <c r="N135" t="e">
        <f t="shared" ca="1" si="48"/>
        <v>#VALUE!</v>
      </c>
      <c r="O135" t="e">
        <f t="shared" ca="1" si="49"/>
        <v>#VALUE!</v>
      </c>
      <c r="P135" t="e">
        <f t="shared" ca="1" si="50"/>
        <v>#VALUE!</v>
      </c>
      <c r="Q135" t="e">
        <f t="shared" ca="1" si="51"/>
        <v>#VALUE!</v>
      </c>
      <c r="R135" t="e">
        <f t="shared" ca="1" si="52"/>
        <v>#VALUE!</v>
      </c>
      <c r="S135" t="e">
        <f t="shared" ca="1" si="53"/>
        <v>#VALUE!</v>
      </c>
      <c r="T135" t="e">
        <f t="shared" ca="1" si="54"/>
        <v>#VALUE!</v>
      </c>
      <c r="U135" t="e">
        <f t="shared" ca="1" si="75"/>
        <v>#VALUE!</v>
      </c>
      <c r="V135" t="e">
        <f t="shared" ca="1" si="76"/>
        <v>#VALUE!</v>
      </c>
      <c r="W135" t="e">
        <f t="shared" ca="1" si="55"/>
        <v>#VALUE!</v>
      </c>
      <c r="X135" t="e">
        <f t="shared" ca="1" si="56"/>
        <v>#VALUE!</v>
      </c>
      <c r="Y135" t="e">
        <f t="shared" ca="1" si="57"/>
        <v>#VALUE!</v>
      </c>
      <c r="Z135" t="e">
        <f t="shared" ca="1" si="58"/>
        <v>#VALUE!</v>
      </c>
      <c r="AA135" t="e">
        <f t="shared" ca="1" si="59"/>
        <v>#VALUE!</v>
      </c>
      <c r="AB135" t="e">
        <f t="shared" ca="1" si="60"/>
        <v>#VALUE!</v>
      </c>
      <c r="AC135" t="e">
        <f t="shared" ca="1" si="61"/>
        <v>#VALUE!</v>
      </c>
      <c r="AD135" t="e">
        <f t="shared" ca="1" si="62"/>
        <v>#VALUE!</v>
      </c>
      <c r="AE135" t="e">
        <f t="shared" ca="1" si="63"/>
        <v>#VALUE!</v>
      </c>
      <c r="AF135" t="e">
        <f t="shared" ca="1" si="64"/>
        <v>#VALUE!</v>
      </c>
      <c r="AG135" t="e">
        <f t="shared" ca="1" si="65"/>
        <v>#VALUE!</v>
      </c>
      <c r="AH135" t="e">
        <f ca="1">IF(V31="Supercritical",L135,IF(V31="Subcritical",W135,IF(AND(V135=1,AG135=1),IF(T135&gt;=AE135,L135,W135),IF(V135=1,L135,IF(AG135=1,W135,MAX($D$16,POWER((ABS(K135)^2)/($I$5*MAX(F135,0.1)^2),1/3)))))))</f>
        <v>#VALUE!</v>
      </c>
      <c r="AI135" t="e">
        <f t="shared" ca="1" si="66"/>
        <v>#VALUE!</v>
      </c>
      <c r="AJ135" t="e">
        <f t="shared" ca="1" si="67"/>
        <v>#VALUE!</v>
      </c>
      <c r="AM135">
        <v>0</v>
      </c>
      <c r="AN135">
        <v>0</v>
      </c>
      <c r="AO135">
        <f t="shared" si="68"/>
        <v>0</v>
      </c>
      <c r="AP135">
        <f t="shared" si="77"/>
        <v>0</v>
      </c>
      <c r="AQ135" t="e">
        <f t="shared" ca="1" si="69"/>
        <v>#VALUE!</v>
      </c>
      <c r="AR135" t="e">
        <f t="shared" ca="1" si="70"/>
        <v>#VALUE!</v>
      </c>
      <c r="AS135" t="e">
        <f t="shared" ca="1" si="71"/>
        <v>#VALUE!</v>
      </c>
    </row>
    <row r="136" spans="1:45" x14ac:dyDescent="0.35">
      <c r="A136">
        <v>4</v>
      </c>
      <c r="B136">
        <v>3</v>
      </c>
      <c r="C136">
        <v>616559.65099999995</v>
      </c>
      <c r="D136">
        <v>3097767.2820000001</v>
      </c>
      <c r="E136">
        <v>634.31399999999996</v>
      </c>
      <c r="F136">
        <v>6.0039999999999996</v>
      </c>
      <c r="G136">
        <v>0</v>
      </c>
      <c r="H136" t="s">
        <v>191</v>
      </c>
      <c r="I136">
        <v>2.7E-2</v>
      </c>
      <c r="J136">
        <f t="shared" si="72"/>
        <v>0.99900000000000011</v>
      </c>
      <c r="K136">
        <f t="shared" si="73"/>
        <v>51</v>
      </c>
      <c r="L136" t="e">
        <f t="shared" ca="1" si="74"/>
        <v>#VALUE!</v>
      </c>
      <c r="M136" t="e">
        <f t="shared" ca="1" si="47"/>
        <v>#VALUE!</v>
      </c>
      <c r="N136" t="e">
        <f t="shared" ca="1" si="48"/>
        <v>#VALUE!</v>
      </c>
      <c r="O136" t="e">
        <f t="shared" ca="1" si="49"/>
        <v>#VALUE!</v>
      </c>
      <c r="P136" t="e">
        <f t="shared" ca="1" si="50"/>
        <v>#VALUE!</v>
      </c>
      <c r="Q136" t="e">
        <f t="shared" ca="1" si="51"/>
        <v>#VALUE!</v>
      </c>
      <c r="R136" t="e">
        <f t="shared" ca="1" si="52"/>
        <v>#VALUE!</v>
      </c>
      <c r="S136" t="e">
        <f t="shared" ca="1" si="53"/>
        <v>#VALUE!</v>
      </c>
      <c r="T136" t="e">
        <f t="shared" ca="1" si="54"/>
        <v>#VALUE!</v>
      </c>
      <c r="U136" t="e">
        <f t="shared" ca="1" si="75"/>
        <v>#VALUE!</v>
      </c>
      <c r="V136" t="e">
        <f t="shared" ca="1" si="76"/>
        <v>#VALUE!</v>
      </c>
      <c r="W136" t="e">
        <f t="shared" ca="1" si="55"/>
        <v>#VALUE!</v>
      </c>
      <c r="X136" t="e">
        <f t="shared" ca="1" si="56"/>
        <v>#VALUE!</v>
      </c>
      <c r="Y136" t="e">
        <f t="shared" ca="1" si="57"/>
        <v>#VALUE!</v>
      </c>
      <c r="Z136" t="e">
        <f t="shared" ca="1" si="58"/>
        <v>#VALUE!</v>
      </c>
      <c r="AA136" t="e">
        <f t="shared" ca="1" si="59"/>
        <v>#VALUE!</v>
      </c>
      <c r="AB136" t="e">
        <f t="shared" ca="1" si="60"/>
        <v>#VALUE!</v>
      </c>
      <c r="AC136" t="e">
        <f t="shared" ca="1" si="61"/>
        <v>#VALUE!</v>
      </c>
      <c r="AD136" t="e">
        <f t="shared" ca="1" si="62"/>
        <v>#VALUE!</v>
      </c>
      <c r="AE136" t="e">
        <f t="shared" ca="1" si="63"/>
        <v>#VALUE!</v>
      </c>
      <c r="AF136" t="e">
        <f t="shared" ca="1" si="64"/>
        <v>#VALUE!</v>
      </c>
      <c r="AG136" t="e">
        <f t="shared" ca="1" si="65"/>
        <v>#VALUE!</v>
      </c>
      <c r="AH136" t="e">
        <f ca="1">IF(V31="Supercritical",L136,IF(V31="Subcritical",W136,IF(AND(V136=1,AG136=1),IF(T136&gt;=AE136,L136,W136),IF(V136=1,L136,IF(AG136=1,W136,MAX($D$16,POWER((ABS(K136)^2)/($I$5*MAX(F136,0.1)^2),1/3)))))))</f>
        <v>#VALUE!</v>
      </c>
      <c r="AI136" t="e">
        <f t="shared" ca="1" si="66"/>
        <v>#VALUE!</v>
      </c>
      <c r="AJ136" t="e">
        <f t="shared" ca="1" si="67"/>
        <v>#VALUE!</v>
      </c>
      <c r="AM136">
        <v>0</v>
      </c>
      <c r="AN136">
        <v>0</v>
      </c>
      <c r="AO136">
        <f t="shared" si="68"/>
        <v>0</v>
      </c>
      <c r="AP136">
        <f t="shared" si="77"/>
        <v>0</v>
      </c>
      <c r="AQ136" t="e">
        <f t="shared" ca="1" si="69"/>
        <v>#VALUE!</v>
      </c>
      <c r="AR136" t="e">
        <f t="shared" ca="1" si="70"/>
        <v>#VALUE!</v>
      </c>
      <c r="AS136" t="e">
        <f t="shared" ca="1" si="71"/>
        <v>#VALUE!</v>
      </c>
    </row>
    <row r="137" spans="1:45" x14ac:dyDescent="0.35">
      <c r="A137">
        <v>5</v>
      </c>
      <c r="B137">
        <v>4</v>
      </c>
      <c r="C137">
        <v>616559.18099999998</v>
      </c>
      <c r="D137">
        <v>3097766.3990000002</v>
      </c>
      <c r="E137">
        <v>634.31200000000001</v>
      </c>
      <c r="F137">
        <v>6.0049999999999999</v>
      </c>
      <c r="G137">
        <v>0</v>
      </c>
      <c r="H137" t="s">
        <v>191</v>
      </c>
      <c r="I137">
        <v>0</v>
      </c>
      <c r="J137">
        <f t="shared" si="72"/>
        <v>1</v>
      </c>
      <c r="K137">
        <f t="shared" si="73"/>
        <v>51</v>
      </c>
      <c r="L137" t="e">
        <f t="shared" ca="1" si="74"/>
        <v>#VALUE!</v>
      </c>
      <c r="M137" t="e">
        <f t="shared" ca="1" si="47"/>
        <v>#VALUE!</v>
      </c>
      <c r="N137" t="e">
        <f t="shared" ca="1" si="48"/>
        <v>#VALUE!</v>
      </c>
      <c r="O137" t="e">
        <f t="shared" ca="1" si="49"/>
        <v>#VALUE!</v>
      </c>
      <c r="P137" t="e">
        <f t="shared" ca="1" si="50"/>
        <v>#VALUE!</v>
      </c>
      <c r="Q137" t="e">
        <f t="shared" ca="1" si="51"/>
        <v>#VALUE!</v>
      </c>
      <c r="R137" t="e">
        <f t="shared" ca="1" si="52"/>
        <v>#VALUE!</v>
      </c>
      <c r="S137" t="e">
        <f t="shared" ca="1" si="53"/>
        <v>#VALUE!</v>
      </c>
      <c r="T137" t="e">
        <f t="shared" ca="1" si="54"/>
        <v>#VALUE!</v>
      </c>
      <c r="U137" t="e">
        <f t="shared" ca="1" si="75"/>
        <v>#VALUE!</v>
      </c>
      <c r="V137" t="e">
        <f t="shared" ca="1" si="76"/>
        <v>#VALUE!</v>
      </c>
      <c r="W137" t="e">
        <f t="shared" ca="1" si="55"/>
        <v>#VALUE!</v>
      </c>
      <c r="X137" t="e">
        <f t="shared" ca="1" si="56"/>
        <v>#VALUE!</v>
      </c>
      <c r="Y137" t="e">
        <f t="shared" ca="1" si="57"/>
        <v>#VALUE!</v>
      </c>
      <c r="Z137" t="e">
        <f t="shared" ca="1" si="58"/>
        <v>#VALUE!</v>
      </c>
      <c r="AA137" t="e">
        <f t="shared" ca="1" si="59"/>
        <v>#VALUE!</v>
      </c>
      <c r="AB137" t="e">
        <f t="shared" ca="1" si="60"/>
        <v>#VALUE!</v>
      </c>
      <c r="AC137" t="e">
        <f t="shared" ca="1" si="61"/>
        <v>#VALUE!</v>
      </c>
      <c r="AD137" t="e">
        <f t="shared" ca="1" si="62"/>
        <v>#VALUE!</v>
      </c>
      <c r="AE137" t="e">
        <f t="shared" ca="1" si="63"/>
        <v>#VALUE!</v>
      </c>
      <c r="AF137" t="e">
        <f t="shared" ca="1" si="64"/>
        <v>#VALUE!</v>
      </c>
      <c r="AG137" t="e">
        <f t="shared" ca="1" si="65"/>
        <v>#VALUE!</v>
      </c>
      <c r="AH137" t="e">
        <f ca="1">IF(V31="Supercritical",L137,IF(V31="Subcritical",W137,IF(AND(V137=1,AG137=1),IF(T137&gt;=AE137,L137,W137),IF(V137=1,L137,IF(AG137=1,W137,MAX($D$16,POWER((ABS(K137)^2)/($I$5*MAX(F137,0.1)^2),1/3)))))))</f>
        <v>#VALUE!</v>
      </c>
      <c r="AI137" t="e">
        <f t="shared" ca="1" si="66"/>
        <v>#VALUE!</v>
      </c>
      <c r="AJ137" t="e">
        <f t="shared" ca="1" si="67"/>
        <v>#VALUE!</v>
      </c>
      <c r="AM137">
        <v>0</v>
      </c>
      <c r="AN137">
        <v>0</v>
      </c>
      <c r="AO137">
        <f t="shared" si="68"/>
        <v>0</v>
      </c>
      <c r="AP137">
        <f t="shared" si="77"/>
        <v>0</v>
      </c>
      <c r="AQ137" t="e">
        <f t="shared" ca="1" si="69"/>
        <v>#VALUE!</v>
      </c>
      <c r="AR137" t="e">
        <f t="shared" ca="1" si="70"/>
        <v>#VALUE!</v>
      </c>
      <c r="AS137" t="e">
        <f t="shared" ca="1" si="71"/>
        <v>#VALUE!</v>
      </c>
    </row>
    <row r="138" spans="1:45" x14ac:dyDescent="0.35">
      <c r="A138">
        <v>6</v>
      </c>
      <c r="B138">
        <v>5.0010000000000003</v>
      </c>
      <c r="C138">
        <v>616558.71100000001</v>
      </c>
      <c r="D138">
        <v>3097765.5159999998</v>
      </c>
      <c r="E138">
        <v>634.30999999999995</v>
      </c>
      <c r="F138">
        <v>6.0049999999999999</v>
      </c>
      <c r="G138">
        <v>0</v>
      </c>
      <c r="H138" t="s">
        <v>191</v>
      </c>
      <c r="I138">
        <v>0</v>
      </c>
      <c r="J138">
        <f t="shared" si="72"/>
        <v>1.0010000000000003</v>
      </c>
      <c r="K138">
        <f t="shared" si="73"/>
        <v>51</v>
      </c>
      <c r="L138" t="e">
        <f t="shared" ca="1" si="74"/>
        <v>#VALUE!</v>
      </c>
      <c r="M138" t="e">
        <f t="shared" ca="1" si="47"/>
        <v>#VALUE!</v>
      </c>
      <c r="N138" t="e">
        <f t="shared" ca="1" si="48"/>
        <v>#VALUE!</v>
      </c>
      <c r="O138" t="e">
        <f t="shared" ca="1" si="49"/>
        <v>#VALUE!</v>
      </c>
      <c r="P138" t="e">
        <f t="shared" ca="1" si="50"/>
        <v>#VALUE!</v>
      </c>
      <c r="Q138" t="e">
        <f t="shared" ca="1" si="51"/>
        <v>#VALUE!</v>
      </c>
      <c r="R138" t="e">
        <f t="shared" ca="1" si="52"/>
        <v>#VALUE!</v>
      </c>
      <c r="S138" t="e">
        <f t="shared" ca="1" si="53"/>
        <v>#VALUE!</v>
      </c>
      <c r="T138" t="e">
        <f t="shared" ca="1" si="54"/>
        <v>#VALUE!</v>
      </c>
      <c r="U138" t="e">
        <f t="shared" ca="1" si="75"/>
        <v>#VALUE!</v>
      </c>
      <c r="V138" t="e">
        <f t="shared" ca="1" si="76"/>
        <v>#VALUE!</v>
      </c>
      <c r="W138" t="e">
        <f t="shared" ca="1" si="55"/>
        <v>#VALUE!</v>
      </c>
      <c r="X138" t="e">
        <f t="shared" ca="1" si="56"/>
        <v>#VALUE!</v>
      </c>
      <c r="Y138" t="e">
        <f t="shared" ca="1" si="57"/>
        <v>#VALUE!</v>
      </c>
      <c r="Z138" t="e">
        <f t="shared" ca="1" si="58"/>
        <v>#VALUE!</v>
      </c>
      <c r="AA138" t="e">
        <f t="shared" ca="1" si="59"/>
        <v>#VALUE!</v>
      </c>
      <c r="AB138" t="e">
        <f t="shared" ca="1" si="60"/>
        <v>#VALUE!</v>
      </c>
      <c r="AC138" t="e">
        <f t="shared" ca="1" si="61"/>
        <v>#VALUE!</v>
      </c>
      <c r="AD138" t="e">
        <f t="shared" ca="1" si="62"/>
        <v>#VALUE!</v>
      </c>
      <c r="AE138" t="e">
        <f t="shared" ca="1" si="63"/>
        <v>#VALUE!</v>
      </c>
      <c r="AF138" t="e">
        <f t="shared" ca="1" si="64"/>
        <v>#VALUE!</v>
      </c>
      <c r="AG138" t="e">
        <f t="shared" ca="1" si="65"/>
        <v>#VALUE!</v>
      </c>
      <c r="AH138" t="e">
        <f ca="1">IF(V31="Supercritical",L138,IF(V31="Subcritical",W138,IF(AND(V138=1,AG138=1),IF(T138&gt;=AE138,L138,W138),IF(V138=1,L138,IF(AG138=1,W138,MAX($D$16,POWER((ABS(K138)^2)/($I$5*MAX(F138,0.1)^2),1/3)))))))</f>
        <v>#VALUE!</v>
      </c>
      <c r="AI138" t="e">
        <f t="shared" ca="1" si="66"/>
        <v>#VALUE!</v>
      </c>
      <c r="AJ138" t="e">
        <f t="shared" ca="1" si="67"/>
        <v>#VALUE!</v>
      </c>
      <c r="AM138">
        <v>0</v>
      </c>
      <c r="AN138">
        <v>0</v>
      </c>
      <c r="AO138">
        <f t="shared" si="68"/>
        <v>0</v>
      </c>
      <c r="AP138">
        <f t="shared" si="77"/>
        <v>0</v>
      </c>
      <c r="AQ138" t="e">
        <f t="shared" ca="1" si="69"/>
        <v>#VALUE!</v>
      </c>
      <c r="AR138" t="e">
        <f t="shared" ca="1" si="70"/>
        <v>#VALUE!</v>
      </c>
      <c r="AS138" t="e">
        <f t="shared" ca="1" si="71"/>
        <v>#VALUE!</v>
      </c>
    </row>
    <row r="139" spans="1:45" x14ac:dyDescent="0.35">
      <c r="A139">
        <v>7</v>
      </c>
      <c r="B139">
        <v>6.0010000000000003</v>
      </c>
      <c r="C139">
        <v>616558.24100000004</v>
      </c>
      <c r="D139">
        <v>3097764.6329999999</v>
      </c>
      <c r="E139">
        <v>634.30799999999999</v>
      </c>
      <c r="F139">
        <v>6.0060000000000002</v>
      </c>
      <c r="G139">
        <v>0</v>
      </c>
      <c r="H139" t="s">
        <v>191</v>
      </c>
      <c r="I139">
        <v>2.7E-2</v>
      </c>
      <c r="J139">
        <f t="shared" si="72"/>
        <v>1</v>
      </c>
      <c r="K139">
        <f t="shared" si="73"/>
        <v>51</v>
      </c>
      <c r="L139" t="e">
        <f t="shared" ca="1" si="74"/>
        <v>#VALUE!</v>
      </c>
      <c r="M139" t="e">
        <f t="shared" ca="1" si="47"/>
        <v>#VALUE!</v>
      </c>
      <c r="N139" t="e">
        <f t="shared" ca="1" si="48"/>
        <v>#VALUE!</v>
      </c>
      <c r="O139" t="e">
        <f t="shared" ca="1" si="49"/>
        <v>#VALUE!</v>
      </c>
      <c r="P139" t="e">
        <f t="shared" ca="1" si="50"/>
        <v>#VALUE!</v>
      </c>
      <c r="Q139" t="e">
        <f t="shared" ca="1" si="51"/>
        <v>#VALUE!</v>
      </c>
      <c r="R139" t="e">
        <f t="shared" ca="1" si="52"/>
        <v>#VALUE!</v>
      </c>
      <c r="S139" t="e">
        <f t="shared" ca="1" si="53"/>
        <v>#VALUE!</v>
      </c>
      <c r="T139" t="e">
        <f t="shared" ca="1" si="54"/>
        <v>#VALUE!</v>
      </c>
      <c r="U139" t="e">
        <f t="shared" ca="1" si="75"/>
        <v>#VALUE!</v>
      </c>
      <c r="V139" t="e">
        <f t="shared" ca="1" si="76"/>
        <v>#VALUE!</v>
      </c>
      <c r="W139" t="e">
        <f t="shared" ca="1" si="55"/>
        <v>#VALUE!</v>
      </c>
      <c r="X139" t="e">
        <f t="shared" ca="1" si="56"/>
        <v>#VALUE!</v>
      </c>
      <c r="Y139" t="e">
        <f t="shared" ca="1" si="57"/>
        <v>#VALUE!</v>
      </c>
      <c r="Z139" t="e">
        <f t="shared" ca="1" si="58"/>
        <v>#VALUE!</v>
      </c>
      <c r="AA139" t="e">
        <f t="shared" ca="1" si="59"/>
        <v>#VALUE!</v>
      </c>
      <c r="AB139" t="e">
        <f t="shared" ca="1" si="60"/>
        <v>#VALUE!</v>
      </c>
      <c r="AC139" t="e">
        <f t="shared" ca="1" si="61"/>
        <v>#VALUE!</v>
      </c>
      <c r="AD139" t="e">
        <f t="shared" ca="1" si="62"/>
        <v>#VALUE!</v>
      </c>
      <c r="AE139" t="e">
        <f t="shared" ca="1" si="63"/>
        <v>#VALUE!</v>
      </c>
      <c r="AF139" t="e">
        <f t="shared" ca="1" si="64"/>
        <v>#VALUE!</v>
      </c>
      <c r="AG139" t="e">
        <f t="shared" ca="1" si="65"/>
        <v>#VALUE!</v>
      </c>
      <c r="AH139" t="e">
        <f ca="1">IF(V31="Supercritical",L139,IF(V31="Subcritical",W139,IF(AND(V139=1,AG139=1),IF(T139&gt;=AE139,L139,W139),IF(V139=1,L139,IF(AG139=1,W139,MAX($D$16,POWER((ABS(K139)^2)/($I$5*MAX(F139,0.1)^2),1/3)))))))</f>
        <v>#VALUE!</v>
      </c>
      <c r="AI139" t="e">
        <f t="shared" ca="1" si="66"/>
        <v>#VALUE!</v>
      </c>
      <c r="AJ139" t="e">
        <f t="shared" ca="1" si="67"/>
        <v>#VALUE!</v>
      </c>
      <c r="AM139">
        <v>0</v>
      </c>
      <c r="AN139">
        <v>0</v>
      </c>
      <c r="AO139">
        <f t="shared" si="68"/>
        <v>0</v>
      </c>
      <c r="AP139">
        <f t="shared" si="77"/>
        <v>0</v>
      </c>
      <c r="AQ139" t="e">
        <f t="shared" ca="1" si="69"/>
        <v>#VALUE!</v>
      </c>
      <c r="AR139" t="e">
        <f t="shared" ca="1" si="70"/>
        <v>#VALUE!</v>
      </c>
      <c r="AS139" t="e">
        <f t="shared" ca="1" si="71"/>
        <v>#VALUE!</v>
      </c>
    </row>
    <row r="140" spans="1:45" x14ac:dyDescent="0.35">
      <c r="A140">
        <v>8</v>
      </c>
      <c r="B140">
        <v>7</v>
      </c>
      <c r="C140">
        <v>616557.77099999995</v>
      </c>
      <c r="D140">
        <v>3097763.7510000002</v>
      </c>
      <c r="E140">
        <v>634.30600000000004</v>
      </c>
      <c r="F140">
        <v>6.0060000000000002</v>
      </c>
      <c r="G140">
        <v>0</v>
      </c>
      <c r="H140" t="s">
        <v>191</v>
      </c>
      <c r="I140">
        <v>2.7E-2</v>
      </c>
      <c r="J140">
        <f t="shared" si="72"/>
        <v>0.99899999999999967</v>
      </c>
      <c r="K140">
        <f t="shared" si="73"/>
        <v>51</v>
      </c>
      <c r="L140" t="e">
        <f t="shared" ca="1" si="74"/>
        <v>#VALUE!</v>
      </c>
      <c r="M140" t="e">
        <f t="shared" ca="1" si="47"/>
        <v>#VALUE!</v>
      </c>
      <c r="N140" t="e">
        <f t="shared" ca="1" si="48"/>
        <v>#VALUE!</v>
      </c>
      <c r="O140" t="e">
        <f t="shared" ca="1" si="49"/>
        <v>#VALUE!</v>
      </c>
      <c r="P140" t="e">
        <f t="shared" ca="1" si="50"/>
        <v>#VALUE!</v>
      </c>
      <c r="Q140" t="e">
        <f t="shared" ca="1" si="51"/>
        <v>#VALUE!</v>
      </c>
      <c r="R140" t="e">
        <f t="shared" ca="1" si="52"/>
        <v>#VALUE!</v>
      </c>
      <c r="S140" t="e">
        <f t="shared" ca="1" si="53"/>
        <v>#VALUE!</v>
      </c>
      <c r="T140" t="e">
        <f t="shared" ca="1" si="54"/>
        <v>#VALUE!</v>
      </c>
      <c r="U140" t="e">
        <f t="shared" ca="1" si="75"/>
        <v>#VALUE!</v>
      </c>
      <c r="V140" t="e">
        <f t="shared" ca="1" si="76"/>
        <v>#VALUE!</v>
      </c>
      <c r="W140" t="e">
        <f t="shared" ca="1" si="55"/>
        <v>#VALUE!</v>
      </c>
      <c r="X140" t="e">
        <f t="shared" ca="1" si="56"/>
        <v>#VALUE!</v>
      </c>
      <c r="Y140" t="e">
        <f t="shared" ca="1" si="57"/>
        <v>#VALUE!</v>
      </c>
      <c r="Z140" t="e">
        <f t="shared" ca="1" si="58"/>
        <v>#VALUE!</v>
      </c>
      <c r="AA140" t="e">
        <f t="shared" ca="1" si="59"/>
        <v>#VALUE!</v>
      </c>
      <c r="AB140" t="e">
        <f t="shared" ca="1" si="60"/>
        <v>#VALUE!</v>
      </c>
      <c r="AC140" t="e">
        <f t="shared" ca="1" si="61"/>
        <v>#VALUE!</v>
      </c>
      <c r="AD140" t="e">
        <f t="shared" ca="1" si="62"/>
        <v>#VALUE!</v>
      </c>
      <c r="AE140" t="e">
        <f t="shared" ca="1" si="63"/>
        <v>#VALUE!</v>
      </c>
      <c r="AF140" t="e">
        <f t="shared" ca="1" si="64"/>
        <v>#VALUE!</v>
      </c>
      <c r="AG140" t="e">
        <f t="shared" ca="1" si="65"/>
        <v>#VALUE!</v>
      </c>
      <c r="AH140" t="e">
        <f ca="1">IF(V31="Supercritical",L140,IF(V31="Subcritical",W140,IF(AND(V140=1,AG140=1),IF(T140&gt;=AE140,L140,W140),IF(V140=1,L140,IF(AG140=1,W140,MAX($D$16,POWER((ABS(K140)^2)/($I$5*MAX(F140,0.1)^2),1/3)))))))</f>
        <v>#VALUE!</v>
      </c>
      <c r="AI140" t="e">
        <f t="shared" ca="1" si="66"/>
        <v>#VALUE!</v>
      </c>
      <c r="AJ140" t="e">
        <f t="shared" ca="1" si="67"/>
        <v>#VALUE!</v>
      </c>
      <c r="AM140">
        <v>0</v>
      </c>
      <c r="AN140">
        <v>0</v>
      </c>
      <c r="AO140">
        <f t="shared" si="68"/>
        <v>0</v>
      </c>
      <c r="AP140">
        <f t="shared" si="77"/>
        <v>0</v>
      </c>
      <c r="AQ140" t="e">
        <f t="shared" ca="1" si="69"/>
        <v>#VALUE!</v>
      </c>
      <c r="AR140" t="e">
        <f t="shared" ca="1" si="70"/>
        <v>#VALUE!</v>
      </c>
      <c r="AS140" t="e">
        <f t="shared" ca="1" si="71"/>
        <v>#VALUE!</v>
      </c>
    </row>
    <row r="141" spans="1:45" x14ac:dyDescent="0.35">
      <c r="A141">
        <v>9</v>
      </c>
      <c r="B141">
        <v>8.0009999999999994</v>
      </c>
      <c r="C141">
        <v>616557.30099999998</v>
      </c>
      <c r="D141">
        <v>3097762.8679999998</v>
      </c>
      <c r="E141">
        <v>634.30399999999997</v>
      </c>
      <c r="F141">
        <v>6.0069999999999997</v>
      </c>
      <c r="G141">
        <v>0</v>
      </c>
      <c r="H141" t="s">
        <v>191</v>
      </c>
      <c r="I141">
        <v>0</v>
      </c>
      <c r="J141">
        <f t="shared" si="72"/>
        <v>1.0009999999999994</v>
      </c>
      <c r="K141">
        <f t="shared" si="73"/>
        <v>51</v>
      </c>
      <c r="L141" t="e">
        <f t="shared" ca="1" si="74"/>
        <v>#VALUE!</v>
      </c>
      <c r="M141" t="e">
        <f t="shared" ca="1" si="47"/>
        <v>#VALUE!</v>
      </c>
      <c r="N141" t="e">
        <f t="shared" ca="1" si="48"/>
        <v>#VALUE!</v>
      </c>
      <c r="O141" t="e">
        <f t="shared" ca="1" si="49"/>
        <v>#VALUE!</v>
      </c>
      <c r="P141" t="e">
        <f t="shared" ca="1" si="50"/>
        <v>#VALUE!</v>
      </c>
      <c r="Q141" t="e">
        <f t="shared" ca="1" si="51"/>
        <v>#VALUE!</v>
      </c>
      <c r="R141" t="e">
        <f t="shared" ca="1" si="52"/>
        <v>#VALUE!</v>
      </c>
      <c r="S141" t="e">
        <f t="shared" ca="1" si="53"/>
        <v>#VALUE!</v>
      </c>
      <c r="T141" t="e">
        <f t="shared" ca="1" si="54"/>
        <v>#VALUE!</v>
      </c>
      <c r="U141" t="e">
        <f t="shared" ca="1" si="75"/>
        <v>#VALUE!</v>
      </c>
      <c r="V141" t="e">
        <f t="shared" ca="1" si="76"/>
        <v>#VALUE!</v>
      </c>
      <c r="W141" t="e">
        <f t="shared" ca="1" si="55"/>
        <v>#VALUE!</v>
      </c>
      <c r="X141" t="e">
        <f t="shared" ca="1" si="56"/>
        <v>#VALUE!</v>
      </c>
      <c r="Y141" t="e">
        <f t="shared" ca="1" si="57"/>
        <v>#VALUE!</v>
      </c>
      <c r="Z141" t="e">
        <f t="shared" ca="1" si="58"/>
        <v>#VALUE!</v>
      </c>
      <c r="AA141" t="e">
        <f t="shared" ca="1" si="59"/>
        <v>#VALUE!</v>
      </c>
      <c r="AB141" t="e">
        <f t="shared" ca="1" si="60"/>
        <v>#VALUE!</v>
      </c>
      <c r="AC141" t="e">
        <f t="shared" ca="1" si="61"/>
        <v>#VALUE!</v>
      </c>
      <c r="AD141" t="e">
        <f t="shared" ca="1" si="62"/>
        <v>#VALUE!</v>
      </c>
      <c r="AE141" t="e">
        <f t="shared" ca="1" si="63"/>
        <v>#VALUE!</v>
      </c>
      <c r="AF141" t="e">
        <f t="shared" ca="1" si="64"/>
        <v>#VALUE!</v>
      </c>
      <c r="AG141" t="e">
        <f t="shared" ca="1" si="65"/>
        <v>#VALUE!</v>
      </c>
      <c r="AH141" t="e">
        <f ca="1">IF(V31="Supercritical",L141,IF(V31="Subcritical",W141,IF(AND(V141=1,AG141=1),IF(T141&gt;=AE141,L141,W141),IF(V141=1,L141,IF(AG141=1,W141,MAX($D$16,POWER((ABS(K141)^2)/($I$5*MAX(F141,0.1)^2),1/3)))))))</f>
        <v>#VALUE!</v>
      </c>
      <c r="AI141" t="e">
        <f t="shared" ca="1" si="66"/>
        <v>#VALUE!</v>
      </c>
      <c r="AJ141" t="e">
        <f t="shared" ca="1" si="67"/>
        <v>#VALUE!</v>
      </c>
      <c r="AM141">
        <v>0</v>
      </c>
      <c r="AN141">
        <v>0</v>
      </c>
      <c r="AO141">
        <f t="shared" si="68"/>
        <v>0</v>
      </c>
      <c r="AP141">
        <f t="shared" si="77"/>
        <v>0</v>
      </c>
      <c r="AQ141" t="e">
        <f t="shared" ca="1" si="69"/>
        <v>#VALUE!</v>
      </c>
      <c r="AR141" t="e">
        <f t="shared" ca="1" si="70"/>
        <v>#VALUE!</v>
      </c>
      <c r="AS141" t="e">
        <f t="shared" ca="1" si="71"/>
        <v>#VALUE!</v>
      </c>
    </row>
    <row r="142" spans="1:45" x14ac:dyDescent="0.35">
      <c r="A142">
        <v>10</v>
      </c>
      <c r="B142">
        <v>9.0009999999999994</v>
      </c>
      <c r="C142">
        <v>616556.83100000001</v>
      </c>
      <c r="D142">
        <v>3097761.9849999999</v>
      </c>
      <c r="E142">
        <v>634.30200000000002</v>
      </c>
      <c r="F142">
        <v>6.0069999999999997</v>
      </c>
      <c r="G142">
        <v>0</v>
      </c>
      <c r="H142" t="s">
        <v>191</v>
      </c>
      <c r="I142">
        <v>2.7E-2</v>
      </c>
      <c r="J142">
        <f t="shared" si="72"/>
        <v>1</v>
      </c>
      <c r="K142">
        <f t="shared" si="73"/>
        <v>51</v>
      </c>
      <c r="L142" t="e">
        <f t="shared" ca="1" si="74"/>
        <v>#VALUE!</v>
      </c>
      <c r="M142" t="e">
        <f t="shared" ca="1" si="47"/>
        <v>#VALUE!</v>
      </c>
      <c r="N142" t="e">
        <f t="shared" ca="1" si="48"/>
        <v>#VALUE!</v>
      </c>
      <c r="O142" t="e">
        <f t="shared" ca="1" si="49"/>
        <v>#VALUE!</v>
      </c>
      <c r="P142" t="e">
        <f t="shared" ca="1" si="50"/>
        <v>#VALUE!</v>
      </c>
      <c r="Q142" t="e">
        <f t="shared" ca="1" si="51"/>
        <v>#VALUE!</v>
      </c>
      <c r="R142" t="e">
        <f t="shared" ca="1" si="52"/>
        <v>#VALUE!</v>
      </c>
      <c r="S142" t="e">
        <f t="shared" ca="1" si="53"/>
        <v>#VALUE!</v>
      </c>
      <c r="T142" t="e">
        <f t="shared" ca="1" si="54"/>
        <v>#VALUE!</v>
      </c>
      <c r="U142" t="e">
        <f t="shared" ca="1" si="75"/>
        <v>#VALUE!</v>
      </c>
      <c r="V142" t="e">
        <f t="shared" ca="1" si="76"/>
        <v>#VALUE!</v>
      </c>
      <c r="W142" t="e">
        <f t="shared" ca="1" si="55"/>
        <v>#VALUE!</v>
      </c>
      <c r="X142" t="e">
        <f t="shared" ca="1" si="56"/>
        <v>#VALUE!</v>
      </c>
      <c r="Y142" t="e">
        <f t="shared" ca="1" si="57"/>
        <v>#VALUE!</v>
      </c>
      <c r="Z142" t="e">
        <f t="shared" ca="1" si="58"/>
        <v>#VALUE!</v>
      </c>
      <c r="AA142" t="e">
        <f t="shared" ca="1" si="59"/>
        <v>#VALUE!</v>
      </c>
      <c r="AB142" t="e">
        <f t="shared" ca="1" si="60"/>
        <v>#VALUE!</v>
      </c>
      <c r="AC142" t="e">
        <f t="shared" ca="1" si="61"/>
        <v>#VALUE!</v>
      </c>
      <c r="AD142" t="e">
        <f t="shared" ca="1" si="62"/>
        <v>#VALUE!</v>
      </c>
      <c r="AE142" t="e">
        <f t="shared" ca="1" si="63"/>
        <v>#VALUE!</v>
      </c>
      <c r="AF142" t="e">
        <f t="shared" ca="1" si="64"/>
        <v>#VALUE!</v>
      </c>
      <c r="AG142" t="e">
        <f t="shared" ca="1" si="65"/>
        <v>#VALUE!</v>
      </c>
      <c r="AH142" t="e">
        <f ca="1">IF(V31="Supercritical",L142,IF(V31="Subcritical",W142,IF(AND(V142=1,AG142=1),IF(T142&gt;=AE142,L142,W142),IF(V142=1,L142,IF(AG142=1,W142,MAX($D$16,POWER((ABS(K142)^2)/($I$5*MAX(F142,0.1)^2),1/3)))))))</f>
        <v>#VALUE!</v>
      </c>
      <c r="AI142" t="e">
        <f t="shared" ca="1" si="66"/>
        <v>#VALUE!</v>
      </c>
      <c r="AJ142" t="e">
        <f t="shared" ca="1" si="67"/>
        <v>#VALUE!</v>
      </c>
      <c r="AM142">
        <v>0</v>
      </c>
      <c r="AN142">
        <v>0</v>
      </c>
      <c r="AO142">
        <f t="shared" si="68"/>
        <v>0</v>
      </c>
      <c r="AP142">
        <f t="shared" si="77"/>
        <v>0</v>
      </c>
      <c r="AQ142" t="e">
        <f t="shared" ca="1" si="69"/>
        <v>#VALUE!</v>
      </c>
      <c r="AR142" t="e">
        <f t="shared" ca="1" si="70"/>
        <v>#VALUE!</v>
      </c>
      <c r="AS142" t="e">
        <f t="shared" ca="1" si="71"/>
        <v>#VALUE!</v>
      </c>
    </row>
    <row r="143" spans="1:45" x14ac:dyDescent="0.35">
      <c r="A143">
        <v>11</v>
      </c>
      <c r="B143">
        <v>10</v>
      </c>
      <c r="C143">
        <v>616556.36100000003</v>
      </c>
      <c r="D143">
        <v>3097761.1030000001</v>
      </c>
      <c r="E143">
        <v>634.29999999999995</v>
      </c>
      <c r="F143">
        <v>6.42</v>
      </c>
      <c r="G143">
        <v>0</v>
      </c>
      <c r="H143" t="s">
        <v>191</v>
      </c>
      <c r="I143">
        <v>7.0999999999999994E-2</v>
      </c>
      <c r="J143">
        <f t="shared" si="72"/>
        <v>0.99900000000000055</v>
      </c>
      <c r="K143">
        <f t="shared" si="73"/>
        <v>51</v>
      </c>
      <c r="L143" t="e">
        <f t="shared" ca="1" si="74"/>
        <v>#VALUE!</v>
      </c>
      <c r="M143" t="e">
        <f t="shared" ca="1" si="47"/>
        <v>#VALUE!</v>
      </c>
      <c r="N143" t="e">
        <f t="shared" ca="1" si="48"/>
        <v>#VALUE!</v>
      </c>
      <c r="O143" t="e">
        <f t="shared" ca="1" si="49"/>
        <v>#VALUE!</v>
      </c>
      <c r="P143" t="e">
        <f t="shared" ca="1" si="50"/>
        <v>#VALUE!</v>
      </c>
      <c r="Q143" t="e">
        <f t="shared" ca="1" si="51"/>
        <v>#VALUE!</v>
      </c>
      <c r="R143" t="e">
        <f t="shared" ca="1" si="52"/>
        <v>#VALUE!</v>
      </c>
      <c r="S143" t="e">
        <f t="shared" ca="1" si="53"/>
        <v>#VALUE!</v>
      </c>
      <c r="T143" t="e">
        <f t="shared" ca="1" si="54"/>
        <v>#VALUE!</v>
      </c>
      <c r="U143" t="e">
        <f t="shared" ca="1" si="75"/>
        <v>#VALUE!</v>
      </c>
      <c r="V143" t="e">
        <f t="shared" ca="1" si="76"/>
        <v>#VALUE!</v>
      </c>
      <c r="W143" t="e">
        <f t="shared" ca="1" si="55"/>
        <v>#VALUE!</v>
      </c>
      <c r="X143" t="e">
        <f t="shared" ca="1" si="56"/>
        <v>#VALUE!</v>
      </c>
      <c r="Y143" t="e">
        <f t="shared" ca="1" si="57"/>
        <v>#VALUE!</v>
      </c>
      <c r="Z143" t="e">
        <f t="shared" ca="1" si="58"/>
        <v>#VALUE!</v>
      </c>
      <c r="AA143" t="e">
        <f t="shared" ca="1" si="59"/>
        <v>#VALUE!</v>
      </c>
      <c r="AB143" t="e">
        <f t="shared" ca="1" si="60"/>
        <v>#VALUE!</v>
      </c>
      <c r="AC143" t="e">
        <f t="shared" ca="1" si="61"/>
        <v>#VALUE!</v>
      </c>
      <c r="AD143" t="e">
        <f t="shared" ca="1" si="62"/>
        <v>#VALUE!</v>
      </c>
      <c r="AE143" t="e">
        <f t="shared" ca="1" si="63"/>
        <v>#VALUE!</v>
      </c>
      <c r="AF143" t="e">
        <f t="shared" ca="1" si="64"/>
        <v>#VALUE!</v>
      </c>
      <c r="AG143" t="e">
        <f t="shared" ca="1" si="65"/>
        <v>#VALUE!</v>
      </c>
      <c r="AH143" t="e">
        <f ca="1">IF(V31="Supercritical",L143,IF(V31="Subcritical",W143,IF(AND(V143=1,AG143=1),IF(T143&gt;=AE143,L143,W143),IF(V143=1,L143,IF(AG143=1,W143,MAX($D$16,POWER((ABS(K143)^2)/($I$5*MAX(F143,0.1)^2),1/3)))))))</f>
        <v>#VALUE!</v>
      </c>
      <c r="AI143" t="e">
        <f t="shared" ca="1" si="66"/>
        <v>#VALUE!</v>
      </c>
      <c r="AJ143" t="e">
        <f t="shared" ca="1" si="67"/>
        <v>#VALUE!</v>
      </c>
      <c r="AM143">
        <v>0</v>
      </c>
      <c r="AN143">
        <v>0</v>
      </c>
      <c r="AO143">
        <f t="shared" si="68"/>
        <v>0</v>
      </c>
      <c r="AP143">
        <f t="shared" si="77"/>
        <v>0</v>
      </c>
      <c r="AQ143" t="e">
        <f t="shared" ca="1" si="69"/>
        <v>#VALUE!</v>
      </c>
      <c r="AR143" t="e">
        <f t="shared" ca="1" si="70"/>
        <v>#VALUE!</v>
      </c>
      <c r="AS143" t="e">
        <f t="shared" ca="1" si="71"/>
        <v>#VALUE!</v>
      </c>
    </row>
    <row r="144" spans="1:45" x14ac:dyDescent="0.35">
      <c r="A144">
        <v>12</v>
      </c>
      <c r="B144">
        <v>10.742000000000001</v>
      </c>
      <c r="C144">
        <v>616556.01300000004</v>
      </c>
      <c r="D144">
        <v>3097760.4479999999</v>
      </c>
      <c r="E144">
        <v>634.298</v>
      </c>
      <c r="F144">
        <v>6.5579999999999998</v>
      </c>
      <c r="G144">
        <v>0</v>
      </c>
      <c r="H144" t="s">
        <v>192</v>
      </c>
      <c r="I144">
        <v>0</v>
      </c>
      <c r="J144">
        <f t="shared" si="72"/>
        <v>0.74200000000000088</v>
      </c>
      <c r="K144">
        <f t="shared" si="73"/>
        <v>51</v>
      </c>
      <c r="L144" t="e">
        <f t="shared" ca="1" si="74"/>
        <v>#VALUE!</v>
      </c>
      <c r="M144" t="e">
        <f t="shared" ca="1" si="47"/>
        <v>#VALUE!</v>
      </c>
      <c r="N144" t="e">
        <f t="shared" ca="1" si="48"/>
        <v>#VALUE!</v>
      </c>
      <c r="O144" t="e">
        <f t="shared" ca="1" si="49"/>
        <v>#VALUE!</v>
      </c>
      <c r="P144" t="e">
        <f t="shared" ca="1" si="50"/>
        <v>#VALUE!</v>
      </c>
      <c r="Q144" t="e">
        <f t="shared" ca="1" si="51"/>
        <v>#VALUE!</v>
      </c>
      <c r="R144" t="e">
        <f t="shared" ca="1" si="52"/>
        <v>#VALUE!</v>
      </c>
      <c r="S144" t="e">
        <f t="shared" ca="1" si="53"/>
        <v>#VALUE!</v>
      </c>
      <c r="T144" t="e">
        <f t="shared" ca="1" si="54"/>
        <v>#VALUE!</v>
      </c>
      <c r="U144" t="e">
        <f t="shared" ca="1" si="75"/>
        <v>#VALUE!</v>
      </c>
      <c r="V144" t="e">
        <f t="shared" ca="1" si="76"/>
        <v>#VALUE!</v>
      </c>
      <c r="W144">
        <f>MAX($D$16,($I$13)-E144)</f>
        <v>51797.843837663619</v>
      </c>
      <c r="X144">
        <f t="shared" si="56"/>
        <v>339690.25988739799</v>
      </c>
      <c r="Y144">
        <f t="shared" si="57"/>
        <v>3.2787924400010842</v>
      </c>
      <c r="Z144">
        <f t="shared" si="58"/>
        <v>1.5013677465143012E-4</v>
      </c>
      <c r="AA144">
        <f t="shared" si="59"/>
        <v>52432.141837663621</v>
      </c>
      <c r="AB144">
        <f t="shared" si="60"/>
        <v>52432.141837664771</v>
      </c>
      <c r="AC144">
        <f t="shared" si="61"/>
        <v>1.0412094832431511E-12</v>
      </c>
      <c r="AD144">
        <f t="shared" si="62"/>
        <v>2.1061860750492724E-7</v>
      </c>
      <c r="AE144">
        <f t="shared" si="63"/>
        <v>8797611517.4121857</v>
      </c>
      <c r="AF144">
        <v>0</v>
      </c>
      <c r="AG144">
        <v>1</v>
      </c>
      <c r="AH144" t="e">
        <f ca="1">IF(V31="Supercritical",L144,IF(V31="Subcritical",W144,IF(AND(V144=1,AG144=1),IF(T144&gt;=AE144,L144,W144),IF(V144=1,L144,IF(AG144=1,W144,MAX($D$16,POWER((ABS(K144)^2)/($I$5*MAX(F144,0.1)^2),1/3)))))))</f>
        <v>#VALUE!</v>
      </c>
      <c r="AI144" t="e">
        <f t="shared" ca="1" si="66"/>
        <v>#VALUE!</v>
      </c>
      <c r="AJ144" t="e">
        <f t="shared" ca="1" si="67"/>
        <v>#VALUE!</v>
      </c>
      <c r="AM144">
        <v>0</v>
      </c>
      <c r="AN144">
        <v>0</v>
      </c>
      <c r="AO144">
        <f t="shared" si="68"/>
        <v>0</v>
      </c>
      <c r="AP144">
        <f t="shared" si="77"/>
        <v>0</v>
      </c>
      <c r="AQ144" t="e">
        <f t="shared" ca="1" si="69"/>
        <v>#VALUE!</v>
      </c>
      <c r="AR144" t="e">
        <f t="shared" ca="1" si="70"/>
        <v>#VALUE!</v>
      </c>
      <c r="AS144" t="e">
        <f t="shared" ca="1" si="71"/>
        <v>#VALUE!</v>
      </c>
    </row>
    <row r="147" spans="1:45" x14ac:dyDescent="0.35">
      <c r="A147" t="s">
        <v>193</v>
      </c>
      <c r="E147">
        <f>E32</f>
        <v>1382.3979999999999</v>
      </c>
      <c r="F147" t="s">
        <v>141</v>
      </c>
      <c r="H147">
        <f>N32</f>
        <v>51</v>
      </c>
      <c r="I147" t="s">
        <v>13</v>
      </c>
      <c r="K147" t="str">
        <f>V32</f>
        <v>Mixed</v>
      </c>
      <c r="L147" t="s">
        <v>142</v>
      </c>
    </row>
    <row r="148" spans="1:45" x14ac:dyDescent="0.35">
      <c r="A148" t="s">
        <v>143</v>
      </c>
      <c r="B148" t="s">
        <v>144</v>
      </c>
      <c r="C148" t="s">
        <v>145</v>
      </c>
      <c r="D148" t="s">
        <v>146</v>
      </c>
      <c r="E148" t="s">
        <v>147</v>
      </c>
      <c r="F148" t="s">
        <v>148</v>
      </c>
      <c r="G148" t="s">
        <v>149</v>
      </c>
      <c r="H148" t="s">
        <v>9</v>
      </c>
      <c r="I148" t="s">
        <v>150</v>
      </c>
      <c r="J148" t="s">
        <v>151</v>
      </c>
      <c r="K148" t="s">
        <v>152</v>
      </c>
      <c r="L148" t="s">
        <v>153</v>
      </c>
      <c r="M148" t="s">
        <v>154</v>
      </c>
      <c r="N148" t="s">
        <v>155</v>
      </c>
      <c r="O148" t="s">
        <v>156</v>
      </c>
      <c r="P148" t="s">
        <v>157</v>
      </c>
      <c r="Q148" t="s">
        <v>158</v>
      </c>
      <c r="R148" t="s">
        <v>159</v>
      </c>
      <c r="S148" t="s">
        <v>160</v>
      </c>
      <c r="T148" t="s">
        <v>161</v>
      </c>
      <c r="U148" t="s">
        <v>162</v>
      </c>
      <c r="V148" t="s">
        <v>163</v>
      </c>
      <c r="W148" t="s">
        <v>164</v>
      </c>
      <c r="X148" t="s">
        <v>165</v>
      </c>
      <c r="Y148" t="s">
        <v>166</v>
      </c>
      <c r="Z148" t="s">
        <v>167</v>
      </c>
      <c r="AA148" t="s">
        <v>168</v>
      </c>
      <c r="AB148" t="s">
        <v>169</v>
      </c>
      <c r="AC148" t="s">
        <v>170</v>
      </c>
      <c r="AD148" t="s">
        <v>171</v>
      </c>
      <c r="AE148" t="s">
        <v>172</v>
      </c>
      <c r="AF148" t="s">
        <v>173</v>
      </c>
      <c r="AG148" t="s">
        <v>174</v>
      </c>
      <c r="AH148" t="s">
        <v>175</v>
      </c>
      <c r="AI148" t="s">
        <v>176</v>
      </c>
      <c r="AJ148" t="s">
        <v>177</v>
      </c>
      <c r="AK148" t="s">
        <v>178</v>
      </c>
      <c r="AL148" t="s">
        <v>179</v>
      </c>
      <c r="AM148" t="s">
        <v>180</v>
      </c>
      <c r="AN148" t="s">
        <v>181</v>
      </c>
      <c r="AO148" t="s">
        <v>182</v>
      </c>
      <c r="AP148" t="s">
        <v>183</v>
      </c>
      <c r="AQ148" t="s">
        <v>184</v>
      </c>
      <c r="AR148" t="s">
        <v>185</v>
      </c>
      <c r="AS148" t="s">
        <v>186</v>
      </c>
    </row>
    <row r="149" spans="1:45" x14ac:dyDescent="0.35">
      <c r="A149" t="s">
        <v>22</v>
      </c>
      <c r="B149" t="s">
        <v>52</v>
      </c>
      <c r="C149" t="s">
        <v>52</v>
      </c>
      <c r="D149" t="s">
        <v>52</v>
      </c>
      <c r="E149" t="s">
        <v>52</v>
      </c>
      <c r="F149" t="s">
        <v>52</v>
      </c>
      <c r="G149" t="s">
        <v>22</v>
      </c>
      <c r="H149" t="s">
        <v>22</v>
      </c>
      <c r="I149" t="s">
        <v>187</v>
      </c>
      <c r="J149" t="s">
        <v>52</v>
      </c>
      <c r="K149" t="s">
        <v>13</v>
      </c>
      <c r="L149" t="s">
        <v>52</v>
      </c>
      <c r="M149" t="s">
        <v>188</v>
      </c>
      <c r="N149" t="s">
        <v>52</v>
      </c>
      <c r="O149" t="s">
        <v>189</v>
      </c>
      <c r="P149" t="s">
        <v>52</v>
      </c>
      <c r="Q149" t="s">
        <v>52</v>
      </c>
      <c r="R149" t="s">
        <v>22</v>
      </c>
      <c r="S149" t="s">
        <v>22</v>
      </c>
      <c r="T149" t="s">
        <v>190</v>
      </c>
      <c r="U149" t="s">
        <v>52</v>
      </c>
      <c r="V149" t="s">
        <v>22</v>
      </c>
      <c r="W149" t="s">
        <v>52</v>
      </c>
      <c r="X149" t="s">
        <v>188</v>
      </c>
      <c r="Y149" t="s">
        <v>52</v>
      </c>
      <c r="Z149" t="s">
        <v>189</v>
      </c>
      <c r="AA149" t="s">
        <v>52</v>
      </c>
      <c r="AB149" t="s">
        <v>52</v>
      </c>
      <c r="AC149" t="s">
        <v>22</v>
      </c>
      <c r="AD149" t="s">
        <v>22</v>
      </c>
      <c r="AE149" t="s">
        <v>190</v>
      </c>
      <c r="AF149" t="s">
        <v>52</v>
      </c>
      <c r="AG149" t="s">
        <v>22</v>
      </c>
      <c r="AH149" t="s">
        <v>52</v>
      </c>
      <c r="AI149" t="s">
        <v>52</v>
      </c>
      <c r="AJ149" t="s">
        <v>52</v>
      </c>
      <c r="AK149" t="s">
        <v>52</v>
      </c>
      <c r="AL149" t="s">
        <v>52</v>
      </c>
      <c r="AM149" t="s">
        <v>13</v>
      </c>
      <c r="AN149" t="s">
        <v>13</v>
      </c>
      <c r="AO149" t="s">
        <v>13</v>
      </c>
      <c r="AP149" t="s">
        <v>13</v>
      </c>
      <c r="AQ149" t="s">
        <v>22</v>
      </c>
      <c r="AR149" t="s">
        <v>22</v>
      </c>
      <c r="AS149" t="s">
        <v>22</v>
      </c>
    </row>
    <row r="150" spans="1:45" x14ac:dyDescent="0.35">
      <c r="A150">
        <v>1</v>
      </c>
      <c r="B150">
        <v>0</v>
      </c>
      <c r="C150">
        <v>616556.01300000004</v>
      </c>
      <c r="D150">
        <v>3097760.4479999999</v>
      </c>
      <c r="E150">
        <v>634.298</v>
      </c>
      <c r="F150">
        <v>6.5579999999999998</v>
      </c>
      <c r="G150">
        <v>0</v>
      </c>
      <c r="H150" t="s">
        <v>192</v>
      </c>
      <c r="I150">
        <v>0</v>
      </c>
      <c r="J150">
        <v>0</v>
      </c>
      <c r="K150">
        <f>N32</f>
        <v>51</v>
      </c>
      <c r="L150">
        <f>MAX($D$16,($I$13)-E150)</f>
        <v>51797.843837663619</v>
      </c>
      <c r="M150">
        <f t="shared" ref="M150:M213" si="78">((F150)+(G150)*(L150))*(L150)</f>
        <v>339690.25988739799</v>
      </c>
      <c r="N150">
        <f t="shared" ref="N150:N213" si="79">(((F150)+(G150)*(L150))*(L150))/MAX((F150)+2*(L150)*SQRT(1+(G150)^2),0.000001)</f>
        <v>3.2787924400010842</v>
      </c>
      <c r="O150">
        <f t="shared" ref="O150:O213" si="80">ABS(K150)/MAX(((F150)+(G150)*(L150))*(L150),0.000001)</f>
        <v>1.5013677465143012E-4</v>
      </c>
      <c r="P150">
        <f t="shared" ref="P150:P213" si="81">E150+L150</f>
        <v>52432.141837663621</v>
      </c>
      <c r="Q150">
        <f t="shared" ref="Q150:Q213" si="82">P150+((ABS(K150)/MAX(((F150)+(G150)*(L150))*(L150),0.000001))^2)/(2*$I$5)</f>
        <v>52432.141837664771</v>
      </c>
      <c r="R150">
        <f t="shared" ref="R150:R213" si="83">((ABS(K150)*$D$6)/(MAX(((F150)+(G150)*(L150))*(L150),0.000001)*MAX(((((F150)+(G150)*(L150))*(L150))/MAX((F150)+2*(L150)*SQRT(1+(G150)^2),0.000001))^(2/3),0.000001)))^2</f>
        <v>1.0412094832431511E-12</v>
      </c>
      <c r="S150">
        <f t="shared" ref="S150:S213" si="84">ABS(ABS(K150)/MAX(((F150)+(G150)*(L150))*(L150),0.000001))/SQRT($I$5*MAX((((F150)+(G150)*(L150))*(L150))/MAX((F150)+2*(G150)*(L150),0.000001),0.000001))</f>
        <v>2.1061860750492724E-7</v>
      </c>
      <c r="T150">
        <f t="shared" ref="T150:T213" si="85">((F150)*(L150)^2)/2+(G150)*(L150)^3/3+(ABS(K150)^2)/($I$5*MAX(((F150)+(G150)*(L150))*(L150),0.000001))</f>
        <v>8797611517.4121857</v>
      </c>
      <c r="U150">
        <v>0</v>
      </c>
      <c r="V150">
        <v>1</v>
      </c>
      <c r="W150" t="e">
        <f t="shared" ref="W150:W213" ca="1" si="86">IF($D$20=0,W151,IF(AG151=0,W151,IF(W150=0,W151,IF(ABS(AF150)&gt;$D$19,MAX($D$16,W150+((AF150)*$D$18*IF((AD150)&lt;1,1,-1))),W150))))</f>
        <v>#VALUE!</v>
      </c>
      <c r="X150" t="e">
        <f t="shared" ref="X150:X213" ca="1" si="87">((F150)+(G150)*(W150))*(W150)</f>
        <v>#VALUE!</v>
      </c>
      <c r="Y150" t="e">
        <f t="shared" ref="Y150:Y213" ca="1" si="88">(((F150)+(G150)*(W150))*(W150))/MAX((F150)+2*(W150)*SQRT(1+(G150)^2),0.000001)</f>
        <v>#VALUE!</v>
      </c>
      <c r="Z150" t="e">
        <f t="shared" ref="Z150:Z213" ca="1" si="89">ABS(K150)/MAX(((F150)+(G150)*(W150))*(W150),0.000001)</f>
        <v>#VALUE!</v>
      </c>
      <c r="AA150" t="e">
        <f t="shared" ref="AA150:AA213" ca="1" si="90">E150+W150</f>
        <v>#VALUE!</v>
      </c>
      <c r="AB150" t="e">
        <f t="shared" ref="AB150:AB213" ca="1" si="91">AA150+((ABS(K150)/MAX(((F150)+(G150)*(W150))*(W150),0.000001))^2)/(2*$I$5)</f>
        <v>#VALUE!</v>
      </c>
      <c r="AC150" t="e">
        <f t="shared" ref="AC150:AC213" ca="1" si="92">((ABS(K150)*$D$6)/(MAX(((F150)+(G150)*(W150))*(W150),0.000001)*MAX(((((F150)+(G150)*(W150))*(W150))/MAX((F150)+2*(W150)*SQRT(1+(G150)^2),0.000001))^(2/3),0.000001)))^2</f>
        <v>#VALUE!</v>
      </c>
      <c r="AD150" t="e">
        <f t="shared" ref="AD150:AD213" ca="1" si="93">ABS(ABS(K150)/MAX(((F150)+(G150)*(W150))*(W150),0.000001))/SQRT($I$5*MAX((((F150)+(G150)*(W150))*(W150))/MAX((F150)+2*(G150)*(W150),0.000001),0.000001))</f>
        <v>#VALUE!</v>
      </c>
      <c r="AE150" t="e">
        <f t="shared" ref="AE150:AE213" ca="1" si="94">((F150)*(W150)^2)/2+(G150)*(W150)^3/3+(ABS(K150)^2)/($I$5*MAX(((F150)+(G150)*(W150))*(W150),0.000001))</f>
        <v>#VALUE!</v>
      </c>
      <c r="AF150" t="e">
        <f t="shared" ref="AF150:AF213" ca="1" si="95">AB151+(((AC150+AC151)/2)*J151)+(IF(Z150&gt;Z151,$D$8*((Z150^2-Z151^2)/(2*$I$5)),$D$9*((Z151^2-Z150^2)/(2*$I$5)))+($D$10*(ABS(I151)/90)*(MAX(Z150^2,Z151^2)/(2*$I$5))))-AB150</f>
        <v>#VALUE!</v>
      </c>
      <c r="AG150" t="e">
        <f t="shared" ref="AG150:AG213" ca="1" si="96">IF(ABS(AF150)&lt;$D$19,1,0)</f>
        <v>#VALUE!</v>
      </c>
      <c r="AH150" t="e">
        <f ca="1">IF(V32="Supercritical",L150,IF(V32="Subcritical",W150,IF(AND(V150=1,AG150=1),IF(T150&gt;=AE150,L150,W150),IF(V150=1,L150,IF(AG150=1,W150,MAX($D$16,POWER((ABS(K150)^2)/($I$5*MAX(F150,0.1)^2),1/3)))))))</f>
        <v>#VALUE!</v>
      </c>
      <c r="AI150" t="e">
        <f t="shared" ref="AI150:AI213" ca="1" si="97">E150+AH150</f>
        <v>#VALUE!</v>
      </c>
      <c r="AJ150" t="e">
        <f t="shared" ref="AJ150:AJ213" ca="1" si="98">AI150+((ABS(K150)/MAX(((F150)+(G150)*(AH150))*(AH150),0.000001))^2)/(2*$I$5)</f>
        <v>#VALUE!</v>
      </c>
      <c r="AM150">
        <v>0</v>
      </c>
      <c r="AN150">
        <v>0</v>
      </c>
      <c r="AO150">
        <f t="shared" ref="AO150:AO213" si="99">AM150+AN150</f>
        <v>0</v>
      </c>
      <c r="AP150">
        <f>AO150</f>
        <v>0</v>
      </c>
      <c r="AQ150" t="e">
        <f t="shared" ref="AQ150:AQ213" ca="1" si="100">ABS(ABS(K150)/MAX(((F150)+(G150)*(AH150))*(AH150),0.000001))/SQRT($I$5*MAX((((F150)+(G150)*(AH150))*(AH150))/MAX((F150)+2*(G150)*(AH150),0.000001),0.000001))</f>
        <v>#VALUE!</v>
      </c>
      <c r="AR150" t="e">
        <f t="shared" ref="AR150:AR213" ca="1" si="101">IF(AQ150&lt;1,"Subcritical","Supercritical")</f>
        <v>#VALUE!</v>
      </c>
      <c r="AS150" t="e">
        <f t="shared" ref="AS150:AS213" ca="1" si="102">((ABS(K150)*$D$6)/(MAX(((F150)+(G150)*(AH150))*(AH150),0.000001)*MAX(((((F150)+(G150)*(AH150))*(AH150))/MAX((F150)+2*(AH150)*SQRT(1+(G150)^2),0.000001))^(2/3),0.000001)))^2</f>
        <v>#VALUE!</v>
      </c>
    </row>
    <row r="151" spans="1:45" x14ac:dyDescent="0.35">
      <c r="A151">
        <v>2</v>
      </c>
      <c r="B151">
        <v>1</v>
      </c>
      <c r="C151">
        <v>616555.06599999999</v>
      </c>
      <c r="D151">
        <v>3097760.1269999999</v>
      </c>
      <c r="E151">
        <v>634.29600000000005</v>
      </c>
      <c r="F151">
        <v>7.1909999999999998</v>
      </c>
      <c r="G151">
        <v>0</v>
      </c>
      <c r="H151" t="s">
        <v>192</v>
      </c>
      <c r="I151">
        <v>5.3999999999999999E-2</v>
      </c>
      <c r="J151">
        <f t="shared" ref="J151:J214" si="103">B151-B150</f>
        <v>1</v>
      </c>
      <c r="K151">
        <f t="shared" ref="K151:K214" si="104">MAX(0,K150-AO150)</f>
        <v>51</v>
      </c>
      <c r="L151" t="e">
        <f t="shared" ref="L151:L214" ca="1" si="105">IF($D$20=0,L150,IF(V150=0,L150,IF(L151=0,L150,IF(ABS(U151)&gt;$D$19,MAX($D$16,L151+((U151)*$D$18*IF((S151)&lt;1,1,-1))),L151))))</f>
        <v>#VALUE!</v>
      </c>
      <c r="M151" t="e">
        <f t="shared" ca="1" si="78"/>
        <v>#VALUE!</v>
      </c>
      <c r="N151" t="e">
        <f t="shared" ca="1" si="79"/>
        <v>#VALUE!</v>
      </c>
      <c r="O151" t="e">
        <f t="shared" ca="1" si="80"/>
        <v>#VALUE!</v>
      </c>
      <c r="P151" t="e">
        <f t="shared" ca="1" si="81"/>
        <v>#VALUE!</v>
      </c>
      <c r="Q151" t="e">
        <f t="shared" ca="1" si="82"/>
        <v>#VALUE!</v>
      </c>
      <c r="R151" t="e">
        <f t="shared" ca="1" si="83"/>
        <v>#VALUE!</v>
      </c>
      <c r="S151" t="e">
        <f t="shared" ca="1" si="84"/>
        <v>#VALUE!</v>
      </c>
      <c r="T151" t="e">
        <f t="shared" ca="1" si="85"/>
        <v>#VALUE!</v>
      </c>
      <c r="U151" t="e">
        <f t="shared" ref="U151:U214" ca="1" si="106">Q150-(((R150+R151)/2)*J151)-(IF(O150&gt;O151,$D$8*((O150^2-O151^2)/(2*$I$5)),$D$9*((O151^2-O150^2)/(2*$I$5)))+($D$10*(ABS(I151)/90)*(MAX(O150^2,O151^2)/(2*$I$5))))-Q151</f>
        <v>#VALUE!</v>
      </c>
      <c r="V151" t="e">
        <f t="shared" ref="V151:V214" ca="1" si="107">IF(ABS(U151)&lt;$D$19,1,0)</f>
        <v>#VALUE!</v>
      </c>
      <c r="W151" t="e">
        <f t="shared" ca="1" si="86"/>
        <v>#VALUE!</v>
      </c>
      <c r="X151" t="e">
        <f t="shared" ca="1" si="87"/>
        <v>#VALUE!</v>
      </c>
      <c r="Y151" t="e">
        <f t="shared" ca="1" si="88"/>
        <v>#VALUE!</v>
      </c>
      <c r="Z151" t="e">
        <f t="shared" ca="1" si="89"/>
        <v>#VALUE!</v>
      </c>
      <c r="AA151" t="e">
        <f t="shared" ca="1" si="90"/>
        <v>#VALUE!</v>
      </c>
      <c r="AB151" t="e">
        <f t="shared" ca="1" si="91"/>
        <v>#VALUE!</v>
      </c>
      <c r="AC151" t="e">
        <f t="shared" ca="1" si="92"/>
        <v>#VALUE!</v>
      </c>
      <c r="AD151" t="e">
        <f t="shared" ca="1" si="93"/>
        <v>#VALUE!</v>
      </c>
      <c r="AE151" t="e">
        <f t="shared" ca="1" si="94"/>
        <v>#VALUE!</v>
      </c>
      <c r="AF151" t="e">
        <f t="shared" ca="1" si="95"/>
        <v>#VALUE!</v>
      </c>
      <c r="AG151" t="e">
        <f t="shared" ca="1" si="96"/>
        <v>#VALUE!</v>
      </c>
      <c r="AH151" t="e">
        <f ca="1">IF(V32="Supercritical",L151,IF(V32="Subcritical",W151,IF(AND(V151=1,AG151=1),IF(T151&gt;=AE151,L151,W151),IF(V151=1,L151,IF(AG151=1,W151,MAX($D$16,POWER((ABS(K151)^2)/($I$5*MAX(F151,0.1)^2),1/3)))))))</f>
        <v>#VALUE!</v>
      </c>
      <c r="AI151" t="e">
        <f t="shared" ca="1" si="97"/>
        <v>#VALUE!</v>
      </c>
      <c r="AJ151" t="e">
        <f t="shared" ca="1" si="98"/>
        <v>#VALUE!</v>
      </c>
      <c r="AM151">
        <v>0</v>
      </c>
      <c r="AN151">
        <v>0</v>
      </c>
      <c r="AO151">
        <f t="shared" si="99"/>
        <v>0</v>
      </c>
      <c r="AP151">
        <f t="shared" ref="AP151:AP214" si="108">AP150+AO151</f>
        <v>0</v>
      </c>
      <c r="AQ151" t="e">
        <f t="shared" ca="1" si="100"/>
        <v>#VALUE!</v>
      </c>
      <c r="AR151" t="e">
        <f t="shared" ca="1" si="101"/>
        <v>#VALUE!</v>
      </c>
      <c r="AS151" t="e">
        <f t="shared" ca="1" si="102"/>
        <v>#VALUE!</v>
      </c>
    </row>
    <row r="152" spans="1:45" x14ac:dyDescent="0.35">
      <c r="A152">
        <v>3</v>
      </c>
      <c r="B152">
        <v>2</v>
      </c>
      <c r="C152">
        <v>616554.11899999995</v>
      </c>
      <c r="D152">
        <v>3097759.8050000002</v>
      </c>
      <c r="E152">
        <v>634.29399999999998</v>
      </c>
      <c r="F152">
        <v>7.9269999999999996</v>
      </c>
      <c r="G152">
        <v>0</v>
      </c>
      <c r="H152" t="s">
        <v>192</v>
      </c>
      <c r="I152">
        <v>5.3999999999999999E-2</v>
      </c>
      <c r="J152">
        <f t="shared" si="103"/>
        <v>1</v>
      </c>
      <c r="K152">
        <f t="shared" si="104"/>
        <v>51</v>
      </c>
      <c r="L152" t="e">
        <f t="shared" ca="1" si="105"/>
        <v>#VALUE!</v>
      </c>
      <c r="M152" t="e">
        <f t="shared" ca="1" si="78"/>
        <v>#VALUE!</v>
      </c>
      <c r="N152" t="e">
        <f t="shared" ca="1" si="79"/>
        <v>#VALUE!</v>
      </c>
      <c r="O152" t="e">
        <f t="shared" ca="1" si="80"/>
        <v>#VALUE!</v>
      </c>
      <c r="P152" t="e">
        <f t="shared" ca="1" si="81"/>
        <v>#VALUE!</v>
      </c>
      <c r="Q152" t="e">
        <f t="shared" ca="1" si="82"/>
        <v>#VALUE!</v>
      </c>
      <c r="R152" t="e">
        <f t="shared" ca="1" si="83"/>
        <v>#VALUE!</v>
      </c>
      <c r="S152" t="e">
        <f t="shared" ca="1" si="84"/>
        <v>#VALUE!</v>
      </c>
      <c r="T152" t="e">
        <f t="shared" ca="1" si="85"/>
        <v>#VALUE!</v>
      </c>
      <c r="U152" t="e">
        <f t="shared" ca="1" si="106"/>
        <v>#VALUE!</v>
      </c>
      <c r="V152" t="e">
        <f t="shared" ca="1" si="107"/>
        <v>#VALUE!</v>
      </c>
      <c r="W152" t="e">
        <f t="shared" ca="1" si="86"/>
        <v>#VALUE!</v>
      </c>
      <c r="X152" t="e">
        <f t="shared" ca="1" si="87"/>
        <v>#VALUE!</v>
      </c>
      <c r="Y152" t="e">
        <f t="shared" ca="1" si="88"/>
        <v>#VALUE!</v>
      </c>
      <c r="Z152" t="e">
        <f t="shared" ca="1" si="89"/>
        <v>#VALUE!</v>
      </c>
      <c r="AA152" t="e">
        <f t="shared" ca="1" si="90"/>
        <v>#VALUE!</v>
      </c>
      <c r="AB152" t="e">
        <f t="shared" ca="1" si="91"/>
        <v>#VALUE!</v>
      </c>
      <c r="AC152" t="e">
        <f t="shared" ca="1" si="92"/>
        <v>#VALUE!</v>
      </c>
      <c r="AD152" t="e">
        <f t="shared" ca="1" si="93"/>
        <v>#VALUE!</v>
      </c>
      <c r="AE152" t="e">
        <f t="shared" ca="1" si="94"/>
        <v>#VALUE!</v>
      </c>
      <c r="AF152" t="e">
        <f t="shared" ca="1" si="95"/>
        <v>#VALUE!</v>
      </c>
      <c r="AG152" t="e">
        <f t="shared" ca="1" si="96"/>
        <v>#VALUE!</v>
      </c>
      <c r="AH152" t="e">
        <f ca="1">IF(V32="Supercritical",L152,IF(V32="Subcritical",W152,IF(AND(V152=1,AG152=1),IF(T152&gt;=AE152,L152,W152),IF(V152=1,L152,IF(AG152=1,W152,MAX($D$16,POWER((ABS(K152)^2)/($I$5*MAX(F152,0.1)^2),1/3)))))))</f>
        <v>#VALUE!</v>
      </c>
      <c r="AI152" t="e">
        <f t="shared" ca="1" si="97"/>
        <v>#VALUE!</v>
      </c>
      <c r="AJ152" t="e">
        <f t="shared" ca="1" si="98"/>
        <v>#VALUE!</v>
      </c>
      <c r="AM152">
        <v>0</v>
      </c>
      <c r="AN152">
        <v>0</v>
      </c>
      <c r="AO152">
        <f t="shared" si="99"/>
        <v>0</v>
      </c>
      <c r="AP152">
        <f t="shared" si="108"/>
        <v>0</v>
      </c>
      <c r="AQ152" t="e">
        <f t="shared" ca="1" si="100"/>
        <v>#VALUE!</v>
      </c>
      <c r="AR152" t="e">
        <f t="shared" ca="1" si="101"/>
        <v>#VALUE!</v>
      </c>
      <c r="AS152" t="e">
        <f t="shared" ca="1" si="102"/>
        <v>#VALUE!</v>
      </c>
    </row>
    <row r="153" spans="1:45" x14ac:dyDescent="0.35">
      <c r="A153">
        <v>4</v>
      </c>
      <c r="B153">
        <v>3</v>
      </c>
      <c r="C153">
        <v>616553.17200000002</v>
      </c>
      <c r="D153">
        <v>3097759.4840000002</v>
      </c>
      <c r="E153">
        <v>634.29200000000003</v>
      </c>
      <c r="F153">
        <v>8.6639999999999997</v>
      </c>
      <c r="G153">
        <v>0</v>
      </c>
      <c r="H153" t="s">
        <v>192</v>
      </c>
      <c r="I153">
        <v>0</v>
      </c>
      <c r="J153">
        <f t="shared" si="103"/>
        <v>1</v>
      </c>
      <c r="K153">
        <f t="shared" si="104"/>
        <v>51</v>
      </c>
      <c r="L153" t="e">
        <f t="shared" ca="1" si="105"/>
        <v>#VALUE!</v>
      </c>
      <c r="M153" t="e">
        <f t="shared" ca="1" si="78"/>
        <v>#VALUE!</v>
      </c>
      <c r="N153" t="e">
        <f t="shared" ca="1" si="79"/>
        <v>#VALUE!</v>
      </c>
      <c r="O153" t="e">
        <f t="shared" ca="1" si="80"/>
        <v>#VALUE!</v>
      </c>
      <c r="P153" t="e">
        <f t="shared" ca="1" si="81"/>
        <v>#VALUE!</v>
      </c>
      <c r="Q153" t="e">
        <f t="shared" ca="1" si="82"/>
        <v>#VALUE!</v>
      </c>
      <c r="R153" t="e">
        <f t="shared" ca="1" si="83"/>
        <v>#VALUE!</v>
      </c>
      <c r="S153" t="e">
        <f t="shared" ca="1" si="84"/>
        <v>#VALUE!</v>
      </c>
      <c r="T153" t="e">
        <f t="shared" ca="1" si="85"/>
        <v>#VALUE!</v>
      </c>
      <c r="U153" t="e">
        <f t="shared" ca="1" si="106"/>
        <v>#VALUE!</v>
      </c>
      <c r="V153" t="e">
        <f t="shared" ca="1" si="107"/>
        <v>#VALUE!</v>
      </c>
      <c r="W153" t="e">
        <f t="shared" ca="1" si="86"/>
        <v>#VALUE!</v>
      </c>
      <c r="X153" t="e">
        <f t="shared" ca="1" si="87"/>
        <v>#VALUE!</v>
      </c>
      <c r="Y153" t="e">
        <f t="shared" ca="1" si="88"/>
        <v>#VALUE!</v>
      </c>
      <c r="Z153" t="e">
        <f t="shared" ca="1" si="89"/>
        <v>#VALUE!</v>
      </c>
      <c r="AA153" t="e">
        <f t="shared" ca="1" si="90"/>
        <v>#VALUE!</v>
      </c>
      <c r="AB153" t="e">
        <f t="shared" ca="1" si="91"/>
        <v>#VALUE!</v>
      </c>
      <c r="AC153" t="e">
        <f t="shared" ca="1" si="92"/>
        <v>#VALUE!</v>
      </c>
      <c r="AD153" t="e">
        <f t="shared" ca="1" si="93"/>
        <v>#VALUE!</v>
      </c>
      <c r="AE153" t="e">
        <f t="shared" ca="1" si="94"/>
        <v>#VALUE!</v>
      </c>
      <c r="AF153" t="e">
        <f t="shared" ca="1" si="95"/>
        <v>#VALUE!</v>
      </c>
      <c r="AG153" t="e">
        <f t="shared" ca="1" si="96"/>
        <v>#VALUE!</v>
      </c>
      <c r="AH153" t="e">
        <f ca="1">IF(V32="Supercritical",L153,IF(V32="Subcritical",W153,IF(AND(V153=1,AG153=1),IF(T153&gt;=AE153,L153,W153),IF(V153=1,L153,IF(AG153=1,W153,MAX($D$16,POWER((ABS(K153)^2)/($I$5*MAX(F153,0.1)^2),1/3)))))))</f>
        <v>#VALUE!</v>
      </c>
      <c r="AI153" t="e">
        <f t="shared" ca="1" si="97"/>
        <v>#VALUE!</v>
      </c>
      <c r="AJ153" t="e">
        <f t="shared" ca="1" si="98"/>
        <v>#VALUE!</v>
      </c>
      <c r="AM153">
        <v>0</v>
      </c>
      <c r="AN153">
        <v>0</v>
      </c>
      <c r="AO153">
        <f t="shared" si="99"/>
        <v>0</v>
      </c>
      <c r="AP153">
        <f t="shared" si="108"/>
        <v>0</v>
      </c>
      <c r="AQ153" t="e">
        <f t="shared" ca="1" si="100"/>
        <v>#VALUE!</v>
      </c>
      <c r="AR153" t="e">
        <f t="shared" ca="1" si="101"/>
        <v>#VALUE!</v>
      </c>
      <c r="AS153" t="e">
        <f t="shared" ca="1" si="102"/>
        <v>#VALUE!</v>
      </c>
    </row>
    <row r="154" spans="1:45" x14ac:dyDescent="0.35">
      <c r="A154">
        <v>5</v>
      </c>
      <c r="B154">
        <v>4</v>
      </c>
      <c r="C154">
        <v>616552.22499999998</v>
      </c>
      <c r="D154">
        <v>3097759.1630000002</v>
      </c>
      <c r="E154">
        <v>634.29</v>
      </c>
      <c r="F154">
        <v>9.4009999999999998</v>
      </c>
      <c r="G154">
        <v>0</v>
      </c>
      <c r="H154" t="s">
        <v>192</v>
      </c>
      <c r="I154">
        <v>0</v>
      </c>
      <c r="J154">
        <f t="shared" si="103"/>
        <v>1</v>
      </c>
      <c r="K154">
        <f t="shared" si="104"/>
        <v>51</v>
      </c>
      <c r="L154" t="e">
        <f t="shared" ca="1" si="105"/>
        <v>#VALUE!</v>
      </c>
      <c r="M154" t="e">
        <f t="shared" ca="1" si="78"/>
        <v>#VALUE!</v>
      </c>
      <c r="N154" t="e">
        <f t="shared" ca="1" si="79"/>
        <v>#VALUE!</v>
      </c>
      <c r="O154" t="e">
        <f t="shared" ca="1" si="80"/>
        <v>#VALUE!</v>
      </c>
      <c r="P154" t="e">
        <f t="shared" ca="1" si="81"/>
        <v>#VALUE!</v>
      </c>
      <c r="Q154" t="e">
        <f t="shared" ca="1" si="82"/>
        <v>#VALUE!</v>
      </c>
      <c r="R154" t="e">
        <f t="shared" ca="1" si="83"/>
        <v>#VALUE!</v>
      </c>
      <c r="S154" t="e">
        <f t="shared" ca="1" si="84"/>
        <v>#VALUE!</v>
      </c>
      <c r="T154" t="e">
        <f t="shared" ca="1" si="85"/>
        <v>#VALUE!</v>
      </c>
      <c r="U154" t="e">
        <f t="shared" ca="1" si="106"/>
        <v>#VALUE!</v>
      </c>
      <c r="V154" t="e">
        <f t="shared" ca="1" si="107"/>
        <v>#VALUE!</v>
      </c>
      <c r="W154" t="e">
        <f t="shared" ca="1" si="86"/>
        <v>#VALUE!</v>
      </c>
      <c r="X154" t="e">
        <f t="shared" ca="1" si="87"/>
        <v>#VALUE!</v>
      </c>
      <c r="Y154" t="e">
        <f t="shared" ca="1" si="88"/>
        <v>#VALUE!</v>
      </c>
      <c r="Z154" t="e">
        <f t="shared" ca="1" si="89"/>
        <v>#VALUE!</v>
      </c>
      <c r="AA154" t="e">
        <f t="shared" ca="1" si="90"/>
        <v>#VALUE!</v>
      </c>
      <c r="AB154" t="e">
        <f t="shared" ca="1" si="91"/>
        <v>#VALUE!</v>
      </c>
      <c r="AC154" t="e">
        <f t="shared" ca="1" si="92"/>
        <v>#VALUE!</v>
      </c>
      <c r="AD154" t="e">
        <f t="shared" ca="1" si="93"/>
        <v>#VALUE!</v>
      </c>
      <c r="AE154" t="e">
        <f t="shared" ca="1" si="94"/>
        <v>#VALUE!</v>
      </c>
      <c r="AF154" t="e">
        <f t="shared" ca="1" si="95"/>
        <v>#VALUE!</v>
      </c>
      <c r="AG154" t="e">
        <f t="shared" ca="1" si="96"/>
        <v>#VALUE!</v>
      </c>
      <c r="AH154" t="e">
        <f ca="1">IF(V32="Supercritical",L154,IF(V32="Subcritical",W154,IF(AND(V154=1,AG154=1),IF(T154&gt;=AE154,L154,W154),IF(V154=1,L154,IF(AG154=1,W154,MAX($D$16,POWER((ABS(K154)^2)/($I$5*MAX(F154,0.1)^2),1/3)))))))</f>
        <v>#VALUE!</v>
      </c>
      <c r="AI154" t="e">
        <f t="shared" ca="1" si="97"/>
        <v>#VALUE!</v>
      </c>
      <c r="AJ154" t="e">
        <f t="shared" ca="1" si="98"/>
        <v>#VALUE!</v>
      </c>
      <c r="AM154">
        <v>0</v>
      </c>
      <c r="AN154">
        <v>0</v>
      </c>
      <c r="AO154">
        <f t="shared" si="99"/>
        <v>0</v>
      </c>
      <c r="AP154">
        <f t="shared" si="108"/>
        <v>0</v>
      </c>
      <c r="AQ154" t="e">
        <f t="shared" ca="1" si="100"/>
        <v>#VALUE!</v>
      </c>
      <c r="AR154" t="e">
        <f t="shared" ca="1" si="101"/>
        <v>#VALUE!</v>
      </c>
      <c r="AS154" t="e">
        <f t="shared" ca="1" si="102"/>
        <v>#VALUE!</v>
      </c>
    </row>
    <row r="155" spans="1:45" x14ac:dyDescent="0.35">
      <c r="A155">
        <v>6</v>
      </c>
      <c r="B155">
        <v>5</v>
      </c>
      <c r="C155">
        <v>616551.27800000005</v>
      </c>
      <c r="D155">
        <v>3097758.8420000002</v>
      </c>
      <c r="E155">
        <v>634.28800000000001</v>
      </c>
      <c r="F155">
        <v>10.138</v>
      </c>
      <c r="G155">
        <v>0</v>
      </c>
      <c r="H155" t="s">
        <v>192</v>
      </c>
      <c r="I155">
        <v>0</v>
      </c>
      <c r="J155">
        <f t="shared" si="103"/>
        <v>1</v>
      </c>
      <c r="K155">
        <f t="shared" si="104"/>
        <v>51</v>
      </c>
      <c r="L155" t="e">
        <f t="shared" ca="1" si="105"/>
        <v>#VALUE!</v>
      </c>
      <c r="M155" t="e">
        <f t="shared" ca="1" si="78"/>
        <v>#VALUE!</v>
      </c>
      <c r="N155" t="e">
        <f t="shared" ca="1" si="79"/>
        <v>#VALUE!</v>
      </c>
      <c r="O155" t="e">
        <f t="shared" ca="1" si="80"/>
        <v>#VALUE!</v>
      </c>
      <c r="P155" t="e">
        <f t="shared" ca="1" si="81"/>
        <v>#VALUE!</v>
      </c>
      <c r="Q155" t="e">
        <f t="shared" ca="1" si="82"/>
        <v>#VALUE!</v>
      </c>
      <c r="R155" t="e">
        <f t="shared" ca="1" si="83"/>
        <v>#VALUE!</v>
      </c>
      <c r="S155" t="e">
        <f t="shared" ca="1" si="84"/>
        <v>#VALUE!</v>
      </c>
      <c r="T155" t="e">
        <f t="shared" ca="1" si="85"/>
        <v>#VALUE!</v>
      </c>
      <c r="U155" t="e">
        <f t="shared" ca="1" si="106"/>
        <v>#VALUE!</v>
      </c>
      <c r="V155" t="e">
        <f t="shared" ca="1" si="107"/>
        <v>#VALUE!</v>
      </c>
      <c r="W155" t="e">
        <f t="shared" ca="1" si="86"/>
        <v>#VALUE!</v>
      </c>
      <c r="X155" t="e">
        <f t="shared" ca="1" si="87"/>
        <v>#VALUE!</v>
      </c>
      <c r="Y155" t="e">
        <f t="shared" ca="1" si="88"/>
        <v>#VALUE!</v>
      </c>
      <c r="Z155" t="e">
        <f t="shared" ca="1" si="89"/>
        <v>#VALUE!</v>
      </c>
      <c r="AA155" t="e">
        <f t="shared" ca="1" si="90"/>
        <v>#VALUE!</v>
      </c>
      <c r="AB155" t="e">
        <f t="shared" ca="1" si="91"/>
        <v>#VALUE!</v>
      </c>
      <c r="AC155" t="e">
        <f t="shared" ca="1" si="92"/>
        <v>#VALUE!</v>
      </c>
      <c r="AD155" t="e">
        <f t="shared" ca="1" si="93"/>
        <v>#VALUE!</v>
      </c>
      <c r="AE155" t="e">
        <f t="shared" ca="1" si="94"/>
        <v>#VALUE!</v>
      </c>
      <c r="AF155" t="e">
        <f t="shared" ca="1" si="95"/>
        <v>#VALUE!</v>
      </c>
      <c r="AG155" t="e">
        <f t="shared" ca="1" si="96"/>
        <v>#VALUE!</v>
      </c>
      <c r="AH155" t="e">
        <f ca="1">IF(V32="Supercritical",L155,IF(V32="Subcritical",W155,IF(AND(V155=1,AG155=1),IF(T155&gt;=AE155,L155,W155),IF(V155=1,L155,IF(AG155=1,W155,MAX($D$16,POWER((ABS(K155)^2)/($I$5*MAX(F155,0.1)^2),1/3)))))))</f>
        <v>#VALUE!</v>
      </c>
      <c r="AI155" t="e">
        <f t="shared" ca="1" si="97"/>
        <v>#VALUE!</v>
      </c>
      <c r="AJ155" t="e">
        <f t="shared" ca="1" si="98"/>
        <v>#VALUE!</v>
      </c>
      <c r="AM155">
        <v>0</v>
      </c>
      <c r="AN155">
        <v>0</v>
      </c>
      <c r="AO155">
        <f t="shared" si="99"/>
        <v>0</v>
      </c>
      <c r="AP155">
        <f t="shared" si="108"/>
        <v>0</v>
      </c>
      <c r="AQ155" t="e">
        <f t="shared" ca="1" si="100"/>
        <v>#VALUE!</v>
      </c>
      <c r="AR155" t="e">
        <f t="shared" ca="1" si="101"/>
        <v>#VALUE!</v>
      </c>
      <c r="AS155" t="e">
        <f t="shared" ca="1" si="102"/>
        <v>#VALUE!</v>
      </c>
    </row>
    <row r="156" spans="1:45" x14ac:dyDescent="0.35">
      <c r="A156">
        <v>7</v>
      </c>
      <c r="B156">
        <v>6</v>
      </c>
      <c r="C156">
        <v>616550.33100000001</v>
      </c>
      <c r="D156">
        <v>3097758.5210000002</v>
      </c>
      <c r="E156">
        <v>634.28599999999994</v>
      </c>
      <c r="F156">
        <v>10.874000000000001</v>
      </c>
      <c r="G156">
        <v>0</v>
      </c>
      <c r="H156" t="s">
        <v>192</v>
      </c>
      <c r="I156">
        <v>5.3999999999999999E-2</v>
      </c>
      <c r="J156">
        <f t="shared" si="103"/>
        <v>1</v>
      </c>
      <c r="K156">
        <f t="shared" si="104"/>
        <v>51</v>
      </c>
      <c r="L156" t="e">
        <f t="shared" ca="1" si="105"/>
        <v>#VALUE!</v>
      </c>
      <c r="M156" t="e">
        <f t="shared" ca="1" si="78"/>
        <v>#VALUE!</v>
      </c>
      <c r="N156" t="e">
        <f t="shared" ca="1" si="79"/>
        <v>#VALUE!</v>
      </c>
      <c r="O156" t="e">
        <f t="shared" ca="1" si="80"/>
        <v>#VALUE!</v>
      </c>
      <c r="P156" t="e">
        <f t="shared" ca="1" si="81"/>
        <v>#VALUE!</v>
      </c>
      <c r="Q156" t="e">
        <f t="shared" ca="1" si="82"/>
        <v>#VALUE!</v>
      </c>
      <c r="R156" t="e">
        <f t="shared" ca="1" si="83"/>
        <v>#VALUE!</v>
      </c>
      <c r="S156" t="e">
        <f t="shared" ca="1" si="84"/>
        <v>#VALUE!</v>
      </c>
      <c r="T156" t="e">
        <f t="shared" ca="1" si="85"/>
        <v>#VALUE!</v>
      </c>
      <c r="U156" t="e">
        <f t="shared" ca="1" si="106"/>
        <v>#VALUE!</v>
      </c>
      <c r="V156" t="e">
        <f t="shared" ca="1" si="107"/>
        <v>#VALUE!</v>
      </c>
      <c r="W156" t="e">
        <f t="shared" ca="1" si="86"/>
        <v>#VALUE!</v>
      </c>
      <c r="X156" t="e">
        <f t="shared" ca="1" si="87"/>
        <v>#VALUE!</v>
      </c>
      <c r="Y156" t="e">
        <f t="shared" ca="1" si="88"/>
        <v>#VALUE!</v>
      </c>
      <c r="Z156" t="e">
        <f t="shared" ca="1" si="89"/>
        <v>#VALUE!</v>
      </c>
      <c r="AA156" t="e">
        <f t="shared" ca="1" si="90"/>
        <v>#VALUE!</v>
      </c>
      <c r="AB156" t="e">
        <f t="shared" ca="1" si="91"/>
        <v>#VALUE!</v>
      </c>
      <c r="AC156" t="e">
        <f t="shared" ca="1" si="92"/>
        <v>#VALUE!</v>
      </c>
      <c r="AD156" t="e">
        <f t="shared" ca="1" si="93"/>
        <v>#VALUE!</v>
      </c>
      <c r="AE156" t="e">
        <f t="shared" ca="1" si="94"/>
        <v>#VALUE!</v>
      </c>
      <c r="AF156" t="e">
        <f t="shared" ca="1" si="95"/>
        <v>#VALUE!</v>
      </c>
      <c r="AG156" t="e">
        <f t="shared" ca="1" si="96"/>
        <v>#VALUE!</v>
      </c>
      <c r="AH156" t="e">
        <f ca="1">IF(V32="Supercritical",L156,IF(V32="Subcritical",W156,IF(AND(V156=1,AG156=1),IF(T156&gt;=AE156,L156,W156),IF(V156=1,L156,IF(AG156=1,W156,MAX($D$16,POWER((ABS(K156)^2)/($I$5*MAX(F156,0.1)^2),1/3)))))))</f>
        <v>#VALUE!</v>
      </c>
      <c r="AI156" t="e">
        <f t="shared" ca="1" si="97"/>
        <v>#VALUE!</v>
      </c>
      <c r="AJ156" t="e">
        <f t="shared" ca="1" si="98"/>
        <v>#VALUE!</v>
      </c>
      <c r="AM156">
        <v>0</v>
      </c>
      <c r="AN156">
        <v>0</v>
      </c>
      <c r="AO156">
        <f t="shared" si="99"/>
        <v>0</v>
      </c>
      <c r="AP156">
        <f t="shared" si="108"/>
        <v>0</v>
      </c>
      <c r="AQ156" t="e">
        <f t="shared" ca="1" si="100"/>
        <v>#VALUE!</v>
      </c>
      <c r="AR156" t="e">
        <f t="shared" ca="1" si="101"/>
        <v>#VALUE!</v>
      </c>
      <c r="AS156" t="e">
        <f t="shared" ca="1" si="102"/>
        <v>#VALUE!</v>
      </c>
    </row>
    <row r="157" spans="1:45" x14ac:dyDescent="0.35">
      <c r="A157">
        <v>8</v>
      </c>
      <c r="B157">
        <v>7</v>
      </c>
      <c r="C157">
        <v>616549.38399999996</v>
      </c>
      <c r="D157">
        <v>3097758.199</v>
      </c>
      <c r="E157">
        <v>634.28399999999999</v>
      </c>
      <c r="F157">
        <v>11.611000000000001</v>
      </c>
      <c r="G157">
        <v>0</v>
      </c>
      <c r="H157" t="s">
        <v>192</v>
      </c>
      <c r="I157">
        <v>5.3999999999999999E-2</v>
      </c>
      <c r="J157">
        <f t="shared" si="103"/>
        <v>1</v>
      </c>
      <c r="K157">
        <f t="shared" si="104"/>
        <v>51</v>
      </c>
      <c r="L157" t="e">
        <f t="shared" ca="1" si="105"/>
        <v>#VALUE!</v>
      </c>
      <c r="M157" t="e">
        <f t="shared" ca="1" si="78"/>
        <v>#VALUE!</v>
      </c>
      <c r="N157" t="e">
        <f t="shared" ca="1" si="79"/>
        <v>#VALUE!</v>
      </c>
      <c r="O157" t="e">
        <f t="shared" ca="1" si="80"/>
        <v>#VALUE!</v>
      </c>
      <c r="P157" t="e">
        <f t="shared" ca="1" si="81"/>
        <v>#VALUE!</v>
      </c>
      <c r="Q157" t="e">
        <f t="shared" ca="1" si="82"/>
        <v>#VALUE!</v>
      </c>
      <c r="R157" t="e">
        <f t="shared" ca="1" si="83"/>
        <v>#VALUE!</v>
      </c>
      <c r="S157" t="e">
        <f t="shared" ca="1" si="84"/>
        <v>#VALUE!</v>
      </c>
      <c r="T157" t="e">
        <f t="shared" ca="1" si="85"/>
        <v>#VALUE!</v>
      </c>
      <c r="U157" t="e">
        <f t="shared" ca="1" si="106"/>
        <v>#VALUE!</v>
      </c>
      <c r="V157" t="e">
        <f t="shared" ca="1" si="107"/>
        <v>#VALUE!</v>
      </c>
      <c r="W157" t="e">
        <f t="shared" ca="1" si="86"/>
        <v>#VALUE!</v>
      </c>
      <c r="X157" t="e">
        <f t="shared" ca="1" si="87"/>
        <v>#VALUE!</v>
      </c>
      <c r="Y157" t="e">
        <f t="shared" ca="1" si="88"/>
        <v>#VALUE!</v>
      </c>
      <c r="Z157" t="e">
        <f t="shared" ca="1" si="89"/>
        <v>#VALUE!</v>
      </c>
      <c r="AA157" t="e">
        <f t="shared" ca="1" si="90"/>
        <v>#VALUE!</v>
      </c>
      <c r="AB157" t="e">
        <f t="shared" ca="1" si="91"/>
        <v>#VALUE!</v>
      </c>
      <c r="AC157" t="e">
        <f t="shared" ca="1" si="92"/>
        <v>#VALUE!</v>
      </c>
      <c r="AD157" t="e">
        <f t="shared" ca="1" si="93"/>
        <v>#VALUE!</v>
      </c>
      <c r="AE157" t="e">
        <f t="shared" ca="1" si="94"/>
        <v>#VALUE!</v>
      </c>
      <c r="AF157" t="e">
        <f t="shared" ca="1" si="95"/>
        <v>#VALUE!</v>
      </c>
      <c r="AG157" t="e">
        <f t="shared" ca="1" si="96"/>
        <v>#VALUE!</v>
      </c>
      <c r="AH157" t="e">
        <f ca="1">IF(V32="Supercritical",L157,IF(V32="Subcritical",W157,IF(AND(V157=1,AG157=1),IF(T157&gt;=AE157,L157,W157),IF(V157=1,L157,IF(AG157=1,W157,MAX($D$16,POWER((ABS(K157)^2)/($I$5*MAX(F157,0.1)^2),1/3)))))))</f>
        <v>#VALUE!</v>
      </c>
      <c r="AI157" t="e">
        <f t="shared" ca="1" si="97"/>
        <v>#VALUE!</v>
      </c>
      <c r="AJ157" t="e">
        <f t="shared" ca="1" si="98"/>
        <v>#VALUE!</v>
      </c>
      <c r="AM157">
        <v>0</v>
      </c>
      <c r="AN157">
        <v>0</v>
      </c>
      <c r="AO157">
        <f t="shared" si="99"/>
        <v>0</v>
      </c>
      <c r="AP157">
        <f t="shared" si="108"/>
        <v>0</v>
      </c>
      <c r="AQ157" t="e">
        <f t="shared" ca="1" si="100"/>
        <v>#VALUE!</v>
      </c>
      <c r="AR157" t="e">
        <f t="shared" ca="1" si="101"/>
        <v>#VALUE!</v>
      </c>
      <c r="AS157" t="e">
        <f t="shared" ca="1" si="102"/>
        <v>#VALUE!</v>
      </c>
    </row>
    <row r="158" spans="1:45" x14ac:dyDescent="0.35">
      <c r="A158">
        <v>9</v>
      </c>
      <c r="B158">
        <v>8</v>
      </c>
      <c r="C158">
        <v>616548.43700000003</v>
      </c>
      <c r="D158">
        <v>3097757.878</v>
      </c>
      <c r="E158">
        <v>634.28200000000004</v>
      </c>
      <c r="F158">
        <v>12.348000000000001</v>
      </c>
      <c r="G158">
        <v>0</v>
      </c>
      <c r="H158" t="s">
        <v>192</v>
      </c>
      <c r="I158">
        <v>0</v>
      </c>
      <c r="J158">
        <f t="shared" si="103"/>
        <v>1</v>
      </c>
      <c r="K158">
        <f t="shared" si="104"/>
        <v>51</v>
      </c>
      <c r="L158" t="e">
        <f t="shared" ca="1" si="105"/>
        <v>#VALUE!</v>
      </c>
      <c r="M158" t="e">
        <f t="shared" ca="1" si="78"/>
        <v>#VALUE!</v>
      </c>
      <c r="N158" t="e">
        <f t="shared" ca="1" si="79"/>
        <v>#VALUE!</v>
      </c>
      <c r="O158" t="e">
        <f t="shared" ca="1" si="80"/>
        <v>#VALUE!</v>
      </c>
      <c r="P158" t="e">
        <f t="shared" ca="1" si="81"/>
        <v>#VALUE!</v>
      </c>
      <c r="Q158" t="e">
        <f t="shared" ca="1" si="82"/>
        <v>#VALUE!</v>
      </c>
      <c r="R158" t="e">
        <f t="shared" ca="1" si="83"/>
        <v>#VALUE!</v>
      </c>
      <c r="S158" t="e">
        <f t="shared" ca="1" si="84"/>
        <v>#VALUE!</v>
      </c>
      <c r="T158" t="e">
        <f t="shared" ca="1" si="85"/>
        <v>#VALUE!</v>
      </c>
      <c r="U158" t="e">
        <f t="shared" ca="1" si="106"/>
        <v>#VALUE!</v>
      </c>
      <c r="V158" t="e">
        <f t="shared" ca="1" si="107"/>
        <v>#VALUE!</v>
      </c>
      <c r="W158" t="e">
        <f t="shared" ca="1" si="86"/>
        <v>#VALUE!</v>
      </c>
      <c r="X158" t="e">
        <f t="shared" ca="1" si="87"/>
        <v>#VALUE!</v>
      </c>
      <c r="Y158" t="e">
        <f t="shared" ca="1" si="88"/>
        <v>#VALUE!</v>
      </c>
      <c r="Z158" t="e">
        <f t="shared" ca="1" si="89"/>
        <v>#VALUE!</v>
      </c>
      <c r="AA158" t="e">
        <f t="shared" ca="1" si="90"/>
        <v>#VALUE!</v>
      </c>
      <c r="AB158" t="e">
        <f t="shared" ca="1" si="91"/>
        <v>#VALUE!</v>
      </c>
      <c r="AC158" t="e">
        <f t="shared" ca="1" si="92"/>
        <v>#VALUE!</v>
      </c>
      <c r="AD158" t="e">
        <f t="shared" ca="1" si="93"/>
        <v>#VALUE!</v>
      </c>
      <c r="AE158" t="e">
        <f t="shared" ca="1" si="94"/>
        <v>#VALUE!</v>
      </c>
      <c r="AF158" t="e">
        <f t="shared" ca="1" si="95"/>
        <v>#VALUE!</v>
      </c>
      <c r="AG158" t="e">
        <f t="shared" ca="1" si="96"/>
        <v>#VALUE!</v>
      </c>
      <c r="AH158" t="e">
        <f ca="1">IF(V32="Supercritical",L158,IF(V32="Subcritical",W158,IF(AND(V158=1,AG158=1),IF(T158&gt;=AE158,L158,W158),IF(V158=1,L158,IF(AG158=1,W158,MAX($D$16,POWER((ABS(K158)^2)/($I$5*MAX(F158,0.1)^2),1/3)))))))</f>
        <v>#VALUE!</v>
      </c>
      <c r="AI158" t="e">
        <f t="shared" ca="1" si="97"/>
        <v>#VALUE!</v>
      </c>
      <c r="AJ158" t="e">
        <f t="shared" ca="1" si="98"/>
        <v>#VALUE!</v>
      </c>
      <c r="AM158">
        <v>0</v>
      </c>
      <c r="AN158">
        <v>0</v>
      </c>
      <c r="AO158">
        <f t="shared" si="99"/>
        <v>0</v>
      </c>
      <c r="AP158">
        <f t="shared" si="108"/>
        <v>0</v>
      </c>
      <c r="AQ158" t="e">
        <f t="shared" ca="1" si="100"/>
        <v>#VALUE!</v>
      </c>
      <c r="AR158" t="e">
        <f t="shared" ca="1" si="101"/>
        <v>#VALUE!</v>
      </c>
      <c r="AS158" t="e">
        <f t="shared" ca="1" si="102"/>
        <v>#VALUE!</v>
      </c>
    </row>
    <row r="159" spans="1:45" x14ac:dyDescent="0.35">
      <c r="A159">
        <v>10</v>
      </c>
      <c r="B159">
        <v>9</v>
      </c>
      <c r="C159">
        <v>616547.49</v>
      </c>
      <c r="D159">
        <v>3097757.557</v>
      </c>
      <c r="E159">
        <v>634.28</v>
      </c>
      <c r="F159">
        <v>6.2240000000000002</v>
      </c>
      <c r="G159">
        <v>0</v>
      </c>
      <c r="H159" t="s">
        <v>191</v>
      </c>
      <c r="I159">
        <v>0</v>
      </c>
      <c r="J159">
        <f t="shared" si="103"/>
        <v>1</v>
      </c>
      <c r="K159">
        <f t="shared" si="104"/>
        <v>51</v>
      </c>
      <c r="L159" t="e">
        <f t="shared" ca="1" si="105"/>
        <v>#VALUE!</v>
      </c>
      <c r="M159" t="e">
        <f t="shared" ca="1" si="78"/>
        <v>#VALUE!</v>
      </c>
      <c r="N159" t="e">
        <f t="shared" ca="1" si="79"/>
        <v>#VALUE!</v>
      </c>
      <c r="O159" t="e">
        <f t="shared" ca="1" si="80"/>
        <v>#VALUE!</v>
      </c>
      <c r="P159" t="e">
        <f t="shared" ca="1" si="81"/>
        <v>#VALUE!</v>
      </c>
      <c r="Q159" t="e">
        <f t="shared" ca="1" si="82"/>
        <v>#VALUE!</v>
      </c>
      <c r="R159" t="e">
        <f t="shared" ca="1" si="83"/>
        <v>#VALUE!</v>
      </c>
      <c r="S159" t="e">
        <f t="shared" ca="1" si="84"/>
        <v>#VALUE!</v>
      </c>
      <c r="T159" t="e">
        <f t="shared" ca="1" si="85"/>
        <v>#VALUE!</v>
      </c>
      <c r="U159" t="e">
        <f t="shared" ca="1" si="106"/>
        <v>#VALUE!</v>
      </c>
      <c r="V159" t="e">
        <f t="shared" ca="1" si="107"/>
        <v>#VALUE!</v>
      </c>
      <c r="W159" t="e">
        <f t="shared" ca="1" si="86"/>
        <v>#VALUE!</v>
      </c>
      <c r="X159" t="e">
        <f t="shared" ca="1" si="87"/>
        <v>#VALUE!</v>
      </c>
      <c r="Y159" t="e">
        <f t="shared" ca="1" si="88"/>
        <v>#VALUE!</v>
      </c>
      <c r="Z159" t="e">
        <f t="shared" ca="1" si="89"/>
        <v>#VALUE!</v>
      </c>
      <c r="AA159" t="e">
        <f t="shared" ca="1" si="90"/>
        <v>#VALUE!</v>
      </c>
      <c r="AB159" t="e">
        <f t="shared" ca="1" si="91"/>
        <v>#VALUE!</v>
      </c>
      <c r="AC159" t="e">
        <f t="shared" ca="1" si="92"/>
        <v>#VALUE!</v>
      </c>
      <c r="AD159" t="e">
        <f t="shared" ca="1" si="93"/>
        <v>#VALUE!</v>
      </c>
      <c r="AE159" t="e">
        <f t="shared" ca="1" si="94"/>
        <v>#VALUE!</v>
      </c>
      <c r="AF159" t="e">
        <f t="shared" ca="1" si="95"/>
        <v>#VALUE!</v>
      </c>
      <c r="AG159" t="e">
        <f t="shared" ca="1" si="96"/>
        <v>#VALUE!</v>
      </c>
      <c r="AH159" t="e">
        <f ca="1">IF(V32="Supercritical",L159,IF(V32="Subcritical",W159,IF(AND(V159=1,AG159=1),IF(T159&gt;=AE159,L159,W159),IF(V159=1,L159,IF(AG159=1,W159,MAX($D$16,POWER((ABS(K159)^2)/($I$5*MAX(F159,0.1)^2),1/3)))))))</f>
        <v>#VALUE!</v>
      </c>
      <c r="AI159" t="e">
        <f t="shared" ca="1" si="97"/>
        <v>#VALUE!</v>
      </c>
      <c r="AJ159" t="e">
        <f t="shared" ca="1" si="98"/>
        <v>#VALUE!</v>
      </c>
      <c r="AM159">
        <v>0</v>
      </c>
      <c r="AN159">
        <v>0</v>
      </c>
      <c r="AO159">
        <f t="shared" si="99"/>
        <v>0</v>
      </c>
      <c r="AP159">
        <f t="shared" si="108"/>
        <v>0</v>
      </c>
      <c r="AQ159" t="e">
        <f t="shared" ca="1" si="100"/>
        <v>#VALUE!</v>
      </c>
      <c r="AR159" t="e">
        <f t="shared" ca="1" si="101"/>
        <v>#VALUE!</v>
      </c>
      <c r="AS159" t="e">
        <f t="shared" ca="1" si="102"/>
        <v>#VALUE!</v>
      </c>
    </row>
    <row r="160" spans="1:45" x14ac:dyDescent="0.35">
      <c r="A160">
        <v>11</v>
      </c>
      <c r="B160">
        <v>10</v>
      </c>
      <c r="C160">
        <v>616546.54299999995</v>
      </c>
      <c r="D160">
        <v>3097757.236</v>
      </c>
      <c r="E160">
        <v>634.27800000000002</v>
      </c>
      <c r="F160">
        <v>6.2240000000000002</v>
      </c>
      <c r="G160">
        <v>0</v>
      </c>
      <c r="H160" t="s">
        <v>191</v>
      </c>
      <c r="I160">
        <v>5.3999999999999999E-2</v>
      </c>
      <c r="J160">
        <f t="shared" si="103"/>
        <v>1</v>
      </c>
      <c r="K160">
        <f t="shared" si="104"/>
        <v>51</v>
      </c>
      <c r="L160" t="e">
        <f t="shared" ca="1" si="105"/>
        <v>#VALUE!</v>
      </c>
      <c r="M160" t="e">
        <f t="shared" ca="1" si="78"/>
        <v>#VALUE!</v>
      </c>
      <c r="N160" t="e">
        <f t="shared" ca="1" si="79"/>
        <v>#VALUE!</v>
      </c>
      <c r="O160" t="e">
        <f t="shared" ca="1" si="80"/>
        <v>#VALUE!</v>
      </c>
      <c r="P160" t="e">
        <f t="shared" ca="1" si="81"/>
        <v>#VALUE!</v>
      </c>
      <c r="Q160" t="e">
        <f t="shared" ca="1" si="82"/>
        <v>#VALUE!</v>
      </c>
      <c r="R160" t="e">
        <f t="shared" ca="1" si="83"/>
        <v>#VALUE!</v>
      </c>
      <c r="S160" t="e">
        <f t="shared" ca="1" si="84"/>
        <v>#VALUE!</v>
      </c>
      <c r="T160" t="e">
        <f t="shared" ca="1" si="85"/>
        <v>#VALUE!</v>
      </c>
      <c r="U160" t="e">
        <f t="shared" ca="1" si="106"/>
        <v>#VALUE!</v>
      </c>
      <c r="V160" t="e">
        <f t="shared" ca="1" si="107"/>
        <v>#VALUE!</v>
      </c>
      <c r="W160" t="e">
        <f t="shared" ca="1" si="86"/>
        <v>#VALUE!</v>
      </c>
      <c r="X160" t="e">
        <f t="shared" ca="1" si="87"/>
        <v>#VALUE!</v>
      </c>
      <c r="Y160" t="e">
        <f t="shared" ca="1" si="88"/>
        <v>#VALUE!</v>
      </c>
      <c r="Z160" t="e">
        <f t="shared" ca="1" si="89"/>
        <v>#VALUE!</v>
      </c>
      <c r="AA160" t="e">
        <f t="shared" ca="1" si="90"/>
        <v>#VALUE!</v>
      </c>
      <c r="AB160" t="e">
        <f t="shared" ca="1" si="91"/>
        <v>#VALUE!</v>
      </c>
      <c r="AC160" t="e">
        <f t="shared" ca="1" si="92"/>
        <v>#VALUE!</v>
      </c>
      <c r="AD160" t="e">
        <f t="shared" ca="1" si="93"/>
        <v>#VALUE!</v>
      </c>
      <c r="AE160" t="e">
        <f t="shared" ca="1" si="94"/>
        <v>#VALUE!</v>
      </c>
      <c r="AF160" t="e">
        <f t="shared" ca="1" si="95"/>
        <v>#VALUE!</v>
      </c>
      <c r="AG160" t="e">
        <f t="shared" ca="1" si="96"/>
        <v>#VALUE!</v>
      </c>
      <c r="AH160" t="e">
        <f ca="1">IF(V32="Supercritical",L160,IF(V32="Subcritical",W160,IF(AND(V160=1,AG160=1),IF(T160&gt;=AE160,L160,W160),IF(V160=1,L160,IF(AG160=1,W160,MAX($D$16,POWER((ABS(K160)^2)/($I$5*MAX(F160,0.1)^2),1/3)))))))</f>
        <v>#VALUE!</v>
      </c>
      <c r="AI160" t="e">
        <f t="shared" ca="1" si="97"/>
        <v>#VALUE!</v>
      </c>
      <c r="AJ160" t="e">
        <f t="shared" ca="1" si="98"/>
        <v>#VALUE!</v>
      </c>
      <c r="AM160">
        <v>0</v>
      </c>
      <c r="AN160">
        <v>0</v>
      </c>
      <c r="AO160">
        <f t="shared" si="99"/>
        <v>0</v>
      </c>
      <c r="AP160">
        <f t="shared" si="108"/>
        <v>0</v>
      </c>
      <c r="AQ160" t="e">
        <f t="shared" ca="1" si="100"/>
        <v>#VALUE!</v>
      </c>
      <c r="AR160" t="e">
        <f t="shared" ca="1" si="101"/>
        <v>#VALUE!</v>
      </c>
      <c r="AS160" t="e">
        <f t="shared" ca="1" si="102"/>
        <v>#VALUE!</v>
      </c>
    </row>
    <row r="161" spans="1:45" x14ac:dyDescent="0.35">
      <c r="A161">
        <v>12</v>
      </c>
      <c r="B161">
        <v>11</v>
      </c>
      <c r="C161">
        <v>616545.59600000002</v>
      </c>
      <c r="D161">
        <v>3097756.9139999999</v>
      </c>
      <c r="E161">
        <v>634.27599999999995</v>
      </c>
      <c r="F161">
        <v>6</v>
      </c>
      <c r="G161">
        <v>0</v>
      </c>
      <c r="H161" t="s">
        <v>191</v>
      </c>
      <c r="I161">
        <v>5.3999999999999999E-2</v>
      </c>
      <c r="J161">
        <f t="shared" si="103"/>
        <v>1</v>
      </c>
      <c r="K161">
        <f t="shared" si="104"/>
        <v>51</v>
      </c>
      <c r="L161" t="e">
        <f t="shared" ca="1" si="105"/>
        <v>#VALUE!</v>
      </c>
      <c r="M161" t="e">
        <f t="shared" ca="1" si="78"/>
        <v>#VALUE!</v>
      </c>
      <c r="N161" t="e">
        <f t="shared" ca="1" si="79"/>
        <v>#VALUE!</v>
      </c>
      <c r="O161" t="e">
        <f t="shared" ca="1" si="80"/>
        <v>#VALUE!</v>
      </c>
      <c r="P161" t="e">
        <f t="shared" ca="1" si="81"/>
        <v>#VALUE!</v>
      </c>
      <c r="Q161" t="e">
        <f t="shared" ca="1" si="82"/>
        <v>#VALUE!</v>
      </c>
      <c r="R161" t="e">
        <f t="shared" ca="1" si="83"/>
        <v>#VALUE!</v>
      </c>
      <c r="S161" t="e">
        <f t="shared" ca="1" si="84"/>
        <v>#VALUE!</v>
      </c>
      <c r="T161" t="e">
        <f t="shared" ca="1" si="85"/>
        <v>#VALUE!</v>
      </c>
      <c r="U161" t="e">
        <f t="shared" ca="1" si="106"/>
        <v>#VALUE!</v>
      </c>
      <c r="V161" t="e">
        <f t="shared" ca="1" si="107"/>
        <v>#VALUE!</v>
      </c>
      <c r="W161" t="e">
        <f t="shared" ca="1" si="86"/>
        <v>#VALUE!</v>
      </c>
      <c r="X161" t="e">
        <f t="shared" ca="1" si="87"/>
        <v>#VALUE!</v>
      </c>
      <c r="Y161" t="e">
        <f t="shared" ca="1" si="88"/>
        <v>#VALUE!</v>
      </c>
      <c r="Z161" t="e">
        <f t="shared" ca="1" si="89"/>
        <v>#VALUE!</v>
      </c>
      <c r="AA161" t="e">
        <f t="shared" ca="1" si="90"/>
        <v>#VALUE!</v>
      </c>
      <c r="AB161" t="e">
        <f t="shared" ca="1" si="91"/>
        <v>#VALUE!</v>
      </c>
      <c r="AC161" t="e">
        <f t="shared" ca="1" si="92"/>
        <v>#VALUE!</v>
      </c>
      <c r="AD161" t="e">
        <f t="shared" ca="1" si="93"/>
        <v>#VALUE!</v>
      </c>
      <c r="AE161" t="e">
        <f t="shared" ca="1" si="94"/>
        <v>#VALUE!</v>
      </c>
      <c r="AF161" t="e">
        <f t="shared" ca="1" si="95"/>
        <v>#VALUE!</v>
      </c>
      <c r="AG161" t="e">
        <f t="shared" ca="1" si="96"/>
        <v>#VALUE!</v>
      </c>
      <c r="AH161" t="e">
        <f ca="1">IF(V32="Supercritical",L161,IF(V32="Subcritical",W161,IF(AND(V161=1,AG161=1),IF(T161&gt;=AE161,L161,W161),IF(V161=1,L161,IF(AG161=1,W161,MAX($D$16,POWER((ABS(K161)^2)/($I$5*MAX(F161,0.1)^2),1/3)))))))</f>
        <v>#VALUE!</v>
      </c>
      <c r="AI161" t="e">
        <f t="shared" ca="1" si="97"/>
        <v>#VALUE!</v>
      </c>
      <c r="AJ161" t="e">
        <f t="shared" ca="1" si="98"/>
        <v>#VALUE!</v>
      </c>
      <c r="AM161">
        <v>0</v>
      </c>
      <c r="AN161">
        <v>0</v>
      </c>
      <c r="AO161">
        <f t="shared" si="99"/>
        <v>0</v>
      </c>
      <c r="AP161">
        <f t="shared" si="108"/>
        <v>0</v>
      </c>
      <c r="AQ161" t="e">
        <f t="shared" ca="1" si="100"/>
        <v>#VALUE!</v>
      </c>
      <c r="AR161" t="e">
        <f t="shared" ca="1" si="101"/>
        <v>#VALUE!</v>
      </c>
      <c r="AS161" t="e">
        <f t="shared" ca="1" si="102"/>
        <v>#VALUE!</v>
      </c>
    </row>
    <row r="162" spans="1:45" x14ac:dyDescent="0.35">
      <c r="A162">
        <v>13</v>
      </c>
      <c r="B162">
        <v>12</v>
      </c>
      <c r="C162">
        <v>616544.64899999998</v>
      </c>
      <c r="D162">
        <v>3097756.5929999999</v>
      </c>
      <c r="E162">
        <v>634.274</v>
      </c>
      <c r="F162">
        <v>6</v>
      </c>
      <c r="G162">
        <v>0</v>
      </c>
      <c r="H162" t="s">
        <v>191</v>
      </c>
      <c r="I162">
        <v>0</v>
      </c>
      <c r="J162">
        <f t="shared" si="103"/>
        <v>1</v>
      </c>
      <c r="K162">
        <f t="shared" si="104"/>
        <v>51</v>
      </c>
      <c r="L162" t="e">
        <f t="shared" ca="1" si="105"/>
        <v>#VALUE!</v>
      </c>
      <c r="M162" t="e">
        <f t="shared" ca="1" si="78"/>
        <v>#VALUE!</v>
      </c>
      <c r="N162" t="e">
        <f t="shared" ca="1" si="79"/>
        <v>#VALUE!</v>
      </c>
      <c r="O162" t="e">
        <f t="shared" ca="1" si="80"/>
        <v>#VALUE!</v>
      </c>
      <c r="P162" t="e">
        <f t="shared" ca="1" si="81"/>
        <v>#VALUE!</v>
      </c>
      <c r="Q162" t="e">
        <f t="shared" ca="1" si="82"/>
        <v>#VALUE!</v>
      </c>
      <c r="R162" t="e">
        <f t="shared" ca="1" si="83"/>
        <v>#VALUE!</v>
      </c>
      <c r="S162" t="e">
        <f t="shared" ca="1" si="84"/>
        <v>#VALUE!</v>
      </c>
      <c r="T162" t="e">
        <f t="shared" ca="1" si="85"/>
        <v>#VALUE!</v>
      </c>
      <c r="U162" t="e">
        <f t="shared" ca="1" si="106"/>
        <v>#VALUE!</v>
      </c>
      <c r="V162" t="e">
        <f t="shared" ca="1" si="107"/>
        <v>#VALUE!</v>
      </c>
      <c r="W162" t="e">
        <f t="shared" ca="1" si="86"/>
        <v>#VALUE!</v>
      </c>
      <c r="X162" t="e">
        <f t="shared" ca="1" si="87"/>
        <v>#VALUE!</v>
      </c>
      <c r="Y162" t="e">
        <f t="shared" ca="1" si="88"/>
        <v>#VALUE!</v>
      </c>
      <c r="Z162" t="e">
        <f t="shared" ca="1" si="89"/>
        <v>#VALUE!</v>
      </c>
      <c r="AA162" t="e">
        <f t="shared" ca="1" si="90"/>
        <v>#VALUE!</v>
      </c>
      <c r="AB162" t="e">
        <f t="shared" ca="1" si="91"/>
        <v>#VALUE!</v>
      </c>
      <c r="AC162" t="e">
        <f t="shared" ca="1" si="92"/>
        <v>#VALUE!</v>
      </c>
      <c r="AD162" t="e">
        <f t="shared" ca="1" si="93"/>
        <v>#VALUE!</v>
      </c>
      <c r="AE162" t="e">
        <f t="shared" ca="1" si="94"/>
        <v>#VALUE!</v>
      </c>
      <c r="AF162" t="e">
        <f t="shared" ca="1" si="95"/>
        <v>#VALUE!</v>
      </c>
      <c r="AG162" t="e">
        <f t="shared" ca="1" si="96"/>
        <v>#VALUE!</v>
      </c>
      <c r="AH162" t="e">
        <f ca="1">IF(V32="Supercritical",L162,IF(V32="Subcritical",W162,IF(AND(V162=1,AG162=1),IF(T162&gt;=AE162,L162,W162),IF(V162=1,L162,IF(AG162=1,W162,MAX($D$16,POWER((ABS(K162)^2)/($I$5*MAX(F162,0.1)^2),1/3)))))))</f>
        <v>#VALUE!</v>
      </c>
      <c r="AI162" t="e">
        <f t="shared" ca="1" si="97"/>
        <v>#VALUE!</v>
      </c>
      <c r="AJ162" t="e">
        <f t="shared" ca="1" si="98"/>
        <v>#VALUE!</v>
      </c>
      <c r="AM162">
        <v>0</v>
      </c>
      <c r="AN162">
        <v>0</v>
      </c>
      <c r="AO162">
        <f t="shared" si="99"/>
        <v>0</v>
      </c>
      <c r="AP162">
        <f t="shared" si="108"/>
        <v>0</v>
      </c>
      <c r="AQ162" t="e">
        <f t="shared" ca="1" si="100"/>
        <v>#VALUE!</v>
      </c>
      <c r="AR162" t="e">
        <f t="shared" ca="1" si="101"/>
        <v>#VALUE!</v>
      </c>
      <c r="AS162" t="e">
        <f t="shared" ca="1" si="102"/>
        <v>#VALUE!</v>
      </c>
    </row>
    <row r="163" spans="1:45" x14ac:dyDescent="0.35">
      <c r="A163">
        <v>14</v>
      </c>
      <c r="B163">
        <v>13</v>
      </c>
      <c r="C163">
        <v>616543.70200000005</v>
      </c>
      <c r="D163">
        <v>3097756.2719999999</v>
      </c>
      <c r="E163">
        <v>634.27200000000005</v>
      </c>
      <c r="F163">
        <v>6</v>
      </c>
      <c r="G163">
        <v>0</v>
      </c>
      <c r="H163" t="s">
        <v>191</v>
      </c>
      <c r="I163">
        <v>0</v>
      </c>
      <c r="J163">
        <f t="shared" si="103"/>
        <v>1</v>
      </c>
      <c r="K163">
        <f t="shared" si="104"/>
        <v>51</v>
      </c>
      <c r="L163" t="e">
        <f t="shared" ca="1" si="105"/>
        <v>#VALUE!</v>
      </c>
      <c r="M163" t="e">
        <f t="shared" ca="1" si="78"/>
        <v>#VALUE!</v>
      </c>
      <c r="N163" t="e">
        <f t="shared" ca="1" si="79"/>
        <v>#VALUE!</v>
      </c>
      <c r="O163" t="e">
        <f t="shared" ca="1" si="80"/>
        <v>#VALUE!</v>
      </c>
      <c r="P163" t="e">
        <f t="shared" ca="1" si="81"/>
        <v>#VALUE!</v>
      </c>
      <c r="Q163" t="e">
        <f t="shared" ca="1" si="82"/>
        <v>#VALUE!</v>
      </c>
      <c r="R163" t="e">
        <f t="shared" ca="1" si="83"/>
        <v>#VALUE!</v>
      </c>
      <c r="S163" t="e">
        <f t="shared" ca="1" si="84"/>
        <v>#VALUE!</v>
      </c>
      <c r="T163" t="e">
        <f t="shared" ca="1" si="85"/>
        <v>#VALUE!</v>
      </c>
      <c r="U163" t="e">
        <f t="shared" ca="1" si="106"/>
        <v>#VALUE!</v>
      </c>
      <c r="V163" t="e">
        <f t="shared" ca="1" si="107"/>
        <v>#VALUE!</v>
      </c>
      <c r="W163" t="e">
        <f t="shared" ca="1" si="86"/>
        <v>#VALUE!</v>
      </c>
      <c r="X163" t="e">
        <f t="shared" ca="1" si="87"/>
        <v>#VALUE!</v>
      </c>
      <c r="Y163" t="e">
        <f t="shared" ca="1" si="88"/>
        <v>#VALUE!</v>
      </c>
      <c r="Z163" t="e">
        <f t="shared" ca="1" si="89"/>
        <v>#VALUE!</v>
      </c>
      <c r="AA163" t="e">
        <f t="shared" ca="1" si="90"/>
        <v>#VALUE!</v>
      </c>
      <c r="AB163" t="e">
        <f t="shared" ca="1" si="91"/>
        <v>#VALUE!</v>
      </c>
      <c r="AC163" t="e">
        <f t="shared" ca="1" si="92"/>
        <v>#VALUE!</v>
      </c>
      <c r="AD163" t="e">
        <f t="shared" ca="1" si="93"/>
        <v>#VALUE!</v>
      </c>
      <c r="AE163" t="e">
        <f t="shared" ca="1" si="94"/>
        <v>#VALUE!</v>
      </c>
      <c r="AF163" t="e">
        <f t="shared" ca="1" si="95"/>
        <v>#VALUE!</v>
      </c>
      <c r="AG163" t="e">
        <f t="shared" ca="1" si="96"/>
        <v>#VALUE!</v>
      </c>
      <c r="AH163" t="e">
        <f ca="1">IF(V32="Supercritical",L163,IF(V32="Subcritical",W163,IF(AND(V163=1,AG163=1),IF(T163&gt;=AE163,L163,W163),IF(V163=1,L163,IF(AG163=1,W163,MAX($D$16,POWER((ABS(K163)^2)/($I$5*MAX(F163,0.1)^2),1/3)))))))</f>
        <v>#VALUE!</v>
      </c>
      <c r="AI163" t="e">
        <f t="shared" ca="1" si="97"/>
        <v>#VALUE!</v>
      </c>
      <c r="AJ163" t="e">
        <f t="shared" ca="1" si="98"/>
        <v>#VALUE!</v>
      </c>
      <c r="AM163">
        <v>0</v>
      </c>
      <c r="AN163">
        <v>0</v>
      </c>
      <c r="AO163">
        <f t="shared" si="99"/>
        <v>0</v>
      </c>
      <c r="AP163">
        <f t="shared" si="108"/>
        <v>0</v>
      </c>
      <c r="AQ163" t="e">
        <f t="shared" ca="1" si="100"/>
        <v>#VALUE!</v>
      </c>
      <c r="AR163" t="e">
        <f t="shared" ca="1" si="101"/>
        <v>#VALUE!</v>
      </c>
      <c r="AS163" t="e">
        <f t="shared" ca="1" si="102"/>
        <v>#VALUE!</v>
      </c>
    </row>
    <row r="164" spans="1:45" x14ac:dyDescent="0.35">
      <c r="A164">
        <v>15</v>
      </c>
      <c r="B164">
        <v>14</v>
      </c>
      <c r="C164">
        <v>616542.755</v>
      </c>
      <c r="D164">
        <v>3097755.9509999999</v>
      </c>
      <c r="E164">
        <v>634.27</v>
      </c>
      <c r="F164">
        <v>6</v>
      </c>
      <c r="G164">
        <v>0</v>
      </c>
      <c r="H164" t="s">
        <v>191</v>
      </c>
      <c r="I164">
        <v>0</v>
      </c>
      <c r="J164">
        <f t="shared" si="103"/>
        <v>1</v>
      </c>
      <c r="K164">
        <f t="shared" si="104"/>
        <v>51</v>
      </c>
      <c r="L164" t="e">
        <f t="shared" ca="1" si="105"/>
        <v>#VALUE!</v>
      </c>
      <c r="M164" t="e">
        <f t="shared" ca="1" si="78"/>
        <v>#VALUE!</v>
      </c>
      <c r="N164" t="e">
        <f t="shared" ca="1" si="79"/>
        <v>#VALUE!</v>
      </c>
      <c r="O164" t="e">
        <f t="shared" ca="1" si="80"/>
        <v>#VALUE!</v>
      </c>
      <c r="P164" t="e">
        <f t="shared" ca="1" si="81"/>
        <v>#VALUE!</v>
      </c>
      <c r="Q164" t="e">
        <f t="shared" ca="1" si="82"/>
        <v>#VALUE!</v>
      </c>
      <c r="R164" t="e">
        <f t="shared" ca="1" si="83"/>
        <v>#VALUE!</v>
      </c>
      <c r="S164" t="e">
        <f t="shared" ca="1" si="84"/>
        <v>#VALUE!</v>
      </c>
      <c r="T164" t="e">
        <f t="shared" ca="1" si="85"/>
        <v>#VALUE!</v>
      </c>
      <c r="U164" t="e">
        <f t="shared" ca="1" si="106"/>
        <v>#VALUE!</v>
      </c>
      <c r="V164" t="e">
        <f t="shared" ca="1" si="107"/>
        <v>#VALUE!</v>
      </c>
      <c r="W164" t="e">
        <f t="shared" ca="1" si="86"/>
        <v>#VALUE!</v>
      </c>
      <c r="X164" t="e">
        <f t="shared" ca="1" si="87"/>
        <v>#VALUE!</v>
      </c>
      <c r="Y164" t="e">
        <f t="shared" ca="1" si="88"/>
        <v>#VALUE!</v>
      </c>
      <c r="Z164" t="e">
        <f t="shared" ca="1" si="89"/>
        <v>#VALUE!</v>
      </c>
      <c r="AA164" t="e">
        <f t="shared" ca="1" si="90"/>
        <v>#VALUE!</v>
      </c>
      <c r="AB164" t="e">
        <f t="shared" ca="1" si="91"/>
        <v>#VALUE!</v>
      </c>
      <c r="AC164" t="e">
        <f t="shared" ca="1" si="92"/>
        <v>#VALUE!</v>
      </c>
      <c r="AD164" t="e">
        <f t="shared" ca="1" si="93"/>
        <v>#VALUE!</v>
      </c>
      <c r="AE164" t="e">
        <f t="shared" ca="1" si="94"/>
        <v>#VALUE!</v>
      </c>
      <c r="AF164" t="e">
        <f t="shared" ca="1" si="95"/>
        <v>#VALUE!</v>
      </c>
      <c r="AG164" t="e">
        <f t="shared" ca="1" si="96"/>
        <v>#VALUE!</v>
      </c>
      <c r="AH164" t="e">
        <f ca="1">IF(V32="Supercritical",L164,IF(V32="Subcritical",W164,IF(AND(V164=1,AG164=1),IF(T164&gt;=AE164,L164,W164),IF(V164=1,L164,IF(AG164=1,W164,MAX($D$16,POWER((ABS(K164)^2)/($I$5*MAX(F164,0.1)^2),1/3)))))))</f>
        <v>#VALUE!</v>
      </c>
      <c r="AI164" t="e">
        <f t="shared" ca="1" si="97"/>
        <v>#VALUE!</v>
      </c>
      <c r="AJ164" t="e">
        <f t="shared" ca="1" si="98"/>
        <v>#VALUE!</v>
      </c>
      <c r="AM164">
        <v>0</v>
      </c>
      <c r="AN164">
        <v>0</v>
      </c>
      <c r="AO164">
        <f t="shared" si="99"/>
        <v>0</v>
      </c>
      <c r="AP164">
        <f t="shared" si="108"/>
        <v>0</v>
      </c>
      <c r="AQ164" t="e">
        <f t="shared" ca="1" si="100"/>
        <v>#VALUE!</v>
      </c>
      <c r="AR164" t="e">
        <f t="shared" ca="1" si="101"/>
        <v>#VALUE!</v>
      </c>
      <c r="AS164" t="e">
        <f t="shared" ca="1" si="102"/>
        <v>#VALUE!</v>
      </c>
    </row>
    <row r="165" spans="1:45" x14ac:dyDescent="0.35">
      <c r="A165">
        <v>16</v>
      </c>
      <c r="B165">
        <v>15</v>
      </c>
      <c r="C165">
        <v>616541.80799999996</v>
      </c>
      <c r="D165">
        <v>3097755.63</v>
      </c>
      <c r="E165">
        <v>634.26800000000003</v>
      </c>
      <c r="F165">
        <v>6</v>
      </c>
      <c r="G165">
        <v>0</v>
      </c>
      <c r="H165" t="s">
        <v>191</v>
      </c>
      <c r="I165">
        <v>5.3999999999999999E-2</v>
      </c>
      <c r="J165">
        <f t="shared" si="103"/>
        <v>1</v>
      </c>
      <c r="K165">
        <f t="shared" si="104"/>
        <v>51</v>
      </c>
      <c r="L165" t="e">
        <f t="shared" ca="1" si="105"/>
        <v>#VALUE!</v>
      </c>
      <c r="M165" t="e">
        <f t="shared" ca="1" si="78"/>
        <v>#VALUE!</v>
      </c>
      <c r="N165" t="e">
        <f t="shared" ca="1" si="79"/>
        <v>#VALUE!</v>
      </c>
      <c r="O165" t="e">
        <f t="shared" ca="1" si="80"/>
        <v>#VALUE!</v>
      </c>
      <c r="P165" t="e">
        <f t="shared" ca="1" si="81"/>
        <v>#VALUE!</v>
      </c>
      <c r="Q165" t="e">
        <f t="shared" ca="1" si="82"/>
        <v>#VALUE!</v>
      </c>
      <c r="R165" t="e">
        <f t="shared" ca="1" si="83"/>
        <v>#VALUE!</v>
      </c>
      <c r="S165" t="e">
        <f t="shared" ca="1" si="84"/>
        <v>#VALUE!</v>
      </c>
      <c r="T165" t="e">
        <f t="shared" ca="1" si="85"/>
        <v>#VALUE!</v>
      </c>
      <c r="U165" t="e">
        <f t="shared" ca="1" si="106"/>
        <v>#VALUE!</v>
      </c>
      <c r="V165" t="e">
        <f t="shared" ca="1" si="107"/>
        <v>#VALUE!</v>
      </c>
      <c r="W165" t="e">
        <f t="shared" ca="1" si="86"/>
        <v>#VALUE!</v>
      </c>
      <c r="X165" t="e">
        <f t="shared" ca="1" si="87"/>
        <v>#VALUE!</v>
      </c>
      <c r="Y165" t="e">
        <f t="shared" ca="1" si="88"/>
        <v>#VALUE!</v>
      </c>
      <c r="Z165" t="e">
        <f t="shared" ca="1" si="89"/>
        <v>#VALUE!</v>
      </c>
      <c r="AA165" t="e">
        <f t="shared" ca="1" si="90"/>
        <v>#VALUE!</v>
      </c>
      <c r="AB165" t="e">
        <f t="shared" ca="1" si="91"/>
        <v>#VALUE!</v>
      </c>
      <c r="AC165" t="e">
        <f t="shared" ca="1" si="92"/>
        <v>#VALUE!</v>
      </c>
      <c r="AD165" t="e">
        <f t="shared" ca="1" si="93"/>
        <v>#VALUE!</v>
      </c>
      <c r="AE165" t="e">
        <f t="shared" ca="1" si="94"/>
        <v>#VALUE!</v>
      </c>
      <c r="AF165" t="e">
        <f t="shared" ca="1" si="95"/>
        <v>#VALUE!</v>
      </c>
      <c r="AG165" t="e">
        <f t="shared" ca="1" si="96"/>
        <v>#VALUE!</v>
      </c>
      <c r="AH165" t="e">
        <f ca="1">IF(V32="Supercritical",L165,IF(V32="Subcritical",W165,IF(AND(V165=1,AG165=1),IF(T165&gt;=AE165,L165,W165),IF(V165=1,L165,IF(AG165=1,W165,MAX($D$16,POWER((ABS(K165)^2)/($I$5*MAX(F165,0.1)^2),1/3)))))))</f>
        <v>#VALUE!</v>
      </c>
      <c r="AI165" t="e">
        <f t="shared" ca="1" si="97"/>
        <v>#VALUE!</v>
      </c>
      <c r="AJ165" t="e">
        <f t="shared" ca="1" si="98"/>
        <v>#VALUE!</v>
      </c>
      <c r="AM165">
        <v>0</v>
      </c>
      <c r="AN165">
        <v>0</v>
      </c>
      <c r="AO165">
        <f t="shared" si="99"/>
        <v>0</v>
      </c>
      <c r="AP165">
        <f t="shared" si="108"/>
        <v>0</v>
      </c>
      <c r="AQ165" t="e">
        <f t="shared" ca="1" si="100"/>
        <v>#VALUE!</v>
      </c>
      <c r="AR165" t="e">
        <f t="shared" ca="1" si="101"/>
        <v>#VALUE!</v>
      </c>
      <c r="AS165" t="e">
        <f t="shared" ca="1" si="102"/>
        <v>#VALUE!</v>
      </c>
    </row>
    <row r="166" spans="1:45" x14ac:dyDescent="0.35">
      <c r="A166">
        <v>17</v>
      </c>
      <c r="B166">
        <v>16</v>
      </c>
      <c r="C166">
        <v>616540.86100000003</v>
      </c>
      <c r="D166">
        <v>3097755.3080000002</v>
      </c>
      <c r="E166">
        <v>634.26599999999996</v>
      </c>
      <c r="F166">
        <v>6</v>
      </c>
      <c r="G166">
        <v>0</v>
      </c>
      <c r="H166" t="s">
        <v>191</v>
      </c>
      <c r="I166">
        <v>5.3999999999999999E-2</v>
      </c>
      <c r="J166">
        <f t="shared" si="103"/>
        <v>1</v>
      </c>
      <c r="K166">
        <f t="shared" si="104"/>
        <v>51</v>
      </c>
      <c r="L166" t="e">
        <f t="shared" ca="1" si="105"/>
        <v>#VALUE!</v>
      </c>
      <c r="M166" t="e">
        <f t="shared" ca="1" si="78"/>
        <v>#VALUE!</v>
      </c>
      <c r="N166" t="e">
        <f t="shared" ca="1" si="79"/>
        <v>#VALUE!</v>
      </c>
      <c r="O166" t="e">
        <f t="shared" ca="1" si="80"/>
        <v>#VALUE!</v>
      </c>
      <c r="P166" t="e">
        <f t="shared" ca="1" si="81"/>
        <v>#VALUE!</v>
      </c>
      <c r="Q166" t="e">
        <f t="shared" ca="1" si="82"/>
        <v>#VALUE!</v>
      </c>
      <c r="R166" t="e">
        <f t="shared" ca="1" si="83"/>
        <v>#VALUE!</v>
      </c>
      <c r="S166" t="e">
        <f t="shared" ca="1" si="84"/>
        <v>#VALUE!</v>
      </c>
      <c r="T166" t="e">
        <f t="shared" ca="1" si="85"/>
        <v>#VALUE!</v>
      </c>
      <c r="U166" t="e">
        <f t="shared" ca="1" si="106"/>
        <v>#VALUE!</v>
      </c>
      <c r="V166" t="e">
        <f t="shared" ca="1" si="107"/>
        <v>#VALUE!</v>
      </c>
      <c r="W166" t="e">
        <f t="shared" ca="1" si="86"/>
        <v>#VALUE!</v>
      </c>
      <c r="X166" t="e">
        <f t="shared" ca="1" si="87"/>
        <v>#VALUE!</v>
      </c>
      <c r="Y166" t="e">
        <f t="shared" ca="1" si="88"/>
        <v>#VALUE!</v>
      </c>
      <c r="Z166" t="e">
        <f t="shared" ca="1" si="89"/>
        <v>#VALUE!</v>
      </c>
      <c r="AA166" t="e">
        <f t="shared" ca="1" si="90"/>
        <v>#VALUE!</v>
      </c>
      <c r="AB166" t="e">
        <f t="shared" ca="1" si="91"/>
        <v>#VALUE!</v>
      </c>
      <c r="AC166" t="e">
        <f t="shared" ca="1" si="92"/>
        <v>#VALUE!</v>
      </c>
      <c r="AD166" t="e">
        <f t="shared" ca="1" si="93"/>
        <v>#VALUE!</v>
      </c>
      <c r="AE166" t="e">
        <f t="shared" ca="1" si="94"/>
        <v>#VALUE!</v>
      </c>
      <c r="AF166" t="e">
        <f t="shared" ca="1" si="95"/>
        <v>#VALUE!</v>
      </c>
      <c r="AG166" t="e">
        <f t="shared" ca="1" si="96"/>
        <v>#VALUE!</v>
      </c>
      <c r="AH166" t="e">
        <f ca="1">IF(V32="Supercritical",L166,IF(V32="Subcritical",W166,IF(AND(V166=1,AG166=1),IF(T166&gt;=AE166,L166,W166),IF(V166=1,L166,IF(AG166=1,W166,MAX($D$16,POWER((ABS(K166)^2)/($I$5*MAX(F166,0.1)^2),1/3)))))))</f>
        <v>#VALUE!</v>
      </c>
      <c r="AI166" t="e">
        <f t="shared" ca="1" si="97"/>
        <v>#VALUE!</v>
      </c>
      <c r="AJ166" t="e">
        <f t="shared" ca="1" si="98"/>
        <v>#VALUE!</v>
      </c>
      <c r="AM166">
        <v>0</v>
      </c>
      <c r="AN166">
        <v>0</v>
      </c>
      <c r="AO166">
        <f t="shared" si="99"/>
        <v>0</v>
      </c>
      <c r="AP166">
        <f t="shared" si="108"/>
        <v>0</v>
      </c>
      <c r="AQ166" t="e">
        <f t="shared" ca="1" si="100"/>
        <v>#VALUE!</v>
      </c>
      <c r="AR166" t="e">
        <f t="shared" ca="1" si="101"/>
        <v>#VALUE!</v>
      </c>
      <c r="AS166" t="e">
        <f t="shared" ca="1" si="102"/>
        <v>#VALUE!</v>
      </c>
    </row>
    <row r="167" spans="1:45" x14ac:dyDescent="0.35">
      <c r="A167">
        <v>18</v>
      </c>
      <c r="B167">
        <v>17</v>
      </c>
      <c r="C167">
        <v>616539.91399999999</v>
      </c>
      <c r="D167">
        <v>3097754.9870000002</v>
      </c>
      <c r="E167">
        <v>634.26400000000001</v>
      </c>
      <c r="F167">
        <v>6</v>
      </c>
      <c r="G167">
        <v>0</v>
      </c>
      <c r="H167" t="s">
        <v>191</v>
      </c>
      <c r="I167">
        <v>0</v>
      </c>
      <c r="J167">
        <f t="shared" si="103"/>
        <v>1</v>
      </c>
      <c r="K167">
        <f t="shared" si="104"/>
        <v>51</v>
      </c>
      <c r="L167" t="e">
        <f t="shared" ca="1" si="105"/>
        <v>#VALUE!</v>
      </c>
      <c r="M167" t="e">
        <f t="shared" ca="1" si="78"/>
        <v>#VALUE!</v>
      </c>
      <c r="N167" t="e">
        <f t="shared" ca="1" si="79"/>
        <v>#VALUE!</v>
      </c>
      <c r="O167" t="e">
        <f t="shared" ca="1" si="80"/>
        <v>#VALUE!</v>
      </c>
      <c r="P167" t="e">
        <f t="shared" ca="1" si="81"/>
        <v>#VALUE!</v>
      </c>
      <c r="Q167" t="e">
        <f t="shared" ca="1" si="82"/>
        <v>#VALUE!</v>
      </c>
      <c r="R167" t="e">
        <f t="shared" ca="1" si="83"/>
        <v>#VALUE!</v>
      </c>
      <c r="S167" t="e">
        <f t="shared" ca="1" si="84"/>
        <v>#VALUE!</v>
      </c>
      <c r="T167" t="e">
        <f t="shared" ca="1" si="85"/>
        <v>#VALUE!</v>
      </c>
      <c r="U167" t="e">
        <f t="shared" ca="1" si="106"/>
        <v>#VALUE!</v>
      </c>
      <c r="V167" t="e">
        <f t="shared" ca="1" si="107"/>
        <v>#VALUE!</v>
      </c>
      <c r="W167" t="e">
        <f t="shared" ca="1" si="86"/>
        <v>#VALUE!</v>
      </c>
      <c r="X167" t="e">
        <f t="shared" ca="1" si="87"/>
        <v>#VALUE!</v>
      </c>
      <c r="Y167" t="e">
        <f t="shared" ca="1" si="88"/>
        <v>#VALUE!</v>
      </c>
      <c r="Z167" t="e">
        <f t="shared" ca="1" si="89"/>
        <v>#VALUE!</v>
      </c>
      <c r="AA167" t="e">
        <f t="shared" ca="1" si="90"/>
        <v>#VALUE!</v>
      </c>
      <c r="AB167" t="e">
        <f t="shared" ca="1" si="91"/>
        <v>#VALUE!</v>
      </c>
      <c r="AC167" t="e">
        <f t="shared" ca="1" si="92"/>
        <v>#VALUE!</v>
      </c>
      <c r="AD167" t="e">
        <f t="shared" ca="1" si="93"/>
        <v>#VALUE!</v>
      </c>
      <c r="AE167" t="e">
        <f t="shared" ca="1" si="94"/>
        <v>#VALUE!</v>
      </c>
      <c r="AF167" t="e">
        <f t="shared" ca="1" si="95"/>
        <v>#VALUE!</v>
      </c>
      <c r="AG167" t="e">
        <f t="shared" ca="1" si="96"/>
        <v>#VALUE!</v>
      </c>
      <c r="AH167" t="e">
        <f ca="1">IF(V32="Supercritical",L167,IF(V32="Subcritical",W167,IF(AND(V167=1,AG167=1),IF(T167&gt;=AE167,L167,W167),IF(V167=1,L167,IF(AG167=1,W167,MAX($D$16,POWER((ABS(K167)^2)/($I$5*MAX(F167,0.1)^2),1/3)))))))</f>
        <v>#VALUE!</v>
      </c>
      <c r="AI167" t="e">
        <f t="shared" ca="1" si="97"/>
        <v>#VALUE!</v>
      </c>
      <c r="AJ167" t="e">
        <f t="shared" ca="1" si="98"/>
        <v>#VALUE!</v>
      </c>
      <c r="AM167">
        <v>0</v>
      </c>
      <c r="AN167">
        <v>0</v>
      </c>
      <c r="AO167">
        <f t="shared" si="99"/>
        <v>0</v>
      </c>
      <c r="AP167">
        <f t="shared" si="108"/>
        <v>0</v>
      </c>
      <c r="AQ167" t="e">
        <f t="shared" ca="1" si="100"/>
        <v>#VALUE!</v>
      </c>
      <c r="AR167" t="e">
        <f t="shared" ca="1" si="101"/>
        <v>#VALUE!</v>
      </c>
      <c r="AS167" t="e">
        <f t="shared" ca="1" si="102"/>
        <v>#VALUE!</v>
      </c>
    </row>
    <row r="168" spans="1:45" x14ac:dyDescent="0.35">
      <c r="A168">
        <v>19</v>
      </c>
      <c r="B168">
        <v>18</v>
      </c>
      <c r="C168">
        <v>616538.96699999995</v>
      </c>
      <c r="D168">
        <v>3097754.6660000002</v>
      </c>
      <c r="E168">
        <v>634.26199999999994</v>
      </c>
      <c r="F168">
        <v>6</v>
      </c>
      <c r="G168">
        <v>0</v>
      </c>
      <c r="H168" t="s">
        <v>191</v>
      </c>
      <c r="I168">
        <v>11.315</v>
      </c>
      <c r="J168">
        <f t="shared" si="103"/>
        <v>1</v>
      </c>
      <c r="K168">
        <f t="shared" si="104"/>
        <v>51</v>
      </c>
      <c r="L168" t="e">
        <f t="shared" ca="1" si="105"/>
        <v>#VALUE!</v>
      </c>
      <c r="M168" t="e">
        <f t="shared" ca="1" si="78"/>
        <v>#VALUE!</v>
      </c>
      <c r="N168" t="e">
        <f t="shared" ca="1" si="79"/>
        <v>#VALUE!</v>
      </c>
      <c r="O168" t="e">
        <f t="shared" ca="1" si="80"/>
        <v>#VALUE!</v>
      </c>
      <c r="P168" t="e">
        <f t="shared" ca="1" si="81"/>
        <v>#VALUE!</v>
      </c>
      <c r="Q168" t="e">
        <f t="shared" ca="1" si="82"/>
        <v>#VALUE!</v>
      </c>
      <c r="R168" t="e">
        <f t="shared" ca="1" si="83"/>
        <v>#VALUE!</v>
      </c>
      <c r="S168" t="e">
        <f t="shared" ca="1" si="84"/>
        <v>#VALUE!</v>
      </c>
      <c r="T168" t="e">
        <f t="shared" ca="1" si="85"/>
        <v>#VALUE!</v>
      </c>
      <c r="U168" t="e">
        <f t="shared" ca="1" si="106"/>
        <v>#VALUE!</v>
      </c>
      <c r="V168" t="e">
        <f t="shared" ca="1" si="107"/>
        <v>#VALUE!</v>
      </c>
      <c r="W168" t="e">
        <f t="shared" ca="1" si="86"/>
        <v>#VALUE!</v>
      </c>
      <c r="X168" t="e">
        <f t="shared" ca="1" si="87"/>
        <v>#VALUE!</v>
      </c>
      <c r="Y168" t="e">
        <f t="shared" ca="1" si="88"/>
        <v>#VALUE!</v>
      </c>
      <c r="Z168" t="e">
        <f t="shared" ca="1" si="89"/>
        <v>#VALUE!</v>
      </c>
      <c r="AA168" t="e">
        <f t="shared" ca="1" si="90"/>
        <v>#VALUE!</v>
      </c>
      <c r="AB168" t="e">
        <f t="shared" ca="1" si="91"/>
        <v>#VALUE!</v>
      </c>
      <c r="AC168" t="e">
        <f t="shared" ca="1" si="92"/>
        <v>#VALUE!</v>
      </c>
      <c r="AD168" t="e">
        <f t="shared" ca="1" si="93"/>
        <v>#VALUE!</v>
      </c>
      <c r="AE168" t="e">
        <f t="shared" ca="1" si="94"/>
        <v>#VALUE!</v>
      </c>
      <c r="AF168" t="e">
        <f t="shared" ca="1" si="95"/>
        <v>#VALUE!</v>
      </c>
      <c r="AG168" t="e">
        <f t="shared" ca="1" si="96"/>
        <v>#VALUE!</v>
      </c>
      <c r="AH168" t="e">
        <f ca="1">IF(V32="Supercritical",L168,IF(V32="Subcritical",W168,IF(AND(V168=1,AG168=1),IF(T168&gt;=AE168,L168,W168),IF(V168=1,L168,IF(AG168=1,W168,MAX($D$16,POWER((ABS(K168)^2)/($I$5*MAX(F168,0.1)^2),1/3)))))))</f>
        <v>#VALUE!</v>
      </c>
      <c r="AI168" t="e">
        <f t="shared" ca="1" si="97"/>
        <v>#VALUE!</v>
      </c>
      <c r="AJ168" t="e">
        <f t="shared" ca="1" si="98"/>
        <v>#VALUE!</v>
      </c>
      <c r="AM168">
        <v>0</v>
      </c>
      <c r="AN168">
        <v>0</v>
      </c>
      <c r="AO168">
        <f t="shared" si="99"/>
        <v>0</v>
      </c>
      <c r="AP168">
        <f t="shared" si="108"/>
        <v>0</v>
      </c>
      <c r="AQ168" t="e">
        <f t="shared" ca="1" si="100"/>
        <v>#VALUE!</v>
      </c>
      <c r="AR168" t="e">
        <f t="shared" ca="1" si="101"/>
        <v>#VALUE!</v>
      </c>
      <c r="AS168" t="e">
        <f t="shared" ca="1" si="102"/>
        <v>#VALUE!</v>
      </c>
    </row>
    <row r="169" spans="1:45" x14ac:dyDescent="0.35">
      <c r="A169">
        <v>20</v>
      </c>
      <c r="B169">
        <v>18.989000000000001</v>
      </c>
      <c r="C169">
        <v>616538.11100000003</v>
      </c>
      <c r="D169">
        <v>3097754.1710000001</v>
      </c>
      <c r="E169">
        <v>634.26</v>
      </c>
      <c r="F169">
        <v>6.25</v>
      </c>
      <c r="G169">
        <v>0</v>
      </c>
      <c r="H169" t="s">
        <v>191</v>
      </c>
      <c r="I169">
        <v>6.7839999999999998</v>
      </c>
      <c r="J169">
        <f t="shared" si="103"/>
        <v>0.98900000000000077</v>
      </c>
      <c r="K169">
        <f t="shared" si="104"/>
        <v>51</v>
      </c>
      <c r="L169" t="e">
        <f t="shared" ca="1" si="105"/>
        <v>#VALUE!</v>
      </c>
      <c r="M169" t="e">
        <f t="shared" ca="1" si="78"/>
        <v>#VALUE!</v>
      </c>
      <c r="N169" t="e">
        <f t="shared" ca="1" si="79"/>
        <v>#VALUE!</v>
      </c>
      <c r="O169" t="e">
        <f t="shared" ca="1" si="80"/>
        <v>#VALUE!</v>
      </c>
      <c r="P169" t="e">
        <f t="shared" ca="1" si="81"/>
        <v>#VALUE!</v>
      </c>
      <c r="Q169" t="e">
        <f t="shared" ca="1" si="82"/>
        <v>#VALUE!</v>
      </c>
      <c r="R169" t="e">
        <f t="shared" ca="1" si="83"/>
        <v>#VALUE!</v>
      </c>
      <c r="S169" t="e">
        <f t="shared" ca="1" si="84"/>
        <v>#VALUE!</v>
      </c>
      <c r="T169" t="e">
        <f t="shared" ca="1" si="85"/>
        <v>#VALUE!</v>
      </c>
      <c r="U169" t="e">
        <f t="shared" ca="1" si="106"/>
        <v>#VALUE!</v>
      </c>
      <c r="V169" t="e">
        <f t="shared" ca="1" si="107"/>
        <v>#VALUE!</v>
      </c>
      <c r="W169" t="e">
        <f t="shared" ca="1" si="86"/>
        <v>#VALUE!</v>
      </c>
      <c r="X169" t="e">
        <f t="shared" ca="1" si="87"/>
        <v>#VALUE!</v>
      </c>
      <c r="Y169" t="e">
        <f t="shared" ca="1" si="88"/>
        <v>#VALUE!</v>
      </c>
      <c r="Z169" t="e">
        <f t="shared" ca="1" si="89"/>
        <v>#VALUE!</v>
      </c>
      <c r="AA169" t="e">
        <f t="shared" ca="1" si="90"/>
        <v>#VALUE!</v>
      </c>
      <c r="AB169" t="e">
        <f t="shared" ca="1" si="91"/>
        <v>#VALUE!</v>
      </c>
      <c r="AC169" t="e">
        <f t="shared" ca="1" si="92"/>
        <v>#VALUE!</v>
      </c>
      <c r="AD169" t="e">
        <f t="shared" ca="1" si="93"/>
        <v>#VALUE!</v>
      </c>
      <c r="AE169" t="e">
        <f t="shared" ca="1" si="94"/>
        <v>#VALUE!</v>
      </c>
      <c r="AF169" t="e">
        <f t="shared" ca="1" si="95"/>
        <v>#VALUE!</v>
      </c>
      <c r="AG169" t="e">
        <f t="shared" ca="1" si="96"/>
        <v>#VALUE!</v>
      </c>
      <c r="AH169" t="e">
        <f ca="1">IF(V32="Supercritical",L169,IF(V32="Subcritical",W169,IF(AND(V169=1,AG169=1),IF(T169&gt;=AE169,L169,W169),IF(V169=1,L169,IF(AG169=1,W169,MAX($D$16,POWER((ABS(K169)^2)/($I$5*MAX(F169,0.1)^2),1/3)))))))</f>
        <v>#VALUE!</v>
      </c>
      <c r="AI169" t="e">
        <f t="shared" ca="1" si="97"/>
        <v>#VALUE!</v>
      </c>
      <c r="AJ169" t="e">
        <f t="shared" ca="1" si="98"/>
        <v>#VALUE!</v>
      </c>
      <c r="AM169">
        <v>0</v>
      </c>
      <c r="AN169">
        <v>0</v>
      </c>
      <c r="AO169">
        <f t="shared" si="99"/>
        <v>0</v>
      </c>
      <c r="AP169">
        <f t="shared" si="108"/>
        <v>0</v>
      </c>
      <c r="AQ169" t="e">
        <f t="shared" ca="1" si="100"/>
        <v>#VALUE!</v>
      </c>
      <c r="AR169" t="e">
        <f t="shared" ca="1" si="101"/>
        <v>#VALUE!</v>
      </c>
      <c r="AS169" t="e">
        <f t="shared" ca="1" si="102"/>
        <v>#VALUE!</v>
      </c>
    </row>
    <row r="170" spans="1:45" x14ac:dyDescent="0.35">
      <c r="A170">
        <v>21</v>
      </c>
      <c r="B170">
        <v>19.988</v>
      </c>
      <c r="C170">
        <v>616537.31099999999</v>
      </c>
      <c r="D170">
        <v>3097753.5720000002</v>
      </c>
      <c r="E170">
        <v>634.25800000000004</v>
      </c>
      <c r="F170">
        <v>6.17</v>
      </c>
      <c r="G170">
        <v>0</v>
      </c>
      <c r="H170" t="s">
        <v>191</v>
      </c>
      <c r="I170">
        <v>1.2E-2</v>
      </c>
      <c r="J170">
        <f t="shared" si="103"/>
        <v>0.99899999999999878</v>
      </c>
      <c r="K170">
        <f t="shared" si="104"/>
        <v>51</v>
      </c>
      <c r="L170" t="e">
        <f t="shared" ca="1" si="105"/>
        <v>#VALUE!</v>
      </c>
      <c r="M170" t="e">
        <f t="shared" ca="1" si="78"/>
        <v>#VALUE!</v>
      </c>
      <c r="N170" t="e">
        <f t="shared" ca="1" si="79"/>
        <v>#VALUE!</v>
      </c>
      <c r="O170" t="e">
        <f t="shared" ca="1" si="80"/>
        <v>#VALUE!</v>
      </c>
      <c r="P170" t="e">
        <f t="shared" ca="1" si="81"/>
        <v>#VALUE!</v>
      </c>
      <c r="Q170" t="e">
        <f t="shared" ca="1" si="82"/>
        <v>#VALUE!</v>
      </c>
      <c r="R170" t="e">
        <f t="shared" ca="1" si="83"/>
        <v>#VALUE!</v>
      </c>
      <c r="S170" t="e">
        <f t="shared" ca="1" si="84"/>
        <v>#VALUE!</v>
      </c>
      <c r="T170" t="e">
        <f t="shared" ca="1" si="85"/>
        <v>#VALUE!</v>
      </c>
      <c r="U170" t="e">
        <f t="shared" ca="1" si="106"/>
        <v>#VALUE!</v>
      </c>
      <c r="V170" t="e">
        <f t="shared" ca="1" si="107"/>
        <v>#VALUE!</v>
      </c>
      <c r="W170" t="e">
        <f t="shared" ca="1" si="86"/>
        <v>#VALUE!</v>
      </c>
      <c r="X170" t="e">
        <f t="shared" ca="1" si="87"/>
        <v>#VALUE!</v>
      </c>
      <c r="Y170" t="e">
        <f t="shared" ca="1" si="88"/>
        <v>#VALUE!</v>
      </c>
      <c r="Z170" t="e">
        <f t="shared" ca="1" si="89"/>
        <v>#VALUE!</v>
      </c>
      <c r="AA170" t="e">
        <f t="shared" ca="1" si="90"/>
        <v>#VALUE!</v>
      </c>
      <c r="AB170" t="e">
        <f t="shared" ca="1" si="91"/>
        <v>#VALUE!</v>
      </c>
      <c r="AC170" t="e">
        <f t="shared" ca="1" si="92"/>
        <v>#VALUE!</v>
      </c>
      <c r="AD170" t="e">
        <f t="shared" ca="1" si="93"/>
        <v>#VALUE!</v>
      </c>
      <c r="AE170" t="e">
        <f t="shared" ca="1" si="94"/>
        <v>#VALUE!</v>
      </c>
      <c r="AF170" t="e">
        <f t="shared" ca="1" si="95"/>
        <v>#VALUE!</v>
      </c>
      <c r="AG170" t="e">
        <f t="shared" ca="1" si="96"/>
        <v>#VALUE!</v>
      </c>
      <c r="AH170" t="e">
        <f ca="1">IF(V32="Supercritical",L170,IF(V32="Subcritical",W170,IF(AND(V170=1,AG170=1),IF(T170&gt;=AE170,L170,W170),IF(V170=1,L170,IF(AG170=1,W170,MAX($D$16,POWER((ABS(K170)^2)/($I$5*MAX(F170,0.1)^2),1/3)))))))</f>
        <v>#VALUE!</v>
      </c>
      <c r="AI170" t="e">
        <f t="shared" ca="1" si="97"/>
        <v>#VALUE!</v>
      </c>
      <c r="AJ170" t="e">
        <f t="shared" ca="1" si="98"/>
        <v>#VALUE!</v>
      </c>
      <c r="AM170">
        <v>0</v>
      </c>
      <c r="AN170">
        <v>0</v>
      </c>
      <c r="AO170">
        <f t="shared" si="99"/>
        <v>0</v>
      </c>
      <c r="AP170">
        <f t="shared" si="108"/>
        <v>0</v>
      </c>
      <c r="AQ170" t="e">
        <f t="shared" ca="1" si="100"/>
        <v>#VALUE!</v>
      </c>
      <c r="AR170" t="e">
        <f t="shared" ca="1" si="101"/>
        <v>#VALUE!</v>
      </c>
      <c r="AS170" t="e">
        <f t="shared" ca="1" si="102"/>
        <v>#VALUE!</v>
      </c>
    </row>
    <row r="171" spans="1:45" x14ac:dyDescent="0.35">
      <c r="A171">
        <v>22</v>
      </c>
      <c r="B171">
        <v>20.989000000000001</v>
      </c>
      <c r="C171">
        <v>616536.51</v>
      </c>
      <c r="D171">
        <v>3097752.9720000001</v>
      </c>
      <c r="E171">
        <v>634.25599999999997</v>
      </c>
      <c r="F171">
        <v>6.1020000000000003</v>
      </c>
      <c r="G171">
        <v>0</v>
      </c>
      <c r="H171" t="s">
        <v>191</v>
      </c>
      <c r="I171">
        <v>3.4000000000000002E-2</v>
      </c>
      <c r="J171">
        <f t="shared" si="103"/>
        <v>1.0010000000000012</v>
      </c>
      <c r="K171">
        <f t="shared" si="104"/>
        <v>51</v>
      </c>
      <c r="L171" t="e">
        <f t="shared" ca="1" si="105"/>
        <v>#VALUE!</v>
      </c>
      <c r="M171" t="e">
        <f t="shared" ca="1" si="78"/>
        <v>#VALUE!</v>
      </c>
      <c r="N171" t="e">
        <f t="shared" ca="1" si="79"/>
        <v>#VALUE!</v>
      </c>
      <c r="O171" t="e">
        <f t="shared" ca="1" si="80"/>
        <v>#VALUE!</v>
      </c>
      <c r="P171" t="e">
        <f t="shared" ca="1" si="81"/>
        <v>#VALUE!</v>
      </c>
      <c r="Q171" t="e">
        <f t="shared" ca="1" si="82"/>
        <v>#VALUE!</v>
      </c>
      <c r="R171" t="e">
        <f t="shared" ca="1" si="83"/>
        <v>#VALUE!</v>
      </c>
      <c r="S171" t="e">
        <f t="shared" ca="1" si="84"/>
        <v>#VALUE!</v>
      </c>
      <c r="T171" t="e">
        <f t="shared" ca="1" si="85"/>
        <v>#VALUE!</v>
      </c>
      <c r="U171" t="e">
        <f t="shared" ca="1" si="106"/>
        <v>#VALUE!</v>
      </c>
      <c r="V171" t="e">
        <f t="shared" ca="1" si="107"/>
        <v>#VALUE!</v>
      </c>
      <c r="W171" t="e">
        <f t="shared" ca="1" si="86"/>
        <v>#VALUE!</v>
      </c>
      <c r="X171" t="e">
        <f t="shared" ca="1" si="87"/>
        <v>#VALUE!</v>
      </c>
      <c r="Y171" t="e">
        <f t="shared" ca="1" si="88"/>
        <v>#VALUE!</v>
      </c>
      <c r="Z171" t="e">
        <f t="shared" ca="1" si="89"/>
        <v>#VALUE!</v>
      </c>
      <c r="AA171" t="e">
        <f t="shared" ca="1" si="90"/>
        <v>#VALUE!</v>
      </c>
      <c r="AB171" t="e">
        <f t="shared" ca="1" si="91"/>
        <v>#VALUE!</v>
      </c>
      <c r="AC171" t="e">
        <f t="shared" ca="1" si="92"/>
        <v>#VALUE!</v>
      </c>
      <c r="AD171" t="e">
        <f t="shared" ca="1" si="93"/>
        <v>#VALUE!</v>
      </c>
      <c r="AE171" t="e">
        <f t="shared" ca="1" si="94"/>
        <v>#VALUE!</v>
      </c>
      <c r="AF171" t="e">
        <f t="shared" ca="1" si="95"/>
        <v>#VALUE!</v>
      </c>
      <c r="AG171" t="e">
        <f t="shared" ca="1" si="96"/>
        <v>#VALUE!</v>
      </c>
      <c r="AH171" t="e">
        <f ca="1">IF(V32="Supercritical",L171,IF(V32="Subcritical",W171,IF(AND(V171=1,AG171=1),IF(T171&gt;=AE171,L171,W171),IF(V171=1,L171,IF(AG171=1,W171,MAX($D$16,POWER((ABS(K171)^2)/($I$5*MAX(F171,0.1)^2),1/3)))))))</f>
        <v>#VALUE!</v>
      </c>
      <c r="AI171" t="e">
        <f t="shared" ca="1" si="97"/>
        <v>#VALUE!</v>
      </c>
      <c r="AJ171" t="e">
        <f t="shared" ca="1" si="98"/>
        <v>#VALUE!</v>
      </c>
      <c r="AM171">
        <v>0</v>
      </c>
      <c r="AN171">
        <v>0</v>
      </c>
      <c r="AO171">
        <f t="shared" si="99"/>
        <v>0</v>
      </c>
      <c r="AP171">
        <f t="shared" si="108"/>
        <v>0</v>
      </c>
      <c r="AQ171" t="e">
        <f t="shared" ca="1" si="100"/>
        <v>#VALUE!</v>
      </c>
      <c r="AR171" t="e">
        <f t="shared" ca="1" si="101"/>
        <v>#VALUE!</v>
      </c>
      <c r="AS171" t="e">
        <f t="shared" ca="1" si="102"/>
        <v>#VALUE!</v>
      </c>
    </row>
    <row r="172" spans="1:45" x14ac:dyDescent="0.35">
      <c r="A172">
        <v>23</v>
      </c>
      <c r="B172">
        <v>21.989000000000001</v>
      </c>
      <c r="C172">
        <v>616535.71</v>
      </c>
      <c r="D172">
        <v>3097752.372</v>
      </c>
      <c r="E172">
        <v>634.25400000000002</v>
      </c>
      <c r="F172">
        <v>6.0519999999999996</v>
      </c>
      <c r="G172">
        <v>0</v>
      </c>
      <c r="H172" t="s">
        <v>191</v>
      </c>
      <c r="I172">
        <v>4.5999999999999999E-2</v>
      </c>
      <c r="J172">
        <f t="shared" si="103"/>
        <v>1</v>
      </c>
      <c r="K172">
        <f t="shared" si="104"/>
        <v>51</v>
      </c>
      <c r="L172" t="e">
        <f t="shared" ca="1" si="105"/>
        <v>#VALUE!</v>
      </c>
      <c r="M172" t="e">
        <f t="shared" ca="1" si="78"/>
        <v>#VALUE!</v>
      </c>
      <c r="N172" t="e">
        <f t="shared" ca="1" si="79"/>
        <v>#VALUE!</v>
      </c>
      <c r="O172" t="e">
        <f t="shared" ca="1" si="80"/>
        <v>#VALUE!</v>
      </c>
      <c r="P172" t="e">
        <f t="shared" ca="1" si="81"/>
        <v>#VALUE!</v>
      </c>
      <c r="Q172" t="e">
        <f t="shared" ca="1" si="82"/>
        <v>#VALUE!</v>
      </c>
      <c r="R172" t="e">
        <f t="shared" ca="1" si="83"/>
        <v>#VALUE!</v>
      </c>
      <c r="S172" t="e">
        <f t="shared" ca="1" si="84"/>
        <v>#VALUE!</v>
      </c>
      <c r="T172" t="e">
        <f t="shared" ca="1" si="85"/>
        <v>#VALUE!</v>
      </c>
      <c r="U172" t="e">
        <f t="shared" ca="1" si="106"/>
        <v>#VALUE!</v>
      </c>
      <c r="V172" t="e">
        <f t="shared" ca="1" si="107"/>
        <v>#VALUE!</v>
      </c>
      <c r="W172" t="e">
        <f t="shared" ca="1" si="86"/>
        <v>#VALUE!</v>
      </c>
      <c r="X172" t="e">
        <f t="shared" ca="1" si="87"/>
        <v>#VALUE!</v>
      </c>
      <c r="Y172" t="e">
        <f t="shared" ca="1" si="88"/>
        <v>#VALUE!</v>
      </c>
      <c r="Z172" t="e">
        <f t="shared" ca="1" si="89"/>
        <v>#VALUE!</v>
      </c>
      <c r="AA172" t="e">
        <f t="shared" ca="1" si="90"/>
        <v>#VALUE!</v>
      </c>
      <c r="AB172" t="e">
        <f t="shared" ca="1" si="91"/>
        <v>#VALUE!</v>
      </c>
      <c r="AC172" t="e">
        <f t="shared" ca="1" si="92"/>
        <v>#VALUE!</v>
      </c>
      <c r="AD172" t="e">
        <f t="shared" ca="1" si="93"/>
        <v>#VALUE!</v>
      </c>
      <c r="AE172" t="e">
        <f t="shared" ca="1" si="94"/>
        <v>#VALUE!</v>
      </c>
      <c r="AF172" t="e">
        <f t="shared" ca="1" si="95"/>
        <v>#VALUE!</v>
      </c>
      <c r="AG172" t="e">
        <f t="shared" ca="1" si="96"/>
        <v>#VALUE!</v>
      </c>
      <c r="AH172" t="e">
        <f ca="1">IF(V32="Supercritical",L172,IF(V32="Subcritical",W172,IF(AND(V172=1,AG172=1),IF(T172&gt;=AE172,L172,W172),IF(V172=1,L172,IF(AG172=1,W172,MAX($D$16,POWER((ABS(K172)^2)/($I$5*MAX(F172,0.1)^2),1/3)))))))</f>
        <v>#VALUE!</v>
      </c>
      <c r="AI172" t="e">
        <f t="shared" ca="1" si="97"/>
        <v>#VALUE!</v>
      </c>
      <c r="AJ172" t="e">
        <f t="shared" ca="1" si="98"/>
        <v>#VALUE!</v>
      </c>
      <c r="AM172">
        <v>0</v>
      </c>
      <c r="AN172">
        <v>0</v>
      </c>
      <c r="AO172">
        <f t="shared" si="99"/>
        <v>0</v>
      </c>
      <c r="AP172">
        <f t="shared" si="108"/>
        <v>0</v>
      </c>
      <c r="AQ172" t="e">
        <f t="shared" ca="1" si="100"/>
        <v>#VALUE!</v>
      </c>
      <c r="AR172" t="e">
        <f t="shared" ca="1" si="101"/>
        <v>#VALUE!</v>
      </c>
      <c r="AS172" t="e">
        <f t="shared" ca="1" si="102"/>
        <v>#VALUE!</v>
      </c>
    </row>
    <row r="173" spans="1:45" x14ac:dyDescent="0.35">
      <c r="A173">
        <v>24</v>
      </c>
      <c r="B173">
        <v>22.988</v>
      </c>
      <c r="C173">
        <v>616534.91</v>
      </c>
      <c r="D173">
        <v>3097751.773</v>
      </c>
      <c r="E173">
        <v>634.25199999999995</v>
      </c>
      <c r="F173">
        <v>6.02</v>
      </c>
      <c r="G173">
        <v>0</v>
      </c>
      <c r="H173" t="s">
        <v>191</v>
      </c>
      <c r="I173">
        <v>1.2E-2</v>
      </c>
      <c r="J173">
        <f t="shared" si="103"/>
        <v>0.99899999999999878</v>
      </c>
      <c r="K173">
        <f t="shared" si="104"/>
        <v>51</v>
      </c>
      <c r="L173" t="e">
        <f t="shared" ca="1" si="105"/>
        <v>#VALUE!</v>
      </c>
      <c r="M173" t="e">
        <f t="shared" ca="1" si="78"/>
        <v>#VALUE!</v>
      </c>
      <c r="N173" t="e">
        <f t="shared" ca="1" si="79"/>
        <v>#VALUE!</v>
      </c>
      <c r="O173" t="e">
        <f t="shared" ca="1" si="80"/>
        <v>#VALUE!</v>
      </c>
      <c r="P173" t="e">
        <f t="shared" ca="1" si="81"/>
        <v>#VALUE!</v>
      </c>
      <c r="Q173" t="e">
        <f t="shared" ca="1" si="82"/>
        <v>#VALUE!</v>
      </c>
      <c r="R173" t="e">
        <f t="shared" ca="1" si="83"/>
        <v>#VALUE!</v>
      </c>
      <c r="S173" t="e">
        <f t="shared" ca="1" si="84"/>
        <v>#VALUE!</v>
      </c>
      <c r="T173" t="e">
        <f t="shared" ca="1" si="85"/>
        <v>#VALUE!</v>
      </c>
      <c r="U173" t="e">
        <f t="shared" ca="1" si="106"/>
        <v>#VALUE!</v>
      </c>
      <c r="V173" t="e">
        <f t="shared" ca="1" si="107"/>
        <v>#VALUE!</v>
      </c>
      <c r="W173" t="e">
        <f t="shared" ca="1" si="86"/>
        <v>#VALUE!</v>
      </c>
      <c r="X173" t="e">
        <f t="shared" ca="1" si="87"/>
        <v>#VALUE!</v>
      </c>
      <c r="Y173" t="e">
        <f t="shared" ca="1" si="88"/>
        <v>#VALUE!</v>
      </c>
      <c r="Z173" t="e">
        <f t="shared" ca="1" si="89"/>
        <v>#VALUE!</v>
      </c>
      <c r="AA173" t="e">
        <f t="shared" ca="1" si="90"/>
        <v>#VALUE!</v>
      </c>
      <c r="AB173" t="e">
        <f t="shared" ca="1" si="91"/>
        <v>#VALUE!</v>
      </c>
      <c r="AC173" t="e">
        <f t="shared" ca="1" si="92"/>
        <v>#VALUE!</v>
      </c>
      <c r="AD173" t="e">
        <f t="shared" ca="1" si="93"/>
        <v>#VALUE!</v>
      </c>
      <c r="AE173" t="e">
        <f t="shared" ca="1" si="94"/>
        <v>#VALUE!</v>
      </c>
      <c r="AF173" t="e">
        <f t="shared" ca="1" si="95"/>
        <v>#VALUE!</v>
      </c>
      <c r="AG173" t="e">
        <f t="shared" ca="1" si="96"/>
        <v>#VALUE!</v>
      </c>
      <c r="AH173" t="e">
        <f ca="1">IF(V32="Supercritical",L173,IF(V32="Subcritical",W173,IF(AND(V173=1,AG173=1),IF(T173&gt;=AE173,L173,W173),IF(V173=1,L173,IF(AG173=1,W173,MAX($D$16,POWER((ABS(K173)^2)/($I$5*MAX(F173,0.1)^2),1/3)))))))</f>
        <v>#VALUE!</v>
      </c>
      <c r="AI173" t="e">
        <f t="shared" ca="1" si="97"/>
        <v>#VALUE!</v>
      </c>
      <c r="AJ173" t="e">
        <f t="shared" ca="1" si="98"/>
        <v>#VALUE!</v>
      </c>
      <c r="AM173">
        <v>0</v>
      </c>
      <c r="AN173">
        <v>0</v>
      </c>
      <c r="AO173">
        <f t="shared" si="99"/>
        <v>0</v>
      </c>
      <c r="AP173">
        <f t="shared" si="108"/>
        <v>0</v>
      </c>
      <c r="AQ173" t="e">
        <f t="shared" ca="1" si="100"/>
        <v>#VALUE!</v>
      </c>
      <c r="AR173" t="e">
        <f t="shared" ca="1" si="101"/>
        <v>#VALUE!</v>
      </c>
      <c r="AS173" t="e">
        <f t="shared" ca="1" si="102"/>
        <v>#VALUE!</v>
      </c>
    </row>
    <row r="174" spans="1:45" x14ac:dyDescent="0.35">
      <c r="A174">
        <v>25</v>
      </c>
      <c r="B174">
        <v>23.989000000000001</v>
      </c>
      <c r="C174">
        <v>616534.10900000005</v>
      </c>
      <c r="D174">
        <v>3097751.173</v>
      </c>
      <c r="E174">
        <v>634.25</v>
      </c>
      <c r="F174">
        <v>6.0019999999999998</v>
      </c>
      <c r="G174">
        <v>0</v>
      </c>
      <c r="H174" t="s">
        <v>191</v>
      </c>
      <c r="I174">
        <v>1.2E-2</v>
      </c>
      <c r="J174">
        <f t="shared" si="103"/>
        <v>1.0010000000000012</v>
      </c>
      <c r="K174">
        <f t="shared" si="104"/>
        <v>51</v>
      </c>
      <c r="L174" t="e">
        <f t="shared" ca="1" si="105"/>
        <v>#VALUE!</v>
      </c>
      <c r="M174" t="e">
        <f t="shared" ca="1" si="78"/>
        <v>#VALUE!</v>
      </c>
      <c r="N174" t="e">
        <f t="shared" ca="1" si="79"/>
        <v>#VALUE!</v>
      </c>
      <c r="O174" t="e">
        <f t="shared" ca="1" si="80"/>
        <v>#VALUE!</v>
      </c>
      <c r="P174" t="e">
        <f t="shared" ca="1" si="81"/>
        <v>#VALUE!</v>
      </c>
      <c r="Q174" t="e">
        <f t="shared" ca="1" si="82"/>
        <v>#VALUE!</v>
      </c>
      <c r="R174" t="e">
        <f t="shared" ca="1" si="83"/>
        <v>#VALUE!</v>
      </c>
      <c r="S174" t="e">
        <f t="shared" ca="1" si="84"/>
        <v>#VALUE!</v>
      </c>
      <c r="T174" t="e">
        <f t="shared" ca="1" si="85"/>
        <v>#VALUE!</v>
      </c>
      <c r="U174" t="e">
        <f t="shared" ca="1" si="106"/>
        <v>#VALUE!</v>
      </c>
      <c r="V174" t="e">
        <f t="shared" ca="1" si="107"/>
        <v>#VALUE!</v>
      </c>
      <c r="W174" t="e">
        <f t="shared" ca="1" si="86"/>
        <v>#VALUE!</v>
      </c>
      <c r="X174" t="e">
        <f t="shared" ca="1" si="87"/>
        <v>#VALUE!</v>
      </c>
      <c r="Y174" t="e">
        <f t="shared" ca="1" si="88"/>
        <v>#VALUE!</v>
      </c>
      <c r="Z174" t="e">
        <f t="shared" ca="1" si="89"/>
        <v>#VALUE!</v>
      </c>
      <c r="AA174" t="e">
        <f t="shared" ca="1" si="90"/>
        <v>#VALUE!</v>
      </c>
      <c r="AB174" t="e">
        <f t="shared" ca="1" si="91"/>
        <v>#VALUE!</v>
      </c>
      <c r="AC174" t="e">
        <f t="shared" ca="1" si="92"/>
        <v>#VALUE!</v>
      </c>
      <c r="AD174" t="e">
        <f t="shared" ca="1" si="93"/>
        <v>#VALUE!</v>
      </c>
      <c r="AE174" t="e">
        <f t="shared" ca="1" si="94"/>
        <v>#VALUE!</v>
      </c>
      <c r="AF174" t="e">
        <f t="shared" ca="1" si="95"/>
        <v>#VALUE!</v>
      </c>
      <c r="AG174" t="e">
        <f t="shared" ca="1" si="96"/>
        <v>#VALUE!</v>
      </c>
      <c r="AH174" t="e">
        <f ca="1">IF(V32="Supercritical",L174,IF(V32="Subcritical",W174,IF(AND(V174=1,AG174=1),IF(T174&gt;=AE174,L174,W174),IF(V174=1,L174,IF(AG174=1,W174,MAX($D$16,POWER((ABS(K174)^2)/($I$5*MAX(F174,0.1)^2),1/3)))))))</f>
        <v>#VALUE!</v>
      </c>
      <c r="AI174" t="e">
        <f t="shared" ca="1" si="97"/>
        <v>#VALUE!</v>
      </c>
      <c r="AJ174" t="e">
        <f t="shared" ca="1" si="98"/>
        <v>#VALUE!</v>
      </c>
      <c r="AM174">
        <v>0</v>
      </c>
      <c r="AN174">
        <v>0</v>
      </c>
      <c r="AO174">
        <f t="shared" si="99"/>
        <v>0</v>
      </c>
      <c r="AP174">
        <f t="shared" si="108"/>
        <v>0</v>
      </c>
      <c r="AQ174" t="e">
        <f t="shared" ca="1" si="100"/>
        <v>#VALUE!</v>
      </c>
      <c r="AR174" t="e">
        <f t="shared" ca="1" si="101"/>
        <v>#VALUE!</v>
      </c>
      <c r="AS174" t="e">
        <f t="shared" ca="1" si="102"/>
        <v>#VALUE!</v>
      </c>
    </row>
    <row r="175" spans="1:45" x14ac:dyDescent="0.35">
      <c r="A175">
        <v>26</v>
      </c>
      <c r="B175">
        <v>24.989000000000001</v>
      </c>
      <c r="C175">
        <v>616533.30900000001</v>
      </c>
      <c r="D175">
        <v>3097750.574</v>
      </c>
      <c r="E175">
        <v>634.24800000000005</v>
      </c>
      <c r="F175">
        <v>6.0019999999999998</v>
      </c>
      <c r="G175">
        <v>0</v>
      </c>
      <c r="H175" t="s">
        <v>191</v>
      </c>
      <c r="I175">
        <v>4.5999999999999999E-2</v>
      </c>
      <c r="J175">
        <f t="shared" si="103"/>
        <v>1</v>
      </c>
      <c r="K175">
        <f t="shared" si="104"/>
        <v>51</v>
      </c>
      <c r="L175" t="e">
        <f t="shared" ca="1" si="105"/>
        <v>#VALUE!</v>
      </c>
      <c r="M175" t="e">
        <f t="shared" ca="1" si="78"/>
        <v>#VALUE!</v>
      </c>
      <c r="N175" t="e">
        <f t="shared" ca="1" si="79"/>
        <v>#VALUE!</v>
      </c>
      <c r="O175" t="e">
        <f t="shared" ca="1" si="80"/>
        <v>#VALUE!</v>
      </c>
      <c r="P175" t="e">
        <f t="shared" ca="1" si="81"/>
        <v>#VALUE!</v>
      </c>
      <c r="Q175" t="e">
        <f t="shared" ca="1" si="82"/>
        <v>#VALUE!</v>
      </c>
      <c r="R175" t="e">
        <f t="shared" ca="1" si="83"/>
        <v>#VALUE!</v>
      </c>
      <c r="S175" t="e">
        <f t="shared" ca="1" si="84"/>
        <v>#VALUE!</v>
      </c>
      <c r="T175" t="e">
        <f t="shared" ca="1" si="85"/>
        <v>#VALUE!</v>
      </c>
      <c r="U175" t="e">
        <f t="shared" ca="1" si="106"/>
        <v>#VALUE!</v>
      </c>
      <c r="V175" t="e">
        <f t="shared" ca="1" si="107"/>
        <v>#VALUE!</v>
      </c>
      <c r="W175" t="e">
        <f t="shared" ca="1" si="86"/>
        <v>#VALUE!</v>
      </c>
      <c r="X175" t="e">
        <f t="shared" ca="1" si="87"/>
        <v>#VALUE!</v>
      </c>
      <c r="Y175" t="e">
        <f t="shared" ca="1" si="88"/>
        <v>#VALUE!</v>
      </c>
      <c r="Z175" t="e">
        <f t="shared" ca="1" si="89"/>
        <v>#VALUE!</v>
      </c>
      <c r="AA175" t="e">
        <f t="shared" ca="1" si="90"/>
        <v>#VALUE!</v>
      </c>
      <c r="AB175" t="e">
        <f t="shared" ca="1" si="91"/>
        <v>#VALUE!</v>
      </c>
      <c r="AC175" t="e">
        <f t="shared" ca="1" si="92"/>
        <v>#VALUE!</v>
      </c>
      <c r="AD175" t="e">
        <f t="shared" ca="1" si="93"/>
        <v>#VALUE!</v>
      </c>
      <c r="AE175" t="e">
        <f t="shared" ca="1" si="94"/>
        <v>#VALUE!</v>
      </c>
      <c r="AF175" t="e">
        <f t="shared" ca="1" si="95"/>
        <v>#VALUE!</v>
      </c>
      <c r="AG175" t="e">
        <f t="shared" ca="1" si="96"/>
        <v>#VALUE!</v>
      </c>
      <c r="AH175" t="e">
        <f ca="1">IF(V32="Supercritical",L175,IF(V32="Subcritical",W175,IF(AND(V175=1,AG175=1),IF(T175&gt;=AE175,L175,W175),IF(V175=1,L175,IF(AG175=1,W175,MAX($D$16,POWER((ABS(K175)^2)/($I$5*MAX(F175,0.1)^2),1/3)))))))</f>
        <v>#VALUE!</v>
      </c>
      <c r="AI175" t="e">
        <f t="shared" ca="1" si="97"/>
        <v>#VALUE!</v>
      </c>
      <c r="AJ175" t="e">
        <f t="shared" ca="1" si="98"/>
        <v>#VALUE!</v>
      </c>
      <c r="AM175">
        <v>0</v>
      </c>
      <c r="AN175">
        <v>0</v>
      </c>
      <c r="AO175">
        <f t="shared" si="99"/>
        <v>0</v>
      </c>
      <c r="AP175">
        <f t="shared" si="108"/>
        <v>0</v>
      </c>
      <c r="AQ175" t="e">
        <f t="shared" ca="1" si="100"/>
        <v>#VALUE!</v>
      </c>
      <c r="AR175" t="e">
        <f t="shared" ca="1" si="101"/>
        <v>#VALUE!</v>
      </c>
      <c r="AS175" t="e">
        <f t="shared" ca="1" si="102"/>
        <v>#VALUE!</v>
      </c>
    </row>
    <row r="176" spans="1:45" x14ac:dyDescent="0.35">
      <c r="A176">
        <v>27</v>
      </c>
      <c r="B176">
        <v>25.989000000000001</v>
      </c>
      <c r="C176">
        <v>616532.50899999996</v>
      </c>
      <c r="D176">
        <v>3097749.9739999999</v>
      </c>
      <c r="E176">
        <v>634.24599999999998</v>
      </c>
      <c r="F176">
        <v>6.016</v>
      </c>
      <c r="G176">
        <v>0</v>
      </c>
      <c r="H176" t="s">
        <v>191</v>
      </c>
      <c r="I176">
        <v>0.08</v>
      </c>
      <c r="J176">
        <f t="shared" si="103"/>
        <v>1</v>
      </c>
      <c r="K176">
        <f t="shared" si="104"/>
        <v>51</v>
      </c>
      <c r="L176" t="e">
        <f t="shared" ca="1" si="105"/>
        <v>#VALUE!</v>
      </c>
      <c r="M176" t="e">
        <f t="shared" ca="1" si="78"/>
        <v>#VALUE!</v>
      </c>
      <c r="N176" t="e">
        <f t="shared" ca="1" si="79"/>
        <v>#VALUE!</v>
      </c>
      <c r="O176" t="e">
        <f t="shared" ca="1" si="80"/>
        <v>#VALUE!</v>
      </c>
      <c r="P176" t="e">
        <f t="shared" ca="1" si="81"/>
        <v>#VALUE!</v>
      </c>
      <c r="Q176" t="e">
        <f t="shared" ca="1" si="82"/>
        <v>#VALUE!</v>
      </c>
      <c r="R176" t="e">
        <f t="shared" ca="1" si="83"/>
        <v>#VALUE!</v>
      </c>
      <c r="S176" t="e">
        <f t="shared" ca="1" si="84"/>
        <v>#VALUE!</v>
      </c>
      <c r="T176" t="e">
        <f t="shared" ca="1" si="85"/>
        <v>#VALUE!</v>
      </c>
      <c r="U176" t="e">
        <f t="shared" ca="1" si="106"/>
        <v>#VALUE!</v>
      </c>
      <c r="V176" t="e">
        <f t="shared" ca="1" si="107"/>
        <v>#VALUE!</v>
      </c>
      <c r="W176" t="e">
        <f t="shared" ca="1" si="86"/>
        <v>#VALUE!</v>
      </c>
      <c r="X176" t="e">
        <f t="shared" ca="1" si="87"/>
        <v>#VALUE!</v>
      </c>
      <c r="Y176" t="e">
        <f t="shared" ca="1" si="88"/>
        <v>#VALUE!</v>
      </c>
      <c r="Z176" t="e">
        <f t="shared" ca="1" si="89"/>
        <v>#VALUE!</v>
      </c>
      <c r="AA176" t="e">
        <f t="shared" ca="1" si="90"/>
        <v>#VALUE!</v>
      </c>
      <c r="AB176" t="e">
        <f t="shared" ca="1" si="91"/>
        <v>#VALUE!</v>
      </c>
      <c r="AC176" t="e">
        <f t="shared" ca="1" si="92"/>
        <v>#VALUE!</v>
      </c>
      <c r="AD176" t="e">
        <f t="shared" ca="1" si="93"/>
        <v>#VALUE!</v>
      </c>
      <c r="AE176" t="e">
        <f t="shared" ca="1" si="94"/>
        <v>#VALUE!</v>
      </c>
      <c r="AF176" t="e">
        <f t="shared" ca="1" si="95"/>
        <v>#VALUE!</v>
      </c>
      <c r="AG176" t="e">
        <f t="shared" ca="1" si="96"/>
        <v>#VALUE!</v>
      </c>
      <c r="AH176" t="e">
        <f ca="1">IF(V32="Supercritical",L176,IF(V32="Subcritical",W176,IF(AND(V176=1,AG176=1),IF(T176&gt;=AE176,L176,W176),IF(V176=1,L176,IF(AG176=1,W176,MAX($D$16,POWER((ABS(K176)^2)/($I$5*MAX(F176,0.1)^2),1/3)))))))</f>
        <v>#VALUE!</v>
      </c>
      <c r="AI176" t="e">
        <f t="shared" ca="1" si="97"/>
        <v>#VALUE!</v>
      </c>
      <c r="AJ176" t="e">
        <f t="shared" ca="1" si="98"/>
        <v>#VALUE!</v>
      </c>
      <c r="AM176">
        <v>0</v>
      </c>
      <c r="AN176">
        <v>0</v>
      </c>
      <c r="AO176">
        <f t="shared" si="99"/>
        <v>0</v>
      </c>
      <c r="AP176">
        <f t="shared" si="108"/>
        <v>0</v>
      </c>
      <c r="AQ176" t="e">
        <f t="shared" ca="1" si="100"/>
        <v>#VALUE!</v>
      </c>
      <c r="AR176" t="e">
        <f t="shared" ca="1" si="101"/>
        <v>#VALUE!</v>
      </c>
      <c r="AS176" t="e">
        <f t="shared" ca="1" si="102"/>
        <v>#VALUE!</v>
      </c>
    </row>
    <row r="177" spans="1:45" x14ac:dyDescent="0.35">
      <c r="A177">
        <v>28</v>
      </c>
      <c r="B177">
        <v>26.989000000000001</v>
      </c>
      <c r="C177">
        <v>616531.70799999998</v>
      </c>
      <c r="D177">
        <v>3097749.375</v>
      </c>
      <c r="E177">
        <v>634.18349999999998</v>
      </c>
      <c r="F177">
        <v>6.0439999999999996</v>
      </c>
      <c r="G177">
        <v>0</v>
      </c>
      <c r="H177" t="s">
        <v>191</v>
      </c>
      <c r="I177">
        <v>0.08</v>
      </c>
      <c r="J177">
        <f t="shared" si="103"/>
        <v>1</v>
      </c>
      <c r="K177">
        <f t="shared" si="104"/>
        <v>51</v>
      </c>
      <c r="L177" t="e">
        <f t="shared" ca="1" si="105"/>
        <v>#VALUE!</v>
      </c>
      <c r="M177" t="e">
        <f t="shared" ca="1" si="78"/>
        <v>#VALUE!</v>
      </c>
      <c r="N177" t="e">
        <f t="shared" ca="1" si="79"/>
        <v>#VALUE!</v>
      </c>
      <c r="O177" t="e">
        <f t="shared" ca="1" si="80"/>
        <v>#VALUE!</v>
      </c>
      <c r="P177" t="e">
        <f t="shared" ca="1" si="81"/>
        <v>#VALUE!</v>
      </c>
      <c r="Q177" t="e">
        <f t="shared" ca="1" si="82"/>
        <v>#VALUE!</v>
      </c>
      <c r="R177" t="e">
        <f t="shared" ca="1" si="83"/>
        <v>#VALUE!</v>
      </c>
      <c r="S177" t="e">
        <f t="shared" ca="1" si="84"/>
        <v>#VALUE!</v>
      </c>
      <c r="T177" t="e">
        <f t="shared" ca="1" si="85"/>
        <v>#VALUE!</v>
      </c>
      <c r="U177" t="e">
        <f t="shared" ca="1" si="106"/>
        <v>#VALUE!</v>
      </c>
      <c r="V177" t="e">
        <f t="shared" ca="1" si="107"/>
        <v>#VALUE!</v>
      </c>
      <c r="W177" t="e">
        <f t="shared" ca="1" si="86"/>
        <v>#VALUE!</v>
      </c>
      <c r="X177" t="e">
        <f t="shared" ca="1" si="87"/>
        <v>#VALUE!</v>
      </c>
      <c r="Y177" t="e">
        <f t="shared" ca="1" si="88"/>
        <v>#VALUE!</v>
      </c>
      <c r="Z177" t="e">
        <f t="shared" ca="1" si="89"/>
        <v>#VALUE!</v>
      </c>
      <c r="AA177" t="e">
        <f t="shared" ca="1" si="90"/>
        <v>#VALUE!</v>
      </c>
      <c r="AB177" t="e">
        <f t="shared" ca="1" si="91"/>
        <v>#VALUE!</v>
      </c>
      <c r="AC177" t="e">
        <f t="shared" ca="1" si="92"/>
        <v>#VALUE!</v>
      </c>
      <c r="AD177" t="e">
        <f t="shared" ca="1" si="93"/>
        <v>#VALUE!</v>
      </c>
      <c r="AE177" t="e">
        <f t="shared" ca="1" si="94"/>
        <v>#VALUE!</v>
      </c>
      <c r="AF177" t="e">
        <f t="shared" ca="1" si="95"/>
        <v>#VALUE!</v>
      </c>
      <c r="AG177" t="e">
        <f t="shared" ca="1" si="96"/>
        <v>#VALUE!</v>
      </c>
      <c r="AH177" t="e">
        <f ca="1">IF(V32="Supercritical",L177,IF(V32="Subcritical",W177,IF(AND(V177=1,AG177=1),IF(T177&gt;=AE177,L177,W177),IF(V177=1,L177,IF(AG177=1,W177,MAX($D$16,POWER((ABS(K177)^2)/($I$5*MAX(F177,0.1)^2),1/3)))))))</f>
        <v>#VALUE!</v>
      </c>
      <c r="AI177" t="e">
        <f t="shared" ca="1" si="97"/>
        <v>#VALUE!</v>
      </c>
      <c r="AJ177" t="e">
        <f t="shared" ca="1" si="98"/>
        <v>#VALUE!</v>
      </c>
      <c r="AM177">
        <v>0</v>
      </c>
      <c r="AN177">
        <v>0</v>
      </c>
      <c r="AO177">
        <f t="shared" si="99"/>
        <v>0</v>
      </c>
      <c r="AP177">
        <f t="shared" si="108"/>
        <v>0</v>
      </c>
      <c r="AQ177" t="e">
        <f t="shared" ca="1" si="100"/>
        <v>#VALUE!</v>
      </c>
      <c r="AR177" t="e">
        <f t="shared" ca="1" si="101"/>
        <v>#VALUE!</v>
      </c>
      <c r="AS177" t="e">
        <f t="shared" ca="1" si="102"/>
        <v>#VALUE!</v>
      </c>
    </row>
    <row r="178" spans="1:45" x14ac:dyDescent="0.35">
      <c r="A178">
        <v>29</v>
      </c>
      <c r="B178">
        <v>27.989000000000001</v>
      </c>
      <c r="C178">
        <v>616530.90800000005</v>
      </c>
      <c r="D178">
        <v>3097748.7749999999</v>
      </c>
      <c r="E178">
        <v>634.12099999999998</v>
      </c>
      <c r="F178">
        <v>6.0910000000000002</v>
      </c>
      <c r="G178">
        <v>0</v>
      </c>
      <c r="H178" t="s">
        <v>191</v>
      </c>
      <c r="I178">
        <v>4.5999999999999999E-2</v>
      </c>
      <c r="J178">
        <f t="shared" si="103"/>
        <v>1</v>
      </c>
      <c r="K178">
        <f t="shared" si="104"/>
        <v>51</v>
      </c>
      <c r="L178" t="e">
        <f t="shared" ca="1" si="105"/>
        <v>#VALUE!</v>
      </c>
      <c r="M178" t="e">
        <f t="shared" ca="1" si="78"/>
        <v>#VALUE!</v>
      </c>
      <c r="N178" t="e">
        <f t="shared" ca="1" si="79"/>
        <v>#VALUE!</v>
      </c>
      <c r="O178" t="e">
        <f t="shared" ca="1" si="80"/>
        <v>#VALUE!</v>
      </c>
      <c r="P178" t="e">
        <f t="shared" ca="1" si="81"/>
        <v>#VALUE!</v>
      </c>
      <c r="Q178" t="e">
        <f t="shared" ca="1" si="82"/>
        <v>#VALUE!</v>
      </c>
      <c r="R178" t="e">
        <f t="shared" ca="1" si="83"/>
        <v>#VALUE!</v>
      </c>
      <c r="S178" t="e">
        <f t="shared" ca="1" si="84"/>
        <v>#VALUE!</v>
      </c>
      <c r="T178" t="e">
        <f t="shared" ca="1" si="85"/>
        <v>#VALUE!</v>
      </c>
      <c r="U178" t="e">
        <f t="shared" ca="1" si="106"/>
        <v>#VALUE!</v>
      </c>
      <c r="V178" t="e">
        <f t="shared" ca="1" si="107"/>
        <v>#VALUE!</v>
      </c>
      <c r="W178" t="e">
        <f t="shared" ca="1" si="86"/>
        <v>#VALUE!</v>
      </c>
      <c r="X178" t="e">
        <f t="shared" ca="1" si="87"/>
        <v>#VALUE!</v>
      </c>
      <c r="Y178" t="e">
        <f t="shared" ca="1" si="88"/>
        <v>#VALUE!</v>
      </c>
      <c r="Z178" t="e">
        <f t="shared" ca="1" si="89"/>
        <v>#VALUE!</v>
      </c>
      <c r="AA178" t="e">
        <f t="shared" ca="1" si="90"/>
        <v>#VALUE!</v>
      </c>
      <c r="AB178" t="e">
        <f t="shared" ca="1" si="91"/>
        <v>#VALUE!</v>
      </c>
      <c r="AC178" t="e">
        <f t="shared" ca="1" si="92"/>
        <v>#VALUE!</v>
      </c>
      <c r="AD178" t="e">
        <f t="shared" ca="1" si="93"/>
        <v>#VALUE!</v>
      </c>
      <c r="AE178" t="e">
        <f t="shared" ca="1" si="94"/>
        <v>#VALUE!</v>
      </c>
      <c r="AF178" t="e">
        <f t="shared" ca="1" si="95"/>
        <v>#VALUE!</v>
      </c>
      <c r="AG178" t="e">
        <f t="shared" ca="1" si="96"/>
        <v>#VALUE!</v>
      </c>
      <c r="AH178" t="e">
        <f ca="1">IF(V32="Supercritical",L178,IF(V32="Subcritical",W178,IF(AND(V178=1,AG178=1),IF(T178&gt;=AE178,L178,W178),IF(V178=1,L178,IF(AG178=1,W178,MAX($D$16,POWER((ABS(K178)^2)/($I$5*MAX(F178,0.1)^2),1/3)))))))</f>
        <v>#VALUE!</v>
      </c>
      <c r="AI178" t="e">
        <f t="shared" ca="1" si="97"/>
        <v>#VALUE!</v>
      </c>
      <c r="AJ178" t="e">
        <f t="shared" ca="1" si="98"/>
        <v>#VALUE!</v>
      </c>
      <c r="AM178">
        <v>0</v>
      </c>
      <c r="AN178">
        <v>0</v>
      </c>
      <c r="AO178">
        <f t="shared" si="99"/>
        <v>0</v>
      </c>
      <c r="AP178">
        <f t="shared" si="108"/>
        <v>0</v>
      </c>
      <c r="AQ178" t="e">
        <f t="shared" ca="1" si="100"/>
        <v>#VALUE!</v>
      </c>
      <c r="AR178" t="e">
        <f t="shared" ca="1" si="101"/>
        <v>#VALUE!</v>
      </c>
      <c r="AS178" t="e">
        <f t="shared" ca="1" si="102"/>
        <v>#VALUE!</v>
      </c>
    </row>
    <row r="179" spans="1:45" x14ac:dyDescent="0.35">
      <c r="A179">
        <v>30</v>
      </c>
      <c r="B179">
        <v>28.988</v>
      </c>
      <c r="C179">
        <v>616530.10800000001</v>
      </c>
      <c r="D179">
        <v>3097748.176</v>
      </c>
      <c r="E179">
        <v>634.05849999999998</v>
      </c>
      <c r="F179">
        <v>6.1550000000000002</v>
      </c>
      <c r="G179">
        <v>0</v>
      </c>
      <c r="H179" t="s">
        <v>191</v>
      </c>
      <c r="I179">
        <v>1.2E-2</v>
      </c>
      <c r="J179">
        <f t="shared" si="103"/>
        <v>0.99899999999999878</v>
      </c>
      <c r="K179">
        <f t="shared" si="104"/>
        <v>51</v>
      </c>
      <c r="L179" t="e">
        <f t="shared" ca="1" si="105"/>
        <v>#VALUE!</v>
      </c>
      <c r="M179" t="e">
        <f t="shared" ca="1" si="78"/>
        <v>#VALUE!</v>
      </c>
      <c r="N179" t="e">
        <f t="shared" ca="1" si="79"/>
        <v>#VALUE!</v>
      </c>
      <c r="O179" t="e">
        <f t="shared" ca="1" si="80"/>
        <v>#VALUE!</v>
      </c>
      <c r="P179" t="e">
        <f t="shared" ca="1" si="81"/>
        <v>#VALUE!</v>
      </c>
      <c r="Q179" t="e">
        <f t="shared" ca="1" si="82"/>
        <v>#VALUE!</v>
      </c>
      <c r="R179" t="e">
        <f t="shared" ca="1" si="83"/>
        <v>#VALUE!</v>
      </c>
      <c r="S179" t="e">
        <f t="shared" ca="1" si="84"/>
        <v>#VALUE!</v>
      </c>
      <c r="T179" t="e">
        <f t="shared" ca="1" si="85"/>
        <v>#VALUE!</v>
      </c>
      <c r="U179" t="e">
        <f t="shared" ca="1" si="106"/>
        <v>#VALUE!</v>
      </c>
      <c r="V179" t="e">
        <f t="shared" ca="1" si="107"/>
        <v>#VALUE!</v>
      </c>
      <c r="W179" t="e">
        <f t="shared" ca="1" si="86"/>
        <v>#VALUE!</v>
      </c>
      <c r="X179" t="e">
        <f t="shared" ca="1" si="87"/>
        <v>#VALUE!</v>
      </c>
      <c r="Y179" t="e">
        <f t="shared" ca="1" si="88"/>
        <v>#VALUE!</v>
      </c>
      <c r="Z179" t="e">
        <f t="shared" ca="1" si="89"/>
        <v>#VALUE!</v>
      </c>
      <c r="AA179" t="e">
        <f t="shared" ca="1" si="90"/>
        <v>#VALUE!</v>
      </c>
      <c r="AB179" t="e">
        <f t="shared" ca="1" si="91"/>
        <v>#VALUE!</v>
      </c>
      <c r="AC179" t="e">
        <f t="shared" ca="1" si="92"/>
        <v>#VALUE!</v>
      </c>
      <c r="AD179" t="e">
        <f t="shared" ca="1" si="93"/>
        <v>#VALUE!</v>
      </c>
      <c r="AE179" t="e">
        <f t="shared" ca="1" si="94"/>
        <v>#VALUE!</v>
      </c>
      <c r="AF179" t="e">
        <f t="shared" ca="1" si="95"/>
        <v>#VALUE!</v>
      </c>
      <c r="AG179" t="e">
        <f t="shared" ca="1" si="96"/>
        <v>#VALUE!</v>
      </c>
      <c r="AH179" t="e">
        <f ca="1">IF(V32="Supercritical",L179,IF(V32="Subcritical",W179,IF(AND(V179=1,AG179=1),IF(T179&gt;=AE179,L179,W179),IF(V179=1,L179,IF(AG179=1,W179,MAX($D$16,POWER((ABS(K179)^2)/($I$5*MAX(F179,0.1)^2),1/3)))))))</f>
        <v>#VALUE!</v>
      </c>
      <c r="AI179" t="e">
        <f t="shared" ca="1" si="97"/>
        <v>#VALUE!</v>
      </c>
      <c r="AJ179" t="e">
        <f t="shared" ca="1" si="98"/>
        <v>#VALUE!</v>
      </c>
      <c r="AM179">
        <v>0</v>
      </c>
      <c r="AN179">
        <v>0</v>
      </c>
      <c r="AO179">
        <f t="shared" si="99"/>
        <v>0</v>
      </c>
      <c r="AP179">
        <f t="shared" si="108"/>
        <v>0</v>
      </c>
      <c r="AQ179" t="e">
        <f t="shared" ca="1" si="100"/>
        <v>#VALUE!</v>
      </c>
      <c r="AR179" t="e">
        <f t="shared" ca="1" si="101"/>
        <v>#VALUE!</v>
      </c>
      <c r="AS179" t="e">
        <f t="shared" ca="1" si="102"/>
        <v>#VALUE!</v>
      </c>
    </row>
    <row r="180" spans="1:45" x14ac:dyDescent="0.35">
      <c r="A180">
        <v>31</v>
      </c>
      <c r="B180">
        <v>29.989000000000001</v>
      </c>
      <c r="C180">
        <v>616529.30700000003</v>
      </c>
      <c r="D180">
        <v>3097747.5759999999</v>
      </c>
      <c r="E180">
        <v>633.99599999999998</v>
      </c>
      <c r="F180">
        <v>6.2380000000000004</v>
      </c>
      <c r="G180">
        <v>0</v>
      </c>
      <c r="H180" t="s">
        <v>191</v>
      </c>
      <c r="I180">
        <v>3.5030000000000001</v>
      </c>
      <c r="J180">
        <f t="shared" si="103"/>
        <v>1.0010000000000012</v>
      </c>
      <c r="K180">
        <f t="shared" si="104"/>
        <v>51</v>
      </c>
      <c r="L180" t="e">
        <f t="shared" ca="1" si="105"/>
        <v>#VALUE!</v>
      </c>
      <c r="M180" t="e">
        <f t="shared" ca="1" si="78"/>
        <v>#VALUE!</v>
      </c>
      <c r="N180" t="e">
        <f t="shared" ca="1" si="79"/>
        <v>#VALUE!</v>
      </c>
      <c r="O180" t="e">
        <f t="shared" ca="1" si="80"/>
        <v>#VALUE!</v>
      </c>
      <c r="P180" t="e">
        <f t="shared" ca="1" si="81"/>
        <v>#VALUE!</v>
      </c>
      <c r="Q180" t="e">
        <f t="shared" ca="1" si="82"/>
        <v>#VALUE!</v>
      </c>
      <c r="R180" t="e">
        <f t="shared" ca="1" si="83"/>
        <v>#VALUE!</v>
      </c>
      <c r="S180" t="e">
        <f t="shared" ca="1" si="84"/>
        <v>#VALUE!</v>
      </c>
      <c r="T180" t="e">
        <f t="shared" ca="1" si="85"/>
        <v>#VALUE!</v>
      </c>
      <c r="U180" t="e">
        <f t="shared" ca="1" si="106"/>
        <v>#VALUE!</v>
      </c>
      <c r="V180" t="e">
        <f t="shared" ca="1" si="107"/>
        <v>#VALUE!</v>
      </c>
      <c r="W180" t="e">
        <f t="shared" ca="1" si="86"/>
        <v>#VALUE!</v>
      </c>
      <c r="X180" t="e">
        <f t="shared" ca="1" si="87"/>
        <v>#VALUE!</v>
      </c>
      <c r="Y180" t="e">
        <f t="shared" ca="1" si="88"/>
        <v>#VALUE!</v>
      </c>
      <c r="Z180" t="e">
        <f t="shared" ca="1" si="89"/>
        <v>#VALUE!</v>
      </c>
      <c r="AA180" t="e">
        <f t="shared" ca="1" si="90"/>
        <v>#VALUE!</v>
      </c>
      <c r="AB180" t="e">
        <f t="shared" ca="1" si="91"/>
        <v>#VALUE!</v>
      </c>
      <c r="AC180" t="e">
        <f t="shared" ca="1" si="92"/>
        <v>#VALUE!</v>
      </c>
      <c r="AD180" t="e">
        <f t="shared" ca="1" si="93"/>
        <v>#VALUE!</v>
      </c>
      <c r="AE180" t="e">
        <f t="shared" ca="1" si="94"/>
        <v>#VALUE!</v>
      </c>
      <c r="AF180" t="e">
        <f t="shared" ca="1" si="95"/>
        <v>#VALUE!</v>
      </c>
      <c r="AG180" t="e">
        <f t="shared" ca="1" si="96"/>
        <v>#VALUE!</v>
      </c>
      <c r="AH180" t="e">
        <f ca="1">IF(V32="Supercritical",L180,IF(V32="Subcritical",W180,IF(AND(V180=1,AG180=1),IF(T180&gt;=AE180,L180,W180),IF(V180=1,L180,IF(AG180=1,W180,MAX($D$16,POWER((ABS(K180)^2)/($I$5*MAX(F180,0.1)^2),1/3)))))))</f>
        <v>#VALUE!</v>
      </c>
      <c r="AI180" t="e">
        <f t="shared" ca="1" si="97"/>
        <v>#VALUE!</v>
      </c>
      <c r="AJ180" t="e">
        <f t="shared" ca="1" si="98"/>
        <v>#VALUE!</v>
      </c>
      <c r="AM180">
        <v>0</v>
      </c>
      <c r="AN180">
        <v>0</v>
      </c>
      <c r="AO180">
        <f t="shared" si="99"/>
        <v>0</v>
      </c>
      <c r="AP180">
        <f t="shared" si="108"/>
        <v>0</v>
      </c>
      <c r="AQ180" t="e">
        <f t="shared" ca="1" si="100"/>
        <v>#VALUE!</v>
      </c>
      <c r="AR180" t="e">
        <f t="shared" ca="1" si="101"/>
        <v>#VALUE!</v>
      </c>
      <c r="AS180" t="e">
        <f t="shared" ca="1" si="102"/>
        <v>#VALUE!</v>
      </c>
    </row>
    <row r="181" spans="1:45" x14ac:dyDescent="0.35">
      <c r="A181">
        <v>32</v>
      </c>
      <c r="B181">
        <v>30.981000000000002</v>
      </c>
      <c r="C181">
        <v>616528.55099999998</v>
      </c>
      <c r="D181">
        <v>3097746.9339999999</v>
      </c>
      <c r="E181">
        <v>633.99400000000003</v>
      </c>
      <c r="F181">
        <v>6</v>
      </c>
      <c r="G181">
        <v>0</v>
      </c>
      <c r="H181" t="s">
        <v>191</v>
      </c>
      <c r="I181">
        <v>14.637</v>
      </c>
      <c r="J181">
        <f t="shared" si="103"/>
        <v>0.99200000000000088</v>
      </c>
      <c r="K181">
        <f t="shared" si="104"/>
        <v>51</v>
      </c>
      <c r="L181" t="e">
        <f t="shared" ca="1" si="105"/>
        <v>#VALUE!</v>
      </c>
      <c r="M181" t="e">
        <f t="shared" ca="1" si="78"/>
        <v>#VALUE!</v>
      </c>
      <c r="N181" t="e">
        <f t="shared" ca="1" si="79"/>
        <v>#VALUE!</v>
      </c>
      <c r="O181" t="e">
        <f t="shared" ca="1" si="80"/>
        <v>#VALUE!</v>
      </c>
      <c r="P181" t="e">
        <f t="shared" ca="1" si="81"/>
        <v>#VALUE!</v>
      </c>
      <c r="Q181" t="e">
        <f t="shared" ca="1" si="82"/>
        <v>#VALUE!</v>
      </c>
      <c r="R181" t="e">
        <f t="shared" ca="1" si="83"/>
        <v>#VALUE!</v>
      </c>
      <c r="S181" t="e">
        <f t="shared" ca="1" si="84"/>
        <v>#VALUE!</v>
      </c>
      <c r="T181" t="e">
        <f t="shared" ca="1" si="85"/>
        <v>#VALUE!</v>
      </c>
      <c r="U181" t="e">
        <f t="shared" ca="1" si="106"/>
        <v>#VALUE!</v>
      </c>
      <c r="V181" t="e">
        <f t="shared" ca="1" si="107"/>
        <v>#VALUE!</v>
      </c>
      <c r="W181" t="e">
        <f t="shared" ca="1" si="86"/>
        <v>#VALUE!</v>
      </c>
      <c r="X181" t="e">
        <f t="shared" ca="1" si="87"/>
        <v>#VALUE!</v>
      </c>
      <c r="Y181" t="e">
        <f t="shared" ca="1" si="88"/>
        <v>#VALUE!</v>
      </c>
      <c r="Z181" t="e">
        <f t="shared" ca="1" si="89"/>
        <v>#VALUE!</v>
      </c>
      <c r="AA181" t="e">
        <f t="shared" ca="1" si="90"/>
        <v>#VALUE!</v>
      </c>
      <c r="AB181" t="e">
        <f t="shared" ca="1" si="91"/>
        <v>#VALUE!</v>
      </c>
      <c r="AC181" t="e">
        <f t="shared" ca="1" si="92"/>
        <v>#VALUE!</v>
      </c>
      <c r="AD181" t="e">
        <f t="shared" ca="1" si="93"/>
        <v>#VALUE!</v>
      </c>
      <c r="AE181" t="e">
        <f t="shared" ca="1" si="94"/>
        <v>#VALUE!</v>
      </c>
      <c r="AF181" t="e">
        <f t="shared" ca="1" si="95"/>
        <v>#VALUE!</v>
      </c>
      <c r="AG181" t="e">
        <f t="shared" ca="1" si="96"/>
        <v>#VALUE!</v>
      </c>
      <c r="AH181" t="e">
        <f ca="1">IF(V32="Supercritical",L181,IF(V32="Subcritical",W181,IF(AND(V181=1,AG181=1),IF(T181&gt;=AE181,L181,W181),IF(V181=1,L181,IF(AG181=1,W181,MAX($D$16,POWER((ABS(K181)^2)/($I$5*MAX(F181,0.1)^2),1/3)))))))</f>
        <v>#VALUE!</v>
      </c>
      <c r="AI181" t="e">
        <f t="shared" ca="1" si="97"/>
        <v>#VALUE!</v>
      </c>
      <c r="AJ181" t="e">
        <f t="shared" ca="1" si="98"/>
        <v>#VALUE!</v>
      </c>
      <c r="AM181">
        <v>0</v>
      </c>
      <c r="AN181">
        <v>0</v>
      </c>
      <c r="AO181">
        <f t="shared" si="99"/>
        <v>0</v>
      </c>
      <c r="AP181">
        <f t="shared" si="108"/>
        <v>0</v>
      </c>
      <c r="AQ181" t="e">
        <f t="shared" ca="1" si="100"/>
        <v>#VALUE!</v>
      </c>
      <c r="AR181" t="e">
        <f t="shared" ca="1" si="101"/>
        <v>#VALUE!</v>
      </c>
      <c r="AS181" t="e">
        <f t="shared" ca="1" si="102"/>
        <v>#VALUE!</v>
      </c>
    </row>
    <row r="182" spans="1:45" x14ac:dyDescent="0.35">
      <c r="A182">
        <v>33</v>
      </c>
      <c r="B182">
        <v>31.981000000000002</v>
      </c>
      <c r="C182">
        <v>616527.97699999996</v>
      </c>
      <c r="D182">
        <v>3097746.1150000002</v>
      </c>
      <c r="E182">
        <v>633.99199999999996</v>
      </c>
      <c r="F182">
        <v>6</v>
      </c>
      <c r="G182">
        <v>0</v>
      </c>
      <c r="H182" t="s">
        <v>191</v>
      </c>
      <c r="I182">
        <v>0.08</v>
      </c>
      <c r="J182">
        <f t="shared" si="103"/>
        <v>1</v>
      </c>
      <c r="K182">
        <f t="shared" si="104"/>
        <v>51</v>
      </c>
      <c r="L182" t="e">
        <f t="shared" ca="1" si="105"/>
        <v>#VALUE!</v>
      </c>
      <c r="M182" t="e">
        <f t="shared" ca="1" si="78"/>
        <v>#VALUE!</v>
      </c>
      <c r="N182" t="e">
        <f t="shared" ca="1" si="79"/>
        <v>#VALUE!</v>
      </c>
      <c r="O182" t="e">
        <f t="shared" ca="1" si="80"/>
        <v>#VALUE!</v>
      </c>
      <c r="P182" t="e">
        <f t="shared" ca="1" si="81"/>
        <v>#VALUE!</v>
      </c>
      <c r="Q182" t="e">
        <f t="shared" ca="1" si="82"/>
        <v>#VALUE!</v>
      </c>
      <c r="R182" t="e">
        <f t="shared" ca="1" si="83"/>
        <v>#VALUE!</v>
      </c>
      <c r="S182" t="e">
        <f t="shared" ca="1" si="84"/>
        <v>#VALUE!</v>
      </c>
      <c r="T182" t="e">
        <f t="shared" ca="1" si="85"/>
        <v>#VALUE!</v>
      </c>
      <c r="U182" t="e">
        <f t="shared" ca="1" si="106"/>
        <v>#VALUE!</v>
      </c>
      <c r="V182" t="e">
        <f t="shared" ca="1" si="107"/>
        <v>#VALUE!</v>
      </c>
      <c r="W182" t="e">
        <f t="shared" ca="1" si="86"/>
        <v>#VALUE!</v>
      </c>
      <c r="X182" t="e">
        <f t="shared" ca="1" si="87"/>
        <v>#VALUE!</v>
      </c>
      <c r="Y182" t="e">
        <f t="shared" ca="1" si="88"/>
        <v>#VALUE!</v>
      </c>
      <c r="Z182" t="e">
        <f t="shared" ca="1" si="89"/>
        <v>#VALUE!</v>
      </c>
      <c r="AA182" t="e">
        <f t="shared" ca="1" si="90"/>
        <v>#VALUE!</v>
      </c>
      <c r="AB182" t="e">
        <f t="shared" ca="1" si="91"/>
        <v>#VALUE!</v>
      </c>
      <c r="AC182" t="e">
        <f t="shared" ca="1" si="92"/>
        <v>#VALUE!</v>
      </c>
      <c r="AD182" t="e">
        <f t="shared" ca="1" si="93"/>
        <v>#VALUE!</v>
      </c>
      <c r="AE182" t="e">
        <f t="shared" ca="1" si="94"/>
        <v>#VALUE!</v>
      </c>
      <c r="AF182" t="e">
        <f t="shared" ca="1" si="95"/>
        <v>#VALUE!</v>
      </c>
      <c r="AG182" t="e">
        <f t="shared" ca="1" si="96"/>
        <v>#VALUE!</v>
      </c>
      <c r="AH182" t="e">
        <f ca="1">IF(V32="Supercritical",L182,IF(V32="Subcritical",W182,IF(AND(V182=1,AG182=1),IF(T182&gt;=AE182,L182,W182),IF(V182=1,L182,IF(AG182=1,W182,MAX($D$16,POWER((ABS(K182)^2)/($I$5*MAX(F182,0.1)^2),1/3)))))))</f>
        <v>#VALUE!</v>
      </c>
      <c r="AI182" t="e">
        <f t="shared" ca="1" si="97"/>
        <v>#VALUE!</v>
      </c>
      <c r="AJ182" t="e">
        <f t="shared" ca="1" si="98"/>
        <v>#VALUE!</v>
      </c>
      <c r="AM182">
        <v>0</v>
      </c>
      <c r="AN182">
        <v>0</v>
      </c>
      <c r="AO182">
        <f t="shared" si="99"/>
        <v>0</v>
      </c>
      <c r="AP182">
        <f t="shared" si="108"/>
        <v>0</v>
      </c>
      <c r="AQ182" t="e">
        <f t="shared" ca="1" si="100"/>
        <v>#VALUE!</v>
      </c>
      <c r="AR182" t="e">
        <f t="shared" ca="1" si="101"/>
        <v>#VALUE!</v>
      </c>
      <c r="AS182" t="e">
        <f t="shared" ca="1" si="102"/>
        <v>#VALUE!</v>
      </c>
    </row>
    <row r="183" spans="1:45" x14ac:dyDescent="0.35">
      <c r="A183">
        <v>34</v>
      </c>
      <c r="B183">
        <v>32.981000000000002</v>
      </c>
      <c r="C183">
        <v>616527.402</v>
      </c>
      <c r="D183">
        <v>3097745.2969999998</v>
      </c>
      <c r="E183">
        <v>633.99</v>
      </c>
      <c r="F183">
        <v>6</v>
      </c>
      <c r="G183">
        <v>0</v>
      </c>
      <c r="H183" t="s">
        <v>191</v>
      </c>
      <c r="I183">
        <v>0.08</v>
      </c>
      <c r="J183">
        <f t="shared" si="103"/>
        <v>1</v>
      </c>
      <c r="K183">
        <f t="shared" si="104"/>
        <v>51</v>
      </c>
      <c r="L183" t="e">
        <f t="shared" ca="1" si="105"/>
        <v>#VALUE!</v>
      </c>
      <c r="M183" t="e">
        <f t="shared" ca="1" si="78"/>
        <v>#VALUE!</v>
      </c>
      <c r="N183" t="e">
        <f t="shared" ca="1" si="79"/>
        <v>#VALUE!</v>
      </c>
      <c r="O183" t="e">
        <f t="shared" ca="1" si="80"/>
        <v>#VALUE!</v>
      </c>
      <c r="P183" t="e">
        <f t="shared" ca="1" si="81"/>
        <v>#VALUE!</v>
      </c>
      <c r="Q183" t="e">
        <f t="shared" ca="1" si="82"/>
        <v>#VALUE!</v>
      </c>
      <c r="R183" t="e">
        <f t="shared" ca="1" si="83"/>
        <v>#VALUE!</v>
      </c>
      <c r="S183" t="e">
        <f t="shared" ca="1" si="84"/>
        <v>#VALUE!</v>
      </c>
      <c r="T183" t="e">
        <f t="shared" ca="1" si="85"/>
        <v>#VALUE!</v>
      </c>
      <c r="U183" t="e">
        <f t="shared" ca="1" si="106"/>
        <v>#VALUE!</v>
      </c>
      <c r="V183" t="e">
        <f t="shared" ca="1" si="107"/>
        <v>#VALUE!</v>
      </c>
      <c r="W183" t="e">
        <f t="shared" ca="1" si="86"/>
        <v>#VALUE!</v>
      </c>
      <c r="X183" t="e">
        <f t="shared" ca="1" si="87"/>
        <v>#VALUE!</v>
      </c>
      <c r="Y183" t="e">
        <f t="shared" ca="1" si="88"/>
        <v>#VALUE!</v>
      </c>
      <c r="Z183" t="e">
        <f t="shared" ca="1" si="89"/>
        <v>#VALUE!</v>
      </c>
      <c r="AA183" t="e">
        <f t="shared" ca="1" si="90"/>
        <v>#VALUE!</v>
      </c>
      <c r="AB183" t="e">
        <f t="shared" ca="1" si="91"/>
        <v>#VALUE!</v>
      </c>
      <c r="AC183" t="e">
        <f t="shared" ca="1" si="92"/>
        <v>#VALUE!</v>
      </c>
      <c r="AD183" t="e">
        <f t="shared" ca="1" si="93"/>
        <v>#VALUE!</v>
      </c>
      <c r="AE183" t="e">
        <f t="shared" ca="1" si="94"/>
        <v>#VALUE!</v>
      </c>
      <c r="AF183" t="e">
        <f t="shared" ca="1" si="95"/>
        <v>#VALUE!</v>
      </c>
      <c r="AG183" t="e">
        <f t="shared" ca="1" si="96"/>
        <v>#VALUE!</v>
      </c>
      <c r="AH183" t="e">
        <f ca="1">IF(V32="Supercritical",L183,IF(V32="Subcritical",W183,IF(AND(V183=1,AG183=1),IF(T183&gt;=AE183,L183,W183),IF(V183=1,L183,IF(AG183=1,W183,MAX($D$16,POWER((ABS(K183)^2)/($I$5*MAX(F183,0.1)^2),1/3)))))))</f>
        <v>#VALUE!</v>
      </c>
      <c r="AI183" t="e">
        <f t="shared" ca="1" si="97"/>
        <v>#VALUE!</v>
      </c>
      <c r="AJ183" t="e">
        <f t="shared" ca="1" si="98"/>
        <v>#VALUE!</v>
      </c>
      <c r="AM183">
        <v>0</v>
      </c>
      <c r="AN183">
        <v>0</v>
      </c>
      <c r="AO183">
        <f t="shared" si="99"/>
        <v>0</v>
      </c>
      <c r="AP183">
        <f t="shared" si="108"/>
        <v>0</v>
      </c>
      <c r="AQ183" t="e">
        <f t="shared" ca="1" si="100"/>
        <v>#VALUE!</v>
      </c>
      <c r="AR183" t="e">
        <f t="shared" ca="1" si="101"/>
        <v>#VALUE!</v>
      </c>
      <c r="AS183" t="e">
        <f t="shared" ca="1" si="102"/>
        <v>#VALUE!</v>
      </c>
    </row>
    <row r="184" spans="1:45" x14ac:dyDescent="0.35">
      <c r="A184">
        <v>35</v>
      </c>
      <c r="B184">
        <v>33.981000000000002</v>
      </c>
      <c r="C184">
        <v>616526.82799999998</v>
      </c>
      <c r="D184">
        <v>3097744.4780000001</v>
      </c>
      <c r="E184">
        <v>633.98800000000006</v>
      </c>
      <c r="F184">
        <v>6</v>
      </c>
      <c r="G184">
        <v>0</v>
      </c>
      <c r="H184" t="s">
        <v>191</v>
      </c>
      <c r="I184">
        <v>4.7E-2</v>
      </c>
      <c r="J184">
        <f t="shared" si="103"/>
        <v>1</v>
      </c>
      <c r="K184">
        <f t="shared" si="104"/>
        <v>51</v>
      </c>
      <c r="L184" t="e">
        <f t="shared" ca="1" si="105"/>
        <v>#VALUE!</v>
      </c>
      <c r="M184" t="e">
        <f t="shared" ca="1" si="78"/>
        <v>#VALUE!</v>
      </c>
      <c r="N184" t="e">
        <f t="shared" ca="1" si="79"/>
        <v>#VALUE!</v>
      </c>
      <c r="O184" t="e">
        <f t="shared" ca="1" si="80"/>
        <v>#VALUE!</v>
      </c>
      <c r="P184" t="e">
        <f t="shared" ca="1" si="81"/>
        <v>#VALUE!</v>
      </c>
      <c r="Q184" t="e">
        <f t="shared" ca="1" si="82"/>
        <v>#VALUE!</v>
      </c>
      <c r="R184" t="e">
        <f t="shared" ca="1" si="83"/>
        <v>#VALUE!</v>
      </c>
      <c r="S184" t="e">
        <f t="shared" ca="1" si="84"/>
        <v>#VALUE!</v>
      </c>
      <c r="T184" t="e">
        <f t="shared" ca="1" si="85"/>
        <v>#VALUE!</v>
      </c>
      <c r="U184" t="e">
        <f t="shared" ca="1" si="106"/>
        <v>#VALUE!</v>
      </c>
      <c r="V184" t="e">
        <f t="shared" ca="1" si="107"/>
        <v>#VALUE!</v>
      </c>
      <c r="W184" t="e">
        <f t="shared" ca="1" si="86"/>
        <v>#VALUE!</v>
      </c>
      <c r="X184" t="e">
        <f t="shared" ca="1" si="87"/>
        <v>#VALUE!</v>
      </c>
      <c r="Y184" t="e">
        <f t="shared" ca="1" si="88"/>
        <v>#VALUE!</v>
      </c>
      <c r="Z184" t="e">
        <f t="shared" ca="1" si="89"/>
        <v>#VALUE!</v>
      </c>
      <c r="AA184" t="e">
        <f t="shared" ca="1" si="90"/>
        <v>#VALUE!</v>
      </c>
      <c r="AB184" t="e">
        <f t="shared" ca="1" si="91"/>
        <v>#VALUE!</v>
      </c>
      <c r="AC184" t="e">
        <f t="shared" ca="1" si="92"/>
        <v>#VALUE!</v>
      </c>
      <c r="AD184" t="e">
        <f t="shared" ca="1" si="93"/>
        <v>#VALUE!</v>
      </c>
      <c r="AE184" t="e">
        <f t="shared" ca="1" si="94"/>
        <v>#VALUE!</v>
      </c>
      <c r="AF184" t="e">
        <f t="shared" ca="1" si="95"/>
        <v>#VALUE!</v>
      </c>
      <c r="AG184" t="e">
        <f t="shared" ca="1" si="96"/>
        <v>#VALUE!</v>
      </c>
      <c r="AH184" t="e">
        <f ca="1">IF(V32="Supercritical",L184,IF(V32="Subcritical",W184,IF(AND(V184=1,AG184=1),IF(T184&gt;=AE184,L184,W184),IF(V184=1,L184,IF(AG184=1,W184,MAX($D$16,POWER((ABS(K184)^2)/($I$5*MAX(F184,0.1)^2),1/3)))))))</f>
        <v>#VALUE!</v>
      </c>
      <c r="AI184" t="e">
        <f t="shared" ca="1" si="97"/>
        <v>#VALUE!</v>
      </c>
      <c r="AJ184" t="e">
        <f t="shared" ca="1" si="98"/>
        <v>#VALUE!</v>
      </c>
      <c r="AM184">
        <v>0</v>
      </c>
      <c r="AN184">
        <v>0</v>
      </c>
      <c r="AO184">
        <f t="shared" si="99"/>
        <v>0</v>
      </c>
      <c r="AP184">
        <f t="shared" si="108"/>
        <v>0</v>
      </c>
      <c r="AQ184" t="e">
        <f t="shared" ca="1" si="100"/>
        <v>#VALUE!</v>
      </c>
      <c r="AR184" t="e">
        <f t="shared" ca="1" si="101"/>
        <v>#VALUE!</v>
      </c>
      <c r="AS184" t="e">
        <f t="shared" ca="1" si="102"/>
        <v>#VALUE!</v>
      </c>
    </row>
    <row r="185" spans="1:45" x14ac:dyDescent="0.35">
      <c r="A185">
        <v>36</v>
      </c>
      <c r="B185">
        <v>34.981999999999999</v>
      </c>
      <c r="C185">
        <v>616526.25300000003</v>
      </c>
      <c r="D185">
        <v>3097743.659</v>
      </c>
      <c r="E185">
        <v>633.98599999999999</v>
      </c>
      <c r="F185">
        <v>6</v>
      </c>
      <c r="G185">
        <v>0</v>
      </c>
      <c r="H185" t="s">
        <v>191</v>
      </c>
      <c r="I185">
        <v>1.4E-2</v>
      </c>
      <c r="J185">
        <f t="shared" si="103"/>
        <v>1.0009999999999977</v>
      </c>
      <c r="K185">
        <f t="shared" si="104"/>
        <v>51</v>
      </c>
      <c r="L185" t="e">
        <f t="shared" ca="1" si="105"/>
        <v>#VALUE!</v>
      </c>
      <c r="M185" t="e">
        <f t="shared" ca="1" si="78"/>
        <v>#VALUE!</v>
      </c>
      <c r="N185" t="e">
        <f t="shared" ca="1" si="79"/>
        <v>#VALUE!</v>
      </c>
      <c r="O185" t="e">
        <f t="shared" ca="1" si="80"/>
        <v>#VALUE!</v>
      </c>
      <c r="P185" t="e">
        <f t="shared" ca="1" si="81"/>
        <v>#VALUE!</v>
      </c>
      <c r="Q185" t="e">
        <f t="shared" ca="1" si="82"/>
        <v>#VALUE!</v>
      </c>
      <c r="R185" t="e">
        <f t="shared" ca="1" si="83"/>
        <v>#VALUE!</v>
      </c>
      <c r="S185" t="e">
        <f t="shared" ca="1" si="84"/>
        <v>#VALUE!</v>
      </c>
      <c r="T185" t="e">
        <f t="shared" ca="1" si="85"/>
        <v>#VALUE!</v>
      </c>
      <c r="U185" t="e">
        <f t="shared" ca="1" si="106"/>
        <v>#VALUE!</v>
      </c>
      <c r="V185" t="e">
        <f t="shared" ca="1" si="107"/>
        <v>#VALUE!</v>
      </c>
      <c r="W185" t="e">
        <f t="shared" ca="1" si="86"/>
        <v>#VALUE!</v>
      </c>
      <c r="X185" t="e">
        <f t="shared" ca="1" si="87"/>
        <v>#VALUE!</v>
      </c>
      <c r="Y185" t="e">
        <f t="shared" ca="1" si="88"/>
        <v>#VALUE!</v>
      </c>
      <c r="Z185" t="e">
        <f t="shared" ca="1" si="89"/>
        <v>#VALUE!</v>
      </c>
      <c r="AA185" t="e">
        <f t="shared" ca="1" si="90"/>
        <v>#VALUE!</v>
      </c>
      <c r="AB185" t="e">
        <f t="shared" ca="1" si="91"/>
        <v>#VALUE!</v>
      </c>
      <c r="AC185" t="e">
        <f t="shared" ca="1" si="92"/>
        <v>#VALUE!</v>
      </c>
      <c r="AD185" t="e">
        <f t="shared" ca="1" si="93"/>
        <v>#VALUE!</v>
      </c>
      <c r="AE185" t="e">
        <f t="shared" ca="1" si="94"/>
        <v>#VALUE!</v>
      </c>
      <c r="AF185" t="e">
        <f t="shared" ca="1" si="95"/>
        <v>#VALUE!</v>
      </c>
      <c r="AG185" t="e">
        <f t="shared" ca="1" si="96"/>
        <v>#VALUE!</v>
      </c>
      <c r="AH185" t="e">
        <f ca="1">IF(V32="Supercritical",L185,IF(V32="Subcritical",W185,IF(AND(V185=1,AG185=1),IF(T185&gt;=AE185,L185,W185),IF(V185=1,L185,IF(AG185=1,W185,MAX($D$16,POWER((ABS(K185)^2)/($I$5*MAX(F185,0.1)^2),1/3)))))))</f>
        <v>#VALUE!</v>
      </c>
      <c r="AI185" t="e">
        <f t="shared" ca="1" si="97"/>
        <v>#VALUE!</v>
      </c>
      <c r="AJ185" t="e">
        <f t="shared" ca="1" si="98"/>
        <v>#VALUE!</v>
      </c>
      <c r="AM185">
        <v>0</v>
      </c>
      <c r="AN185">
        <v>0</v>
      </c>
      <c r="AO185">
        <f t="shared" si="99"/>
        <v>0</v>
      </c>
      <c r="AP185">
        <f t="shared" si="108"/>
        <v>0</v>
      </c>
      <c r="AQ185" t="e">
        <f t="shared" ca="1" si="100"/>
        <v>#VALUE!</v>
      </c>
      <c r="AR185" t="e">
        <f t="shared" ca="1" si="101"/>
        <v>#VALUE!</v>
      </c>
      <c r="AS185" t="e">
        <f t="shared" ca="1" si="102"/>
        <v>#VALUE!</v>
      </c>
    </row>
    <row r="186" spans="1:45" x14ac:dyDescent="0.35">
      <c r="A186">
        <v>37</v>
      </c>
      <c r="B186">
        <v>35.981000000000002</v>
      </c>
      <c r="C186">
        <v>616525.679</v>
      </c>
      <c r="D186">
        <v>3097742.841</v>
      </c>
      <c r="E186">
        <v>633.92349999999999</v>
      </c>
      <c r="F186">
        <v>6</v>
      </c>
      <c r="G186">
        <v>0</v>
      </c>
      <c r="H186" t="s">
        <v>191</v>
      </c>
      <c r="I186">
        <v>3.3000000000000002E-2</v>
      </c>
      <c r="J186">
        <f t="shared" si="103"/>
        <v>0.99900000000000233</v>
      </c>
      <c r="K186">
        <f t="shared" si="104"/>
        <v>51</v>
      </c>
      <c r="L186" t="e">
        <f t="shared" ca="1" si="105"/>
        <v>#VALUE!</v>
      </c>
      <c r="M186" t="e">
        <f t="shared" ca="1" si="78"/>
        <v>#VALUE!</v>
      </c>
      <c r="N186" t="e">
        <f t="shared" ca="1" si="79"/>
        <v>#VALUE!</v>
      </c>
      <c r="O186" t="e">
        <f t="shared" ca="1" si="80"/>
        <v>#VALUE!</v>
      </c>
      <c r="P186" t="e">
        <f t="shared" ca="1" si="81"/>
        <v>#VALUE!</v>
      </c>
      <c r="Q186" t="e">
        <f t="shared" ca="1" si="82"/>
        <v>#VALUE!</v>
      </c>
      <c r="R186" t="e">
        <f t="shared" ca="1" si="83"/>
        <v>#VALUE!</v>
      </c>
      <c r="S186" t="e">
        <f t="shared" ca="1" si="84"/>
        <v>#VALUE!</v>
      </c>
      <c r="T186" t="e">
        <f t="shared" ca="1" si="85"/>
        <v>#VALUE!</v>
      </c>
      <c r="U186" t="e">
        <f t="shared" ca="1" si="106"/>
        <v>#VALUE!</v>
      </c>
      <c r="V186" t="e">
        <f t="shared" ca="1" si="107"/>
        <v>#VALUE!</v>
      </c>
      <c r="W186" t="e">
        <f t="shared" ca="1" si="86"/>
        <v>#VALUE!</v>
      </c>
      <c r="X186" t="e">
        <f t="shared" ca="1" si="87"/>
        <v>#VALUE!</v>
      </c>
      <c r="Y186" t="e">
        <f t="shared" ca="1" si="88"/>
        <v>#VALUE!</v>
      </c>
      <c r="Z186" t="e">
        <f t="shared" ca="1" si="89"/>
        <v>#VALUE!</v>
      </c>
      <c r="AA186" t="e">
        <f t="shared" ca="1" si="90"/>
        <v>#VALUE!</v>
      </c>
      <c r="AB186" t="e">
        <f t="shared" ca="1" si="91"/>
        <v>#VALUE!</v>
      </c>
      <c r="AC186" t="e">
        <f t="shared" ca="1" si="92"/>
        <v>#VALUE!</v>
      </c>
      <c r="AD186" t="e">
        <f t="shared" ca="1" si="93"/>
        <v>#VALUE!</v>
      </c>
      <c r="AE186" t="e">
        <f t="shared" ca="1" si="94"/>
        <v>#VALUE!</v>
      </c>
      <c r="AF186" t="e">
        <f t="shared" ca="1" si="95"/>
        <v>#VALUE!</v>
      </c>
      <c r="AG186" t="e">
        <f t="shared" ca="1" si="96"/>
        <v>#VALUE!</v>
      </c>
      <c r="AH186" t="e">
        <f ca="1">IF(V32="Supercritical",L186,IF(V32="Subcritical",W186,IF(AND(V186=1,AG186=1),IF(T186&gt;=AE186,L186,W186),IF(V186=1,L186,IF(AG186=1,W186,MAX($D$16,POWER((ABS(K186)^2)/($I$5*MAX(F186,0.1)^2),1/3)))))))</f>
        <v>#VALUE!</v>
      </c>
      <c r="AI186" t="e">
        <f t="shared" ca="1" si="97"/>
        <v>#VALUE!</v>
      </c>
      <c r="AJ186" t="e">
        <f t="shared" ca="1" si="98"/>
        <v>#VALUE!</v>
      </c>
      <c r="AM186">
        <v>0</v>
      </c>
      <c r="AN186">
        <v>0</v>
      </c>
      <c r="AO186">
        <f t="shared" si="99"/>
        <v>0</v>
      </c>
      <c r="AP186">
        <f t="shared" si="108"/>
        <v>0</v>
      </c>
      <c r="AQ186" t="e">
        <f t="shared" ca="1" si="100"/>
        <v>#VALUE!</v>
      </c>
      <c r="AR186" t="e">
        <f t="shared" ca="1" si="101"/>
        <v>#VALUE!</v>
      </c>
      <c r="AS186" t="e">
        <f t="shared" ca="1" si="102"/>
        <v>#VALUE!</v>
      </c>
    </row>
    <row r="187" spans="1:45" x14ac:dyDescent="0.35">
      <c r="A187">
        <v>38</v>
      </c>
      <c r="B187">
        <v>36.981000000000002</v>
      </c>
      <c r="C187">
        <v>616525.10499999998</v>
      </c>
      <c r="D187">
        <v>3097742.0219999999</v>
      </c>
      <c r="E187">
        <v>633.86099999999999</v>
      </c>
      <c r="F187">
        <v>6</v>
      </c>
      <c r="G187">
        <v>0</v>
      </c>
      <c r="H187" t="s">
        <v>191</v>
      </c>
      <c r="I187">
        <v>0.08</v>
      </c>
      <c r="J187">
        <f t="shared" si="103"/>
        <v>1</v>
      </c>
      <c r="K187">
        <f t="shared" si="104"/>
        <v>51</v>
      </c>
      <c r="L187" t="e">
        <f t="shared" ca="1" si="105"/>
        <v>#VALUE!</v>
      </c>
      <c r="M187" t="e">
        <f t="shared" ca="1" si="78"/>
        <v>#VALUE!</v>
      </c>
      <c r="N187" t="e">
        <f t="shared" ca="1" si="79"/>
        <v>#VALUE!</v>
      </c>
      <c r="O187" t="e">
        <f t="shared" ca="1" si="80"/>
        <v>#VALUE!</v>
      </c>
      <c r="P187" t="e">
        <f t="shared" ca="1" si="81"/>
        <v>#VALUE!</v>
      </c>
      <c r="Q187" t="e">
        <f t="shared" ca="1" si="82"/>
        <v>#VALUE!</v>
      </c>
      <c r="R187" t="e">
        <f t="shared" ca="1" si="83"/>
        <v>#VALUE!</v>
      </c>
      <c r="S187" t="e">
        <f t="shared" ca="1" si="84"/>
        <v>#VALUE!</v>
      </c>
      <c r="T187" t="e">
        <f t="shared" ca="1" si="85"/>
        <v>#VALUE!</v>
      </c>
      <c r="U187" t="e">
        <f t="shared" ca="1" si="106"/>
        <v>#VALUE!</v>
      </c>
      <c r="V187" t="e">
        <f t="shared" ca="1" si="107"/>
        <v>#VALUE!</v>
      </c>
      <c r="W187" t="e">
        <f t="shared" ca="1" si="86"/>
        <v>#VALUE!</v>
      </c>
      <c r="X187" t="e">
        <f t="shared" ca="1" si="87"/>
        <v>#VALUE!</v>
      </c>
      <c r="Y187" t="e">
        <f t="shared" ca="1" si="88"/>
        <v>#VALUE!</v>
      </c>
      <c r="Z187" t="e">
        <f t="shared" ca="1" si="89"/>
        <v>#VALUE!</v>
      </c>
      <c r="AA187" t="e">
        <f t="shared" ca="1" si="90"/>
        <v>#VALUE!</v>
      </c>
      <c r="AB187" t="e">
        <f t="shared" ca="1" si="91"/>
        <v>#VALUE!</v>
      </c>
      <c r="AC187" t="e">
        <f t="shared" ca="1" si="92"/>
        <v>#VALUE!</v>
      </c>
      <c r="AD187" t="e">
        <f t="shared" ca="1" si="93"/>
        <v>#VALUE!</v>
      </c>
      <c r="AE187" t="e">
        <f t="shared" ca="1" si="94"/>
        <v>#VALUE!</v>
      </c>
      <c r="AF187" t="e">
        <f t="shared" ca="1" si="95"/>
        <v>#VALUE!</v>
      </c>
      <c r="AG187" t="e">
        <f t="shared" ca="1" si="96"/>
        <v>#VALUE!</v>
      </c>
      <c r="AH187" t="e">
        <f ca="1">IF(V32="Supercritical",L187,IF(V32="Subcritical",W187,IF(AND(V187=1,AG187=1),IF(T187&gt;=AE187,L187,W187),IF(V187=1,L187,IF(AG187=1,W187,MAX($D$16,POWER((ABS(K187)^2)/($I$5*MAX(F187,0.1)^2),1/3)))))))</f>
        <v>#VALUE!</v>
      </c>
      <c r="AI187" t="e">
        <f t="shared" ca="1" si="97"/>
        <v>#VALUE!</v>
      </c>
      <c r="AJ187" t="e">
        <f t="shared" ca="1" si="98"/>
        <v>#VALUE!</v>
      </c>
      <c r="AM187">
        <v>0</v>
      </c>
      <c r="AN187">
        <v>0</v>
      </c>
      <c r="AO187">
        <f t="shared" si="99"/>
        <v>0</v>
      </c>
      <c r="AP187">
        <f t="shared" si="108"/>
        <v>0</v>
      </c>
      <c r="AQ187" t="e">
        <f t="shared" ca="1" si="100"/>
        <v>#VALUE!</v>
      </c>
      <c r="AR187" t="e">
        <f t="shared" ca="1" si="101"/>
        <v>#VALUE!</v>
      </c>
      <c r="AS187" t="e">
        <f t="shared" ca="1" si="102"/>
        <v>#VALUE!</v>
      </c>
    </row>
    <row r="188" spans="1:45" x14ac:dyDescent="0.35">
      <c r="A188">
        <v>39</v>
      </c>
      <c r="B188">
        <v>37.981000000000002</v>
      </c>
      <c r="C188">
        <v>616524.53</v>
      </c>
      <c r="D188">
        <v>3097741.2039999999</v>
      </c>
      <c r="E188">
        <v>633.79849999999999</v>
      </c>
      <c r="F188">
        <v>6</v>
      </c>
      <c r="G188">
        <v>0</v>
      </c>
      <c r="H188" t="s">
        <v>191</v>
      </c>
      <c r="I188">
        <v>0.08</v>
      </c>
      <c r="J188">
        <f t="shared" si="103"/>
        <v>1</v>
      </c>
      <c r="K188">
        <f t="shared" si="104"/>
        <v>51</v>
      </c>
      <c r="L188" t="e">
        <f t="shared" ca="1" si="105"/>
        <v>#VALUE!</v>
      </c>
      <c r="M188" t="e">
        <f t="shared" ca="1" si="78"/>
        <v>#VALUE!</v>
      </c>
      <c r="N188" t="e">
        <f t="shared" ca="1" si="79"/>
        <v>#VALUE!</v>
      </c>
      <c r="O188" t="e">
        <f t="shared" ca="1" si="80"/>
        <v>#VALUE!</v>
      </c>
      <c r="P188" t="e">
        <f t="shared" ca="1" si="81"/>
        <v>#VALUE!</v>
      </c>
      <c r="Q188" t="e">
        <f t="shared" ca="1" si="82"/>
        <v>#VALUE!</v>
      </c>
      <c r="R188" t="e">
        <f t="shared" ca="1" si="83"/>
        <v>#VALUE!</v>
      </c>
      <c r="S188" t="e">
        <f t="shared" ca="1" si="84"/>
        <v>#VALUE!</v>
      </c>
      <c r="T188" t="e">
        <f t="shared" ca="1" si="85"/>
        <v>#VALUE!</v>
      </c>
      <c r="U188" t="e">
        <f t="shared" ca="1" si="106"/>
        <v>#VALUE!</v>
      </c>
      <c r="V188" t="e">
        <f t="shared" ca="1" si="107"/>
        <v>#VALUE!</v>
      </c>
      <c r="W188" t="e">
        <f t="shared" ca="1" si="86"/>
        <v>#VALUE!</v>
      </c>
      <c r="X188" t="e">
        <f t="shared" ca="1" si="87"/>
        <v>#VALUE!</v>
      </c>
      <c r="Y188" t="e">
        <f t="shared" ca="1" si="88"/>
        <v>#VALUE!</v>
      </c>
      <c r="Z188" t="e">
        <f t="shared" ca="1" si="89"/>
        <v>#VALUE!</v>
      </c>
      <c r="AA188" t="e">
        <f t="shared" ca="1" si="90"/>
        <v>#VALUE!</v>
      </c>
      <c r="AB188" t="e">
        <f t="shared" ca="1" si="91"/>
        <v>#VALUE!</v>
      </c>
      <c r="AC188" t="e">
        <f t="shared" ca="1" si="92"/>
        <v>#VALUE!</v>
      </c>
      <c r="AD188" t="e">
        <f t="shared" ca="1" si="93"/>
        <v>#VALUE!</v>
      </c>
      <c r="AE188" t="e">
        <f t="shared" ca="1" si="94"/>
        <v>#VALUE!</v>
      </c>
      <c r="AF188" t="e">
        <f t="shared" ca="1" si="95"/>
        <v>#VALUE!</v>
      </c>
      <c r="AG188" t="e">
        <f t="shared" ca="1" si="96"/>
        <v>#VALUE!</v>
      </c>
      <c r="AH188" t="e">
        <f ca="1">IF(V32="Supercritical",L188,IF(V32="Subcritical",W188,IF(AND(V188=1,AG188=1),IF(T188&gt;=AE188,L188,W188),IF(V188=1,L188,IF(AG188=1,W188,MAX($D$16,POWER((ABS(K188)^2)/($I$5*MAX(F188,0.1)^2),1/3)))))))</f>
        <v>#VALUE!</v>
      </c>
      <c r="AI188" t="e">
        <f t="shared" ca="1" si="97"/>
        <v>#VALUE!</v>
      </c>
      <c r="AJ188" t="e">
        <f t="shared" ca="1" si="98"/>
        <v>#VALUE!</v>
      </c>
      <c r="AM188">
        <v>0</v>
      </c>
      <c r="AN188">
        <v>0</v>
      </c>
      <c r="AO188">
        <f t="shared" si="99"/>
        <v>0</v>
      </c>
      <c r="AP188">
        <f t="shared" si="108"/>
        <v>0</v>
      </c>
      <c r="AQ188" t="e">
        <f t="shared" ca="1" si="100"/>
        <v>#VALUE!</v>
      </c>
      <c r="AR188" t="e">
        <f t="shared" ca="1" si="101"/>
        <v>#VALUE!</v>
      </c>
      <c r="AS188" t="e">
        <f t="shared" ca="1" si="102"/>
        <v>#VALUE!</v>
      </c>
    </row>
    <row r="189" spans="1:45" x14ac:dyDescent="0.35">
      <c r="A189">
        <v>40</v>
      </c>
      <c r="B189">
        <v>38.981000000000002</v>
      </c>
      <c r="C189">
        <v>616523.95600000001</v>
      </c>
      <c r="D189">
        <v>3097740.3849999998</v>
      </c>
      <c r="E189">
        <v>633.73599999999999</v>
      </c>
      <c r="F189">
        <v>5.9989999999999997</v>
      </c>
      <c r="G189">
        <v>0</v>
      </c>
      <c r="H189" t="s">
        <v>191</v>
      </c>
      <c r="I189">
        <v>0.08</v>
      </c>
      <c r="J189">
        <f t="shared" si="103"/>
        <v>1</v>
      </c>
      <c r="K189">
        <f t="shared" si="104"/>
        <v>51</v>
      </c>
      <c r="L189" t="e">
        <f t="shared" ca="1" si="105"/>
        <v>#VALUE!</v>
      </c>
      <c r="M189" t="e">
        <f t="shared" ca="1" si="78"/>
        <v>#VALUE!</v>
      </c>
      <c r="N189" t="e">
        <f t="shared" ca="1" si="79"/>
        <v>#VALUE!</v>
      </c>
      <c r="O189" t="e">
        <f t="shared" ca="1" si="80"/>
        <v>#VALUE!</v>
      </c>
      <c r="P189" t="e">
        <f t="shared" ca="1" si="81"/>
        <v>#VALUE!</v>
      </c>
      <c r="Q189" t="e">
        <f t="shared" ca="1" si="82"/>
        <v>#VALUE!</v>
      </c>
      <c r="R189" t="e">
        <f t="shared" ca="1" si="83"/>
        <v>#VALUE!</v>
      </c>
      <c r="S189" t="e">
        <f t="shared" ca="1" si="84"/>
        <v>#VALUE!</v>
      </c>
      <c r="T189" t="e">
        <f t="shared" ca="1" si="85"/>
        <v>#VALUE!</v>
      </c>
      <c r="U189" t="e">
        <f t="shared" ca="1" si="106"/>
        <v>#VALUE!</v>
      </c>
      <c r="V189" t="e">
        <f t="shared" ca="1" si="107"/>
        <v>#VALUE!</v>
      </c>
      <c r="W189" t="e">
        <f t="shared" ca="1" si="86"/>
        <v>#VALUE!</v>
      </c>
      <c r="X189" t="e">
        <f t="shared" ca="1" si="87"/>
        <v>#VALUE!</v>
      </c>
      <c r="Y189" t="e">
        <f t="shared" ca="1" si="88"/>
        <v>#VALUE!</v>
      </c>
      <c r="Z189" t="e">
        <f t="shared" ca="1" si="89"/>
        <v>#VALUE!</v>
      </c>
      <c r="AA189" t="e">
        <f t="shared" ca="1" si="90"/>
        <v>#VALUE!</v>
      </c>
      <c r="AB189" t="e">
        <f t="shared" ca="1" si="91"/>
        <v>#VALUE!</v>
      </c>
      <c r="AC189" t="e">
        <f t="shared" ca="1" si="92"/>
        <v>#VALUE!</v>
      </c>
      <c r="AD189" t="e">
        <f t="shared" ca="1" si="93"/>
        <v>#VALUE!</v>
      </c>
      <c r="AE189" t="e">
        <f t="shared" ca="1" si="94"/>
        <v>#VALUE!</v>
      </c>
      <c r="AF189" t="e">
        <f t="shared" ca="1" si="95"/>
        <v>#VALUE!</v>
      </c>
      <c r="AG189" t="e">
        <f t="shared" ca="1" si="96"/>
        <v>#VALUE!</v>
      </c>
      <c r="AH189" t="e">
        <f ca="1">IF(V32="Supercritical",L189,IF(V32="Subcritical",W189,IF(AND(V189=1,AG189=1),IF(T189&gt;=AE189,L189,W189),IF(V189=1,L189,IF(AG189=1,W189,MAX($D$16,POWER((ABS(K189)^2)/($I$5*MAX(F189,0.1)^2),1/3)))))))</f>
        <v>#VALUE!</v>
      </c>
      <c r="AI189" t="e">
        <f t="shared" ca="1" si="97"/>
        <v>#VALUE!</v>
      </c>
      <c r="AJ189" t="e">
        <f t="shared" ca="1" si="98"/>
        <v>#VALUE!</v>
      </c>
      <c r="AM189">
        <v>0</v>
      </c>
      <c r="AN189">
        <v>0</v>
      </c>
      <c r="AO189">
        <f t="shared" si="99"/>
        <v>0</v>
      </c>
      <c r="AP189">
        <f t="shared" si="108"/>
        <v>0</v>
      </c>
      <c r="AQ189" t="e">
        <f t="shared" ca="1" si="100"/>
        <v>#VALUE!</v>
      </c>
      <c r="AR189" t="e">
        <f t="shared" ca="1" si="101"/>
        <v>#VALUE!</v>
      </c>
      <c r="AS189" t="e">
        <f t="shared" ca="1" si="102"/>
        <v>#VALUE!</v>
      </c>
    </row>
    <row r="190" spans="1:45" x14ac:dyDescent="0.35">
      <c r="A190">
        <v>41</v>
      </c>
      <c r="B190">
        <v>39.981000000000002</v>
      </c>
      <c r="C190">
        <v>616523.38100000005</v>
      </c>
      <c r="D190">
        <v>3097739.5669999998</v>
      </c>
      <c r="E190">
        <v>633.73400000000004</v>
      </c>
      <c r="F190">
        <v>5.9989999999999997</v>
      </c>
      <c r="G190">
        <v>0</v>
      </c>
      <c r="H190" t="s">
        <v>191</v>
      </c>
      <c r="I190">
        <v>0.08</v>
      </c>
      <c r="J190">
        <f t="shared" si="103"/>
        <v>1</v>
      </c>
      <c r="K190">
        <f t="shared" si="104"/>
        <v>51</v>
      </c>
      <c r="L190" t="e">
        <f t="shared" ca="1" si="105"/>
        <v>#VALUE!</v>
      </c>
      <c r="M190" t="e">
        <f t="shared" ca="1" si="78"/>
        <v>#VALUE!</v>
      </c>
      <c r="N190" t="e">
        <f t="shared" ca="1" si="79"/>
        <v>#VALUE!</v>
      </c>
      <c r="O190" t="e">
        <f t="shared" ca="1" si="80"/>
        <v>#VALUE!</v>
      </c>
      <c r="P190" t="e">
        <f t="shared" ca="1" si="81"/>
        <v>#VALUE!</v>
      </c>
      <c r="Q190" t="e">
        <f t="shared" ca="1" si="82"/>
        <v>#VALUE!</v>
      </c>
      <c r="R190" t="e">
        <f t="shared" ca="1" si="83"/>
        <v>#VALUE!</v>
      </c>
      <c r="S190" t="e">
        <f t="shared" ca="1" si="84"/>
        <v>#VALUE!</v>
      </c>
      <c r="T190" t="e">
        <f t="shared" ca="1" si="85"/>
        <v>#VALUE!</v>
      </c>
      <c r="U190" t="e">
        <f t="shared" ca="1" si="106"/>
        <v>#VALUE!</v>
      </c>
      <c r="V190" t="e">
        <f t="shared" ca="1" si="107"/>
        <v>#VALUE!</v>
      </c>
      <c r="W190" t="e">
        <f t="shared" ca="1" si="86"/>
        <v>#VALUE!</v>
      </c>
      <c r="X190" t="e">
        <f t="shared" ca="1" si="87"/>
        <v>#VALUE!</v>
      </c>
      <c r="Y190" t="e">
        <f t="shared" ca="1" si="88"/>
        <v>#VALUE!</v>
      </c>
      <c r="Z190" t="e">
        <f t="shared" ca="1" si="89"/>
        <v>#VALUE!</v>
      </c>
      <c r="AA190" t="e">
        <f t="shared" ca="1" si="90"/>
        <v>#VALUE!</v>
      </c>
      <c r="AB190" t="e">
        <f t="shared" ca="1" si="91"/>
        <v>#VALUE!</v>
      </c>
      <c r="AC190" t="e">
        <f t="shared" ca="1" si="92"/>
        <v>#VALUE!</v>
      </c>
      <c r="AD190" t="e">
        <f t="shared" ca="1" si="93"/>
        <v>#VALUE!</v>
      </c>
      <c r="AE190" t="e">
        <f t="shared" ca="1" si="94"/>
        <v>#VALUE!</v>
      </c>
      <c r="AF190" t="e">
        <f t="shared" ca="1" si="95"/>
        <v>#VALUE!</v>
      </c>
      <c r="AG190" t="e">
        <f t="shared" ca="1" si="96"/>
        <v>#VALUE!</v>
      </c>
      <c r="AH190" t="e">
        <f ca="1">IF(V32="Supercritical",L190,IF(V32="Subcritical",W190,IF(AND(V190=1,AG190=1),IF(T190&gt;=AE190,L190,W190),IF(V190=1,L190,IF(AG190=1,W190,MAX($D$16,POWER((ABS(K190)^2)/($I$5*MAX(F190,0.1)^2),1/3)))))))</f>
        <v>#VALUE!</v>
      </c>
      <c r="AI190" t="e">
        <f t="shared" ca="1" si="97"/>
        <v>#VALUE!</v>
      </c>
      <c r="AJ190" t="e">
        <f t="shared" ca="1" si="98"/>
        <v>#VALUE!</v>
      </c>
      <c r="AM190">
        <v>0</v>
      </c>
      <c r="AN190">
        <v>0</v>
      </c>
      <c r="AO190">
        <f t="shared" si="99"/>
        <v>0</v>
      </c>
      <c r="AP190">
        <f t="shared" si="108"/>
        <v>0</v>
      </c>
      <c r="AQ190" t="e">
        <f t="shared" ca="1" si="100"/>
        <v>#VALUE!</v>
      </c>
      <c r="AR190" t="e">
        <f t="shared" ca="1" si="101"/>
        <v>#VALUE!</v>
      </c>
      <c r="AS190" t="e">
        <f t="shared" ca="1" si="102"/>
        <v>#VALUE!</v>
      </c>
    </row>
    <row r="191" spans="1:45" x14ac:dyDescent="0.35">
      <c r="A191">
        <v>42</v>
      </c>
      <c r="B191">
        <v>40.981000000000002</v>
      </c>
      <c r="C191">
        <v>616522.80700000003</v>
      </c>
      <c r="D191">
        <v>3097738.7480000001</v>
      </c>
      <c r="E191">
        <v>633.73199999999997</v>
      </c>
      <c r="F191">
        <v>5.9989999999999997</v>
      </c>
      <c r="G191">
        <v>0</v>
      </c>
      <c r="H191" t="s">
        <v>191</v>
      </c>
      <c r="I191">
        <v>0.08</v>
      </c>
      <c r="J191">
        <f t="shared" si="103"/>
        <v>1</v>
      </c>
      <c r="K191">
        <f t="shared" si="104"/>
        <v>51</v>
      </c>
      <c r="L191" t="e">
        <f t="shared" ca="1" si="105"/>
        <v>#VALUE!</v>
      </c>
      <c r="M191" t="e">
        <f t="shared" ca="1" si="78"/>
        <v>#VALUE!</v>
      </c>
      <c r="N191" t="e">
        <f t="shared" ca="1" si="79"/>
        <v>#VALUE!</v>
      </c>
      <c r="O191" t="e">
        <f t="shared" ca="1" si="80"/>
        <v>#VALUE!</v>
      </c>
      <c r="P191" t="e">
        <f t="shared" ca="1" si="81"/>
        <v>#VALUE!</v>
      </c>
      <c r="Q191" t="e">
        <f t="shared" ca="1" si="82"/>
        <v>#VALUE!</v>
      </c>
      <c r="R191" t="e">
        <f t="shared" ca="1" si="83"/>
        <v>#VALUE!</v>
      </c>
      <c r="S191" t="e">
        <f t="shared" ca="1" si="84"/>
        <v>#VALUE!</v>
      </c>
      <c r="T191" t="e">
        <f t="shared" ca="1" si="85"/>
        <v>#VALUE!</v>
      </c>
      <c r="U191" t="e">
        <f t="shared" ca="1" si="106"/>
        <v>#VALUE!</v>
      </c>
      <c r="V191" t="e">
        <f t="shared" ca="1" si="107"/>
        <v>#VALUE!</v>
      </c>
      <c r="W191" t="e">
        <f t="shared" ca="1" si="86"/>
        <v>#VALUE!</v>
      </c>
      <c r="X191" t="e">
        <f t="shared" ca="1" si="87"/>
        <v>#VALUE!</v>
      </c>
      <c r="Y191" t="e">
        <f t="shared" ca="1" si="88"/>
        <v>#VALUE!</v>
      </c>
      <c r="Z191" t="e">
        <f t="shared" ca="1" si="89"/>
        <v>#VALUE!</v>
      </c>
      <c r="AA191" t="e">
        <f t="shared" ca="1" si="90"/>
        <v>#VALUE!</v>
      </c>
      <c r="AB191" t="e">
        <f t="shared" ca="1" si="91"/>
        <v>#VALUE!</v>
      </c>
      <c r="AC191" t="e">
        <f t="shared" ca="1" si="92"/>
        <v>#VALUE!</v>
      </c>
      <c r="AD191" t="e">
        <f t="shared" ca="1" si="93"/>
        <v>#VALUE!</v>
      </c>
      <c r="AE191" t="e">
        <f t="shared" ca="1" si="94"/>
        <v>#VALUE!</v>
      </c>
      <c r="AF191" t="e">
        <f t="shared" ca="1" si="95"/>
        <v>#VALUE!</v>
      </c>
      <c r="AG191" t="e">
        <f t="shared" ca="1" si="96"/>
        <v>#VALUE!</v>
      </c>
      <c r="AH191" t="e">
        <f ca="1">IF(V32="Supercritical",L191,IF(V32="Subcritical",W191,IF(AND(V191=1,AG191=1),IF(T191&gt;=AE191,L191,W191),IF(V191=1,L191,IF(AG191=1,W191,MAX($D$16,POWER((ABS(K191)^2)/($I$5*MAX(F191,0.1)^2),1/3)))))))</f>
        <v>#VALUE!</v>
      </c>
      <c r="AI191" t="e">
        <f t="shared" ca="1" si="97"/>
        <v>#VALUE!</v>
      </c>
      <c r="AJ191" t="e">
        <f t="shared" ca="1" si="98"/>
        <v>#VALUE!</v>
      </c>
      <c r="AM191">
        <v>0</v>
      </c>
      <c r="AN191">
        <v>0</v>
      </c>
      <c r="AO191">
        <f t="shared" si="99"/>
        <v>0</v>
      </c>
      <c r="AP191">
        <f t="shared" si="108"/>
        <v>0</v>
      </c>
      <c r="AQ191" t="e">
        <f t="shared" ca="1" si="100"/>
        <v>#VALUE!</v>
      </c>
      <c r="AR191" t="e">
        <f t="shared" ca="1" si="101"/>
        <v>#VALUE!</v>
      </c>
      <c r="AS191" t="e">
        <f t="shared" ca="1" si="102"/>
        <v>#VALUE!</v>
      </c>
    </row>
    <row r="192" spans="1:45" x14ac:dyDescent="0.35">
      <c r="A192">
        <v>43</v>
      </c>
      <c r="B192">
        <v>41.981000000000002</v>
      </c>
      <c r="C192">
        <v>616522.23199999996</v>
      </c>
      <c r="D192">
        <v>3097737.93</v>
      </c>
      <c r="E192">
        <v>633.73</v>
      </c>
      <c r="F192">
        <v>5.9989999999999997</v>
      </c>
      <c r="G192">
        <v>0</v>
      </c>
      <c r="H192" t="s">
        <v>191</v>
      </c>
      <c r="I192">
        <v>0.08</v>
      </c>
      <c r="J192">
        <f t="shared" si="103"/>
        <v>1</v>
      </c>
      <c r="K192">
        <f t="shared" si="104"/>
        <v>51</v>
      </c>
      <c r="L192" t="e">
        <f t="shared" ca="1" si="105"/>
        <v>#VALUE!</v>
      </c>
      <c r="M192" t="e">
        <f t="shared" ca="1" si="78"/>
        <v>#VALUE!</v>
      </c>
      <c r="N192" t="e">
        <f t="shared" ca="1" si="79"/>
        <v>#VALUE!</v>
      </c>
      <c r="O192" t="e">
        <f t="shared" ca="1" si="80"/>
        <v>#VALUE!</v>
      </c>
      <c r="P192" t="e">
        <f t="shared" ca="1" si="81"/>
        <v>#VALUE!</v>
      </c>
      <c r="Q192" t="e">
        <f t="shared" ca="1" si="82"/>
        <v>#VALUE!</v>
      </c>
      <c r="R192" t="e">
        <f t="shared" ca="1" si="83"/>
        <v>#VALUE!</v>
      </c>
      <c r="S192" t="e">
        <f t="shared" ca="1" si="84"/>
        <v>#VALUE!</v>
      </c>
      <c r="T192" t="e">
        <f t="shared" ca="1" si="85"/>
        <v>#VALUE!</v>
      </c>
      <c r="U192" t="e">
        <f t="shared" ca="1" si="106"/>
        <v>#VALUE!</v>
      </c>
      <c r="V192" t="e">
        <f t="shared" ca="1" si="107"/>
        <v>#VALUE!</v>
      </c>
      <c r="W192" t="e">
        <f t="shared" ca="1" si="86"/>
        <v>#VALUE!</v>
      </c>
      <c r="X192" t="e">
        <f t="shared" ca="1" si="87"/>
        <v>#VALUE!</v>
      </c>
      <c r="Y192" t="e">
        <f t="shared" ca="1" si="88"/>
        <v>#VALUE!</v>
      </c>
      <c r="Z192" t="e">
        <f t="shared" ca="1" si="89"/>
        <v>#VALUE!</v>
      </c>
      <c r="AA192" t="e">
        <f t="shared" ca="1" si="90"/>
        <v>#VALUE!</v>
      </c>
      <c r="AB192" t="e">
        <f t="shared" ca="1" si="91"/>
        <v>#VALUE!</v>
      </c>
      <c r="AC192" t="e">
        <f t="shared" ca="1" si="92"/>
        <v>#VALUE!</v>
      </c>
      <c r="AD192" t="e">
        <f t="shared" ca="1" si="93"/>
        <v>#VALUE!</v>
      </c>
      <c r="AE192" t="e">
        <f t="shared" ca="1" si="94"/>
        <v>#VALUE!</v>
      </c>
      <c r="AF192" t="e">
        <f t="shared" ca="1" si="95"/>
        <v>#VALUE!</v>
      </c>
      <c r="AG192" t="e">
        <f t="shared" ca="1" si="96"/>
        <v>#VALUE!</v>
      </c>
      <c r="AH192" t="e">
        <f ca="1">IF(V32="Supercritical",L192,IF(V32="Subcritical",W192,IF(AND(V192=1,AG192=1),IF(T192&gt;=AE192,L192,W192),IF(V192=1,L192,IF(AG192=1,W192,MAX($D$16,POWER((ABS(K192)^2)/($I$5*MAX(F192,0.1)^2),1/3)))))))</f>
        <v>#VALUE!</v>
      </c>
      <c r="AI192" t="e">
        <f t="shared" ca="1" si="97"/>
        <v>#VALUE!</v>
      </c>
      <c r="AJ192" t="e">
        <f t="shared" ca="1" si="98"/>
        <v>#VALUE!</v>
      </c>
      <c r="AM192">
        <v>0</v>
      </c>
      <c r="AN192">
        <v>0</v>
      </c>
      <c r="AO192">
        <f t="shared" si="99"/>
        <v>0</v>
      </c>
      <c r="AP192">
        <f t="shared" si="108"/>
        <v>0</v>
      </c>
      <c r="AQ192" t="e">
        <f t="shared" ca="1" si="100"/>
        <v>#VALUE!</v>
      </c>
      <c r="AR192" t="e">
        <f t="shared" ca="1" si="101"/>
        <v>#VALUE!</v>
      </c>
      <c r="AS192" t="e">
        <f t="shared" ca="1" si="102"/>
        <v>#VALUE!</v>
      </c>
    </row>
    <row r="193" spans="1:45" x14ac:dyDescent="0.35">
      <c r="A193">
        <v>44</v>
      </c>
      <c r="B193">
        <v>42.981000000000002</v>
      </c>
      <c r="C193">
        <v>616521.65800000005</v>
      </c>
      <c r="D193">
        <v>3097737.111</v>
      </c>
      <c r="E193">
        <v>633.72799999999995</v>
      </c>
      <c r="F193">
        <v>5.9989999999999997</v>
      </c>
      <c r="G193">
        <v>0</v>
      </c>
      <c r="H193" t="s">
        <v>191</v>
      </c>
      <c r="I193">
        <v>0.08</v>
      </c>
      <c r="J193">
        <f t="shared" si="103"/>
        <v>1</v>
      </c>
      <c r="K193">
        <f t="shared" si="104"/>
        <v>51</v>
      </c>
      <c r="L193" t="e">
        <f t="shared" ca="1" si="105"/>
        <v>#VALUE!</v>
      </c>
      <c r="M193" t="e">
        <f t="shared" ca="1" si="78"/>
        <v>#VALUE!</v>
      </c>
      <c r="N193" t="e">
        <f t="shared" ca="1" si="79"/>
        <v>#VALUE!</v>
      </c>
      <c r="O193" t="e">
        <f t="shared" ca="1" si="80"/>
        <v>#VALUE!</v>
      </c>
      <c r="P193" t="e">
        <f t="shared" ca="1" si="81"/>
        <v>#VALUE!</v>
      </c>
      <c r="Q193" t="e">
        <f t="shared" ca="1" si="82"/>
        <v>#VALUE!</v>
      </c>
      <c r="R193" t="e">
        <f t="shared" ca="1" si="83"/>
        <v>#VALUE!</v>
      </c>
      <c r="S193" t="e">
        <f t="shared" ca="1" si="84"/>
        <v>#VALUE!</v>
      </c>
      <c r="T193" t="e">
        <f t="shared" ca="1" si="85"/>
        <v>#VALUE!</v>
      </c>
      <c r="U193" t="e">
        <f t="shared" ca="1" si="106"/>
        <v>#VALUE!</v>
      </c>
      <c r="V193" t="e">
        <f t="shared" ca="1" si="107"/>
        <v>#VALUE!</v>
      </c>
      <c r="W193" t="e">
        <f t="shared" ca="1" si="86"/>
        <v>#VALUE!</v>
      </c>
      <c r="X193" t="e">
        <f t="shared" ca="1" si="87"/>
        <v>#VALUE!</v>
      </c>
      <c r="Y193" t="e">
        <f t="shared" ca="1" si="88"/>
        <v>#VALUE!</v>
      </c>
      <c r="Z193" t="e">
        <f t="shared" ca="1" si="89"/>
        <v>#VALUE!</v>
      </c>
      <c r="AA193" t="e">
        <f t="shared" ca="1" si="90"/>
        <v>#VALUE!</v>
      </c>
      <c r="AB193" t="e">
        <f t="shared" ca="1" si="91"/>
        <v>#VALUE!</v>
      </c>
      <c r="AC193" t="e">
        <f t="shared" ca="1" si="92"/>
        <v>#VALUE!</v>
      </c>
      <c r="AD193" t="e">
        <f t="shared" ca="1" si="93"/>
        <v>#VALUE!</v>
      </c>
      <c r="AE193" t="e">
        <f t="shared" ca="1" si="94"/>
        <v>#VALUE!</v>
      </c>
      <c r="AF193" t="e">
        <f t="shared" ca="1" si="95"/>
        <v>#VALUE!</v>
      </c>
      <c r="AG193" t="e">
        <f t="shared" ca="1" si="96"/>
        <v>#VALUE!</v>
      </c>
      <c r="AH193" t="e">
        <f ca="1">IF(V32="Supercritical",L193,IF(V32="Subcritical",W193,IF(AND(V193=1,AG193=1),IF(T193&gt;=AE193,L193,W193),IF(V193=1,L193,IF(AG193=1,W193,MAX($D$16,POWER((ABS(K193)^2)/($I$5*MAX(F193,0.1)^2),1/3)))))))</f>
        <v>#VALUE!</v>
      </c>
      <c r="AI193" t="e">
        <f t="shared" ca="1" si="97"/>
        <v>#VALUE!</v>
      </c>
      <c r="AJ193" t="e">
        <f t="shared" ca="1" si="98"/>
        <v>#VALUE!</v>
      </c>
      <c r="AM193">
        <v>0</v>
      </c>
      <c r="AN193">
        <v>0</v>
      </c>
      <c r="AO193">
        <f t="shared" si="99"/>
        <v>0</v>
      </c>
      <c r="AP193">
        <f t="shared" si="108"/>
        <v>0</v>
      </c>
      <c r="AQ193" t="e">
        <f t="shared" ca="1" si="100"/>
        <v>#VALUE!</v>
      </c>
      <c r="AR193" t="e">
        <f t="shared" ca="1" si="101"/>
        <v>#VALUE!</v>
      </c>
      <c r="AS193" t="e">
        <f t="shared" ca="1" si="102"/>
        <v>#VALUE!</v>
      </c>
    </row>
    <row r="194" spans="1:45" x14ac:dyDescent="0.35">
      <c r="A194">
        <v>45</v>
      </c>
      <c r="B194">
        <v>43.981000000000002</v>
      </c>
      <c r="C194">
        <v>616521.08299999998</v>
      </c>
      <c r="D194">
        <v>3097736.2930000001</v>
      </c>
      <c r="E194">
        <v>633.726</v>
      </c>
      <c r="F194">
        <v>5.9989999999999997</v>
      </c>
      <c r="G194">
        <v>0</v>
      </c>
      <c r="H194" t="s">
        <v>191</v>
      </c>
      <c r="I194">
        <v>0.08</v>
      </c>
      <c r="J194">
        <f t="shared" si="103"/>
        <v>1</v>
      </c>
      <c r="K194">
        <f t="shared" si="104"/>
        <v>51</v>
      </c>
      <c r="L194" t="e">
        <f t="shared" ca="1" si="105"/>
        <v>#VALUE!</v>
      </c>
      <c r="M194" t="e">
        <f t="shared" ca="1" si="78"/>
        <v>#VALUE!</v>
      </c>
      <c r="N194" t="e">
        <f t="shared" ca="1" si="79"/>
        <v>#VALUE!</v>
      </c>
      <c r="O194" t="e">
        <f t="shared" ca="1" si="80"/>
        <v>#VALUE!</v>
      </c>
      <c r="P194" t="e">
        <f t="shared" ca="1" si="81"/>
        <v>#VALUE!</v>
      </c>
      <c r="Q194" t="e">
        <f t="shared" ca="1" si="82"/>
        <v>#VALUE!</v>
      </c>
      <c r="R194" t="e">
        <f t="shared" ca="1" si="83"/>
        <v>#VALUE!</v>
      </c>
      <c r="S194" t="e">
        <f t="shared" ca="1" si="84"/>
        <v>#VALUE!</v>
      </c>
      <c r="T194" t="e">
        <f t="shared" ca="1" si="85"/>
        <v>#VALUE!</v>
      </c>
      <c r="U194" t="e">
        <f t="shared" ca="1" si="106"/>
        <v>#VALUE!</v>
      </c>
      <c r="V194" t="e">
        <f t="shared" ca="1" si="107"/>
        <v>#VALUE!</v>
      </c>
      <c r="W194" t="e">
        <f t="shared" ca="1" si="86"/>
        <v>#VALUE!</v>
      </c>
      <c r="X194" t="e">
        <f t="shared" ca="1" si="87"/>
        <v>#VALUE!</v>
      </c>
      <c r="Y194" t="e">
        <f t="shared" ca="1" si="88"/>
        <v>#VALUE!</v>
      </c>
      <c r="Z194" t="e">
        <f t="shared" ca="1" si="89"/>
        <v>#VALUE!</v>
      </c>
      <c r="AA194" t="e">
        <f t="shared" ca="1" si="90"/>
        <v>#VALUE!</v>
      </c>
      <c r="AB194" t="e">
        <f t="shared" ca="1" si="91"/>
        <v>#VALUE!</v>
      </c>
      <c r="AC194" t="e">
        <f t="shared" ca="1" si="92"/>
        <v>#VALUE!</v>
      </c>
      <c r="AD194" t="e">
        <f t="shared" ca="1" si="93"/>
        <v>#VALUE!</v>
      </c>
      <c r="AE194" t="e">
        <f t="shared" ca="1" si="94"/>
        <v>#VALUE!</v>
      </c>
      <c r="AF194" t="e">
        <f t="shared" ca="1" si="95"/>
        <v>#VALUE!</v>
      </c>
      <c r="AG194" t="e">
        <f t="shared" ca="1" si="96"/>
        <v>#VALUE!</v>
      </c>
      <c r="AH194" t="e">
        <f ca="1">IF(V32="Supercritical",L194,IF(V32="Subcritical",W194,IF(AND(V194=1,AG194=1),IF(T194&gt;=AE194,L194,W194),IF(V194=1,L194,IF(AG194=1,W194,MAX($D$16,POWER((ABS(K194)^2)/($I$5*MAX(F194,0.1)^2),1/3)))))))</f>
        <v>#VALUE!</v>
      </c>
      <c r="AI194" t="e">
        <f t="shared" ca="1" si="97"/>
        <v>#VALUE!</v>
      </c>
      <c r="AJ194" t="e">
        <f t="shared" ca="1" si="98"/>
        <v>#VALUE!</v>
      </c>
      <c r="AM194">
        <v>0</v>
      </c>
      <c r="AN194">
        <v>0</v>
      </c>
      <c r="AO194">
        <f t="shared" si="99"/>
        <v>0</v>
      </c>
      <c r="AP194">
        <f t="shared" si="108"/>
        <v>0</v>
      </c>
      <c r="AQ194" t="e">
        <f t="shared" ca="1" si="100"/>
        <v>#VALUE!</v>
      </c>
      <c r="AR194" t="e">
        <f t="shared" ca="1" si="101"/>
        <v>#VALUE!</v>
      </c>
      <c r="AS194" t="e">
        <f t="shared" ca="1" si="102"/>
        <v>#VALUE!</v>
      </c>
    </row>
    <row r="195" spans="1:45" x14ac:dyDescent="0.35">
      <c r="A195">
        <v>46</v>
      </c>
      <c r="B195">
        <v>44.981000000000002</v>
      </c>
      <c r="C195">
        <v>616520.50899999996</v>
      </c>
      <c r="D195">
        <v>3097735.4739999999</v>
      </c>
      <c r="E195">
        <v>633.72400000000005</v>
      </c>
      <c r="F195">
        <v>5.9989999999999997</v>
      </c>
      <c r="G195">
        <v>0</v>
      </c>
      <c r="H195" t="s">
        <v>191</v>
      </c>
      <c r="I195">
        <v>0.08</v>
      </c>
      <c r="J195">
        <f t="shared" si="103"/>
        <v>1</v>
      </c>
      <c r="K195">
        <f t="shared" si="104"/>
        <v>51</v>
      </c>
      <c r="L195" t="e">
        <f t="shared" ca="1" si="105"/>
        <v>#VALUE!</v>
      </c>
      <c r="M195" t="e">
        <f t="shared" ca="1" si="78"/>
        <v>#VALUE!</v>
      </c>
      <c r="N195" t="e">
        <f t="shared" ca="1" si="79"/>
        <v>#VALUE!</v>
      </c>
      <c r="O195" t="e">
        <f t="shared" ca="1" si="80"/>
        <v>#VALUE!</v>
      </c>
      <c r="P195" t="e">
        <f t="shared" ca="1" si="81"/>
        <v>#VALUE!</v>
      </c>
      <c r="Q195" t="e">
        <f t="shared" ca="1" si="82"/>
        <v>#VALUE!</v>
      </c>
      <c r="R195" t="e">
        <f t="shared" ca="1" si="83"/>
        <v>#VALUE!</v>
      </c>
      <c r="S195" t="e">
        <f t="shared" ca="1" si="84"/>
        <v>#VALUE!</v>
      </c>
      <c r="T195" t="e">
        <f t="shared" ca="1" si="85"/>
        <v>#VALUE!</v>
      </c>
      <c r="U195" t="e">
        <f t="shared" ca="1" si="106"/>
        <v>#VALUE!</v>
      </c>
      <c r="V195" t="e">
        <f t="shared" ca="1" si="107"/>
        <v>#VALUE!</v>
      </c>
      <c r="W195" t="e">
        <f t="shared" ca="1" si="86"/>
        <v>#VALUE!</v>
      </c>
      <c r="X195" t="e">
        <f t="shared" ca="1" si="87"/>
        <v>#VALUE!</v>
      </c>
      <c r="Y195" t="e">
        <f t="shared" ca="1" si="88"/>
        <v>#VALUE!</v>
      </c>
      <c r="Z195" t="e">
        <f t="shared" ca="1" si="89"/>
        <v>#VALUE!</v>
      </c>
      <c r="AA195" t="e">
        <f t="shared" ca="1" si="90"/>
        <v>#VALUE!</v>
      </c>
      <c r="AB195" t="e">
        <f t="shared" ca="1" si="91"/>
        <v>#VALUE!</v>
      </c>
      <c r="AC195" t="e">
        <f t="shared" ca="1" si="92"/>
        <v>#VALUE!</v>
      </c>
      <c r="AD195" t="e">
        <f t="shared" ca="1" si="93"/>
        <v>#VALUE!</v>
      </c>
      <c r="AE195" t="e">
        <f t="shared" ca="1" si="94"/>
        <v>#VALUE!</v>
      </c>
      <c r="AF195" t="e">
        <f t="shared" ca="1" si="95"/>
        <v>#VALUE!</v>
      </c>
      <c r="AG195" t="e">
        <f t="shared" ca="1" si="96"/>
        <v>#VALUE!</v>
      </c>
      <c r="AH195" t="e">
        <f ca="1">IF(V32="Supercritical",L195,IF(V32="Subcritical",W195,IF(AND(V195=1,AG195=1),IF(T195&gt;=AE195,L195,W195),IF(V195=1,L195,IF(AG195=1,W195,MAX($D$16,POWER((ABS(K195)^2)/($I$5*MAX(F195,0.1)^2),1/3)))))))</f>
        <v>#VALUE!</v>
      </c>
      <c r="AI195" t="e">
        <f t="shared" ca="1" si="97"/>
        <v>#VALUE!</v>
      </c>
      <c r="AJ195" t="e">
        <f t="shared" ca="1" si="98"/>
        <v>#VALUE!</v>
      </c>
      <c r="AM195">
        <v>0</v>
      </c>
      <c r="AN195">
        <v>0</v>
      </c>
      <c r="AO195">
        <f t="shared" si="99"/>
        <v>0</v>
      </c>
      <c r="AP195">
        <f t="shared" si="108"/>
        <v>0</v>
      </c>
      <c r="AQ195" t="e">
        <f t="shared" ca="1" si="100"/>
        <v>#VALUE!</v>
      </c>
      <c r="AR195" t="e">
        <f t="shared" ca="1" si="101"/>
        <v>#VALUE!</v>
      </c>
      <c r="AS195" t="e">
        <f t="shared" ca="1" si="102"/>
        <v>#VALUE!</v>
      </c>
    </row>
    <row r="196" spans="1:45" x14ac:dyDescent="0.35">
      <c r="A196">
        <v>47</v>
      </c>
      <c r="B196">
        <v>45.981000000000002</v>
      </c>
      <c r="C196">
        <v>616519.93400000001</v>
      </c>
      <c r="D196">
        <v>3097734.656</v>
      </c>
      <c r="E196">
        <v>633.72199999999998</v>
      </c>
      <c r="F196">
        <v>5.9989999999999997</v>
      </c>
      <c r="G196">
        <v>0</v>
      </c>
      <c r="H196" t="s">
        <v>191</v>
      </c>
      <c r="I196">
        <v>0.08</v>
      </c>
      <c r="J196">
        <f t="shared" si="103"/>
        <v>1</v>
      </c>
      <c r="K196">
        <f t="shared" si="104"/>
        <v>51</v>
      </c>
      <c r="L196" t="e">
        <f t="shared" ca="1" si="105"/>
        <v>#VALUE!</v>
      </c>
      <c r="M196" t="e">
        <f t="shared" ca="1" si="78"/>
        <v>#VALUE!</v>
      </c>
      <c r="N196" t="e">
        <f t="shared" ca="1" si="79"/>
        <v>#VALUE!</v>
      </c>
      <c r="O196" t="e">
        <f t="shared" ca="1" si="80"/>
        <v>#VALUE!</v>
      </c>
      <c r="P196" t="e">
        <f t="shared" ca="1" si="81"/>
        <v>#VALUE!</v>
      </c>
      <c r="Q196" t="e">
        <f t="shared" ca="1" si="82"/>
        <v>#VALUE!</v>
      </c>
      <c r="R196" t="e">
        <f t="shared" ca="1" si="83"/>
        <v>#VALUE!</v>
      </c>
      <c r="S196" t="e">
        <f t="shared" ca="1" si="84"/>
        <v>#VALUE!</v>
      </c>
      <c r="T196" t="e">
        <f t="shared" ca="1" si="85"/>
        <v>#VALUE!</v>
      </c>
      <c r="U196" t="e">
        <f t="shared" ca="1" si="106"/>
        <v>#VALUE!</v>
      </c>
      <c r="V196" t="e">
        <f t="shared" ca="1" si="107"/>
        <v>#VALUE!</v>
      </c>
      <c r="W196" t="e">
        <f t="shared" ca="1" si="86"/>
        <v>#VALUE!</v>
      </c>
      <c r="X196" t="e">
        <f t="shared" ca="1" si="87"/>
        <v>#VALUE!</v>
      </c>
      <c r="Y196" t="e">
        <f t="shared" ca="1" si="88"/>
        <v>#VALUE!</v>
      </c>
      <c r="Z196" t="e">
        <f t="shared" ca="1" si="89"/>
        <v>#VALUE!</v>
      </c>
      <c r="AA196" t="e">
        <f t="shared" ca="1" si="90"/>
        <v>#VALUE!</v>
      </c>
      <c r="AB196" t="e">
        <f t="shared" ca="1" si="91"/>
        <v>#VALUE!</v>
      </c>
      <c r="AC196" t="e">
        <f t="shared" ca="1" si="92"/>
        <v>#VALUE!</v>
      </c>
      <c r="AD196" t="e">
        <f t="shared" ca="1" si="93"/>
        <v>#VALUE!</v>
      </c>
      <c r="AE196" t="e">
        <f t="shared" ca="1" si="94"/>
        <v>#VALUE!</v>
      </c>
      <c r="AF196" t="e">
        <f t="shared" ca="1" si="95"/>
        <v>#VALUE!</v>
      </c>
      <c r="AG196" t="e">
        <f t="shared" ca="1" si="96"/>
        <v>#VALUE!</v>
      </c>
      <c r="AH196" t="e">
        <f ca="1">IF(V32="Supercritical",L196,IF(V32="Subcritical",W196,IF(AND(V196=1,AG196=1),IF(T196&gt;=AE196,L196,W196),IF(V196=1,L196,IF(AG196=1,W196,MAX($D$16,POWER((ABS(K196)^2)/($I$5*MAX(F196,0.1)^2),1/3)))))))</f>
        <v>#VALUE!</v>
      </c>
      <c r="AI196" t="e">
        <f t="shared" ca="1" si="97"/>
        <v>#VALUE!</v>
      </c>
      <c r="AJ196" t="e">
        <f t="shared" ca="1" si="98"/>
        <v>#VALUE!</v>
      </c>
      <c r="AM196">
        <v>0</v>
      </c>
      <c r="AN196">
        <v>0</v>
      </c>
      <c r="AO196">
        <f t="shared" si="99"/>
        <v>0</v>
      </c>
      <c r="AP196">
        <f t="shared" si="108"/>
        <v>0</v>
      </c>
      <c r="AQ196" t="e">
        <f t="shared" ca="1" si="100"/>
        <v>#VALUE!</v>
      </c>
      <c r="AR196" t="e">
        <f t="shared" ca="1" si="101"/>
        <v>#VALUE!</v>
      </c>
      <c r="AS196" t="e">
        <f t="shared" ca="1" si="102"/>
        <v>#VALUE!</v>
      </c>
    </row>
    <row r="197" spans="1:45" x14ac:dyDescent="0.35">
      <c r="A197">
        <v>48</v>
      </c>
      <c r="B197">
        <v>46.981000000000002</v>
      </c>
      <c r="C197">
        <v>616519.36</v>
      </c>
      <c r="D197">
        <v>3097733.8369999998</v>
      </c>
      <c r="E197">
        <v>633.68200000000002</v>
      </c>
      <c r="F197">
        <v>5.9989999999999997</v>
      </c>
      <c r="G197">
        <v>0</v>
      </c>
      <c r="H197" t="s">
        <v>191</v>
      </c>
      <c r="I197">
        <v>3.3000000000000002E-2</v>
      </c>
      <c r="J197">
        <f t="shared" si="103"/>
        <v>1</v>
      </c>
      <c r="K197">
        <f t="shared" si="104"/>
        <v>51</v>
      </c>
      <c r="L197" t="e">
        <f t="shared" ca="1" si="105"/>
        <v>#VALUE!</v>
      </c>
      <c r="M197" t="e">
        <f t="shared" ca="1" si="78"/>
        <v>#VALUE!</v>
      </c>
      <c r="N197" t="e">
        <f t="shared" ca="1" si="79"/>
        <v>#VALUE!</v>
      </c>
      <c r="O197" t="e">
        <f t="shared" ca="1" si="80"/>
        <v>#VALUE!</v>
      </c>
      <c r="P197" t="e">
        <f t="shared" ca="1" si="81"/>
        <v>#VALUE!</v>
      </c>
      <c r="Q197" t="e">
        <f t="shared" ca="1" si="82"/>
        <v>#VALUE!</v>
      </c>
      <c r="R197" t="e">
        <f t="shared" ca="1" si="83"/>
        <v>#VALUE!</v>
      </c>
      <c r="S197" t="e">
        <f t="shared" ca="1" si="84"/>
        <v>#VALUE!</v>
      </c>
      <c r="T197" t="e">
        <f t="shared" ca="1" si="85"/>
        <v>#VALUE!</v>
      </c>
      <c r="U197" t="e">
        <f t="shared" ca="1" si="106"/>
        <v>#VALUE!</v>
      </c>
      <c r="V197" t="e">
        <f t="shared" ca="1" si="107"/>
        <v>#VALUE!</v>
      </c>
      <c r="W197" t="e">
        <f t="shared" ca="1" si="86"/>
        <v>#VALUE!</v>
      </c>
      <c r="X197" t="e">
        <f t="shared" ca="1" si="87"/>
        <v>#VALUE!</v>
      </c>
      <c r="Y197" t="e">
        <f t="shared" ca="1" si="88"/>
        <v>#VALUE!</v>
      </c>
      <c r="Z197" t="e">
        <f t="shared" ca="1" si="89"/>
        <v>#VALUE!</v>
      </c>
      <c r="AA197" t="e">
        <f t="shared" ca="1" si="90"/>
        <v>#VALUE!</v>
      </c>
      <c r="AB197" t="e">
        <f t="shared" ca="1" si="91"/>
        <v>#VALUE!</v>
      </c>
      <c r="AC197" t="e">
        <f t="shared" ca="1" si="92"/>
        <v>#VALUE!</v>
      </c>
      <c r="AD197" t="e">
        <f t="shared" ca="1" si="93"/>
        <v>#VALUE!</v>
      </c>
      <c r="AE197" t="e">
        <f t="shared" ca="1" si="94"/>
        <v>#VALUE!</v>
      </c>
      <c r="AF197" t="e">
        <f t="shared" ca="1" si="95"/>
        <v>#VALUE!</v>
      </c>
      <c r="AG197" t="e">
        <f t="shared" ca="1" si="96"/>
        <v>#VALUE!</v>
      </c>
      <c r="AH197" t="e">
        <f ca="1">IF(V32="Supercritical",L197,IF(V32="Subcritical",W197,IF(AND(V197=1,AG197=1),IF(T197&gt;=AE197,L197,W197),IF(V197=1,L197,IF(AG197=1,W197,MAX($D$16,POWER((ABS(K197)^2)/($I$5*MAX(F197,0.1)^2),1/3)))))))</f>
        <v>#VALUE!</v>
      </c>
      <c r="AI197" t="e">
        <f t="shared" ca="1" si="97"/>
        <v>#VALUE!</v>
      </c>
      <c r="AJ197" t="e">
        <f t="shared" ca="1" si="98"/>
        <v>#VALUE!</v>
      </c>
      <c r="AM197">
        <v>0</v>
      </c>
      <c r="AN197">
        <v>0</v>
      </c>
      <c r="AO197">
        <f t="shared" si="99"/>
        <v>0</v>
      </c>
      <c r="AP197">
        <f t="shared" si="108"/>
        <v>0</v>
      </c>
      <c r="AQ197" t="e">
        <f t="shared" ca="1" si="100"/>
        <v>#VALUE!</v>
      </c>
      <c r="AR197" t="e">
        <f t="shared" ca="1" si="101"/>
        <v>#VALUE!</v>
      </c>
      <c r="AS197" t="e">
        <f t="shared" ca="1" si="102"/>
        <v>#VALUE!</v>
      </c>
    </row>
    <row r="198" spans="1:45" x14ac:dyDescent="0.35">
      <c r="A198">
        <v>49</v>
      </c>
      <c r="B198">
        <v>47.98</v>
      </c>
      <c r="C198">
        <v>616518.78599999996</v>
      </c>
      <c r="D198">
        <v>3097733.0189999999</v>
      </c>
      <c r="E198">
        <v>633.64200000000005</v>
      </c>
      <c r="F198">
        <v>5.9989999999999997</v>
      </c>
      <c r="G198">
        <v>0</v>
      </c>
      <c r="H198" t="s">
        <v>191</v>
      </c>
      <c r="I198">
        <v>1.4E-2</v>
      </c>
      <c r="J198">
        <f t="shared" si="103"/>
        <v>0.99899999999999523</v>
      </c>
      <c r="K198">
        <f t="shared" si="104"/>
        <v>51</v>
      </c>
      <c r="L198" t="e">
        <f t="shared" ca="1" si="105"/>
        <v>#VALUE!</v>
      </c>
      <c r="M198" t="e">
        <f t="shared" ca="1" si="78"/>
        <v>#VALUE!</v>
      </c>
      <c r="N198" t="e">
        <f t="shared" ca="1" si="79"/>
        <v>#VALUE!</v>
      </c>
      <c r="O198" t="e">
        <f t="shared" ca="1" si="80"/>
        <v>#VALUE!</v>
      </c>
      <c r="P198" t="e">
        <f t="shared" ca="1" si="81"/>
        <v>#VALUE!</v>
      </c>
      <c r="Q198" t="e">
        <f t="shared" ca="1" si="82"/>
        <v>#VALUE!</v>
      </c>
      <c r="R198" t="e">
        <f t="shared" ca="1" si="83"/>
        <v>#VALUE!</v>
      </c>
      <c r="S198" t="e">
        <f t="shared" ca="1" si="84"/>
        <v>#VALUE!</v>
      </c>
      <c r="T198" t="e">
        <f t="shared" ca="1" si="85"/>
        <v>#VALUE!</v>
      </c>
      <c r="U198" t="e">
        <f t="shared" ca="1" si="106"/>
        <v>#VALUE!</v>
      </c>
      <c r="V198" t="e">
        <f t="shared" ca="1" si="107"/>
        <v>#VALUE!</v>
      </c>
      <c r="W198" t="e">
        <f t="shared" ca="1" si="86"/>
        <v>#VALUE!</v>
      </c>
      <c r="X198" t="e">
        <f t="shared" ca="1" si="87"/>
        <v>#VALUE!</v>
      </c>
      <c r="Y198" t="e">
        <f t="shared" ca="1" si="88"/>
        <v>#VALUE!</v>
      </c>
      <c r="Z198" t="e">
        <f t="shared" ca="1" si="89"/>
        <v>#VALUE!</v>
      </c>
      <c r="AA198" t="e">
        <f t="shared" ca="1" si="90"/>
        <v>#VALUE!</v>
      </c>
      <c r="AB198" t="e">
        <f t="shared" ca="1" si="91"/>
        <v>#VALUE!</v>
      </c>
      <c r="AC198" t="e">
        <f t="shared" ca="1" si="92"/>
        <v>#VALUE!</v>
      </c>
      <c r="AD198" t="e">
        <f t="shared" ca="1" si="93"/>
        <v>#VALUE!</v>
      </c>
      <c r="AE198" t="e">
        <f t="shared" ca="1" si="94"/>
        <v>#VALUE!</v>
      </c>
      <c r="AF198" t="e">
        <f t="shared" ca="1" si="95"/>
        <v>#VALUE!</v>
      </c>
      <c r="AG198" t="e">
        <f t="shared" ca="1" si="96"/>
        <v>#VALUE!</v>
      </c>
      <c r="AH198" t="e">
        <f ca="1">IF(V32="Supercritical",L198,IF(V32="Subcritical",W198,IF(AND(V198=1,AG198=1),IF(T198&gt;=AE198,L198,W198),IF(V198=1,L198,IF(AG198=1,W198,MAX($D$16,POWER((ABS(K198)^2)/($I$5*MAX(F198,0.1)^2),1/3)))))))</f>
        <v>#VALUE!</v>
      </c>
      <c r="AI198" t="e">
        <f t="shared" ca="1" si="97"/>
        <v>#VALUE!</v>
      </c>
      <c r="AJ198" t="e">
        <f t="shared" ca="1" si="98"/>
        <v>#VALUE!</v>
      </c>
      <c r="AM198">
        <v>0</v>
      </c>
      <c r="AN198">
        <v>0</v>
      </c>
      <c r="AO198">
        <f t="shared" si="99"/>
        <v>0</v>
      </c>
      <c r="AP198">
        <f t="shared" si="108"/>
        <v>0</v>
      </c>
      <c r="AQ198" t="e">
        <f t="shared" ca="1" si="100"/>
        <v>#VALUE!</v>
      </c>
      <c r="AR198" t="e">
        <f t="shared" ca="1" si="101"/>
        <v>#VALUE!</v>
      </c>
      <c r="AS198" t="e">
        <f t="shared" ca="1" si="102"/>
        <v>#VALUE!</v>
      </c>
    </row>
    <row r="199" spans="1:45" x14ac:dyDescent="0.35">
      <c r="A199">
        <v>50</v>
      </c>
      <c r="B199">
        <v>48.981000000000002</v>
      </c>
      <c r="C199">
        <v>616518.21100000001</v>
      </c>
      <c r="D199">
        <v>3097732.2</v>
      </c>
      <c r="E199">
        <v>633.60199999999998</v>
      </c>
      <c r="F199">
        <v>5.9989999999999997</v>
      </c>
      <c r="G199">
        <v>0</v>
      </c>
      <c r="H199" t="s">
        <v>191</v>
      </c>
      <c r="I199">
        <v>4.7E-2</v>
      </c>
      <c r="J199">
        <f t="shared" si="103"/>
        <v>1.0010000000000048</v>
      </c>
      <c r="K199">
        <f t="shared" si="104"/>
        <v>51</v>
      </c>
      <c r="L199" t="e">
        <f t="shared" ca="1" si="105"/>
        <v>#VALUE!</v>
      </c>
      <c r="M199" t="e">
        <f t="shared" ca="1" si="78"/>
        <v>#VALUE!</v>
      </c>
      <c r="N199" t="e">
        <f t="shared" ca="1" si="79"/>
        <v>#VALUE!</v>
      </c>
      <c r="O199" t="e">
        <f t="shared" ca="1" si="80"/>
        <v>#VALUE!</v>
      </c>
      <c r="P199" t="e">
        <f t="shared" ca="1" si="81"/>
        <v>#VALUE!</v>
      </c>
      <c r="Q199" t="e">
        <f t="shared" ca="1" si="82"/>
        <v>#VALUE!</v>
      </c>
      <c r="R199" t="e">
        <f t="shared" ca="1" si="83"/>
        <v>#VALUE!</v>
      </c>
      <c r="S199" t="e">
        <f t="shared" ca="1" si="84"/>
        <v>#VALUE!</v>
      </c>
      <c r="T199" t="e">
        <f t="shared" ca="1" si="85"/>
        <v>#VALUE!</v>
      </c>
      <c r="U199" t="e">
        <f t="shared" ca="1" si="106"/>
        <v>#VALUE!</v>
      </c>
      <c r="V199" t="e">
        <f t="shared" ca="1" si="107"/>
        <v>#VALUE!</v>
      </c>
      <c r="W199" t="e">
        <f t="shared" ca="1" si="86"/>
        <v>#VALUE!</v>
      </c>
      <c r="X199" t="e">
        <f t="shared" ca="1" si="87"/>
        <v>#VALUE!</v>
      </c>
      <c r="Y199" t="e">
        <f t="shared" ca="1" si="88"/>
        <v>#VALUE!</v>
      </c>
      <c r="Z199" t="e">
        <f t="shared" ca="1" si="89"/>
        <v>#VALUE!</v>
      </c>
      <c r="AA199" t="e">
        <f t="shared" ca="1" si="90"/>
        <v>#VALUE!</v>
      </c>
      <c r="AB199" t="e">
        <f t="shared" ca="1" si="91"/>
        <v>#VALUE!</v>
      </c>
      <c r="AC199" t="e">
        <f t="shared" ca="1" si="92"/>
        <v>#VALUE!</v>
      </c>
      <c r="AD199" t="e">
        <f t="shared" ca="1" si="93"/>
        <v>#VALUE!</v>
      </c>
      <c r="AE199" t="e">
        <f t="shared" ca="1" si="94"/>
        <v>#VALUE!</v>
      </c>
      <c r="AF199" t="e">
        <f t="shared" ca="1" si="95"/>
        <v>#VALUE!</v>
      </c>
      <c r="AG199" t="e">
        <f t="shared" ca="1" si="96"/>
        <v>#VALUE!</v>
      </c>
      <c r="AH199" t="e">
        <f ca="1">IF(V32="Supercritical",L199,IF(V32="Subcritical",W199,IF(AND(V199=1,AG199=1),IF(T199&gt;=AE199,L199,W199),IF(V199=1,L199,IF(AG199=1,W199,MAX($D$16,POWER((ABS(K199)^2)/($I$5*MAX(F199,0.1)^2),1/3)))))))</f>
        <v>#VALUE!</v>
      </c>
      <c r="AI199" t="e">
        <f t="shared" ca="1" si="97"/>
        <v>#VALUE!</v>
      </c>
      <c r="AJ199" t="e">
        <f t="shared" ca="1" si="98"/>
        <v>#VALUE!</v>
      </c>
      <c r="AM199">
        <v>0</v>
      </c>
      <c r="AN199">
        <v>0</v>
      </c>
      <c r="AO199">
        <f t="shared" si="99"/>
        <v>0</v>
      </c>
      <c r="AP199">
        <f t="shared" si="108"/>
        <v>0</v>
      </c>
      <c r="AQ199" t="e">
        <f t="shared" ca="1" si="100"/>
        <v>#VALUE!</v>
      </c>
      <c r="AR199" t="e">
        <f t="shared" ca="1" si="101"/>
        <v>#VALUE!</v>
      </c>
      <c r="AS199" t="e">
        <f t="shared" ca="1" si="102"/>
        <v>#VALUE!</v>
      </c>
    </row>
    <row r="200" spans="1:45" x14ac:dyDescent="0.35">
      <c r="A200">
        <v>51</v>
      </c>
      <c r="B200">
        <v>49.981000000000002</v>
      </c>
      <c r="C200">
        <v>616517.63699999999</v>
      </c>
      <c r="D200">
        <v>3097731.3810000001</v>
      </c>
      <c r="E200">
        <v>633.56200000000001</v>
      </c>
      <c r="F200">
        <v>5.9930000000000003</v>
      </c>
      <c r="G200">
        <v>0</v>
      </c>
      <c r="H200" t="s">
        <v>191</v>
      </c>
      <c r="I200">
        <v>0.08</v>
      </c>
      <c r="J200">
        <f t="shared" si="103"/>
        <v>1</v>
      </c>
      <c r="K200">
        <f t="shared" si="104"/>
        <v>51</v>
      </c>
      <c r="L200" t="e">
        <f t="shared" ca="1" si="105"/>
        <v>#VALUE!</v>
      </c>
      <c r="M200" t="e">
        <f t="shared" ca="1" si="78"/>
        <v>#VALUE!</v>
      </c>
      <c r="N200" t="e">
        <f t="shared" ca="1" si="79"/>
        <v>#VALUE!</v>
      </c>
      <c r="O200" t="e">
        <f t="shared" ca="1" si="80"/>
        <v>#VALUE!</v>
      </c>
      <c r="P200" t="e">
        <f t="shared" ca="1" si="81"/>
        <v>#VALUE!</v>
      </c>
      <c r="Q200" t="e">
        <f t="shared" ca="1" si="82"/>
        <v>#VALUE!</v>
      </c>
      <c r="R200" t="e">
        <f t="shared" ca="1" si="83"/>
        <v>#VALUE!</v>
      </c>
      <c r="S200" t="e">
        <f t="shared" ca="1" si="84"/>
        <v>#VALUE!</v>
      </c>
      <c r="T200" t="e">
        <f t="shared" ca="1" si="85"/>
        <v>#VALUE!</v>
      </c>
      <c r="U200" t="e">
        <f t="shared" ca="1" si="106"/>
        <v>#VALUE!</v>
      </c>
      <c r="V200" t="e">
        <f t="shared" ca="1" si="107"/>
        <v>#VALUE!</v>
      </c>
      <c r="W200" t="e">
        <f t="shared" ca="1" si="86"/>
        <v>#VALUE!</v>
      </c>
      <c r="X200" t="e">
        <f t="shared" ca="1" si="87"/>
        <v>#VALUE!</v>
      </c>
      <c r="Y200" t="e">
        <f t="shared" ca="1" si="88"/>
        <v>#VALUE!</v>
      </c>
      <c r="Z200" t="e">
        <f t="shared" ca="1" si="89"/>
        <v>#VALUE!</v>
      </c>
      <c r="AA200" t="e">
        <f t="shared" ca="1" si="90"/>
        <v>#VALUE!</v>
      </c>
      <c r="AB200" t="e">
        <f t="shared" ca="1" si="91"/>
        <v>#VALUE!</v>
      </c>
      <c r="AC200" t="e">
        <f t="shared" ca="1" si="92"/>
        <v>#VALUE!</v>
      </c>
      <c r="AD200" t="e">
        <f t="shared" ca="1" si="93"/>
        <v>#VALUE!</v>
      </c>
      <c r="AE200" t="e">
        <f t="shared" ca="1" si="94"/>
        <v>#VALUE!</v>
      </c>
      <c r="AF200" t="e">
        <f t="shared" ca="1" si="95"/>
        <v>#VALUE!</v>
      </c>
      <c r="AG200" t="e">
        <f t="shared" ca="1" si="96"/>
        <v>#VALUE!</v>
      </c>
      <c r="AH200" t="e">
        <f ca="1">IF(V32="Supercritical",L200,IF(V32="Subcritical",W200,IF(AND(V200=1,AG200=1),IF(T200&gt;=AE200,L200,W200),IF(V200=1,L200,IF(AG200=1,W200,MAX($D$16,POWER((ABS(K200)^2)/($I$5*MAX(F200,0.1)^2),1/3)))))))</f>
        <v>#VALUE!</v>
      </c>
      <c r="AI200" t="e">
        <f t="shared" ca="1" si="97"/>
        <v>#VALUE!</v>
      </c>
      <c r="AJ200" t="e">
        <f t="shared" ca="1" si="98"/>
        <v>#VALUE!</v>
      </c>
      <c r="AM200">
        <v>0</v>
      </c>
      <c r="AN200">
        <v>0</v>
      </c>
      <c r="AO200">
        <f t="shared" si="99"/>
        <v>0</v>
      </c>
      <c r="AP200">
        <f t="shared" si="108"/>
        <v>0</v>
      </c>
      <c r="AQ200" t="e">
        <f t="shared" ca="1" si="100"/>
        <v>#VALUE!</v>
      </c>
      <c r="AR200" t="e">
        <f t="shared" ca="1" si="101"/>
        <v>#VALUE!</v>
      </c>
      <c r="AS200" t="e">
        <f t="shared" ca="1" si="102"/>
        <v>#VALUE!</v>
      </c>
    </row>
    <row r="201" spans="1:45" x14ac:dyDescent="0.35">
      <c r="A201">
        <v>52</v>
      </c>
      <c r="B201">
        <v>50.981000000000002</v>
      </c>
      <c r="C201">
        <v>616517.06200000003</v>
      </c>
      <c r="D201">
        <v>3097730.5630000001</v>
      </c>
      <c r="E201">
        <v>633.52200000000005</v>
      </c>
      <c r="F201">
        <v>5.9669999999999996</v>
      </c>
      <c r="G201">
        <v>0</v>
      </c>
      <c r="H201" t="s">
        <v>191</v>
      </c>
      <c r="I201">
        <v>0.08</v>
      </c>
      <c r="J201">
        <f t="shared" si="103"/>
        <v>1</v>
      </c>
      <c r="K201">
        <f t="shared" si="104"/>
        <v>51</v>
      </c>
      <c r="L201" t="e">
        <f t="shared" ca="1" si="105"/>
        <v>#VALUE!</v>
      </c>
      <c r="M201" t="e">
        <f t="shared" ca="1" si="78"/>
        <v>#VALUE!</v>
      </c>
      <c r="N201" t="e">
        <f t="shared" ca="1" si="79"/>
        <v>#VALUE!</v>
      </c>
      <c r="O201" t="e">
        <f t="shared" ca="1" si="80"/>
        <v>#VALUE!</v>
      </c>
      <c r="P201" t="e">
        <f t="shared" ca="1" si="81"/>
        <v>#VALUE!</v>
      </c>
      <c r="Q201" t="e">
        <f t="shared" ca="1" si="82"/>
        <v>#VALUE!</v>
      </c>
      <c r="R201" t="e">
        <f t="shared" ca="1" si="83"/>
        <v>#VALUE!</v>
      </c>
      <c r="S201" t="e">
        <f t="shared" ca="1" si="84"/>
        <v>#VALUE!</v>
      </c>
      <c r="T201" t="e">
        <f t="shared" ca="1" si="85"/>
        <v>#VALUE!</v>
      </c>
      <c r="U201" t="e">
        <f t="shared" ca="1" si="106"/>
        <v>#VALUE!</v>
      </c>
      <c r="V201" t="e">
        <f t="shared" ca="1" si="107"/>
        <v>#VALUE!</v>
      </c>
      <c r="W201" t="e">
        <f t="shared" ca="1" si="86"/>
        <v>#VALUE!</v>
      </c>
      <c r="X201" t="e">
        <f t="shared" ca="1" si="87"/>
        <v>#VALUE!</v>
      </c>
      <c r="Y201" t="e">
        <f t="shared" ca="1" si="88"/>
        <v>#VALUE!</v>
      </c>
      <c r="Z201" t="e">
        <f t="shared" ca="1" si="89"/>
        <v>#VALUE!</v>
      </c>
      <c r="AA201" t="e">
        <f t="shared" ca="1" si="90"/>
        <v>#VALUE!</v>
      </c>
      <c r="AB201" t="e">
        <f t="shared" ca="1" si="91"/>
        <v>#VALUE!</v>
      </c>
      <c r="AC201" t="e">
        <f t="shared" ca="1" si="92"/>
        <v>#VALUE!</v>
      </c>
      <c r="AD201" t="e">
        <f t="shared" ca="1" si="93"/>
        <v>#VALUE!</v>
      </c>
      <c r="AE201" t="e">
        <f t="shared" ca="1" si="94"/>
        <v>#VALUE!</v>
      </c>
      <c r="AF201" t="e">
        <f t="shared" ca="1" si="95"/>
        <v>#VALUE!</v>
      </c>
      <c r="AG201" t="e">
        <f t="shared" ca="1" si="96"/>
        <v>#VALUE!</v>
      </c>
      <c r="AH201" t="e">
        <f ca="1">IF(V32="Supercritical",L201,IF(V32="Subcritical",W201,IF(AND(V201=1,AG201=1),IF(T201&gt;=AE201,L201,W201),IF(V201=1,L201,IF(AG201=1,W201,MAX($D$16,POWER((ABS(K201)^2)/($I$5*MAX(F201,0.1)^2),1/3)))))))</f>
        <v>#VALUE!</v>
      </c>
      <c r="AI201" t="e">
        <f t="shared" ca="1" si="97"/>
        <v>#VALUE!</v>
      </c>
      <c r="AJ201" t="e">
        <f t="shared" ca="1" si="98"/>
        <v>#VALUE!</v>
      </c>
      <c r="AM201">
        <v>0</v>
      </c>
      <c r="AN201">
        <v>0</v>
      </c>
      <c r="AO201">
        <f t="shared" si="99"/>
        <v>0</v>
      </c>
      <c r="AP201">
        <f t="shared" si="108"/>
        <v>0</v>
      </c>
      <c r="AQ201" t="e">
        <f t="shared" ca="1" si="100"/>
        <v>#VALUE!</v>
      </c>
      <c r="AR201" t="e">
        <f t="shared" ca="1" si="101"/>
        <v>#VALUE!</v>
      </c>
      <c r="AS201" t="e">
        <f t="shared" ca="1" si="102"/>
        <v>#VALUE!</v>
      </c>
    </row>
    <row r="202" spans="1:45" x14ac:dyDescent="0.35">
      <c r="A202">
        <v>53</v>
      </c>
      <c r="B202">
        <v>51.981000000000002</v>
      </c>
      <c r="C202">
        <v>616516.48800000001</v>
      </c>
      <c r="D202">
        <v>3097729.7439999999</v>
      </c>
      <c r="E202">
        <v>633.48199999999997</v>
      </c>
      <c r="F202">
        <v>5.94</v>
      </c>
      <c r="G202">
        <v>0</v>
      </c>
      <c r="H202" t="s">
        <v>191</v>
      </c>
      <c r="I202">
        <v>0.08</v>
      </c>
      <c r="J202">
        <f t="shared" si="103"/>
        <v>1</v>
      </c>
      <c r="K202">
        <f t="shared" si="104"/>
        <v>51</v>
      </c>
      <c r="L202" t="e">
        <f t="shared" ca="1" si="105"/>
        <v>#VALUE!</v>
      </c>
      <c r="M202" t="e">
        <f t="shared" ca="1" si="78"/>
        <v>#VALUE!</v>
      </c>
      <c r="N202" t="e">
        <f t="shared" ca="1" si="79"/>
        <v>#VALUE!</v>
      </c>
      <c r="O202" t="e">
        <f t="shared" ca="1" si="80"/>
        <v>#VALUE!</v>
      </c>
      <c r="P202" t="e">
        <f t="shared" ca="1" si="81"/>
        <v>#VALUE!</v>
      </c>
      <c r="Q202" t="e">
        <f t="shared" ca="1" si="82"/>
        <v>#VALUE!</v>
      </c>
      <c r="R202" t="e">
        <f t="shared" ca="1" si="83"/>
        <v>#VALUE!</v>
      </c>
      <c r="S202" t="e">
        <f t="shared" ca="1" si="84"/>
        <v>#VALUE!</v>
      </c>
      <c r="T202" t="e">
        <f t="shared" ca="1" si="85"/>
        <v>#VALUE!</v>
      </c>
      <c r="U202" t="e">
        <f t="shared" ca="1" si="106"/>
        <v>#VALUE!</v>
      </c>
      <c r="V202" t="e">
        <f t="shared" ca="1" si="107"/>
        <v>#VALUE!</v>
      </c>
      <c r="W202" t="e">
        <f t="shared" ca="1" si="86"/>
        <v>#VALUE!</v>
      </c>
      <c r="X202" t="e">
        <f t="shared" ca="1" si="87"/>
        <v>#VALUE!</v>
      </c>
      <c r="Y202" t="e">
        <f t="shared" ca="1" si="88"/>
        <v>#VALUE!</v>
      </c>
      <c r="Z202" t="e">
        <f t="shared" ca="1" si="89"/>
        <v>#VALUE!</v>
      </c>
      <c r="AA202" t="e">
        <f t="shared" ca="1" si="90"/>
        <v>#VALUE!</v>
      </c>
      <c r="AB202" t="e">
        <f t="shared" ca="1" si="91"/>
        <v>#VALUE!</v>
      </c>
      <c r="AC202" t="e">
        <f t="shared" ca="1" si="92"/>
        <v>#VALUE!</v>
      </c>
      <c r="AD202" t="e">
        <f t="shared" ca="1" si="93"/>
        <v>#VALUE!</v>
      </c>
      <c r="AE202" t="e">
        <f t="shared" ca="1" si="94"/>
        <v>#VALUE!</v>
      </c>
      <c r="AF202" t="e">
        <f t="shared" ca="1" si="95"/>
        <v>#VALUE!</v>
      </c>
      <c r="AG202" t="e">
        <f t="shared" ca="1" si="96"/>
        <v>#VALUE!</v>
      </c>
      <c r="AH202" t="e">
        <f ca="1">IF(V32="Supercritical",L202,IF(V32="Subcritical",W202,IF(AND(V202=1,AG202=1),IF(T202&gt;=AE202,L202,W202),IF(V202=1,L202,IF(AG202=1,W202,MAX($D$16,POWER((ABS(K202)^2)/($I$5*MAX(F202,0.1)^2),1/3)))))))</f>
        <v>#VALUE!</v>
      </c>
      <c r="AI202" t="e">
        <f t="shared" ca="1" si="97"/>
        <v>#VALUE!</v>
      </c>
      <c r="AJ202" t="e">
        <f t="shared" ca="1" si="98"/>
        <v>#VALUE!</v>
      </c>
      <c r="AM202">
        <v>0</v>
      </c>
      <c r="AN202">
        <v>0</v>
      </c>
      <c r="AO202">
        <f t="shared" si="99"/>
        <v>0</v>
      </c>
      <c r="AP202">
        <f t="shared" si="108"/>
        <v>0</v>
      </c>
      <c r="AQ202" t="e">
        <f t="shared" ca="1" si="100"/>
        <v>#VALUE!</v>
      </c>
      <c r="AR202" t="e">
        <f t="shared" ca="1" si="101"/>
        <v>#VALUE!</v>
      </c>
      <c r="AS202" t="e">
        <f t="shared" ca="1" si="102"/>
        <v>#VALUE!</v>
      </c>
    </row>
    <row r="203" spans="1:45" x14ac:dyDescent="0.35">
      <c r="A203">
        <v>54</v>
      </c>
      <c r="B203">
        <v>52.981000000000002</v>
      </c>
      <c r="C203">
        <v>616515.91299999994</v>
      </c>
      <c r="D203">
        <v>3097728.926</v>
      </c>
      <c r="E203">
        <v>633.44200000000001</v>
      </c>
      <c r="F203">
        <v>5.9139999999999997</v>
      </c>
      <c r="G203">
        <v>0</v>
      </c>
      <c r="H203" t="s">
        <v>191</v>
      </c>
      <c r="I203">
        <v>0.08</v>
      </c>
      <c r="J203">
        <f t="shared" si="103"/>
        <v>1</v>
      </c>
      <c r="K203">
        <f t="shared" si="104"/>
        <v>51</v>
      </c>
      <c r="L203" t="e">
        <f t="shared" ca="1" si="105"/>
        <v>#VALUE!</v>
      </c>
      <c r="M203" t="e">
        <f t="shared" ca="1" si="78"/>
        <v>#VALUE!</v>
      </c>
      <c r="N203" t="e">
        <f t="shared" ca="1" si="79"/>
        <v>#VALUE!</v>
      </c>
      <c r="O203" t="e">
        <f t="shared" ca="1" si="80"/>
        <v>#VALUE!</v>
      </c>
      <c r="P203" t="e">
        <f t="shared" ca="1" si="81"/>
        <v>#VALUE!</v>
      </c>
      <c r="Q203" t="e">
        <f t="shared" ca="1" si="82"/>
        <v>#VALUE!</v>
      </c>
      <c r="R203" t="e">
        <f t="shared" ca="1" si="83"/>
        <v>#VALUE!</v>
      </c>
      <c r="S203" t="e">
        <f t="shared" ca="1" si="84"/>
        <v>#VALUE!</v>
      </c>
      <c r="T203" t="e">
        <f t="shared" ca="1" si="85"/>
        <v>#VALUE!</v>
      </c>
      <c r="U203" t="e">
        <f t="shared" ca="1" si="106"/>
        <v>#VALUE!</v>
      </c>
      <c r="V203" t="e">
        <f t="shared" ca="1" si="107"/>
        <v>#VALUE!</v>
      </c>
      <c r="W203" t="e">
        <f t="shared" ca="1" si="86"/>
        <v>#VALUE!</v>
      </c>
      <c r="X203" t="e">
        <f t="shared" ca="1" si="87"/>
        <v>#VALUE!</v>
      </c>
      <c r="Y203" t="e">
        <f t="shared" ca="1" si="88"/>
        <v>#VALUE!</v>
      </c>
      <c r="Z203" t="e">
        <f t="shared" ca="1" si="89"/>
        <v>#VALUE!</v>
      </c>
      <c r="AA203" t="e">
        <f t="shared" ca="1" si="90"/>
        <v>#VALUE!</v>
      </c>
      <c r="AB203" t="e">
        <f t="shared" ca="1" si="91"/>
        <v>#VALUE!</v>
      </c>
      <c r="AC203" t="e">
        <f t="shared" ca="1" si="92"/>
        <v>#VALUE!</v>
      </c>
      <c r="AD203" t="e">
        <f t="shared" ca="1" si="93"/>
        <v>#VALUE!</v>
      </c>
      <c r="AE203" t="e">
        <f t="shared" ca="1" si="94"/>
        <v>#VALUE!</v>
      </c>
      <c r="AF203" t="e">
        <f t="shared" ca="1" si="95"/>
        <v>#VALUE!</v>
      </c>
      <c r="AG203" t="e">
        <f t="shared" ca="1" si="96"/>
        <v>#VALUE!</v>
      </c>
      <c r="AH203" t="e">
        <f ca="1">IF(V32="Supercritical",L203,IF(V32="Subcritical",W203,IF(AND(V203=1,AG203=1),IF(T203&gt;=AE203,L203,W203),IF(V203=1,L203,IF(AG203=1,W203,MAX($D$16,POWER((ABS(K203)^2)/($I$5*MAX(F203,0.1)^2),1/3)))))))</f>
        <v>#VALUE!</v>
      </c>
      <c r="AI203" t="e">
        <f t="shared" ca="1" si="97"/>
        <v>#VALUE!</v>
      </c>
      <c r="AJ203" t="e">
        <f t="shared" ca="1" si="98"/>
        <v>#VALUE!</v>
      </c>
      <c r="AM203">
        <v>0</v>
      </c>
      <c r="AN203">
        <v>0</v>
      </c>
      <c r="AO203">
        <f t="shared" si="99"/>
        <v>0</v>
      </c>
      <c r="AP203">
        <f t="shared" si="108"/>
        <v>0</v>
      </c>
      <c r="AQ203" t="e">
        <f t="shared" ca="1" si="100"/>
        <v>#VALUE!</v>
      </c>
      <c r="AR203" t="e">
        <f t="shared" ca="1" si="101"/>
        <v>#VALUE!</v>
      </c>
      <c r="AS203" t="e">
        <f t="shared" ca="1" si="102"/>
        <v>#VALUE!</v>
      </c>
    </row>
    <row r="204" spans="1:45" x14ac:dyDescent="0.35">
      <c r="A204">
        <v>55</v>
      </c>
      <c r="B204">
        <v>53.981000000000002</v>
      </c>
      <c r="C204">
        <v>616515.33900000004</v>
      </c>
      <c r="D204">
        <v>3097728.1069999998</v>
      </c>
      <c r="E204">
        <v>633.40200000000004</v>
      </c>
      <c r="F204">
        <v>5.8879999999999999</v>
      </c>
      <c r="G204">
        <v>0</v>
      </c>
      <c r="H204" t="s">
        <v>191</v>
      </c>
      <c r="I204">
        <v>0.08</v>
      </c>
      <c r="J204">
        <f t="shared" si="103"/>
        <v>1</v>
      </c>
      <c r="K204">
        <f t="shared" si="104"/>
        <v>51</v>
      </c>
      <c r="L204" t="e">
        <f t="shared" ca="1" si="105"/>
        <v>#VALUE!</v>
      </c>
      <c r="M204" t="e">
        <f t="shared" ca="1" si="78"/>
        <v>#VALUE!</v>
      </c>
      <c r="N204" t="e">
        <f t="shared" ca="1" si="79"/>
        <v>#VALUE!</v>
      </c>
      <c r="O204" t="e">
        <f t="shared" ca="1" si="80"/>
        <v>#VALUE!</v>
      </c>
      <c r="P204" t="e">
        <f t="shared" ca="1" si="81"/>
        <v>#VALUE!</v>
      </c>
      <c r="Q204" t="e">
        <f t="shared" ca="1" si="82"/>
        <v>#VALUE!</v>
      </c>
      <c r="R204" t="e">
        <f t="shared" ca="1" si="83"/>
        <v>#VALUE!</v>
      </c>
      <c r="S204" t="e">
        <f t="shared" ca="1" si="84"/>
        <v>#VALUE!</v>
      </c>
      <c r="T204" t="e">
        <f t="shared" ca="1" si="85"/>
        <v>#VALUE!</v>
      </c>
      <c r="U204" t="e">
        <f t="shared" ca="1" si="106"/>
        <v>#VALUE!</v>
      </c>
      <c r="V204" t="e">
        <f t="shared" ca="1" si="107"/>
        <v>#VALUE!</v>
      </c>
      <c r="W204" t="e">
        <f t="shared" ca="1" si="86"/>
        <v>#VALUE!</v>
      </c>
      <c r="X204" t="e">
        <f t="shared" ca="1" si="87"/>
        <v>#VALUE!</v>
      </c>
      <c r="Y204" t="e">
        <f t="shared" ca="1" si="88"/>
        <v>#VALUE!</v>
      </c>
      <c r="Z204" t="e">
        <f t="shared" ca="1" si="89"/>
        <v>#VALUE!</v>
      </c>
      <c r="AA204" t="e">
        <f t="shared" ca="1" si="90"/>
        <v>#VALUE!</v>
      </c>
      <c r="AB204" t="e">
        <f t="shared" ca="1" si="91"/>
        <v>#VALUE!</v>
      </c>
      <c r="AC204" t="e">
        <f t="shared" ca="1" si="92"/>
        <v>#VALUE!</v>
      </c>
      <c r="AD204" t="e">
        <f t="shared" ca="1" si="93"/>
        <v>#VALUE!</v>
      </c>
      <c r="AE204" t="e">
        <f t="shared" ca="1" si="94"/>
        <v>#VALUE!</v>
      </c>
      <c r="AF204" t="e">
        <f t="shared" ca="1" si="95"/>
        <v>#VALUE!</v>
      </c>
      <c r="AG204" t="e">
        <f t="shared" ca="1" si="96"/>
        <v>#VALUE!</v>
      </c>
      <c r="AH204" t="e">
        <f ca="1">IF(V32="Supercritical",L204,IF(V32="Subcritical",W204,IF(AND(V204=1,AG204=1),IF(T204&gt;=AE204,L204,W204),IF(V204=1,L204,IF(AG204=1,W204,MAX($D$16,POWER((ABS(K204)^2)/($I$5*MAX(F204,0.1)^2),1/3)))))))</f>
        <v>#VALUE!</v>
      </c>
      <c r="AI204" t="e">
        <f t="shared" ca="1" si="97"/>
        <v>#VALUE!</v>
      </c>
      <c r="AJ204" t="e">
        <f t="shared" ca="1" si="98"/>
        <v>#VALUE!</v>
      </c>
      <c r="AM204">
        <v>0</v>
      </c>
      <c r="AN204">
        <v>0</v>
      </c>
      <c r="AO204">
        <f t="shared" si="99"/>
        <v>0</v>
      </c>
      <c r="AP204">
        <f t="shared" si="108"/>
        <v>0</v>
      </c>
      <c r="AQ204" t="e">
        <f t="shared" ca="1" si="100"/>
        <v>#VALUE!</v>
      </c>
      <c r="AR204" t="e">
        <f t="shared" ca="1" si="101"/>
        <v>#VALUE!</v>
      </c>
      <c r="AS204" t="e">
        <f t="shared" ca="1" si="102"/>
        <v>#VALUE!</v>
      </c>
    </row>
    <row r="205" spans="1:45" x14ac:dyDescent="0.35">
      <c r="A205">
        <v>56</v>
      </c>
      <c r="B205">
        <v>54.981000000000002</v>
      </c>
      <c r="C205">
        <v>616514.76399999997</v>
      </c>
      <c r="D205">
        <v>3097727.2889999999</v>
      </c>
      <c r="E205">
        <v>633.36199999999997</v>
      </c>
      <c r="F205">
        <v>5.8609999999999998</v>
      </c>
      <c r="G205">
        <v>0</v>
      </c>
      <c r="H205" t="s">
        <v>191</v>
      </c>
      <c r="I205">
        <v>0.08</v>
      </c>
      <c r="J205">
        <f t="shared" si="103"/>
        <v>1</v>
      </c>
      <c r="K205">
        <f t="shared" si="104"/>
        <v>51</v>
      </c>
      <c r="L205" t="e">
        <f t="shared" ca="1" si="105"/>
        <v>#VALUE!</v>
      </c>
      <c r="M205" t="e">
        <f t="shared" ca="1" si="78"/>
        <v>#VALUE!</v>
      </c>
      <c r="N205" t="e">
        <f t="shared" ca="1" si="79"/>
        <v>#VALUE!</v>
      </c>
      <c r="O205" t="e">
        <f t="shared" ca="1" si="80"/>
        <v>#VALUE!</v>
      </c>
      <c r="P205" t="e">
        <f t="shared" ca="1" si="81"/>
        <v>#VALUE!</v>
      </c>
      <c r="Q205" t="e">
        <f t="shared" ca="1" si="82"/>
        <v>#VALUE!</v>
      </c>
      <c r="R205" t="e">
        <f t="shared" ca="1" si="83"/>
        <v>#VALUE!</v>
      </c>
      <c r="S205" t="e">
        <f t="shared" ca="1" si="84"/>
        <v>#VALUE!</v>
      </c>
      <c r="T205" t="e">
        <f t="shared" ca="1" si="85"/>
        <v>#VALUE!</v>
      </c>
      <c r="U205" t="e">
        <f t="shared" ca="1" si="106"/>
        <v>#VALUE!</v>
      </c>
      <c r="V205" t="e">
        <f t="shared" ca="1" si="107"/>
        <v>#VALUE!</v>
      </c>
      <c r="W205" t="e">
        <f t="shared" ca="1" si="86"/>
        <v>#VALUE!</v>
      </c>
      <c r="X205" t="e">
        <f t="shared" ca="1" si="87"/>
        <v>#VALUE!</v>
      </c>
      <c r="Y205" t="e">
        <f t="shared" ca="1" si="88"/>
        <v>#VALUE!</v>
      </c>
      <c r="Z205" t="e">
        <f t="shared" ca="1" si="89"/>
        <v>#VALUE!</v>
      </c>
      <c r="AA205" t="e">
        <f t="shared" ca="1" si="90"/>
        <v>#VALUE!</v>
      </c>
      <c r="AB205" t="e">
        <f t="shared" ca="1" si="91"/>
        <v>#VALUE!</v>
      </c>
      <c r="AC205" t="e">
        <f t="shared" ca="1" si="92"/>
        <v>#VALUE!</v>
      </c>
      <c r="AD205" t="e">
        <f t="shared" ca="1" si="93"/>
        <v>#VALUE!</v>
      </c>
      <c r="AE205" t="e">
        <f t="shared" ca="1" si="94"/>
        <v>#VALUE!</v>
      </c>
      <c r="AF205" t="e">
        <f t="shared" ca="1" si="95"/>
        <v>#VALUE!</v>
      </c>
      <c r="AG205" t="e">
        <f t="shared" ca="1" si="96"/>
        <v>#VALUE!</v>
      </c>
      <c r="AH205" t="e">
        <f ca="1">IF(V32="Supercritical",L205,IF(V32="Subcritical",W205,IF(AND(V205=1,AG205=1),IF(T205&gt;=AE205,L205,W205),IF(V205=1,L205,IF(AG205=1,W205,MAX($D$16,POWER((ABS(K205)^2)/($I$5*MAX(F205,0.1)^2),1/3)))))))</f>
        <v>#VALUE!</v>
      </c>
      <c r="AI205" t="e">
        <f t="shared" ca="1" si="97"/>
        <v>#VALUE!</v>
      </c>
      <c r="AJ205" t="e">
        <f t="shared" ca="1" si="98"/>
        <v>#VALUE!</v>
      </c>
      <c r="AM205">
        <v>0</v>
      </c>
      <c r="AN205">
        <v>0</v>
      </c>
      <c r="AO205">
        <f t="shared" si="99"/>
        <v>0</v>
      </c>
      <c r="AP205">
        <f t="shared" si="108"/>
        <v>0</v>
      </c>
      <c r="AQ205" t="e">
        <f t="shared" ca="1" si="100"/>
        <v>#VALUE!</v>
      </c>
      <c r="AR205" t="e">
        <f t="shared" ca="1" si="101"/>
        <v>#VALUE!</v>
      </c>
      <c r="AS205" t="e">
        <f t="shared" ca="1" si="102"/>
        <v>#VALUE!</v>
      </c>
    </row>
    <row r="206" spans="1:45" x14ac:dyDescent="0.35">
      <c r="A206">
        <v>57</v>
      </c>
      <c r="B206">
        <v>55.981000000000002</v>
      </c>
      <c r="C206">
        <v>616514.18999999994</v>
      </c>
      <c r="D206">
        <v>3097726.47</v>
      </c>
      <c r="E206">
        <v>633.322</v>
      </c>
      <c r="F206">
        <v>5.835</v>
      </c>
      <c r="G206">
        <v>0</v>
      </c>
      <c r="H206" t="s">
        <v>191</v>
      </c>
      <c r="I206">
        <v>0.08</v>
      </c>
      <c r="J206">
        <f t="shared" si="103"/>
        <v>1</v>
      </c>
      <c r="K206">
        <f t="shared" si="104"/>
        <v>51</v>
      </c>
      <c r="L206" t="e">
        <f t="shared" ca="1" si="105"/>
        <v>#VALUE!</v>
      </c>
      <c r="M206" t="e">
        <f t="shared" ca="1" si="78"/>
        <v>#VALUE!</v>
      </c>
      <c r="N206" t="e">
        <f t="shared" ca="1" si="79"/>
        <v>#VALUE!</v>
      </c>
      <c r="O206" t="e">
        <f t="shared" ca="1" si="80"/>
        <v>#VALUE!</v>
      </c>
      <c r="P206" t="e">
        <f t="shared" ca="1" si="81"/>
        <v>#VALUE!</v>
      </c>
      <c r="Q206" t="e">
        <f t="shared" ca="1" si="82"/>
        <v>#VALUE!</v>
      </c>
      <c r="R206" t="e">
        <f t="shared" ca="1" si="83"/>
        <v>#VALUE!</v>
      </c>
      <c r="S206" t="e">
        <f t="shared" ca="1" si="84"/>
        <v>#VALUE!</v>
      </c>
      <c r="T206" t="e">
        <f t="shared" ca="1" si="85"/>
        <v>#VALUE!</v>
      </c>
      <c r="U206" t="e">
        <f t="shared" ca="1" si="106"/>
        <v>#VALUE!</v>
      </c>
      <c r="V206" t="e">
        <f t="shared" ca="1" si="107"/>
        <v>#VALUE!</v>
      </c>
      <c r="W206" t="e">
        <f t="shared" ca="1" si="86"/>
        <v>#VALUE!</v>
      </c>
      <c r="X206" t="e">
        <f t="shared" ca="1" si="87"/>
        <v>#VALUE!</v>
      </c>
      <c r="Y206" t="e">
        <f t="shared" ca="1" si="88"/>
        <v>#VALUE!</v>
      </c>
      <c r="Z206" t="e">
        <f t="shared" ca="1" si="89"/>
        <v>#VALUE!</v>
      </c>
      <c r="AA206" t="e">
        <f t="shared" ca="1" si="90"/>
        <v>#VALUE!</v>
      </c>
      <c r="AB206" t="e">
        <f t="shared" ca="1" si="91"/>
        <v>#VALUE!</v>
      </c>
      <c r="AC206" t="e">
        <f t="shared" ca="1" si="92"/>
        <v>#VALUE!</v>
      </c>
      <c r="AD206" t="e">
        <f t="shared" ca="1" si="93"/>
        <v>#VALUE!</v>
      </c>
      <c r="AE206" t="e">
        <f t="shared" ca="1" si="94"/>
        <v>#VALUE!</v>
      </c>
      <c r="AF206" t="e">
        <f t="shared" ca="1" si="95"/>
        <v>#VALUE!</v>
      </c>
      <c r="AG206" t="e">
        <f t="shared" ca="1" si="96"/>
        <v>#VALUE!</v>
      </c>
      <c r="AH206" t="e">
        <f ca="1">IF(V32="Supercritical",L206,IF(V32="Subcritical",W206,IF(AND(V206=1,AG206=1),IF(T206&gt;=AE206,L206,W206),IF(V206=1,L206,IF(AG206=1,W206,MAX($D$16,POWER((ABS(K206)^2)/($I$5*MAX(F206,0.1)^2),1/3)))))))</f>
        <v>#VALUE!</v>
      </c>
      <c r="AI206" t="e">
        <f t="shared" ca="1" si="97"/>
        <v>#VALUE!</v>
      </c>
      <c r="AJ206" t="e">
        <f t="shared" ca="1" si="98"/>
        <v>#VALUE!</v>
      </c>
      <c r="AM206">
        <v>0</v>
      </c>
      <c r="AN206">
        <v>0</v>
      </c>
      <c r="AO206">
        <f t="shared" si="99"/>
        <v>0</v>
      </c>
      <c r="AP206">
        <f t="shared" si="108"/>
        <v>0</v>
      </c>
      <c r="AQ206" t="e">
        <f t="shared" ca="1" si="100"/>
        <v>#VALUE!</v>
      </c>
      <c r="AR206" t="e">
        <f t="shared" ca="1" si="101"/>
        <v>#VALUE!</v>
      </c>
      <c r="AS206" t="e">
        <f t="shared" ca="1" si="102"/>
        <v>#VALUE!</v>
      </c>
    </row>
    <row r="207" spans="1:45" x14ac:dyDescent="0.35">
      <c r="A207">
        <v>58</v>
      </c>
      <c r="B207">
        <v>56.981000000000002</v>
      </c>
      <c r="C207">
        <v>616513.61499999999</v>
      </c>
      <c r="D207">
        <v>3097725.6519999998</v>
      </c>
      <c r="E207">
        <v>633.28200000000004</v>
      </c>
      <c r="F207">
        <v>5.8090000000000002</v>
      </c>
      <c r="G207">
        <v>0</v>
      </c>
      <c r="H207" t="s">
        <v>191</v>
      </c>
      <c r="I207">
        <v>0.08</v>
      </c>
      <c r="J207">
        <f t="shared" si="103"/>
        <v>1</v>
      </c>
      <c r="K207">
        <f t="shared" si="104"/>
        <v>51</v>
      </c>
      <c r="L207" t="e">
        <f t="shared" ca="1" si="105"/>
        <v>#VALUE!</v>
      </c>
      <c r="M207" t="e">
        <f t="shared" ca="1" si="78"/>
        <v>#VALUE!</v>
      </c>
      <c r="N207" t="e">
        <f t="shared" ca="1" si="79"/>
        <v>#VALUE!</v>
      </c>
      <c r="O207" t="e">
        <f t="shared" ca="1" si="80"/>
        <v>#VALUE!</v>
      </c>
      <c r="P207" t="e">
        <f t="shared" ca="1" si="81"/>
        <v>#VALUE!</v>
      </c>
      <c r="Q207" t="e">
        <f t="shared" ca="1" si="82"/>
        <v>#VALUE!</v>
      </c>
      <c r="R207" t="e">
        <f t="shared" ca="1" si="83"/>
        <v>#VALUE!</v>
      </c>
      <c r="S207" t="e">
        <f t="shared" ca="1" si="84"/>
        <v>#VALUE!</v>
      </c>
      <c r="T207" t="e">
        <f t="shared" ca="1" si="85"/>
        <v>#VALUE!</v>
      </c>
      <c r="U207" t="e">
        <f t="shared" ca="1" si="106"/>
        <v>#VALUE!</v>
      </c>
      <c r="V207" t="e">
        <f t="shared" ca="1" si="107"/>
        <v>#VALUE!</v>
      </c>
      <c r="W207" t="e">
        <f t="shared" ca="1" si="86"/>
        <v>#VALUE!</v>
      </c>
      <c r="X207" t="e">
        <f t="shared" ca="1" si="87"/>
        <v>#VALUE!</v>
      </c>
      <c r="Y207" t="e">
        <f t="shared" ca="1" si="88"/>
        <v>#VALUE!</v>
      </c>
      <c r="Z207" t="e">
        <f t="shared" ca="1" si="89"/>
        <v>#VALUE!</v>
      </c>
      <c r="AA207" t="e">
        <f t="shared" ca="1" si="90"/>
        <v>#VALUE!</v>
      </c>
      <c r="AB207" t="e">
        <f t="shared" ca="1" si="91"/>
        <v>#VALUE!</v>
      </c>
      <c r="AC207" t="e">
        <f t="shared" ca="1" si="92"/>
        <v>#VALUE!</v>
      </c>
      <c r="AD207" t="e">
        <f t="shared" ca="1" si="93"/>
        <v>#VALUE!</v>
      </c>
      <c r="AE207" t="e">
        <f t="shared" ca="1" si="94"/>
        <v>#VALUE!</v>
      </c>
      <c r="AF207" t="e">
        <f t="shared" ca="1" si="95"/>
        <v>#VALUE!</v>
      </c>
      <c r="AG207" t="e">
        <f t="shared" ca="1" si="96"/>
        <v>#VALUE!</v>
      </c>
      <c r="AH207" t="e">
        <f ca="1">IF(V32="Supercritical",L207,IF(V32="Subcritical",W207,IF(AND(V207=1,AG207=1),IF(T207&gt;=AE207,L207,W207),IF(V207=1,L207,IF(AG207=1,W207,MAX($D$16,POWER((ABS(K207)^2)/($I$5*MAX(F207,0.1)^2),1/3)))))))</f>
        <v>#VALUE!</v>
      </c>
      <c r="AI207" t="e">
        <f t="shared" ca="1" si="97"/>
        <v>#VALUE!</v>
      </c>
      <c r="AJ207" t="e">
        <f t="shared" ca="1" si="98"/>
        <v>#VALUE!</v>
      </c>
      <c r="AM207">
        <v>0</v>
      </c>
      <c r="AN207">
        <v>0</v>
      </c>
      <c r="AO207">
        <f t="shared" si="99"/>
        <v>0</v>
      </c>
      <c r="AP207">
        <f t="shared" si="108"/>
        <v>0</v>
      </c>
      <c r="AQ207" t="e">
        <f t="shared" ca="1" si="100"/>
        <v>#VALUE!</v>
      </c>
      <c r="AR207" t="e">
        <f t="shared" ca="1" si="101"/>
        <v>#VALUE!</v>
      </c>
      <c r="AS207" t="e">
        <f t="shared" ca="1" si="102"/>
        <v>#VALUE!</v>
      </c>
    </row>
    <row r="208" spans="1:45" x14ac:dyDescent="0.35">
      <c r="A208">
        <v>59</v>
      </c>
      <c r="B208">
        <v>57.981000000000002</v>
      </c>
      <c r="C208">
        <v>616513.04099999997</v>
      </c>
      <c r="D208">
        <v>3097724.8330000001</v>
      </c>
      <c r="E208">
        <v>633.24199999999996</v>
      </c>
      <c r="F208">
        <v>5.782</v>
      </c>
      <c r="G208">
        <v>0</v>
      </c>
      <c r="H208" t="s">
        <v>191</v>
      </c>
      <c r="I208">
        <v>3.3000000000000002E-2</v>
      </c>
      <c r="J208">
        <f t="shared" si="103"/>
        <v>1</v>
      </c>
      <c r="K208">
        <f t="shared" si="104"/>
        <v>51</v>
      </c>
      <c r="L208" t="e">
        <f t="shared" ca="1" si="105"/>
        <v>#VALUE!</v>
      </c>
      <c r="M208" t="e">
        <f t="shared" ca="1" si="78"/>
        <v>#VALUE!</v>
      </c>
      <c r="N208" t="e">
        <f t="shared" ca="1" si="79"/>
        <v>#VALUE!</v>
      </c>
      <c r="O208" t="e">
        <f t="shared" ca="1" si="80"/>
        <v>#VALUE!</v>
      </c>
      <c r="P208" t="e">
        <f t="shared" ca="1" si="81"/>
        <v>#VALUE!</v>
      </c>
      <c r="Q208" t="e">
        <f t="shared" ca="1" si="82"/>
        <v>#VALUE!</v>
      </c>
      <c r="R208" t="e">
        <f t="shared" ca="1" si="83"/>
        <v>#VALUE!</v>
      </c>
      <c r="S208" t="e">
        <f t="shared" ca="1" si="84"/>
        <v>#VALUE!</v>
      </c>
      <c r="T208" t="e">
        <f t="shared" ca="1" si="85"/>
        <v>#VALUE!</v>
      </c>
      <c r="U208" t="e">
        <f t="shared" ca="1" si="106"/>
        <v>#VALUE!</v>
      </c>
      <c r="V208" t="e">
        <f t="shared" ca="1" si="107"/>
        <v>#VALUE!</v>
      </c>
      <c r="W208" t="e">
        <f t="shared" ca="1" si="86"/>
        <v>#VALUE!</v>
      </c>
      <c r="X208" t="e">
        <f t="shared" ca="1" si="87"/>
        <v>#VALUE!</v>
      </c>
      <c r="Y208" t="e">
        <f t="shared" ca="1" si="88"/>
        <v>#VALUE!</v>
      </c>
      <c r="Z208" t="e">
        <f t="shared" ca="1" si="89"/>
        <v>#VALUE!</v>
      </c>
      <c r="AA208" t="e">
        <f t="shared" ca="1" si="90"/>
        <v>#VALUE!</v>
      </c>
      <c r="AB208" t="e">
        <f t="shared" ca="1" si="91"/>
        <v>#VALUE!</v>
      </c>
      <c r="AC208" t="e">
        <f t="shared" ca="1" si="92"/>
        <v>#VALUE!</v>
      </c>
      <c r="AD208" t="e">
        <f t="shared" ca="1" si="93"/>
        <v>#VALUE!</v>
      </c>
      <c r="AE208" t="e">
        <f t="shared" ca="1" si="94"/>
        <v>#VALUE!</v>
      </c>
      <c r="AF208" t="e">
        <f t="shared" ca="1" si="95"/>
        <v>#VALUE!</v>
      </c>
      <c r="AG208" t="e">
        <f t="shared" ca="1" si="96"/>
        <v>#VALUE!</v>
      </c>
      <c r="AH208" t="e">
        <f ca="1">IF(V32="Supercritical",L208,IF(V32="Subcritical",W208,IF(AND(V208=1,AG208=1),IF(T208&gt;=AE208,L208,W208),IF(V208=1,L208,IF(AG208=1,W208,MAX($D$16,POWER((ABS(K208)^2)/($I$5*MAX(F208,0.1)^2),1/3)))))))</f>
        <v>#VALUE!</v>
      </c>
      <c r="AI208" t="e">
        <f t="shared" ca="1" si="97"/>
        <v>#VALUE!</v>
      </c>
      <c r="AJ208" t="e">
        <f t="shared" ca="1" si="98"/>
        <v>#VALUE!</v>
      </c>
      <c r="AM208">
        <v>0</v>
      </c>
      <c r="AN208">
        <v>0</v>
      </c>
      <c r="AO208">
        <f t="shared" si="99"/>
        <v>0</v>
      </c>
      <c r="AP208">
        <f t="shared" si="108"/>
        <v>0</v>
      </c>
      <c r="AQ208" t="e">
        <f t="shared" ca="1" si="100"/>
        <v>#VALUE!</v>
      </c>
      <c r="AR208" t="e">
        <f t="shared" ca="1" si="101"/>
        <v>#VALUE!</v>
      </c>
      <c r="AS208" t="e">
        <f t="shared" ca="1" si="102"/>
        <v>#VALUE!</v>
      </c>
    </row>
    <row r="209" spans="1:45" x14ac:dyDescent="0.35">
      <c r="A209">
        <v>60</v>
      </c>
      <c r="B209">
        <v>58.98</v>
      </c>
      <c r="C209">
        <v>616512.46699999995</v>
      </c>
      <c r="D209">
        <v>3097724.0150000001</v>
      </c>
      <c r="E209">
        <v>633.202</v>
      </c>
      <c r="F209">
        <v>5.7560000000000002</v>
      </c>
      <c r="G209">
        <v>0</v>
      </c>
      <c r="H209" t="s">
        <v>191</v>
      </c>
      <c r="I209">
        <v>1.4E-2</v>
      </c>
      <c r="J209">
        <f t="shared" si="103"/>
        <v>0.99899999999999523</v>
      </c>
      <c r="K209">
        <f t="shared" si="104"/>
        <v>51</v>
      </c>
      <c r="L209" t="e">
        <f t="shared" ca="1" si="105"/>
        <v>#VALUE!</v>
      </c>
      <c r="M209" t="e">
        <f t="shared" ca="1" si="78"/>
        <v>#VALUE!</v>
      </c>
      <c r="N209" t="e">
        <f t="shared" ca="1" si="79"/>
        <v>#VALUE!</v>
      </c>
      <c r="O209" t="e">
        <f t="shared" ca="1" si="80"/>
        <v>#VALUE!</v>
      </c>
      <c r="P209" t="e">
        <f t="shared" ca="1" si="81"/>
        <v>#VALUE!</v>
      </c>
      <c r="Q209" t="e">
        <f t="shared" ca="1" si="82"/>
        <v>#VALUE!</v>
      </c>
      <c r="R209" t="e">
        <f t="shared" ca="1" si="83"/>
        <v>#VALUE!</v>
      </c>
      <c r="S209" t="e">
        <f t="shared" ca="1" si="84"/>
        <v>#VALUE!</v>
      </c>
      <c r="T209" t="e">
        <f t="shared" ca="1" si="85"/>
        <v>#VALUE!</v>
      </c>
      <c r="U209" t="e">
        <f t="shared" ca="1" si="106"/>
        <v>#VALUE!</v>
      </c>
      <c r="V209" t="e">
        <f t="shared" ca="1" si="107"/>
        <v>#VALUE!</v>
      </c>
      <c r="W209" t="e">
        <f t="shared" ca="1" si="86"/>
        <v>#VALUE!</v>
      </c>
      <c r="X209" t="e">
        <f t="shared" ca="1" si="87"/>
        <v>#VALUE!</v>
      </c>
      <c r="Y209" t="e">
        <f t="shared" ca="1" si="88"/>
        <v>#VALUE!</v>
      </c>
      <c r="Z209" t="e">
        <f t="shared" ca="1" si="89"/>
        <v>#VALUE!</v>
      </c>
      <c r="AA209" t="e">
        <f t="shared" ca="1" si="90"/>
        <v>#VALUE!</v>
      </c>
      <c r="AB209" t="e">
        <f t="shared" ca="1" si="91"/>
        <v>#VALUE!</v>
      </c>
      <c r="AC209" t="e">
        <f t="shared" ca="1" si="92"/>
        <v>#VALUE!</v>
      </c>
      <c r="AD209" t="e">
        <f t="shared" ca="1" si="93"/>
        <v>#VALUE!</v>
      </c>
      <c r="AE209" t="e">
        <f t="shared" ca="1" si="94"/>
        <v>#VALUE!</v>
      </c>
      <c r="AF209" t="e">
        <f t="shared" ca="1" si="95"/>
        <v>#VALUE!</v>
      </c>
      <c r="AG209" t="e">
        <f t="shared" ca="1" si="96"/>
        <v>#VALUE!</v>
      </c>
      <c r="AH209" t="e">
        <f ca="1">IF(V32="Supercritical",L209,IF(V32="Subcritical",W209,IF(AND(V209=1,AG209=1),IF(T209&gt;=AE209,L209,W209),IF(V209=1,L209,IF(AG209=1,W209,MAX($D$16,POWER((ABS(K209)^2)/($I$5*MAX(F209,0.1)^2),1/3)))))))</f>
        <v>#VALUE!</v>
      </c>
      <c r="AI209" t="e">
        <f t="shared" ca="1" si="97"/>
        <v>#VALUE!</v>
      </c>
      <c r="AJ209" t="e">
        <f t="shared" ca="1" si="98"/>
        <v>#VALUE!</v>
      </c>
      <c r="AM209">
        <v>0</v>
      </c>
      <c r="AN209">
        <v>0</v>
      </c>
      <c r="AO209">
        <f t="shared" si="99"/>
        <v>0</v>
      </c>
      <c r="AP209">
        <f t="shared" si="108"/>
        <v>0</v>
      </c>
      <c r="AQ209" t="e">
        <f t="shared" ca="1" si="100"/>
        <v>#VALUE!</v>
      </c>
      <c r="AR209" t="e">
        <f t="shared" ca="1" si="101"/>
        <v>#VALUE!</v>
      </c>
      <c r="AS209" t="e">
        <f t="shared" ca="1" si="102"/>
        <v>#VALUE!</v>
      </c>
    </row>
    <row r="210" spans="1:45" x14ac:dyDescent="0.35">
      <c r="A210">
        <v>61</v>
      </c>
      <c r="B210">
        <v>59.981000000000002</v>
      </c>
      <c r="C210">
        <v>616511.89199999999</v>
      </c>
      <c r="D210">
        <v>3097723.196</v>
      </c>
      <c r="E210">
        <v>633.16200000000003</v>
      </c>
      <c r="F210">
        <v>5.73</v>
      </c>
      <c r="G210">
        <v>0</v>
      </c>
      <c r="H210" t="s">
        <v>191</v>
      </c>
      <c r="I210">
        <v>1.4E-2</v>
      </c>
      <c r="J210">
        <f t="shared" si="103"/>
        <v>1.0010000000000048</v>
      </c>
      <c r="K210">
        <f t="shared" si="104"/>
        <v>51</v>
      </c>
      <c r="L210" t="e">
        <f t="shared" ca="1" si="105"/>
        <v>#VALUE!</v>
      </c>
      <c r="M210" t="e">
        <f t="shared" ca="1" si="78"/>
        <v>#VALUE!</v>
      </c>
      <c r="N210" t="e">
        <f t="shared" ca="1" si="79"/>
        <v>#VALUE!</v>
      </c>
      <c r="O210" t="e">
        <f t="shared" ca="1" si="80"/>
        <v>#VALUE!</v>
      </c>
      <c r="P210" t="e">
        <f t="shared" ca="1" si="81"/>
        <v>#VALUE!</v>
      </c>
      <c r="Q210" t="e">
        <f t="shared" ca="1" si="82"/>
        <v>#VALUE!</v>
      </c>
      <c r="R210" t="e">
        <f t="shared" ca="1" si="83"/>
        <v>#VALUE!</v>
      </c>
      <c r="S210" t="e">
        <f t="shared" ca="1" si="84"/>
        <v>#VALUE!</v>
      </c>
      <c r="T210" t="e">
        <f t="shared" ca="1" si="85"/>
        <v>#VALUE!</v>
      </c>
      <c r="U210" t="e">
        <f t="shared" ca="1" si="106"/>
        <v>#VALUE!</v>
      </c>
      <c r="V210" t="e">
        <f t="shared" ca="1" si="107"/>
        <v>#VALUE!</v>
      </c>
      <c r="W210" t="e">
        <f t="shared" ca="1" si="86"/>
        <v>#VALUE!</v>
      </c>
      <c r="X210" t="e">
        <f t="shared" ca="1" si="87"/>
        <v>#VALUE!</v>
      </c>
      <c r="Y210" t="e">
        <f t="shared" ca="1" si="88"/>
        <v>#VALUE!</v>
      </c>
      <c r="Z210" t="e">
        <f t="shared" ca="1" si="89"/>
        <v>#VALUE!</v>
      </c>
      <c r="AA210" t="e">
        <f t="shared" ca="1" si="90"/>
        <v>#VALUE!</v>
      </c>
      <c r="AB210" t="e">
        <f t="shared" ca="1" si="91"/>
        <v>#VALUE!</v>
      </c>
      <c r="AC210" t="e">
        <f t="shared" ca="1" si="92"/>
        <v>#VALUE!</v>
      </c>
      <c r="AD210" t="e">
        <f t="shared" ca="1" si="93"/>
        <v>#VALUE!</v>
      </c>
      <c r="AE210" t="e">
        <f t="shared" ca="1" si="94"/>
        <v>#VALUE!</v>
      </c>
      <c r="AF210" t="e">
        <f t="shared" ca="1" si="95"/>
        <v>#VALUE!</v>
      </c>
      <c r="AG210" t="e">
        <f t="shared" ca="1" si="96"/>
        <v>#VALUE!</v>
      </c>
      <c r="AH210" t="e">
        <f ca="1">IF(V32="Supercritical",L210,IF(V32="Subcritical",W210,IF(AND(V210=1,AG210=1),IF(T210&gt;=AE210,L210,W210),IF(V210=1,L210,IF(AG210=1,W210,MAX($D$16,POWER((ABS(K210)^2)/($I$5*MAX(F210,0.1)^2),1/3)))))))</f>
        <v>#VALUE!</v>
      </c>
      <c r="AI210" t="e">
        <f t="shared" ca="1" si="97"/>
        <v>#VALUE!</v>
      </c>
      <c r="AJ210" t="e">
        <f t="shared" ca="1" si="98"/>
        <v>#VALUE!</v>
      </c>
      <c r="AM210">
        <v>0</v>
      </c>
      <c r="AN210">
        <v>0</v>
      </c>
      <c r="AO210">
        <f t="shared" si="99"/>
        <v>0</v>
      </c>
      <c r="AP210">
        <f t="shared" si="108"/>
        <v>0</v>
      </c>
      <c r="AQ210" t="e">
        <f t="shared" ca="1" si="100"/>
        <v>#VALUE!</v>
      </c>
      <c r="AR210" t="e">
        <f t="shared" ca="1" si="101"/>
        <v>#VALUE!</v>
      </c>
      <c r="AS210" t="e">
        <f t="shared" ca="1" si="102"/>
        <v>#VALUE!</v>
      </c>
    </row>
    <row r="211" spans="1:45" x14ac:dyDescent="0.35">
      <c r="A211">
        <v>62</v>
      </c>
      <c r="B211">
        <v>60.98</v>
      </c>
      <c r="C211">
        <v>616511.31799999997</v>
      </c>
      <c r="D211">
        <v>3097722.378</v>
      </c>
      <c r="E211">
        <v>633.12199999999996</v>
      </c>
      <c r="F211">
        <v>5.7030000000000003</v>
      </c>
      <c r="G211">
        <v>0</v>
      </c>
      <c r="H211" t="s">
        <v>191</v>
      </c>
      <c r="I211">
        <v>1.4E-2</v>
      </c>
      <c r="J211">
        <f t="shared" si="103"/>
        <v>0.99899999999999523</v>
      </c>
      <c r="K211">
        <f t="shared" si="104"/>
        <v>51</v>
      </c>
      <c r="L211" t="e">
        <f t="shared" ca="1" si="105"/>
        <v>#VALUE!</v>
      </c>
      <c r="M211" t="e">
        <f t="shared" ca="1" si="78"/>
        <v>#VALUE!</v>
      </c>
      <c r="N211" t="e">
        <f t="shared" ca="1" si="79"/>
        <v>#VALUE!</v>
      </c>
      <c r="O211" t="e">
        <f t="shared" ca="1" si="80"/>
        <v>#VALUE!</v>
      </c>
      <c r="P211" t="e">
        <f t="shared" ca="1" si="81"/>
        <v>#VALUE!</v>
      </c>
      <c r="Q211" t="e">
        <f t="shared" ca="1" si="82"/>
        <v>#VALUE!</v>
      </c>
      <c r="R211" t="e">
        <f t="shared" ca="1" si="83"/>
        <v>#VALUE!</v>
      </c>
      <c r="S211" t="e">
        <f t="shared" ca="1" si="84"/>
        <v>#VALUE!</v>
      </c>
      <c r="T211" t="e">
        <f t="shared" ca="1" si="85"/>
        <v>#VALUE!</v>
      </c>
      <c r="U211" t="e">
        <f t="shared" ca="1" si="106"/>
        <v>#VALUE!</v>
      </c>
      <c r="V211" t="e">
        <f t="shared" ca="1" si="107"/>
        <v>#VALUE!</v>
      </c>
      <c r="W211" t="e">
        <f t="shared" ca="1" si="86"/>
        <v>#VALUE!</v>
      </c>
      <c r="X211" t="e">
        <f t="shared" ca="1" si="87"/>
        <v>#VALUE!</v>
      </c>
      <c r="Y211" t="e">
        <f t="shared" ca="1" si="88"/>
        <v>#VALUE!</v>
      </c>
      <c r="Z211" t="e">
        <f t="shared" ca="1" si="89"/>
        <v>#VALUE!</v>
      </c>
      <c r="AA211" t="e">
        <f t="shared" ca="1" si="90"/>
        <v>#VALUE!</v>
      </c>
      <c r="AB211" t="e">
        <f t="shared" ca="1" si="91"/>
        <v>#VALUE!</v>
      </c>
      <c r="AC211" t="e">
        <f t="shared" ca="1" si="92"/>
        <v>#VALUE!</v>
      </c>
      <c r="AD211" t="e">
        <f t="shared" ca="1" si="93"/>
        <v>#VALUE!</v>
      </c>
      <c r="AE211" t="e">
        <f t="shared" ca="1" si="94"/>
        <v>#VALUE!</v>
      </c>
      <c r="AF211" t="e">
        <f t="shared" ca="1" si="95"/>
        <v>#VALUE!</v>
      </c>
      <c r="AG211" t="e">
        <f t="shared" ca="1" si="96"/>
        <v>#VALUE!</v>
      </c>
      <c r="AH211" t="e">
        <f ca="1">IF(V32="Supercritical",L211,IF(V32="Subcritical",W211,IF(AND(V211=1,AG211=1),IF(T211&gt;=AE211,L211,W211),IF(V211=1,L211,IF(AG211=1,W211,MAX($D$16,POWER((ABS(K211)^2)/($I$5*MAX(F211,0.1)^2),1/3)))))))</f>
        <v>#VALUE!</v>
      </c>
      <c r="AI211" t="e">
        <f t="shared" ca="1" si="97"/>
        <v>#VALUE!</v>
      </c>
      <c r="AJ211" t="e">
        <f t="shared" ca="1" si="98"/>
        <v>#VALUE!</v>
      </c>
      <c r="AM211">
        <v>0</v>
      </c>
      <c r="AN211">
        <v>0</v>
      </c>
      <c r="AO211">
        <f t="shared" si="99"/>
        <v>0</v>
      </c>
      <c r="AP211">
        <f t="shared" si="108"/>
        <v>0</v>
      </c>
      <c r="AQ211" t="e">
        <f t="shared" ca="1" si="100"/>
        <v>#VALUE!</v>
      </c>
      <c r="AR211" t="e">
        <f t="shared" ca="1" si="101"/>
        <v>#VALUE!</v>
      </c>
      <c r="AS211" t="e">
        <f t="shared" ca="1" si="102"/>
        <v>#VALUE!</v>
      </c>
    </row>
    <row r="212" spans="1:45" x14ac:dyDescent="0.35">
      <c r="A212">
        <v>63</v>
      </c>
      <c r="B212">
        <v>61.981000000000002</v>
      </c>
      <c r="C212">
        <v>616510.74300000002</v>
      </c>
      <c r="D212">
        <v>3097721.5589999999</v>
      </c>
      <c r="E212">
        <v>633.08199999999999</v>
      </c>
      <c r="F212">
        <v>5.6769999999999996</v>
      </c>
      <c r="G212">
        <v>0</v>
      </c>
      <c r="H212" t="s">
        <v>191</v>
      </c>
      <c r="I212">
        <v>4.7E-2</v>
      </c>
      <c r="J212">
        <f t="shared" si="103"/>
        <v>1.0010000000000048</v>
      </c>
      <c r="K212">
        <f t="shared" si="104"/>
        <v>51</v>
      </c>
      <c r="L212" t="e">
        <f t="shared" ca="1" si="105"/>
        <v>#VALUE!</v>
      </c>
      <c r="M212" t="e">
        <f t="shared" ca="1" si="78"/>
        <v>#VALUE!</v>
      </c>
      <c r="N212" t="e">
        <f t="shared" ca="1" si="79"/>
        <v>#VALUE!</v>
      </c>
      <c r="O212" t="e">
        <f t="shared" ca="1" si="80"/>
        <v>#VALUE!</v>
      </c>
      <c r="P212" t="e">
        <f t="shared" ca="1" si="81"/>
        <v>#VALUE!</v>
      </c>
      <c r="Q212" t="e">
        <f t="shared" ca="1" si="82"/>
        <v>#VALUE!</v>
      </c>
      <c r="R212" t="e">
        <f t="shared" ca="1" si="83"/>
        <v>#VALUE!</v>
      </c>
      <c r="S212" t="e">
        <f t="shared" ca="1" si="84"/>
        <v>#VALUE!</v>
      </c>
      <c r="T212" t="e">
        <f t="shared" ca="1" si="85"/>
        <v>#VALUE!</v>
      </c>
      <c r="U212" t="e">
        <f t="shared" ca="1" si="106"/>
        <v>#VALUE!</v>
      </c>
      <c r="V212" t="e">
        <f t="shared" ca="1" si="107"/>
        <v>#VALUE!</v>
      </c>
      <c r="W212" t="e">
        <f t="shared" ca="1" si="86"/>
        <v>#VALUE!</v>
      </c>
      <c r="X212" t="e">
        <f t="shared" ca="1" si="87"/>
        <v>#VALUE!</v>
      </c>
      <c r="Y212" t="e">
        <f t="shared" ca="1" si="88"/>
        <v>#VALUE!</v>
      </c>
      <c r="Z212" t="e">
        <f t="shared" ca="1" si="89"/>
        <v>#VALUE!</v>
      </c>
      <c r="AA212" t="e">
        <f t="shared" ca="1" si="90"/>
        <v>#VALUE!</v>
      </c>
      <c r="AB212" t="e">
        <f t="shared" ca="1" si="91"/>
        <v>#VALUE!</v>
      </c>
      <c r="AC212" t="e">
        <f t="shared" ca="1" si="92"/>
        <v>#VALUE!</v>
      </c>
      <c r="AD212" t="e">
        <f t="shared" ca="1" si="93"/>
        <v>#VALUE!</v>
      </c>
      <c r="AE212" t="e">
        <f t="shared" ca="1" si="94"/>
        <v>#VALUE!</v>
      </c>
      <c r="AF212" t="e">
        <f t="shared" ca="1" si="95"/>
        <v>#VALUE!</v>
      </c>
      <c r="AG212" t="e">
        <f t="shared" ca="1" si="96"/>
        <v>#VALUE!</v>
      </c>
      <c r="AH212" t="e">
        <f ca="1">IF(V32="Supercritical",L212,IF(V32="Subcritical",W212,IF(AND(V212=1,AG212=1),IF(T212&gt;=AE212,L212,W212),IF(V212=1,L212,IF(AG212=1,W212,MAX($D$16,POWER((ABS(K212)^2)/($I$5*MAX(F212,0.1)^2),1/3)))))))</f>
        <v>#VALUE!</v>
      </c>
      <c r="AI212" t="e">
        <f t="shared" ca="1" si="97"/>
        <v>#VALUE!</v>
      </c>
      <c r="AJ212" t="e">
        <f t="shared" ca="1" si="98"/>
        <v>#VALUE!</v>
      </c>
      <c r="AM212">
        <v>0</v>
      </c>
      <c r="AN212">
        <v>0</v>
      </c>
      <c r="AO212">
        <f t="shared" si="99"/>
        <v>0</v>
      </c>
      <c r="AP212">
        <f t="shared" si="108"/>
        <v>0</v>
      </c>
      <c r="AQ212" t="e">
        <f t="shared" ca="1" si="100"/>
        <v>#VALUE!</v>
      </c>
      <c r="AR212" t="e">
        <f t="shared" ca="1" si="101"/>
        <v>#VALUE!</v>
      </c>
      <c r="AS212" t="e">
        <f t="shared" ca="1" si="102"/>
        <v>#VALUE!</v>
      </c>
    </row>
    <row r="213" spans="1:45" x14ac:dyDescent="0.35">
      <c r="A213">
        <v>64</v>
      </c>
      <c r="B213">
        <v>62.981000000000002</v>
      </c>
      <c r="C213">
        <v>616510.16899999999</v>
      </c>
      <c r="D213">
        <v>3097720.74</v>
      </c>
      <c r="E213">
        <v>633.04200000000003</v>
      </c>
      <c r="F213">
        <v>5.6509999999999998</v>
      </c>
      <c r="G213">
        <v>0</v>
      </c>
      <c r="H213" t="s">
        <v>191</v>
      </c>
      <c r="I213">
        <v>0.08</v>
      </c>
      <c r="J213">
        <f t="shared" si="103"/>
        <v>1</v>
      </c>
      <c r="K213">
        <f t="shared" si="104"/>
        <v>51</v>
      </c>
      <c r="L213" t="e">
        <f t="shared" ca="1" si="105"/>
        <v>#VALUE!</v>
      </c>
      <c r="M213" t="e">
        <f t="shared" ca="1" si="78"/>
        <v>#VALUE!</v>
      </c>
      <c r="N213" t="e">
        <f t="shared" ca="1" si="79"/>
        <v>#VALUE!</v>
      </c>
      <c r="O213" t="e">
        <f t="shared" ca="1" si="80"/>
        <v>#VALUE!</v>
      </c>
      <c r="P213" t="e">
        <f t="shared" ca="1" si="81"/>
        <v>#VALUE!</v>
      </c>
      <c r="Q213" t="e">
        <f t="shared" ca="1" si="82"/>
        <v>#VALUE!</v>
      </c>
      <c r="R213" t="e">
        <f t="shared" ca="1" si="83"/>
        <v>#VALUE!</v>
      </c>
      <c r="S213" t="e">
        <f t="shared" ca="1" si="84"/>
        <v>#VALUE!</v>
      </c>
      <c r="T213" t="e">
        <f t="shared" ca="1" si="85"/>
        <v>#VALUE!</v>
      </c>
      <c r="U213" t="e">
        <f t="shared" ca="1" si="106"/>
        <v>#VALUE!</v>
      </c>
      <c r="V213" t="e">
        <f t="shared" ca="1" si="107"/>
        <v>#VALUE!</v>
      </c>
      <c r="W213" t="e">
        <f t="shared" ca="1" si="86"/>
        <v>#VALUE!</v>
      </c>
      <c r="X213" t="e">
        <f t="shared" ca="1" si="87"/>
        <v>#VALUE!</v>
      </c>
      <c r="Y213" t="e">
        <f t="shared" ca="1" si="88"/>
        <v>#VALUE!</v>
      </c>
      <c r="Z213" t="e">
        <f t="shared" ca="1" si="89"/>
        <v>#VALUE!</v>
      </c>
      <c r="AA213" t="e">
        <f t="shared" ca="1" si="90"/>
        <v>#VALUE!</v>
      </c>
      <c r="AB213" t="e">
        <f t="shared" ca="1" si="91"/>
        <v>#VALUE!</v>
      </c>
      <c r="AC213" t="e">
        <f t="shared" ca="1" si="92"/>
        <v>#VALUE!</v>
      </c>
      <c r="AD213" t="e">
        <f t="shared" ca="1" si="93"/>
        <v>#VALUE!</v>
      </c>
      <c r="AE213" t="e">
        <f t="shared" ca="1" si="94"/>
        <v>#VALUE!</v>
      </c>
      <c r="AF213" t="e">
        <f t="shared" ca="1" si="95"/>
        <v>#VALUE!</v>
      </c>
      <c r="AG213" t="e">
        <f t="shared" ca="1" si="96"/>
        <v>#VALUE!</v>
      </c>
      <c r="AH213" t="e">
        <f ca="1">IF(V32="Supercritical",L213,IF(V32="Subcritical",W213,IF(AND(V213=1,AG213=1),IF(T213&gt;=AE213,L213,W213),IF(V213=1,L213,IF(AG213=1,W213,MAX($D$16,POWER((ABS(K213)^2)/($I$5*MAX(F213,0.1)^2),1/3)))))))</f>
        <v>#VALUE!</v>
      </c>
      <c r="AI213" t="e">
        <f t="shared" ca="1" si="97"/>
        <v>#VALUE!</v>
      </c>
      <c r="AJ213" t="e">
        <f t="shared" ca="1" si="98"/>
        <v>#VALUE!</v>
      </c>
      <c r="AM213">
        <v>0</v>
      </c>
      <c r="AN213">
        <v>0</v>
      </c>
      <c r="AO213">
        <f t="shared" si="99"/>
        <v>0</v>
      </c>
      <c r="AP213">
        <f t="shared" si="108"/>
        <v>0</v>
      </c>
      <c r="AQ213" t="e">
        <f t="shared" ca="1" si="100"/>
        <v>#VALUE!</v>
      </c>
      <c r="AR213" t="e">
        <f t="shared" ca="1" si="101"/>
        <v>#VALUE!</v>
      </c>
      <c r="AS213" t="e">
        <f t="shared" ca="1" si="102"/>
        <v>#VALUE!</v>
      </c>
    </row>
    <row r="214" spans="1:45" x14ac:dyDescent="0.35">
      <c r="A214">
        <v>65</v>
      </c>
      <c r="B214">
        <v>63.981000000000002</v>
      </c>
      <c r="C214">
        <v>616509.59400000004</v>
      </c>
      <c r="D214">
        <v>3097719.9219999998</v>
      </c>
      <c r="E214">
        <v>633.00199999999995</v>
      </c>
      <c r="F214">
        <v>5.6239999999999997</v>
      </c>
      <c r="G214">
        <v>0</v>
      </c>
      <c r="H214" t="s">
        <v>191</v>
      </c>
      <c r="I214">
        <v>0.08</v>
      </c>
      <c r="J214">
        <f t="shared" si="103"/>
        <v>1</v>
      </c>
      <c r="K214">
        <f t="shared" si="104"/>
        <v>51</v>
      </c>
      <c r="L214" t="e">
        <f t="shared" ca="1" si="105"/>
        <v>#VALUE!</v>
      </c>
      <c r="M214" t="e">
        <f t="shared" ref="M214:M277" ca="1" si="109">((F214)+(G214)*(L214))*(L214)</f>
        <v>#VALUE!</v>
      </c>
      <c r="N214" t="e">
        <f t="shared" ref="N214:N277" ca="1" si="110">(((F214)+(G214)*(L214))*(L214))/MAX((F214)+2*(L214)*SQRT(1+(G214)^2),0.000001)</f>
        <v>#VALUE!</v>
      </c>
      <c r="O214" t="e">
        <f t="shared" ref="O214:O277" ca="1" si="111">ABS(K214)/MAX(((F214)+(G214)*(L214))*(L214),0.000001)</f>
        <v>#VALUE!</v>
      </c>
      <c r="P214" t="e">
        <f t="shared" ref="P214:P277" ca="1" si="112">E214+L214</f>
        <v>#VALUE!</v>
      </c>
      <c r="Q214" t="e">
        <f t="shared" ref="Q214:Q277" ca="1" si="113">P214+((ABS(K214)/MAX(((F214)+(G214)*(L214))*(L214),0.000001))^2)/(2*$I$5)</f>
        <v>#VALUE!</v>
      </c>
      <c r="R214" t="e">
        <f t="shared" ref="R214:R277" ca="1" si="114">((ABS(K214)*$D$6)/(MAX(((F214)+(G214)*(L214))*(L214),0.000001)*MAX(((((F214)+(G214)*(L214))*(L214))/MAX((F214)+2*(L214)*SQRT(1+(G214)^2),0.000001))^(2/3),0.000001)))^2</f>
        <v>#VALUE!</v>
      </c>
      <c r="S214" t="e">
        <f t="shared" ref="S214:S277" ca="1" si="115">ABS(ABS(K214)/MAX(((F214)+(G214)*(L214))*(L214),0.000001))/SQRT($I$5*MAX((((F214)+(G214)*(L214))*(L214))/MAX((F214)+2*(G214)*(L214),0.000001),0.000001))</f>
        <v>#VALUE!</v>
      </c>
      <c r="T214" t="e">
        <f t="shared" ref="T214:T277" ca="1" si="116">((F214)*(L214)^2)/2+(G214)*(L214)^3/3+(ABS(K214)^2)/($I$5*MAX(((F214)+(G214)*(L214))*(L214),0.000001))</f>
        <v>#VALUE!</v>
      </c>
      <c r="U214" t="e">
        <f t="shared" ca="1" si="106"/>
        <v>#VALUE!</v>
      </c>
      <c r="V214" t="e">
        <f t="shared" ca="1" si="107"/>
        <v>#VALUE!</v>
      </c>
      <c r="W214" t="e">
        <f t="shared" ref="W214:W277" ca="1" si="117">IF($D$20=0,W215,IF(AG215=0,W215,IF(W214=0,W215,IF(ABS(AF214)&gt;$D$19,MAX($D$16,W214+((AF214)*$D$18*IF((AD214)&lt;1,1,-1))),W214))))</f>
        <v>#VALUE!</v>
      </c>
      <c r="X214" t="e">
        <f t="shared" ref="X214:X277" ca="1" si="118">((F214)+(G214)*(W214))*(W214)</f>
        <v>#VALUE!</v>
      </c>
      <c r="Y214" t="e">
        <f t="shared" ref="Y214:Y277" ca="1" si="119">(((F214)+(G214)*(W214))*(W214))/MAX((F214)+2*(W214)*SQRT(1+(G214)^2),0.000001)</f>
        <v>#VALUE!</v>
      </c>
      <c r="Z214" t="e">
        <f t="shared" ref="Z214:Z277" ca="1" si="120">ABS(K214)/MAX(((F214)+(G214)*(W214))*(W214),0.000001)</f>
        <v>#VALUE!</v>
      </c>
      <c r="AA214" t="e">
        <f t="shared" ref="AA214:AA277" ca="1" si="121">E214+W214</f>
        <v>#VALUE!</v>
      </c>
      <c r="AB214" t="e">
        <f t="shared" ref="AB214:AB277" ca="1" si="122">AA214+((ABS(K214)/MAX(((F214)+(G214)*(W214))*(W214),0.000001))^2)/(2*$I$5)</f>
        <v>#VALUE!</v>
      </c>
      <c r="AC214" t="e">
        <f t="shared" ref="AC214:AC277" ca="1" si="123">((ABS(K214)*$D$6)/(MAX(((F214)+(G214)*(W214))*(W214),0.000001)*MAX(((((F214)+(G214)*(W214))*(W214))/MAX((F214)+2*(W214)*SQRT(1+(G214)^2),0.000001))^(2/3),0.000001)))^2</f>
        <v>#VALUE!</v>
      </c>
      <c r="AD214" t="e">
        <f t="shared" ref="AD214:AD277" ca="1" si="124">ABS(ABS(K214)/MAX(((F214)+(G214)*(W214))*(W214),0.000001))/SQRT($I$5*MAX((((F214)+(G214)*(W214))*(W214))/MAX((F214)+2*(G214)*(W214),0.000001),0.000001))</f>
        <v>#VALUE!</v>
      </c>
      <c r="AE214" t="e">
        <f t="shared" ref="AE214:AE277" ca="1" si="125">((F214)*(W214)^2)/2+(G214)*(W214)^3/3+(ABS(K214)^2)/($I$5*MAX(((F214)+(G214)*(W214))*(W214),0.000001))</f>
        <v>#VALUE!</v>
      </c>
      <c r="AF214" t="e">
        <f t="shared" ref="AF214:AF277" ca="1" si="126">AB215+(((AC214+AC215)/2)*J215)+(IF(Z214&gt;Z215,$D$8*((Z214^2-Z215^2)/(2*$I$5)),$D$9*((Z215^2-Z214^2)/(2*$I$5)))+($D$10*(ABS(I215)/90)*(MAX(Z214^2,Z215^2)/(2*$I$5))))-AB214</f>
        <v>#VALUE!</v>
      </c>
      <c r="AG214" t="e">
        <f t="shared" ref="AG214:AG277" ca="1" si="127">IF(ABS(AF214)&lt;$D$19,1,0)</f>
        <v>#VALUE!</v>
      </c>
      <c r="AH214" t="e">
        <f ca="1">IF(V32="Supercritical",L214,IF(V32="Subcritical",W214,IF(AND(V214=1,AG214=1),IF(T214&gt;=AE214,L214,W214),IF(V214=1,L214,IF(AG214=1,W214,MAX($D$16,POWER((ABS(K214)^2)/($I$5*MAX(F214,0.1)^2),1/3)))))))</f>
        <v>#VALUE!</v>
      </c>
      <c r="AI214" t="e">
        <f t="shared" ref="AI214:AI277" ca="1" si="128">E214+AH214</f>
        <v>#VALUE!</v>
      </c>
      <c r="AJ214" t="e">
        <f t="shared" ref="AJ214:AJ277" ca="1" si="129">AI214+((ABS(K214)/MAX(((F214)+(G214)*(AH214))*(AH214),0.000001))^2)/(2*$I$5)</f>
        <v>#VALUE!</v>
      </c>
      <c r="AM214">
        <v>0</v>
      </c>
      <c r="AN214">
        <v>0</v>
      </c>
      <c r="AO214">
        <f t="shared" ref="AO214:AO277" si="130">AM214+AN214</f>
        <v>0</v>
      </c>
      <c r="AP214">
        <f t="shared" si="108"/>
        <v>0</v>
      </c>
      <c r="AQ214" t="e">
        <f t="shared" ref="AQ214:AQ277" ca="1" si="131">ABS(ABS(K214)/MAX(((F214)+(G214)*(AH214))*(AH214),0.000001))/SQRT($I$5*MAX((((F214)+(G214)*(AH214))*(AH214))/MAX((F214)+2*(G214)*(AH214),0.000001),0.000001))</f>
        <v>#VALUE!</v>
      </c>
      <c r="AR214" t="e">
        <f t="shared" ref="AR214:AR277" ca="1" si="132">IF(AQ214&lt;1,"Subcritical","Supercritical")</f>
        <v>#VALUE!</v>
      </c>
      <c r="AS214" t="e">
        <f t="shared" ref="AS214:AS277" ca="1" si="133">((ABS(K214)*$D$6)/(MAX(((F214)+(G214)*(AH214))*(AH214),0.000001)*MAX(((((F214)+(G214)*(AH214))*(AH214))/MAX((F214)+2*(AH214)*SQRT(1+(G214)^2),0.000001))^(2/3),0.000001)))^2</f>
        <v>#VALUE!</v>
      </c>
    </row>
    <row r="215" spans="1:45" x14ac:dyDescent="0.35">
      <c r="A215">
        <v>66</v>
      </c>
      <c r="B215">
        <v>64.980999999999995</v>
      </c>
      <c r="C215">
        <v>616509.02</v>
      </c>
      <c r="D215">
        <v>3097719.1030000001</v>
      </c>
      <c r="E215">
        <v>632.96199999999999</v>
      </c>
      <c r="F215">
        <v>5.5979999999999999</v>
      </c>
      <c r="G215">
        <v>0</v>
      </c>
      <c r="H215" t="s">
        <v>191</v>
      </c>
      <c r="I215">
        <v>0.08</v>
      </c>
      <c r="J215">
        <f t="shared" ref="J215:J278" si="134">B215-B214</f>
        <v>0.99999999999999289</v>
      </c>
      <c r="K215">
        <f t="shared" ref="K215:K278" si="135">MAX(0,K214-AO214)</f>
        <v>51</v>
      </c>
      <c r="L215" t="e">
        <f t="shared" ref="L215:L278" ca="1" si="136">IF($D$20=0,L214,IF(V214=0,L214,IF(L215=0,L214,IF(ABS(U215)&gt;$D$19,MAX($D$16,L215+((U215)*$D$18*IF((S215)&lt;1,1,-1))),L215))))</f>
        <v>#VALUE!</v>
      </c>
      <c r="M215" t="e">
        <f t="shared" ca="1" si="109"/>
        <v>#VALUE!</v>
      </c>
      <c r="N215" t="e">
        <f t="shared" ca="1" si="110"/>
        <v>#VALUE!</v>
      </c>
      <c r="O215" t="e">
        <f t="shared" ca="1" si="111"/>
        <v>#VALUE!</v>
      </c>
      <c r="P215" t="e">
        <f t="shared" ca="1" si="112"/>
        <v>#VALUE!</v>
      </c>
      <c r="Q215" t="e">
        <f t="shared" ca="1" si="113"/>
        <v>#VALUE!</v>
      </c>
      <c r="R215" t="e">
        <f t="shared" ca="1" si="114"/>
        <v>#VALUE!</v>
      </c>
      <c r="S215" t="e">
        <f t="shared" ca="1" si="115"/>
        <v>#VALUE!</v>
      </c>
      <c r="T215" t="e">
        <f t="shared" ca="1" si="116"/>
        <v>#VALUE!</v>
      </c>
      <c r="U215" t="e">
        <f t="shared" ref="U215:U278" ca="1" si="137">Q214-(((R214+R215)/2)*J215)-(IF(O214&gt;O215,$D$8*((O214^2-O215^2)/(2*$I$5)),$D$9*((O215^2-O214^2)/(2*$I$5)))+($D$10*(ABS(I215)/90)*(MAX(O214^2,O215^2)/(2*$I$5))))-Q215</f>
        <v>#VALUE!</v>
      </c>
      <c r="V215" t="e">
        <f t="shared" ref="V215:V278" ca="1" si="138">IF(ABS(U215)&lt;$D$19,1,0)</f>
        <v>#VALUE!</v>
      </c>
      <c r="W215" t="e">
        <f t="shared" ca="1" si="117"/>
        <v>#VALUE!</v>
      </c>
      <c r="X215" t="e">
        <f t="shared" ca="1" si="118"/>
        <v>#VALUE!</v>
      </c>
      <c r="Y215" t="e">
        <f t="shared" ca="1" si="119"/>
        <v>#VALUE!</v>
      </c>
      <c r="Z215" t="e">
        <f t="shared" ca="1" si="120"/>
        <v>#VALUE!</v>
      </c>
      <c r="AA215" t="e">
        <f t="shared" ca="1" si="121"/>
        <v>#VALUE!</v>
      </c>
      <c r="AB215" t="e">
        <f t="shared" ca="1" si="122"/>
        <v>#VALUE!</v>
      </c>
      <c r="AC215" t="e">
        <f t="shared" ca="1" si="123"/>
        <v>#VALUE!</v>
      </c>
      <c r="AD215" t="e">
        <f t="shared" ca="1" si="124"/>
        <v>#VALUE!</v>
      </c>
      <c r="AE215" t="e">
        <f t="shared" ca="1" si="125"/>
        <v>#VALUE!</v>
      </c>
      <c r="AF215" t="e">
        <f t="shared" ca="1" si="126"/>
        <v>#VALUE!</v>
      </c>
      <c r="AG215" t="e">
        <f t="shared" ca="1" si="127"/>
        <v>#VALUE!</v>
      </c>
      <c r="AH215" t="e">
        <f ca="1">IF(V32="Supercritical",L215,IF(V32="Subcritical",W215,IF(AND(V215=1,AG215=1),IF(T215&gt;=AE215,L215,W215),IF(V215=1,L215,IF(AG215=1,W215,MAX($D$16,POWER((ABS(K215)^2)/($I$5*MAX(F215,0.1)^2),1/3)))))))</f>
        <v>#VALUE!</v>
      </c>
      <c r="AI215" t="e">
        <f t="shared" ca="1" si="128"/>
        <v>#VALUE!</v>
      </c>
      <c r="AJ215" t="e">
        <f t="shared" ca="1" si="129"/>
        <v>#VALUE!</v>
      </c>
      <c r="AM215">
        <v>0</v>
      </c>
      <c r="AN215">
        <v>0</v>
      </c>
      <c r="AO215">
        <f t="shared" si="130"/>
        <v>0</v>
      </c>
      <c r="AP215">
        <f t="shared" ref="AP215:AP278" si="139">AP214+AO215</f>
        <v>0</v>
      </c>
      <c r="AQ215" t="e">
        <f t="shared" ca="1" si="131"/>
        <v>#VALUE!</v>
      </c>
      <c r="AR215" t="e">
        <f t="shared" ca="1" si="132"/>
        <v>#VALUE!</v>
      </c>
      <c r="AS215" t="e">
        <f t="shared" ca="1" si="133"/>
        <v>#VALUE!</v>
      </c>
    </row>
    <row r="216" spans="1:45" x14ac:dyDescent="0.35">
      <c r="A216">
        <v>67</v>
      </c>
      <c r="B216">
        <v>65.980999999999995</v>
      </c>
      <c r="C216">
        <v>616508.44499999995</v>
      </c>
      <c r="D216">
        <v>3097718.2850000001</v>
      </c>
      <c r="E216">
        <v>632.92200000000003</v>
      </c>
      <c r="F216">
        <v>5.5720000000000001</v>
      </c>
      <c r="G216">
        <v>0</v>
      </c>
      <c r="H216" t="s">
        <v>191</v>
      </c>
      <c r="I216">
        <v>0.08</v>
      </c>
      <c r="J216">
        <f t="shared" si="134"/>
        <v>1</v>
      </c>
      <c r="K216">
        <f t="shared" si="135"/>
        <v>51</v>
      </c>
      <c r="L216" t="e">
        <f t="shared" ca="1" si="136"/>
        <v>#VALUE!</v>
      </c>
      <c r="M216" t="e">
        <f t="shared" ca="1" si="109"/>
        <v>#VALUE!</v>
      </c>
      <c r="N216" t="e">
        <f t="shared" ca="1" si="110"/>
        <v>#VALUE!</v>
      </c>
      <c r="O216" t="e">
        <f t="shared" ca="1" si="111"/>
        <v>#VALUE!</v>
      </c>
      <c r="P216" t="e">
        <f t="shared" ca="1" si="112"/>
        <v>#VALUE!</v>
      </c>
      <c r="Q216" t="e">
        <f t="shared" ca="1" si="113"/>
        <v>#VALUE!</v>
      </c>
      <c r="R216" t="e">
        <f t="shared" ca="1" si="114"/>
        <v>#VALUE!</v>
      </c>
      <c r="S216" t="e">
        <f t="shared" ca="1" si="115"/>
        <v>#VALUE!</v>
      </c>
      <c r="T216" t="e">
        <f t="shared" ca="1" si="116"/>
        <v>#VALUE!</v>
      </c>
      <c r="U216" t="e">
        <f t="shared" ca="1" si="137"/>
        <v>#VALUE!</v>
      </c>
      <c r="V216" t="e">
        <f t="shared" ca="1" si="138"/>
        <v>#VALUE!</v>
      </c>
      <c r="W216" t="e">
        <f t="shared" ca="1" si="117"/>
        <v>#VALUE!</v>
      </c>
      <c r="X216" t="e">
        <f t="shared" ca="1" si="118"/>
        <v>#VALUE!</v>
      </c>
      <c r="Y216" t="e">
        <f t="shared" ca="1" si="119"/>
        <v>#VALUE!</v>
      </c>
      <c r="Z216" t="e">
        <f t="shared" ca="1" si="120"/>
        <v>#VALUE!</v>
      </c>
      <c r="AA216" t="e">
        <f t="shared" ca="1" si="121"/>
        <v>#VALUE!</v>
      </c>
      <c r="AB216" t="e">
        <f t="shared" ca="1" si="122"/>
        <v>#VALUE!</v>
      </c>
      <c r="AC216" t="e">
        <f t="shared" ca="1" si="123"/>
        <v>#VALUE!</v>
      </c>
      <c r="AD216" t="e">
        <f t="shared" ca="1" si="124"/>
        <v>#VALUE!</v>
      </c>
      <c r="AE216" t="e">
        <f t="shared" ca="1" si="125"/>
        <v>#VALUE!</v>
      </c>
      <c r="AF216" t="e">
        <f t="shared" ca="1" si="126"/>
        <v>#VALUE!</v>
      </c>
      <c r="AG216" t="e">
        <f t="shared" ca="1" si="127"/>
        <v>#VALUE!</v>
      </c>
      <c r="AH216" t="e">
        <f ca="1">IF(V32="Supercritical",L216,IF(V32="Subcritical",W216,IF(AND(V216=1,AG216=1),IF(T216&gt;=AE216,L216,W216),IF(V216=1,L216,IF(AG216=1,W216,MAX($D$16,POWER((ABS(K216)^2)/($I$5*MAX(F216,0.1)^2),1/3)))))))</f>
        <v>#VALUE!</v>
      </c>
      <c r="AI216" t="e">
        <f t="shared" ca="1" si="128"/>
        <v>#VALUE!</v>
      </c>
      <c r="AJ216" t="e">
        <f t="shared" ca="1" si="129"/>
        <v>#VALUE!</v>
      </c>
      <c r="AM216">
        <v>0</v>
      </c>
      <c r="AN216">
        <v>0</v>
      </c>
      <c r="AO216">
        <f t="shared" si="130"/>
        <v>0</v>
      </c>
      <c r="AP216">
        <f t="shared" si="139"/>
        <v>0</v>
      </c>
      <c r="AQ216" t="e">
        <f t="shared" ca="1" si="131"/>
        <v>#VALUE!</v>
      </c>
      <c r="AR216" t="e">
        <f t="shared" ca="1" si="132"/>
        <v>#VALUE!</v>
      </c>
      <c r="AS216" t="e">
        <f t="shared" ca="1" si="133"/>
        <v>#VALUE!</v>
      </c>
    </row>
    <row r="217" spans="1:45" x14ac:dyDescent="0.35">
      <c r="A217">
        <v>68</v>
      </c>
      <c r="B217">
        <v>66.980999999999995</v>
      </c>
      <c r="C217">
        <v>616507.87100000004</v>
      </c>
      <c r="D217">
        <v>3097717.466</v>
      </c>
      <c r="E217">
        <v>632.88199999999995</v>
      </c>
      <c r="F217">
        <v>5.5449999999999999</v>
      </c>
      <c r="G217">
        <v>0</v>
      </c>
      <c r="H217" t="s">
        <v>191</v>
      </c>
      <c r="I217">
        <v>0.08</v>
      </c>
      <c r="J217">
        <f t="shared" si="134"/>
        <v>1</v>
      </c>
      <c r="K217">
        <f t="shared" si="135"/>
        <v>51</v>
      </c>
      <c r="L217" t="e">
        <f t="shared" ca="1" si="136"/>
        <v>#VALUE!</v>
      </c>
      <c r="M217" t="e">
        <f t="shared" ca="1" si="109"/>
        <v>#VALUE!</v>
      </c>
      <c r="N217" t="e">
        <f t="shared" ca="1" si="110"/>
        <v>#VALUE!</v>
      </c>
      <c r="O217" t="e">
        <f t="shared" ca="1" si="111"/>
        <v>#VALUE!</v>
      </c>
      <c r="P217" t="e">
        <f t="shared" ca="1" si="112"/>
        <v>#VALUE!</v>
      </c>
      <c r="Q217" t="e">
        <f t="shared" ca="1" si="113"/>
        <v>#VALUE!</v>
      </c>
      <c r="R217" t="e">
        <f t="shared" ca="1" si="114"/>
        <v>#VALUE!</v>
      </c>
      <c r="S217" t="e">
        <f t="shared" ca="1" si="115"/>
        <v>#VALUE!</v>
      </c>
      <c r="T217" t="e">
        <f t="shared" ca="1" si="116"/>
        <v>#VALUE!</v>
      </c>
      <c r="U217" t="e">
        <f t="shared" ca="1" si="137"/>
        <v>#VALUE!</v>
      </c>
      <c r="V217" t="e">
        <f t="shared" ca="1" si="138"/>
        <v>#VALUE!</v>
      </c>
      <c r="W217" t="e">
        <f t="shared" ca="1" si="117"/>
        <v>#VALUE!</v>
      </c>
      <c r="X217" t="e">
        <f t="shared" ca="1" si="118"/>
        <v>#VALUE!</v>
      </c>
      <c r="Y217" t="e">
        <f t="shared" ca="1" si="119"/>
        <v>#VALUE!</v>
      </c>
      <c r="Z217" t="e">
        <f t="shared" ca="1" si="120"/>
        <v>#VALUE!</v>
      </c>
      <c r="AA217" t="e">
        <f t="shared" ca="1" si="121"/>
        <v>#VALUE!</v>
      </c>
      <c r="AB217" t="e">
        <f t="shared" ca="1" si="122"/>
        <v>#VALUE!</v>
      </c>
      <c r="AC217" t="e">
        <f t="shared" ca="1" si="123"/>
        <v>#VALUE!</v>
      </c>
      <c r="AD217" t="e">
        <f t="shared" ca="1" si="124"/>
        <v>#VALUE!</v>
      </c>
      <c r="AE217" t="e">
        <f t="shared" ca="1" si="125"/>
        <v>#VALUE!</v>
      </c>
      <c r="AF217" t="e">
        <f t="shared" ca="1" si="126"/>
        <v>#VALUE!</v>
      </c>
      <c r="AG217" t="e">
        <f t="shared" ca="1" si="127"/>
        <v>#VALUE!</v>
      </c>
      <c r="AH217" t="e">
        <f ca="1">IF(V32="Supercritical",L217,IF(V32="Subcritical",W217,IF(AND(V217=1,AG217=1),IF(T217&gt;=AE217,L217,W217),IF(V217=1,L217,IF(AG217=1,W217,MAX($D$16,POWER((ABS(K217)^2)/($I$5*MAX(F217,0.1)^2),1/3)))))))</f>
        <v>#VALUE!</v>
      </c>
      <c r="AI217" t="e">
        <f t="shared" ca="1" si="128"/>
        <v>#VALUE!</v>
      </c>
      <c r="AJ217" t="e">
        <f t="shared" ca="1" si="129"/>
        <v>#VALUE!</v>
      </c>
      <c r="AM217">
        <v>0</v>
      </c>
      <c r="AN217">
        <v>0</v>
      </c>
      <c r="AO217">
        <f t="shared" si="130"/>
        <v>0</v>
      </c>
      <c r="AP217">
        <f t="shared" si="139"/>
        <v>0</v>
      </c>
      <c r="AQ217" t="e">
        <f t="shared" ca="1" si="131"/>
        <v>#VALUE!</v>
      </c>
      <c r="AR217" t="e">
        <f t="shared" ca="1" si="132"/>
        <v>#VALUE!</v>
      </c>
      <c r="AS217" t="e">
        <f t="shared" ca="1" si="133"/>
        <v>#VALUE!</v>
      </c>
    </row>
    <row r="218" spans="1:45" x14ac:dyDescent="0.35">
      <c r="A218">
        <v>69</v>
      </c>
      <c r="B218">
        <v>67.980999999999995</v>
      </c>
      <c r="C218">
        <v>616507.29599999997</v>
      </c>
      <c r="D218">
        <v>3097716.648</v>
      </c>
      <c r="E218">
        <v>632.84199999999998</v>
      </c>
      <c r="F218">
        <v>5.5190000000000001</v>
      </c>
      <c r="G218">
        <v>0</v>
      </c>
      <c r="H218" t="s">
        <v>191</v>
      </c>
      <c r="I218">
        <v>0.08</v>
      </c>
      <c r="J218">
        <f t="shared" si="134"/>
        <v>1</v>
      </c>
      <c r="K218">
        <f t="shared" si="135"/>
        <v>51</v>
      </c>
      <c r="L218" t="e">
        <f t="shared" ca="1" si="136"/>
        <v>#VALUE!</v>
      </c>
      <c r="M218" t="e">
        <f t="shared" ca="1" si="109"/>
        <v>#VALUE!</v>
      </c>
      <c r="N218" t="e">
        <f t="shared" ca="1" si="110"/>
        <v>#VALUE!</v>
      </c>
      <c r="O218" t="e">
        <f t="shared" ca="1" si="111"/>
        <v>#VALUE!</v>
      </c>
      <c r="P218" t="e">
        <f t="shared" ca="1" si="112"/>
        <v>#VALUE!</v>
      </c>
      <c r="Q218" t="e">
        <f t="shared" ca="1" si="113"/>
        <v>#VALUE!</v>
      </c>
      <c r="R218" t="e">
        <f t="shared" ca="1" si="114"/>
        <v>#VALUE!</v>
      </c>
      <c r="S218" t="e">
        <f t="shared" ca="1" si="115"/>
        <v>#VALUE!</v>
      </c>
      <c r="T218" t="e">
        <f t="shared" ca="1" si="116"/>
        <v>#VALUE!</v>
      </c>
      <c r="U218" t="e">
        <f t="shared" ca="1" si="137"/>
        <v>#VALUE!</v>
      </c>
      <c r="V218" t="e">
        <f t="shared" ca="1" si="138"/>
        <v>#VALUE!</v>
      </c>
      <c r="W218" t="e">
        <f t="shared" ca="1" si="117"/>
        <v>#VALUE!</v>
      </c>
      <c r="X218" t="e">
        <f t="shared" ca="1" si="118"/>
        <v>#VALUE!</v>
      </c>
      <c r="Y218" t="e">
        <f t="shared" ca="1" si="119"/>
        <v>#VALUE!</v>
      </c>
      <c r="Z218" t="e">
        <f t="shared" ca="1" si="120"/>
        <v>#VALUE!</v>
      </c>
      <c r="AA218" t="e">
        <f t="shared" ca="1" si="121"/>
        <v>#VALUE!</v>
      </c>
      <c r="AB218" t="e">
        <f t="shared" ca="1" si="122"/>
        <v>#VALUE!</v>
      </c>
      <c r="AC218" t="e">
        <f t="shared" ca="1" si="123"/>
        <v>#VALUE!</v>
      </c>
      <c r="AD218" t="e">
        <f t="shared" ca="1" si="124"/>
        <v>#VALUE!</v>
      </c>
      <c r="AE218" t="e">
        <f t="shared" ca="1" si="125"/>
        <v>#VALUE!</v>
      </c>
      <c r="AF218" t="e">
        <f t="shared" ca="1" si="126"/>
        <v>#VALUE!</v>
      </c>
      <c r="AG218" t="e">
        <f t="shared" ca="1" si="127"/>
        <v>#VALUE!</v>
      </c>
      <c r="AH218" t="e">
        <f ca="1">IF(V32="Supercritical",L218,IF(V32="Subcritical",W218,IF(AND(V218=1,AG218=1),IF(T218&gt;=AE218,L218,W218),IF(V218=1,L218,IF(AG218=1,W218,MAX($D$16,POWER((ABS(K218)^2)/($I$5*MAX(F218,0.1)^2),1/3)))))))</f>
        <v>#VALUE!</v>
      </c>
      <c r="AI218" t="e">
        <f t="shared" ca="1" si="128"/>
        <v>#VALUE!</v>
      </c>
      <c r="AJ218" t="e">
        <f t="shared" ca="1" si="129"/>
        <v>#VALUE!</v>
      </c>
      <c r="AM218">
        <v>0</v>
      </c>
      <c r="AN218">
        <v>0</v>
      </c>
      <c r="AO218">
        <f t="shared" si="130"/>
        <v>0</v>
      </c>
      <c r="AP218">
        <f t="shared" si="139"/>
        <v>0</v>
      </c>
      <c r="AQ218" t="e">
        <f t="shared" ca="1" si="131"/>
        <v>#VALUE!</v>
      </c>
      <c r="AR218" t="e">
        <f t="shared" ca="1" si="132"/>
        <v>#VALUE!</v>
      </c>
      <c r="AS218" t="e">
        <f t="shared" ca="1" si="133"/>
        <v>#VALUE!</v>
      </c>
    </row>
    <row r="219" spans="1:45" x14ac:dyDescent="0.35">
      <c r="A219">
        <v>70</v>
      </c>
      <c r="B219">
        <v>68.980999999999995</v>
      </c>
      <c r="C219">
        <v>616506.72199999995</v>
      </c>
      <c r="D219">
        <v>3097715.8289999999</v>
      </c>
      <c r="E219">
        <v>632.80200000000002</v>
      </c>
      <c r="F219">
        <v>5.4930000000000003</v>
      </c>
      <c r="G219">
        <v>0</v>
      </c>
      <c r="H219" t="s">
        <v>191</v>
      </c>
      <c r="I219">
        <v>3.3000000000000002E-2</v>
      </c>
      <c r="J219">
        <f t="shared" si="134"/>
        <v>1</v>
      </c>
      <c r="K219">
        <f t="shared" si="135"/>
        <v>51</v>
      </c>
      <c r="L219" t="e">
        <f t="shared" ca="1" si="136"/>
        <v>#VALUE!</v>
      </c>
      <c r="M219" t="e">
        <f t="shared" ca="1" si="109"/>
        <v>#VALUE!</v>
      </c>
      <c r="N219" t="e">
        <f t="shared" ca="1" si="110"/>
        <v>#VALUE!</v>
      </c>
      <c r="O219" t="e">
        <f t="shared" ca="1" si="111"/>
        <v>#VALUE!</v>
      </c>
      <c r="P219" t="e">
        <f t="shared" ca="1" si="112"/>
        <v>#VALUE!</v>
      </c>
      <c r="Q219" t="e">
        <f t="shared" ca="1" si="113"/>
        <v>#VALUE!</v>
      </c>
      <c r="R219" t="e">
        <f t="shared" ca="1" si="114"/>
        <v>#VALUE!</v>
      </c>
      <c r="S219" t="e">
        <f t="shared" ca="1" si="115"/>
        <v>#VALUE!</v>
      </c>
      <c r="T219" t="e">
        <f t="shared" ca="1" si="116"/>
        <v>#VALUE!</v>
      </c>
      <c r="U219" t="e">
        <f t="shared" ca="1" si="137"/>
        <v>#VALUE!</v>
      </c>
      <c r="V219" t="e">
        <f t="shared" ca="1" si="138"/>
        <v>#VALUE!</v>
      </c>
      <c r="W219" t="e">
        <f t="shared" ca="1" si="117"/>
        <v>#VALUE!</v>
      </c>
      <c r="X219" t="e">
        <f t="shared" ca="1" si="118"/>
        <v>#VALUE!</v>
      </c>
      <c r="Y219" t="e">
        <f t="shared" ca="1" si="119"/>
        <v>#VALUE!</v>
      </c>
      <c r="Z219" t="e">
        <f t="shared" ca="1" si="120"/>
        <v>#VALUE!</v>
      </c>
      <c r="AA219" t="e">
        <f t="shared" ca="1" si="121"/>
        <v>#VALUE!</v>
      </c>
      <c r="AB219" t="e">
        <f t="shared" ca="1" si="122"/>
        <v>#VALUE!</v>
      </c>
      <c r="AC219" t="e">
        <f t="shared" ca="1" si="123"/>
        <v>#VALUE!</v>
      </c>
      <c r="AD219" t="e">
        <f t="shared" ca="1" si="124"/>
        <v>#VALUE!</v>
      </c>
      <c r="AE219" t="e">
        <f t="shared" ca="1" si="125"/>
        <v>#VALUE!</v>
      </c>
      <c r="AF219" t="e">
        <f t="shared" ca="1" si="126"/>
        <v>#VALUE!</v>
      </c>
      <c r="AG219" t="e">
        <f t="shared" ca="1" si="127"/>
        <v>#VALUE!</v>
      </c>
      <c r="AH219" t="e">
        <f ca="1">IF(V32="Supercritical",L219,IF(V32="Subcritical",W219,IF(AND(V219=1,AG219=1),IF(T219&gt;=AE219,L219,W219),IF(V219=1,L219,IF(AG219=1,W219,MAX($D$16,POWER((ABS(K219)^2)/($I$5*MAX(F219,0.1)^2),1/3)))))))</f>
        <v>#VALUE!</v>
      </c>
      <c r="AI219" t="e">
        <f t="shared" ca="1" si="128"/>
        <v>#VALUE!</v>
      </c>
      <c r="AJ219" t="e">
        <f t="shared" ca="1" si="129"/>
        <v>#VALUE!</v>
      </c>
      <c r="AM219">
        <v>0</v>
      </c>
      <c r="AN219">
        <v>0</v>
      </c>
      <c r="AO219">
        <f t="shared" si="130"/>
        <v>0</v>
      </c>
      <c r="AP219">
        <f t="shared" si="139"/>
        <v>0</v>
      </c>
      <c r="AQ219" t="e">
        <f t="shared" ca="1" si="131"/>
        <v>#VALUE!</v>
      </c>
      <c r="AR219" t="e">
        <f t="shared" ca="1" si="132"/>
        <v>#VALUE!</v>
      </c>
      <c r="AS219" t="e">
        <f t="shared" ca="1" si="133"/>
        <v>#VALUE!</v>
      </c>
    </row>
    <row r="220" spans="1:45" x14ac:dyDescent="0.35">
      <c r="A220">
        <v>71</v>
      </c>
      <c r="B220">
        <v>69.98</v>
      </c>
      <c r="C220">
        <v>616506.14800000004</v>
      </c>
      <c r="D220">
        <v>3097715.0109999999</v>
      </c>
      <c r="E220">
        <v>632.76199999999994</v>
      </c>
      <c r="F220">
        <v>5.4660000000000002</v>
      </c>
      <c r="G220">
        <v>0</v>
      </c>
      <c r="H220" t="s">
        <v>191</v>
      </c>
      <c r="I220">
        <v>1.4E-2</v>
      </c>
      <c r="J220">
        <f t="shared" si="134"/>
        <v>0.99900000000000944</v>
      </c>
      <c r="K220">
        <f t="shared" si="135"/>
        <v>51</v>
      </c>
      <c r="L220" t="e">
        <f t="shared" ca="1" si="136"/>
        <v>#VALUE!</v>
      </c>
      <c r="M220" t="e">
        <f t="shared" ca="1" si="109"/>
        <v>#VALUE!</v>
      </c>
      <c r="N220" t="e">
        <f t="shared" ca="1" si="110"/>
        <v>#VALUE!</v>
      </c>
      <c r="O220" t="e">
        <f t="shared" ca="1" si="111"/>
        <v>#VALUE!</v>
      </c>
      <c r="P220" t="e">
        <f t="shared" ca="1" si="112"/>
        <v>#VALUE!</v>
      </c>
      <c r="Q220" t="e">
        <f t="shared" ca="1" si="113"/>
        <v>#VALUE!</v>
      </c>
      <c r="R220" t="e">
        <f t="shared" ca="1" si="114"/>
        <v>#VALUE!</v>
      </c>
      <c r="S220" t="e">
        <f t="shared" ca="1" si="115"/>
        <v>#VALUE!</v>
      </c>
      <c r="T220" t="e">
        <f t="shared" ca="1" si="116"/>
        <v>#VALUE!</v>
      </c>
      <c r="U220" t="e">
        <f t="shared" ca="1" si="137"/>
        <v>#VALUE!</v>
      </c>
      <c r="V220" t="e">
        <f t="shared" ca="1" si="138"/>
        <v>#VALUE!</v>
      </c>
      <c r="W220" t="e">
        <f t="shared" ca="1" si="117"/>
        <v>#VALUE!</v>
      </c>
      <c r="X220" t="e">
        <f t="shared" ca="1" si="118"/>
        <v>#VALUE!</v>
      </c>
      <c r="Y220" t="e">
        <f t="shared" ca="1" si="119"/>
        <v>#VALUE!</v>
      </c>
      <c r="Z220" t="e">
        <f t="shared" ca="1" si="120"/>
        <v>#VALUE!</v>
      </c>
      <c r="AA220" t="e">
        <f t="shared" ca="1" si="121"/>
        <v>#VALUE!</v>
      </c>
      <c r="AB220" t="e">
        <f t="shared" ca="1" si="122"/>
        <v>#VALUE!</v>
      </c>
      <c r="AC220" t="e">
        <f t="shared" ca="1" si="123"/>
        <v>#VALUE!</v>
      </c>
      <c r="AD220" t="e">
        <f t="shared" ca="1" si="124"/>
        <v>#VALUE!</v>
      </c>
      <c r="AE220" t="e">
        <f t="shared" ca="1" si="125"/>
        <v>#VALUE!</v>
      </c>
      <c r="AF220" t="e">
        <f t="shared" ca="1" si="126"/>
        <v>#VALUE!</v>
      </c>
      <c r="AG220" t="e">
        <f t="shared" ca="1" si="127"/>
        <v>#VALUE!</v>
      </c>
      <c r="AH220" t="e">
        <f ca="1">IF(V32="Supercritical",L220,IF(V32="Subcritical",W220,IF(AND(V220=1,AG220=1),IF(T220&gt;=AE220,L220,W220),IF(V220=1,L220,IF(AG220=1,W220,MAX($D$16,POWER((ABS(K220)^2)/($I$5*MAX(F220,0.1)^2),1/3)))))))</f>
        <v>#VALUE!</v>
      </c>
      <c r="AI220" t="e">
        <f t="shared" ca="1" si="128"/>
        <v>#VALUE!</v>
      </c>
      <c r="AJ220" t="e">
        <f t="shared" ca="1" si="129"/>
        <v>#VALUE!</v>
      </c>
      <c r="AM220">
        <v>0</v>
      </c>
      <c r="AN220">
        <v>0</v>
      </c>
      <c r="AO220">
        <f t="shared" si="130"/>
        <v>0</v>
      </c>
      <c r="AP220">
        <f t="shared" si="139"/>
        <v>0</v>
      </c>
      <c r="AQ220" t="e">
        <f t="shared" ca="1" si="131"/>
        <v>#VALUE!</v>
      </c>
      <c r="AR220" t="e">
        <f t="shared" ca="1" si="132"/>
        <v>#VALUE!</v>
      </c>
      <c r="AS220" t="e">
        <f t="shared" ca="1" si="133"/>
        <v>#VALUE!</v>
      </c>
    </row>
    <row r="221" spans="1:45" x14ac:dyDescent="0.35">
      <c r="A221">
        <v>72</v>
      </c>
      <c r="B221">
        <v>70.980999999999995</v>
      </c>
      <c r="C221">
        <v>616505.57299999997</v>
      </c>
      <c r="D221">
        <v>3097714.1919999998</v>
      </c>
      <c r="E221">
        <v>632.72199999999998</v>
      </c>
      <c r="F221">
        <v>5.44</v>
      </c>
      <c r="G221">
        <v>0</v>
      </c>
      <c r="H221" t="s">
        <v>191</v>
      </c>
      <c r="I221">
        <v>1.4E-2</v>
      </c>
      <c r="J221">
        <f t="shared" si="134"/>
        <v>1.0009999999999906</v>
      </c>
      <c r="K221">
        <f t="shared" si="135"/>
        <v>51</v>
      </c>
      <c r="L221" t="e">
        <f t="shared" ca="1" si="136"/>
        <v>#VALUE!</v>
      </c>
      <c r="M221" t="e">
        <f t="shared" ca="1" si="109"/>
        <v>#VALUE!</v>
      </c>
      <c r="N221" t="e">
        <f t="shared" ca="1" si="110"/>
        <v>#VALUE!</v>
      </c>
      <c r="O221" t="e">
        <f t="shared" ca="1" si="111"/>
        <v>#VALUE!</v>
      </c>
      <c r="P221" t="e">
        <f t="shared" ca="1" si="112"/>
        <v>#VALUE!</v>
      </c>
      <c r="Q221" t="e">
        <f t="shared" ca="1" si="113"/>
        <v>#VALUE!</v>
      </c>
      <c r="R221" t="e">
        <f t="shared" ca="1" si="114"/>
        <v>#VALUE!</v>
      </c>
      <c r="S221" t="e">
        <f t="shared" ca="1" si="115"/>
        <v>#VALUE!</v>
      </c>
      <c r="T221" t="e">
        <f t="shared" ca="1" si="116"/>
        <v>#VALUE!</v>
      </c>
      <c r="U221" t="e">
        <f t="shared" ca="1" si="137"/>
        <v>#VALUE!</v>
      </c>
      <c r="V221" t="e">
        <f t="shared" ca="1" si="138"/>
        <v>#VALUE!</v>
      </c>
      <c r="W221" t="e">
        <f t="shared" ca="1" si="117"/>
        <v>#VALUE!</v>
      </c>
      <c r="X221" t="e">
        <f t="shared" ca="1" si="118"/>
        <v>#VALUE!</v>
      </c>
      <c r="Y221" t="e">
        <f t="shared" ca="1" si="119"/>
        <v>#VALUE!</v>
      </c>
      <c r="Z221" t="e">
        <f t="shared" ca="1" si="120"/>
        <v>#VALUE!</v>
      </c>
      <c r="AA221" t="e">
        <f t="shared" ca="1" si="121"/>
        <v>#VALUE!</v>
      </c>
      <c r="AB221" t="e">
        <f t="shared" ca="1" si="122"/>
        <v>#VALUE!</v>
      </c>
      <c r="AC221" t="e">
        <f t="shared" ca="1" si="123"/>
        <v>#VALUE!</v>
      </c>
      <c r="AD221" t="e">
        <f t="shared" ca="1" si="124"/>
        <v>#VALUE!</v>
      </c>
      <c r="AE221" t="e">
        <f t="shared" ca="1" si="125"/>
        <v>#VALUE!</v>
      </c>
      <c r="AF221" t="e">
        <f t="shared" ca="1" si="126"/>
        <v>#VALUE!</v>
      </c>
      <c r="AG221" t="e">
        <f t="shared" ca="1" si="127"/>
        <v>#VALUE!</v>
      </c>
      <c r="AH221" t="e">
        <f ca="1">IF(V32="Supercritical",L221,IF(V32="Subcritical",W221,IF(AND(V221=1,AG221=1),IF(T221&gt;=AE221,L221,W221),IF(V221=1,L221,IF(AG221=1,W221,MAX($D$16,POWER((ABS(K221)^2)/($I$5*MAX(F221,0.1)^2),1/3)))))))</f>
        <v>#VALUE!</v>
      </c>
      <c r="AI221" t="e">
        <f t="shared" ca="1" si="128"/>
        <v>#VALUE!</v>
      </c>
      <c r="AJ221" t="e">
        <f t="shared" ca="1" si="129"/>
        <v>#VALUE!</v>
      </c>
      <c r="AM221">
        <v>0</v>
      </c>
      <c r="AN221">
        <v>0</v>
      </c>
      <c r="AO221">
        <f t="shared" si="130"/>
        <v>0</v>
      </c>
      <c r="AP221">
        <f t="shared" si="139"/>
        <v>0</v>
      </c>
      <c r="AQ221" t="e">
        <f t="shared" ca="1" si="131"/>
        <v>#VALUE!</v>
      </c>
      <c r="AR221" t="e">
        <f t="shared" ca="1" si="132"/>
        <v>#VALUE!</v>
      </c>
      <c r="AS221" t="e">
        <f t="shared" ca="1" si="133"/>
        <v>#VALUE!</v>
      </c>
    </row>
    <row r="222" spans="1:45" x14ac:dyDescent="0.35">
      <c r="A222">
        <v>73</v>
      </c>
      <c r="B222">
        <v>71.98</v>
      </c>
      <c r="C222">
        <v>616504.99899999995</v>
      </c>
      <c r="D222">
        <v>3097713.3739999998</v>
      </c>
      <c r="E222">
        <v>632.68200000000002</v>
      </c>
      <c r="F222">
        <v>5.4139999999999997</v>
      </c>
      <c r="G222">
        <v>0</v>
      </c>
      <c r="H222" t="s">
        <v>191</v>
      </c>
      <c r="I222">
        <v>1.4E-2</v>
      </c>
      <c r="J222">
        <f t="shared" si="134"/>
        <v>0.99900000000000944</v>
      </c>
      <c r="K222">
        <f t="shared" si="135"/>
        <v>51</v>
      </c>
      <c r="L222" t="e">
        <f t="shared" ca="1" si="136"/>
        <v>#VALUE!</v>
      </c>
      <c r="M222" t="e">
        <f t="shared" ca="1" si="109"/>
        <v>#VALUE!</v>
      </c>
      <c r="N222" t="e">
        <f t="shared" ca="1" si="110"/>
        <v>#VALUE!</v>
      </c>
      <c r="O222" t="e">
        <f t="shared" ca="1" si="111"/>
        <v>#VALUE!</v>
      </c>
      <c r="P222" t="e">
        <f t="shared" ca="1" si="112"/>
        <v>#VALUE!</v>
      </c>
      <c r="Q222" t="e">
        <f t="shared" ca="1" si="113"/>
        <v>#VALUE!</v>
      </c>
      <c r="R222" t="e">
        <f t="shared" ca="1" si="114"/>
        <v>#VALUE!</v>
      </c>
      <c r="S222" t="e">
        <f t="shared" ca="1" si="115"/>
        <v>#VALUE!</v>
      </c>
      <c r="T222" t="e">
        <f t="shared" ca="1" si="116"/>
        <v>#VALUE!</v>
      </c>
      <c r="U222" t="e">
        <f t="shared" ca="1" si="137"/>
        <v>#VALUE!</v>
      </c>
      <c r="V222" t="e">
        <f t="shared" ca="1" si="138"/>
        <v>#VALUE!</v>
      </c>
      <c r="W222" t="e">
        <f t="shared" ca="1" si="117"/>
        <v>#VALUE!</v>
      </c>
      <c r="X222" t="e">
        <f t="shared" ca="1" si="118"/>
        <v>#VALUE!</v>
      </c>
      <c r="Y222" t="e">
        <f t="shared" ca="1" si="119"/>
        <v>#VALUE!</v>
      </c>
      <c r="Z222" t="e">
        <f t="shared" ca="1" si="120"/>
        <v>#VALUE!</v>
      </c>
      <c r="AA222" t="e">
        <f t="shared" ca="1" si="121"/>
        <v>#VALUE!</v>
      </c>
      <c r="AB222" t="e">
        <f t="shared" ca="1" si="122"/>
        <v>#VALUE!</v>
      </c>
      <c r="AC222" t="e">
        <f t="shared" ca="1" si="123"/>
        <v>#VALUE!</v>
      </c>
      <c r="AD222" t="e">
        <f t="shared" ca="1" si="124"/>
        <v>#VALUE!</v>
      </c>
      <c r="AE222" t="e">
        <f t="shared" ca="1" si="125"/>
        <v>#VALUE!</v>
      </c>
      <c r="AF222" t="e">
        <f t="shared" ca="1" si="126"/>
        <v>#VALUE!</v>
      </c>
      <c r="AG222" t="e">
        <f t="shared" ca="1" si="127"/>
        <v>#VALUE!</v>
      </c>
      <c r="AH222" t="e">
        <f ca="1">IF(V32="Supercritical",L222,IF(V32="Subcritical",W222,IF(AND(V222=1,AG222=1),IF(T222&gt;=AE222,L222,W222),IF(V222=1,L222,IF(AG222=1,W222,MAX($D$16,POWER((ABS(K222)^2)/($I$5*MAX(F222,0.1)^2),1/3)))))))</f>
        <v>#VALUE!</v>
      </c>
      <c r="AI222" t="e">
        <f t="shared" ca="1" si="128"/>
        <v>#VALUE!</v>
      </c>
      <c r="AJ222" t="e">
        <f t="shared" ca="1" si="129"/>
        <v>#VALUE!</v>
      </c>
      <c r="AM222">
        <v>0</v>
      </c>
      <c r="AN222">
        <v>0</v>
      </c>
      <c r="AO222">
        <f t="shared" si="130"/>
        <v>0</v>
      </c>
      <c r="AP222">
        <f t="shared" si="139"/>
        <v>0</v>
      </c>
      <c r="AQ222" t="e">
        <f t="shared" ca="1" si="131"/>
        <v>#VALUE!</v>
      </c>
      <c r="AR222" t="e">
        <f t="shared" ca="1" si="132"/>
        <v>#VALUE!</v>
      </c>
      <c r="AS222" t="e">
        <f t="shared" ca="1" si="133"/>
        <v>#VALUE!</v>
      </c>
    </row>
    <row r="223" spans="1:45" x14ac:dyDescent="0.35">
      <c r="A223">
        <v>74</v>
      </c>
      <c r="B223">
        <v>72.980999999999995</v>
      </c>
      <c r="C223">
        <v>616504.424</v>
      </c>
      <c r="D223">
        <v>3097712.5550000002</v>
      </c>
      <c r="E223">
        <v>632.64200000000005</v>
      </c>
      <c r="F223">
        <v>5.3869999999999996</v>
      </c>
      <c r="G223">
        <v>0</v>
      </c>
      <c r="H223" t="s">
        <v>191</v>
      </c>
      <c r="I223">
        <v>1.4E-2</v>
      </c>
      <c r="J223">
        <f t="shared" si="134"/>
        <v>1.0009999999999906</v>
      </c>
      <c r="K223">
        <f t="shared" si="135"/>
        <v>51</v>
      </c>
      <c r="L223" t="e">
        <f t="shared" ca="1" si="136"/>
        <v>#VALUE!</v>
      </c>
      <c r="M223" t="e">
        <f t="shared" ca="1" si="109"/>
        <v>#VALUE!</v>
      </c>
      <c r="N223" t="e">
        <f t="shared" ca="1" si="110"/>
        <v>#VALUE!</v>
      </c>
      <c r="O223" t="e">
        <f t="shared" ca="1" si="111"/>
        <v>#VALUE!</v>
      </c>
      <c r="P223" t="e">
        <f t="shared" ca="1" si="112"/>
        <v>#VALUE!</v>
      </c>
      <c r="Q223" t="e">
        <f t="shared" ca="1" si="113"/>
        <v>#VALUE!</v>
      </c>
      <c r="R223" t="e">
        <f t="shared" ca="1" si="114"/>
        <v>#VALUE!</v>
      </c>
      <c r="S223" t="e">
        <f t="shared" ca="1" si="115"/>
        <v>#VALUE!</v>
      </c>
      <c r="T223" t="e">
        <f t="shared" ca="1" si="116"/>
        <v>#VALUE!</v>
      </c>
      <c r="U223" t="e">
        <f t="shared" ca="1" si="137"/>
        <v>#VALUE!</v>
      </c>
      <c r="V223" t="e">
        <f t="shared" ca="1" si="138"/>
        <v>#VALUE!</v>
      </c>
      <c r="W223" t="e">
        <f t="shared" ca="1" si="117"/>
        <v>#VALUE!</v>
      </c>
      <c r="X223" t="e">
        <f t="shared" ca="1" si="118"/>
        <v>#VALUE!</v>
      </c>
      <c r="Y223" t="e">
        <f t="shared" ca="1" si="119"/>
        <v>#VALUE!</v>
      </c>
      <c r="Z223" t="e">
        <f t="shared" ca="1" si="120"/>
        <v>#VALUE!</v>
      </c>
      <c r="AA223" t="e">
        <f t="shared" ca="1" si="121"/>
        <v>#VALUE!</v>
      </c>
      <c r="AB223" t="e">
        <f t="shared" ca="1" si="122"/>
        <v>#VALUE!</v>
      </c>
      <c r="AC223" t="e">
        <f t="shared" ca="1" si="123"/>
        <v>#VALUE!</v>
      </c>
      <c r="AD223" t="e">
        <f t="shared" ca="1" si="124"/>
        <v>#VALUE!</v>
      </c>
      <c r="AE223" t="e">
        <f t="shared" ca="1" si="125"/>
        <v>#VALUE!</v>
      </c>
      <c r="AF223" t="e">
        <f t="shared" ca="1" si="126"/>
        <v>#VALUE!</v>
      </c>
      <c r="AG223" t="e">
        <f t="shared" ca="1" si="127"/>
        <v>#VALUE!</v>
      </c>
      <c r="AH223" t="e">
        <f ca="1">IF(V32="Supercritical",L223,IF(V32="Subcritical",W223,IF(AND(V223=1,AG223=1),IF(T223&gt;=AE223,L223,W223),IF(V223=1,L223,IF(AG223=1,W223,MAX($D$16,POWER((ABS(K223)^2)/($I$5*MAX(F223,0.1)^2),1/3)))))))</f>
        <v>#VALUE!</v>
      </c>
      <c r="AI223" t="e">
        <f t="shared" ca="1" si="128"/>
        <v>#VALUE!</v>
      </c>
      <c r="AJ223" t="e">
        <f t="shared" ca="1" si="129"/>
        <v>#VALUE!</v>
      </c>
      <c r="AM223">
        <v>0</v>
      </c>
      <c r="AN223">
        <v>0</v>
      </c>
      <c r="AO223">
        <f t="shared" si="130"/>
        <v>0</v>
      </c>
      <c r="AP223">
        <f t="shared" si="139"/>
        <v>0</v>
      </c>
      <c r="AQ223" t="e">
        <f t="shared" ca="1" si="131"/>
        <v>#VALUE!</v>
      </c>
      <c r="AR223" t="e">
        <f t="shared" ca="1" si="132"/>
        <v>#VALUE!</v>
      </c>
      <c r="AS223" t="e">
        <f t="shared" ca="1" si="133"/>
        <v>#VALUE!</v>
      </c>
    </row>
    <row r="224" spans="1:45" x14ac:dyDescent="0.35">
      <c r="A224">
        <v>75</v>
      </c>
      <c r="B224">
        <v>73.98</v>
      </c>
      <c r="C224">
        <v>616503.85</v>
      </c>
      <c r="D224">
        <v>3097711.7370000002</v>
      </c>
      <c r="E224">
        <v>632.60199999999998</v>
      </c>
      <c r="F224">
        <v>5.3609999999999998</v>
      </c>
      <c r="G224">
        <v>0</v>
      </c>
      <c r="H224" t="s">
        <v>191</v>
      </c>
      <c r="I224">
        <v>1.4E-2</v>
      </c>
      <c r="J224">
        <f t="shared" si="134"/>
        <v>0.99900000000000944</v>
      </c>
      <c r="K224">
        <f t="shared" si="135"/>
        <v>51</v>
      </c>
      <c r="L224" t="e">
        <f t="shared" ca="1" si="136"/>
        <v>#VALUE!</v>
      </c>
      <c r="M224" t="e">
        <f t="shared" ca="1" si="109"/>
        <v>#VALUE!</v>
      </c>
      <c r="N224" t="e">
        <f t="shared" ca="1" si="110"/>
        <v>#VALUE!</v>
      </c>
      <c r="O224" t="e">
        <f t="shared" ca="1" si="111"/>
        <v>#VALUE!</v>
      </c>
      <c r="P224" t="e">
        <f t="shared" ca="1" si="112"/>
        <v>#VALUE!</v>
      </c>
      <c r="Q224" t="e">
        <f t="shared" ca="1" si="113"/>
        <v>#VALUE!</v>
      </c>
      <c r="R224" t="e">
        <f t="shared" ca="1" si="114"/>
        <v>#VALUE!</v>
      </c>
      <c r="S224" t="e">
        <f t="shared" ca="1" si="115"/>
        <v>#VALUE!</v>
      </c>
      <c r="T224" t="e">
        <f t="shared" ca="1" si="116"/>
        <v>#VALUE!</v>
      </c>
      <c r="U224" t="e">
        <f t="shared" ca="1" si="137"/>
        <v>#VALUE!</v>
      </c>
      <c r="V224" t="e">
        <f t="shared" ca="1" si="138"/>
        <v>#VALUE!</v>
      </c>
      <c r="W224" t="e">
        <f t="shared" ca="1" si="117"/>
        <v>#VALUE!</v>
      </c>
      <c r="X224" t="e">
        <f t="shared" ca="1" si="118"/>
        <v>#VALUE!</v>
      </c>
      <c r="Y224" t="e">
        <f t="shared" ca="1" si="119"/>
        <v>#VALUE!</v>
      </c>
      <c r="Z224" t="e">
        <f t="shared" ca="1" si="120"/>
        <v>#VALUE!</v>
      </c>
      <c r="AA224" t="e">
        <f t="shared" ca="1" si="121"/>
        <v>#VALUE!</v>
      </c>
      <c r="AB224" t="e">
        <f t="shared" ca="1" si="122"/>
        <v>#VALUE!</v>
      </c>
      <c r="AC224" t="e">
        <f t="shared" ca="1" si="123"/>
        <v>#VALUE!</v>
      </c>
      <c r="AD224" t="e">
        <f t="shared" ca="1" si="124"/>
        <v>#VALUE!</v>
      </c>
      <c r="AE224" t="e">
        <f t="shared" ca="1" si="125"/>
        <v>#VALUE!</v>
      </c>
      <c r="AF224" t="e">
        <f t="shared" ca="1" si="126"/>
        <v>#VALUE!</v>
      </c>
      <c r="AG224" t="e">
        <f t="shared" ca="1" si="127"/>
        <v>#VALUE!</v>
      </c>
      <c r="AH224" t="e">
        <f ca="1">IF(V32="Supercritical",L224,IF(V32="Subcritical",W224,IF(AND(V224=1,AG224=1),IF(T224&gt;=AE224,L224,W224),IF(V224=1,L224,IF(AG224=1,W224,MAX($D$16,POWER((ABS(K224)^2)/($I$5*MAX(F224,0.1)^2),1/3)))))))</f>
        <v>#VALUE!</v>
      </c>
      <c r="AI224" t="e">
        <f t="shared" ca="1" si="128"/>
        <v>#VALUE!</v>
      </c>
      <c r="AJ224" t="e">
        <f t="shared" ca="1" si="129"/>
        <v>#VALUE!</v>
      </c>
      <c r="AM224">
        <v>0</v>
      </c>
      <c r="AN224">
        <v>0</v>
      </c>
      <c r="AO224">
        <f t="shared" si="130"/>
        <v>0</v>
      </c>
      <c r="AP224">
        <f t="shared" si="139"/>
        <v>0</v>
      </c>
      <c r="AQ224" t="e">
        <f t="shared" ca="1" si="131"/>
        <v>#VALUE!</v>
      </c>
      <c r="AR224" t="e">
        <f t="shared" ca="1" si="132"/>
        <v>#VALUE!</v>
      </c>
      <c r="AS224" t="e">
        <f t="shared" ca="1" si="133"/>
        <v>#VALUE!</v>
      </c>
    </row>
    <row r="225" spans="1:45" x14ac:dyDescent="0.35">
      <c r="A225">
        <v>76</v>
      </c>
      <c r="B225">
        <v>74.980999999999995</v>
      </c>
      <c r="C225">
        <v>616503.27500000002</v>
      </c>
      <c r="D225">
        <v>3097710.9180000001</v>
      </c>
      <c r="E225">
        <v>632.56200000000001</v>
      </c>
      <c r="F225">
        <v>5.335</v>
      </c>
      <c r="G225">
        <v>0</v>
      </c>
      <c r="H225" t="s">
        <v>191</v>
      </c>
      <c r="I225">
        <v>4.7E-2</v>
      </c>
      <c r="J225">
        <f t="shared" si="134"/>
        <v>1.0009999999999906</v>
      </c>
      <c r="K225">
        <f t="shared" si="135"/>
        <v>51</v>
      </c>
      <c r="L225" t="e">
        <f t="shared" ca="1" si="136"/>
        <v>#VALUE!</v>
      </c>
      <c r="M225" t="e">
        <f t="shared" ca="1" si="109"/>
        <v>#VALUE!</v>
      </c>
      <c r="N225" t="e">
        <f t="shared" ca="1" si="110"/>
        <v>#VALUE!</v>
      </c>
      <c r="O225" t="e">
        <f t="shared" ca="1" si="111"/>
        <v>#VALUE!</v>
      </c>
      <c r="P225" t="e">
        <f t="shared" ca="1" si="112"/>
        <v>#VALUE!</v>
      </c>
      <c r="Q225" t="e">
        <f t="shared" ca="1" si="113"/>
        <v>#VALUE!</v>
      </c>
      <c r="R225" t="e">
        <f t="shared" ca="1" si="114"/>
        <v>#VALUE!</v>
      </c>
      <c r="S225" t="e">
        <f t="shared" ca="1" si="115"/>
        <v>#VALUE!</v>
      </c>
      <c r="T225" t="e">
        <f t="shared" ca="1" si="116"/>
        <v>#VALUE!</v>
      </c>
      <c r="U225" t="e">
        <f t="shared" ca="1" si="137"/>
        <v>#VALUE!</v>
      </c>
      <c r="V225" t="e">
        <f t="shared" ca="1" si="138"/>
        <v>#VALUE!</v>
      </c>
      <c r="W225" t="e">
        <f t="shared" ca="1" si="117"/>
        <v>#VALUE!</v>
      </c>
      <c r="X225" t="e">
        <f t="shared" ca="1" si="118"/>
        <v>#VALUE!</v>
      </c>
      <c r="Y225" t="e">
        <f t="shared" ca="1" si="119"/>
        <v>#VALUE!</v>
      </c>
      <c r="Z225" t="e">
        <f t="shared" ca="1" si="120"/>
        <v>#VALUE!</v>
      </c>
      <c r="AA225" t="e">
        <f t="shared" ca="1" si="121"/>
        <v>#VALUE!</v>
      </c>
      <c r="AB225" t="e">
        <f t="shared" ca="1" si="122"/>
        <v>#VALUE!</v>
      </c>
      <c r="AC225" t="e">
        <f t="shared" ca="1" si="123"/>
        <v>#VALUE!</v>
      </c>
      <c r="AD225" t="e">
        <f t="shared" ca="1" si="124"/>
        <v>#VALUE!</v>
      </c>
      <c r="AE225" t="e">
        <f t="shared" ca="1" si="125"/>
        <v>#VALUE!</v>
      </c>
      <c r="AF225" t="e">
        <f t="shared" ca="1" si="126"/>
        <v>#VALUE!</v>
      </c>
      <c r="AG225" t="e">
        <f t="shared" ca="1" si="127"/>
        <v>#VALUE!</v>
      </c>
      <c r="AH225" t="e">
        <f ca="1">IF(V32="Supercritical",L225,IF(V32="Subcritical",W225,IF(AND(V225=1,AG225=1),IF(T225&gt;=AE225,L225,W225),IF(V225=1,L225,IF(AG225=1,W225,MAX($D$16,POWER((ABS(K225)^2)/($I$5*MAX(F225,0.1)^2),1/3)))))))</f>
        <v>#VALUE!</v>
      </c>
      <c r="AI225" t="e">
        <f t="shared" ca="1" si="128"/>
        <v>#VALUE!</v>
      </c>
      <c r="AJ225" t="e">
        <f t="shared" ca="1" si="129"/>
        <v>#VALUE!</v>
      </c>
      <c r="AM225">
        <v>0</v>
      </c>
      <c r="AN225">
        <v>0</v>
      </c>
      <c r="AO225">
        <f t="shared" si="130"/>
        <v>0</v>
      </c>
      <c r="AP225">
        <f t="shared" si="139"/>
        <v>0</v>
      </c>
      <c r="AQ225" t="e">
        <f t="shared" ca="1" si="131"/>
        <v>#VALUE!</v>
      </c>
      <c r="AR225" t="e">
        <f t="shared" ca="1" si="132"/>
        <v>#VALUE!</v>
      </c>
      <c r="AS225" t="e">
        <f t="shared" ca="1" si="133"/>
        <v>#VALUE!</v>
      </c>
    </row>
    <row r="226" spans="1:45" x14ac:dyDescent="0.35">
      <c r="A226">
        <v>77</v>
      </c>
      <c r="B226">
        <v>75.980999999999995</v>
      </c>
      <c r="C226">
        <v>616502.701</v>
      </c>
      <c r="D226">
        <v>3097710.0989999999</v>
      </c>
      <c r="E226">
        <v>632.55999999999995</v>
      </c>
      <c r="F226">
        <v>5.3079999999999998</v>
      </c>
      <c r="G226">
        <v>0</v>
      </c>
      <c r="H226" t="s">
        <v>191</v>
      </c>
      <c r="I226">
        <v>0.08</v>
      </c>
      <c r="J226">
        <f t="shared" si="134"/>
        <v>1</v>
      </c>
      <c r="K226">
        <f t="shared" si="135"/>
        <v>51</v>
      </c>
      <c r="L226" t="e">
        <f t="shared" ca="1" si="136"/>
        <v>#VALUE!</v>
      </c>
      <c r="M226" t="e">
        <f t="shared" ca="1" si="109"/>
        <v>#VALUE!</v>
      </c>
      <c r="N226" t="e">
        <f t="shared" ca="1" si="110"/>
        <v>#VALUE!</v>
      </c>
      <c r="O226" t="e">
        <f t="shared" ca="1" si="111"/>
        <v>#VALUE!</v>
      </c>
      <c r="P226" t="e">
        <f t="shared" ca="1" si="112"/>
        <v>#VALUE!</v>
      </c>
      <c r="Q226" t="e">
        <f t="shared" ca="1" si="113"/>
        <v>#VALUE!</v>
      </c>
      <c r="R226" t="e">
        <f t="shared" ca="1" si="114"/>
        <v>#VALUE!</v>
      </c>
      <c r="S226" t="e">
        <f t="shared" ca="1" si="115"/>
        <v>#VALUE!</v>
      </c>
      <c r="T226" t="e">
        <f t="shared" ca="1" si="116"/>
        <v>#VALUE!</v>
      </c>
      <c r="U226" t="e">
        <f t="shared" ca="1" si="137"/>
        <v>#VALUE!</v>
      </c>
      <c r="V226" t="e">
        <f t="shared" ca="1" si="138"/>
        <v>#VALUE!</v>
      </c>
      <c r="W226" t="e">
        <f t="shared" ca="1" si="117"/>
        <v>#VALUE!</v>
      </c>
      <c r="X226" t="e">
        <f t="shared" ca="1" si="118"/>
        <v>#VALUE!</v>
      </c>
      <c r="Y226" t="e">
        <f t="shared" ca="1" si="119"/>
        <v>#VALUE!</v>
      </c>
      <c r="Z226" t="e">
        <f t="shared" ca="1" si="120"/>
        <v>#VALUE!</v>
      </c>
      <c r="AA226" t="e">
        <f t="shared" ca="1" si="121"/>
        <v>#VALUE!</v>
      </c>
      <c r="AB226" t="e">
        <f t="shared" ca="1" si="122"/>
        <v>#VALUE!</v>
      </c>
      <c r="AC226" t="e">
        <f t="shared" ca="1" si="123"/>
        <v>#VALUE!</v>
      </c>
      <c r="AD226" t="e">
        <f t="shared" ca="1" si="124"/>
        <v>#VALUE!</v>
      </c>
      <c r="AE226" t="e">
        <f t="shared" ca="1" si="125"/>
        <v>#VALUE!</v>
      </c>
      <c r="AF226" t="e">
        <f t="shared" ca="1" si="126"/>
        <v>#VALUE!</v>
      </c>
      <c r="AG226" t="e">
        <f t="shared" ca="1" si="127"/>
        <v>#VALUE!</v>
      </c>
      <c r="AH226" t="e">
        <f ca="1">IF(V32="Supercritical",L226,IF(V32="Subcritical",W226,IF(AND(V226=1,AG226=1),IF(T226&gt;=AE226,L226,W226),IF(V226=1,L226,IF(AG226=1,W226,MAX($D$16,POWER((ABS(K226)^2)/($I$5*MAX(F226,0.1)^2),1/3)))))))</f>
        <v>#VALUE!</v>
      </c>
      <c r="AI226" t="e">
        <f t="shared" ca="1" si="128"/>
        <v>#VALUE!</v>
      </c>
      <c r="AJ226" t="e">
        <f t="shared" ca="1" si="129"/>
        <v>#VALUE!</v>
      </c>
      <c r="AM226">
        <v>0</v>
      </c>
      <c r="AN226">
        <v>0</v>
      </c>
      <c r="AO226">
        <f t="shared" si="130"/>
        <v>0</v>
      </c>
      <c r="AP226">
        <f t="shared" si="139"/>
        <v>0</v>
      </c>
      <c r="AQ226" t="e">
        <f t="shared" ca="1" si="131"/>
        <v>#VALUE!</v>
      </c>
      <c r="AR226" t="e">
        <f t="shared" ca="1" si="132"/>
        <v>#VALUE!</v>
      </c>
      <c r="AS226" t="e">
        <f t="shared" ca="1" si="133"/>
        <v>#VALUE!</v>
      </c>
    </row>
    <row r="227" spans="1:45" x14ac:dyDescent="0.35">
      <c r="A227">
        <v>78</v>
      </c>
      <c r="B227">
        <v>76.980999999999995</v>
      </c>
      <c r="C227">
        <v>616502.12600000005</v>
      </c>
      <c r="D227">
        <v>3097709.281</v>
      </c>
      <c r="E227">
        <v>632.55799999999999</v>
      </c>
      <c r="F227">
        <v>5.282</v>
      </c>
      <c r="G227">
        <v>0</v>
      </c>
      <c r="H227" t="s">
        <v>191</v>
      </c>
      <c r="I227">
        <v>0.08</v>
      </c>
      <c r="J227">
        <f t="shared" si="134"/>
        <v>1</v>
      </c>
      <c r="K227">
        <f t="shared" si="135"/>
        <v>51</v>
      </c>
      <c r="L227" t="e">
        <f t="shared" ca="1" si="136"/>
        <v>#VALUE!</v>
      </c>
      <c r="M227" t="e">
        <f t="shared" ca="1" si="109"/>
        <v>#VALUE!</v>
      </c>
      <c r="N227" t="e">
        <f t="shared" ca="1" si="110"/>
        <v>#VALUE!</v>
      </c>
      <c r="O227" t="e">
        <f t="shared" ca="1" si="111"/>
        <v>#VALUE!</v>
      </c>
      <c r="P227" t="e">
        <f t="shared" ca="1" si="112"/>
        <v>#VALUE!</v>
      </c>
      <c r="Q227" t="e">
        <f t="shared" ca="1" si="113"/>
        <v>#VALUE!</v>
      </c>
      <c r="R227" t="e">
        <f t="shared" ca="1" si="114"/>
        <v>#VALUE!</v>
      </c>
      <c r="S227" t="e">
        <f t="shared" ca="1" si="115"/>
        <v>#VALUE!</v>
      </c>
      <c r="T227" t="e">
        <f t="shared" ca="1" si="116"/>
        <v>#VALUE!</v>
      </c>
      <c r="U227" t="e">
        <f t="shared" ca="1" si="137"/>
        <v>#VALUE!</v>
      </c>
      <c r="V227" t="e">
        <f t="shared" ca="1" si="138"/>
        <v>#VALUE!</v>
      </c>
      <c r="W227" t="e">
        <f t="shared" ca="1" si="117"/>
        <v>#VALUE!</v>
      </c>
      <c r="X227" t="e">
        <f t="shared" ca="1" si="118"/>
        <v>#VALUE!</v>
      </c>
      <c r="Y227" t="e">
        <f t="shared" ca="1" si="119"/>
        <v>#VALUE!</v>
      </c>
      <c r="Z227" t="e">
        <f t="shared" ca="1" si="120"/>
        <v>#VALUE!</v>
      </c>
      <c r="AA227" t="e">
        <f t="shared" ca="1" si="121"/>
        <v>#VALUE!</v>
      </c>
      <c r="AB227" t="e">
        <f t="shared" ca="1" si="122"/>
        <v>#VALUE!</v>
      </c>
      <c r="AC227" t="e">
        <f t="shared" ca="1" si="123"/>
        <v>#VALUE!</v>
      </c>
      <c r="AD227" t="e">
        <f t="shared" ca="1" si="124"/>
        <v>#VALUE!</v>
      </c>
      <c r="AE227" t="e">
        <f t="shared" ca="1" si="125"/>
        <v>#VALUE!</v>
      </c>
      <c r="AF227" t="e">
        <f t="shared" ca="1" si="126"/>
        <v>#VALUE!</v>
      </c>
      <c r="AG227" t="e">
        <f t="shared" ca="1" si="127"/>
        <v>#VALUE!</v>
      </c>
      <c r="AH227" t="e">
        <f ca="1">IF(V32="Supercritical",L227,IF(V32="Subcritical",W227,IF(AND(V227=1,AG227=1),IF(T227&gt;=AE227,L227,W227),IF(V227=1,L227,IF(AG227=1,W227,MAX($D$16,POWER((ABS(K227)^2)/($I$5*MAX(F227,0.1)^2),1/3)))))))</f>
        <v>#VALUE!</v>
      </c>
      <c r="AI227" t="e">
        <f t="shared" ca="1" si="128"/>
        <v>#VALUE!</v>
      </c>
      <c r="AJ227" t="e">
        <f t="shared" ca="1" si="129"/>
        <v>#VALUE!</v>
      </c>
      <c r="AM227">
        <v>0</v>
      </c>
      <c r="AN227">
        <v>0</v>
      </c>
      <c r="AO227">
        <f t="shared" si="130"/>
        <v>0</v>
      </c>
      <c r="AP227">
        <f t="shared" si="139"/>
        <v>0</v>
      </c>
      <c r="AQ227" t="e">
        <f t="shared" ca="1" si="131"/>
        <v>#VALUE!</v>
      </c>
      <c r="AR227" t="e">
        <f t="shared" ca="1" si="132"/>
        <v>#VALUE!</v>
      </c>
      <c r="AS227" t="e">
        <f t="shared" ca="1" si="133"/>
        <v>#VALUE!</v>
      </c>
    </row>
    <row r="228" spans="1:45" x14ac:dyDescent="0.35">
      <c r="A228">
        <v>79</v>
      </c>
      <c r="B228">
        <v>77.980999999999995</v>
      </c>
      <c r="C228">
        <v>616501.55200000003</v>
      </c>
      <c r="D228">
        <v>3097708.4619999998</v>
      </c>
      <c r="E228">
        <v>632.55600000000004</v>
      </c>
      <c r="F228">
        <v>5.2560000000000002</v>
      </c>
      <c r="G228">
        <v>0</v>
      </c>
      <c r="H228" t="s">
        <v>191</v>
      </c>
      <c r="I228">
        <v>0.08</v>
      </c>
      <c r="J228">
        <f t="shared" si="134"/>
        <v>1</v>
      </c>
      <c r="K228">
        <f t="shared" si="135"/>
        <v>51</v>
      </c>
      <c r="L228" t="e">
        <f t="shared" ca="1" si="136"/>
        <v>#VALUE!</v>
      </c>
      <c r="M228" t="e">
        <f t="shared" ca="1" si="109"/>
        <v>#VALUE!</v>
      </c>
      <c r="N228" t="e">
        <f t="shared" ca="1" si="110"/>
        <v>#VALUE!</v>
      </c>
      <c r="O228" t="e">
        <f t="shared" ca="1" si="111"/>
        <v>#VALUE!</v>
      </c>
      <c r="P228" t="e">
        <f t="shared" ca="1" si="112"/>
        <v>#VALUE!</v>
      </c>
      <c r="Q228" t="e">
        <f t="shared" ca="1" si="113"/>
        <v>#VALUE!</v>
      </c>
      <c r="R228" t="e">
        <f t="shared" ca="1" si="114"/>
        <v>#VALUE!</v>
      </c>
      <c r="S228" t="e">
        <f t="shared" ca="1" si="115"/>
        <v>#VALUE!</v>
      </c>
      <c r="T228" t="e">
        <f t="shared" ca="1" si="116"/>
        <v>#VALUE!</v>
      </c>
      <c r="U228" t="e">
        <f t="shared" ca="1" si="137"/>
        <v>#VALUE!</v>
      </c>
      <c r="V228" t="e">
        <f t="shared" ca="1" si="138"/>
        <v>#VALUE!</v>
      </c>
      <c r="W228" t="e">
        <f t="shared" ca="1" si="117"/>
        <v>#VALUE!</v>
      </c>
      <c r="X228" t="e">
        <f t="shared" ca="1" si="118"/>
        <v>#VALUE!</v>
      </c>
      <c r="Y228" t="e">
        <f t="shared" ca="1" si="119"/>
        <v>#VALUE!</v>
      </c>
      <c r="Z228" t="e">
        <f t="shared" ca="1" si="120"/>
        <v>#VALUE!</v>
      </c>
      <c r="AA228" t="e">
        <f t="shared" ca="1" si="121"/>
        <v>#VALUE!</v>
      </c>
      <c r="AB228" t="e">
        <f t="shared" ca="1" si="122"/>
        <v>#VALUE!</v>
      </c>
      <c r="AC228" t="e">
        <f t="shared" ca="1" si="123"/>
        <v>#VALUE!</v>
      </c>
      <c r="AD228" t="e">
        <f t="shared" ca="1" si="124"/>
        <v>#VALUE!</v>
      </c>
      <c r="AE228" t="e">
        <f t="shared" ca="1" si="125"/>
        <v>#VALUE!</v>
      </c>
      <c r="AF228" t="e">
        <f t="shared" ca="1" si="126"/>
        <v>#VALUE!</v>
      </c>
      <c r="AG228" t="e">
        <f t="shared" ca="1" si="127"/>
        <v>#VALUE!</v>
      </c>
      <c r="AH228" t="e">
        <f ca="1">IF(V32="Supercritical",L228,IF(V32="Subcritical",W228,IF(AND(V228=1,AG228=1),IF(T228&gt;=AE228,L228,W228),IF(V228=1,L228,IF(AG228=1,W228,MAX($D$16,POWER((ABS(K228)^2)/($I$5*MAX(F228,0.1)^2),1/3)))))))</f>
        <v>#VALUE!</v>
      </c>
      <c r="AI228" t="e">
        <f t="shared" ca="1" si="128"/>
        <v>#VALUE!</v>
      </c>
      <c r="AJ228" t="e">
        <f t="shared" ca="1" si="129"/>
        <v>#VALUE!</v>
      </c>
      <c r="AM228">
        <v>0</v>
      </c>
      <c r="AN228">
        <v>0</v>
      </c>
      <c r="AO228">
        <f t="shared" si="130"/>
        <v>0</v>
      </c>
      <c r="AP228">
        <f t="shared" si="139"/>
        <v>0</v>
      </c>
      <c r="AQ228" t="e">
        <f t="shared" ca="1" si="131"/>
        <v>#VALUE!</v>
      </c>
      <c r="AR228" t="e">
        <f t="shared" ca="1" si="132"/>
        <v>#VALUE!</v>
      </c>
      <c r="AS228" t="e">
        <f t="shared" ca="1" si="133"/>
        <v>#VALUE!</v>
      </c>
    </row>
    <row r="229" spans="1:45" x14ac:dyDescent="0.35">
      <c r="A229">
        <v>80</v>
      </c>
      <c r="B229">
        <v>78.980999999999995</v>
      </c>
      <c r="C229">
        <v>616500.97699999996</v>
      </c>
      <c r="D229">
        <v>3097707.6439999999</v>
      </c>
      <c r="E229">
        <v>632.55399999999997</v>
      </c>
      <c r="F229">
        <v>5.2290000000000001</v>
      </c>
      <c r="G229">
        <v>0</v>
      </c>
      <c r="H229" t="s">
        <v>191</v>
      </c>
      <c r="I229">
        <v>0.08</v>
      </c>
      <c r="J229">
        <f t="shared" si="134"/>
        <v>1</v>
      </c>
      <c r="K229">
        <f t="shared" si="135"/>
        <v>51</v>
      </c>
      <c r="L229" t="e">
        <f t="shared" ca="1" si="136"/>
        <v>#VALUE!</v>
      </c>
      <c r="M229" t="e">
        <f t="shared" ca="1" si="109"/>
        <v>#VALUE!</v>
      </c>
      <c r="N229" t="e">
        <f t="shared" ca="1" si="110"/>
        <v>#VALUE!</v>
      </c>
      <c r="O229" t="e">
        <f t="shared" ca="1" si="111"/>
        <v>#VALUE!</v>
      </c>
      <c r="P229" t="e">
        <f t="shared" ca="1" si="112"/>
        <v>#VALUE!</v>
      </c>
      <c r="Q229" t="e">
        <f t="shared" ca="1" si="113"/>
        <v>#VALUE!</v>
      </c>
      <c r="R229" t="e">
        <f t="shared" ca="1" si="114"/>
        <v>#VALUE!</v>
      </c>
      <c r="S229" t="e">
        <f t="shared" ca="1" si="115"/>
        <v>#VALUE!</v>
      </c>
      <c r="T229" t="e">
        <f t="shared" ca="1" si="116"/>
        <v>#VALUE!</v>
      </c>
      <c r="U229" t="e">
        <f t="shared" ca="1" si="137"/>
        <v>#VALUE!</v>
      </c>
      <c r="V229" t="e">
        <f t="shared" ca="1" si="138"/>
        <v>#VALUE!</v>
      </c>
      <c r="W229" t="e">
        <f t="shared" ca="1" si="117"/>
        <v>#VALUE!</v>
      </c>
      <c r="X229" t="e">
        <f t="shared" ca="1" si="118"/>
        <v>#VALUE!</v>
      </c>
      <c r="Y229" t="e">
        <f t="shared" ca="1" si="119"/>
        <v>#VALUE!</v>
      </c>
      <c r="Z229" t="e">
        <f t="shared" ca="1" si="120"/>
        <v>#VALUE!</v>
      </c>
      <c r="AA229" t="e">
        <f t="shared" ca="1" si="121"/>
        <v>#VALUE!</v>
      </c>
      <c r="AB229" t="e">
        <f t="shared" ca="1" si="122"/>
        <v>#VALUE!</v>
      </c>
      <c r="AC229" t="e">
        <f t="shared" ca="1" si="123"/>
        <v>#VALUE!</v>
      </c>
      <c r="AD229" t="e">
        <f t="shared" ca="1" si="124"/>
        <v>#VALUE!</v>
      </c>
      <c r="AE229" t="e">
        <f t="shared" ca="1" si="125"/>
        <v>#VALUE!</v>
      </c>
      <c r="AF229" t="e">
        <f t="shared" ca="1" si="126"/>
        <v>#VALUE!</v>
      </c>
      <c r="AG229" t="e">
        <f t="shared" ca="1" si="127"/>
        <v>#VALUE!</v>
      </c>
      <c r="AH229" t="e">
        <f ca="1">IF(V32="Supercritical",L229,IF(V32="Subcritical",W229,IF(AND(V229=1,AG229=1),IF(T229&gt;=AE229,L229,W229),IF(V229=1,L229,IF(AG229=1,W229,MAX($D$16,POWER((ABS(K229)^2)/($I$5*MAX(F229,0.1)^2),1/3)))))))</f>
        <v>#VALUE!</v>
      </c>
      <c r="AI229" t="e">
        <f t="shared" ca="1" si="128"/>
        <v>#VALUE!</v>
      </c>
      <c r="AJ229" t="e">
        <f t="shared" ca="1" si="129"/>
        <v>#VALUE!</v>
      </c>
      <c r="AM229">
        <v>0</v>
      </c>
      <c r="AN229">
        <v>0</v>
      </c>
      <c r="AO229">
        <f t="shared" si="130"/>
        <v>0</v>
      </c>
      <c r="AP229">
        <f t="shared" si="139"/>
        <v>0</v>
      </c>
      <c r="AQ229" t="e">
        <f t="shared" ca="1" si="131"/>
        <v>#VALUE!</v>
      </c>
      <c r="AR229" t="e">
        <f t="shared" ca="1" si="132"/>
        <v>#VALUE!</v>
      </c>
      <c r="AS229" t="e">
        <f t="shared" ca="1" si="133"/>
        <v>#VALUE!</v>
      </c>
    </row>
    <row r="230" spans="1:45" x14ac:dyDescent="0.35">
      <c r="A230">
        <v>81</v>
      </c>
      <c r="B230">
        <v>79.980999999999995</v>
      </c>
      <c r="C230">
        <v>616500.40300000005</v>
      </c>
      <c r="D230">
        <v>3097706.8250000002</v>
      </c>
      <c r="E230">
        <v>632.55200000000002</v>
      </c>
      <c r="F230">
        <v>5.2080000000000002</v>
      </c>
      <c r="G230">
        <v>0</v>
      </c>
      <c r="H230" t="s">
        <v>191</v>
      </c>
      <c r="I230">
        <v>3.3000000000000002E-2</v>
      </c>
      <c r="J230">
        <f t="shared" si="134"/>
        <v>1</v>
      </c>
      <c r="K230">
        <f t="shared" si="135"/>
        <v>51</v>
      </c>
      <c r="L230" t="e">
        <f t="shared" ca="1" si="136"/>
        <v>#VALUE!</v>
      </c>
      <c r="M230" t="e">
        <f t="shared" ca="1" si="109"/>
        <v>#VALUE!</v>
      </c>
      <c r="N230" t="e">
        <f t="shared" ca="1" si="110"/>
        <v>#VALUE!</v>
      </c>
      <c r="O230" t="e">
        <f t="shared" ca="1" si="111"/>
        <v>#VALUE!</v>
      </c>
      <c r="P230" t="e">
        <f t="shared" ca="1" si="112"/>
        <v>#VALUE!</v>
      </c>
      <c r="Q230" t="e">
        <f t="shared" ca="1" si="113"/>
        <v>#VALUE!</v>
      </c>
      <c r="R230" t="e">
        <f t="shared" ca="1" si="114"/>
        <v>#VALUE!</v>
      </c>
      <c r="S230" t="e">
        <f t="shared" ca="1" si="115"/>
        <v>#VALUE!</v>
      </c>
      <c r="T230" t="e">
        <f t="shared" ca="1" si="116"/>
        <v>#VALUE!</v>
      </c>
      <c r="U230" t="e">
        <f t="shared" ca="1" si="137"/>
        <v>#VALUE!</v>
      </c>
      <c r="V230" t="e">
        <f t="shared" ca="1" si="138"/>
        <v>#VALUE!</v>
      </c>
      <c r="W230" t="e">
        <f t="shared" ca="1" si="117"/>
        <v>#VALUE!</v>
      </c>
      <c r="X230" t="e">
        <f t="shared" ca="1" si="118"/>
        <v>#VALUE!</v>
      </c>
      <c r="Y230" t="e">
        <f t="shared" ca="1" si="119"/>
        <v>#VALUE!</v>
      </c>
      <c r="Z230" t="e">
        <f t="shared" ca="1" si="120"/>
        <v>#VALUE!</v>
      </c>
      <c r="AA230" t="e">
        <f t="shared" ca="1" si="121"/>
        <v>#VALUE!</v>
      </c>
      <c r="AB230" t="e">
        <f t="shared" ca="1" si="122"/>
        <v>#VALUE!</v>
      </c>
      <c r="AC230" t="e">
        <f t="shared" ca="1" si="123"/>
        <v>#VALUE!</v>
      </c>
      <c r="AD230" t="e">
        <f t="shared" ca="1" si="124"/>
        <v>#VALUE!</v>
      </c>
      <c r="AE230" t="e">
        <f t="shared" ca="1" si="125"/>
        <v>#VALUE!</v>
      </c>
      <c r="AF230" t="e">
        <f t="shared" ca="1" si="126"/>
        <v>#VALUE!</v>
      </c>
      <c r="AG230" t="e">
        <f t="shared" ca="1" si="127"/>
        <v>#VALUE!</v>
      </c>
      <c r="AH230" t="e">
        <f ca="1">IF(V32="Supercritical",L230,IF(V32="Subcritical",W230,IF(AND(V230=1,AG230=1),IF(T230&gt;=AE230,L230,W230),IF(V230=1,L230,IF(AG230=1,W230,MAX($D$16,POWER((ABS(K230)^2)/($I$5*MAX(F230,0.1)^2),1/3)))))))</f>
        <v>#VALUE!</v>
      </c>
      <c r="AI230" t="e">
        <f t="shared" ca="1" si="128"/>
        <v>#VALUE!</v>
      </c>
      <c r="AJ230" t="e">
        <f t="shared" ca="1" si="129"/>
        <v>#VALUE!</v>
      </c>
      <c r="AM230">
        <v>0</v>
      </c>
      <c r="AN230">
        <v>0</v>
      </c>
      <c r="AO230">
        <f t="shared" si="130"/>
        <v>0</v>
      </c>
      <c r="AP230">
        <f t="shared" si="139"/>
        <v>0</v>
      </c>
      <c r="AQ230" t="e">
        <f t="shared" ca="1" si="131"/>
        <v>#VALUE!</v>
      </c>
      <c r="AR230" t="e">
        <f t="shared" ca="1" si="132"/>
        <v>#VALUE!</v>
      </c>
      <c r="AS230" t="e">
        <f t="shared" ca="1" si="133"/>
        <v>#VALUE!</v>
      </c>
    </row>
    <row r="231" spans="1:45" x14ac:dyDescent="0.35">
      <c r="A231">
        <v>82</v>
      </c>
      <c r="B231">
        <v>80.980999999999995</v>
      </c>
      <c r="C231">
        <v>616499.82900000003</v>
      </c>
      <c r="D231">
        <v>3097706.0070000002</v>
      </c>
      <c r="E231">
        <v>632.54999999999995</v>
      </c>
      <c r="F231">
        <v>5.2050000000000001</v>
      </c>
      <c r="G231">
        <v>0</v>
      </c>
      <c r="H231" t="s">
        <v>191</v>
      </c>
      <c r="I231">
        <v>1.4E-2</v>
      </c>
      <c r="J231">
        <f t="shared" si="134"/>
        <v>1</v>
      </c>
      <c r="K231">
        <f t="shared" si="135"/>
        <v>51</v>
      </c>
      <c r="L231" t="e">
        <f t="shared" ca="1" si="136"/>
        <v>#VALUE!</v>
      </c>
      <c r="M231" t="e">
        <f t="shared" ca="1" si="109"/>
        <v>#VALUE!</v>
      </c>
      <c r="N231" t="e">
        <f t="shared" ca="1" si="110"/>
        <v>#VALUE!</v>
      </c>
      <c r="O231" t="e">
        <f t="shared" ca="1" si="111"/>
        <v>#VALUE!</v>
      </c>
      <c r="P231" t="e">
        <f t="shared" ca="1" si="112"/>
        <v>#VALUE!</v>
      </c>
      <c r="Q231" t="e">
        <f t="shared" ca="1" si="113"/>
        <v>#VALUE!</v>
      </c>
      <c r="R231" t="e">
        <f t="shared" ca="1" si="114"/>
        <v>#VALUE!</v>
      </c>
      <c r="S231" t="e">
        <f t="shared" ca="1" si="115"/>
        <v>#VALUE!</v>
      </c>
      <c r="T231" t="e">
        <f t="shared" ca="1" si="116"/>
        <v>#VALUE!</v>
      </c>
      <c r="U231" t="e">
        <f t="shared" ca="1" si="137"/>
        <v>#VALUE!</v>
      </c>
      <c r="V231" t="e">
        <f t="shared" ca="1" si="138"/>
        <v>#VALUE!</v>
      </c>
      <c r="W231" t="e">
        <f t="shared" ca="1" si="117"/>
        <v>#VALUE!</v>
      </c>
      <c r="X231" t="e">
        <f t="shared" ca="1" si="118"/>
        <v>#VALUE!</v>
      </c>
      <c r="Y231" t="e">
        <f t="shared" ca="1" si="119"/>
        <v>#VALUE!</v>
      </c>
      <c r="Z231" t="e">
        <f t="shared" ca="1" si="120"/>
        <v>#VALUE!</v>
      </c>
      <c r="AA231" t="e">
        <f t="shared" ca="1" si="121"/>
        <v>#VALUE!</v>
      </c>
      <c r="AB231" t="e">
        <f t="shared" ca="1" si="122"/>
        <v>#VALUE!</v>
      </c>
      <c r="AC231" t="e">
        <f t="shared" ca="1" si="123"/>
        <v>#VALUE!</v>
      </c>
      <c r="AD231" t="e">
        <f t="shared" ca="1" si="124"/>
        <v>#VALUE!</v>
      </c>
      <c r="AE231" t="e">
        <f t="shared" ca="1" si="125"/>
        <v>#VALUE!</v>
      </c>
      <c r="AF231" t="e">
        <f t="shared" ca="1" si="126"/>
        <v>#VALUE!</v>
      </c>
      <c r="AG231" t="e">
        <f t="shared" ca="1" si="127"/>
        <v>#VALUE!</v>
      </c>
      <c r="AH231" t="e">
        <f ca="1">IF(V32="Supercritical",L231,IF(V32="Subcritical",W231,IF(AND(V231=1,AG231=1),IF(T231&gt;=AE231,L231,W231),IF(V231=1,L231,IF(AG231=1,W231,MAX($D$16,POWER((ABS(K231)^2)/($I$5*MAX(F231,0.1)^2),1/3)))))))</f>
        <v>#VALUE!</v>
      </c>
      <c r="AI231" t="e">
        <f t="shared" ca="1" si="128"/>
        <v>#VALUE!</v>
      </c>
      <c r="AJ231" t="e">
        <f t="shared" ca="1" si="129"/>
        <v>#VALUE!</v>
      </c>
      <c r="AM231">
        <v>0</v>
      </c>
      <c r="AN231">
        <v>0</v>
      </c>
      <c r="AO231">
        <f t="shared" si="130"/>
        <v>0</v>
      </c>
      <c r="AP231">
        <f t="shared" si="139"/>
        <v>0</v>
      </c>
      <c r="AQ231" t="e">
        <f t="shared" ca="1" si="131"/>
        <v>#VALUE!</v>
      </c>
      <c r="AR231" t="e">
        <f t="shared" ca="1" si="132"/>
        <v>#VALUE!</v>
      </c>
      <c r="AS231" t="e">
        <f t="shared" ca="1" si="133"/>
        <v>#VALUE!</v>
      </c>
    </row>
    <row r="232" spans="1:45" x14ac:dyDescent="0.35">
      <c r="A232">
        <v>83</v>
      </c>
      <c r="B232">
        <v>81.980999999999995</v>
      </c>
      <c r="C232">
        <v>616499.25399999996</v>
      </c>
      <c r="D232">
        <v>3097705.1880000001</v>
      </c>
      <c r="E232">
        <v>632.548</v>
      </c>
      <c r="F232">
        <v>5.202</v>
      </c>
      <c r="G232">
        <v>0</v>
      </c>
      <c r="H232" t="s">
        <v>191</v>
      </c>
      <c r="I232">
        <v>1.867</v>
      </c>
      <c r="J232">
        <f t="shared" si="134"/>
        <v>1</v>
      </c>
      <c r="K232">
        <f t="shared" si="135"/>
        <v>51</v>
      </c>
      <c r="L232" t="e">
        <f t="shared" ca="1" si="136"/>
        <v>#VALUE!</v>
      </c>
      <c r="M232" t="e">
        <f t="shared" ca="1" si="109"/>
        <v>#VALUE!</v>
      </c>
      <c r="N232" t="e">
        <f t="shared" ca="1" si="110"/>
        <v>#VALUE!</v>
      </c>
      <c r="O232" t="e">
        <f t="shared" ca="1" si="111"/>
        <v>#VALUE!</v>
      </c>
      <c r="P232" t="e">
        <f t="shared" ca="1" si="112"/>
        <v>#VALUE!</v>
      </c>
      <c r="Q232" t="e">
        <f t="shared" ca="1" si="113"/>
        <v>#VALUE!</v>
      </c>
      <c r="R232" t="e">
        <f t="shared" ca="1" si="114"/>
        <v>#VALUE!</v>
      </c>
      <c r="S232" t="e">
        <f t="shared" ca="1" si="115"/>
        <v>#VALUE!</v>
      </c>
      <c r="T232" t="e">
        <f t="shared" ca="1" si="116"/>
        <v>#VALUE!</v>
      </c>
      <c r="U232" t="e">
        <f t="shared" ca="1" si="137"/>
        <v>#VALUE!</v>
      </c>
      <c r="V232" t="e">
        <f t="shared" ca="1" si="138"/>
        <v>#VALUE!</v>
      </c>
      <c r="W232" t="e">
        <f t="shared" ca="1" si="117"/>
        <v>#VALUE!</v>
      </c>
      <c r="X232" t="e">
        <f t="shared" ca="1" si="118"/>
        <v>#VALUE!</v>
      </c>
      <c r="Y232" t="e">
        <f t="shared" ca="1" si="119"/>
        <v>#VALUE!</v>
      </c>
      <c r="Z232" t="e">
        <f t="shared" ca="1" si="120"/>
        <v>#VALUE!</v>
      </c>
      <c r="AA232" t="e">
        <f t="shared" ca="1" si="121"/>
        <v>#VALUE!</v>
      </c>
      <c r="AB232" t="e">
        <f t="shared" ca="1" si="122"/>
        <v>#VALUE!</v>
      </c>
      <c r="AC232" t="e">
        <f t="shared" ca="1" si="123"/>
        <v>#VALUE!</v>
      </c>
      <c r="AD232" t="e">
        <f t="shared" ca="1" si="124"/>
        <v>#VALUE!</v>
      </c>
      <c r="AE232" t="e">
        <f t="shared" ca="1" si="125"/>
        <v>#VALUE!</v>
      </c>
      <c r="AF232" t="e">
        <f t="shared" ca="1" si="126"/>
        <v>#VALUE!</v>
      </c>
      <c r="AG232" t="e">
        <f t="shared" ca="1" si="127"/>
        <v>#VALUE!</v>
      </c>
      <c r="AH232" t="e">
        <f ca="1">IF(V32="Supercritical",L232,IF(V32="Subcritical",W232,IF(AND(V232=1,AG232=1),IF(T232&gt;=AE232,L232,W232),IF(V232=1,L232,IF(AG232=1,W232,MAX($D$16,POWER((ABS(K232)^2)/($I$5*MAX(F232,0.1)^2),1/3)))))))</f>
        <v>#VALUE!</v>
      </c>
      <c r="AI232" t="e">
        <f t="shared" ca="1" si="128"/>
        <v>#VALUE!</v>
      </c>
      <c r="AJ232" t="e">
        <f t="shared" ca="1" si="129"/>
        <v>#VALUE!</v>
      </c>
      <c r="AM232">
        <v>0</v>
      </c>
      <c r="AN232">
        <v>0</v>
      </c>
      <c r="AO232">
        <f t="shared" si="130"/>
        <v>0</v>
      </c>
      <c r="AP232">
        <f t="shared" si="139"/>
        <v>0</v>
      </c>
      <c r="AQ232" t="e">
        <f t="shared" ca="1" si="131"/>
        <v>#VALUE!</v>
      </c>
      <c r="AR232" t="e">
        <f t="shared" ca="1" si="132"/>
        <v>#VALUE!</v>
      </c>
      <c r="AS232" t="e">
        <f t="shared" ca="1" si="133"/>
        <v>#VALUE!</v>
      </c>
    </row>
    <row r="233" spans="1:45" x14ac:dyDescent="0.35">
      <c r="A233">
        <v>84</v>
      </c>
      <c r="B233">
        <v>82.974999999999994</v>
      </c>
      <c r="C233">
        <v>616498.65700000001</v>
      </c>
      <c r="D233">
        <v>3097704.3939999999</v>
      </c>
      <c r="E233">
        <v>632.54600000000005</v>
      </c>
      <c r="F233">
        <v>5.7469999999999999</v>
      </c>
      <c r="G233">
        <v>0</v>
      </c>
      <c r="H233" t="s">
        <v>191</v>
      </c>
      <c r="I233">
        <v>24.24</v>
      </c>
      <c r="J233">
        <f t="shared" si="134"/>
        <v>0.99399999999999977</v>
      </c>
      <c r="K233">
        <f t="shared" si="135"/>
        <v>51</v>
      </c>
      <c r="L233" t="e">
        <f t="shared" ca="1" si="136"/>
        <v>#VALUE!</v>
      </c>
      <c r="M233" t="e">
        <f t="shared" ca="1" si="109"/>
        <v>#VALUE!</v>
      </c>
      <c r="N233" t="e">
        <f t="shared" ca="1" si="110"/>
        <v>#VALUE!</v>
      </c>
      <c r="O233" t="e">
        <f t="shared" ca="1" si="111"/>
        <v>#VALUE!</v>
      </c>
      <c r="P233" t="e">
        <f t="shared" ca="1" si="112"/>
        <v>#VALUE!</v>
      </c>
      <c r="Q233" t="e">
        <f t="shared" ca="1" si="113"/>
        <v>#VALUE!</v>
      </c>
      <c r="R233" t="e">
        <f t="shared" ca="1" si="114"/>
        <v>#VALUE!</v>
      </c>
      <c r="S233" t="e">
        <f t="shared" ca="1" si="115"/>
        <v>#VALUE!</v>
      </c>
      <c r="T233" t="e">
        <f t="shared" ca="1" si="116"/>
        <v>#VALUE!</v>
      </c>
      <c r="U233" t="e">
        <f t="shared" ca="1" si="137"/>
        <v>#VALUE!</v>
      </c>
      <c r="V233" t="e">
        <f t="shared" ca="1" si="138"/>
        <v>#VALUE!</v>
      </c>
      <c r="W233" t="e">
        <f t="shared" ca="1" si="117"/>
        <v>#VALUE!</v>
      </c>
      <c r="X233" t="e">
        <f t="shared" ca="1" si="118"/>
        <v>#VALUE!</v>
      </c>
      <c r="Y233" t="e">
        <f t="shared" ca="1" si="119"/>
        <v>#VALUE!</v>
      </c>
      <c r="Z233" t="e">
        <f t="shared" ca="1" si="120"/>
        <v>#VALUE!</v>
      </c>
      <c r="AA233" t="e">
        <f t="shared" ca="1" si="121"/>
        <v>#VALUE!</v>
      </c>
      <c r="AB233" t="e">
        <f t="shared" ca="1" si="122"/>
        <v>#VALUE!</v>
      </c>
      <c r="AC233" t="e">
        <f t="shared" ca="1" si="123"/>
        <v>#VALUE!</v>
      </c>
      <c r="AD233" t="e">
        <f t="shared" ca="1" si="124"/>
        <v>#VALUE!</v>
      </c>
      <c r="AE233" t="e">
        <f t="shared" ca="1" si="125"/>
        <v>#VALUE!</v>
      </c>
      <c r="AF233" t="e">
        <f t="shared" ca="1" si="126"/>
        <v>#VALUE!</v>
      </c>
      <c r="AG233" t="e">
        <f t="shared" ca="1" si="127"/>
        <v>#VALUE!</v>
      </c>
      <c r="AH233" t="e">
        <f ca="1">IF(V32="Supercritical",L233,IF(V32="Subcritical",W233,IF(AND(V233=1,AG233=1),IF(T233&gt;=AE233,L233,W233),IF(V233=1,L233,IF(AG233=1,W233,MAX($D$16,POWER((ABS(K233)^2)/($I$5*MAX(F233,0.1)^2),1/3)))))))</f>
        <v>#VALUE!</v>
      </c>
      <c r="AI233" t="e">
        <f t="shared" ca="1" si="128"/>
        <v>#VALUE!</v>
      </c>
      <c r="AJ233" t="e">
        <f t="shared" ca="1" si="129"/>
        <v>#VALUE!</v>
      </c>
      <c r="AM233">
        <v>0</v>
      </c>
      <c r="AN233">
        <v>0</v>
      </c>
      <c r="AO233">
        <f t="shared" si="130"/>
        <v>0</v>
      </c>
      <c r="AP233">
        <f t="shared" si="139"/>
        <v>0</v>
      </c>
      <c r="AQ233" t="e">
        <f t="shared" ca="1" si="131"/>
        <v>#VALUE!</v>
      </c>
      <c r="AR233" t="e">
        <f t="shared" ca="1" si="132"/>
        <v>#VALUE!</v>
      </c>
      <c r="AS233" t="e">
        <f t="shared" ca="1" si="133"/>
        <v>#VALUE!</v>
      </c>
    </row>
    <row r="234" spans="1:45" x14ac:dyDescent="0.35">
      <c r="A234">
        <v>85</v>
      </c>
      <c r="B234">
        <v>83.974000000000004</v>
      </c>
      <c r="C234">
        <v>616497.78099999996</v>
      </c>
      <c r="D234">
        <v>3097703.912</v>
      </c>
      <c r="E234">
        <v>632.54399999999998</v>
      </c>
      <c r="F234">
        <v>5.6449999999999996</v>
      </c>
      <c r="G234">
        <v>0</v>
      </c>
      <c r="H234" t="s">
        <v>191</v>
      </c>
      <c r="I234">
        <v>0</v>
      </c>
      <c r="J234">
        <f t="shared" si="134"/>
        <v>0.99900000000000944</v>
      </c>
      <c r="K234">
        <f t="shared" si="135"/>
        <v>51</v>
      </c>
      <c r="L234" t="e">
        <f t="shared" ca="1" si="136"/>
        <v>#VALUE!</v>
      </c>
      <c r="M234" t="e">
        <f t="shared" ca="1" si="109"/>
        <v>#VALUE!</v>
      </c>
      <c r="N234" t="e">
        <f t="shared" ca="1" si="110"/>
        <v>#VALUE!</v>
      </c>
      <c r="O234" t="e">
        <f t="shared" ca="1" si="111"/>
        <v>#VALUE!</v>
      </c>
      <c r="P234" t="e">
        <f t="shared" ca="1" si="112"/>
        <v>#VALUE!</v>
      </c>
      <c r="Q234" t="e">
        <f t="shared" ca="1" si="113"/>
        <v>#VALUE!</v>
      </c>
      <c r="R234" t="e">
        <f t="shared" ca="1" si="114"/>
        <v>#VALUE!</v>
      </c>
      <c r="S234" t="e">
        <f t="shared" ca="1" si="115"/>
        <v>#VALUE!</v>
      </c>
      <c r="T234" t="e">
        <f t="shared" ca="1" si="116"/>
        <v>#VALUE!</v>
      </c>
      <c r="U234" t="e">
        <f t="shared" ca="1" si="137"/>
        <v>#VALUE!</v>
      </c>
      <c r="V234" t="e">
        <f t="shared" ca="1" si="138"/>
        <v>#VALUE!</v>
      </c>
      <c r="W234" t="e">
        <f t="shared" ca="1" si="117"/>
        <v>#VALUE!</v>
      </c>
      <c r="X234" t="e">
        <f t="shared" ca="1" si="118"/>
        <v>#VALUE!</v>
      </c>
      <c r="Y234" t="e">
        <f t="shared" ca="1" si="119"/>
        <v>#VALUE!</v>
      </c>
      <c r="Z234" t="e">
        <f t="shared" ca="1" si="120"/>
        <v>#VALUE!</v>
      </c>
      <c r="AA234" t="e">
        <f t="shared" ca="1" si="121"/>
        <v>#VALUE!</v>
      </c>
      <c r="AB234" t="e">
        <f t="shared" ca="1" si="122"/>
        <v>#VALUE!</v>
      </c>
      <c r="AC234" t="e">
        <f t="shared" ca="1" si="123"/>
        <v>#VALUE!</v>
      </c>
      <c r="AD234" t="e">
        <f t="shared" ca="1" si="124"/>
        <v>#VALUE!</v>
      </c>
      <c r="AE234" t="e">
        <f t="shared" ca="1" si="125"/>
        <v>#VALUE!</v>
      </c>
      <c r="AF234" t="e">
        <f t="shared" ca="1" si="126"/>
        <v>#VALUE!</v>
      </c>
      <c r="AG234" t="e">
        <f t="shared" ca="1" si="127"/>
        <v>#VALUE!</v>
      </c>
      <c r="AH234" t="e">
        <f ca="1">IF(V32="Supercritical",L234,IF(V32="Subcritical",W234,IF(AND(V234=1,AG234=1),IF(T234&gt;=AE234,L234,W234),IF(V234=1,L234,IF(AG234=1,W234,MAX($D$16,POWER((ABS(K234)^2)/($I$5*MAX(F234,0.1)^2),1/3)))))))</f>
        <v>#VALUE!</v>
      </c>
      <c r="AI234" t="e">
        <f t="shared" ca="1" si="128"/>
        <v>#VALUE!</v>
      </c>
      <c r="AJ234" t="e">
        <f t="shared" ca="1" si="129"/>
        <v>#VALUE!</v>
      </c>
      <c r="AM234">
        <v>0</v>
      </c>
      <c r="AN234">
        <v>0</v>
      </c>
      <c r="AO234">
        <f t="shared" si="130"/>
        <v>0</v>
      </c>
      <c r="AP234">
        <f t="shared" si="139"/>
        <v>0</v>
      </c>
      <c r="AQ234" t="e">
        <f t="shared" ca="1" si="131"/>
        <v>#VALUE!</v>
      </c>
      <c r="AR234" t="e">
        <f t="shared" ca="1" si="132"/>
        <v>#VALUE!</v>
      </c>
      <c r="AS234" t="e">
        <f t="shared" ca="1" si="133"/>
        <v>#VALUE!</v>
      </c>
    </row>
    <row r="235" spans="1:45" x14ac:dyDescent="0.35">
      <c r="A235">
        <v>86</v>
      </c>
      <c r="B235">
        <v>84.974000000000004</v>
      </c>
      <c r="C235">
        <v>616496.90500000003</v>
      </c>
      <c r="D235">
        <v>3097703.43</v>
      </c>
      <c r="E235">
        <v>632.54200000000003</v>
      </c>
      <c r="F235">
        <v>5.5279999999999996</v>
      </c>
      <c r="G235">
        <v>0</v>
      </c>
      <c r="H235" t="s">
        <v>191</v>
      </c>
      <c r="I235">
        <v>0</v>
      </c>
      <c r="J235">
        <f t="shared" si="134"/>
        <v>1</v>
      </c>
      <c r="K235">
        <f t="shared" si="135"/>
        <v>51</v>
      </c>
      <c r="L235" t="e">
        <f t="shared" ca="1" si="136"/>
        <v>#VALUE!</v>
      </c>
      <c r="M235" t="e">
        <f t="shared" ca="1" si="109"/>
        <v>#VALUE!</v>
      </c>
      <c r="N235" t="e">
        <f t="shared" ca="1" si="110"/>
        <v>#VALUE!</v>
      </c>
      <c r="O235" t="e">
        <f t="shared" ca="1" si="111"/>
        <v>#VALUE!</v>
      </c>
      <c r="P235" t="e">
        <f t="shared" ca="1" si="112"/>
        <v>#VALUE!</v>
      </c>
      <c r="Q235" t="e">
        <f t="shared" ca="1" si="113"/>
        <v>#VALUE!</v>
      </c>
      <c r="R235" t="e">
        <f t="shared" ca="1" si="114"/>
        <v>#VALUE!</v>
      </c>
      <c r="S235" t="e">
        <f t="shared" ca="1" si="115"/>
        <v>#VALUE!</v>
      </c>
      <c r="T235" t="e">
        <f t="shared" ca="1" si="116"/>
        <v>#VALUE!</v>
      </c>
      <c r="U235" t="e">
        <f t="shared" ca="1" si="137"/>
        <v>#VALUE!</v>
      </c>
      <c r="V235" t="e">
        <f t="shared" ca="1" si="138"/>
        <v>#VALUE!</v>
      </c>
      <c r="W235" t="e">
        <f t="shared" ca="1" si="117"/>
        <v>#VALUE!</v>
      </c>
      <c r="X235" t="e">
        <f t="shared" ca="1" si="118"/>
        <v>#VALUE!</v>
      </c>
      <c r="Y235" t="e">
        <f t="shared" ca="1" si="119"/>
        <v>#VALUE!</v>
      </c>
      <c r="Z235" t="e">
        <f t="shared" ca="1" si="120"/>
        <v>#VALUE!</v>
      </c>
      <c r="AA235" t="e">
        <f t="shared" ca="1" si="121"/>
        <v>#VALUE!</v>
      </c>
      <c r="AB235" t="e">
        <f t="shared" ca="1" si="122"/>
        <v>#VALUE!</v>
      </c>
      <c r="AC235" t="e">
        <f t="shared" ca="1" si="123"/>
        <v>#VALUE!</v>
      </c>
      <c r="AD235" t="e">
        <f t="shared" ca="1" si="124"/>
        <v>#VALUE!</v>
      </c>
      <c r="AE235" t="e">
        <f t="shared" ca="1" si="125"/>
        <v>#VALUE!</v>
      </c>
      <c r="AF235" t="e">
        <f t="shared" ca="1" si="126"/>
        <v>#VALUE!</v>
      </c>
      <c r="AG235" t="e">
        <f t="shared" ca="1" si="127"/>
        <v>#VALUE!</v>
      </c>
      <c r="AH235" t="e">
        <f ca="1">IF(V32="Supercritical",L235,IF(V32="Subcritical",W235,IF(AND(V235=1,AG235=1),IF(T235&gt;=AE235,L235,W235),IF(V235=1,L235,IF(AG235=1,W235,MAX($D$16,POWER((ABS(K235)^2)/($I$5*MAX(F235,0.1)^2),1/3)))))))</f>
        <v>#VALUE!</v>
      </c>
      <c r="AI235" t="e">
        <f t="shared" ca="1" si="128"/>
        <v>#VALUE!</v>
      </c>
      <c r="AJ235" t="e">
        <f t="shared" ca="1" si="129"/>
        <v>#VALUE!</v>
      </c>
      <c r="AM235">
        <v>0</v>
      </c>
      <c r="AN235">
        <v>0</v>
      </c>
      <c r="AO235">
        <f t="shared" si="130"/>
        <v>0</v>
      </c>
      <c r="AP235">
        <f t="shared" si="139"/>
        <v>0</v>
      </c>
      <c r="AQ235" t="e">
        <f t="shared" ca="1" si="131"/>
        <v>#VALUE!</v>
      </c>
      <c r="AR235" t="e">
        <f t="shared" ca="1" si="132"/>
        <v>#VALUE!</v>
      </c>
      <c r="AS235" t="e">
        <f t="shared" ca="1" si="133"/>
        <v>#VALUE!</v>
      </c>
    </row>
    <row r="236" spans="1:45" x14ac:dyDescent="0.35">
      <c r="A236">
        <v>87</v>
      </c>
      <c r="B236">
        <v>85.974000000000004</v>
      </c>
      <c r="C236">
        <v>616496.02899999998</v>
      </c>
      <c r="D236">
        <v>3097702.9479999999</v>
      </c>
      <c r="E236">
        <v>632.54</v>
      </c>
      <c r="F236">
        <v>5.4329999999999998</v>
      </c>
      <c r="G236">
        <v>0</v>
      </c>
      <c r="H236" t="s">
        <v>191</v>
      </c>
      <c r="I236">
        <v>0.05</v>
      </c>
      <c r="J236">
        <f t="shared" si="134"/>
        <v>1</v>
      </c>
      <c r="K236">
        <f t="shared" si="135"/>
        <v>51</v>
      </c>
      <c r="L236" t="e">
        <f t="shared" ca="1" si="136"/>
        <v>#VALUE!</v>
      </c>
      <c r="M236" t="e">
        <f t="shared" ca="1" si="109"/>
        <v>#VALUE!</v>
      </c>
      <c r="N236" t="e">
        <f t="shared" ca="1" si="110"/>
        <v>#VALUE!</v>
      </c>
      <c r="O236" t="e">
        <f t="shared" ca="1" si="111"/>
        <v>#VALUE!</v>
      </c>
      <c r="P236" t="e">
        <f t="shared" ca="1" si="112"/>
        <v>#VALUE!</v>
      </c>
      <c r="Q236" t="e">
        <f t="shared" ca="1" si="113"/>
        <v>#VALUE!</v>
      </c>
      <c r="R236" t="e">
        <f t="shared" ca="1" si="114"/>
        <v>#VALUE!</v>
      </c>
      <c r="S236" t="e">
        <f t="shared" ca="1" si="115"/>
        <v>#VALUE!</v>
      </c>
      <c r="T236" t="e">
        <f t="shared" ca="1" si="116"/>
        <v>#VALUE!</v>
      </c>
      <c r="U236" t="e">
        <f t="shared" ca="1" si="137"/>
        <v>#VALUE!</v>
      </c>
      <c r="V236" t="e">
        <f t="shared" ca="1" si="138"/>
        <v>#VALUE!</v>
      </c>
      <c r="W236" t="e">
        <f t="shared" ca="1" si="117"/>
        <v>#VALUE!</v>
      </c>
      <c r="X236" t="e">
        <f t="shared" ca="1" si="118"/>
        <v>#VALUE!</v>
      </c>
      <c r="Y236" t="e">
        <f t="shared" ca="1" si="119"/>
        <v>#VALUE!</v>
      </c>
      <c r="Z236" t="e">
        <f t="shared" ca="1" si="120"/>
        <v>#VALUE!</v>
      </c>
      <c r="AA236" t="e">
        <f t="shared" ca="1" si="121"/>
        <v>#VALUE!</v>
      </c>
      <c r="AB236" t="e">
        <f t="shared" ca="1" si="122"/>
        <v>#VALUE!</v>
      </c>
      <c r="AC236" t="e">
        <f t="shared" ca="1" si="123"/>
        <v>#VALUE!</v>
      </c>
      <c r="AD236" t="e">
        <f t="shared" ca="1" si="124"/>
        <v>#VALUE!</v>
      </c>
      <c r="AE236" t="e">
        <f t="shared" ca="1" si="125"/>
        <v>#VALUE!</v>
      </c>
      <c r="AF236" t="e">
        <f t="shared" ca="1" si="126"/>
        <v>#VALUE!</v>
      </c>
      <c r="AG236" t="e">
        <f t="shared" ca="1" si="127"/>
        <v>#VALUE!</v>
      </c>
      <c r="AH236" t="e">
        <f ca="1">IF(V32="Supercritical",L236,IF(V32="Subcritical",W236,IF(AND(V236=1,AG236=1),IF(T236&gt;=AE236,L236,W236),IF(V236=1,L236,IF(AG236=1,W236,MAX($D$16,POWER((ABS(K236)^2)/($I$5*MAX(F236,0.1)^2),1/3)))))))</f>
        <v>#VALUE!</v>
      </c>
      <c r="AI236" t="e">
        <f t="shared" ca="1" si="128"/>
        <v>#VALUE!</v>
      </c>
      <c r="AJ236" t="e">
        <f t="shared" ca="1" si="129"/>
        <v>#VALUE!</v>
      </c>
      <c r="AM236">
        <v>0</v>
      </c>
      <c r="AN236">
        <v>0</v>
      </c>
      <c r="AO236">
        <f t="shared" si="130"/>
        <v>0</v>
      </c>
      <c r="AP236">
        <f t="shared" si="139"/>
        <v>0</v>
      </c>
      <c r="AQ236" t="e">
        <f t="shared" ca="1" si="131"/>
        <v>#VALUE!</v>
      </c>
      <c r="AR236" t="e">
        <f t="shared" ca="1" si="132"/>
        <v>#VALUE!</v>
      </c>
      <c r="AS236" t="e">
        <f t="shared" ca="1" si="133"/>
        <v>#VALUE!</v>
      </c>
    </row>
    <row r="237" spans="1:45" x14ac:dyDescent="0.35">
      <c r="A237">
        <v>88</v>
      </c>
      <c r="B237">
        <v>86.974000000000004</v>
      </c>
      <c r="C237">
        <v>616495.15300000005</v>
      </c>
      <c r="D237">
        <v>3097702.4649999999</v>
      </c>
      <c r="E237">
        <v>632.53800000000001</v>
      </c>
      <c r="F237">
        <v>5.3540000000000001</v>
      </c>
      <c r="G237">
        <v>0</v>
      </c>
      <c r="H237" t="s">
        <v>191</v>
      </c>
      <c r="I237">
        <v>0.05</v>
      </c>
      <c r="J237">
        <f t="shared" si="134"/>
        <v>1</v>
      </c>
      <c r="K237">
        <f t="shared" si="135"/>
        <v>51</v>
      </c>
      <c r="L237" t="e">
        <f t="shared" ca="1" si="136"/>
        <v>#VALUE!</v>
      </c>
      <c r="M237" t="e">
        <f t="shared" ca="1" si="109"/>
        <v>#VALUE!</v>
      </c>
      <c r="N237" t="e">
        <f t="shared" ca="1" si="110"/>
        <v>#VALUE!</v>
      </c>
      <c r="O237" t="e">
        <f t="shared" ca="1" si="111"/>
        <v>#VALUE!</v>
      </c>
      <c r="P237" t="e">
        <f t="shared" ca="1" si="112"/>
        <v>#VALUE!</v>
      </c>
      <c r="Q237" t="e">
        <f t="shared" ca="1" si="113"/>
        <v>#VALUE!</v>
      </c>
      <c r="R237" t="e">
        <f t="shared" ca="1" si="114"/>
        <v>#VALUE!</v>
      </c>
      <c r="S237" t="e">
        <f t="shared" ca="1" si="115"/>
        <v>#VALUE!</v>
      </c>
      <c r="T237" t="e">
        <f t="shared" ca="1" si="116"/>
        <v>#VALUE!</v>
      </c>
      <c r="U237" t="e">
        <f t="shared" ca="1" si="137"/>
        <v>#VALUE!</v>
      </c>
      <c r="V237" t="e">
        <f t="shared" ca="1" si="138"/>
        <v>#VALUE!</v>
      </c>
      <c r="W237" t="e">
        <f t="shared" ca="1" si="117"/>
        <v>#VALUE!</v>
      </c>
      <c r="X237" t="e">
        <f t="shared" ca="1" si="118"/>
        <v>#VALUE!</v>
      </c>
      <c r="Y237" t="e">
        <f t="shared" ca="1" si="119"/>
        <v>#VALUE!</v>
      </c>
      <c r="Z237" t="e">
        <f t="shared" ca="1" si="120"/>
        <v>#VALUE!</v>
      </c>
      <c r="AA237" t="e">
        <f t="shared" ca="1" si="121"/>
        <v>#VALUE!</v>
      </c>
      <c r="AB237" t="e">
        <f t="shared" ca="1" si="122"/>
        <v>#VALUE!</v>
      </c>
      <c r="AC237" t="e">
        <f t="shared" ca="1" si="123"/>
        <v>#VALUE!</v>
      </c>
      <c r="AD237" t="e">
        <f t="shared" ca="1" si="124"/>
        <v>#VALUE!</v>
      </c>
      <c r="AE237" t="e">
        <f t="shared" ca="1" si="125"/>
        <v>#VALUE!</v>
      </c>
      <c r="AF237" t="e">
        <f t="shared" ca="1" si="126"/>
        <v>#VALUE!</v>
      </c>
      <c r="AG237" t="e">
        <f t="shared" ca="1" si="127"/>
        <v>#VALUE!</v>
      </c>
      <c r="AH237" t="e">
        <f ca="1">IF(V32="Supercritical",L237,IF(V32="Subcritical",W237,IF(AND(V237=1,AG237=1),IF(T237&gt;=AE237,L237,W237),IF(V237=1,L237,IF(AG237=1,W237,MAX($D$16,POWER((ABS(K237)^2)/($I$5*MAX(F237,0.1)^2),1/3)))))))</f>
        <v>#VALUE!</v>
      </c>
      <c r="AI237" t="e">
        <f t="shared" ca="1" si="128"/>
        <v>#VALUE!</v>
      </c>
      <c r="AJ237" t="e">
        <f t="shared" ca="1" si="129"/>
        <v>#VALUE!</v>
      </c>
      <c r="AM237">
        <v>0</v>
      </c>
      <c r="AN237">
        <v>0</v>
      </c>
      <c r="AO237">
        <f t="shared" si="130"/>
        <v>0</v>
      </c>
      <c r="AP237">
        <f t="shared" si="139"/>
        <v>0</v>
      </c>
      <c r="AQ237" t="e">
        <f t="shared" ca="1" si="131"/>
        <v>#VALUE!</v>
      </c>
      <c r="AR237" t="e">
        <f t="shared" ca="1" si="132"/>
        <v>#VALUE!</v>
      </c>
      <c r="AS237" t="e">
        <f t="shared" ca="1" si="133"/>
        <v>#VALUE!</v>
      </c>
    </row>
    <row r="238" spans="1:45" x14ac:dyDescent="0.35">
      <c r="A238">
        <v>89</v>
      </c>
      <c r="B238">
        <v>87.974000000000004</v>
      </c>
      <c r="C238">
        <v>616494.277</v>
      </c>
      <c r="D238">
        <v>3097701.983</v>
      </c>
      <c r="E238">
        <v>632.53599999999994</v>
      </c>
      <c r="F238">
        <v>5.2939999999999996</v>
      </c>
      <c r="G238">
        <v>0</v>
      </c>
      <c r="H238" t="s">
        <v>191</v>
      </c>
      <c r="I238">
        <v>0</v>
      </c>
      <c r="J238">
        <f t="shared" si="134"/>
        <v>1</v>
      </c>
      <c r="K238">
        <f t="shared" si="135"/>
        <v>51</v>
      </c>
      <c r="L238" t="e">
        <f t="shared" ca="1" si="136"/>
        <v>#VALUE!</v>
      </c>
      <c r="M238" t="e">
        <f t="shared" ca="1" si="109"/>
        <v>#VALUE!</v>
      </c>
      <c r="N238" t="e">
        <f t="shared" ca="1" si="110"/>
        <v>#VALUE!</v>
      </c>
      <c r="O238" t="e">
        <f t="shared" ca="1" si="111"/>
        <v>#VALUE!</v>
      </c>
      <c r="P238" t="e">
        <f t="shared" ca="1" si="112"/>
        <v>#VALUE!</v>
      </c>
      <c r="Q238" t="e">
        <f t="shared" ca="1" si="113"/>
        <v>#VALUE!</v>
      </c>
      <c r="R238" t="e">
        <f t="shared" ca="1" si="114"/>
        <v>#VALUE!</v>
      </c>
      <c r="S238" t="e">
        <f t="shared" ca="1" si="115"/>
        <v>#VALUE!</v>
      </c>
      <c r="T238" t="e">
        <f t="shared" ca="1" si="116"/>
        <v>#VALUE!</v>
      </c>
      <c r="U238" t="e">
        <f t="shared" ca="1" si="137"/>
        <v>#VALUE!</v>
      </c>
      <c r="V238" t="e">
        <f t="shared" ca="1" si="138"/>
        <v>#VALUE!</v>
      </c>
      <c r="W238" t="e">
        <f t="shared" ca="1" si="117"/>
        <v>#VALUE!</v>
      </c>
      <c r="X238" t="e">
        <f t="shared" ca="1" si="118"/>
        <v>#VALUE!</v>
      </c>
      <c r="Y238" t="e">
        <f t="shared" ca="1" si="119"/>
        <v>#VALUE!</v>
      </c>
      <c r="Z238" t="e">
        <f t="shared" ca="1" si="120"/>
        <v>#VALUE!</v>
      </c>
      <c r="AA238" t="e">
        <f t="shared" ca="1" si="121"/>
        <v>#VALUE!</v>
      </c>
      <c r="AB238" t="e">
        <f t="shared" ca="1" si="122"/>
        <v>#VALUE!</v>
      </c>
      <c r="AC238" t="e">
        <f t="shared" ca="1" si="123"/>
        <v>#VALUE!</v>
      </c>
      <c r="AD238" t="e">
        <f t="shared" ca="1" si="124"/>
        <v>#VALUE!</v>
      </c>
      <c r="AE238" t="e">
        <f t="shared" ca="1" si="125"/>
        <v>#VALUE!</v>
      </c>
      <c r="AF238" t="e">
        <f t="shared" ca="1" si="126"/>
        <v>#VALUE!</v>
      </c>
      <c r="AG238" t="e">
        <f t="shared" ca="1" si="127"/>
        <v>#VALUE!</v>
      </c>
      <c r="AH238" t="e">
        <f ca="1">IF(V32="Supercritical",L238,IF(V32="Subcritical",W238,IF(AND(V238=1,AG238=1),IF(T238&gt;=AE238,L238,W238),IF(V238=1,L238,IF(AG238=1,W238,MAX($D$16,POWER((ABS(K238)^2)/($I$5*MAX(F238,0.1)^2),1/3)))))))</f>
        <v>#VALUE!</v>
      </c>
      <c r="AI238" t="e">
        <f t="shared" ca="1" si="128"/>
        <v>#VALUE!</v>
      </c>
      <c r="AJ238" t="e">
        <f t="shared" ca="1" si="129"/>
        <v>#VALUE!</v>
      </c>
      <c r="AM238">
        <v>0</v>
      </c>
      <c r="AN238">
        <v>0</v>
      </c>
      <c r="AO238">
        <f t="shared" si="130"/>
        <v>0</v>
      </c>
      <c r="AP238">
        <f t="shared" si="139"/>
        <v>0</v>
      </c>
      <c r="AQ238" t="e">
        <f t="shared" ca="1" si="131"/>
        <v>#VALUE!</v>
      </c>
      <c r="AR238" t="e">
        <f t="shared" ca="1" si="132"/>
        <v>#VALUE!</v>
      </c>
      <c r="AS238" t="e">
        <f t="shared" ca="1" si="133"/>
        <v>#VALUE!</v>
      </c>
    </row>
    <row r="239" spans="1:45" x14ac:dyDescent="0.35">
      <c r="A239">
        <v>90</v>
      </c>
      <c r="B239">
        <v>88.974000000000004</v>
      </c>
      <c r="C239">
        <v>616493.40099999995</v>
      </c>
      <c r="D239">
        <v>3097701.5010000002</v>
      </c>
      <c r="E239">
        <v>632.53399999999999</v>
      </c>
      <c r="F239">
        <v>5.25</v>
      </c>
      <c r="G239">
        <v>0</v>
      </c>
      <c r="H239" t="s">
        <v>191</v>
      </c>
      <c r="I239">
        <v>0</v>
      </c>
      <c r="J239">
        <f t="shared" si="134"/>
        <v>1</v>
      </c>
      <c r="K239">
        <f t="shared" si="135"/>
        <v>51</v>
      </c>
      <c r="L239" t="e">
        <f t="shared" ca="1" si="136"/>
        <v>#VALUE!</v>
      </c>
      <c r="M239" t="e">
        <f t="shared" ca="1" si="109"/>
        <v>#VALUE!</v>
      </c>
      <c r="N239" t="e">
        <f t="shared" ca="1" si="110"/>
        <v>#VALUE!</v>
      </c>
      <c r="O239" t="e">
        <f t="shared" ca="1" si="111"/>
        <v>#VALUE!</v>
      </c>
      <c r="P239" t="e">
        <f t="shared" ca="1" si="112"/>
        <v>#VALUE!</v>
      </c>
      <c r="Q239" t="e">
        <f t="shared" ca="1" si="113"/>
        <v>#VALUE!</v>
      </c>
      <c r="R239" t="e">
        <f t="shared" ca="1" si="114"/>
        <v>#VALUE!</v>
      </c>
      <c r="S239" t="e">
        <f t="shared" ca="1" si="115"/>
        <v>#VALUE!</v>
      </c>
      <c r="T239" t="e">
        <f t="shared" ca="1" si="116"/>
        <v>#VALUE!</v>
      </c>
      <c r="U239" t="e">
        <f t="shared" ca="1" si="137"/>
        <v>#VALUE!</v>
      </c>
      <c r="V239" t="e">
        <f t="shared" ca="1" si="138"/>
        <v>#VALUE!</v>
      </c>
      <c r="W239" t="e">
        <f t="shared" ca="1" si="117"/>
        <v>#VALUE!</v>
      </c>
      <c r="X239" t="e">
        <f t="shared" ca="1" si="118"/>
        <v>#VALUE!</v>
      </c>
      <c r="Y239" t="e">
        <f t="shared" ca="1" si="119"/>
        <v>#VALUE!</v>
      </c>
      <c r="Z239" t="e">
        <f t="shared" ca="1" si="120"/>
        <v>#VALUE!</v>
      </c>
      <c r="AA239" t="e">
        <f t="shared" ca="1" si="121"/>
        <v>#VALUE!</v>
      </c>
      <c r="AB239" t="e">
        <f t="shared" ca="1" si="122"/>
        <v>#VALUE!</v>
      </c>
      <c r="AC239" t="e">
        <f t="shared" ca="1" si="123"/>
        <v>#VALUE!</v>
      </c>
      <c r="AD239" t="e">
        <f t="shared" ca="1" si="124"/>
        <v>#VALUE!</v>
      </c>
      <c r="AE239" t="e">
        <f t="shared" ca="1" si="125"/>
        <v>#VALUE!</v>
      </c>
      <c r="AF239" t="e">
        <f t="shared" ca="1" si="126"/>
        <v>#VALUE!</v>
      </c>
      <c r="AG239" t="e">
        <f t="shared" ca="1" si="127"/>
        <v>#VALUE!</v>
      </c>
      <c r="AH239" t="e">
        <f ca="1">IF(V32="Supercritical",L239,IF(V32="Subcritical",W239,IF(AND(V239=1,AG239=1),IF(T239&gt;=AE239,L239,W239),IF(V239=1,L239,IF(AG239=1,W239,MAX($D$16,POWER((ABS(K239)^2)/($I$5*MAX(F239,0.1)^2),1/3)))))))</f>
        <v>#VALUE!</v>
      </c>
      <c r="AI239" t="e">
        <f t="shared" ca="1" si="128"/>
        <v>#VALUE!</v>
      </c>
      <c r="AJ239" t="e">
        <f t="shared" ca="1" si="129"/>
        <v>#VALUE!</v>
      </c>
      <c r="AM239">
        <v>0</v>
      </c>
      <c r="AN239">
        <v>0</v>
      </c>
      <c r="AO239">
        <f t="shared" si="130"/>
        <v>0</v>
      </c>
      <c r="AP239">
        <f t="shared" si="139"/>
        <v>0</v>
      </c>
      <c r="AQ239" t="e">
        <f t="shared" ca="1" si="131"/>
        <v>#VALUE!</v>
      </c>
      <c r="AR239" t="e">
        <f t="shared" ca="1" si="132"/>
        <v>#VALUE!</v>
      </c>
      <c r="AS239" t="e">
        <f t="shared" ca="1" si="133"/>
        <v>#VALUE!</v>
      </c>
    </row>
    <row r="240" spans="1:45" x14ac:dyDescent="0.35">
      <c r="A240">
        <v>91</v>
      </c>
      <c r="B240">
        <v>89.974000000000004</v>
      </c>
      <c r="C240">
        <v>616492.52500000002</v>
      </c>
      <c r="D240">
        <v>3097701.0189999999</v>
      </c>
      <c r="E240">
        <v>632.53200000000004</v>
      </c>
      <c r="F240">
        <v>5.218</v>
      </c>
      <c r="G240">
        <v>0</v>
      </c>
      <c r="H240" t="s">
        <v>191</v>
      </c>
      <c r="I240">
        <v>0.05</v>
      </c>
      <c r="J240">
        <f t="shared" si="134"/>
        <v>1</v>
      </c>
      <c r="K240">
        <f t="shared" si="135"/>
        <v>51</v>
      </c>
      <c r="L240" t="e">
        <f t="shared" ca="1" si="136"/>
        <v>#VALUE!</v>
      </c>
      <c r="M240" t="e">
        <f t="shared" ca="1" si="109"/>
        <v>#VALUE!</v>
      </c>
      <c r="N240" t="e">
        <f t="shared" ca="1" si="110"/>
        <v>#VALUE!</v>
      </c>
      <c r="O240" t="e">
        <f t="shared" ca="1" si="111"/>
        <v>#VALUE!</v>
      </c>
      <c r="P240" t="e">
        <f t="shared" ca="1" si="112"/>
        <v>#VALUE!</v>
      </c>
      <c r="Q240" t="e">
        <f t="shared" ca="1" si="113"/>
        <v>#VALUE!</v>
      </c>
      <c r="R240" t="e">
        <f t="shared" ca="1" si="114"/>
        <v>#VALUE!</v>
      </c>
      <c r="S240" t="e">
        <f t="shared" ca="1" si="115"/>
        <v>#VALUE!</v>
      </c>
      <c r="T240" t="e">
        <f t="shared" ca="1" si="116"/>
        <v>#VALUE!</v>
      </c>
      <c r="U240" t="e">
        <f t="shared" ca="1" si="137"/>
        <v>#VALUE!</v>
      </c>
      <c r="V240" t="e">
        <f t="shared" ca="1" si="138"/>
        <v>#VALUE!</v>
      </c>
      <c r="W240" t="e">
        <f t="shared" ca="1" si="117"/>
        <v>#VALUE!</v>
      </c>
      <c r="X240" t="e">
        <f t="shared" ca="1" si="118"/>
        <v>#VALUE!</v>
      </c>
      <c r="Y240" t="e">
        <f t="shared" ca="1" si="119"/>
        <v>#VALUE!</v>
      </c>
      <c r="Z240" t="e">
        <f t="shared" ca="1" si="120"/>
        <v>#VALUE!</v>
      </c>
      <c r="AA240" t="e">
        <f t="shared" ca="1" si="121"/>
        <v>#VALUE!</v>
      </c>
      <c r="AB240" t="e">
        <f t="shared" ca="1" si="122"/>
        <v>#VALUE!</v>
      </c>
      <c r="AC240" t="e">
        <f t="shared" ca="1" si="123"/>
        <v>#VALUE!</v>
      </c>
      <c r="AD240" t="e">
        <f t="shared" ca="1" si="124"/>
        <v>#VALUE!</v>
      </c>
      <c r="AE240" t="e">
        <f t="shared" ca="1" si="125"/>
        <v>#VALUE!</v>
      </c>
      <c r="AF240" t="e">
        <f t="shared" ca="1" si="126"/>
        <v>#VALUE!</v>
      </c>
      <c r="AG240" t="e">
        <f t="shared" ca="1" si="127"/>
        <v>#VALUE!</v>
      </c>
      <c r="AH240" t="e">
        <f ca="1">IF(V32="Supercritical",L240,IF(V32="Subcritical",W240,IF(AND(V240=1,AG240=1),IF(T240&gt;=AE240,L240,W240),IF(V240=1,L240,IF(AG240=1,W240,MAX($D$16,POWER((ABS(K240)^2)/($I$5*MAX(F240,0.1)^2),1/3)))))))</f>
        <v>#VALUE!</v>
      </c>
      <c r="AI240" t="e">
        <f t="shared" ca="1" si="128"/>
        <v>#VALUE!</v>
      </c>
      <c r="AJ240" t="e">
        <f t="shared" ca="1" si="129"/>
        <v>#VALUE!</v>
      </c>
      <c r="AM240">
        <v>0</v>
      </c>
      <c r="AN240">
        <v>0</v>
      </c>
      <c r="AO240">
        <f t="shared" si="130"/>
        <v>0</v>
      </c>
      <c r="AP240">
        <f t="shared" si="139"/>
        <v>0</v>
      </c>
      <c r="AQ240" t="e">
        <f t="shared" ca="1" si="131"/>
        <v>#VALUE!</v>
      </c>
      <c r="AR240" t="e">
        <f t="shared" ca="1" si="132"/>
        <v>#VALUE!</v>
      </c>
      <c r="AS240" t="e">
        <f t="shared" ca="1" si="133"/>
        <v>#VALUE!</v>
      </c>
    </row>
    <row r="241" spans="1:45" x14ac:dyDescent="0.35">
      <c r="A241">
        <v>92</v>
      </c>
      <c r="B241">
        <v>90.974000000000004</v>
      </c>
      <c r="C241">
        <v>616491.64899999998</v>
      </c>
      <c r="D241">
        <v>3097700.5359999998</v>
      </c>
      <c r="E241">
        <v>632.53</v>
      </c>
      <c r="F241">
        <v>5.2030000000000003</v>
      </c>
      <c r="G241">
        <v>0</v>
      </c>
      <c r="H241" t="s">
        <v>191</v>
      </c>
      <c r="I241">
        <v>0.05</v>
      </c>
      <c r="J241">
        <f t="shared" si="134"/>
        <v>1</v>
      </c>
      <c r="K241">
        <f t="shared" si="135"/>
        <v>51</v>
      </c>
      <c r="L241" t="e">
        <f t="shared" ca="1" si="136"/>
        <v>#VALUE!</v>
      </c>
      <c r="M241" t="e">
        <f t="shared" ca="1" si="109"/>
        <v>#VALUE!</v>
      </c>
      <c r="N241" t="e">
        <f t="shared" ca="1" si="110"/>
        <v>#VALUE!</v>
      </c>
      <c r="O241" t="e">
        <f t="shared" ca="1" si="111"/>
        <v>#VALUE!</v>
      </c>
      <c r="P241" t="e">
        <f t="shared" ca="1" si="112"/>
        <v>#VALUE!</v>
      </c>
      <c r="Q241" t="e">
        <f t="shared" ca="1" si="113"/>
        <v>#VALUE!</v>
      </c>
      <c r="R241" t="e">
        <f t="shared" ca="1" si="114"/>
        <v>#VALUE!</v>
      </c>
      <c r="S241" t="e">
        <f t="shared" ca="1" si="115"/>
        <v>#VALUE!</v>
      </c>
      <c r="T241" t="e">
        <f t="shared" ca="1" si="116"/>
        <v>#VALUE!</v>
      </c>
      <c r="U241" t="e">
        <f t="shared" ca="1" si="137"/>
        <v>#VALUE!</v>
      </c>
      <c r="V241" t="e">
        <f t="shared" ca="1" si="138"/>
        <v>#VALUE!</v>
      </c>
      <c r="W241" t="e">
        <f t="shared" ca="1" si="117"/>
        <v>#VALUE!</v>
      </c>
      <c r="X241" t="e">
        <f t="shared" ca="1" si="118"/>
        <v>#VALUE!</v>
      </c>
      <c r="Y241" t="e">
        <f t="shared" ca="1" si="119"/>
        <v>#VALUE!</v>
      </c>
      <c r="Z241" t="e">
        <f t="shared" ca="1" si="120"/>
        <v>#VALUE!</v>
      </c>
      <c r="AA241" t="e">
        <f t="shared" ca="1" si="121"/>
        <v>#VALUE!</v>
      </c>
      <c r="AB241" t="e">
        <f t="shared" ca="1" si="122"/>
        <v>#VALUE!</v>
      </c>
      <c r="AC241" t="e">
        <f t="shared" ca="1" si="123"/>
        <v>#VALUE!</v>
      </c>
      <c r="AD241" t="e">
        <f t="shared" ca="1" si="124"/>
        <v>#VALUE!</v>
      </c>
      <c r="AE241" t="e">
        <f t="shared" ca="1" si="125"/>
        <v>#VALUE!</v>
      </c>
      <c r="AF241" t="e">
        <f t="shared" ca="1" si="126"/>
        <v>#VALUE!</v>
      </c>
      <c r="AG241" t="e">
        <f t="shared" ca="1" si="127"/>
        <v>#VALUE!</v>
      </c>
      <c r="AH241" t="e">
        <f ca="1">IF(V32="Supercritical",L241,IF(V32="Subcritical",W241,IF(AND(V241=1,AG241=1),IF(T241&gt;=AE241,L241,W241),IF(V241=1,L241,IF(AG241=1,W241,MAX($D$16,POWER((ABS(K241)^2)/($I$5*MAX(F241,0.1)^2),1/3)))))))</f>
        <v>#VALUE!</v>
      </c>
      <c r="AI241" t="e">
        <f t="shared" ca="1" si="128"/>
        <v>#VALUE!</v>
      </c>
      <c r="AJ241" t="e">
        <f t="shared" ca="1" si="129"/>
        <v>#VALUE!</v>
      </c>
      <c r="AM241">
        <v>0</v>
      </c>
      <c r="AN241">
        <v>0</v>
      </c>
      <c r="AO241">
        <f t="shared" si="130"/>
        <v>0</v>
      </c>
      <c r="AP241">
        <f t="shared" si="139"/>
        <v>0</v>
      </c>
      <c r="AQ241" t="e">
        <f t="shared" ca="1" si="131"/>
        <v>#VALUE!</v>
      </c>
      <c r="AR241" t="e">
        <f t="shared" ca="1" si="132"/>
        <v>#VALUE!</v>
      </c>
      <c r="AS241" t="e">
        <f t="shared" ca="1" si="133"/>
        <v>#VALUE!</v>
      </c>
    </row>
    <row r="242" spans="1:45" x14ac:dyDescent="0.35">
      <c r="A242">
        <v>93</v>
      </c>
      <c r="B242">
        <v>91.974000000000004</v>
      </c>
      <c r="C242">
        <v>616490.77300000004</v>
      </c>
      <c r="D242">
        <v>3097700.054</v>
      </c>
      <c r="E242">
        <v>632.52800000000002</v>
      </c>
      <c r="F242">
        <v>5.2</v>
      </c>
      <c r="G242">
        <v>0</v>
      </c>
      <c r="H242" t="s">
        <v>191</v>
      </c>
      <c r="I242">
        <v>0</v>
      </c>
      <c r="J242">
        <f t="shared" si="134"/>
        <v>1</v>
      </c>
      <c r="K242">
        <f t="shared" si="135"/>
        <v>51</v>
      </c>
      <c r="L242" t="e">
        <f t="shared" ca="1" si="136"/>
        <v>#VALUE!</v>
      </c>
      <c r="M242" t="e">
        <f t="shared" ca="1" si="109"/>
        <v>#VALUE!</v>
      </c>
      <c r="N242" t="e">
        <f t="shared" ca="1" si="110"/>
        <v>#VALUE!</v>
      </c>
      <c r="O242" t="e">
        <f t="shared" ca="1" si="111"/>
        <v>#VALUE!</v>
      </c>
      <c r="P242" t="e">
        <f t="shared" ca="1" si="112"/>
        <v>#VALUE!</v>
      </c>
      <c r="Q242" t="e">
        <f t="shared" ca="1" si="113"/>
        <v>#VALUE!</v>
      </c>
      <c r="R242" t="e">
        <f t="shared" ca="1" si="114"/>
        <v>#VALUE!</v>
      </c>
      <c r="S242" t="e">
        <f t="shared" ca="1" si="115"/>
        <v>#VALUE!</v>
      </c>
      <c r="T242" t="e">
        <f t="shared" ca="1" si="116"/>
        <v>#VALUE!</v>
      </c>
      <c r="U242" t="e">
        <f t="shared" ca="1" si="137"/>
        <v>#VALUE!</v>
      </c>
      <c r="V242" t="e">
        <f t="shared" ca="1" si="138"/>
        <v>#VALUE!</v>
      </c>
      <c r="W242" t="e">
        <f t="shared" ca="1" si="117"/>
        <v>#VALUE!</v>
      </c>
      <c r="X242" t="e">
        <f t="shared" ca="1" si="118"/>
        <v>#VALUE!</v>
      </c>
      <c r="Y242" t="e">
        <f t="shared" ca="1" si="119"/>
        <v>#VALUE!</v>
      </c>
      <c r="Z242" t="e">
        <f t="shared" ca="1" si="120"/>
        <v>#VALUE!</v>
      </c>
      <c r="AA242" t="e">
        <f t="shared" ca="1" si="121"/>
        <v>#VALUE!</v>
      </c>
      <c r="AB242" t="e">
        <f t="shared" ca="1" si="122"/>
        <v>#VALUE!</v>
      </c>
      <c r="AC242" t="e">
        <f t="shared" ca="1" si="123"/>
        <v>#VALUE!</v>
      </c>
      <c r="AD242" t="e">
        <f t="shared" ca="1" si="124"/>
        <v>#VALUE!</v>
      </c>
      <c r="AE242" t="e">
        <f t="shared" ca="1" si="125"/>
        <v>#VALUE!</v>
      </c>
      <c r="AF242" t="e">
        <f t="shared" ca="1" si="126"/>
        <v>#VALUE!</v>
      </c>
      <c r="AG242" t="e">
        <f t="shared" ca="1" si="127"/>
        <v>#VALUE!</v>
      </c>
      <c r="AH242" t="e">
        <f ca="1">IF(V32="Supercritical",L242,IF(V32="Subcritical",W242,IF(AND(V242=1,AG242=1),IF(T242&gt;=AE242,L242,W242),IF(V242=1,L242,IF(AG242=1,W242,MAX($D$16,POWER((ABS(K242)^2)/($I$5*MAX(F242,0.1)^2),1/3)))))))</f>
        <v>#VALUE!</v>
      </c>
      <c r="AI242" t="e">
        <f t="shared" ca="1" si="128"/>
        <v>#VALUE!</v>
      </c>
      <c r="AJ242" t="e">
        <f t="shared" ca="1" si="129"/>
        <v>#VALUE!</v>
      </c>
      <c r="AM242">
        <v>0</v>
      </c>
      <c r="AN242">
        <v>0</v>
      </c>
      <c r="AO242">
        <f t="shared" si="130"/>
        <v>0</v>
      </c>
      <c r="AP242">
        <f t="shared" si="139"/>
        <v>0</v>
      </c>
      <c r="AQ242" t="e">
        <f t="shared" ca="1" si="131"/>
        <v>#VALUE!</v>
      </c>
      <c r="AR242" t="e">
        <f t="shared" ca="1" si="132"/>
        <v>#VALUE!</v>
      </c>
      <c r="AS242" t="e">
        <f t="shared" ca="1" si="133"/>
        <v>#VALUE!</v>
      </c>
    </row>
    <row r="243" spans="1:45" x14ac:dyDescent="0.35">
      <c r="A243">
        <v>94</v>
      </c>
      <c r="B243">
        <v>92.974000000000004</v>
      </c>
      <c r="C243">
        <v>616489.897</v>
      </c>
      <c r="D243">
        <v>3097699.5720000002</v>
      </c>
      <c r="E243">
        <v>632.52599999999995</v>
      </c>
      <c r="F243">
        <v>5.2119999999999997</v>
      </c>
      <c r="G243">
        <v>0</v>
      </c>
      <c r="H243" t="s">
        <v>191</v>
      </c>
      <c r="I243">
        <v>0.05</v>
      </c>
      <c r="J243">
        <f t="shared" si="134"/>
        <v>1</v>
      </c>
      <c r="K243">
        <f t="shared" si="135"/>
        <v>51</v>
      </c>
      <c r="L243" t="e">
        <f t="shared" ca="1" si="136"/>
        <v>#VALUE!</v>
      </c>
      <c r="M243" t="e">
        <f t="shared" ca="1" si="109"/>
        <v>#VALUE!</v>
      </c>
      <c r="N243" t="e">
        <f t="shared" ca="1" si="110"/>
        <v>#VALUE!</v>
      </c>
      <c r="O243" t="e">
        <f t="shared" ca="1" si="111"/>
        <v>#VALUE!</v>
      </c>
      <c r="P243" t="e">
        <f t="shared" ca="1" si="112"/>
        <v>#VALUE!</v>
      </c>
      <c r="Q243" t="e">
        <f t="shared" ca="1" si="113"/>
        <v>#VALUE!</v>
      </c>
      <c r="R243" t="e">
        <f t="shared" ca="1" si="114"/>
        <v>#VALUE!</v>
      </c>
      <c r="S243" t="e">
        <f t="shared" ca="1" si="115"/>
        <v>#VALUE!</v>
      </c>
      <c r="T243" t="e">
        <f t="shared" ca="1" si="116"/>
        <v>#VALUE!</v>
      </c>
      <c r="U243" t="e">
        <f t="shared" ca="1" si="137"/>
        <v>#VALUE!</v>
      </c>
      <c r="V243" t="e">
        <f t="shared" ca="1" si="138"/>
        <v>#VALUE!</v>
      </c>
      <c r="W243" t="e">
        <f t="shared" ca="1" si="117"/>
        <v>#VALUE!</v>
      </c>
      <c r="X243" t="e">
        <f t="shared" ca="1" si="118"/>
        <v>#VALUE!</v>
      </c>
      <c r="Y243" t="e">
        <f t="shared" ca="1" si="119"/>
        <v>#VALUE!</v>
      </c>
      <c r="Z243" t="e">
        <f t="shared" ca="1" si="120"/>
        <v>#VALUE!</v>
      </c>
      <c r="AA243" t="e">
        <f t="shared" ca="1" si="121"/>
        <v>#VALUE!</v>
      </c>
      <c r="AB243" t="e">
        <f t="shared" ca="1" si="122"/>
        <v>#VALUE!</v>
      </c>
      <c r="AC243" t="e">
        <f t="shared" ca="1" si="123"/>
        <v>#VALUE!</v>
      </c>
      <c r="AD243" t="e">
        <f t="shared" ca="1" si="124"/>
        <v>#VALUE!</v>
      </c>
      <c r="AE243" t="e">
        <f t="shared" ca="1" si="125"/>
        <v>#VALUE!</v>
      </c>
      <c r="AF243" t="e">
        <f t="shared" ca="1" si="126"/>
        <v>#VALUE!</v>
      </c>
      <c r="AG243" t="e">
        <f t="shared" ca="1" si="127"/>
        <v>#VALUE!</v>
      </c>
      <c r="AH243" t="e">
        <f ca="1">IF(V32="Supercritical",L243,IF(V32="Subcritical",W243,IF(AND(V243=1,AG243=1),IF(T243&gt;=AE243,L243,W243),IF(V243=1,L243,IF(AG243=1,W243,MAX($D$16,POWER((ABS(K243)^2)/($I$5*MAX(F243,0.1)^2),1/3)))))))</f>
        <v>#VALUE!</v>
      </c>
      <c r="AI243" t="e">
        <f t="shared" ca="1" si="128"/>
        <v>#VALUE!</v>
      </c>
      <c r="AJ243" t="e">
        <f t="shared" ca="1" si="129"/>
        <v>#VALUE!</v>
      </c>
      <c r="AM243">
        <v>0</v>
      </c>
      <c r="AN243">
        <v>0</v>
      </c>
      <c r="AO243">
        <f t="shared" si="130"/>
        <v>0</v>
      </c>
      <c r="AP243">
        <f t="shared" si="139"/>
        <v>0</v>
      </c>
      <c r="AQ243" t="e">
        <f t="shared" ca="1" si="131"/>
        <v>#VALUE!</v>
      </c>
      <c r="AR243" t="e">
        <f t="shared" ca="1" si="132"/>
        <v>#VALUE!</v>
      </c>
      <c r="AS243" t="e">
        <f t="shared" ca="1" si="133"/>
        <v>#VALUE!</v>
      </c>
    </row>
    <row r="244" spans="1:45" x14ac:dyDescent="0.35">
      <c r="A244">
        <v>95</v>
      </c>
      <c r="B244">
        <v>93.974000000000004</v>
      </c>
      <c r="C244">
        <v>616489.02099999995</v>
      </c>
      <c r="D244">
        <v>3097699.0890000002</v>
      </c>
      <c r="E244">
        <v>632.524</v>
      </c>
      <c r="F244">
        <v>5.2370000000000001</v>
      </c>
      <c r="G244">
        <v>0</v>
      </c>
      <c r="H244" t="s">
        <v>191</v>
      </c>
      <c r="I244">
        <v>0.05</v>
      </c>
      <c r="J244">
        <f t="shared" si="134"/>
        <v>1</v>
      </c>
      <c r="K244">
        <f t="shared" si="135"/>
        <v>51</v>
      </c>
      <c r="L244" t="e">
        <f t="shared" ca="1" si="136"/>
        <v>#VALUE!</v>
      </c>
      <c r="M244" t="e">
        <f t="shared" ca="1" si="109"/>
        <v>#VALUE!</v>
      </c>
      <c r="N244" t="e">
        <f t="shared" ca="1" si="110"/>
        <v>#VALUE!</v>
      </c>
      <c r="O244" t="e">
        <f t="shared" ca="1" si="111"/>
        <v>#VALUE!</v>
      </c>
      <c r="P244" t="e">
        <f t="shared" ca="1" si="112"/>
        <v>#VALUE!</v>
      </c>
      <c r="Q244" t="e">
        <f t="shared" ca="1" si="113"/>
        <v>#VALUE!</v>
      </c>
      <c r="R244" t="e">
        <f t="shared" ca="1" si="114"/>
        <v>#VALUE!</v>
      </c>
      <c r="S244" t="e">
        <f t="shared" ca="1" si="115"/>
        <v>#VALUE!</v>
      </c>
      <c r="T244" t="e">
        <f t="shared" ca="1" si="116"/>
        <v>#VALUE!</v>
      </c>
      <c r="U244" t="e">
        <f t="shared" ca="1" si="137"/>
        <v>#VALUE!</v>
      </c>
      <c r="V244" t="e">
        <f t="shared" ca="1" si="138"/>
        <v>#VALUE!</v>
      </c>
      <c r="W244" t="e">
        <f t="shared" ca="1" si="117"/>
        <v>#VALUE!</v>
      </c>
      <c r="X244" t="e">
        <f t="shared" ca="1" si="118"/>
        <v>#VALUE!</v>
      </c>
      <c r="Y244" t="e">
        <f t="shared" ca="1" si="119"/>
        <v>#VALUE!</v>
      </c>
      <c r="Z244" t="e">
        <f t="shared" ca="1" si="120"/>
        <v>#VALUE!</v>
      </c>
      <c r="AA244" t="e">
        <f t="shared" ca="1" si="121"/>
        <v>#VALUE!</v>
      </c>
      <c r="AB244" t="e">
        <f t="shared" ca="1" si="122"/>
        <v>#VALUE!</v>
      </c>
      <c r="AC244" t="e">
        <f t="shared" ca="1" si="123"/>
        <v>#VALUE!</v>
      </c>
      <c r="AD244" t="e">
        <f t="shared" ca="1" si="124"/>
        <v>#VALUE!</v>
      </c>
      <c r="AE244" t="e">
        <f t="shared" ca="1" si="125"/>
        <v>#VALUE!</v>
      </c>
      <c r="AF244" t="e">
        <f t="shared" ca="1" si="126"/>
        <v>#VALUE!</v>
      </c>
      <c r="AG244" t="e">
        <f t="shared" ca="1" si="127"/>
        <v>#VALUE!</v>
      </c>
      <c r="AH244" t="e">
        <f ca="1">IF(V32="Supercritical",L244,IF(V32="Subcritical",W244,IF(AND(V244=1,AG244=1),IF(T244&gt;=AE244,L244,W244),IF(V244=1,L244,IF(AG244=1,W244,MAX($D$16,POWER((ABS(K244)^2)/($I$5*MAX(F244,0.1)^2),1/3)))))))</f>
        <v>#VALUE!</v>
      </c>
      <c r="AI244" t="e">
        <f t="shared" ca="1" si="128"/>
        <v>#VALUE!</v>
      </c>
      <c r="AJ244" t="e">
        <f t="shared" ca="1" si="129"/>
        <v>#VALUE!</v>
      </c>
      <c r="AM244">
        <v>0</v>
      </c>
      <c r="AN244">
        <v>0</v>
      </c>
      <c r="AO244">
        <f t="shared" si="130"/>
        <v>0</v>
      </c>
      <c r="AP244">
        <f t="shared" si="139"/>
        <v>0</v>
      </c>
      <c r="AQ244" t="e">
        <f t="shared" ca="1" si="131"/>
        <v>#VALUE!</v>
      </c>
      <c r="AR244" t="e">
        <f t="shared" ca="1" si="132"/>
        <v>#VALUE!</v>
      </c>
      <c r="AS244" t="e">
        <f t="shared" ca="1" si="133"/>
        <v>#VALUE!</v>
      </c>
    </row>
    <row r="245" spans="1:45" x14ac:dyDescent="0.35">
      <c r="A245">
        <v>96</v>
      </c>
      <c r="B245">
        <v>94.974000000000004</v>
      </c>
      <c r="C245">
        <v>616488.14500000002</v>
      </c>
      <c r="D245">
        <v>3097698.6069999998</v>
      </c>
      <c r="E245">
        <v>632.52200000000005</v>
      </c>
      <c r="F245">
        <v>5.2709999999999999</v>
      </c>
      <c r="G245">
        <v>0</v>
      </c>
      <c r="H245" t="s">
        <v>191</v>
      </c>
      <c r="I245">
        <v>0</v>
      </c>
      <c r="J245">
        <f t="shared" si="134"/>
        <v>1</v>
      </c>
      <c r="K245">
        <f t="shared" si="135"/>
        <v>51</v>
      </c>
      <c r="L245" t="e">
        <f t="shared" ca="1" si="136"/>
        <v>#VALUE!</v>
      </c>
      <c r="M245" t="e">
        <f t="shared" ca="1" si="109"/>
        <v>#VALUE!</v>
      </c>
      <c r="N245" t="e">
        <f t="shared" ca="1" si="110"/>
        <v>#VALUE!</v>
      </c>
      <c r="O245" t="e">
        <f t="shared" ca="1" si="111"/>
        <v>#VALUE!</v>
      </c>
      <c r="P245" t="e">
        <f t="shared" ca="1" si="112"/>
        <v>#VALUE!</v>
      </c>
      <c r="Q245" t="e">
        <f t="shared" ca="1" si="113"/>
        <v>#VALUE!</v>
      </c>
      <c r="R245" t="e">
        <f t="shared" ca="1" si="114"/>
        <v>#VALUE!</v>
      </c>
      <c r="S245" t="e">
        <f t="shared" ca="1" si="115"/>
        <v>#VALUE!</v>
      </c>
      <c r="T245" t="e">
        <f t="shared" ca="1" si="116"/>
        <v>#VALUE!</v>
      </c>
      <c r="U245" t="e">
        <f t="shared" ca="1" si="137"/>
        <v>#VALUE!</v>
      </c>
      <c r="V245" t="e">
        <f t="shared" ca="1" si="138"/>
        <v>#VALUE!</v>
      </c>
      <c r="W245" t="e">
        <f t="shared" ca="1" si="117"/>
        <v>#VALUE!</v>
      </c>
      <c r="X245" t="e">
        <f t="shared" ca="1" si="118"/>
        <v>#VALUE!</v>
      </c>
      <c r="Y245" t="e">
        <f t="shared" ca="1" si="119"/>
        <v>#VALUE!</v>
      </c>
      <c r="Z245" t="e">
        <f t="shared" ca="1" si="120"/>
        <v>#VALUE!</v>
      </c>
      <c r="AA245" t="e">
        <f t="shared" ca="1" si="121"/>
        <v>#VALUE!</v>
      </c>
      <c r="AB245" t="e">
        <f t="shared" ca="1" si="122"/>
        <v>#VALUE!</v>
      </c>
      <c r="AC245" t="e">
        <f t="shared" ca="1" si="123"/>
        <v>#VALUE!</v>
      </c>
      <c r="AD245" t="e">
        <f t="shared" ca="1" si="124"/>
        <v>#VALUE!</v>
      </c>
      <c r="AE245" t="e">
        <f t="shared" ca="1" si="125"/>
        <v>#VALUE!</v>
      </c>
      <c r="AF245" t="e">
        <f t="shared" ca="1" si="126"/>
        <v>#VALUE!</v>
      </c>
      <c r="AG245" t="e">
        <f t="shared" ca="1" si="127"/>
        <v>#VALUE!</v>
      </c>
      <c r="AH245" t="e">
        <f ca="1">IF(V32="Supercritical",L245,IF(V32="Subcritical",W245,IF(AND(V245=1,AG245=1),IF(T245&gt;=AE245,L245,W245),IF(V245=1,L245,IF(AG245=1,W245,MAX($D$16,POWER((ABS(K245)^2)/($I$5*MAX(F245,0.1)^2),1/3)))))))</f>
        <v>#VALUE!</v>
      </c>
      <c r="AI245" t="e">
        <f t="shared" ca="1" si="128"/>
        <v>#VALUE!</v>
      </c>
      <c r="AJ245" t="e">
        <f t="shared" ca="1" si="129"/>
        <v>#VALUE!</v>
      </c>
      <c r="AM245">
        <v>0</v>
      </c>
      <c r="AN245">
        <v>0</v>
      </c>
      <c r="AO245">
        <f t="shared" si="130"/>
        <v>0</v>
      </c>
      <c r="AP245">
        <f t="shared" si="139"/>
        <v>0</v>
      </c>
      <c r="AQ245" t="e">
        <f t="shared" ca="1" si="131"/>
        <v>#VALUE!</v>
      </c>
      <c r="AR245" t="e">
        <f t="shared" ca="1" si="132"/>
        <v>#VALUE!</v>
      </c>
      <c r="AS245" t="e">
        <f t="shared" ca="1" si="133"/>
        <v>#VALUE!</v>
      </c>
    </row>
    <row r="246" spans="1:45" x14ac:dyDescent="0.35">
      <c r="A246">
        <v>97</v>
      </c>
      <c r="B246">
        <v>95.974000000000004</v>
      </c>
      <c r="C246">
        <v>616487.26899999997</v>
      </c>
      <c r="D246">
        <v>3097698.125</v>
      </c>
      <c r="E246">
        <v>632.52</v>
      </c>
      <c r="F246">
        <v>5.327</v>
      </c>
      <c r="G246">
        <v>0</v>
      </c>
      <c r="H246" t="s">
        <v>191</v>
      </c>
      <c r="I246">
        <v>0</v>
      </c>
      <c r="J246">
        <f t="shared" si="134"/>
        <v>1</v>
      </c>
      <c r="K246">
        <f t="shared" si="135"/>
        <v>51</v>
      </c>
      <c r="L246" t="e">
        <f t="shared" ca="1" si="136"/>
        <v>#VALUE!</v>
      </c>
      <c r="M246" t="e">
        <f t="shared" ca="1" si="109"/>
        <v>#VALUE!</v>
      </c>
      <c r="N246" t="e">
        <f t="shared" ca="1" si="110"/>
        <v>#VALUE!</v>
      </c>
      <c r="O246" t="e">
        <f t="shared" ca="1" si="111"/>
        <v>#VALUE!</v>
      </c>
      <c r="P246" t="e">
        <f t="shared" ca="1" si="112"/>
        <v>#VALUE!</v>
      </c>
      <c r="Q246" t="e">
        <f t="shared" ca="1" si="113"/>
        <v>#VALUE!</v>
      </c>
      <c r="R246" t="e">
        <f t="shared" ca="1" si="114"/>
        <v>#VALUE!</v>
      </c>
      <c r="S246" t="e">
        <f t="shared" ca="1" si="115"/>
        <v>#VALUE!</v>
      </c>
      <c r="T246" t="e">
        <f t="shared" ca="1" si="116"/>
        <v>#VALUE!</v>
      </c>
      <c r="U246" t="e">
        <f t="shared" ca="1" si="137"/>
        <v>#VALUE!</v>
      </c>
      <c r="V246" t="e">
        <f t="shared" ca="1" si="138"/>
        <v>#VALUE!</v>
      </c>
      <c r="W246" t="e">
        <f t="shared" ca="1" si="117"/>
        <v>#VALUE!</v>
      </c>
      <c r="X246" t="e">
        <f t="shared" ca="1" si="118"/>
        <v>#VALUE!</v>
      </c>
      <c r="Y246" t="e">
        <f t="shared" ca="1" si="119"/>
        <v>#VALUE!</v>
      </c>
      <c r="Z246" t="e">
        <f t="shared" ca="1" si="120"/>
        <v>#VALUE!</v>
      </c>
      <c r="AA246" t="e">
        <f t="shared" ca="1" si="121"/>
        <v>#VALUE!</v>
      </c>
      <c r="AB246" t="e">
        <f t="shared" ca="1" si="122"/>
        <v>#VALUE!</v>
      </c>
      <c r="AC246" t="e">
        <f t="shared" ca="1" si="123"/>
        <v>#VALUE!</v>
      </c>
      <c r="AD246" t="e">
        <f t="shared" ca="1" si="124"/>
        <v>#VALUE!</v>
      </c>
      <c r="AE246" t="e">
        <f t="shared" ca="1" si="125"/>
        <v>#VALUE!</v>
      </c>
      <c r="AF246" t="e">
        <f t="shared" ca="1" si="126"/>
        <v>#VALUE!</v>
      </c>
      <c r="AG246" t="e">
        <f t="shared" ca="1" si="127"/>
        <v>#VALUE!</v>
      </c>
      <c r="AH246" t="e">
        <f ca="1">IF(V32="Supercritical",L246,IF(V32="Subcritical",W246,IF(AND(V246=1,AG246=1),IF(T246&gt;=AE246,L246,W246),IF(V246=1,L246,IF(AG246=1,W246,MAX($D$16,POWER((ABS(K246)^2)/($I$5*MAX(F246,0.1)^2),1/3)))))))</f>
        <v>#VALUE!</v>
      </c>
      <c r="AI246" t="e">
        <f t="shared" ca="1" si="128"/>
        <v>#VALUE!</v>
      </c>
      <c r="AJ246" t="e">
        <f t="shared" ca="1" si="129"/>
        <v>#VALUE!</v>
      </c>
      <c r="AM246">
        <v>0</v>
      </c>
      <c r="AN246">
        <v>0</v>
      </c>
      <c r="AO246">
        <f t="shared" si="130"/>
        <v>0</v>
      </c>
      <c r="AP246">
        <f t="shared" si="139"/>
        <v>0</v>
      </c>
      <c r="AQ246" t="e">
        <f t="shared" ca="1" si="131"/>
        <v>#VALUE!</v>
      </c>
      <c r="AR246" t="e">
        <f t="shared" ca="1" si="132"/>
        <v>#VALUE!</v>
      </c>
      <c r="AS246" t="e">
        <f t="shared" ca="1" si="133"/>
        <v>#VALUE!</v>
      </c>
    </row>
    <row r="247" spans="1:45" x14ac:dyDescent="0.35">
      <c r="A247">
        <v>98</v>
      </c>
      <c r="B247">
        <v>96.974000000000004</v>
      </c>
      <c r="C247">
        <v>616486.39300000004</v>
      </c>
      <c r="D247">
        <v>3097697.6430000002</v>
      </c>
      <c r="E247">
        <v>632.51800000000003</v>
      </c>
      <c r="F247">
        <v>5.3959999999999999</v>
      </c>
      <c r="G247">
        <v>0</v>
      </c>
      <c r="H247" t="s">
        <v>191</v>
      </c>
      <c r="I247">
        <v>0.05</v>
      </c>
      <c r="J247">
        <f t="shared" si="134"/>
        <v>1</v>
      </c>
      <c r="K247">
        <f t="shared" si="135"/>
        <v>51</v>
      </c>
      <c r="L247" t="e">
        <f t="shared" ca="1" si="136"/>
        <v>#VALUE!</v>
      </c>
      <c r="M247" t="e">
        <f t="shared" ca="1" si="109"/>
        <v>#VALUE!</v>
      </c>
      <c r="N247" t="e">
        <f t="shared" ca="1" si="110"/>
        <v>#VALUE!</v>
      </c>
      <c r="O247" t="e">
        <f t="shared" ca="1" si="111"/>
        <v>#VALUE!</v>
      </c>
      <c r="P247" t="e">
        <f t="shared" ca="1" si="112"/>
        <v>#VALUE!</v>
      </c>
      <c r="Q247" t="e">
        <f t="shared" ca="1" si="113"/>
        <v>#VALUE!</v>
      </c>
      <c r="R247" t="e">
        <f t="shared" ca="1" si="114"/>
        <v>#VALUE!</v>
      </c>
      <c r="S247" t="e">
        <f t="shared" ca="1" si="115"/>
        <v>#VALUE!</v>
      </c>
      <c r="T247" t="e">
        <f t="shared" ca="1" si="116"/>
        <v>#VALUE!</v>
      </c>
      <c r="U247" t="e">
        <f t="shared" ca="1" si="137"/>
        <v>#VALUE!</v>
      </c>
      <c r="V247" t="e">
        <f t="shared" ca="1" si="138"/>
        <v>#VALUE!</v>
      </c>
      <c r="W247" t="e">
        <f t="shared" ca="1" si="117"/>
        <v>#VALUE!</v>
      </c>
      <c r="X247" t="e">
        <f t="shared" ca="1" si="118"/>
        <v>#VALUE!</v>
      </c>
      <c r="Y247" t="e">
        <f t="shared" ca="1" si="119"/>
        <v>#VALUE!</v>
      </c>
      <c r="Z247" t="e">
        <f t="shared" ca="1" si="120"/>
        <v>#VALUE!</v>
      </c>
      <c r="AA247" t="e">
        <f t="shared" ca="1" si="121"/>
        <v>#VALUE!</v>
      </c>
      <c r="AB247" t="e">
        <f t="shared" ca="1" si="122"/>
        <v>#VALUE!</v>
      </c>
      <c r="AC247" t="e">
        <f t="shared" ca="1" si="123"/>
        <v>#VALUE!</v>
      </c>
      <c r="AD247" t="e">
        <f t="shared" ca="1" si="124"/>
        <v>#VALUE!</v>
      </c>
      <c r="AE247" t="e">
        <f t="shared" ca="1" si="125"/>
        <v>#VALUE!</v>
      </c>
      <c r="AF247" t="e">
        <f t="shared" ca="1" si="126"/>
        <v>#VALUE!</v>
      </c>
      <c r="AG247" t="e">
        <f t="shared" ca="1" si="127"/>
        <v>#VALUE!</v>
      </c>
      <c r="AH247" t="e">
        <f ca="1">IF(V32="Supercritical",L247,IF(V32="Subcritical",W247,IF(AND(V247=1,AG247=1),IF(T247&gt;=AE247,L247,W247),IF(V247=1,L247,IF(AG247=1,W247,MAX($D$16,POWER((ABS(K247)^2)/($I$5*MAX(F247,0.1)^2),1/3)))))))</f>
        <v>#VALUE!</v>
      </c>
      <c r="AI247" t="e">
        <f t="shared" ca="1" si="128"/>
        <v>#VALUE!</v>
      </c>
      <c r="AJ247" t="e">
        <f t="shared" ca="1" si="129"/>
        <v>#VALUE!</v>
      </c>
      <c r="AM247">
        <v>0</v>
      </c>
      <c r="AN247">
        <v>0</v>
      </c>
      <c r="AO247">
        <f t="shared" si="130"/>
        <v>0</v>
      </c>
      <c r="AP247">
        <f t="shared" si="139"/>
        <v>0</v>
      </c>
      <c r="AQ247" t="e">
        <f t="shared" ca="1" si="131"/>
        <v>#VALUE!</v>
      </c>
      <c r="AR247" t="e">
        <f t="shared" ca="1" si="132"/>
        <v>#VALUE!</v>
      </c>
      <c r="AS247" t="e">
        <f t="shared" ca="1" si="133"/>
        <v>#VALUE!</v>
      </c>
    </row>
    <row r="248" spans="1:45" x14ac:dyDescent="0.35">
      <c r="A248">
        <v>99</v>
      </c>
      <c r="B248">
        <v>97.974000000000004</v>
      </c>
      <c r="C248">
        <v>616485.51699999999</v>
      </c>
      <c r="D248">
        <v>3097697.16</v>
      </c>
      <c r="E248">
        <v>632.51599999999996</v>
      </c>
      <c r="F248">
        <v>5.4820000000000002</v>
      </c>
      <c r="G248">
        <v>0</v>
      </c>
      <c r="H248" t="s">
        <v>191</v>
      </c>
      <c r="I248">
        <v>0.05</v>
      </c>
      <c r="J248">
        <f t="shared" si="134"/>
        <v>1</v>
      </c>
      <c r="K248">
        <f t="shared" si="135"/>
        <v>51</v>
      </c>
      <c r="L248" t="e">
        <f t="shared" ca="1" si="136"/>
        <v>#VALUE!</v>
      </c>
      <c r="M248" t="e">
        <f t="shared" ca="1" si="109"/>
        <v>#VALUE!</v>
      </c>
      <c r="N248" t="e">
        <f t="shared" ca="1" si="110"/>
        <v>#VALUE!</v>
      </c>
      <c r="O248" t="e">
        <f t="shared" ca="1" si="111"/>
        <v>#VALUE!</v>
      </c>
      <c r="P248" t="e">
        <f t="shared" ca="1" si="112"/>
        <v>#VALUE!</v>
      </c>
      <c r="Q248" t="e">
        <f t="shared" ca="1" si="113"/>
        <v>#VALUE!</v>
      </c>
      <c r="R248" t="e">
        <f t="shared" ca="1" si="114"/>
        <v>#VALUE!</v>
      </c>
      <c r="S248" t="e">
        <f t="shared" ca="1" si="115"/>
        <v>#VALUE!</v>
      </c>
      <c r="T248" t="e">
        <f t="shared" ca="1" si="116"/>
        <v>#VALUE!</v>
      </c>
      <c r="U248" t="e">
        <f t="shared" ca="1" si="137"/>
        <v>#VALUE!</v>
      </c>
      <c r="V248" t="e">
        <f t="shared" ca="1" si="138"/>
        <v>#VALUE!</v>
      </c>
      <c r="W248" t="e">
        <f t="shared" ca="1" si="117"/>
        <v>#VALUE!</v>
      </c>
      <c r="X248" t="e">
        <f t="shared" ca="1" si="118"/>
        <v>#VALUE!</v>
      </c>
      <c r="Y248" t="e">
        <f t="shared" ca="1" si="119"/>
        <v>#VALUE!</v>
      </c>
      <c r="Z248" t="e">
        <f t="shared" ca="1" si="120"/>
        <v>#VALUE!</v>
      </c>
      <c r="AA248" t="e">
        <f t="shared" ca="1" si="121"/>
        <v>#VALUE!</v>
      </c>
      <c r="AB248" t="e">
        <f t="shared" ca="1" si="122"/>
        <v>#VALUE!</v>
      </c>
      <c r="AC248" t="e">
        <f t="shared" ca="1" si="123"/>
        <v>#VALUE!</v>
      </c>
      <c r="AD248" t="e">
        <f t="shared" ca="1" si="124"/>
        <v>#VALUE!</v>
      </c>
      <c r="AE248" t="e">
        <f t="shared" ca="1" si="125"/>
        <v>#VALUE!</v>
      </c>
      <c r="AF248" t="e">
        <f t="shared" ca="1" si="126"/>
        <v>#VALUE!</v>
      </c>
      <c r="AG248" t="e">
        <f t="shared" ca="1" si="127"/>
        <v>#VALUE!</v>
      </c>
      <c r="AH248" t="e">
        <f ca="1">IF(V32="Supercritical",L248,IF(V32="Subcritical",W248,IF(AND(V248=1,AG248=1),IF(T248&gt;=AE248,L248,W248),IF(V248=1,L248,IF(AG248=1,W248,MAX($D$16,POWER((ABS(K248)^2)/($I$5*MAX(F248,0.1)^2),1/3)))))))</f>
        <v>#VALUE!</v>
      </c>
      <c r="AI248" t="e">
        <f t="shared" ca="1" si="128"/>
        <v>#VALUE!</v>
      </c>
      <c r="AJ248" t="e">
        <f t="shared" ca="1" si="129"/>
        <v>#VALUE!</v>
      </c>
      <c r="AM248">
        <v>0</v>
      </c>
      <c r="AN248">
        <v>0</v>
      </c>
      <c r="AO248">
        <f t="shared" si="130"/>
        <v>0</v>
      </c>
      <c r="AP248">
        <f t="shared" si="139"/>
        <v>0</v>
      </c>
      <c r="AQ248" t="e">
        <f t="shared" ca="1" si="131"/>
        <v>#VALUE!</v>
      </c>
      <c r="AR248" t="e">
        <f t="shared" ca="1" si="132"/>
        <v>#VALUE!</v>
      </c>
      <c r="AS248" t="e">
        <f t="shared" ca="1" si="133"/>
        <v>#VALUE!</v>
      </c>
    </row>
    <row r="249" spans="1:45" x14ac:dyDescent="0.35">
      <c r="A249">
        <v>100</v>
      </c>
      <c r="B249">
        <v>98.974000000000004</v>
      </c>
      <c r="C249">
        <v>616484.64099999995</v>
      </c>
      <c r="D249">
        <v>3097696.6779999998</v>
      </c>
      <c r="E249">
        <v>632.51400000000001</v>
      </c>
      <c r="F249">
        <v>5.593</v>
      </c>
      <c r="G249">
        <v>0</v>
      </c>
      <c r="H249" t="s">
        <v>191</v>
      </c>
      <c r="I249">
        <v>0</v>
      </c>
      <c r="J249">
        <f t="shared" si="134"/>
        <v>1</v>
      </c>
      <c r="K249">
        <f t="shared" si="135"/>
        <v>51</v>
      </c>
      <c r="L249" t="e">
        <f t="shared" ca="1" si="136"/>
        <v>#VALUE!</v>
      </c>
      <c r="M249" t="e">
        <f t="shared" ca="1" si="109"/>
        <v>#VALUE!</v>
      </c>
      <c r="N249" t="e">
        <f t="shared" ca="1" si="110"/>
        <v>#VALUE!</v>
      </c>
      <c r="O249" t="e">
        <f t="shared" ca="1" si="111"/>
        <v>#VALUE!</v>
      </c>
      <c r="P249" t="e">
        <f t="shared" ca="1" si="112"/>
        <v>#VALUE!</v>
      </c>
      <c r="Q249" t="e">
        <f t="shared" ca="1" si="113"/>
        <v>#VALUE!</v>
      </c>
      <c r="R249" t="e">
        <f t="shared" ca="1" si="114"/>
        <v>#VALUE!</v>
      </c>
      <c r="S249" t="e">
        <f t="shared" ca="1" si="115"/>
        <v>#VALUE!</v>
      </c>
      <c r="T249" t="e">
        <f t="shared" ca="1" si="116"/>
        <v>#VALUE!</v>
      </c>
      <c r="U249" t="e">
        <f t="shared" ca="1" si="137"/>
        <v>#VALUE!</v>
      </c>
      <c r="V249" t="e">
        <f t="shared" ca="1" si="138"/>
        <v>#VALUE!</v>
      </c>
      <c r="W249" t="e">
        <f t="shared" ca="1" si="117"/>
        <v>#VALUE!</v>
      </c>
      <c r="X249" t="e">
        <f t="shared" ca="1" si="118"/>
        <v>#VALUE!</v>
      </c>
      <c r="Y249" t="e">
        <f t="shared" ca="1" si="119"/>
        <v>#VALUE!</v>
      </c>
      <c r="Z249" t="e">
        <f t="shared" ca="1" si="120"/>
        <v>#VALUE!</v>
      </c>
      <c r="AA249" t="e">
        <f t="shared" ca="1" si="121"/>
        <v>#VALUE!</v>
      </c>
      <c r="AB249" t="e">
        <f t="shared" ca="1" si="122"/>
        <v>#VALUE!</v>
      </c>
      <c r="AC249" t="e">
        <f t="shared" ca="1" si="123"/>
        <v>#VALUE!</v>
      </c>
      <c r="AD249" t="e">
        <f t="shared" ca="1" si="124"/>
        <v>#VALUE!</v>
      </c>
      <c r="AE249" t="e">
        <f t="shared" ca="1" si="125"/>
        <v>#VALUE!</v>
      </c>
      <c r="AF249" t="e">
        <f t="shared" ca="1" si="126"/>
        <v>#VALUE!</v>
      </c>
      <c r="AG249" t="e">
        <f t="shared" ca="1" si="127"/>
        <v>#VALUE!</v>
      </c>
      <c r="AH249" t="e">
        <f ca="1">IF(V32="Supercritical",L249,IF(V32="Subcritical",W249,IF(AND(V249=1,AG249=1),IF(T249&gt;=AE249,L249,W249),IF(V249=1,L249,IF(AG249=1,W249,MAX($D$16,POWER((ABS(K249)^2)/($I$5*MAX(F249,0.1)^2),1/3)))))))</f>
        <v>#VALUE!</v>
      </c>
      <c r="AI249" t="e">
        <f t="shared" ca="1" si="128"/>
        <v>#VALUE!</v>
      </c>
      <c r="AJ249" t="e">
        <f t="shared" ca="1" si="129"/>
        <v>#VALUE!</v>
      </c>
      <c r="AM249">
        <v>0</v>
      </c>
      <c r="AN249">
        <v>0</v>
      </c>
      <c r="AO249">
        <f t="shared" si="130"/>
        <v>0</v>
      </c>
      <c r="AP249">
        <f t="shared" si="139"/>
        <v>0</v>
      </c>
      <c r="AQ249" t="e">
        <f t="shared" ca="1" si="131"/>
        <v>#VALUE!</v>
      </c>
      <c r="AR249" t="e">
        <f t="shared" ca="1" si="132"/>
        <v>#VALUE!</v>
      </c>
      <c r="AS249" t="e">
        <f t="shared" ca="1" si="133"/>
        <v>#VALUE!</v>
      </c>
    </row>
    <row r="250" spans="1:45" x14ac:dyDescent="0.35">
      <c r="A250">
        <v>101</v>
      </c>
      <c r="B250">
        <v>99.974000000000004</v>
      </c>
      <c r="C250">
        <v>616483.76500000001</v>
      </c>
      <c r="D250">
        <v>3097696.196</v>
      </c>
      <c r="E250">
        <v>632.51199999999994</v>
      </c>
      <c r="F250">
        <v>5.7089999999999996</v>
      </c>
      <c r="G250">
        <v>0</v>
      </c>
      <c r="H250" t="s">
        <v>191</v>
      </c>
      <c r="I250">
        <v>12.302</v>
      </c>
      <c r="J250">
        <f t="shared" si="134"/>
        <v>1</v>
      </c>
      <c r="K250">
        <f t="shared" si="135"/>
        <v>51</v>
      </c>
      <c r="L250" t="e">
        <f t="shared" ca="1" si="136"/>
        <v>#VALUE!</v>
      </c>
      <c r="M250" t="e">
        <f t="shared" ca="1" si="109"/>
        <v>#VALUE!</v>
      </c>
      <c r="N250" t="e">
        <f t="shared" ca="1" si="110"/>
        <v>#VALUE!</v>
      </c>
      <c r="O250" t="e">
        <f t="shared" ca="1" si="111"/>
        <v>#VALUE!</v>
      </c>
      <c r="P250" t="e">
        <f t="shared" ca="1" si="112"/>
        <v>#VALUE!</v>
      </c>
      <c r="Q250" t="e">
        <f t="shared" ca="1" si="113"/>
        <v>#VALUE!</v>
      </c>
      <c r="R250" t="e">
        <f t="shared" ca="1" si="114"/>
        <v>#VALUE!</v>
      </c>
      <c r="S250" t="e">
        <f t="shared" ca="1" si="115"/>
        <v>#VALUE!</v>
      </c>
      <c r="T250" t="e">
        <f t="shared" ca="1" si="116"/>
        <v>#VALUE!</v>
      </c>
      <c r="U250" t="e">
        <f t="shared" ca="1" si="137"/>
        <v>#VALUE!</v>
      </c>
      <c r="V250" t="e">
        <f t="shared" ca="1" si="138"/>
        <v>#VALUE!</v>
      </c>
      <c r="W250" t="e">
        <f t="shared" ca="1" si="117"/>
        <v>#VALUE!</v>
      </c>
      <c r="X250" t="e">
        <f t="shared" ca="1" si="118"/>
        <v>#VALUE!</v>
      </c>
      <c r="Y250" t="e">
        <f t="shared" ca="1" si="119"/>
        <v>#VALUE!</v>
      </c>
      <c r="Z250" t="e">
        <f t="shared" ca="1" si="120"/>
        <v>#VALUE!</v>
      </c>
      <c r="AA250" t="e">
        <f t="shared" ca="1" si="121"/>
        <v>#VALUE!</v>
      </c>
      <c r="AB250" t="e">
        <f t="shared" ca="1" si="122"/>
        <v>#VALUE!</v>
      </c>
      <c r="AC250" t="e">
        <f t="shared" ca="1" si="123"/>
        <v>#VALUE!</v>
      </c>
      <c r="AD250" t="e">
        <f t="shared" ca="1" si="124"/>
        <v>#VALUE!</v>
      </c>
      <c r="AE250" t="e">
        <f t="shared" ca="1" si="125"/>
        <v>#VALUE!</v>
      </c>
      <c r="AF250" t="e">
        <f t="shared" ca="1" si="126"/>
        <v>#VALUE!</v>
      </c>
      <c r="AG250" t="e">
        <f t="shared" ca="1" si="127"/>
        <v>#VALUE!</v>
      </c>
      <c r="AH250" t="e">
        <f ca="1">IF(V32="Supercritical",L250,IF(V32="Subcritical",W250,IF(AND(V250=1,AG250=1),IF(T250&gt;=AE250,L250,W250),IF(V250=1,L250,IF(AG250=1,W250,MAX($D$16,POWER((ABS(K250)^2)/($I$5*MAX(F250,0.1)^2),1/3)))))))</f>
        <v>#VALUE!</v>
      </c>
      <c r="AI250" t="e">
        <f t="shared" ca="1" si="128"/>
        <v>#VALUE!</v>
      </c>
      <c r="AJ250" t="e">
        <f t="shared" ca="1" si="129"/>
        <v>#VALUE!</v>
      </c>
      <c r="AM250">
        <v>0</v>
      </c>
      <c r="AN250">
        <v>0</v>
      </c>
      <c r="AO250">
        <f t="shared" si="130"/>
        <v>0</v>
      </c>
      <c r="AP250">
        <f t="shared" si="139"/>
        <v>0</v>
      </c>
      <c r="AQ250" t="e">
        <f t="shared" ca="1" si="131"/>
        <v>#VALUE!</v>
      </c>
      <c r="AR250" t="e">
        <f t="shared" ca="1" si="132"/>
        <v>#VALUE!</v>
      </c>
      <c r="AS250" t="e">
        <f t="shared" ca="1" si="133"/>
        <v>#VALUE!</v>
      </c>
    </row>
    <row r="251" spans="1:45" x14ac:dyDescent="0.35">
      <c r="A251">
        <v>102</v>
      </c>
      <c r="B251">
        <v>100.94799999999999</v>
      </c>
      <c r="C251">
        <v>616482.83100000001</v>
      </c>
      <c r="D251">
        <v>3097695.9190000002</v>
      </c>
      <c r="E251">
        <v>632.51149999999996</v>
      </c>
      <c r="F251">
        <v>5.2</v>
      </c>
      <c r="G251">
        <v>0</v>
      </c>
      <c r="H251" t="s">
        <v>191</v>
      </c>
      <c r="I251">
        <v>13.824999999999999</v>
      </c>
      <c r="J251">
        <f t="shared" si="134"/>
        <v>0.97399999999998954</v>
      </c>
      <c r="K251">
        <f t="shared" si="135"/>
        <v>51</v>
      </c>
      <c r="L251" t="e">
        <f t="shared" ca="1" si="136"/>
        <v>#VALUE!</v>
      </c>
      <c r="M251" t="e">
        <f t="shared" ca="1" si="109"/>
        <v>#VALUE!</v>
      </c>
      <c r="N251" t="e">
        <f t="shared" ca="1" si="110"/>
        <v>#VALUE!</v>
      </c>
      <c r="O251" t="e">
        <f t="shared" ca="1" si="111"/>
        <v>#VALUE!</v>
      </c>
      <c r="P251" t="e">
        <f t="shared" ca="1" si="112"/>
        <v>#VALUE!</v>
      </c>
      <c r="Q251" t="e">
        <f t="shared" ca="1" si="113"/>
        <v>#VALUE!</v>
      </c>
      <c r="R251" t="e">
        <f t="shared" ca="1" si="114"/>
        <v>#VALUE!</v>
      </c>
      <c r="S251" t="e">
        <f t="shared" ca="1" si="115"/>
        <v>#VALUE!</v>
      </c>
      <c r="T251" t="e">
        <f t="shared" ca="1" si="116"/>
        <v>#VALUE!</v>
      </c>
      <c r="U251" t="e">
        <f t="shared" ca="1" si="137"/>
        <v>#VALUE!</v>
      </c>
      <c r="V251" t="e">
        <f t="shared" ca="1" si="138"/>
        <v>#VALUE!</v>
      </c>
      <c r="W251" t="e">
        <f t="shared" ca="1" si="117"/>
        <v>#VALUE!</v>
      </c>
      <c r="X251" t="e">
        <f t="shared" ca="1" si="118"/>
        <v>#VALUE!</v>
      </c>
      <c r="Y251" t="e">
        <f t="shared" ca="1" si="119"/>
        <v>#VALUE!</v>
      </c>
      <c r="Z251" t="e">
        <f t="shared" ca="1" si="120"/>
        <v>#VALUE!</v>
      </c>
      <c r="AA251" t="e">
        <f t="shared" ca="1" si="121"/>
        <v>#VALUE!</v>
      </c>
      <c r="AB251" t="e">
        <f t="shared" ca="1" si="122"/>
        <v>#VALUE!</v>
      </c>
      <c r="AC251" t="e">
        <f t="shared" ca="1" si="123"/>
        <v>#VALUE!</v>
      </c>
      <c r="AD251" t="e">
        <f t="shared" ca="1" si="124"/>
        <v>#VALUE!</v>
      </c>
      <c r="AE251" t="e">
        <f t="shared" ca="1" si="125"/>
        <v>#VALUE!</v>
      </c>
      <c r="AF251" t="e">
        <f t="shared" ca="1" si="126"/>
        <v>#VALUE!</v>
      </c>
      <c r="AG251" t="e">
        <f t="shared" ca="1" si="127"/>
        <v>#VALUE!</v>
      </c>
      <c r="AH251" t="e">
        <f ca="1">IF(V32="Supercritical",L251,IF(V32="Subcritical",W251,IF(AND(V251=1,AG251=1),IF(T251&gt;=AE251,L251,W251),IF(V251=1,L251,IF(AG251=1,W251,MAX($D$16,POWER((ABS(K251)^2)/($I$5*MAX(F251,0.1)^2),1/3)))))))</f>
        <v>#VALUE!</v>
      </c>
      <c r="AI251" t="e">
        <f t="shared" ca="1" si="128"/>
        <v>#VALUE!</v>
      </c>
      <c r="AJ251" t="e">
        <f t="shared" ca="1" si="129"/>
        <v>#VALUE!</v>
      </c>
      <c r="AM251">
        <v>0</v>
      </c>
      <c r="AN251">
        <v>0</v>
      </c>
      <c r="AO251">
        <f t="shared" si="130"/>
        <v>0</v>
      </c>
      <c r="AP251">
        <f t="shared" si="139"/>
        <v>0</v>
      </c>
      <c r="AQ251" t="e">
        <f t="shared" ca="1" si="131"/>
        <v>#VALUE!</v>
      </c>
      <c r="AR251" t="e">
        <f t="shared" ca="1" si="132"/>
        <v>#VALUE!</v>
      </c>
      <c r="AS251" t="e">
        <f t="shared" ca="1" si="133"/>
        <v>#VALUE!</v>
      </c>
    </row>
    <row r="252" spans="1:45" x14ac:dyDescent="0.35">
      <c r="A252">
        <v>103</v>
      </c>
      <c r="B252">
        <v>101.94799999999999</v>
      </c>
      <c r="C252">
        <v>616481.83200000005</v>
      </c>
      <c r="D252">
        <v>3097695.872</v>
      </c>
      <c r="E252">
        <v>632.51099999999997</v>
      </c>
      <c r="F252">
        <v>5.2</v>
      </c>
      <c r="G252">
        <v>0</v>
      </c>
      <c r="H252" t="s">
        <v>191</v>
      </c>
      <c r="I252">
        <v>5.7000000000000002E-2</v>
      </c>
      <c r="J252">
        <f t="shared" si="134"/>
        <v>1</v>
      </c>
      <c r="K252">
        <f t="shared" si="135"/>
        <v>51</v>
      </c>
      <c r="L252" t="e">
        <f t="shared" ca="1" si="136"/>
        <v>#VALUE!</v>
      </c>
      <c r="M252" t="e">
        <f t="shared" ca="1" si="109"/>
        <v>#VALUE!</v>
      </c>
      <c r="N252" t="e">
        <f t="shared" ca="1" si="110"/>
        <v>#VALUE!</v>
      </c>
      <c r="O252" t="e">
        <f t="shared" ca="1" si="111"/>
        <v>#VALUE!</v>
      </c>
      <c r="P252" t="e">
        <f t="shared" ca="1" si="112"/>
        <v>#VALUE!</v>
      </c>
      <c r="Q252" t="e">
        <f t="shared" ca="1" si="113"/>
        <v>#VALUE!</v>
      </c>
      <c r="R252" t="e">
        <f t="shared" ca="1" si="114"/>
        <v>#VALUE!</v>
      </c>
      <c r="S252" t="e">
        <f t="shared" ca="1" si="115"/>
        <v>#VALUE!</v>
      </c>
      <c r="T252" t="e">
        <f t="shared" ca="1" si="116"/>
        <v>#VALUE!</v>
      </c>
      <c r="U252" t="e">
        <f t="shared" ca="1" si="137"/>
        <v>#VALUE!</v>
      </c>
      <c r="V252" t="e">
        <f t="shared" ca="1" si="138"/>
        <v>#VALUE!</v>
      </c>
      <c r="W252" t="e">
        <f t="shared" ca="1" si="117"/>
        <v>#VALUE!</v>
      </c>
      <c r="X252" t="e">
        <f t="shared" ca="1" si="118"/>
        <v>#VALUE!</v>
      </c>
      <c r="Y252" t="e">
        <f t="shared" ca="1" si="119"/>
        <v>#VALUE!</v>
      </c>
      <c r="Z252" t="e">
        <f t="shared" ca="1" si="120"/>
        <v>#VALUE!</v>
      </c>
      <c r="AA252" t="e">
        <f t="shared" ca="1" si="121"/>
        <v>#VALUE!</v>
      </c>
      <c r="AB252" t="e">
        <f t="shared" ca="1" si="122"/>
        <v>#VALUE!</v>
      </c>
      <c r="AC252" t="e">
        <f t="shared" ca="1" si="123"/>
        <v>#VALUE!</v>
      </c>
      <c r="AD252" t="e">
        <f t="shared" ca="1" si="124"/>
        <v>#VALUE!</v>
      </c>
      <c r="AE252" t="e">
        <f t="shared" ca="1" si="125"/>
        <v>#VALUE!</v>
      </c>
      <c r="AF252" t="e">
        <f t="shared" ca="1" si="126"/>
        <v>#VALUE!</v>
      </c>
      <c r="AG252" t="e">
        <f t="shared" ca="1" si="127"/>
        <v>#VALUE!</v>
      </c>
      <c r="AH252" t="e">
        <f ca="1">IF(V32="Supercritical",L252,IF(V32="Subcritical",W252,IF(AND(V252=1,AG252=1),IF(T252&gt;=AE252,L252,W252),IF(V252=1,L252,IF(AG252=1,W252,MAX($D$16,POWER((ABS(K252)^2)/($I$5*MAX(F252,0.1)^2),1/3)))))))</f>
        <v>#VALUE!</v>
      </c>
      <c r="AI252" t="e">
        <f t="shared" ca="1" si="128"/>
        <v>#VALUE!</v>
      </c>
      <c r="AJ252" t="e">
        <f t="shared" ca="1" si="129"/>
        <v>#VALUE!</v>
      </c>
      <c r="AM252">
        <v>0</v>
      </c>
      <c r="AN252">
        <v>0</v>
      </c>
      <c r="AO252">
        <f t="shared" si="130"/>
        <v>0</v>
      </c>
      <c r="AP252">
        <f t="shared" si="139"/>
        <v>0</v>
      </c>
      <c r="AQ252" t="e">
        <f t="shared" ca="1" si="131"/>
        <v>#VALUE!</v>
      </c>
      <c r="AR252" t="e">
        <f t="shared" ca="1" si="132"/>
        <v>#VALUE!</v>
      </c>
      <c r="AS252" t="e">
        <f t="shared" ca="1" si="133"/>
        <v>#VALUE!</v>
      </c>
    </row>
    <row r="253" spans="1:45" x14ac:dyDescent="0.35">
      <c r="A253">
        <v>104</v>
      </c>
      <c r="B253">
        <v>102.94799999999999</v>
      </c>
      <c r="C253">
        <v>616480.83299999998</v>
      </c>
      <c r="D253">
        <v>3097695.824</v>
      </c>
      <c r="E253">
        <v>632.51049999999998</v>
      </c>
      <c r="F253">
        <v>5.2</v>
      </c>
      <c r="G253">
        <v>0</v>
      </c>
      <c r="H253" t="s">
        <v>191</v>
      </c>
      <c r="I253">
        <v>0</v>
      </c>
      <c r="J253">
        <f t="shared" si="134"/>
        <v>1</v>
      </c>
      <c r="K253">
        <f t="shared" si="135"/>
        <v>51</v>
      </c>
      <c r="L253" t="e">
        <f t="shared" ca="1" si="136"/>
        <v>#VALUE!</v>
      </c>
      <c r="M253" t="e">
        <f t="shared" ca="1" si="109"/>
        <v>#VALUE!</v>
      </c>
      <c r="N253" t="e">
        <f t="shared" ca="1" si="110"/>
        <v>#VALUE!</v>
      </c>
      <c r="O253" t="e">
        <f t="shared" ca="1" si="111"/>
        <v>#VALUE!</v>
      </c>
      <c r="P253" t="e">
        <f t="shared" ca="1" si="112"/>
        <v>#VALUE!</v>
      </c>
      <c r="Q253" t="e">
        <f t="shared" ca="1" si="113"/>
        <v>#VALUE!</v>
      </c>
      <c r="R253" t="e">
        <f t="shared" ca="1" si="114"/>
        <v>#VALUE!</v>
      </c>
      <c r="S253" t="e">
        <f t="shared" ca="1" si="115"/>
        <v>#VALUE!</v>
      </c>
      <c r="T253" t="e">
        <f t="shared" ca="1" si="116"/>
        <v>#VALUE!</v>
      </c>
      <c r="U253" t="e">
        <f t="shared" ca="1" si="137"/>
        <v>#VALUE!</v>
      </c>
      <c r="V253" t="e">
        <f t="shared" ca="1" si="138"/>
        <v>#VALUE!</v>
      </c>
      <c r="W253" t="e">
        <f t="shared" ca="1" si="117"/>
        <v>#VALUE!</v>
      </c>
      <c r="X253" t="e">
        <f t="shared" ca="1" si="118"/>
        <v>#VALUE!</v>
      </c>
      <c r="Y253" t="e">
        <f t="shared" ca="1" si="119"/>
        <v>#VALUE!</v>
      </c>
      <c r="Z253" t="e">
        <f t="shared" ca="1" si="120"/>
        <v>#VALUE!</v>
      </c>
      <c r="AA253" t="e">
        <f t="shared" ca="1" si="121"/>
        <v>#VALUE!</v>
      </c>
      <c r="AB253" t="e">
        <f t="shared" ca="1" si="122"/>
        <v>#VALUE!</v>
      </c>
      <c r="AC253" t="e">
        <f t="shared" ca="1" si="123"/>
        <v>#VALUE!</v>
      </c>
      <c r="AD253" t="e">
        <f t="shared" ca="1" si="124"/>
        <v>#VALUE!</v>
      </c>
      <c r="AE253" t="e">
        <f t="shared" ca="1" si="125"/>
        <v>#VALUE!</v>
      </c>
      <c r="AF253" t="e">
        <f t="shared" ca="1" si="126"/>
        <v>#VALUE!</v>
      </c>
      <c r="AG253" t="e">
        <f t="shared" ca="1" si="127"/>
        <v>#VALUE!</v>
      </c>
      <c r="AH253" t="e">
        <f ca="1">IF(V32="Supercritical",L253,IF(V32="Subcritical",W253,IF(AND(V253=1,AG253=1),IF(T253&gt;=AE253,L253,W253),IF(V253=1,L253,IF(AG253=1,W253,MAX($D$16,POWER((ABS(K253)^2)/($I$5*MAX(F253,0.1)^2),1/3)))))))</f>
        <v>#VALUE!</v>
      </c>
      <c r="AI253" t="e">
        <f t="shared" ca="1" si="128"/>
        <v>#VALUE!</v>
      </c>
      <c r="AJ253" t="e">
        <f t="shared" ca="1" si="129"/>
        <v>#VALUE!</v>
      </c>
      <c r="AM253">
        <v>0</v>
      </c>
      <c r="AN253">
        <v>0</v>
      </c>
      <c r="AO253">
        <f t="shared" si="130"/>
        <v>0</v>
      </c>
      <c r="AP253">
        <f t="shared" si="139"/>
        <v>0</v>
      </c>
      <c r="AQ253" t="e">
        <f t="shared" ca="1" si="131"/>
        <v>#VALUE!</v>
      </c>
      <c r="AR253" t="e">
        <f t="shared" ca="1" si="132"/>
        <v>#VALUE!</v>
      </c>
      <c r="AS253" t="e">
        <f t="shared" ca="1" si="133"/>
        <v>#VALUE!</v>
      </c>
    </row>
    <row r="254" spans="1:45" x14ac:dyDescent="0.35">
      <c r="A254">
        <v>105</v>
      </c>
      <c r="B254">
        <v>103.949</v>
      </c>
      <c r="C254">
        <v>616479.83400000003</v>
      </c>
      <c r="D254">
        <v>3097695.7760000001</v>
      </c>
      <c r="E254">
        <v>632.51</v>
      </c>
      <c r="F254">
        <v>5.2</v>
      </c>
      <c r="G254">
        <v>0</v>
      </c>
      <c r="H254" t="s">
        <v>191</v>
      </c>
      <c r="I254">
        <v>5.5E-2</v>
      </c>
      <c r="J254">
        <f t="shared" si="134"/>
        <v>1.0010000000000048</v>
      </c>
      <c r="K254">
        <f t="shared" si="135"/>
        <v>51</v>
      </c>
      <c r="L254" t="e">
        <f t="shared" ca="1" si="136"/>
        <v>#VALUE!</v>
      </c>
      <c r="M254" t="e">
        <f t="shared" ca="1" si="109"/>
        <v>#VALUE!</v>
      </c>
      <c r="N254" t="e">
        <f t="shared" ca="1" si="110"/>
        <v>#VALUE!</v>
      </c>
      <c r="O254" t="e">
        <f t="shared" ca="1" si="111"/>
        <v>#VALUE!</v>
      </c>
      <c r="P254" t="e">
        <f t="shared" ca="1" si="112"/>
        <v>#VALUE!</v>
      </c>
      <c r="Q254" t="e">
        <f t="shared" ca="1" si="113"/>
        <v>#VALUE!</v>
      </c>
      <c r="R254" t="e">
        <f t="shared" ca="1" si="114"/>
        <v>#VALUE!</v>
      </c>
      <c r="S254" t="e">
        <f t="shared" ca="1" si="115"/>
        <v>#VALUE!</v>
      </c>
      <c r="T254" t="e">
        <f t="shared" ca="1" si="116"/>
        <v>#VALUE!</v>
      </c>
      <c r="U254" t="e">
        <f t="shared" ca="1" si="137"/>
        <v>#VALUE!</v>
      </c>
      <c r="V254" t="e">
        <f t="shared" ca="1" si="138"/>
        <v>#VALUE!</v>
      </c>
      <c r="W254" t="e">
        <f t="shared" ca="1" si="117"/>
        <v>#VALUE!</v>
      </c>
      <c r="X254" t="e">
        <f t="shared" ca="1" si="118"/>
        <v>#VALUE!</v>
      </c>
      <c r="Y254" t="e">
        <f t="shared" ca="1" si="119"/>
        <v>#VALUE!</v>
      </c>
      <c r="Z254" t="e">
        <f t="shared" ca="1" si="120"/>
        <v>#VALUE!</v>
      </c>
      <c r="AA254" t="e">
        <f t="shared" ca="1" si="121"/>
        <v>#VALUE!</v>
      </c>
      <c r="AB254" t="e">
        <f t="shared" ca="1" si="122"/>
        <v>#VALUE!</v>
      </c>
      <c r="AC254" t="e">
        <f t="shared" ca="1" si="123"/>
        <v>#VALUE!</v>
      </c>
      <c r="AD254" t="e">
        <f t="shared" ca="1" si="124"/>
        <v>#VALUE!</v>
      </c>
      <c r="AE254" t="e">
        <f t="shared" ca="1" si="125"/>
        <v>#VALUE!</v>
      </c>
      <c r="AF254" t="e">
        <f t="shared" ca="1" si="126"/>
        <v>#VALUE!</v>
      </c>
      <c r="AG254" t="e">
        <f t="shared" ca="1" si="127"/>
        <v>#VALUE!</v>
      </c>
      <c r="AH254" t="e">
        <f ca="1">IF(V32="Supercritical",L254,IF(V32="Subcritical",W254,IF(AND(V254=1,AG254=1),IF(T254&gt;=AE254,L254,W254),IF(V254=1,L254,IF(AG254=1,W254,MAX($D$16,POWER((ABS(K254)^2)/($I$5*MAX(F254,0.1)^2),1/3)))))))</f>
        <v>#VALUE!</v>
      </c>
      <c r="AI254" t="e">
        <f t="shared" ca="1" si="128"/>
        <v>#VALUE!</v>
      </c>
      <c r="AJ254" t="e">
        <f t="shared" ca="1" si="129"/>
        <v>#VALUE!</v>
      </c>
      <c r="AM254">
        <v>0</v>
      </c>
      <c r="AN254">
        <v>0</v>
      </c>
      <c r="AO254">
        <f t="shared" si="130"/>
        <v>0</v>
      </c>
      <c r="AP254">
        <f t="shared" si="139"/>
        <v>0</v>
      </c>
      <c r="AQ254" t="e">
        <f t="shared" ca="1" si="131"/>
        <v>#VALUE!</v>
      </c>
      <c r="AR254" t="e">
        <f t="shared" ca="1" si="132"/>
        <v>#VALUE!</v>
      </c>
      <c r="AS254" t="e">
        <f t="shared" ca="1" si="133"/>
        <v>#VALUE!</v>
      </c>
    </row>
    <row r="255" spans="1:45" x14ac:dyDescent="0.35">
      <c r="A255">
        <v>106</v>
      </c>
      <c r="B255">
        <v>104.94799999999999</v>
      </c>
      <c r="C255">
        <v>616478.83600000001</v>
      </c>
      <c r="D255">
        <v>3097695.7289999998</v>
      </c>
      <c r="E255">
        <v>632.5095</v>
      </c>
      <c r="F255">
        <v>5.2</v>
      </c>
      <c r="G255">
        <v>0</v>
      </c>
      <c r="H255" t="s">
        <v>191</v>
      </c>
      <c r="I255">
        <v>5.5E-2</v>
      </c>
      <c r="J255">
        <f t="shared" si="134"/>
        <v>0.99899999999999523</v>
      </c>
      <c r="K255">
        <f t="shared" si="135"/>
        <v>51</v>
      </c>
      <c r="L255" t="e">
        <f t="shared" ca="1" si="136"/>
        <v>#VALUE!</v>
      </c>
      <c r="M255" t="e">
        <f t="shared" ca="1" si="109"/>
        <v>#VALUE!</v>
      </c>
      <c r="N255" t="e">
        <f t="shared" ca="1" si="110"/>
        <v>#VALUE!</v>
      </c>
      <c r="O255" t="e">
        <f t="shared" ca="1" si="111"/>
        <v>#VALUE!</v>
      </c>
      <c r="P255" t="e">
        <f t="shared" ca="1" si="112"/>
        <v>#VALUE!</v>
      </c>
      <c r="Q255" t="e">
        <f t="shared" ca="1" si="113"/>
        <v>#VALUE!</v>
      </c>
      <c r="R255" t="e">
        <f t="shared" ca="1" si="114"/>
        <v>#VALUE!</v>
      </c>
      <c r="S255" t="e">
        <f t="shared" ca="1" si="115"/>
        <v>#VALUE!</v>
      </c>
      <c r="T255" t="e">
        <f t="shared" ca="1" si="116"/>
        <v>#VALUE!</v>
      </c>
      <c r="U255" t="e">
        <f t="shared" ca="1" si="137"/>
        <v>#VALUE!</v>
      </c>
      <c r="V255" t="e">
        <f t="shared" ca="1" si="138"/>
        <v>#VALUE!</v>
      </c>
      <c r="W255" t="e">
        <f t="shared" ca="1" si="117"/>
        <v>#VALUE!</v>
      </c>
      <c r="X255" t="e">
        <f t="shared" ca="1" si="118"/>
        <v>#VALUE!</v>
      </c>
      <c r="Y255" t="e">
        <f t="shared" ca="1" si="119"/>
        <v>#VALUE!</v>
      </c>
      <c r="Z255" t="e">
        <f t="shared" ca="1" si="120"/>
        <v>#VALUE!</v>
      </c>
      <c r="AA255" t="e">
        <f t="shared" ca="1" si="121"/>
        <v>#VALUE!</v>
      </c>
      <c r="AB255" t="e">
        <f t="shared" ca="1" si="122"/>
        <v>#VALUE!</v>
      </c>
      <c r="AC255" t="e">
        <f t="shared" ca="1" si="123"/>
        <v>#VALUE!</v>
      </c>
      <c r="AD255" t="e">
        <f t="shared" ca="1" si="124"/>
        <v>#VALUE!</v>
      </c>
      <c r="AE255" t="e">
        <f t="shared" ca="1" si="125"/>
        <v>#VALUE!</v>
      </c>
      <c r="AF255" t="e">
        <f t="shared" ca="1" si="126"/>
        <v>#VALUE!</v>
      </c>
      <c r="AG255" t="e">
        <f t="shared" ca="1" si="127"/>
        <v>#VALUE!</v>
      </c>
      <c r="AH255" t="e">
        <f ca="1">IF(V32="Supercritical",L255,IF(V32="Subcritical",W255,IF(AND(V255=1,AG255=1),IF(T255&gt;=AE255,L255,W255),IF(V255=1,L255,IF(AG255=1,W255,MAX($D$16,POWER((ABS(K255)^2)/($I$5*MAX(F255,0.1)^2),1/3)))))))</f>
        <v>#VALUE!</v>
      </c>
      <c r="AI255" t="e">
        <f t="shared" ca="1" si="128"/>
        <v>#VALUE!</v>
      </c>
      <c r="AJ255" t="e">
        <f t="shared" ca="1" si="129"/>
        <v>#VALUE!</v>
      </c>
      <c r="AM255">
        <v>0</v>
      </c>
      <c r="AN255">
        <v>0</v>
      </c>
      <c r="AO255">
        <f t="shared" si="130"/>
        <v>0</v>
      </c>
      <c r="AP255">
        <f t="shared" si="139"/>
        <v>0</v>
      </c>
      <c r="AQ255" t="e">
        <f t="shared" ca="1" si="131"/>
        <v>#VALUE!</v>
      </c>
      <c r="AR255" t="e">
        <f t="shared" ca="1" si="132"/>
        <v>#VALUE!</v>
      </c>
      <c r="AS255" t="e">
        <f t="shared" ca="1" si="133"/>
        <v>#VALUE!</v>
      </c>
    </row>
    <row r="256" spans="1:45" x14ac:dyDescent="0.35">
      <c r="A256">
        <v>107</v>
      </c>
      <c r="B256">
        <v>105.94799999999999</v>
      </c>
      <c r="C256">
        <v>616477.83700000006</v>
      </c>
      <c r="D256">
        <v>3097695.6809999999</v>
      </c>
      <c r="E256">
        <v>632.50900000000001</v>
      </c>
      <c r="F256">
        <v>5.2</v>
      </c>
      <c r="G256">
        <v>0</v>
      </c>
      <c r="H256" t="s">
        <v>191</v>
      </c>
      <c r="I256">
        <v>0</v>
      </c>
      <c r="J256">
        <f t="shared" si="134"/>
        <v>1</v>
      </c>
      <c r="K256">
        <f t="shared" si="135"/>
        <v>51</v>
      </c>
      <c r="L256" t="e">
        <f t="shared" ca="1" si="136"/>
        <v>#VALUE!</v>
      </c>
      <c r="M256" t="e">
        <f t="shared" ca="1" si="109"/>
        <v>#VALUE!</v>
      </c>
      <c r="N256" t="e">
        <f t="shared" ca="1" si="110"/>
        <v>#VALUE!</v>
      </c>
      <c r="O256" t="e">
        <f t="shared" ca="1" si="111"/>
        <v>#VALUE!</v>
      </c>
      <c r="P256" t="e">
        <f t="shared" ca="1" si="112"/>
        <v>#VALUE!</v>
      </c>
      <c r="Q256" t="e">
        <f t="shared" ca="1" si="113"/>
        <v>#VALUE!</v>
      </c>
      <c r="R256" t="e">
        <f t="shared" ca="1" si="114"/>
        <v>#VALUE!</v>
      </c>
      <c r="S256" t="e">
        <f t="shared" ca="1" si="115"/>
        <v>#VALUE!</v>
      </c>
      <c r="T256" t="e">
        <f t="shared" ca="1" si="116"/>
        <v>#VALUE!</v>
      </c>
      <c r="U256" t="e">
        <f t="shared" ca="1" si="137"/>
        <v>#VALUE!</v>
      </c>
      <c r="V256" t="e">
        <f t="shared" ca="1" si="138"/>
        <v>#VALUE!</v>
      </c>
      <c r="W256" t="e">
        <f t="shared" ca="1" si="117"/>
        <v>#VALUE!</v>
      </c>
      <c r="X256" t="e">
        <f t="shared" ca="1" si="118"/>
        <v>#VALUE!</v>
      </c>
      <c r="Y256" t="e">
        <f t="shared" ca="1" si="119"/>
        <v>#VALUE!</v>
      </c>
      <c r="Z256" t="e">
        <f t="shared" ca="1" si="120"/>
        <v>#VALUE!</v>
      </c>
      <c r="AA256" t="e">
        <f t="shared" ca="1" si="121"/>
        <v>#VALUE!</v>
      </c>
      <c r="AB256" t="e">
        <f t="shared" ca="1" si="122"/>
        <v>#VALUE!</v>
      </c>
      <c r="AC256" t="e">
        <f t="shared" ca="1" si="123"/>
        <v>#VALUE!</v>
      </c>
      <c r="AD256" t="e">
        <f t="shared" ca="1" si="124"/>
        <v>#VALUE!</v>
      </c>
      <c r="AE256" t="e">
        <f t="shared" ca="1" si="125"/>
        <v>#VALUE!</v>
      </c>
      <c r="AF256" t="e">
        <f t="shared" ca="1" si="126"/>
        <v>#VALUE!</v>
      </c>
      <c r="AG256" t="e">
        <f t="shared" ca="1" si="127"/>
        <v>#VALUE!</v>
      </c>
      <c r="AH256" t="e">
        <f ca="1">IF(V32="Supercritical",L256,IF(V32="Subcritical",W256,IF(AND(V256=1,AG256=1),IF(T256&gt;=AE256,L256,W256),IF(V256=1,L256,IF(AG256=1,W256,MAX($D$16,POWER((ABS(K256)^2)/($I$5*MAX(F256,0.1)^2),1/3)))))))</f>
        <v>#VALUE!</v>
      </c>
      <c r="AI256" t="e">
        <f t="shared" ca="1" si="128"/>
        <v>#VALUE!</v>
      </c>
      <c r="AJ256" t="e">
        <f t="shared" ca="1" si="129"/>
        <v>#VALUE!</v>
      </c>
      <c r="AM256">
        <v>0</v>
      </c>
      <c r="AN256">
        <v>0</v>
      </c>
      <c r="AO256">
        <f t="shared" si="130"/>
        <v>0</v>
      </c>
      <c r="AP256">
        <f t="shared" si="139"/>
        <v>0</v>
      </c>
      <c r="AQ256" t="e">
        <f t="shared" ca="1" si="131"/>
        <v>#VALUE!</v>
      </c>
      <c r="AR256" t="e">
        <f t="shared" ca="1" si="132"/>
        <v>#VALUE!</v>
      </c>
      <c r="AS256" t="e">
        <f t="shared" ca="1" si="133"/>
        <v>#VALUE!</v>
      </c>
    </row>
    <row r="257" spans="1:45" x14ac:dyDescent="0.35">
      <c r="A257">
        <v>108</v>
      </c>
      <c r="B257">
        <v>106.94799999999999</v>
      </c>
      <c r="C257">
        <v>616476.83799999999</v>
      </c>
      <c r="D257">
        <v>3097695.6329999999</v>
      </c>
      <c r="E257">
        <v>632.50850000000003</v>
      </c>
      <c r="F257">
        <v>5.2</v>
      </c>
      <c r="G257">
        <v>0</v>
      </c>
      <c r="H257" t="s">
        <v>191</v>
      </c>
      <c r="I257">
        <v>5.7000000000000002E-2</v>
      </c>
      <c r="J257">
        <f t="shared" si="134"/>
        <v>1</v>
      </c>
      <c r="K257">
        <f t="shared" si="135"/>
        <v>51</v>
      </c>
      <c r="L257" t="e">
        <f t="shared" ca="1" si="136"/>
        <v>#VALUE!</v>
      </c>
      <c r="M257" t="e">
        <f t="shared" ca="1" si="109"/>
        <v>#VALUE!</v>
      </c>
      <c r="N257" t="e">
        <f t="shared" ca="1" si="110"/>
        <v>#VALUE!</v>
      </c>
      <c r="O257" t="e">
        <f t="shared" ca="1" si="111"/>
        <v>#VALUE!</v>
      </c>
      <c r="P257" t="e">
        <f t="shared" ca="1" si="112"/>
        <v>#VALUE!</v>
      </c>
      <c r="Q257" t="e">
        <f t="shared" ca="1" si="113"/>
        <v>#VALUE!</v>
      </c>
      <c r="R257" t="e">
        <f t="shared" ca="1" si="114"/>
        <v>#VALUE!</v>
      </c>
      <c r="S257" t="e">
        <f t="shared" ca="1" si="115"/>
        <v>#VALUE!</v>
      </c>
      <c r="T257" t="e">
        <f t="shared" ca="1" si="116"/>
        <v>#VALUE!</v>
      </c>
      <c r="U257" t="e">
        <f t="shared" ca="1" si="137"/>
        <v>#VALUE!</v>
      </c>
      <c r="V257" t="e">
        <f t="shared" ca="1" si="138"/>
        <v>#VALUE!</v>
      </c>
      <c r="W257" t="e">
        <f t="shared" ca="1" si="117"/>
        <v>#VALUE!</v>
      </c>
      <c r="X257" t="e">
        <f t="shared" ca="1" si="118"/>
        <v>#VALUE!</v>
      </c>
      <c r="Y257" t="e">
        <f t="shared" ca="1" si="119"/>
        <v>#VALUE!</v>
      </c>
      <c r="Z257" t="e">
        <f t="shared" ca="1" si="120"/>
        <v>#VALUE!</v>
      </c>
      <c r="AA257" t="e">
        <f t="shared" ca="1" si="121"/>
        <v>#VALUE!</v>
      </c>
      <c r="AB257" t="e">
        <f t="shared" ca="1" si="122"/>
        <v>#VALUE!</v>
      </c>
      <c r="AC257" t="e">
        <f t="shared" ca="1" si="123"/>
        <v>#VALUE!</v>
      </c>
      <c r="AD257" t="e">
        <f t="shared" ca="1" si="124"/>
        <v>#VALUE!</v>
      </c>
      <c r="AE257" t="e">
        <f t="shared" ca="1" si="125"/>
        <v>#VALUE!</v>
      </c>
      <c r="AF257" t="e">
        <f t="shared" ca="1" si="126"/>
        <v>#VALUE!</v>
      </c>
      <c r="AG257" t="e">
        <f t="shared" ca="1" si="127"/>
        <v>#VALUE!</v>
      </c>
      <c r="AH257" t="e">
        <f ca="1">IF(V32="Supercritical",L257,IF(V32="Subcritical",W257,IF(AND(V257=1,AG257=1),IF(T257&gt;=AE257,L257,W257),IF(V257=1,L257,IF(AG257=1,W257,MAX($D$16,POWER((ABS(K257)^2)/($I$5*MAX(F257,0.1)^2),1/3)))))))</f>
        <v>#VALUE!</v>
      </c>
      <c r="AI257" t="e">
        <f t="shared" ca="1" si="128"/>
        <v>#VALUE!</v>
      </c>
      <c r="AJ257" t="e">
        <f t="shared" ca="1" si="129"/>
        <v>#VALUE!</v>
      </c>
      <c r="AM257">
        <v>0</v>
      </c>
      <c r="AN257">
        <v>0</v>
      </c>
      <c r="AO257">
        <f t="shared" si="130"/>
        <v>0</v>
      </c>
      <c r="AP257">
        <f t="shared" si="139"/>
        <v>0</v>
      </c>
      <c r="AQ257" t="e">
        <f t="shared" ca="1" si="131"/>
        <v>#VALUE!</v>
      </c>
      <c r="AR257" t="e">
        <f t="shared" ca="1" si="132"/>
        <v>#VALUE!</v>
      </c>
      <c r="AS257" t="e">
        <f t="shared" ca="1" si="133"/>
        <v>#VALUE!</v>
      </c>
    </row>
    <row r="258" spans="1:45" x14ac:dyDescent="0.35">
      <c r="A258">
        <v>109</v>
      </c>
      <c r="B258">
        <v>107.94799999999999</v>
      </c>
      <c r="C258">
        <v>616475.83900000004</v>
      </c>
      <c r="D258">
        <v>3097695.5860000001</v>
      </c>
      <c r="E258">
        <v>632.50800000000004</v>
      </c>
      <c r="F258">
        <v>5.2</v>
      </c>
      <c r="G258">
        <v>0</v>
      </c>
      <c r="H258" t="s">
        <v>191</v>
      </c>
      <c r="I258">
        <v>5.7000000000000002E-2</v>
      </c>
      <c r="J258">
        <f t="shared" si="134"/>
        <v>1</v>
      </c>
      <c r="K258">
        <f t="shared" si="135"/>
        <v>51</v>
      </c>
      <c r="L258" t="e">
        <f t="shared" ca="1" si="136"/>
        <v>#VALUE!</v>
      </c>
      <c r="M258" t="e">
        <f t="shared" ca="1" si="109"/>
        <v>#VALUE!</v>
      </c>
      <c r="N258" t="e">
        <f t="shared" ca="1" si="110"/>
        <v>#VALUE!</v>
      </c>
      <c r="O258" t="e">
        <f t="shared" ca="1" si="111"/>
        <v>#VALUE!</v>
      </c>
      <c r="P258" t="e">
        <f t="shared" ca="1" si="112"/>
        <v>#VALUE!</v>
      </c>
      <c r="Q258" t="e">
        <f t="shared" ca="1" si="113"/>
        <v>#VALUE!</v>
      </c>
      <c r="R258" t="e">
        <f t="shared" ca="1" si="114"/>
        <v>#VALUE!</v>
      </c>
      <c r="S258" t="e">
        <f t="shared" ca="1" si="115"/>
        <v>#VALUE!</v>
      </c>
      <c r="T258" t="e">
        <f t="shared" ca="1" si="116"/>
        <v>#VALUE!</v>
      </c>
      <c r="U258" t="e">
        <f t="shared" ca="1" si="137"/>
        <v>#VALUE!</v>
      </c>
      <c r="V258" t="e">
        <f t="shared" ca="1" si="138"/>
        <v>#VALUE!</v>
      </c>
      <c r="W258" t="e">
        <f t="shared" ca="1" si="117"/>
        <v>#VALUE!</v>
      </c>
      <c r="X258" t="e">
        <f t="shared" ca="1" si="118"/>
        <v>#VALUE!</v>
      </c>
      <c r="Y258" t="e">
        <f t="shared" ca="1" si="119"/>
        <v>#VALUE!</v>
      </c>
      <c r="Z258" t="e">
        <f t="shared" ca="1" si="120"/>
        <v>#VALUE!</v>
      </c>
      <c r="AA258" t="e">
        <f t="shared" ca="1" si="121"/>
        <v>#VALUE!</v>
      </c>
      <c r="AB258" t="e">
        <f t="shared" ca="1" si="122"/>
        <v>#VALUE!</v>
      </c>
      <c r="AC258" t="e">
        <f t="shared" ca="1" si="123"/>
        <v>#VALUE!</v>
      </c>
      <c r="AD258" t="e">
        <f t="shared" ca="1" si="124"/>
        <v>#VALUE!</v>
      </c>
      <c r="AE258" t="e">
        <f t="shared" ca="1" si="125"/>
        <v>#VALUE!</v>
      </c>
      <c r="AF258" t="e">
        <f t="shared" ca="1" si="126"/>
        <v>#VALUE!</v>
      </c>
      <c r="AG258" t="e">
        <f t="shared" ca="1" si="127"/>
        <v>#VALUE!</v>
      </c>
      <c r="AH258" t="e">
        <f ca="1">IF(V32="Supercritical",L258,IF(V32="Subcritical",W258,IF(AND(V258=1,AG258=1),IF(T258&gt;=AE258,L258,W258),IF(V258=1,L258,IF(AG258=1,W258,MAX($D$16,POWER((ABS(K258)^2)/($I$5*MAX(F258,0.1)^2),1/3)))))))</f>
        <v>#VALUE!</v>
      </c>
      <c r="AI258" t="e">
        <f t="shared" ca="1" si="128"/>
        <v>#VALUE!</v>
      </c>
      <c r="AJ258" t="e">
        <f t="shared" ca="1" si="129"/>
        <v>#VALUE!</v>
      </c>
      <c r="AM258">
        <v>0</v>
      </c>
      <c r="AN258">
        <v>0</v>
      </c>
      <c r="AO258">
        <f t="shared" si="130"/>
        <v>0</v>
      </c>
      <c r="AP258">
        <f t="shared" si="139"/>
        <v>0</v>
      </c>
      <c r="AQ258" t="e">
        <f t="shared" ca="1" si="131"/>
        <v>#VALUE!</v>
      </c>
      <c r="AR258" t="e">
        <f t="shared" ca="1" si="132"/>
        <v>#VALUE!</v>
      </c>
      <c r="AS258" t="e">
        <f t="shared" ca="1" si="133"/>
        <v>#VALUE!</v>
      </c>
    </row>
    <row r="259" spans="1:45" x14ac:dyDescent="0.35">
      <c r="A259">
        <v>110</v>
      </c>
      <c r="B259">
        <v>108.94799999999999</v>
      </c>
      <c r="C259">
        <v>616474.84</v>
      </c>
      <c r="D259">
        <v>3097695.5380000002</v>
      </c>
      <c r="E259">
        <v>632.50750000000005</v>
      </c>
      <c r="F259">
        <v>5.2</v>
      </c>
      <c r="G259">
        <v>0</v>
      </c>
      <c r="H259" t="s">
        <v>191</v>
      </c>
      <c r="I259">
        <v>5.7000000000000002E-2</v>
      </c>
      <c r="J259">
        <f t="shared" si="134"/>
        <v>1</v>
      </c>
      <c r="K259">
        <f t="shared" si="135"/>
        <v>51</v>
      </c>
      <c r="L259" t="e">
        <f t="shared" ca="1" si="136"/>
        <v>#VALUE!</v>
      </c>
      <c r="M259" t="e">
        <f t="shared" ca="1" si="109"/>
        <v>#VALUE!</v>
      </c>
      <c r="N259" t="e">
        <f t="shared" ca="1" si="110"/>
        <v>#VALUE!</v>
      </c>
      <c r="O259" t="e">
        <f t="shared" ca="1" si="111"/>
        <v>#VALUE!</v>
      </c>
      <c r="P259" t="e">
        <f t="shared" ca="1" si="112"/>
        <v>#VALUE!</v>
      </c>
      <c r="Q259" t="e">
        <f t="shared" ca="1" si="113"/>
        <v>#VALUE!</v>
      </c>
      <c r="R259" t="e">
        <f t="shared" ca="1" si="114"/>
        <v>#VALUE!</v>
      </c>
      <c r="S259" t="e">
        <f t="shared" ca="1" si="115"/>
        <v>#VALUE!</v>
      </c>
      <c r="T259" t="e">
        <f t="shared" ca="1" si="116"/>
        <v>#VALUE!</v>
      </c>
      <c r="U259" t="e">
        <f t="shared" ca="1" si="137"/>
        <v>#VALUE!</v>
      </c>
      <c r="V259" t="e">
        <f t="shared" ca="1" si="138"/>
        <v>#VALUE!</v>
      </c>
      <c r="W259" t="e">
        <f t="shared" ca="1" si="117"/>
        <v>#VALUE!</v>
      </c>
      <c r="X259" t="e">
        <f t="shared" ca="1" si="118"/>
        <v>#VALUE!</v>
      </c>
      <c r="Y259" t="e">
        <f t="shared" ca="1" si="119"/>
        <v>#VALUE!</v>
      </c>
      <c r="Z259" t="e">
        <f t="shared" ca="1" si="120"/>
        <v>#VALUE!</v>
      </c>
      <c r="AA259" t="e">
        <f t="shared" ca="1" si="121"/>
        <v>#VALUE!</v>
      </c>
      <c r="AB259" t="e">
        <f t="shared" ca="1" si="122"/>
        <v>#VALUE!</v>
      </c>
      <c r="AC259" t="e">
        <f t="shared" ca="1" si="123"/>
        <v>#VALUE!</v>
      </c>
      <c r="AD259" t="e">
        <f t="shared" ca="1" si="124"/>
        <v>#VALUE!</v>
      </c>
      <c r="AE259" t="e">
        <f t="shared" ca="1" si="125"/>
        <v>#VALUE!</v>
      </c>
      <c r="AF259" t="e">
        <f t="shared" ca="1" si="126"/>
        <v>#VALUE!</v>
      </c>
      <c r="AG259" t="e">
        <f t="shared" ca="1" si="127"/>
        <v>#VALUE!</v>
      </c>
      <c r="AH259" t="e">
        <f ca="1">IF(V32="Supercritical",L259,IF(V32="Subcritical",W259,IF(AND(V259=1,AG259=1),IF(T259&gt;=AE259,L259,W259),IF(V259=1,L259,IF(AG259=1,W259,MAX($D$16,POWER((ABS(K259)^2)/($I$5*MAX(F259,0.1)^2),1/3)))))))</f>
        <v>#VALUE!</v>
      </c>
      <c r="AI259" t="e">
        <f t="shared" ca="1" si="128"/>
        <v>#VALUE!</v>
      </c>
      <c r="AJ259" t="e">
        <f t="shared" ca="1" si="129"/>
        <v>#VALUE!</v>
      </c>
      <c r="AM259">
        <v>0</v>
      </c>
      <c r="AN259">
        <v>0</v>
      </c>
      <c r="AO259">
        <f t="shared" si="130"/>
        <v>0</v>
      </c>
      <c r="AP259">
        <f t="shared" si="139"/>
        <v>0</v>
      </c>
      <c r="AQ259" t="e">
        <f t="shared" ca="1" si="131"/>
        <v>#VALUE!</v>
      </c>
      <c r="AR259" t="e">
        <f t="shared" ca="1" si="132"/>
        <v>#VALUE!</v>
      </c>
      <c r="AS259" t="e">
        <f t="shared" ca="1" si="133"/>
        <v>#VALUE!</v>
      </c>
    </row>
    <row r="260" spans="1:45" x14ac:dyDescent="0.35">
      <c r="A260">
        <v>111</v>
      </c>
      <c r="B260">
        <v>109.94799999999999</v>
      </c>
      <c r="C260">
        <v>616473.84100000001</v>
      </c>
      <c r="D260">
        <v>3097695.4909999999</v>
      </c>
      <c r="E260">
        <v>632.50699999999995</v>
      </c>
      <c r="F260">
        <v>5.2</v>
      </c>
      <c r="G260">
        <v>0</v>
      </c>
      <c r="H260" t="s">
        <v>191</v>
      </c>
      <c r="I260">
        <v>5.7000000000000002E-2</v>
      </c>
      <c r="J260">
        <f t="shared" si="134"/>
        <v>1</v>
      </c>
      <c r="K260">
        <f t="shared" si="135"/>
        <v>51</v>
      </c>
      <c r="L260" t="e">
        <f t="shared" ca="1" si="136"/>
        <v>#VALUE!</v>
      </c>
      <c r="M260" t="e">
        <f t="shared" ca="1" si="109"/>
        <v>#VALUE!</v>
      </c>
      <c r="N260" t="e">
        <f t="shared" ca="1" si="110"/>
        <v>#VALUE!</v>
      </c>
      <c r="O260" t="e">
        <f t="shared" ca="1" si="111"/>
        <v>#VALUE!</v>
      </c>
      <c r="P260" t="e">
        <f t="shared" ca="1" si="112"/>
        <v>#VALUE!</v>
      </c>
      <c r="Q260" t="e">
        <f t="shared" ca="1" si="113"/>
        <v>#VALUE!</v>
      </c>
      <c r="R260" t="e">
        <f t="shared" ca="1" si="114"/>
        <v>#VALUE!</v>
      </c>
      <c r="S260" t="e">
        <f t="shared" ca="1" si="115"/>
        <v>#VALUE!</v>
      </c>
      <c r="T260" t="e">
        <f t="shared" ca="1" si="116"/>
        <v>#VALUE!</v>
      </c>
      <c r="U260" t="e">
        <f t="shared" ca="1" si="137"/>
        <v>#VALUE!</v>
      </c>
      <c r="V260" t="e">
        <f t="shared" ca="1" si="138"/>
        <v>#VALUE!</v>
      </c>
      <c r="W260" t="e">
        <f t="shared" ca="1" si="117"/>
        <v>#VALUE!</v>
      </c>
      <c r="X260" t="e">
        <f t="shared" ca="1" si="118"/>
        <v>#VALUE!</v>
      </c>
      <c r="Y260" t="e">
        <f t="shared" ca="1" si="119"/>
        <v>#VALUE!</v>
      </c>
      <c r="Z260" t="e">
        <f t="shared" ca="1" si="120"/>
        <v>#VALUE!</v>
      </c>
      <c r="AA260" t="e">
        <f t="shared" ca="1" si="121"/>
        <v>#VALUE!</v>
      </c>
      <c r="AB260" t="e">
        <f t="shared" ca="1" si="122"/>
        <v>#VALUE!</v>
      </c>
      <c r="AC260" t="e">
        <f t="shared" ca="1" si="123"/>
        <v>#VALUE!</v>
      </c>
      <c r="AD260" t="e">
        <f t="shared" ca="1" si="124"/>
        <v>#VALUE!</v>
      </c>
      <c r="AE260" t="e">
        <f t="shared" ca="1" si="125"/>
        <v>#VALUE!</v>
      </c>
      <c r="AF260" t="e">
        <f t="shared" ca="1" si="126"/>
        <v>#VALUE!</v>
      </c>
      <c r="AG260" t="e">
        <f t="shared" ca="1" si="127"/>
        <v>#VALUE!</v>
      </c>
      <c r="AH260" t="e">
        <f ca="1">IF(V32="Supercritical",L260,IF(V32="Subcritical",W260,IF(AND(V260=1,AG260=1),IF(T260&gt;=AE260,L260,W260),IF(V260=1,L260,IF(AG260=1,W260,MAX($D$16,POWER((ABS(K260)^2)/($I$5*MAX(F260,0.1)^2),1/3)))))))</f>
        <v>#VALUE!</v>
      </c>
      <c r="AI260" t="e">
        <f t="shared" ca="1" si="128"/>
        <v>#VALUE!</v>
      </c>
      <c r="AJ260" t="e">
        <f t="shared" ca="1" si="129"/>
        <v>#VALUE!</v>
      </c>
      <c r="AM260">
        <v>0</v>
      </c>
      <c r="AN260">
        <v>0</v>
      </c>
      <c r="AO260">
        <f t="shared" si="130"/>
        <v>0</v>
      </c>
      <c r="AP260">
        <f t="shared" si="139"/>
        <v>0</v>
      </c>
      <c r="AQ260" t="e">
        <f t="shared" ca="1" si="131"/>
        <v>#VALUE!</v>
      </c>
      <c r="AR260" t="e">
        <f t="shared" ca="1" si="132"/>
        <v>#VALUE!</v>
      </c>
      <c r="AS260" t="e">
        <f t="shared" ca="1" si="133"/>
        <v>#VALUE!</v>
      </c>
    </row>
    <row r="261" spans="1:45" x14ac:dyDescent="0.35">
      <c r="A261">
        <v>112</v>
      </c>
      <c r="B261">
        <v>110.949</v>
      </c>
      <c r="C261">
        <v>616472.84199999995</v>
      </c>
      <c r="D261">
        <v>3097695.443</v>
      </c>
      <c r="E261">
        <v>632.50649999999996</v>
      </c>
      <c r="F261">
        <v>5.2</v>
      </c>
      <c r="G261">
        <v>0</v>
      </c>
      <c r="H261" t="s">
        <v>191</v>
      </c>
      <c r="I261">
        <v>0</v>
      </c>
      <c r="J261">
        <f t="shared" si="134"/>
        <v>1.0010000000000048</v>
      </c>
      <c r="K261">
        <f t="shared" si="135"/>
        <v>51</v>
      </c>
      <c r="L261" t="e">
        <f t="shared" ca="1" si="136"/>
        <v>#VALUE!</v>
      </c>
      <c r="M261" t="e">
        <f t="shared" ca="1" si="109"/>
        <v>#VALUE!</v>
      </c>
      <c r="N261" t="e">
        <f t="shared" ca="1" si="110"/>
        <v>#VALUE!</v>
      </c>
      <c r="O261" t="e">
        <f t="shared" ca="1" si="111"/>
        <v>#VALUE!</v>
      </c>
      <c r="P261" t="e">
        <f t="shared" ca="1" si="112"/>
        <v>#VALUE!</v>
      </c>
      <c r="Q261" t="e">
        <f t="shared" ca="1" si="113"/>
        <v>#VALUE!</v>
      </c>
      <c r="R261" t="e">
        <f t="shared" ca="1" si="114"/>
        <v>#VALUE!</v>
      </c>
      <c r="S261" t="e">
        <f t="shared" ca="1" si="115"/>
        <v>#VALUE!</v>
      </c>
      <c r="T261" t="e">
        <f t="shared" ca="1" si="116"/>
        <v>#VALUE!</v>
      </c>
      <c r="U261" t="e">
        <f t="shared" ca="1" si="137"/>
        <v>#VALUE!</v>
      </c>
      <c r="V261" t="e">
        <f t="shared" ca="1" si="138"/>
        <v>#VALUE!</v>
      </c>
      <c r="W261" t="e">
        <f t="shared" ca="1" si="117"/>
        <v>#VALUE!</v>
      </c>
      <c r="X261" t="e">
        <f t="shared" ca="1" si="118"/>
        <v>#VALUE!</v>
      </c>
      <c r="Y261" t="e">
        <f t="shared" ca="1" si="119"/>
        <v>#VALUE!</v>
      </c>
      <c r="Z261" t="e">
        <f t="shared" ca="1" si="120"/>
        <v>#VALUE!</v>
      </c>
      <c r="AA261" t="e">
        <f t="shared" ca="1" si="121"/>
        <v>#VALUE!</v>
      </c>
      <c r="AB261" t="e">
        <f t="shared" ca="1" si="122"/>
        <v>#VALUE!</v>
      </c>
      <c r="AC261" t="e">
        <f t="shared" ca="1" si="123"/>
        <v>#VALUE!</v>
      </c>
      <c r="AD261" t="e">
        <f t="shared" ca="1" si="124"/>
        <v>#VALUE!</v>
      </c>
      <c r="AE261" t="e">
        <f t="shared" ca="1" si="125"/>
        <v>#VALUE!</v>
      </c>
      <c r="AF261" t="e">
        <f t="shared" ca="1" si="126"/>
        <v>#VALUE!</v>
      </c>
      <c r="AG261" t="e">
        <f t="shared" ca="1" si="127"/>
        <v>#VALUE!</v>
      </c>
      <c r="AH261" t="e">
        <f ca="1">IF(V32="Supercritical",L261,IF(V32="Subcritical",W261,IF(AND(V261=1,AG261=1),IF(T261&gt;=AE261,L261,W261),IF(V261=1,L261,IF(AG261=1,W261,MAX($D$16,POWER((ABS(K261)^2)/($I$5*MAX(F261,0.1)^2),1/3)))))))</f>
        <v>#VALUE!</v>
      </c>
      <c r="AI261" t="e">
        <f t="shared" ca="1" si="128"/>
        <v>#VALUE!</v>
      </c>
      <c r="AJ261" t="e">
        <f t="shared" ca="1" si="129"/>
        <v>#VALUE!</v>
      </c>
      <c r="AM261">
        <v>0</v>
      </c>
      <c r="AN261">
        <v>0</v>
      </c>
      <c r="AO261">
        <f t="shared" si="130"/>
        <v>0</v>
      </c>
      <c r="AP261">
        <f t="shared" si="139"/>
        <v>0</v>
      </c>
      <c r="AQ261" t="e">
        <f t="shared" ca="1" si="131"/>
        <v>#VALUE!</v>
      </c>
      <c r="AR261" t="e">
        <f t="shared" ca="1" si="132"/>
        <v>#VALUE!</v>
      </c>
      <c r="AS261" t="e">
        <f t="shared" ca="1" si="133"/>
        <v>#VALUE!</v>
      </c>
    </row>
    <row r="262" spans="1:45" x14ac:dyDescent="0.35">
      <c r="A262">
        <v>113</v>
      </c>
      <c r="B262">
        <v>111.949</v>
      </c>
      <c r="C262">
        <v>616471.84299999999</v>
      </c>
      <c r="D262">
        <v>3097695.395</v>
      </c>
      <c r="E262">
        <v>632.50599999999997</v>
      </c>
      <c r="F262">
        <v>5.2</v>
      </c>
      <c r="G262">
        <v>0</v>
      </c>
      <c r="H262" t="s">
        <v>191</v>
      </c>
      <c r="I262">
        <v>5.5E-2</v>
      </c>
      <c r="J262">
        <f t="shared" si="134"/>
        <v>1</v>
      </c>
      <c r="K262">
        <f t="shared" si="135"/>
        <v>51</v>
      </c>
      <c r="L262" t="e">
        <f t="shared" ca="1" si="136"/>
        <v>#VALUE!</v>
      </c>
      <c r="M262" t="e">
        <f t="shared" ca="1" si="109"/>
        <v>#VALUE!</v>
      </c>
      <c r="N262" t="e">
        <f t="shared" ca="1" si="110"/>
        <v>#VALUE!</v>
      </c>
      <c r="O262" t="e">
        <f t="shared" ca="1" si="111"/>
        <v>#VALUE!</v>
      </c>
      <c r="P262" t="e">
        <f t="shared" ca="1" si="112"/>
        <v>#VALUE!</v>
      </c>
      <c r="Q262" t="e">
        <f t="shared" ca="1" si="113"/>
        <v>#VALUE!</v>
      </c>
      <c r="R262" t="e">
        <f t="shared" ca="1" si="114"/>
        <v>#VALUE!</v>
      </c>
      <c r="S262" t="e">
        <f t="shared" ca="1" si="115"/>
        <v>#VALUE!</v>
      </c>
      <c r="T262" t="e">
        <f t="shared" ca="1" si="116"/>
        <v>#VALUE!</v>
      </c>
      <c r="U262" t="e">
        <f t="shared" ca="1" si="137"/>
        <v>#VALUE!</v>
      </c>
      <c r="V262" t="e">
        <f t="shared" ca="1" si="138"/>
        <v>#VALUE!</v>
      </c>
      <c r="W262" t="e">
        <f t="shared" ca="1" si="117"/>
        <v>#VALUE!</v>
      </c>
      <c r="X262" t="e">
        <f t="shared" ca="1" si="118"/>
        <v>#VALUE!</v>
      </c>
      <c r="Y262" t="e">
        <f t="shared" ca="1" si="119"/>
        <v>#VALUE!</v>
      </c>
      <c r="Z262" t="e">
        <f t="shared" ca="1" si="120"/>
        <v>#VALUE!</v>
      </c>
      <c r="AA262" t="e">
        <f t="shared" ca="1" si="121"/>
        <v>#VALUE!</v>
      </c>
      <c r="AB262" t="e">
        <f t="shared" ca="1" si="122"/>
        <v>#VALUE!</v>
      </c>
      <c r="AC262" t="e">
        <f t="shared" ca="1" si="123"/>
        <v>#VALUE!</v>
      </c>
      <c r="AD262" t="e">
        <f t="shared" ca="1" si="124"/>
        <v>#VALUE!</v>
      </c>
      <c r="AE262" t="e">
        <f t="shared" ca="1" si="125"/>
        <v>#VALUE!</v>
      </c>
      <c r="AF262" t="e">
        <f t="shared" ca="1" si="126"/>
        <v>#VALUE!</v>
      </c>
      <c r="AG262" t="e">
        <f t="shared" ca="1" si="127"/>
        <v>#VALUE!</v>
      </c>
      <c r="AH262" t="e">
        <f ca="1">IF(V32="Supercritical",L262,IF(V32="Subcritical",W262,IF(AND(V262=1,AG262=1),IF(T262&gt;=AE262,L262,W262),IF(V262=1,L262,IF(AG262=1,W262,MAX($D$16,POWER((ABS(K262)^2)/($I$5*MAX(F262,0.1)^2),1/3)))))))</f>
        <v>#VALUE!</v>
      </c>
      <c r="AI262" t="e">
        <f t="shared" ca="1" si="128"/>
        <v>#VALUE!</v>
      </c>
      <c r="AJ262" t="e">
        <f t="shared" ca="1" si="129"/>
        <v>#VALUE!</v>
      </c>
      <c r="AM262">
        <v>0</v>
      </c>
      <c r="AN262">
        <v>0</v>
      </c>
      <c r="AO262">
        <f t="shared" si="130"/>
        <v>0</v>
      </c>
      <c r="AP262">
        <f t="shared" si="139"/>
        <v>0</v>
      </c>
      <c r="AQ262" t="e">
        <f t="shared" ca="1" si="131"/>
        <v>#VALUE!</v>
      </c>
      <c r="AR262" t="e">
        <f t="shared" ca="1" si="132"/>
        <v>#VALUE!</v>
      </c>
      <c r="AS262" t="e">
        <f t="shared" ca="1" si="133"/>
        <v>#VALUE!</v>
      </c>
    </row>
    <row r="263" spans="1:45" x14ac:dyDescent="0.35">
      <c r="A263">
        <v>114</v>
      </c>
      <c r="B263">
        <v>112.94799999999999</v>
      </c>
      <c r="C263">
        <v>616470.84499999997</v>
      </c>
      <c r="D263">
        <v>3097695.3480000002</v>
      </c>
      <c r="E263">
        <v>632.50549999999998</v>
      </c>
      <c r="F263">
        <v>5.2</v>
      </c>
      <c r="G263">
        <v>0</v>
      </c>
      <c r="H263" t="s">
        <v>191</v>
      </c>
      <c r="I263">
        <v>5.5E-2</v>
      </c>
      <c r="J263">
        <f t="shared" si="134"/>
        <v>0.99899999999999523</v>
      </c>
      <c r="K263">
        <f t="shared" si="135"/>
        <v>51</v>
      </c>
      <c r="L263" t="e">
        <f t="shared" ca="1" si="136"/>
        <v>#VALUE!</v>
      </c>
      <c r="M263" t="e">
        <f t="shared" ca="1" si="109"/>
        <v>#VALUE!</v>
      </c>
      <c r="N263" t="e">
        <f t="shared" ca="1" si="110"/>
        <v>#VALUE!</v>
      </c>
      <c r="O263" t="e">
        <f t="shared" ca="1" si="111"/>
        <v>#VALUE!</v>
      </c>
      <c r="P263" t="e">
        <f t="shared" ca="1" si="112"/>
        <v>#VALUE!</v>
      </c>
      <c r="Q263" t="e">
        <f t="shared" ca="1" si="113"/>
        <v>#VALUE!</v>
      </c>
      <c r="R263" t="e">
        <f t="shared" ca="1" si="114"/>
        <v>#VALUE!</v>
      </c>
      <c r="S263" t="e">
        <f t="shared" ca="1" si="115"/>
        <v>#VALUE!</v>
      </c>
      <c r="T263" t="e">
        <f t="shared" ca="1" si="116"/>
        <v>#VALUE!</v>
      </c>
      <c r="U263" t="e">
        <f t="shared" ca="1" si="137"/>
        <v>#VALUE!</v>
      </c>
      <c r="V263" t="e">
        <f t="shared" ca="1" si="138"/>
        <v>#VALUE!</v>
      </c>
      <c r="W263" t="e">
        <f t="shared" ca="1" si="117"/>
        <v>#VALUE!</v>
      </c>
      <c r="X263" t="e">
        <f t="shared" ca="1" si="118"/>
        <v>#VALUE!</v>
      </c>
      <c r="Y263" t="e">
        <f t="shared" ca="1" si="119"/>
        <v>#VALUE!</v>
      </c>
      <c r="Z263" t="e">
        <f t="shared" ca="1" si="120"/>
        <v>#VALUE!</v>
      </c>
      <c r="AA263" t="e">
        <f t="shared" ca="1" si="121"/>
        <v>#VALUE!</v>
      </c>
      <c r="AB263" t="e">
        <f t="shared" ca="1" si="122"/>
        <v>#VALUE!</v>
      </c>
      <c r="AC263" t="e">
        <f t="shared" ca="1" si="123"/>
        <v>#VALUE!</v>
      </c>
      <c r="AD263" t="e">
        <f t="shared" ca="1" si="124"/>
        <v>#VALUE!</v>
      </c>
      <c r="AE263" t="e">
        <f t="shared" ca="1" si="125"/>
        <v>#VALUE!</v>
      </c>
      <c r="AF263" t="e">
        <f t="shared" ca="1" si="126"/>
        <v>#VALUE!</v>
      </c>
      <c r="AG263" t="e">
        <f t="shared" ca="1" si="127"/>
        <v>#VALUE!</v>
      </c>
      <c r="AH263" t="e">
        <f ca="1">IF(V32="Supercritical",L263,IF(V32="Subcritical",W263,IF(AND(V263=1,AG263=1),IF(T263&gt;=AE263,L263,W263),IF(V263=1,L263,IF(AG263=1,W263,MAX($D$16,POWER((ABS(K263)^2)/($I$5*MAX(F263,0.1)^2),1/3)))))))</f>
        <v>#VALUE!</v>
      </c>
      <c r="AI263" t="e">
        <f t="shared" ca="1" si="128"/>
        <v>#VALUE!</v>
      </c>
      <c r="AJ263" t="e">
        <f t="shared" ca="1" si="129"/>
        <v>#VALUE!</v>
      </c>
      <c r="AM263">
        <v>0</v>
      </c>
      <c r="AN263">
        <v>0</v>
      </c>
      <c r="AO263">
        <f t="shared" si="130"/>
        <v>0</v>
      </c>
      <c r="AP263">
        <f t="shared" si="139"/>
        <v>0</v>
      </c>
      <c r="AQ263" t="e">
        <f t="shared" ca="1" si="131"/>
        <v>#VALUE!</v>
      </c>
      <c r="AR263" t="e">
        <f t="shared" ca="1" si="132"/>
        <v>#VALUE!</v>
      </c>
      <c r="AS263" t="e">
        <f t="shared" ca="1" si="133"/>
        <v>#VALUE!</v>
      </c>
    </row>
    <row r="264" spans="1:45" x14ac:dyDescent="0.35">
      <c r="A264">
        <v>115</v>
      </c>
      <c r="B264">
        <v>113.94799999999999</v>
      </c>
      <c r="C264">
        <v>616469.84600000002</v>
      </c>
      <c r="D264">
        <v>3097695.3</v>
      </c>
      <c r="E264">
        <v>632.505</v>
      </c>
      <c r="F264">
        <v>5.2</v>
      </c>
      <c r="G264">
        <v>0</v>
      </c>
      <c r="H264" t="s">
        <v>191</v>
      </c>
      <c r="I264">
        <v>0</v>
      </c>
      <c r="J264">
        <f t="shared" si="134"/>
        <v>1</v>
      </c>
      <c r="K264">
        <f t="shared" si="135"/>
        <v>51</v>
      </c>
      <c r="L264" t="e">
        <f t="shared" ca="1" si="136"/>
        <v>#VALUE!</v>
      </c>
      <c r="M264" t="e">
        <f t="shared" ca="1" si="109"/>
        <v>#VALUE!</v>
      </c>
      <c r="N264" t="e">
        <f t="shared" ca="1" si="110"/>
        <v>#VALUE!</v>
      </c>
      <c r="O264" t="e">
        <f t="shared" ca="1" si="111"/>
        <v>#VALUE!</v>
      </c>
      <c r="P264" t="e">
        <f t="shared" ca="1" si="112"/>
        <v>#VALUE!</v>
      </c>
      <c r="Q264" t="e">
        <f t="shared" ca="1" si="113"/>
        <v>#VALUE!</v>
      </c>
      <c r="R264" t="e">
        <f t="shared" ca="1" si="114"/>
        <v>#VALUE!</v>
      </c>
      <c r="S264" t="e">
        <f t="shared" ca="1" si="115"/>
        <v>#VALUE!</v>
      </c>
      <c r="T264" t="e">
        <f t="shared" ca="1" si="116"/>
        <v>#VALUE!</v>
      </c>
      <c r="U264" t="e">
        <f t="shared" ca="1" si="137"/>
        <v>#VALUE!</v>
      </c>
      <c r="V264" t="e">
        <f t="shared" ca="1" si="138"/>
        <v>#VALUE!</v>
      </c>
      <c r="W264" t="e">
        <f t="shared" ca="1" si="117"/>
        <v>#VALUE!</v>
      </c>
      <c r="X264" t="e">
        <f t="shared" ca="1" si="118"/>
        <v>#VALUE!</v>
      </c>
      <c r="Y264" t="e">
        <f t="shared" ca="1" si="119"/>
        <v>#VALUE!</v>
      </c>
      <c r="Z264" t="e">
        <f t="shared" ca="1" si="120"/>
        <v>#VALUE!</v>
      </c>
      <c r="AA264" t="e">
        <f t="shared" ca="1" si="121"/>
        <v>#VALUE!</v>
      </c>
      <c r="AB264" t="e">
        <f t="shared" ca="1" si="122"/>
        <v>#VALUE!</v>
      </c>
      <c r="AC264" t="e">
        <f t="shared" ca="1" si="123"/>
        <v>#VALUE!</v>
      </c>
      <c r="AD264" t="e">
        <f t="shared" ca="1" si="124"/>
        <v>#VALUE!</v>
      </c>
      <c r="AE264" t="e">
        <f t="shared" ca="1" si="125"/>
        <v>#VALUE!</v>
      </c>
      <c r="AF264" t="e">
        <f t="shared" ca="1" si="126"/>
        <v>#VALUE!</v>
      </c>
      <c r="AG264" t="e">
        <f t="shared" ca="1" si="127"/>
        <v>#VALUE!</v>
      </c>
      <c r="AH264" t="e">
        <f ca="1">IF(V32="Supercritical",L264,IF(V32="Subcritical",W264,IF(AND(V264=1,AG264=1),IF(T264&gt;=AE264,L264,W264),IF(V264=1,L264,IF(AG264=1,W264,MAX($D$16,POWER((ABS(K264)^2)/($I$5*MAX(F264,0.1)^2),1/3)))))))</f>
        <v>#VALUE!</v>
      </c>
      <c r="AI264" t="e">
        <f t="shared" ca="1" si="128"/>
        <v>#VALUE!</v>
      </c>
      <c r="AJ264" t="e">
        <f t="shared" ca="1" si="129"/>
        <v>#VALUE!</v>
      </c>
      <c r="AM264">
        <v>0</v>
      </c>
      <c r="AN264">
        <v>0</v>
      </c>
      <c r="AO264">
        <f t="shared" si="130"/>
        <v>0</v>
      </c>
      <c r="AP264">
        <f t="shared" si="139"/>
        <v>0</v>
      </c>
      <c r="AQ264" t="e">
        <f t="shared" ca="1" si="131"/>
        <v>#VALUE!</v>
      </c>
      <c r="AR264" t="e">
        <f t="shared" ca="1" si="132"/>
        <v>#VALUE!</v>
      </c>
      <c r="AS264" t="e">
        <f t="shared" ca="1" si="133"/>
        <v>#VALUE!</v>
      </c>
    </row>
    <row r="265" spans="1:45" x14ac:dyDescent="0.35">
      <c r="A265">
        <v>116</v>
      </c>
      <c r="B265">
        <v>114.94799999999999</v>
      </c>
      <c r="C265">
        <v>616468.84699999995</v>
      </c>
      <c r="D265">
        <v>3097695.2519999999</v>
      </c>
      <c r="E265">
        <v>632.50450000000001</v>
      </c>
      <c r="F265">
        <v>5.2</v>
      </c>
      <c r="G265">
        <v>0</v>
      </c>
      <c r="H265" t="s">
        <v>191</v>
      </c>
      <c r="I265">
        <v>5.7000000000000002E-2</v>
      </c>
      <c r="J265">
        <f t="shared" si="134"/>
        <v>1</v>
      </c>
      <c r="K265">
        <f t="shared" si="135"/>
        <v>51</v>
      </c>
      <c r="L265" t="e">
        <f t="shared" ca="1" si="136"/>
        <v>#VALUE!</v>
      </c>
      <c r="M265" t="e">
        <f t="shared" ca="1" si="109"/>
        <v>#VALUE!</v>
      </c>
      <c r="N265" t="e">
        <f t="shared" ca="1" si="110"/>
        <v>#VALUE!</v>
      </c>
      <c r="O265" t="e">
        <f t="shared" ca="1" si="111"/>
        <v>#VALUE!</v>
      </c>
      <c r="P265" t="e">
        <f t="shared" ca="1" si="112"/>
        <v>#VALUE!</v>
      </c>
      <c r="Q265" t="e">
        <f t="shared" ca="1" si="113"/>
        <v>#VALUE!</v>
      </c>
      <c r="R265" t="e">
        <f t="shared" ca="1" si="114"/>
        <v>#VALUE!</v>
      </c>
      <c r="S265" t="e">
        <f t="shared" ca="1" si="115"/>
        <v>#VALUE!</v>
      </c>
      <c r="T265" t="e">
        <f t="shared" ca="1" si="116"/>
        <v>#VALUE!</v>
      </c>
      <c r="U265" t="e">
        <f t="shared" ca="1" si="137"/>
        <v>#VALUE!</v>
      </c>
      <c r="V265" t="e">
        <f t="shared" ca="1" si="138"/>
        <v>#VALUE!</v>
      </c>
      <c r="W265" t="e">
        <f t="shared" ca="1" si="117"/>
        <v>#VALUE!</v>
      </c>
      <c r="X265" t="e">
        <f t="shared" ca="1" si="118"/>
        <v>#VALUE!</v>
      </c>
      <c r="Y265" t="e">
        <f t="shared" ca="1" si="119"/>
        <v>#VALUE!</v>
      </c>
      <c r="Z265" t="e">
        <f t="shared" ca="1" si="120"/>
        <v>#VALUE!</v>
      </c>
      <c r="AA265" t="e">
        <f t="shared" ca="1" si="121"/>
        <v>#VALUE!</v>
      </c>
      <c r="AB265" t="e">
        <f t="shared" ca="1" si="122"/>
        <v>#VALUE!</v>
      </c>
      <c r="AC265" t="e">
        <f t="shared" ca="1" si="123"/>
        <v>#VALUE!</v>
      </c>
      <c r="AD265" t="e">
        <f t="shared" ca="1" si="124"/>
        <v>#VALUE!</v>
      </c>
      <c r="AE265" t="e">
        <f t="shared" ca="1" si="125"/>
        <v>#VALUE!</v>
      </c>
      <c r="AF265" t="e">
        <f t="shared" ca="1" si="126"/>
        <v>#VALUE!</v>
      </c>
      <c r="AG265" t="e">
        <f t="shared" ca="1" si="127"/>
        <v>#VALUE!</v>
      </c>
      <c r="AH265" t="e">
        <f ca="1">IF(V32="Supercritical",L265,IF(V32="Subcritical",W265,IF(AND(V265=1,AG265=1),IF(T265&gt;=AE265,L265,W265),IF(V265=1,L265,IF(AG265=1,W265,MAX($D$16,POWER((ABS(K265)^2)/($I$5*MAX(F265,0.1)^2),1/3)))))))</f>
        <v>#VALUE!</v>
      </c>
      <c r="AI265" t="e">
        <f t="shared" ca="1" si="128"/>
        <v>#VALUE!</v>
      </c>
      <c r="AJ265" t="e">
        <f t="shared" ca="1" si="129"/>
        <v>#VALUE!</v>
      </c>
      <c r="AM265">
        <v>0</v>
      </c>
      <c r="AN265">
        <v>0</v>
      </c>
      <c r="AO265">
        <f t="shared" si="130"/>
        <v>0</v>
      </c>
      <c r="AP265">
        <f t="shared" si="139"/>
        <v>0</v>
      </c>
      <c r="AQ265" t="e">
        <f t="shared" ca="1" si="131"/>
        <v>#VALUE!</v>
      </c>
      <c r="AR265" t="e">
        <f t="shared" ca="1" si="132"/>
        <v>#VALUE!</v>
      </c>
      <c r="AS265" t="e">
        <f t="shared" ca="1" si="133"/>
        <v>#VALUE!</v>
      </c>
    </row>
    <row r="266" spans="1:45" x14ac:dyDescent="0.35">
      <c r="A266">
        <v>117</v>
      </c>
      <c r="B266">
        <v>115.94799999999999</v>
      </c>
      <c r="C266">
        <v>616467.848</v>
      </c>
      <c r="D266">
        <v>3097695.2050000001</v>
      </c>
      <c r="E266">
        <v>632.50400000000002</v>
      </c>
      <c r="F266">
        <v>5.2</v>
      </c>
      <c r="G266">
        <v>0</v>
      </c>
      <c r="H266" t="s">
        <v>191</v>
      </c>
      <c r="I266">
        <v>5.7000000000000002E-2</v>
      </c>
      <c r="J266">
        <f t="shared" si="134"/>
        <v>1</v>
      </c>
      <c r="K266">
        <f t="shared" si="135"/>
        <v>51</v>
      </c>
      <c r="L266" t="e">
        <f t="shared" ca="1" si="136"/>
        <v>#VALUE!</v>
      </c>
      <c r="M266" t="e">
        <f t="shared" ca="1" si="109"/>
        <v>#VALUE!</v>
      </c>
      <c r="N266" t="e">
        <f t="shared" ca="1" si="110"/>
        <v>#VALUE!</v>
      </c>
      <c r="O266" t="e">
        <f t="shared" ca="1" si="111"/>
        <v>#VALUE!</v>
      </c>
      <c r="P266" t="e">
        <f t="shared" ca="1" si="112"/>
        <v>#VALUE!</v>
      </c>
      <c r="Q266" t="e">
        <f t="shared" ca="1" si="113"/>
        <v>#VALUE!</v>
      </c>
      <c r="R266" t="e">
        <f t="shared" ca="1" si="114"/>
        <v>#VALUE!</v>
      </c>
      <c r="S266" t="e">
        <f t="shared" ca="1" si="115"/>
        <v>#VALUE!</v>
      </c>
      <c r="T266" t="e">
        <f t="shared" ca="1" si="116"/>
        <v>#VALUE!</v>
      </c>
      <c r="U266" t="e">
        <f t="shared" ca="1" si="137"/>
        <v>#VALUE!</v>
      </c>
      <c r="V266" t="e">
        <f t="shared" ca="1" si="138"/>
        <v>#VALUE!</v>
      </c>
      <c r="W266" t="e">
        <f t="shared" ca="1" si="117"/>
        <v>#VALUE!</v>
      </c>
      <c r="X266" t="e">
        <f t="shared" ca="1" si="118"/>
        <v>#VALUE!</v>
      </c>
      <c r="Y266" t="e">
        <f t="shared" ca="1" si="119"/>
        <v>#VALUE!</v>
      </c>
      <c r="Z266" t="e">
        <f t="shared" ca="1" si="120"/>
        <v>#VALUE!</v>
      </c>
      <c r="AA266" t="e">
        <f t="shared" ca="1" si="121"/>
        <v>#VALUE!</v>
      </c>
      <c r="AB266" t="e">
        <f t="shared" ca="1" si="122"/>
        <v>#VALUE!</v>
      </c>
      <c r="AC266" t="e">
        <f t="shared" ca="1" si="123"/>
        <v>#VALUE!</v>
      </c>
      <c r="AD266" t="e">
        <f t="shared" ca="1" si="124"/>
        <v>#VALUE!</v>
      </c>
      <c r="AE266" t="e">
        <f t="shared" ca="1" si="125"/>
        <v>#VALUE!</v>
      </c>
      <c r="AF266" t="e">
        <f t="shared" ca="1" si="126"/>
        <v>#VALUE!</v>
      </c>
      <c r="AG266" t="e">
        <f t="shared" ca="1" si="127"/>
        <v>#VALUE!</v>
      </c>
      <c r="AH266" t="e">
        <f ca="1">IF(V32="Supercritical",L266,IF(V32="Subcritical",W266,IF(AND(V266=1,AG266=1),IF(T266&gt;=AE266,L266,W266),IF(V266=1,L266,IF(AG266=1,W266,MAX($D$16,POWER((ABS(K266)^2)/($I$5*MAX(F266,0.1)^2),1/3)))))))</f>
        <v>#VALUE!</v>
      </c>
      <c r="AI266" t="e">
        <f t="shared" ca="1" si="128"/>
        <v>#VALUE!</v>
      </c>
      <c r="AJ266" t="e">
        <f t="shared" ca="1" si="129"/>
        <v>#VALUE!</v>
      </c>
      <c r="AM266">
        <v>0</v>
      </c>
      <c r="AN266">
        <v>0</v>
      </c>
      <c r="AO266">
        <f t="shared" si="130"/>
        <v>0</v>
      </c>
      <c r="AP266">
        <f t="shared" si="139"/>
        <v>0</v>
      </c>
      <c r="AQ266" t="e">
        <f t="shared" ca="1" si="131"/>
        <v>#VALUE!</v>
      </c>
      <c r="AR266" t="e">
        <f t="shared" ca="1" si="132"/>
        <v>#VALUE!</v>
      </c>
      <c r="AS266" t="e">
        <f t="shared" ca="1" si="133"/>
        <v>#VALUE!</v>
      </c>
    </row>
    <row r="267" spans="1:45" x14ac:dyDescent="0.35">
      <c r="A267">
        <v>118</v>
      </c>
      <c r="B267">
        <v>116.94799999999999</v>
      </c>
      <c r="C267">
        <v>616466.84900000005</v>
      </c>
      <c r="D267">
        <v>3097695.1570000001</v>
      </c>
      <c r="E267">
        <v>632.50350000000003</v>
      </c>
      <c r="F267">
        <v>5.2</v>
      </c>
      <c r="G267">
        <v>0</v>
      </c>
      <c r="H267" t="s">
        <v>191</v>
      </c>
      <c r="I267">
        <v>5.7000000000000002E-2</v>
      </c>
      <c r="J267">
        <f t="shared" si="134"/>
        <v>1</v>
      </c>
      <c r="K267">
        <f t="shared" si="135"/>
        <v>51</v>
      </c>
      <c r="L267" t="e">
        <f t="shared" ca="1" si="136"/>
        <v>#VALUE!</v>
      </c>
      <c r="M267" t="e">
        <f t="shared" ca="1" si="109"/>
        <v>#VALUE!</v>
      </c>
      <c r="N267" t="e">
        <f t="shared" ca="1" si="110"/>
        <v>#VALUE!</v>
      </c>
      <c r="O267" t="e">
        <f t="shared" ca="1" si="111"/>
        <v>#VALUE!</v>
      </c>
      <c r="P267" t="e">
        <f t="shared" ca="1" si="112"/>
        <v>#VALUE!</v>
      </c>
      <c r="Q267" t="e">
        <f t="shared" ca="1" si="113"/>
        <v>#VALUE!</v>
      </c>
      <c r="R267" t="e">
        <f t="shared" ca="1" si="114"/>
        <v>#VALUE!</v>
      </c>
      <c r="S267" t="e">
        <f t="shared" ca="1" si="115"/>
        <v>#VALUE!</v>
      </c>
      <c r="T267" t="e">
        <f t="shared" ca="1" si="116"/>
        <v>#VALUE!</v>
      </c>
      <c r="U267" t="e">
        <f t="shared" ca="1" si="137"/>
        <v>#VALUE!</v>
      </c>
      <c r="V267" t="e">
        <f t="shared" ca="1" si="138"/>
        <v>#VALUE!</v>
      </c>
      <c r="W267" t="e">
        <f t="shared" ca="1" si="117"/>
        <v>#VALUE!</v>
      </c>
      <c r="X267" t="e">
        <f t="shared" ca="1" si="118"/>
        <v>#VALUE!</v>
      </c>
      <c r="Y267" t="e">
        <f t="shared" ca="1" si="119"/>
        <v>#VALUE!</v>
      </c>
      <c r="Z267" t="e">
        <f t="shared" ca="1" si="120"/>
        <v>#VALUE!</v>
      </c>
      <c r="AA267" t="e">
        <f t="shared" ca="1" si="121"/>
        <v>#VALUE!</v>
      </c>
      <c r="AB267" t="e">
        <f t="shared" ca="1" si="122"/>
        <v>#VALUE!</v>
      </c>
      <c r="AC267" t="e">
        <f t="shared" ca="1" si="123"/>
        <v>#VALUE!</v>
      </c>
      <c r="AD267" t="e">
        <f t="shared" ca="1" si="124"/>
        <v>#VALUE!</v>
      </c>
      <c r="AE267" t="e">
        <f t="shared" ca="1" si="125"/>
        <v>#VALUE!</v>
      </c>
      <c r="AF267" t="e">
        <f t="shared" ca="1" si="126"/>
        <v>#VALUE!</v>
      </c>
      <c r="AG267" t="e">
        <f t="shared" ca="1" si="127"/>
        <v>#VALUE!</v>
      </c>
      <c r="AH267" t="e">
        <f ca="1">IF(V32="Supercritical",L267,IF(V32="Subcritical",W267,IF(AND(V267=1,AG267=1),IF(T267&gt;=AE267,L267,W267),IF(V267=1,L267,IF(AG267=1,W267,MAX($D$16,POWER((ABS(K267)^2)/($I$5*MAX(F267,0.1)^2),1/3)))))))</f>
        <v>#VALUE!</v>
      </c>
      <c r="AI267" t="e">
        <f t="shared" ca="1" si="128"/>
        <v>#VALUE!</v>
      </c>
      <c r="AJ267" t="e">
        <f t="shared" ca="1" si="129"/>
        <v>#VALUE!</v>
      </c>
      <c r="AM267">
        <v>0</v>
      </c>
      <c r="AN267">
        <v>0</v>
      </c>
      <c r="AO267">
        <f t="shared" si="130"/>
        <v>0</v>
      </c>
      <c r="AP267">
        <f t="shared" si="139"/>
        <v>0</v>
      </c>
      <c r="AQ267" t="e">
        <f t="shared" ca="1" si="131"/>
        <v>#VALUE!</v>
      </c>
      <c r="AR267" t="e">
        <f t="shared" ca="1" si="132"/>
        <v>#VALUE!</v>
      </c>
      <c r="AS267" t="e">
        <f t="shared" ca="1" si="133"/>
        <v>#VALUE!</v>
      </c>
    </row>
    <row r="268" spans="1:45" x14ac:dyDescent="0.35">
      <c r="A268">
        <v>119</v>
      </c>
      <c r="B268">
        <v>117.94799999999999</v>
      </c>
      <c r="C268">
        <v>616465.85</v>
      </c>
      <c r="D268">
        <v>3097695.11</v>
      </c>
      <c r="E268">
        <v>632.50300000000004</v>
      </c>
      <c r="F268">
        <v>5.2</v>
      </c>
      <c r="G268">
        <v>0</v>
      </c>
      <c r="H268" t="s">
        <v>191</v>
      </c>
      <c r="I268">
        <v>5.7000000000000002E-2</v>
      </c>
      <c r="J268">
        <f t="shared" si="134"/>
        <v>1</v>
      </c>
      <c r="K268">
        <f t="shared" si="135"/>
        <v>51</v>
      </c>
      <c r="L268" t="e">
        <f t="shared" ca="1" si="136"/>
        <v>#VALUE!</v>
      </c>
      <c r="M268" t="e">
        <f t="shared" ca="1" si="109"/>
        <v>#VALUE!</v>
      </c>
      <c r="N268" t="e">
        <f t="shared" ca="1" si="110"/>
        <v>#VALUE!</v>
      </c>
      <c r="O268" t="e">
        <f t="shared" ca="1" si="111"/>
        <v>#VALUE!</v>
      </c>
      <c r="P268" t="e">
        <f t="shared" ca="1" si="112"/>
        <v>#VALUE!</v>
      </c>
      <c r="Q268" t="e">
        <f t="shared" ca="1" si="113"/>
        <v>#VALUE!</v>
      </c>
      <c r="R268" t="e">
        <f t="shared" ca="1" si="114"/>
        <v>#VALUE!</v>
      </c>
      <c r="S268" t="e">
        <f t="shared" ca="1" si="115"/>
        <v>#VALUE!</v>
      </c>
      <c r="T268" t="e">
        <f t="shared" ca="1" si="116"/>
        <v>#VALUE!</v>
      </c>
      <c r="U268" t="e">
        <f t="shared" ca="1" si="137"/>
        <v>#VALUE!</v>
      </c>
      <c r="V268" t="e">
        <f t="shared" ca="1" si="138"/>
        <v>#VALUE!</v>
      </c>
      <c r="W268" t="e">
        <f t="shared" ca="1" si="117"/>
        <v>#VALUE!</v>
      </c>
      <c r="X268" t="e">
        <f t="shared" ca="1" si="118"/>
        <v>#VALUE!</v>
      </c>
      <c r="Y268" t="e">
        <f t="shared" ca="1" si="119"/>
        <v>#VALUE!</v>
      </c>
      <c r="Z268" t="e">
        <f t="shared" ca="1" si="120"/>
        <v>#VALUE!</v>
      </c>
      <c r="AA268" t="e">
        <f t="shared" ca="1" si="121"/>
        <v>#VALUE!</v>
      </c>
      <c r="AB268" t="e">
        <f t="shared" ca="1" si="122"/>
        <v>#VALUE!</v>
      </c>
      <c r="AC268" t="e">
        <f t="shared" ca="1" si="123"/>
        <v>#VALUE!</v>
      </c>
      <c r="AD268" t="e">
        <f t="shared" ca="1" si="124"/>
        <v>#VALUE!</v>
      </c>
      <c r="AE268" t="e">
        <f t="shared" ca="1" si="125"/>
        <v>#VALUE!</v>
      </c>
      <c r="AF268" t="e">
        <f t="shared" ca="1" si="126"/>
        <v>#VALUE!</v>
      </c>
      <c r="AG268" t="e">
        <f t="shared" ca="1" si="127"/>
        <v>#VALUE!</v>
      </c>
      <c r="AH268" t="e">
        <f ca="1">IF(V32="Supercritical",L268,IF(V32="Subcritical",W268,IF(AND(V268=1,AG268=1),IF(T268&gt;=AE268,L268,W268),IF(V268=1,L268,IF(AG268=1,W268,MAX($D$16,POWER((ABS(K268)^2)/($I$5*MAX(F268,0.1)^2),1/3)))))))</f>
        <v>#VALUE!</v>
      </c>
      <c r="AI268" t="e">
        <f t="shared" ca="1" si="128"/>
        <v>#VALUE!</v>
      </c>
      <c r="AJ268" t="e">
        <f t="shared" ca="1" si="129"/>
        <v>#VALUE!</v>
      </c>
      <c r="AM268">
        <v>0</v>
      </c>
      <c r="AN268">
        <v>0</v>
      </c>
      <c r="AO268">
        <f t="shared" si="130"/>
        <v>0</v>
      </c>
      <c r="AP268">
        <f t="shared" si="139"/>
        <v>0</v>
      </c>
      <c r="AQ268" t="e">
        <f t="shared" ca="1" si="131"/>
        <v>#VALUE!</v>
      </c>
      <c r="AR268" t="e">
        <f t="shared" ca="1" si="132"/>
        <v>#VALUE!</v>
      </c>
      <c r="AS268" t="e">
        <f t="shared" ca="1" si="133"/>
        <v>#VALUE!</v>
      </c>
    </row>
    <row r="269" spans="1:45" x14ac:dyDescent="0.35">
      <c r="A269">
        <v>120</v>
      </c>
      <c r="B269">
        <v>118.949</v>
      </c>
      <c r="C269">
        <v>616464.85100000002</v>
      </c>
      <c r="D269">
        <v>3097695.0619999999</v>
      </c>
      <c r="E269">
        <v>632.50250000000005</v>
      </c>
      <c r="F269">
        <v>5.2</v>
      </c>
      <c r="G269">
        <v>0</v>
      </c>
      <c r="H269" t="s">
        <v>191</v>
      </c>
      <c r="I269">
        <v>3.0000000000000001E-3</v>
      </c>
      <c r="J269">
        <f t="shared" si="134"/>
        <v>1.0010000000000048</v>
      </c>
      <c r="K269">
        <f t="shared" si="135"/>
        <v>51</v>
      </c>
      <c r="L269" t="e">
        <f t="shared" ca="1" si="136"/>
        <v>#VALUE!</v>
      </c>
      <c r="M269" t="e">
        <f t="shared" ca="1" si="109"/>
        <v>#VALUE!</v>
      </c>
      <c r="N269" t="e">
        <f t="shared" ca="1" si="110"/>
        <v>#VALUE!</v>
      </c>
      <c r="O269" t="e">
        <f t="shared" ca="1" si="111"/>
        <v>#VALUE!</v>
      </c>
      <c r="P269" t="e">
        <f t="shared" ca="1" si="112"/>
        <v>#VALUE!</v>
      </c>
      <c r="Q269" t="e">
        <f t="shared" ca="1" si="113"/>
        <v>#VALUE!</v>
      </c>
      <c r="R269" t="e">
        <f t="shared" ca="1" si="114"/>
        <v>#VALUE!</v>
      </c>
      <c r="S269" t="e">
        <f t="shared" ca="1" si="115"/>
        <v>#VALUE!</v>
      </c>
      <c r="T269" t="e">
        <f t="shared" ca="1" si="116"/>
        <v>#VALUE!</v>
      </c>
      <c r="U269" t="e">
        <f t="shared" ca="1" si="137"/>
        <v>#VALUE!</v>
      </c>
      <c r="V269" t="e">
        <f t="shared" ca="1" si="138"/>
        <v>#VALUE!</v>
      </c>
      <c r="W269" t="e">
        <f t="shared" ca="1" si="117"/>
        <v>#VALUE!</v>
      </c>
      <c r="X269" t="e">
        <f t="shared" ca="1" si="118"/>
        <v>#VALUE!</v>
      </c>
      <c r="Y269" t="e">
        <f t="shared" ca="1" si="119"/>
        <v>#VALUE!</v>
      </c>
      <c r="Z269" t="e">
        <f t="shared" ca="1" si="120"/>
        <v>#VALUE!</v>
      </c>
      <c r="AA269" t="e">
        <f t="shared" ca="1" si="121"/>
        <v>#VALUE!</v>
      </c>
      <c r="AB269" t="e">
        <f t="shared" ca="1" si="122"/>
        <v>#VALUE!</v>
      </c>
      <c r="AC269" t="e">
        <f t="shared" ca="1" si="123"/>
        <v>#VALUE!</v>
      </c>
      <c r="AD269" t="e">
        <f t="shared" ca="1" si="124"/>
        <v>#VALUE!</v>
      </c>
      <c r="AE269" t="e">
        <f t="shared" ca="1" si="125"/>
        <v>#VALUE!</v>
      </c>
      <c r="AF269" t="e">
        <f t="shared" ca="1" si="126"/>
        <v>#VALUE!</v>
      </c>
      <c r="AG269" t="e">
        <f t="shared" ca="1" si="127"/>
        <v>#VALUE!</v>
      </c>
      <c r="AH269" t="e">
        <f ca="1">IF(V32="Supercritical",L269,IF(V32="Subcritical",W269,IF(AND(V269=1,AG269=1),IF(T269&gt;=AE269,L269,W269),IF(V269=1,L269,IF(AG269=1,W269,MAX($D$16,POWER((ABS(K269)^2)/($I$5*MAX(F269,0.1)^2),1/3)))))))</f>
        <v>#VALUE!</v>
      </c>
      <c r="AI269" t="e">
        <f t="shared" ca="1" si="128"/>
        <v>#VALUE!</v>
      </c>
      <c r="AJ269" t="e">
        <f t="shared" ca="1" si="129"/>
        <v>#VALUE!</v>
      </c>
      <c r="AM269">
        <v>0</v>
      </c>
      <c r="AN269">
        <v>0</v>
      </c>
      <c r="AO269">
        <f t="shared" si="130"/>
        <v>0</v>
      </c>
      <c r="AP269">
        <f t="shared" si="139"/>
        <v>0</v>
      </c>
      <c r="AQ269" t="e">
        <f t="shared" ca="1" si="131"/>
        <v>#VALUE!</v>
      </c>
      <c r="AR269" t="e">
        <f t="shared" ca="1" si="132"/>
        <v>#VALUE!</v>
      </c>
      <c r="AS269" t="e">
        <f t="shared" ca="1" si="133"/>
        <v>#VALUE!</v>
      </c>
    </row>
    <row r="270" spans="1:45" x14ac:dyDescent="0.35">
      <c r="A270">
        <v>121</v>
      </c>
      <c r="B270">
        <v>119.94799999999999</v>
      </c>
      <c r="C270">
        <v>616463.853</v>
      </c>
      <c r="D270">
        <v>3097695.014</v>
      </c>
      <c r="E270">
        <v>632.50199999999995</v>
      </c>
      <c r="F270">
        <v>5.2</v>
      </c>
      <c r="G270">
        <v>0</v>
      </c>
      <c r="H270" t="s">
        <v>191</v>
      </c>
      <c r="I270">
        <v>0.06</v>
      </c>
      <c r="J270">
        <f t="shared" si="134"/>
        <v>0.99899999999999523</v>
      </c>
      <c r="K270">
        <f t="shared" si="135"/>
        <v>51</v>
      </c>
      <c r="L270" t="e">
        <f t="shared" ca="1" si="136"/>
        <v>#VALUE!</v>
      </c>
      <c r="M270" t="e">
        <f t="shared" ca="1" si="109"/>
        <v>#VALUE!</v>
      </c>
      <c r="N270" t="e">
        <f t="shared" ca="1" si="110"/>
        <v>#VALUE!</v>
      </c>
      <c r="O270" t="e">
        <f t="shared" ca="1" si="111"/>
        <v>#VALUE!</v>
      </c>
      <c r="P270" t="e">
        <f t="shared" ca="1" si="112"/>
        <v>#VALUE!</v>
      </c>
      <c r="Q270" t="e">
        <f t="shared" ca="1" si="113"/>
        <v>#VALUE!</v>
      </c>
      <c r="R270" t="e">
        <f t="shared" ca="1" si="114"/>
        <v>#VALUE!</v>
      </c>
      <c r="S270" t="e">
        <f t="shared" ca="1" si="115"/>
        <v>#VALUE!</v>
      </c>
      <c r="T270" t="e">
        <f t="shared" ca="1" si="116"/>
        <v>#VALUE!</v>
      </c>
      <c r="U270" t="e">
        <f t="shared" ca="1" si="137"/>
        <v>#VALUE!</v>
      </c>
      <c r="V270" t="e">
        <f t="shared" ca="1" si="138"/>
        <v>#VALUE!</v>
      </c>
      <c r="W270" t="e">
        <f t="shared" ca="1" si="117"/>
        <v>#VALUE!</v>
      </c>
      <c r="X270" t="e">
        <f t="shared" ca="1" si="118"/>
        <v>#VALUE!</v>
      </c>
      <c r="Y270" t="e">
        <f t="shared" ca="1" si="119"/>
        <v>#VALUE!</v>
      </c>
      <c r="Z270" t="e">
        <f t="shared" ca="1" si="120"/>
        <v>#VALUE!</v>
      </c>
      <c r="AA270" t="e">
        <f t="shared" ca="1" si="121"/>
        <v>#VALUE!</v>
      </c>
      <c r="AB270" t="e">
        <f t="shared" ca="1" si="122"/>
        <v>#VALUE!</v>
      </c>
      <c r="AC270" t="e">
        <f t="shared" ca="1" si="123"/>
        <v>#VALUE!</v>
      </c>
      <c r="AD270" t="e">
        <f t="shared" ca="1" si="124"/>
        <v>#VALUE!</v>
      </c>
      <c r="AE270" t="e">
        <f t="shared" ca="1" si="125"/>
        <v>#VALUE!</v>
      </c>
      <c r="AF270" t="e">
        <f t="shared" ca="1" si="126"/>
        <v>#VALUE!</v>
      </c>
      <c r="AG270" t="e">
        <f t="shared" ca="1" si="127"/>
        <v>#VALUE!</v>
      </c>
      <c r="AH270" t="e">
        <f ca="1">IF(V32="Supercritical",L270,IF(V32="Subcritical",W270,IF(AND(V270=1,AG270=1),IF(T270&gt;=AE270,L270,W270),IF(V270=1,L270,IF(AG270=1,W270,MAX($D$16,POWER((ABS(K270)^2)/($I$5*MAX(F270,0.1)^2),1/3)))))))</f>
        <v>#VALUE!</v>
      </c>
      <c r="AI270" t="e">
        <f t="shared" ca="1" si="128"/>
        <v>#VALUE!</v>
      </c>
      <c r="AJ270" t="e">
        <f t="shared" ca="1" si="129"/>
        <v>#VALUE!</v>
      </c>
      <c r="AM270">
        <v>0</v>
      </c>
      <c r="AN270">
        <v>0</v>
      </c>
      <c r="AO270">
        <f t="shared" si="130"/>
        <v>0</v>
      </c>
      <c r="AP270">
        <f t="shared" si="139"/>
        <v>0</v>
      </c>
      <c r="AQ270" t="e">
        <f t="shared" ca="1" si="131"/>
        <v>#VALUE!</v>
      </c>
      <c r="AR270" t="e">
        <f t="shared" ca="1" si="132"/>
        <v>#VALUE!</v>
      </c>
      <c r="AS270" t="e">
        <f t="shared" ca="1" si="133"/>
        <v>#VALUE!</v>
      </c>
    </row>
    <row r="271" spans="1:45" x14ac:dyDescent="0.35">
      <c r="A271">
        <v>122</v>
      </c>
      <c r="B271">
        <v>120.94799999999999</v>
      </c>
      <c r="C271">
        <v>616462.85400000005</v>
      </c>
      <c r="D271">
        <v>3097694.9670000002</v>
      </c>
      <c r="E271">
        <v>632.50149999999996</v>
      </c>
      <c r="F271">
        <v>5.2</v>
      </c>
      <c r="G271">
        <v>0</v>
      </c>
      <c r="H271" t="s">
        <v>191</v>
      </c>
      <c r="I271">
        <v>5.7000000000000002E-2</v>
      </c>
      <c r="J271">
        <f t="shared" si="134"/>
        <v>1</v>
      </c>
      <c r="K271">
        <f t="shared" si="135"/>
        <v>51</v>
      </c>
      <c r="L271" t="e">
        <f t="shared" ca="1" si="136"/>
        <v>#VALUE!</v>
      </c>
      <c r="M271" t="e">
        <f t="shared" ca="1" si="109"/>
        <v>#VALUE!</v>
      </c>
      <c r="N271" t="e">
        <f t="shared" ca="1" si="110"/>
        <v>#VALUE!</v>
      </c>
      <c r="O271" t="e">
        <f t="shared" ca="1" si="111"/>
        <v>#VALUE!</v>
      </c>
      <c r="P271" t="e">
        <f t="shared" ca="1" si="112"/>
        <v>#VALUE!</v>
      </c>
      <c r="Q271" t="e">
        <f t="shared" ca="1" si="113"/>
        <v>#VALUE!</v>
      </c>
      <c r="R271" t="e">
        <f t="shared" ca="1" si="114"/>
        <v>#VALUE!</v>
      </c>
      <c r="S271" t="e">
        <f t="shared" ca="1" si="115"/>
        <v>#VALUE!</v>
      </c>
      <c r="T271" t="e">
        <f t="shared" ca="1" si="116"/>
        <v>#VALUE!</v>
      </c>
      <c r="U271" t="e">
        <f t="shared" ca="1" si="137"/>
        <v>#VALUE!</v>
      </c>
      <c r="V271" t="e">
        <f t="shared" ca="1" si="138"/>
        <v>#VALUE!</v>
      </c>
      <c r="W271" t="e">
        <f t="shared" ca="1" si="117"/>
        <v>#VALUE!</v>
      </c>
      <c r="X271" t="e">
        <f t="shared" ca="1" si="118"/>
        <v>#VALUE!</v>
      </c>
      <c r="Y271" t="e">
        <f t="shared" ca="1" si="119"/>
        <v>#VALUE!</v>
      </c>
      <c r="Z271" t="e">
        <f t="shared" ca="1" si="120"/>
        <v>#VALUE!</v>
      </c>
      <c r="AA271" t="e">
        <f t="shared" ca="1" si="121"/>
        <v>#VALUE!</v>
      </c>
      <c r="AB271" t="e">
        <f t="shared" ca="1" si="122"/>
        <v>#VALUE!</v>
      </c>
      <c r="AC271" t="e">
        <f t="shared" ca="1" si="123"/>
        <v>#VALUE!</v>
      </c>
      <c r="AD271" t="e">
        <f t="shared" ca="1" si="124"/>
        <v>#VALUE!</v>
      </c>
      <c r="AE271" t="e">
        <f t="shared" ca="1" si="125"/>
        <v>#VALUE!</v>
      </c>
      <c r="AF271" t="e">
        <f t="shared" ca="1" si="126"/>
        <v>#VALUE!</v>
      </c>
      <c r="AG271" t="e">
        <f t="shared" ca="1" si="127"/>
        <v>#VALUE!</v>
      </c>
      <c r="AH271" t="e">
        <f ca="1">IF(V32="Supercritical",L271,IF(V32="Subcritical",W271,IF(AND(V271=1,AG271=1),IF(T271&gt;=AE271,L271,W271),IF(V271=1,L271,IF(AG271=1,W271,MAX($D$16,POWER((ABS(K271)^2)/($I$5*MAX(F271,0.1)^2),1/3)))))))</f>
        <v>#VALUE!</v>
      </c>
      <c r="AI271" t="e">
        <f t="shared" ca="1" si="128"/>
        <v>#VALUE!</v>
      </c>
      <c r="AJ271" t="e">
        <f t="shared" ca="1" si="129"/>
        <v>#VALUE!</v>
      </c>
      <c r="AM271">
        <v>0</v>
      </c>
      <c r="AN271">
        <v>0</v>
      </c>
      <c r="AO271">
        <f t="shared" si="130"/>
        <v>0</v>
      </c>
      <c r="AP271">
        <f t="shared" si="139"/>
        <v>0</v>
      </c>
      <c r="AQ271" t="e">
        <f t="shared" ca="1" si="131"/>
        <v>#VALUE!</v>
      </c>
      <c r="AR271" t="e">
        <f t="shared" ca="1" si="132"/>
        <v>#VALUE!</v>
      </c>
      <c r="AS271" t="e">
        <f t="shared" ca="1" si="133"/>
        <v>#VALUE!</v>
      </c>
    </row>
    <row r="272" spans="1:45" x14ac:dyDescent="0.35">
      <c r="A272">
        <v>123</v>
      </c>
      <c r="B272">
        <v>121.94799999999999</v>
      </c>
      <c r="C272">
        <v>616461.85499999998</v>
      </c>
      <c r="D272">
        <v>3097694.9190000002</v>
      </c>
      <c r="E272">
        <v>632.50099999999998</v>
      </c>
      <c r="F272">
        <v>5.2</v>
      </c>
      <c r="G272">
        <v>0</v>
      </c>
      <c r="H272" t="s">
        <v>191</v>
      </c>
      <c r="I272">
        <v>5.7000000000000002E-2</v>
      </c>
      <c r="J272">
        <f t="shared" si="134"/>
        <v>1</v>
      </c>
      <c r="K272">
        <f t="shared" si="135"/>
        <v>51</v>
      </c>
      <c r="L272" t="e">
        <f t="shared" ca="1" si="136"/>
        <v>#VALUE!</v>
      </c>
      <c r="M272" t="e">
        <f t="shared" ca="1" si="109"/>
        <v>#VALUE!</v>
      </c>
      <c r="N272" t="e">
        <f t="shared" ca="1" si="110"/>
        <v>#VALUE!</v>
      </c>
      <c r="O272" t="e">
        <f t="shared" ca="1" si="111"/>
        <v>#VALUE!</v>
      </c>
      <c r="P272" t="e">
        <f t="shared" ca="1" si="112"/>
        <v>#VALUE!</v>
      </c>
      <c r="Q272" t="e">
        <f t="shared" ca="1" si="113"/>
        <v>#VALUE!</v>
      </c>
      <c r="R272" t="e">
        <f t="shared" ca="1" si="114"/>
        <v>#VALUE!</v>
      </c>
      <c r="S272" t="e">
        <f t="shared" ca="1" si="115"/>
        <v>#VALUE!</v>
      </c>
      <c r="T272" t="e">
        <f t="shared" ca="1" si="116"/>
        <v>#VALUE!</v>
      </c>
      <c r="U272" t="e">
        <f t="shared" ca="1" si="137"/>
        <v>#VALUE!</v>
      </c>
      <c r="V272" t="e">
        <f t="shared" ca="1" si="138"/>
        <v>#VALUE!</v>
      </c>
      <c r="W272" t="e">
        <f t="shared" ca="1" si="117"/>
        <v>#VALUE!</v>
      </c>
      <c r="X272" t="e">
        <f t="shared" ca="1" si="118"/>
        <v>#VALUE!</v>
      </c>
      <c r="Y272" t="e">
        <f t="shared" ca="1" si="119"/>
        <v>#VALUE!</v>
      </c>
      <c r="Z272" t="e">
        <f t="shared" ca="1" si="120"/>
        <v>#VALUE!</v>
      </c>
      <c r="AA272" t="e">
        <f t="shared" ca="1" si="121"/>
        <v>#VALUE!</v>
      </c>
      <c r="AB272" t="e">
        <f t="shared" ca="1" si="122"/>
        <v>#VALUE!</v>
      </c>
      <c r="AC272" t="e">
        <f t="shared" ca="1" si="123"/>
        <v>#VALUE!</v>
      </c>
      <c r="AD272" t="e">
        <f t="shared" ca="1" si="124"/>
        <v>#VALUE!</v>
      </c>
      <c r="AE272" t="e">
        <f t="shared" ca="1" si="125"/>
        <v>#VALUE!</v>
      </c>
      <c r="AF272" t="e">
        <f t="shared" ca="1" si="126"/>
        <v>#VALUE!</v>
      </c>
      <c r="AG272" t="e">
        <f t="shared" ca="1" si="127"/>
        <v>#VALUE!</v>
      </c>
      <c r="AH272" t="e">
        <f ca="1">IF(V32="Supercritical",L272,IF(V32="Subcritical",W272,IF(AND(V272=1,AG272=1),IF(T272&gt;=AE272,L272,W272),IF(V272=1,L272,IF(AG272=1,W272,MAX($D$16,POWER((ABS(K272)^2)/($I$5*MAX(F272,0.1)^2),1/3)))))))</f>
        <v>#VALUE!</v>
      </c>
      <c r="AI272" t="e">
        <f t="shared" ca="1" si="128"/>
        <v>#VALUE!</v>
      </c>
      <c r="AJ272" t="e">
        <f t="shared" ca="1" si="129"/>
        <v>#VALUE!</v>
      </c>
      <c r="AM272">
        <v>0</v>
      </c>
      <c r="AN272">
        <v>0</v>
      </c>
      <c r="AO272">
        <f t="shared" si="130"/>
        <v>0</v>
      </c>
      <c r="AP272">
        <f t="shared" si="139"/>
        <v>0</v>
      </c>
      <c r="AQ272" t="e">
        <f t="shared" ca="1" si="131"/>
        <v>#VALUE!</v>
      </c>
      <c r="AR272" t="e">
        <f t="shared" ca="1" si="132"/>
        <v>#VALUE!</v>
      </c>
      <c r="AS272" t="e">
        <f t="shared" ca="1" si="133"/>
        <v>#VALUE!</v>
      </c>
    </row>
    <row r="273" spans="1:45" x14ac:dyDescent="0.35">
      <c r="A273">
        <v>124</v>
      </c>
      <c r="B273">
        <v>122.94799999999999</v>
      </c>
      <c r="C273">
        <v>616460.85600000003</v>
      </c>
      <c r="D273">
        <v>3097694.872</v>
      </c>
      <c r="E273">
        <v>632.50049999999999</v>
      </c>
      <c r="F273">
        <v>5.2</v>
      </c>
      <c r="G273">
        <v>0</v>
      </c>
      <c r="H273" t="s">
        <v>191</v>
      </c>
      <c r="I273">
        <v>5.7000000000000002E-2</v>
      </c>
      <c r="J273">
        <f t="shared" si="134"/>
        <v>1</v>
      </c>
      <c r="K273">
        <f t="shared" si="135"/>
        <v>51</v>
      </c>
      <c r="L273" t="e">
        <f t="shared" ca="1" si="136"/>
        <v>#VALUE!</v>
      </c>
      <c r="M273" t="e">
        <f t="shared" ca="1" si="109"/>
        <v>#VALUE!</v>
      </c>
      <c r="N273" t="e">
        <f t="shared" ca="1" si="110"/>
        <v>#VALUE!</v>
      </c>
      <c r="O273" t="e">
        <f t="shared" ca="1" si="111"/>
        <v>#VALUE!</v>
      </c>
      <c r="P273" t="e">
        <f t="shared" ca="1" si="112"/>
        <v>#VALUE!</v>
      </c>
      <c r="Q273" t="e">
        <f t="shared" ca="1" si="113"/>
        <v>#VALUE!</v>
      </c>
      <c r="R273" t="e">
        <f t="shared" ca="1" si="114"/>
        <v>#VALUE!</v>
      </c>
      <c r="S273" t="e">
        <f t="shared" ca="1" si="115"/>
        <v>#VALUE!</v>
      </c>
      <c r="T273" t="e">
        <f t="shared" ca="1" si="116"/>
        <v>#VALUE!</v>
      </c>
      <c r="U273" t="e">
        <f t="shared" ca="1" si="137"/>
        <v>#VALUE!</v>
      </c>
      <c r="V273" t="e">
        <f t="shared" ca="1" si="138"/>
        <v>#VALUE!</v>
      </c>
      <c r="W273" t="e">
        <f t="shared" ca="1" si="117"/>
        <v>#VALUE!</v>
      </c>
      <c r="X273" t="e">
        <f t="shared" ca="1" si="118"/>
        <v>#VALUE!</v>
      </c>
      <c r="Y273" t="e">
        <f t="shared" ca="1" si="119"/>
        <v>#VALUE!</v>
      </c>
      <c r="Z273" t="e">
        <f t="shared" ca="1" si="120"/>
        <v>#VALUE!</v>
      </c>
      <c r="AA273" t="e">
        <f t="shared" ca="1" si="121"/>
        <v>#VALUE!</v>
      </c>
      <c r="AB273" t="e">
        <f t="shared" ca="1" si="122"/>
        <v>#VALUE!</v>
      </c>
      <c r="AC273" t="e">
        <f t="shared" ca="1" si="123"/>
        <v>#VALUE!</v>
      </c>
      <c r="AD273" t="e">
        <f t="shared" ca="1" si="124"/>
        <v>#VALUE!</v>
      </c>
      <c r="AE273" t="e">
        <f t="shared" ca="1" si="125"/>
        <v>#VALUE!</v>
      </c>
      <c r="AF273" t="e">
        <f t="shared" ca="1" si="126"/>
        <v>#VALUE!</v>
      </c>
      <c r="AG273" t="e">
        <f t="shared" ca="1" si="127"/>
        <v>#VALUE!</v>
      </c>
      <c r="AH273" t="e">
        <f ca="1">IF(V32="Supercritical",L273,IF(V32="Subcritical",W273,IF(AND(V273=1,AG273=1),IF(T273&gt;=AE273,L273,W273),IF(V273=1,L273,IF(AG273=1,W273,MAX($D$16,POWER((ABS(K273)^2)/($I$5*MAX(F273,0.1)^2),1/3)))))))</f>
        <v>#VALUE!</v>
      </c>
      <c r="AI273" t="e">
        <f t="shared" ca="1" si="128"/>
        <v>#VALUE!</v>
      </c>
      <c r="AJ273" t="e">
        <f t="shared" ca="1" si="129"/>
        <v>#VALUE!</v>
      </c>
      <c r="AM273">
        <v>0</v>
      </c>
      <c r="AN273">
        <v>0</v>
      </c>
      <c r="AO273">
        <f t="shared" si="130"/>
        <v>0</v>
      </c>
      <c r="AP273">
        <f t="shared" si="139"/>
        <v>0</v>
      </c>
      <c r="AQ273" t="e">
        <f t="shared" ca="1" si="131"/>
        <v>#VALUE!</v>
      </c>
      <c r="AR273" t="e">
        <f t="shared" ca="1" si="132"/>
        <v>#VALUE!</v>
      </c>
      <c r="AS273" t="e">
        <f t="shared" ca="1" si="133"/>
        <v>#VALUE!</v>
      </c>
    </row>
    <row r="274" spans="1:45" x14ac:dyDescent="0.35">
      <c r="A274">
        <v>125</v>
      </c>
      <c r="B274">
        <v>123.94799999999999</v>
      </c>
      <c r="C274">
        <v>616459.85699999996</v>
      </c>
      <c r="D274">
        <v>3097694.824</v>
      </c>
      <c r="E274">
        <v>632.5</v>
      </c>
      <c r="F274">
        <v>5.2</v>
      </c>
      <c r="G274">
        <v>0</v>
      </c>
      <c r="H274" t="s">
        <v>191</v>
      </c>
      <c r="I274">
        <v>0</v>
      </c>
      <c r="J274">
        <f t="shared" si="134"/>
        <v>1</v>
      </c>
      <c r="K274">
        <f t="shared" si="135"/>
        <v>51</v>
      </c>
      <c r="L274" t="e">
        <f t="shared" ca="1" si="136"/>
        <v>#VALUE!</v>
      </c>
      <c r="M274" t="e">
        <f t="shared" ca="1" si="109"/>
        <v>#VALUE!</v>
      </c>
      <c r="N274" t="e">
        <f t="shared" ca="1" si="110"/>
        <v>#VALUE!</v>
      </c>
      <c r="O274" t="e">
        <f t="shared" ca="1" si="111"/>
        <v>#VALUE!</v>
      </c>
      <c r="P274" t="e">
        <f t="shared" ca="1" si="112"/>
        <v>#VALUE!</v>
      </c>
      <c r="Q274" t="e">
        <f t="shared" ca="1" si="113"/>
        <v>#VALUE!</v>
      </c>
      <c r="R274" t="e">
        <f t="shared" ca="1" si="114"/>
        <v>#VALUE!</v>
      </c>
      <c r="S274" t="e">
        <f t="shared" ca="1" si="115"/>
        <v>#VALUE!</v>
      </c>
      <c r="T274" t="e">
        <f t="shared" ca="1" si="116"/>
        <v>#VALUE!</v>
      </c>
      <c r="U274" t="e">
        <f t="shared" ca="1" si="137"/>
        <v>#VALUE!</v>
      </c>
      <c r="V274" t="e">
        <f t="shared" ca="1" si="138"/>
        <v>#VALUE!</v>
      </c>
      <c r="W274" t="e">
        <f t="shared" ca="1" si="117"/>
        <v>#VALUE!</v>
      </c>
      <c r="X274" t="e">
        <f t="shared" ca="1" si="118"/>
        <v>#VALUE!</v>
      </c>
      <c r="Y274" t="e">
        <f t="shared" ca="1" si="119"/>
        <v>#VALUE!</v>
      </c>
      <c r="Z274" t="e">
        <f t="shared" ca="1" si="120"/>
        <v>#VALUE!</v>
      </c>
      <c r="AA274" t="e">
        <f t="shared" ca="1" si="121"/>
        <v>#VALUE!</v>
      </c>
      <c r="AB274" t="e">
        <f t="shared" ca="1" si="122"/>
        <v>#VALUE!</v>
      </c>
      <c r="AC274" t="e">
        <f t="shared" ca="1" si="123"/>
        <v>#VALUE!</v>
      </c>
      <c r="AD274" t="e">
        <f t="shared" ca="1" si="124"/>
        <v>#VALUE!</v>
      </c>
      <c r="AE274" t="e">
        <f t="shared" ca="1" si="125"/>
        <v>#VALUE!</v>
      </c>
      <c r="AF274" t="e">
        <f t="shared" ca="1" si="126"/>
        <v>#VALUE!</v>
      </c>
      <c r="AG274" t="e">
        <f t="shared" ca="1" si="127"/>
        <v>#VALUE!</v>
      </c>
      <c r="AH274" t="e">
        <f ca="1">IF(V32="Supercritical",L274,IF(V32="Subcritical",W274,IF(AND(V274=1,AG274=1),IF(T274&gt;=AE274,L274,W274),IF(V274=1,L274,IF(AG274=1,W274,MAX($D$16,POWER((ABS(K274)^2)/($I$5*MAX(F274,0.1)^2),1/3)))))))</f>
        <v>#VALUE!</v>
      </c>
      <c r="AI274" t="e">
        <f t="shared" ca="1" si="128"/>
        <v>#VALUE!</v>
      </c>
      <c r="AJ274" t="e">
        <f t="shared" ca="1" si="129"/>
        <v>#VALUE!</v>
      </c>
      <c r="AM274">
        <v>0</v>
      </c>
      <c r="AN274">
        <v>0</v>
      </c>
      <c r="AO274">
        <f t="shared" si="130"/>
        <v>0</v>
      </c>
      <c r="AP274">
        <f t="shared" si="139"/>
        <v>0</v>
      </c>
      <c r="AQ274" t="e">
        <f t="shared" ca="1" si="131"/>
        <v>#VALUE!</v>
      </c>
      <c r="AR274" t="e">
        <f t="shared" ca="1" si="132"/>
        <v>#VALUE!</v>
      </c>
      <c r="AS274" t="e">
        <f t="shared" ca="1" si="133"/>
        <v>#VALUE!</v>
      </c>
    </row>
    <row r="275" spans="1:45" x14ac:dyDescent="0.35">
      <c r="A275">
        <v>126</v>
      </c>
      <c r="B275">
        <v>124.94799999999999</v>
      </c>
      <c r="C275">
        <v>616458.85800000001</v>
      </c>
      <c r="D275">
        <v>3097694.7760000001</v>
      </c>
      <c r="E275">
        <v>632.49950000000001</v>
      </c>
      <c r="F275">
        <v>5.2</v>
      </c>
      <c r="G275">
        <v>0</v>
      </c>
      <c r="H275" t="s">
        <v>191</v>
      </c>
      <c r="I275">
        <v>5.7000000000000002E-2</v>
      </c>
      <c r="J275">
        <f t="shared" si="134"/>
        <v>1</v>
      </c>
      <c r="K275">
        <f t="shared" si="135"/>
        <v>51</v>
      </c>
      <c r="L275" t="e">
        <f t="shared" ca="1" si="136"/>
        <v>#VALUE!</v>
      </c>
      <c r="M275" t="e">
        <f t="shared" ca="1" si="109"/>
        <v>#VALUE!</v>
      </c>
      <c r="N275" t="e">
        <f t="shared" ca="1" si="110"/>
        <v>#VALUE!</v>
      </c>
      <c r="O275" t="e">
        <f t="shared" ca="1" si="111"/>
        <v>#VALUE!</v>
      </c>
      <c r="P275" t="e">
        <f t="shared" ca="1" si="112"/>
        <v>#VALUE!</v>
      </c>
      <c r="Q275" t="e">
        <f t="shared" ca="1" si="113"/>
        <v>#VALUE!</v>
      </c>
      <c r="R275" t="e">
        <f t="shared" ca="1" si="114"/>
        <v>#VALUE!</v>
      </c>
      <c r="S275" t="e">
        <f t="shared" ca="1" si="115"/>
        <v>#VALUE!</v>
      </c>
      <c r="T275" t="e">
        <f t="shared" ca="1" si="116"/>
        <v>#VALUE!</v>
      </c>
      <c r="U275" t="e">
        <f t="shared" ca="1" si="137"/>
        <v>#VALUE!</v>
      </c>
      <c r="V275" t="e">
        <f t="shared" ca="1" si="138"/>
        <v>#VALUE!</v>
      </c>
      <c r="W275" t="e">
        <f t="shared" ca="1" si="117"/>
        <v>#VALUE!</v>
      </c>
      <c r="X275" t="e">
        <f t="shared" ca="1" si="118"/>
        <v>#VALUE!</v>
      </c>
      <c r="Y275" t="e">
        <f t="shared" ca="1" si="119"/>
        <v>#VALUE!</v>
      </c>
      <c r="Z275" t="e">
        <f t="shared" ca="1" si="120"/>
        <v>#VALUE!</v>
      </c>
      <c r="AA275" t="e">
        <f t="shared" ca="1" si="121"/>
        <v>#VALUE!</v>
      </c>
      <c r="AB275" t="e">
        <f t="shared" ca="1" si="122"/>
        <v>#VALUE!</v>
      </c>
      <c r="AC275" t="e">
        <f t="shared" ca="1" si="123"/>
        <v>#VALUE!</v>
      </c>
      <c r="AD275" t="e">
        <f t="shared" ca="1" si="124"/>
        <v>#VALUE!</v>
      </c>
      <c r="AE275" t="e">
        <f t="shared" ca="1" si="125"/>
        <v>#VALUE!</v>
      </c>
      <c r="AF275" t="e">
        <f t="shared" ca="1" si="126"/>
        <v>#VALUE!</v>
      </c>
      <c r="AG275" t="e">
        <f t="shared" ca="1" si="127"/>
        <v>#VALUE!</v>
      </c>
      <c r="AH275" t="e">
        <f ca="1">IF(V32="Supercritical",L275,IF(V32="Subcritical",W275,IF(AND(V275=1,AG275=1),IF(T275&gt;=AE275,L275,W275),IF(V275=1,L275,IF(AG275=1,W275,MAX($D$16,POWER((ABS(K275)^2)/($I$5*MAX(F275,0.1)^2),1/3)))))))</f>
        <v>#VALUE!</v>
      </c>
      <c r="AI275" t="e">
        <f t="shared" ca="1" si="128"/>
        <v>#VALUE!</v>
      </c>
      <c r="AJ275" t="e">
        <f t="shared" ca="1" si="129"/>
        <v>#VALUE!</v>
      </c>
      <c r="AM275">
        <v>0</v>
      </c>
      <c r="AN275">
        <v>0</v>
      </c>
      <c r="AO275">
        <f t="shared" si="130"/>
        <v>0</v>
      </c>
      <c r="AP275">
        <f t="shared" si="139"/>
        <v>0</v>
      </c>
      <c r="AQ275" t="e">
        <f t="shared" ca="1" si="131"/>
        <v>#VALUE!</v>
      </c>
      <c r="AR275" t="e">
        <f t="shared" ca="1" si="132"/>
        <v>#VALUE!</v>
      </c>
      <c r="AS275" t="e">
        <f t="shared" ca="1" si="133"/>
        <v>#VALUE!</v>
      </c>
    </row>
    <row r="276" spans="1:45" x14ac:dyDescent="0.35">
      <c r="A276">
        <v>127</v>
      </c>
      <c r="B276">
        <v>125.949</v>
      </c>
      <c r="C276">
        <v>616457.85900000005</v>
      </c>
      <c r="D276">
        <v>3097694.7289999998</v>
      </c>
      <c r="E276">
        <v>632.49900000000002</v>
      </c>
      <c r="F276">
        <v>5.2</v>
      </c>
      <c r="G276">
        <v>0</v>
      </c>
      <c r="H276" t="s">
        <v>191</v>
      </c>
      <c r="I276">
        <v>5.7000000000000002E-2</v>
      </c>
      <c r="J276">
        <f t="shared" si="134"/>
        <v>1.0010000000000048</v>
      </c>
      <c r="K276">
        <f t="shared" si="135"/>
        <v>51</v>
      </c>
      <c r="L276" t="e">
        <f t="shared" ca="1" si="136"/>
        <v>#VALUE!</v>
      </c>
      <c r="M276" t="e">
        <f t="shared" ca="1" si="109"/>
        <v>#VALUE!</v>
      </c>
      <c r="N276" t="e">
        <f t="shared" ca="1" si="110"/>
        <v>#VALUE!</v>
      </c>
      <c r="O276" t="e">
        <f t="shared" ca="1" si="111"/>
        <v>#VALUE!</v>
      </c>
      <c r="P276" t="e">
        <f t="shared" ca="1" si="112"/>
        <v>#VALUE!</v>
      </c>
      <c r="Q276" t="e">
        <f t="shared" ca="1" si="113"/>
        <v>#VALUE!</v>
      </c>
      <c r="R276" t="e">
        <f t="shared" ca="1" si="114"/>
        <v>#VALUE!</v>
      </c>
      <c r="S276" t="e">
        <f t="shared" ca="1" si="115"/>
        <v>#VALUE!</v>
      </c>
      <c r="T276" t="e">
        <f t="shared" ca="1" si="116"/>
        <v>#VALUE!</v>
      </c>
      <c r="U276" t="e">
        <f t="shared" ca="1" si="137"/>
        <v>#VALUE!</v>
      </c>
      <c r="V276" t="e">
        <f t="shared" ca="1" si="138"/>
        <v>#VALUE!</v>
      </c>
      <c r="W276" t="e">
        <f t="shared" ca="1" si="117"/>
        <v>#VALUE!</v>
      </c>
      <c r="X276" t="e">
        <f t="shared" ca="1" si="118"/>
        <v>#VALUE!</v>
      </c>
      <c r="Y276" t="e">
        <f t="shared" ca="1" si="119"/>
        <v>#VALUE!</v>
      </c>
      <c r="Z276" t="e">
        <f t="shared" ca="1" si="120"/>
        <v>#VALUE!</v>
      </c>
      <c r="AA276" t="e">
        <f t="shared" ca="1" si="121"/>
        <v>#VALUE!</v>
      </c>
      <c r="AB276" t="e">
        <f t="shared" ca="1" si="122"/>
        <v>#VALUE!</v>
      </c>
      <c r="AC276" t="e">
        <f t="shared" ca="1" si="123"/>
        <v>#VALUE!</v>
      </c>
      <c r="AD276" t="e">
        <f t="shared" ca="1" si="124"/>
        <v>#VALUE!</v>
      </c>
      <c r="AE276" t="e">
        <f t="shared" ca="1" si="125"/>
        <v>#VALUE!</v>
      </c>
      <c r="AF276" t="e">
        <f t="shared" ca="1" si="126"/>
        <v>#VALUE!</v>
      </c>
      <c r="AG276" t="e">
        <f t="shared" ca="1" si="127"/>
        <v>#VALUE!</v>
      </c>
      <c r="AH276" t="e">
        <f ca="1">IF(V32="Supercritical",L276,IF(V32="Subcritical",W276,IF(AND(V276=1,AG276=1),IF(T276&gt;=AE276,L276,W276),IF(V276=1,L276,IF(AG276=1,W276,MAX($D$16,POWER((ABS(K276)^2)/($I$5*MAX(F276,0.1)^2),1/3)))))))</f>
        <v>#VALUE!</v>
      </c>
      <c r="AI276" t="e">
        <f t="shared" ca="1" si="128"/>
        <v>#VALUE!</v>
      </c>
      <c r="AJ276" t="e">
        <f t="shared" ca="1" si="129"/>
        <v>#VALUE!</v>
      </c>
      <c r="AM276">
        <v>0</v>
      </c>
      <c r="AN276">
        <v>0</v>
      </c>
      <c r="AO276">
        <f t="shared" si="130"/>
        <v>0</v>
      </c>
      <c r="AP276">
        <f t="shared" si="139"/>
        <v>0</v>
      </c>
      <c r="AQ276" t="e">
        <f t="shared" ca="1" si="131"/>
        <v>#VALUE!</v>
      </c>
      <c r="AR276" t="e">
        <f t="shared" ca="1" si="132"/>
        <v>#VALUE!</v>
      </c>
      <c r="AS276" t="e">
        <f t="shared" ca="1" si="133"/>
        <v>#VALUE!</v>
      </c>
    </row>
    <row r="277" spans="1:45" x14ac:dyDescent="0.35">
      <c r="A277">
        <v>128</v>
      </c>
      <c r="B277">
        <v>126.949</v>
      </c>
      <c r="C277">
        <v>616456.86</v>
      </c>
      <c r="D277">
        <v>3097694.6809999999</v>
      </c>
      <c r="E277">
        <v>632.49850000000004</v>
      </c>
      <c r="F277">
        <v>5.2</v>
      </c>
      <c r="G277">
        <v>0</v>
      </c>
      <c r="H277" t="s">
        <v>191</v>
      </c>
      <c r="I277">
        <v>3.0000000000000001E-3</v>
      </c>
      <c r="J277">
        <f t="shared" si="134"/>
        <v>1</v>
      </c>
      <c r="K277">
        <f t="shared" si="135"/>
        <v>51</v>
      </c>
      <c r="L277" t="e">
        <f t="shared" ca="1" si="136"/>
        <v>#VALUE!</v>
      </c>
      <c r="M277" t="e">
        <f t="shared" ca="1" si="109"/>
        <v>#VALUE!</v>
      </c>
      <c r="N277" t="e">
        <f t="shared" ca="1" si="110"/>
        <v>#VALUE!</v>
      </c>
      <c r="O277" t="e">
        <f t="shared" ca="1" si="111"/>
        <v>#VALUE!</v>
      </c>
      <c r="P277" t="e">
        <f t="shared" ca="1" si="112"/>
        <v>#VALUE!</v>
      </c>
      <c r="Q277" t="e">
        <f t="shared" ca="1" si="113"/>
        <v>#VALUE!</v>
      </c>
      <c r="R277" t="e">
        <f t="shared" ca="1" si="114"/>
        <v>#VALUE!</v>
      </c>
      <c r="S277" t="e">
        <f t="shared" ca="1" si="115"/>
        <v>#VALUE!</v>
      </c>
      <c r="T277" t="e">
        <f t="shared" ca="1" si="116"/>
        <v>#VALUE!</v>
      </c>
      <c r="U277" t="e">
        <f t="shared" ca="1" si="137"/>
        <v>#VALUE!</v>
      </c>
      <c r="V277" t="e">
        <f t="shared" ca="1" si="138"/>
        <v>#VALUE!</v>
      </c>
      <c r="W277" t="e">
        <f t="shared" ca="1" si="117"/>
        <v>#VALUE!</v>
      </c>
      <c r="X277" t="e">
        <f t="shared" ca="1" si="118"/>
        <v>#VALUE!</v>
      </c>
      <c r="Y277" t="e">
        <f t="shared" ca="1" si="119"/>
        <v>#VALUE!</v>
      </c>
      <c r="Z277" t="e">
        <f t="shared" ca="1" si="120"/>
        <v>#VALUE!</v>
      </c>
      <c r="AA277" t="e">
        <f t="shared" ca="1" si="121"/>
        <v>#VALUE!</v>
      </c>
      <c r="AB277" t="e">
        <f t="shared" ca="1" si="122"/>
        <v>#VALUE!</v>
      </c>
      <c r="AC277" t="e">
        <f t="shared" ca="1" si="123"/>
        <v>#VALUE!</v>
      </c>
      <c r="AD277" t="e">
        <f t="shared" ca="1" si="124"/>
        <v>#VALUE!</v>
      </c>
      <c r="AE277" t="e">
        <f t="shared" ca="1" si="125"/>
        <v>#VALUE!</v>
      </c>
      <c r="AF277" t="e">
        <f t="shared" ca="1" si="126"/>
        <v>#VALUE!</v>
      </c>
      <c r="AG277" t="e">
        <f t="shared" ca="1" si="127"/>
        <v>#VALUE!</v>
      </c>
      <c r="AH277" t="e">
        <f ca="1">IF(V32="Supercritical",L277,IF(V32="Subcritical",W277,IF(AND(V277=1,AG277=1),IF(T277&gt;=AE277,L277,W277),IF(V277=1,L277,IF(AG277=1,W277,MAX($D$16,POWER((ABS(K277)^2)/($I$5*MAX(F277,0.1)^2),1/3)))))))</f>
        <v>#VALUE!</v>
      </c>
      <c r="AI277" t="e">
        <f t="shared" ca="1" si="128"/>
        <v>#VALUE!</v>
      </c>
      <c r="AJ277" t="e">
        <f t="shared" ca="1" si="129"/>
        <v>#VALUE!</v>
      </c>
      <c r="AM277">
        <v>0</v>
      </c>
      <c r="AN277">
        <v>0</v>
      </c>
      <c r="AO277">
        <f t="shared" si="130"/>
        <v>0</v>
      </c>
      <c r="AP277">
        <f t="shared" si="139"/>
        <v>0</v>
      </c>
      <c r="AQ277" t="e">
        <f t="shared" ca="1" si="131"/>
        <v>#VALUE!</v>
      </c>
      <c r="AR277" t="e">
        <f t="shared" ca="1" si="132"/>
        <v>#VALUE!</v>
      </c>
      <c r="AS277" t="e">
        <f t="shared" ca="1" si="133"/>
        <v>#VALUE!</v>
      </c>
    </row>
    <row r="278" spans="1:45" x14ac:dyDescent="0.35">
      <c r="A278">
        <v>129</v>
      </c>
      <c r="B278">
        <v>127.94799999999999</v>
      </c>
      <c r="C278">
        <v>616455.86199999996</v>
      </c>
      <c r="D278">
        <v>3097694.6329999999</v>
      </c>
      <c r="E278">
        <v>632.49800000000005</v>
      </c>
      <c r="F278">
        <v>5.2</v>
      </c>
      <c r="G278">
        <v>0</v>
      </c>
      <c r="H278" t="s">
        <v>191</v>
      </c>
      <c r="I278">
        <v>0.06</v>
      </c>
      <c r="J278">
        <f t="shared" si="134"/>
        <v>0.99899999999999523</v>
      </c>
      <c r="K278">
        <f t="shared" si="135"/>
        <v>51</v>
      </c>
      <c r="L278" t="e">
        <f t="shared" ca="1" si="136"/>
        <v>#VALUE!</v>
      </c>
      <c r="M278" t="e">
        <f t="shared" ref="M278:M341" ca="1" si="140">((F278)+(G278)*(L278))*(L278)</f>
        <v>#VALUE!</v>
      </c>
      <c r="N278" t="e">
        <f t="shared" ref="N278:N341" ca="1" si="141">(((F278)+(G278)*(L278))*(L278))/MAX((F278)+2*(L278)*SQRT(1+(G278)^2),0.000001)</f>
        <v>#VALUE!</v>
      </c>
      <c r="O278" t="e">
        <f t="shared" ref="O278:O341" ca="1" si="142">ABS(K278)/MAX(((F278)+(G278)*(L278))*(L278),0.000001)</f>
        <v>#VALUE!</v>
      </c>
      <c r="P278" t="e">
        <f t="shared" ref="P278:P341" ca="1" si="143">E278+L278</f>
        <v>#VALUE!</v>
      </c>
      <c r="Q278" t="e">
        <f t="shared" ref="Q278:Q341" ca="1" si="144">P278+((ABS(K278)/MAX(((F278)+(G278)*(L278))*(L278),0.000001))^2)/(2*$I$5)</f>
        <v>#VALUE!</v>
      </c>
      <c r="R278" t="e">
        <f t="shared" ref="R278:R341" ca="1" si="145">((ABS(K278)*$D$6)/(MAX(((F278)+(G278)*(L278))*(L278),0.000001)*MAX(((((F278)+(G278)*(L278))*(L278))/MAX((F278)+2*(L278)*SQRT(1+(G278)^2),0.000001))^(2/3),0.000001)))^2</f>
        <v>#VALUE!</v>
      </c>
      <c r="S278" t="e">
        <f t="shared" ref="S278:S341" ca="1" si="146">ABS(ABS(K278)/MAX(((F278)+(G278)*(L278))*(L278),0.000001))/SQRT($I$5*MAX((((F278)+(G278)*(L278))*(L278))/MAX((F278)+2*(G278)*(L278),0.000001),0.000001))</f>
        <v>#VALUE!</v>
      </c>
      <c r="T278" t="e">
        <f t="shared" ref="T278:T341" ca="1" si="147">((F278)*(L278)^2)/2+(G278)*(L278)^3/3+(ABS(K278)^2)/($I$5*MAX(((F278)+(G278)*(L278))*(L278),0.000001))</f>
        <v>#VALUE!</v>
      </c>
      <c r="U278" t="e">
        <f t="shared" ca="1" si="137"/>
        <v>#VALUE!</v>
      </c>
      <c r="V278" t="e">
        <f t="shared" ca="1" si="138"/>
        <v>#VALUE!</v>
      </c>
      <c r="W278" t="e">
        <f t="shared" ref="W278:W341" ca="1" si="148">IF($D$20=0,W279,IF(AG279=0,W279,IF(W278=0,W279,IF(ABS(AF278)&gt;$D$19,MAX($D$16,W278+((AF278)*$D$18*IF((AD278)&lt;1,1,-1))),W278))))</f>
        <v>#VALUE!</v>
      </c>
      <c r="X278" t="e">
        <f t="shared" ref="X278:X341" ca="1" si="149">((F278)+(G278)*(W278))*(W278)</f>
        <v>#VALUE!</v>
      </c>
      <c r="Y278" t="e">
        <f t="shared" ref="Y278:Y341" ca="1" si="150">(((F278)+(G278)*(W278))*(W278))/MAX((F278)+2*(W278)*SQRT(1+(G278)^2),0.000001)</f>
        <v>#VALUE!</v>
      </c>
      <c r="Z278" t="e">
        <f t="shared" ref="Z278:Z341" ca="1" si="151">ABS(K278)/MAX(((F278)+(G278)*(W278))*(W278),0.000001)</f>
        <v>#VALUE!</v>
      </c>
      <c r="AA278" t="e">
        <f t="shared" ref="AA278:AA341" ca="1" si="152">E278+W278</f>
        <v>#VALUE!</v>
      </c>
      <c r="AB278" t="e">
        <f t="shared" ref="AB278:AB341" ca="1" si="153">AA278+((ABS(K278)/MAX(((F278)+(G278)*(W278))*(W278),0.000001))^2)/(2*$I$5)</f>
        <v>#VALUE!</v>
      </c>
      <c r="AC278" t="e">
        <f t="shared" ref="AC278:AC341" ca="1" si="154">((ABS(K278)*$D$6)/(MAX(((F278)+(G278)*(W278))*(W278),0.000001)*MAX(((((F278)+(G278)*(W278))*(W278))/MAX((F278)+2*(W278)*SQRT(1+(G278)^2),0.000001))^(2/3),0.000001)))^2</f>
        <v>#VALUE!</v>
      </c>
      <c r="AD278" t="e">
        <f t="shared" ref="AD278:AD341" ca="1" si="155">ABS(ABS(K278)/MAX(((F278)+(G278)*(W278))*(W278),0.000001))/SQRT($I$5*MAX((((F278)+(G278)*(W278))*(W278))/MAX((F278)+2*(G278)*(W278),0.000001),0.000001))</f>
        <v>#VALUE!</v>
      </c>
      <c r="AE278" t="e">
        <f t="shared" ref="AE278:AE341" ca="1" si="156">((F278)*(W278)^2)/2+(G278)*(W278)^3/3+(ABS(K278)^2)/($I$5*MAX(((F278)+(G278)*(W278))*(W278),0.000001))</f>
        <v>#VALUE!</v>
      </c>
      <c r="AF278" t="e">
        <f t="shared" ref="AF278:AF341" ca="1" si="157">AB279+(((AC278+AC279)/2)*J279)+(IF(Z278&gt;Z279,$D$8*((Z278^2-Z279^2)/(2*$I$5)),$D$9*((Z279^2-Z278^2)/(2*$I$5)))+($D$10*(ABS(I279)/90)*(MAX(Z278^2,Z279^2)/(2*$I$5))))-AB278</f>
        <v>#VALUE!</v>
      </c>
      <c r="AG278" t="e">
        <f t="shared" ref="AG278:AG341" ca="1" si="158">IF(ABS(AF278)&lt;$D$19,1,0)</f>
        <v>#VALUE!</v>
      </c>
      <c r="AH278" t="e">
        <f ca="1">IF(V32="Supercritical",L278,IF(V32="Subcritical",W278,IF(AND(V278=1,AG278=1),IF(T278&gt;=AE278,L278,W278),IF(V278=1,L278,IF(AG278=1,W278,MAX($D$16,POWER((ABS(K278)^2)/($I$5*MAX(F278,0.1)^2),1/3)))))))</f>
        <v>#VALUE!</v>
      </c>
      <c r="AI278" t="e">
        <f t="shared" ref="AI278:AI341" ca="1" si="159">E278+AH278</f>
        <v>#VALUE!</v>
      </c>
      <c r="AJ278" t="e">
        <f t="shared" ref="AJ278:AJ341" ca="1" si="160">AI278+((ABS(K278)/MAX(((F278)+(G278)*(AH278))*(AH278),0.000001))^2)/(2*$I$5)</f>
        <v>#VALUE!</v>
      </c>
      <c r="AM278">
        <v>0</v>
      </c>
      <c r="AN278">
        <v>0</v>
      </c>
      <c r="AO278">
        <f t="shared" ref="AO278:AO341" si="161">AM278+AN278</f>
        <v>0</v>
      </c>
      <c r="AP278">
        <f t="shared" si="139"/>
        <v>0</v>
      </c>
      <c r="AQ278" t="e">
        <f t="shared" ref="AQ278:AQ341" ca="1" si="162">ABS(ABS(K278)/MAX(((F278)+(G278)*(AH278))*(AH278),0.000001))/SQRT($I$5*MAX((((F278)+(G278)*(AH278))*(AH278))/MAX((F278)+2*(G278)*(AH278),0.000001),0.000001))</f>
        <v>#VALUE!</v>
      </c>
      <c r="AR278" t="e">
        <f t="shared" ref="AR278:AR341" ca="1" si="163">IF(AQ278&lt;1,"Subcritical","Supercritical")</f>
        <v>#VALUE!</v>
      </c>
      <c r="AS278" t="e">
        <f t="shared" ref="AS278:AS341" ca="1" si="164">((ABS(K278)*$D$6)/(MAX(((F278)+(G278)*(AH278))*(AH278),0.000001)*MAX(((((F278)+(G278)*(AH278))*(AH278))/MAX((F278)+2*(AH278)*SQRT(1+(G278)^2),0.000001))^(2/3),0.000001)))^2</f>
        <v>#VALUE!</v>
      </c>
    </row>
    <row r="279" spans="1:45" x14ac:dyDescent="0.35">
      <c r="A279">
        <v>130</v>
      </c>
      <c r="B279">
        <v>128.94800000000001</v>
      </c>
      <c r="C279">
        <v>616454.86300000001</v>
      </c>
      <c r="D279">
        <v>3097694.5860000001</v>
      </c>
      <c r="E279">
        <v>632.49749999999995</v>
      </c>
      <c r="F279">
        <v>5.2</v>
      </c>
      <c r="G279">
        <v>0</v>
      </c>
      <c r="H279" t="s">
        <v>191</v>
      </c>
      <c r="I279">
        <v>5.7000000000000002E-2</v>
      </c>
      <c r="J279">
        <f t="shared" ref="J279:J342" si="165">B279-B278</f>
        <v>1.0000000000000142</v>
      </c>
      <c r="K279">
        <f t="shared" ref="K279:K342" si="166">MAX(0,K278-AO278)</f>
        <v>51</v>
      </c>
      <c r="L279" t="e">
        <f t="shared" ref="L279:L342" ca="1" si="167">IF($D$20=0,L278,IF(V278=0,L278,IF(L279=0,L278,IF(ABS(U279)&gt;$D$19,MAX($D$16,L279+((U279)*$D$18*IF((S279)&lt;1,1,-1))),L279))))</f>
        <v>#VALUE!</v>
      </c>
      <c r="M279" t="e">
        <f t="shared" ca="1" si="140"/>
        <v>#VALUE!</v>
      </c>
      <c r="N279" t="e">
        <f t="shared" ca="1" si="141"/>
        <v>#VALUE!</v>
      </c>
      <c r="O279" t="e">
        <f t="shared" ca="1" si="142"/>
        <v>#VALUE!</v>
      </c>
      <c r="P279" t="e">
        <f t="shared" ca="1" si="143"/>
        <v>#VALUE!</v>
      </c>
      <c r="Q279" t="e">
        <f t="shared" ca="1" si="144"/>
        <v>#VALUE!</v>
      </c>
      <c r="R279" t="e">
        <f t="shared" ca="1" si="145"/>
        <v>#VALUE!</v>
      </c>
      <c r="S279" t="e">
        <f t="shared" ca="1" si="146"/>
        <v>#VALUE!</v>
      </c>
      <c r="T279" t="e">
        <f t="shared" ca="1" si="147"/>
        <v>#VALUE!</v>
      </c>
      <c r="U279" t="e">
        <f t="shared" ref="U279:U342" ca="1" si="168">Q278-(((R278+R279)/2)*J279)-(IF(O278&gt;O279,$D$8*((O278^2-O279^2)/(2*$I$5)),$D$9*((O279^2-O278^2)/(2*$I$5)))+($D$10*(ABS(I279)/90)*(MAX(O278^2,O279^2)/(2*$I$5))))-Q279</f>
        <v>#VALUE!</v>
      </c>
      <c r="V279" t="e">
        <f t="shared" ref="V279:V342" ca="1" si="169">IF(ABS(U279)&lt;$D$19,1,0)</f>
        <v>#VALUE!</v>
      </c>
      <c r="W279" t="e">
        <f t="shared" ca="1" si="148"/>
        <v>#VALUE!</v>
      </c>
      <c r="X279" t="e">
        <f t="shared" ca="1" si="149"/>
        <v>#VALUE!</v>
      </c>
      <c r="Y279" t="e">
        <f t="shared" ca="1" si="150"/>
        <v>#VALUE!</v>
      </c>
      <c r="Z279" t="e">
        <f t="shared" ca="1" si="151"/>
        <v>#VALUE!</v>
      </c>
      <c r="AA279" t="e">
        <f t="shared" ca="1" si="152"/>
        <v>#VALUE!</v>
      </c>
      <c r="AB279" t="e">
        <f t="shared" ca="1" si="153"/>
        <v>#VALUE!</v>
      </c>
      <c r="AC279" t="e">
        <f t="shared" ca="1" si="154"/>
        <v>#VALUE!</v>
      </c>
      <c r="AD279" t="e">
        <f t="shared" ca="1" si="155"/>
        <v>#VALUE!</v>
      </c>
      <c r="AE279" t="e">
        <f t="shared" ca="1" si="156"/>
        <v>#VALUE!</v>
      </c>
      <c r="AF279" t="e">
        <f t="shared" ca="1" si="157"/>
        <v>#VALUE!</v>
      </c>
      <c r="AG279" t="e">
        <f t="shared" ca="1" si="158"/>
        <v>#VALUE!</v>
      </c>
      <c r="AH279" t="e">
        <f ca="1">IF(V32="Supercritical",L279,IF(V32="Subcritical",W279,IF(AND(V279=1,AG279=1),IF(T279&gt;=AE279,L279,W279),IF(V279=1,L279,IF(AG279=1,W279,MAX($D$16,POWER((ABS(K279)^2)/($I$5*MAX(F279,0.1)^2),1/3)))))))</f>
        <v>#VALUE!</v>
      </c>
      <c r="AI279" t="e">
        <f t="shared" ca="1" si="159"/>
        <v>#VALUE!</v>
      </c>
      <c r="AJ279" t="e">
        <f t="shared" ca="1" si="160"/>
        <v>#VALUE!</v>
      </c>
      <c r="AM279">
        <v>0</v>
      </c>
      <c r="AN279">
        <v>0</v>
      </c>
      <c r="AO279">
        <f t="shared" si="161"/>
        <v>0</v>
      </c>
      <c r="AP279">
        <f t="shared" ref="AP279:AP342" si="170">AP278+AO279</f>
        <v>0</v>
      </c>
      <c r="AQ279" t="e">
        <f t="shared" ca="1" si="162"/>
        <v>#VALUE!</v>
      </c>
      <c r="AR279" t="e">
        <f t="shared" ca="1" si="163"/>
        <v>#VALUE!</v>
      </c>
      <c r="AS279" t="e">
        <f t="shared" ca="1" si="164"/>
        <v>#VALUE!</v>
      </c>
    </row>
    <row r="280" spans="1:45" x14ac:dyDescent="0.35">
      <c r="A280">
        <v>131</v>
      </c>
      <c r="B280">
        <v>129.94800000000001</v>
      </c>
      <c r="C280">
        <v>616453.86399999994</v>
      </c>
      <c r="D280">
        <v>3097694.5380000002</v>
      </c>
      <c r="E280">
        <v>632.49699999999996</v>
      </c>
      <c r="F280">
        <v>5.2</v>
      </c>
      <c r="G280">
        <v>0</v>
      </c>
      <c r="H280" t="s">
        <v>191</v>
      </c>
      <c r="I280">
        <v>5.7000000000000002E-2</v>
      </c>
      <c r="J280">
        <f t="shared" si="165"/>
        <v>1</v>
      </c>
      <c r="K280">
        <f t="shared" si="166"/>
        <v>51</v>
      </c>
      <c r="L280" t="e">
        <f t="shared" ca="1" si="167"/>
        <v>#VALUE!</v>
      </c>
      <c r="M280" t="e">
        <f t="shared" ca="1" si="140"/>
        <v>#VALUE!</v>
      </c>
      <c r="N280" t="e">
        <f t="shared" ca="1" si="141"/>
        <v>#VALUE!</v>
      </c>
      <c r="O280" t="e">
        <f t="shared" ca="1" si="142"/>
        <v>#VALUE!</v>
      </c>
      <c r="P280" t="e">
        <f t="shared" ca="1" si="143"/>
        <v>#VALUE!</v>
      </c>
      <c r="Q280" t="e">
        <f t="shared" ca="1" si="144"/>
        <v>#VALUE!</v>
      </c>
      <c r="R280" t="e">
        <f t="shared" ca="1" si="145"/>
        <v>#VALUE!</v>
      </c>
      <c r="S280" t="e">
        <f t="shared" ca="1" si="146"/>
        <v>#VALUE!</v>
      </c>
      <c r="T280" t="e">
        <f t="shared" ca="1" si="147"/>
        <v>#VALUE!</v>
      </c>
      <c r="U280" t="e">
        <f t="shared" ca="1" si="168"/>
        <v>#VALUE!</v>
      </c>
      <c r="V280" t="e">
        <f t="shared" ca="1" si="169"/>
        <v>#VALUE!</v>
      </c>
      <c r="W280" t="e">
        <f t="shared" ca="1" si="148"/>
        <v>#VALUE!</v>
      </c>
      <c r="X280" t="e">
        <f t="shared" ca="1" si="149"/>
        <v>#VALUE!</v>
      </c>
      <c r="Y280" t="e">
        <f t="shared" ca="1" si="150"/>
        <v>#VALUE!</v>
      </c>
      <c r="Z280" t="e">
        <f t="shared" ca="1" si="151"/>
        <v>#VALUE!</v>
      </c>
      <c r="AA280" t="e">
        <f t="shared" ca="1" si="152"/>
        <v>#VALUE!</v>
      </c>
      <c r="AB280" t="e">
        <f t="shared" ca="1" si="153"/>
        <v>#VALUE!</v>
      </c>
      <c r="AC280" t="e">
        <f t="shared" ca="1" si="154"/>
        <v>#VALUE!</v>
      </c>
      <c r="AD280" t="e">
        <f t="shared" ca="1" si="155"/>
        <v>#VALUE!</v>
      </c>
      <c r="AE280" t="e">
        <f t="shared" ca="1" si="156"/>
        <v>#VALUE!</v>
      </c>
      <c r="AF280" t="e">
        <f t="shared" ca="1" si="157"/>
        <v>#VALUE!</v>
      </c>
      <c r="AG280" t="e">
        <f t="shared" ca="1" si="158"/>
        <v>#VALUE!</v>
      </c>
      <c r="AH280" t="e">
        <f ca="1">IF(V32="Supercritical",L280,IF(V32="Subcritical",W280,IF(AND(V280=1,AG280=1),IF(T280&gt;=AE280,L280,W280),IF(V280=1,L280,IF(AG280=1,W280,MAX($D$16,POWER((ABS(K280)^2)/($I$5*MAX(F280,0.1)^2),1/3)))))))</f>
        <v>#VALUE!</v>
      </c>
      <c r="AI280" t="e">
        <f t="shared" ca="1" si="159"/>
        <v>#VALUE!</v>
      </c>
      <c r="AJ280" t="e">
        <f t="shared" ca="1" si="160"/>
        <v>#VALUE!</v>
      </c>
      <c r="AM280">
        <v>0</v>
      </c>
      <c r="AN280">
        <v>0</v>
      </c>
      <c r="AO280">
        <f t="shared" si="161"/>
        <v>0</v>
      </c>
      <c r="AP280">
        <f t="shared" si="170"/>
        <v>0</v>
      </c>
      <c r="AQ280" t="e">
        <f t="shared" ca="1" si="162"/>
        <v>#VALUE!</v>
      </c>
      <c r="AR280" t="e">
        <f t="shared" ca="1" si="163"/>
        <v>#VALUE!</v>
      </c>
      <c r="AS280" t="e">
        <f t="shared" ca="1" si="164"/>
        <v>#VALUE!</v>
      </c>
    </row>
    <row r="281" spans="1:45" x14ac:dyDescent="0.35">
      <c r="A281">
        <v>132</v>
      </c>
      <c r="B281">
        <v>130.94800000000001</v>
      </c>
      <c r="C281">
        <v>616452.86499999999</v>
      </c>
      <c r="D281">
        <v>3097694.4909999999</v>
      </c>
      <c r="E281">
        <v>632.49649999999997</v>
      </c>
      <c r="F281">
        <v>5.2</v>
      </c>
      <c r="G281">
        <v>0</v>
      </c>
      <c r="H281" t="s">
        <v>191</v>
      </c>
      <c r="I281">
        <v>5.7000000000000002E-2</v>
      </c>
      <c r="J281">
        <f t="shared" si="165"/>
        <v>1</v>
      </c>
      <c r="K281">
        <f t="shared" si="166"/>
        <v>51</v>
      </c>
      <c r="L281" t="e">
        <f t="shared" ca="1" si="167"/>
        <v>#VALUE!</v>
      </c>
      <c r="M281" t="e">
        <f t="shared" ca="1" si="140"/>
        <v>#VALUE!</v>
      </c>
      <c r="N281" t="e">
        <f t="shared" ca="1" si="141"/>
        <v>#VALUE!</v>
      </c>
      <c r="O281" t="e">
        <f t="shared" ca="1" si="142"/>
        <v>#VALUE!</v>
      </c>
      <c r="P281" t="e">
        <f t="shared" ca="1" si="143"/>
        <v>#VALUE!</v>
      </c>
      <c r="Q281" t="e">
        <f t="shared" ca="1" si="144"/>
        <v>#VALUE!</v>
      </c>
      <c r="R281" t="e">
        <f t="shared" ca="1" si="145"/>
        <v>#VALUE!</v>
      </c>
      <c r="S281" t="e">
        <f t="shared" ca="1" si="146"/>
        <v>#VALUE!</v>
      </c>
      <c r="T281" t="e">
        <f t="shared" ca="1" si="147"/>
        <v>#VALUE!</v>
      </c>
      <c r="U281" t="e">
        <f t="shared" ca="1" si="168"/>
        <v>#VALUE!</v>
      </c>
      <c r="V281" t="e">
        <f t="shared" ca="1" si="169"/>
        <v>#VALUE!</v>
      </c>
      <c r="W281" t="e">
        <f t="shared" ca="1" si="148"/>
        <v>#VALUE!</v>
      </c>
      <c r="X281" t="e">
        <f t="shared" ca="1" si="149"/>
        <v>#VALUE!</v>
      </c>
      <c r="Y281" t="e">
        <f t="shared" ca="1" si="150"/>
        <v>#VALUE!</v>
      </c>
      <c r="Z281" t="e">
        <f t="shared" ca="1" si="151"/>
        <v>#VALUE!</v>
      </c>
      <c r="AA281" t="e">
        <f t="shared" ca="1" si="152"/>
        <v>#VALUE!</v>
      </c>
      <c r="AB281" t="e">
        <f t="shared" ca="1" si="153"/>
        <v>#VALUE!</v>
      </c>
      <c r="AC281" t="e">
        <f t="shared" ca="1" si="154"/>
        <v>#VALUE!</v>
      </c>
      <c r="AD281" t="e">
        <f t="shared" ca="1" si="155"/>
        <v>#VALUE!</v>
      </c>
      <c r="AE281" t="e">
        <f t="shared" ca="1" si="156"/>
        <v>#VALUE!</v>
      </c>
      <c r="AF281" t="e">
        <f t="shared" ca="1" si="157"/>
        <v>#VALUE!</v>
      </c>
      <c r="AG281" t="e">
        <f t="shared" ca="1" si="158"/>
        <v>#VALUE!</v>
      </c>
      <c r="AH281" t="e">
        <f ca="1">IF(V32="Supercritical",L281,IF(V32="Subcritical",W281,IF(AND(V281=1,AG281=1),IF(T281&gt;=AE281,L281,W281),IF(V281=1,L281,IF(AG281=1,W281,MAX($D$16,POWER((ABS(K281)^2)/($I$5*MAX(F281,0.1)^2),1/3)))))))</f>
        <v>#VALUE!</v>
      </c>
      <c r="AI281" t="e">
        <f t="shared" ca="1" si="159"/>
        <v>#VALUE!</v>
      </c>
      <c r="AJ281" t="e">
        <f t="shared" ca="1" si="160"/>
        <v>#VALUE!</v>
      </c>
      <c r="AM281">
        <v>0</v>
      </c>
      <c r="AN281">
        <v>0</v>
      </c>
      <c r="AO281">
        <f t="shared" si="161"/>
        <v>0</v>
      </c>
      <c r="AP281">
        <f t="shared" si="170"/>
        <v>0</v>
      </c>
      <c r="AQ281" t="e">
        <f t="shared" ca="1" si="162"/>
        <v>#VALUE!</v>
      </c>
      <c r="AR281" t="e">
        <f t="shared" ca="1" si="163"/>
        <v>#VALUE!</v>
      </c>
      <c r="AS281" t="e">
        <f t="shared" ca="1" si="164"/>
        <v>#VALUE!</v>
      </c>
    </row>
    <row r="282" spans="1:45" x14ac:dyDescent="0.35">
      <c r="A282">
        <v>133</v>
      </c>
      <c r="B282">
        <v>131.94800000000001</v>
      </c>
      <c r="C282">
        <v>616451.86600000004</v>
      </c>
      <c r="D282">
        <v>3097694.443</v>
      </c>
      <c r="E282">
        <v>632.49599999999998</v>
      </c>
      <c r="F282">
        <v>5.2</v>
      </c>
      <c r="G282">
        <v>0</v>
      </c>
      <c r="H282" t="s">
        <v>191</v>
      </c>
      <c r="I282">
        <v>0</v>
      </c>
      <c r="J282">
        <f t="shared" si="165"/>
        <v>1</v>
      </c>
      <c r="K282">
        <f t="shared" si="166"/>
        <v>51</v>
      </c>
      <c r="L282" t="e">
        <f t="shared" ca="1" si="167"/>
        <v>#VALUE!</v>
      </c>
      <c r="M282" t="e">
        <f t="shared" ca="1" si="140"/>
        <v>#VALUE!</v>
      </c>
      <c r="N282" t="e">
        <f t="shared" ca="1" si="141"/>
        <v>#VALUE!</v>
      </c>
      <c r="O282" t="e">
        <f t="shared" ca="1" si="142"/>
        <v>#VALUE!</v>
      </c>
      <c r="P282" t="e">
        <f t="shared" ca="1" si="143"/>
        <v>#VALUE!</v>
      </c>
      <c r="Q282" t="e">
        <f t="shared" ca="1" si="144"/>
        <v>#VALUE!</v>
      </c>
      <c r="R282" t="e">
        <f t="shared" ca="1" si="145"/>
        <v>#VALUE!</v>
      </c>
      <c r="S282" t="e">
        <f t="shared" ca="1" si="146"/>
        <v>#VALUE!</v>
      </c>
      <c r="T282" t="e">
        <f t="shared" ca="1" si="147"/>
        <v>#VALUE!</v>
      </c>
      <c r="U282" t="e">
        <f t="shared" ca="1" si="168"/>
        <v>#VALUE!</v>
      </c>
      <c r="V282" t="e">
        <f t="shared" ca="1" si="169"/>
        <v>#VALUE!</v>
      </c>
      <c r="W282" t="e">
        <f t="shared" ca="1" si="148"/>
        <v>#VALUE!</v>
      </c>
      <c r="X282" t="e">
        <f t="shared" ca="1" si="149"/>
        <v>#VALUE!</v>
      </c>
      <c r="Y282" t="e">
        <f t="shared" ca="1" si="150"/>
        <v>#VALUE!</v>
      </c>
      <c r="Z282" t="e">
        <f t="shared" ca="1" si="151"/>
        <v>#VALUE!</v>
      </c>
      <c r="AA282" t="e">
        <f t="shared" ca="1" si="152"/>
        <v>#VALUE!</v>
      </c>
      <c r="AB282" t="e">
        <f t="shared" ca="1" si="153"/>
        <v>#VALUE!</v>
      </c>
      <c r="AC282" t="e">
        <f t="shared" ca="1" si="154"/>
        <v>#VALUE!</v>
      </c>
      <c r="AD282" t="e">
        <f t="shared" ca="1" si="155"/>
        <v>#VALUE!</v>
      </c>
      <c r="AE282" t="e">
        <f t="shared" ca="1" si="156"/>
        <v>#VALUE!</v>
      </c>
      <c r="AF282" t="e">
        <f t="shared" ca="1" si="157"/>
        <v>#VALUE!</v>
      </c>
      <c r="AG282" t="e">
        <f t="shared" ca="1" si="158"/>
        <v>#VALUE!</v>
      </c>
      <c r="AH282" t="e">
        <f ca="1">IF(V32="Supercritical",L282,IF(V32="Subcritical",W282,IF(AND(V282=1,AG282=1),IF(T282&gt;=AE282,L282,W282),IF(V282=1,L282,IF(AG282=1,W282,MAX($D$16,POWER((ABS(K282)^2)/($I$5*MAX(F282,0.1)^2),1/3)))))))</f>
        <v>#VALUE!</v>
      </c>
      <c r="AI282" t="e">
        <f t="shared" ca="1" si="159"/>
        <v>#VALUE!</v>
      </c>
      <c r="AJ282" t="e">
        <f t="shared" ca="1" si="160"/>
        <v>#VALUE!</v>
      </c>
      <c r="AM282">
        <v>0</v>
      </c>
      <c r="AN282">
        <v>0</v>
      </c>
      <c r="AO282">
        <f t="shared" si="161"/>
        <v>0</v>
      </c>
      <c r="AP282">
        <f t="shared" si="170"/>
        <v>0</v>
      </c>
      <c r="AQ282" t="e">
        <f t="shared" ca="1" si="162"/>
        <v>#VALUE!</v>
      </c>
      <c r="AR282" t="e">
        <f t="shared" ca="1" si="163"/>
        <v>#VALUE!</v>
      </c>
      <c r="AS282" t="e">
        <f t="shared" ca="1" si="164"/>
        <v>#VALUE!</v>
      </c>
    </row>
    <row r="283" spans="1:45" x14ac:dyDescent="0.35">
      <c r="A283">
        <v>134</v>
      </c>
      <c r="B283">
        <v>132.94900000000001</v>
      </c>
      <c r="C283">
        <v>616450.86699999997</v>
      </c>
      <c r="D283">
        <v>3097694.395</v>
      </c>
      <c r="E283">
        <v>632.49549999999999</v>
      </c>
      <c r="F283">
        <v>5.2</v>
      </c>
      <c r="G283">
        <v>0</v>
      </c>
      <c r="H283" t="s">
        <v>191</v>
      </c>
      <c r="I283">
        <v>5.7000000000000002E-2</v>
      </c>
      <c r="J283">
        <f t="shared" si="165"/>
        <v>1.0010000000000048</v>
      </c>
      <c r="K283">
        <f t="shared" si="166"/>
        <v>51</v>
      </c>
      <c r="L283" t="e">
        <f t="shared" ca="1" si="167"/>
        <v>#VALUE!</v>
      </c>
      <c r="M283" t="e">
        <f t="shared" ca="1" si="140"/>
        <v>#VALUE!</v>
      </c>
      <c r="N283" t="e">
        <f t="shared" ca="1" si="141"/>
        <v>#VALUE!</v>
      </c>
      <c r="O283" t="e">
        <f t="shared" ca="1" si="142"/>
        <v>#VALUE!</v>
      </c>
      <c r="P283" t="e">
        <f t="shared" ca="1" si="143"/>
        <v>#VALUE!</v>
      </c>
      <c r="Q283" t="e">
        <f t="shared" ca="1" si="144"/>
        <v>#VALUE!</v>
      </c>
      <c r="R283" t="e">
        <f t="shared" ca="1" si="145"/>
        <v>#VALUE!</v>
      </c>
      <c r="S283" t="e">
        <f t="shared" ca="1" si="146"/>
        <v>#VALUE!</v>
      </c>
      <c r="T283" t="e">
        <f t="shared" ca="1" si="147"/>
        <v>#VALUE!</v>
      </c>
      <c r="U283" t="e">
        <f t="shared" ca="1" si="168"/>
        <v>#VALUE!</v>
      </c>
      <c r="V283" t="e">
        <f t="shared" ca="1" si="169"/>
        <v>#VALUE!</v>
      </c>
      <c r="W283" t="e">
        <f t="shared" ca="1" si="148"/>
        <v>#VALUE!</v>
      </c>
      <c r="X283" t="e">
        <f t="shared" ca="1" si="149"/>
        <v>#VALUE!</v>
      </c>
      <c r="Y283" t="e">
        <f t="shared" ca="1" si="150"/>
        <v>#VALUE!</v>
      </c>
      <c r="Z283" t="e">
        <f t="shared" ca="1" si="151"/>
        <v>#VALUE!</v>
      </c>
      <c r="AA283" t="e">
        <f t="shared" ca="1" si="152"/>
        <v>#VALUE!</v>
      </c>
      <c r="AB283" t="e">
        <f t="shared" ca="1" si="153"/>
        <v>#VALUE!</v>
      </c>
      <c r="AC283" t="e">
        <f t="shared" ca="1" si="154"/>
        <v>#VALUE!</v>
      </c>
      <c r="AD283" t="e">
        <f t="shared" ca="1" si="155"/>
        <v>#VALUE!</v>
      </c>
      <c r="AE283" t="e">
        <f t="shared" ca="1" si="156"/>
        <v>#VALUE!</v>
      </c>
      <c r="AF283" t="e">
        <f t="shared" ca="1" si="157"/>
        <v>#VALUE!</v>
      </c>
      <c r="AG283" t="e">
        <f t="shared" ca="1" si="158"/>
        <v>#VALUE!</v>
      </c>
      <c r="AH283" t="e">
        <f ca="1">IF(V32="Supercritical",L283,IF(V32="Subcritical",W283,IF(AND(V283=1,AG283=1),IF(T283&gt;=AE283,L283,W283),IF(V283=1,L283,IF(AG283=1,W283,MAX($D$16,POWER((ABS(K283)^2)/($I$5*MAX(F283,0.1)^2),1/3)))))))</f>
        <v>#VALUE!</v>
      </c>
      <c r="AI283" t="e">
        <f t="shared" ca="1" si="159"/>
        <v>#VALUE!</v>
      </c>
      <c r="AJ283" t="e">
        <f t="shared" ca="1" si="160"/>
        <v>#VALUE!</v>
      </c>
      <c r="AM283">
        <v>0</v>
      </c>
      <c r="AN283">
        <v>0</v>
      </c>
      <c r="AO283">
        <f t="shared" si="161"/>
        <v>0</v>
      </c>
      <c r="AP283">
        <f t="shared" si="170"/>
        <v>0</v>
      </c>
      <c r="AQ283" t="e">
        <f t="shared" ca="1" si="162"/>
        <v>#VALUE!</v>
      </c>
      <c r="AR283" t="e">
        <f t="shared" ca="1" si="163"/>
        <v>#VALUE!</v>
      </c>
      <c r="AS283" t="e">
        <f t="shared" ca="1" si="164"/>
        <v>#VALUE!</v>
      </c>
    </row>
    <row r="284" spans="1:45" x14ac:dyDescent="0.35">
      <c r="A284">
        <v>135</v>
      </c>
      <c r="B284">
        <v>133.94900000000001</v>
      </c>
      <c r="C284">
        <v>616449.86800000002</v>
      </c>
      <c r="D284">
        <v>3097694.3480000002</v>
      </c>
      <c r="E284">
        <v>632.495</v>
      </c>
      <c r="F284">
        <v>5.2</v>
      </c>
      <c r="G284">
        <v>0</v>
      </c>
      <c r="H284" t="s">
        <v>191</v>
      </c>
      <c r="I284">
        <v>0.06</v>
      </c>
      <c r="J284">
        <f t="shared" si="165"/>
        <v>1</v>
      </c>
      <c r="K284">
        <f t="shared" si="166"/>
        <v>51</v>
      </c>
      <c r="L284" t="e">
        <f t="shared" ca="1" si="167"/>
        <v>#VALUE!</v>
      </c>
      <c r="M284" t="e">
        <f t="shared" ca="1" si="140"/>
        <v>#VALUE!</v>
      </c>
      <c r="N284" t="e">
        <f t="shared" ca="1" si="141"/>
        <v>#VALUE!</v>
      </c>
      <c r="O284" t="e">
        <f t="shared" ca="1" si="142"/>
        <v>#VALUE!</v>
      </c>
      <c r="P284" t="e">
        <f t="shared" ca="1" si="143"/>
        <v>#VALUE!</v>
      </c>
      <c r="Q284" t="e">
        <f t="shared" ca="1" si="144"/>
        <v>#VALUE!</v>
      </c>
      <c r="R284" t="e">
        <f t="shared" ca="1" si="145"/>
        <v>#VALUE!</v>
      </c>
      <c r="S284" t="e">
        <f t="shared" ca="1" si="146"/>
        <v>#VALUE!</v>
      </c>
      <c r="T284" t="e">
        <f t="shared" ca="1" si="147"/>
        <v>#VALUE!</v>
      </c>
      <c r="U284" t="e">
        <f t="shared" ca="1" si="168"/>
        <v>#VALUE!</v>
      </c>
      <c r="V284" t="e">
        <f t="shared" ca="1" si="169"/>
        <v>#VALUE!</v>
      </c>
      <c r="W284" t="e">
        <f t="shared" ca="1" si="148"/>
        <v>#VALUE!</v>
      </c>
      <c r="X284" t="e">
        <f t="shared" ca="1" si="149"/>
        <v>#VALUE!</v>
      </c>
      <c r="Y284" t="e">
        <f t="shared" ca="1" si="150"/>
        <v>#VALUE!</v>
      </c>
      <c r="Z284" t="e">
        <f t="shared" ca="1" si="151"/>
        <v>#VALUE!</v>
      </c>
      <c r="AA284" t="e">
        <f t="shared" ca="1" si="152"/>
        <v>#VALUE!</v>
      </c>
      <c r="AB284" t="e">
        <f t="shared" ca="1" si="153"/>
        <v>#VALUE!</v>
      </c>
      <c r="AC284" t="e">
        <f t="shared" ca="1" si="154"/>
        <v>#VALUE!</v>
      </c>
      <c r="AD284" t="e">
        <f t="shared" ca="1" si="155"/>
        <v>#VALUE!</v>
      </c>
      <c r="AE284" t="e">
        <f t="shared" ca="1" si="156"/>
        <v>#VALUE!</v>
      </c>
      <c r="AF284" t="e">
        <f t="shared" ca="1" si="157"/>
        <v>#VALUE!</v>
      </c>
      <c r="AG284" t="e">
        <f t="shared" ca="1" si="158"/>
        <v>#VALUE!</v>
      </c>
      <c r="AH284" t="e">
        <f ca="1">IF(V32="Supercritical",L284,IF(V32="Subcritical",W284,IF(AND(V284=1,AG284=1),IF(T284&gt;=AE284,L284,W284),IF(V284=1,L284,IF(AG284=1,W284,MAX($D$16,POWER((ABS(K284)^2)/($I$5*MAX(F284,0.1)^2),1/3)))))))</f>
        <v>#VALUE!</v>
      </c>
      <c r="AI284" t="e">
        <f t="shared" ca="1" si="159"/>
        <v>#VALUE!</v>
      </c>
      <c r="AJ284" t="e">
        <f t="shared" ca="1" si="160"/>
        <v>#VALUE!</v>
      </c>
      <c r="AM284">
        <v>0</v>
      </c>
      <c r="AN284">
        <v>0</v>
      </c>
      <c r="AO284">
        <f t="shared" si="161"/>
        <v>0</v>
      </c>
      <c r="AP284">
        <f t="shared" si="170"/>
        <v>0</v>
      </c>
      <c r="AQ284" t="e">
        <f t="shared" ca="1" si="162"/>
        <v>#VALUE!</v>
      </c>
      <c r="AR284" t="e">
        <f t="shared" ca="1" si="163"/>
        <v>#VALUE!</v>
      </c>
      <c r="AS284" t="e">
        <f t="shared" ca="1" si="164"/>
        <v>#VALUE!</v>
      </c>
    </row>
    <row r="285" spans="1:45" x14ac:dyDescent="0.35">
      <c r="A285">
        <v>136</v>
      </c>
      <c r="B285">
        <v>134.94800000000001</v>
      </c>
      <c r="C285">
        <v>616448.87</v>
      </c>
      <c r="D285">
        <v>3097694.3</v>
      </c>
      <c r="E285">
        <v>632.49450000000002</v>
      </c>
      <c r="F285">
        <v>5.2</v>
      </c>
      <c r="G285">
        <v>0</v>
      </c>
      <c r="H285" t="s">
        <v>191</v>
      </c>
      <c r="I285">
        <v>0.06</v>
      </c>
      <c r="J285">
        <f t="shared" si="165"/>
        <v>0.99899999999999523</v>
      </c>
      <c r="K285">
        <f t="shared" si="166"/>
        <v>51</v>
      </c>
      <c r="L285" t="e">
        <f t="shared" ca="1" si="167"/>
        <v>#VALUE!</v>
      </c>
      <c r="M285" t="e">
        <f t="shared" ca="1" si="140"/>
        <v>#VALUE!</v>
      </c>
      <c r="N285" t="e">
        <f t="shared" ca="1" si="141"/>
        <v>#VALUE!</v>
      </c>
      <c r="O285" t="e">
        <f t="shared" ca="1" si="142"/>
        <v>#VALUE!</v>
      </c>
      <c r="P285" t="e">
        <f t="shared" ca="1" si="143"/>
        <v>#VALUE!</v>
      </c>
      <c r="Q285" t="e">
        <f t="shared" ca="1" si="144"/>
        <v>#VALUE!</v>
      </c>
      <c r="R285" t="e">
        <f t="shared" ca="1" si="145"/>
        <v>#VALUE!</v>
      </c>
      <c r="S285" t="e">
        <f t="shared" ca="1" si="146"/>
        <v>#VALUE!</v>
      </c>
      <c r="T285" t="e">
        <f t="shared" ca="1" si="147"/>
        <v>#VALUE!</v>
      </c>
      <c r="U285" t="e">
        <f t="shared" ca="1" si="168"/>
        <v>#VALUE!</v>
      </c>
      <c r="V285" t="e">
        <f t="shared" ca="1" si="169"/>
        <v>#VALUE!</v>
      </c>
      <c r="W285" t="e">
        <f t="shared" ca="1" si="148"/>
        <v>#VALUE!</v>
      </c>
      <c r="X285" t="e">
        <f t="shared" ca="1" si="149"/>
        <v>#VALUE!</v>
      </c>
      <c r="Y285" t="e">
        <f t="shared" ca="1" si="150"/>
        <v>#VALUE!</v>
      </c>
      <c r="Z285" t="e">
        <f t="shared" ca="1" si="151"/>
        <v>#VALUE!</v>
      </c>
      <c r="AA285" t="e">
        <f t="shared" ca="1" si="152"/>
        <v>#VALUE!</v>
      </c>
      <c r="AB285" t="e">
        <f t="shared" ca="1" si="153"/>
        <v>#VALUE!</v>
      </c>
      <c r="AC285" t="e">
        <f t="shared" ca="1" si="154"/>
        <v>#VALUE!</v>
      </c>
      <c r="AD285" t="e">
        <f t="shared" ca="1" si="155"/>
        <v>#VALUE!</v>
      </c>
      <c r="AE285" t="e">
        <f t="shared" ca="1" si="156"/>
        <v>#VALUE!</v>
      </c>
      <c r="AF285" t="e">
        <f t="shared" ca="1" si="157"/>
        <v>#VALUE!</v>
      </c>
      <c r="AG285" t="e">
        <f t="shared" ca="1" si="158"/>
        <v>#VALUE!</v>
      </c>
      <c r="AH285" t="e">
        <f ca="1">IF(V32="Supercritical",L285,IF(V32="Subcritical",W285,IF(AND(V285=1,AG285=1),IF(T285&gt;=AE285,L285,W285),IF(V285=1,L285,IF(AG285=1,W285,MAX($D$16,POWER((ABS(K285)^2)/($I$5*MAX(F285,0.1)^2),1/3)))))))</f>
        <v>#VALUE!</v>
      </c>
      <c r="AI285" t="e">
        <f t="shared" ca="1" si="159"/>
        <v>#VALUE!</v>
      </c>
      <c r="AJ285" t="e">
        <f t="shared" ca="1" si="160"/>
        <v>#VALUE!</v>
      </c>
      <c r="AM285">
        <v>0</v>
      </c>
      <c r="AN285">
        <v>0</v>
      </c>
      <c r="AO285">
        <f t="shared" si="161"/>
        <v>0</v>
      </c>
      <c r="AP285">
        <f t="shared" si="170"/>
        <v>0</v>
      </c>
      <c r="AQ285" t="e">
        <f t="shared" ca="1" si="162"/>
        <v>#VALUE!</v>
      </c>
      <c r="AR285" t="e">
        <f t="shared" ca="1" si="163"/>
        <v>#VALUE!</v>
      </c>
      <c r="AS285" t="e">
        <f t="shared" ca="1" si="164"/>
        <v>#VALUE!</v>
      </c>
    </row>
    <row r="286" spans="1:45" x14ac:dyDescent="0.35">
      <c r="A286">
        <v>137</v>
      </c>
      <c r="B286">
        <v>135.94800000000001</v>
      </c>
      <c r="C286">
        <v>616447.87100000004</v>
      </c>
      <c r="D286">
        <v>3097694.253</v>
      </c>
      <c r="E286">
        <v>632.49400000000003</v>
      </c>
      <c r="F286">
        <v>5.2</v>
      </c>
      <c r="G286">
        <v>0</v>
      </c>
      <c r="H286" t="s">
        <v>191</v>
      </c>
      <c r="I286">
        <v>5.7000000000000002E-2</v>
      </c>
      <c r="J286">
        <f t="shared" si="165"/>
        <v>1</v>
      </c>
      <c r="K286">
        <f t="shared" si="166"/>
        <v>51</v>
      </c>
      <c r="L286" t="e">
        <f t="shared" ca="1" si="167"/>
        <v>#VALUE!</v>
      </c>
      <c r="M286" t="e">
        <f t="shared" ca="1" si="140"/>
        <v>#VALUE!</v>
      </c>
      <c r="N286" t="e">
        <f t="shared" ca="1" si="141"/>
        <v>#VALUE!</v>
      </c>
      <c r="O286" t="e">
        <f t="shared" ca="1" si="142"/>
        <v>#VALUE!</v>
      </c>
      <c r="P286" t="e">
        <f t="shared" ca="1" si="143"/>
        <v>#VALUE!</v>
      </c>
      <c r="Q286" t="e">
        <f t="shared" ca="1" si="144"/>
        <v>#VALUE!</v>
      </c>
      <c r="R286" t="e">
        <f t="shared" ca="1" si="145"/>
        <v>#VALUE!</v>
      </c>
      <c r="S286" t="e">
        <f t="shared" ca="1" si="146"/>
        <v>#VALUE!</v>
      </c>
      <c r="T286" t="e">
        <f t="shared" ca="1" si="147"/>
        <v>#VALUE!</v>
      </c>
      <c r="U286" t="e">
        <f t="shared" ca="1" si="168"/>
        <v>#VALUE!</v>
      </c>
      <c r="V286" t="e">
        <f t="shared" ca="1" si="169"/>
        <v>#VALUE!</v>
      </c>
      <c r="W286" t="e">
        <f t="shared" ca="1" si="148"/>
        <v>#VALUE!</v>
      </c>
      <c r="X286" t="e">
        <f t="shared" ca="1" si="149"/>
        <v>#VALUE!</v>
      </c>
      <c r="Y286" t="e">
        <f t="shared" ca="1" si="150"/>
        <v>#VALUE!</v>
      </c>
      <c r="Z286" t="e">
        <f t="shared" ca="1" si="151"/>
        <v>#VALUE!</v>
      </c>
      <c r="AA286" t="e">
        <f t="shared" ca="1" si="152"/>
        <v>#VALUE!</v>
      </c>
      <c r="AB286" t="e">
        <f t="shared" ca="1" si="153"/>
        <v>#VALUE!</v>
      </c>
      <c r="AC286" t="e">
        <f t="shared" ca="1" si="154"/>
        <v>#VALUE!</v>
      </c>
      <c r="AD286" t="e">
        <f t="shared" ca="1" si="155"/>
        <v>#VALUE!</v>
      </c>
      <c r="AE286" t="e">
        <f t="shared" ca="1" si="156"/>
        <v>#VALUE!</v>
      </c>
      <c r="AF286" t="e">
        <f t="shared" ca="1" si="157"/>
        <v>#VALUE!</v>
      </c>
      <c r="AG286" t="e">
        <f t="shared" ca="1" si="158"/>
        <v>#VALUE!</v>
      </c>
      <c r="AH286" t="e">
        <f ca="1">IF(V32="Supercritical",L286,IF(V32="Subcritical",W286,IF(AND(V286=1,AG286=1),IF(T286&gt;=AE286,L286,W286),IF(V286=1,L286,IF(AG286=1,W286,MAX($D$16,POWER((ABS(K286)^2)/($I$5*MAX(F286,0.1)^2),1/3)))))))</f>
        <v>#VALUE!</v>
      </c>
      <c r="AI286" t="e">
        <f t="shared" ca="1" si="159"/>
        <v>#VALUE!</v>
      </c>
      <c r="AJ286" t="e">
        <f t="shared" ca="1" si="160"/>
        <v>#VALUE!</v>
      </c>
      <c r="AM286">
        <v>0</v>
      </c>
      <c r="AN286">
        <v>0</v>
      </c>
      <c r="AO286">
        <f t="shared" si="161"/>
        <v>0</v>
      </c>
      <c r="AP286">
        <f t="shared" si="170"/>
        <v>0</v>
      </c>
      <c r="AQ286" t="e">
        <f t="shared" ca="1" si="162"/>
        <v>#VALUE!</v>
      </c>
      <c r="AR286" t="e">
        <f t="shared" ca="1" si="163"/>
        <v>#VALUE!</v>
      </c>
      <c r="AS286" t="e">
        <f t="shared" ca="1" si="164"/>
        <v>#VALUE!</v>
      </c>
    </row>
    <row r="287" spans="1:45" x14ac:dyDescent="0.35">
      <c r="A287">
        <v>138</v>
      </c>
      <c r="B287">
        <v>136.94800000000001</v>
      </c>
      <c r="C287">
        <v>616446.87199999997</v>
      </c>
      <c r="D287">
        <v>3097694.2050000001</v>
      </c>
      <c r="E287">
        <v>632.49350000000004</v>
      </c>
      <c r="F287">
        <v>5.2</v>
      </c>
      <c r="G287">
        <v>0</v>
      </c>
      <c r="H287" t="s">
        <v>191</v>
      </c>
      <c r="I287">
        <v>0</v>
      </c>
      <c r="J287">
        <f t="shared" si="165"/>
        <v>1</v>
      </c>
      <c r="K287">
        <f t="shared" si="166"/>
        <v>51</v>
      </c>
      <c r="L287" t="e">
        <f t="shared" ca="1" si="167"/>
        <v>#VALUE!</v>
      </c>
      <c r="M287" t="e">
        <f t="shared" ca="1" si="140"/>
        <v>#VALUE!</v>
      </c>
      <c r="N287" t="e">
        <f t="shared" ca="1" si="141"/>
        <v>#VALUE!</v>
      </c>
      <c r="O287" t="e">
        <f t="shared" ca="1" si="142"/>
        <v>#VALUE!</v>
      </c>
      <c r="P287" t="e">
        <f t="shared" ca="1" si="143"/>
        <v>#VALUE!</v>
      </c>
      <c r="Q287" t="e">
        <f t="shared" ca="1" si="144"/>
        <v>#VALUE!</v>
      </c>
      <c r="R287" t="e">
        <f t="shared" ca="1" si="145"/>
        <v>#VALUE!</v>
      </c>
      <c r="S287" t="e">
        <f t="shared" ca="1" si="146"/>
        <v>#VALUE!</v>
      </c>
      <c r="T287" t="e">
        <f t="shared" ca="1" si="147"/>
        <v>#VALUE!</v>
      </c>
      <c r="U287" t="e">
        <f t="shared" ca="1" si="168"/>
        <v>#VALUE!</v>
      </c>
      <c r="V287" t="e">
        <f t="shared" ca="1" si="169"/>
        <v>#VALUE!</v>
      </c>
      <c r="W287" t="e">
        <f t="shared" ca="1" si="148"/>
        <v>#VALUE!</v>
      </c>
      <c r="X287" t="e">
        <f t="shared" ca="1" si="149"/>
        <v>#VALUE!</v>
      </c>
      <c r="Y287" t="e">
        <f t="shared" ca="1" si="150"/>
        <v>#VALUE!</v>
      </c>
      <c r="Z287" t="e">
        <f t="shared" ca="1" si="151"/>
        <v>#VALUE!</v>
      </c>
      <c r="AA287" t="e">
        <f t="shared" ca="1" si="152"/>
        <v>#VALUE!</v>
      </c>
      <c r="AB287" t="e">
        <f t="shared" ca="1" si="153"/>
        <v>#VALUE!</v>
      </c>
      <c r="AC287" t="e">
        <f t="shared" ca="1" si="154"/>
        <v>#VALUE!</v>
      </c>
      <c r="AD287" t="e">
        <f t="shared" ca="1" si="155"/>
        <v>#VALUE!</v>
      </c>
      <c r="AE287" t="e">
        <f t="shared" ca="1" si="156"/>
        <v>#VALUE!</v>
      </c>
      <c r="AF287" t="e">
        <f t="shared" ca="1" si="157"/>
        <v>#VALUE!</v>
      </c>
      <c r="AG287" t="e">
        <f t="shared" ca="1" si="158"/>
        <v>#VALUE!</v>
      </c>
      <c r="AH287" t="e">
        <f ca="1">IF(V32="Supercritical",L287,IF(V32="Subcritical",W287,IF(AND(V287=1,AG287=1),IF(T287&gt;=AE287,L287,W287),IF(V287=1,L287,IF(AG287=1,W287,MAX($D$16,POWER((ABS(K287)^2)/($I$5*MAX(F287,0.1)^2),1/3)))))))</f>
        <v>#VALUE!</v>
      </c>
      <c r="AI287" t="e">
        <f t="shared" ca="1" si="159"/>
        <v>#VALUE!</v>
      </c>
      <c r="AJ287" t="e">
        <f t="shared" ca="1" si="160"/>
        <v>#VALUE!</v>
      </c>
      <c r="AM287">
        <v>0</v>
      </c>
      <c r="AN287">
        <v>0</v>
      </c>
      <c r="AO287">
        <f t="shared" si="161"/>
        <v>0</v>
      </c>
      <c r="AP287">
        <f t="shared" si="170"/>
        <v>0</v>
      </c>
      <c r="AQ287" t="e">
        <f t="shared" ca="1" si="162"/>
        <v>#VALUE!</v>
      </c>
      <c r="AR287" t="e">
        <f t="shared" ca="1" si="163"/>
        <v>#VALUE!</v>
      </c>
      <c r="AS287" t="e">
        <f t="shared" ca="1" si="164"/>
        <v>#VALUE!</v>
      </c>
    </row>
    <row r="288" spans="1:45" x14ac:dyDescent="0.35">
      <c r="A288">
        <v>139</v>
      </c>
      <c r="B288">
        <v>137.94800000000001</v>
      </c>
      <c r="C288">
        <v>616445.87300000002</v>
      </c>
      <c r="D288">
        <v>3097694.1570000001</v>
      </c>
      <c r="E288">
        <v>632.49300000000005</v>
      </c>
      <c r="F288">
        <v>5.2</v>
      </c>
      <c r="G288">
        <v>0</v>
      </c>
      <c r="H288" t="s">
        <v>191</v>
      </c>
      <c r="I288">
        <v>5.7000000000000002E-2</v>
      </c>
      <c r="J288">
        <f t="shared" si="165"/>
        <v>1</v>
      </c>
      <c r="K288">
        <f t="shared" si="166"/>
        <v>51</v>
      </c>
      <c r="L288" t="e">
        <f t="shared" ca="1" si="167"/>
        <v>#VALUE!</v>
      </c>
      <c r="M288" t="e">
        <f t="shared" ca="1" si="140"/>
        <v>#VALUE!</v>
      </c>
      <c r="N288" t="e">
        <f t="shared" ca="1" si="141"/>
        <v>#VALUE!</v>
      </c>
      <c r="O288" t="e">
        <f t="shared" ca="1" si="142"/>
        <v>#VALUE!</v>
      </c>
      <c r="P288" t="e">
        <f t="shared" ca="1" si="143"/>
        <v>#VALUE!</v>
      </c>
      <c r="Q288" t="e">
        <f t="shared" ca="1" si="144"/>
        <v>#VALUE!</v>
      </c>
      <c r="R288" t="e">
        <f t="shared" ca="1" si="145"/>
        <v>#VALUE!</v>
      </c>
      <c r="S288" t="e">
        <f t="shared" ca="1" si="146"/>
        <v>#VALUE!</v>
      </c>
      <c r="T288" t="e">
        <f t="shared" ca="1" si="147"/>
        <v>#VALUE!</v>
      </c>
      <c r="U288" t="e">
        <f t="shared" ca="1" si="168"/>
        <v>#VALUE!</v>
      </c>
      <c r="V288" t="e">
        <f t="shared" ca="1" si="169"/>
        <v>#VALUE!</v>
      </c>
      <c r="W288" t="e">
        <f t="shared" ca="1" si="148"/>
        <v>#VALUE!</v>
      </c>
      <c r="X288" t="e">
        <f t="shared" ca="1" si="149"/>
        <v>#VALUE!</v>
      </c>
      <c r="Y288" t="e">
        <f t="shared" ca="1" si="150"/>
        <v>#VALUE!</v>
      </c>
      <c r="Z288" t="e">
        <f t="shared" ca="1" si="151"/>
        <v>#VALUE!</v>
      </c>
      <c r="AA288" t="e">
        <f t="shared" ca="1" si="152"/>
        <v>#VALUE!</v>
      </c>
      <c r="AB288" t="e">
        <f t="shared" ca="1" si="153"/>
        <v>#VALUE!</v>
      </c>
      <c r="AC288" t="e">
        <f t="shared" ca="1" si="154"/>
        <v>#VALUE!</v>
      </c>
      <c r="AD288" t="e">
        <f t="shared" ca="1" si="155"/>
        <v>#VALUE!</v>
      </c>
      <c r="AE288" t="e">
        <f t="shared" ca="1" si="156"/>
        <v>#VALUE!</v>
      </c>
      <c r="AF288" t="e">
        <f t="shared" ca="1" si="157"/>
        <v>#VALUE!</v>
      </c>
      <c r="AG288" t="e">
        <f t="shared" ca="1" si="158"/>
        <v>#VALUE!</v>
      </c>
      <c r="AH288" t="e">
        <f ca="1">IF(V32="Supercritical",L288,IF(V32="Subcritical",W288,IF(AND(V288=1,AG288=1),IF(T288&gt;=AE288,L288,W288),IF(V288=1,L288,IF(AG288=1,W288,MAX($D$16,POWER((ABS(K288)^2)/($I$5*MAX(F288,0.1)^2),1/3)))))))</f>
        <v>#VALUE!</v>
      </c>
      <c r="AI288" t="e">
        <f t="shared" ca="1" si="159"/>
        <v>#VALUE!</v>
      </c>
      <c r="AJ288" t="e">
        <f t="shared" ca="1" si="160"/>
        <v>#VALUE!</v>
      </c>
      <c r="AM288">
        <v>0</v>
      </c>
      <c r="AN288">
        <v>0</v>
      </c>
      <c r="AO288">
        <f t="shared" si="161"/>
        <v>0</v>
      </c>
      <c r="AP288">
        <f t="shared" si="170"/>
        <v>0</v>
      </c>
      <c r="AQ288" t="e">
        <f t="shared" ca="1" si="162"/>
        <v>#VALUE!</v>
      </c>
      <c r="AR288" t="e">
        <f t="shared" ca="1" si="163"/>
        <v>#VALUE!</v>
      </c>
      <c r="AS288" t="e">
        <f t="shared" ca="1" si="164"/>
        <v>#VALUE!</v>
      </c>
    </row>
    <row r="289" spans="1:45" x14ac:dyDescent="0.35">
      <c r="A289">
        <v>140</v>
      </c>
      <c r="B289">
        <v>138.94800000000001</v>
      </c>
      <c r="C289">
        <v>616444.87399999995</v>
      </c>
      <c r="D289">
        <v>3097694.11</v>
      </c>
      <c r="E289">
        <v>632.49249999999995</v>
      </c>
      <c r="F289">
        <v>5.2</v>
      </c>
      <c r="G289">
        <v>0</v>
      </c>
      <c r="H289" t="s">
        <v>191</v>
      </c>
      <c r="I289">
        <v>5.7000000000000002E-2</v>
      </c>
      <c r="J289">
        <f t="shared" si="165"/>
        <v>1</v>
      </c>
      <c r="K289">
        <f t="shared" si="166"/>
        <v>51</v>
      </c>
      <c r="L289" t="e">
        <f t="shared" ca="1" si="167"/>
        <v>#VALUE!</v>
      </c>
      <c r="M289" t="e">
        <f t="shared" ca="1" si="140"/>
        <v>#VALUE!</v>
      </c>
      <c r="N289" t="e">
        <f t="shared" ca="1" si="141"/>
        <v>#VALUE!</v>
      </c>
      <c r="O289" t="e">
        <f t="shared" ca="1" si="142"/>
        <v>#VALUE!</v>
      </c>
      <c r="P289" t="e">
        <f t="shared" ca="1" si="143"/>
        <v>#VALUE!</v>
      </c>
      <c r="Q289" t="e">
        <f t="shared" ca="1" si="144"/>
        <v>#VALUE!</v>
      </c>
      <c r="R289" t="e">
        <f t="shared" ca="1" si="145"/>
        <v>#VALUE!</v>
      </c>
      <c r="S289" t="e">
        <f t="shared" ca="1" si="146"/>
        <v>#VALUE!</v>
      </c>
      <c r="T289" t="e">
        <f t="shared" ca="1" si="147"/>
        <v>#VALUE!</v>
      </c>
      <c r="U289" t="e">
        <f t="shared" ca="1" si="168"/>
        <v>#VALUE!</v>
      </c>
      <c r="V289" t="e">
        <f t="shared" ca="1" si="169"/>
        <v>#VALUE!</v>
      </c>
      <c r="W289" t="e">
        <f t="shared" ca="1" si="148"/>
        <v>#VALUE!</v>
      </c>
      <c r="X289" t="e">
        <f t="shared" ca="1" si="149"/>
        <v>#VALUE!</v>
      </c>
      <c r="Y289" t="e">
        <f t="shared" ca="1" si="150"/>
        <v>#VALUE!</v>
      </c>
      <c r="Z289" t="e">
        <f t="shared" ca="1" si="151"/>
        <v>#VALUE!</v>
      </c>
      <c r="AA289" t="e">
        <f t="shared" ca="1" si="152"/>
        <v>#VALUE!</v>
      </c>
      <c r="AB289" t="e">
        <f t="shared" ca="1" si="153"/>
        <v>#VALUE!</v>
      </c>
      <c r="AC289" t="e">
        <f t="shared" ca="1" si="154"/>
        <v>#VALUE!</v>
      </c>
      <c r="AD289" t="e">
        <f t="shared" ca="1" si="155"/>
        <v>#VALUE!</v>
      </c>
      <c r="AE289" t="e">
        <f t="shared" ca="1" si="156"/>
        <v>#VALUE!</v>
      </c>
      <c r="AF289" t="e">
        <f t="shared" ca="1" si="157"/>
        <v>#VALUE!</v>
      </c>
      <c r="AG289" t="e">
        <f t="shared" ca="1" si="158"/>
        <v>#VALUE!</v>
      </c>
      <c r="AH289" t="e">
        <f ca="1">IF(V32="Supercritical",L289,IF(V32="Subcritical",W289,IF(AND(V289=1,AG289=1),IF(T289&gt;=AE289,L289,W289),IF(V289=1,L289,IF(AG289=1,W289,MAX($D$16,POWER((ABS(K289)^2)/($I$5*MAX(F289,0.1)^2),1/3)))))))</f>
        <v>#VALUE!</v>
      </c>
      <c r="AI289" t="e">
        <f t="shared" ca="1" si="159"/>
        <v>#VALUE!</v>
      </c>
      <c r="AJ289" t="e">
        <f t="shared" ca="1" si="160"/>
        <v>#VALUE!</v>
      </c>
      <c r="AM289">
        <v>0</v>
      </c>
      <c r="AN289">
        <v>0</v>
      </c>
      <c r="AO289">
        <f t="shared" si="161"/>
        <v>0</v>
      </c>
      <c r="AP289">
        <f t="shared" si="170"/>
        <v>0</v>
      </c>
      <c r="AQ289" t="e">
        <f t="shared" ca="1" si="162"/>
        <v>#VALUE!</v>
      </c>
      <c r="AR289" t="e">
        <f t="shared" ca="1" si="163"/>
        <v>#VALUE!</v>
      </c>
      <c r="AS289" t="e">
        <f t="shared" ca="1" si="164"/>
        <v>#VALUE!</v>
      </c>
    </row>
    <row r="290" spans="1:45" x14ac:dyDescent="0.35">
      <c r="A290">
        <v>141</v>
      </c>
      <c r="B290">
        <v>139.94800000000001</v>
      </c>
      <c r="C290">
        <v>616443.875</v>
      </c>
      <c r="D290">
        <v>3097694.0619999999</v>
      </c>
      <c r="E290">
        <v>632.49199999999996</v>
      </c>
      <c r="F290">
        <v>5.2</v>
      </c>
      <c r="G290">
        <v>0</v>
      </c>
      <c r="H290" t="s">
        <v>191</v>
      </c>
      <c r="I290">
        <v>0</v>
      </c>
      <c r="J290">
        <f t="shared" si="165"/>
        <v>1</v>
      </c>
      <c r="K290">
        <f t="shared" si="166"/>
        <v>51</v>
      </c>
      <c r="L290" t="e">
        <f t="shared" ca="1" si="167"/>
        <v>#VALUE!</v>
      </c>
      <c r="M290" t="e">
        <f t="shared" ca="1" si="140"/>
        <v>#VALUE!</v>
      </c>
      <c r="N290" t="e">
        <f t="shared" ca="1" si="141"/>
        <v>#VALUE!</v>
      </c>
      <c r="O290" t="e">
        <f t="shared" ca="1" si="142"/>
        <v>#VALUE!</v>
      </c>
      <c r="P290" t="e">
        <f t="shared" ca="1" si="143"/>
        <v>#VALUE!</v>
      </c>
      <c r="Q290" t="e">
        <f t="shared" ca="1" si="144"/>
        <v>#VALUE!</v>
      </c>
      <c r="R290" t="e">
        <f t="shared" ca="1" si="145"/>
        <v>#VALUE!</v>
      </c>
      <c r="S290" t="e">
        <f t="shared" ca="1" si="146"/>
        <v>#VALUE!</v>
      </c>
      <c r="T290" t="e">
        <f t="shared" ca="1" si="147"/>
        <v>#VALUE!</v>
      </c>
      <c r="U290" t="e">
        <f t="shared" ca="1" si="168"/>
        <v>#VALUE!</v>
      </c>
      <c r="V290" t="e">
        <f t="shared" ca="1" si="169"/>
        <v>#VALUE!</v>
      </c>
      <c r="W290" t="e">
        <f t="shared" ca="1" si="148"/>
        <v>#VALUE!</v>
      </c>
      <c r="X290" t="e">
        <f t="shared" ca="1" si="149"/>
        <v>#VALUE!</v>
      </c>
      <c r="Y290" t="e">
        <f t="shared" ca="1" si="150"/>
        <v>#VALUE!</v>
      </c>
      <c r="Z290" t="e">
        <f t="shared" ca="1" si="151"/>
        <v>#VALUE!</v>
      </c>
      <c r="AA290" t="e">
        <f t="shared" ca="1" si="152"/>
        <v>#VALUE!</v>
      </c>
      <c r="AB290" t="e">
        <f t="shared" ca="1" si="153"/>
        <v>#VALUE!</v>
      </c>
      <c r="AC290" t="e">
        <f t="shared" ca="1" si="154"/>
        <v>#VALUE!</v>
      </c>
      <c r="AD290" t="e">
        <f t="shared" ca="1" si="155"/>
        <v>#VALUE!</v>
      </c>
      <c r="AE290" t="e">
        <f t="shared" ca="1" si="156"/>
        <v>#VALUE!</v>
      </c>
      <c r="AF290" t="e">
        <f t="shared" ca="1" si="157"/>
        <v>#VALUE!</v>
      </c>
      <c r="AG290" t="e">
        <f t="shared" ca="1" si="158"/>
        <v>#VALUE!</v>
      </c>
      <c r="AH290" t="e">
        <f ca="1">IF(V32="Supercritical",L290,IF(V32="Subcritical",W290,IF(AND(V290=1,AG290=1),IF(T290&gt;=AE290,L290,W290),IF(V290=1,L290,IF(AG290=1,W290,MAX($D$16,POWER((ABS(K290)^2)/($I$5*MAX(F290,0.1)^2),1/3)))))))</f>
        <v>#VALUE!</v>
      </c>
      <c r="AI290" t="e">
        <f t="shared" ca="1" si="159"/>
        <v>#VALUE!</v>
      </c>
      <c r="AJ290" t="e">
        <f t="shared" ca="1" si="160"/>
        <v>#VALUE!</v>
      </c>
      <c r="AM290">
        <v>0</v>
      </c>
      <c r="AN290">
        <v>0</v>
      </c>
      <c r="AO290">
        <f t="shared" si="161"/>
        <v>0</v>
      </c>
      <c r="AP290">
        <f t="shared" si="170"/>
        <v>0</v>
      </c>
      <c r="AQ290" t="e">
        <f t="shared" ca="1" si="162"/>
        <v>#VALUE!</v>
      </c>
      <c r="AR290" t="e">
        <f t="shared" ca="1" si="163"/>
        <v>#VALUE!</v>
      </c>
      <c r="AS290" t="e">
        <f t="shared" ca="1" si="164"/>
        <v>#VALUE!</v>
      </c>
    </row>
    <row r="291" spans="1:45" x14ac:dyDescent="0.35">
      <c r="A291">
        <v>142</v>
      </c>
      <c r="B291">
        <v>140.94900000000001</v>
      </c>
      <c r="C291">
        <v>616442.87600000005</v>
      </c>
      <c r="D291">
        <v>3097694.014</v>
      </c>
      <c r="E291">
        <v>632.49149999999997</v>
      </c>
      <c r="F291">
        <v>5.2</v>
      </c>
      <c r="G291">
        <v>0</v>
      </c>
      <c r="H291" t="s">
        <v>191</v>
      </c>
      <c r="I291">
        <v>5.5E-2</v>
      </c>
      <c r="J291">
        <f t="shared" si="165"/>
        <v>1.0010000000000048</v>
      </c>
      <c r="K291">
        <f t="shared" si="166"/>
        <v>51</v>
      </c>
      <c r="L291" t="e">
        <f t="shared" ca="1" si="167"/>
        <v>#VALUE!</v>
      </c>
      <c r="M291" t="e">
        <f t="shared" ca="1" si="140"/>
        <v>#VALUE!</v>
      </c>
      <c r="N291" t="e">
        <f t="shared" ca="1" si="141"/>
        <v>#VALUE!</v>
      </c>
      <c r="O291" t="e">
        <f t="shared" ca="1" si="142"/>
        <v>#VALUE!</v>
      </c>
      <c r="P291" t="e">
        <f t="shared" ca="1" si="143"/>
        <v>#VALUE!</v>
      </c>
      <c r="Q291" t="e">
        <f t="shared" ca="1" si="144"/>
        <v>#VALUE!</v>
      </c>
      <c r="R291" t="e">
        <f t="shared" ca="1" si="145"/>
        <v>#VALUE!</v>
      </c>
      <c r="S291" t="e">
        <f t="shared" ca="1" si="146"/>
        <v>#VALUE!</v>
      </c>
      <c r="T291" t="e">
        <f t="shared" ca="1" si="147"/>
        <v>#VALUE!</v>
      </c>
      <c r="U291" t="e">
        <f t="shared" ca="1" si="168"/>
        <v>#VALUE!</v>
      </c>
      <c r="V291" t="e">
        <f t="shared" ca="1" si="169"/>
        <v>#VALUE!</v>
      </c>
      <c r="W291" t="e">
        <f t="shared" ca="1" si="148"/>
        <v>#VALUE!</v>
      </c>
      <c r="X291" t="e">
        <f t="shared" ca="1" si="149"/>
        <v>#VALUE!</v>
      </c>
      <c r="Y291" t="e">
        <f t="shared" ca="1" si="150"/>
        <v>#VALUE!</v>
      </c>
      <c r="Z291" t="e">
        <f t="shared" ca="1" si="151"/>
        <v>#VALUE!</v>
      </c>
      <c r="AA291" t="e">
        <f t="shared" ca="1" si="152"/>
        <v>#VALUE!</v>
      </c>
      <c r="AB291" t="e">
        <f t="shared" ca="1" si="153"/>
        <v>#VALUE!</v>
      </c>
      <c r="AC291" t="e">
        <f t="shared" ca="1" si="154"/>
        <v>#VALUE!</v>
      </c>
      <c r="AD291" t="e">
        <f t="shared" ca="1" si="155"/>
        <v>#VALUE!</v>
      </c>
      <c r="AE291" t="e">
        <f t="shared" ca="1" si="156"/>
        <v>#VALUE!</v>
      </c>
      <c r="AF291" t="e">
        <f t="shared" ca="1" si="157"/>
        <v>#VALUE!</v>
      </c>
      <c r="AG291" t="e">
        <f t="shared" ca="1" si="158"/>
        <v>#VALUE!</v>
      </c>
      <c r="AH291" t="e">
        <f ca="1">IF(V32="Supercritical",L291,IF(V32="Subcritical",W291,IF(AND(V291=1,AG291=1),IF(T291&gt;=AE291,L291,W291),IF(V291=1,L291,IF(AG291=1,W291,MAX($D$16,POWER((ABS(K291)^2)/($I$5*MAX(F291,0.1)^2),1/3)))))))</f>
        <v>#VALUE!</v>
      </c>
      <c r="AI291" t="e">
        <f t="shared" ca="1" si="159"/>
        <v>#VALUE!</v>
      </c>
      <c r="AJ291" t="e">
        <f t="shared" ca="1" si="160"/>
        <v>#VALUE!</v>
      </c>
      <c r="AM291">
        <v>0</v>
      </c>
      <c r="AN291">
        <v>0</v>
      </c>
      <c r="AO291">
        <f t="shared" si="161"/>
        <v>0</v>
      </c>
      <c r="AP291">
        <f t="shared" si="170"/>
        <v>0</v>
      </c>
      <c r="AQ291" t="e">
        <f t="shared" ca="1" si="162"/>
        <v>#VALUE!</v>
      </c>
      <c r="AR291" t="e">
        <f t="shared" ca="1" si="163"/>
        <v>#VALUE!</v>
      </c>
      <c r="AS291" t="e">
        <f t="shared" ca="1" si="164"/>
        <v>#VALUE!</v>
      </c>
    </row>
    <row r="292" spans="1:45" x14ac:dyDescent="0.35">
      <c r="A292">
        <v>143</v>
      </c>
      <c r="B292">
        <v>141.94800000000001</v>
      </c>
      <c r="C292">
        <v>616441.87800000003</v>
      </c>
      <c r="D292">
        <v>3097693.9670000002</v>
      </c>
      <c r="E292">
        <v>632.49099999999999</v>
      </c>
      <c r="F292">
        <v>5.2</v>
      </c>
      <c r="G292">
        <v>0</v>
      </c>
      <c r="H292" t="s">
        <v>191</v>
      </c>
      <c r="I292">
        <v>5.5E-2</v>
      </c>
      <c r="J292">
        <f t="shared" si="165"/>
        <v>0.99899999999999523</v>
      </c>
      <c r="K292">
        <f t="shared" si="166"/>
        <v>51</v>
      </c>
      <c r="L292" t="e">
        <f t="shared" ca="1" si="167"/>
        <v>#VALUE!</v>
      </c>
      <c r="M292" t="e">
        <f t="shared" ca="1" si="140"/>
        <v>#VALUE!</v>
      </c>
      <c r="N292" t="e">
        <f t="shared" ca="1" si="141"/>
        <v>#VALUE!</v>
      </c>
      <c r="O292" t="e">
        <f t="shared" ca="1" si="142"/>
        <v>#VALUE!</v>
      </c>
      <c r="P292" t="e">
        <f t="shared" ca="1" si="143"/>
        <v>#VALUE!</v>
      </c>
      <c r="Q292" t="e">
        <f t="shared" ca="1" si="144"/>
        <v>#VALUE!</v>
      </c>
      <c r="R292" t="e">
        <f t="shared" ca="1" si="145"/>
        <v>#VALUE!</v>
      </c>
      <c r="S292" t="e">
        <f t="shared" ca="1" si="146"/>
        <v>#VALUE!</v>
      </c>
      <c r="T292" t="e">
        <f t="shared" ca="1" si="147"/>
        <v>#VALUE!</v>
      </c>
      <c r="U292" t="e">
        <f t="shared" ca="1" si="168"/>
        <v>#VALUE!</v>
      </c>
      <c r="V292" t="e">
        <f t="shared" ca="1" si="169"/>
        <v>#VALUE!</v>
      </c>
      <c r="W292" t="e">
        <f t="shared" ca="1" si="148"/>
        <v>#VALUE!</v>
      </c>
      <c r="X292" t="e">
        <f t="shared" ca="1" si="149"/>
        <v>#VALUE!</v>
      </c>
      <c r="Y292" t="e">
        <f t="shared" ca="1" si="150"/>
        <v>#VALUE!</v>
      </c>
      <c r="Z292" t="e">
        <f t="shared" ca="1" si="151"/>
        <v>#VALUE!</v>
      </c>
      <c r="AA292" t="e">
        <f t="shared" ca="1" si="152"/>
        <v>#VALUE!</v>
      </c>
      <c r="AB292" t="e">
        <f t="shared" ca="1" si="153"/>
        <v>#VALUE!</v>
      </c>
      <c r="AC292" t="e">
        <f t="shared" ca="1" si="154"/>
        <v>#VALUE!</v>
      </c>
      <c r="AD292" t="e">
        <f t="shared" ca="1" si="155"/>
        <v>#VALUE!</v>
      </c>
      <c r="AE292" t="e">
        <f t="shared" ca="1" si="156"/>
        <v>#VALUE!</v>
      </c>
      <c r="AF292" t="e">
        <f t="shared" ca="1" si="157"/>
        <v>#VALUE!</v>
      </c>
      <c r="AG292" t="e">
        <f t="shared" ca="1" si="158"/>
        <v>#VALUE!</v>
      </c>
      <c r="AH292" t="e">
        <f ca="1">IF(V32="Supercritical",L292,IF(V32="Subcritical",W292,IF(AND(V292=1,AG292=1),IF(T292&gt;=AE292,L292,W292),IF(V292=1,L292,IF(AG292=1,W292,MAX($D$16,POWER((ABS(K292)^2)/($I$5*MAX(F292,0.1)^2),1/3)))))))</f>
        <v>#VALUE!</v>
      </c>
      <c r="AI292" t="e">
        <f t="shared" ca="1" si="159"/>
        <v>#VALUE!</v>
      </c>
      <c r="AJ292" t="e">
        <f t="shared" ca="1" si="160"/>
        <v>#VALUE!</v>
      </c>
      <c r="AM292">
        <v>0</v>
      </c>
      <c r="AN292">
        <v>0</v>
      </c>
      <c r="AO292">
        <f t="shared" si="161"/>
        <v>0</v>
      </c>
      <c r="AP292">
        <f t="shared" si="170"/>
        <v>0</v>
      </c>
      <c r="AQ292" t="e">
        <f t="shared" ca="1" si="162"/>
        <v>#VALUE!</v>
      </c>
      <c r="AR292" t="e">
        <f t="shared" ca="1" si="163"/>
        <v>#VALUE!</v>
      </c>
      <c r="AS292" t="e">
        <f t="shared" ca="1" si="164"/>
        <v>#VALUE!</v>
      </c>
    </row>
    <row r="293" spans="1:45" x14ac:dyDescent="0.35">
      <c r="A293">
        <v>144</v>
      </c>
      <c r="B293">
        <v>142.94800000000001</v>
      </c>
      <c r="C293">
        <v>616440.87899999996</v>
      </c>
      <c r="D293">
        <v>3097693.9190000002</v>
      </c>
      <c r="E293">
        <v>632.4905</v>
      </c>
      <c r="F293">
        <v>5.2</v>
      </c>
      <c r="G293">
        <v>0</v>
      </c>
      <c r="H293" t="s">
        <v>191</v>
      </c>
      <c r="I293">
        <v>5.7000000000000002E-2</v>
      </c>
      <c r="J293">
        <f t="shared" si="165"/>
        <v>1</v>
      </c>
      <c r="K293">
        <f t="shared" si="166"/>
        <v>51</v>
      </c>
      <c r="L293" t="e">
        <f t="shared" ca="1" si="167"/>
        <v>#VALUE!</v>
      </c>
      <c r="M293" t="e">
        <f t="shared" ca="1" si="140"/>
        <v>#VALUE!</v>
      </c>
      <c r="N293" t="e">
        <f t="shared" ca="1" si="141"/>
        <v>#VALUE!</v>
      </c>
      <c r="O293" t="e">
        <f t="shared" ca="1" si="142"/>
        <v>#VALUE!</v>
      </c>
      <c r="P293" t="e">
        <f t="shared" ca="1" si="143"/>
        <v>#VALUE!</v>
      </c>
      <c r="Q293" t="e">
        <f t="shared" ca="1" si="144"/>
        <v>#VALUE!</v>
      </c>
      <c r="R293" t="e">
        <f t="shared" ca="1" si="145"/>
        <v>#VALUE!</v>
      </c>
      <c r="S293" t="e">
        <f t="shared" ca="1" si="146"/>
        <v>#VALUE!</v>
      </c>
      <c r="T293" t="e">
        <f t="shared" ca="1" si="147"/>
        <v>#VALUE!</v>
      </c>
      <c r="U293" t="e">
        <f t="shared" ca="1" si="168"/>
        <v>#VALUE!</v>
      </c>
      <c r="V293" t="e">
        <f t="shared" ca="1" si="169"/>
        <v>#VALUE!</v>
      </c>
      <c r="W293" t="e">
        <f t="shared" ca="1" si="148"/>
        <v>#VALUE!</v>
      </c>
      <c r="X293" t="e">
        <f t="shared" ca="1" si="149"/>
        <v>#VALUE!</v>
      </c>
      <c r="Y293" t="e">
        <f t="shared" ca="1" si="150"/>
        <v>#VALUE!</v>
      </c>
      <c r="Z293" t="e">
        <f t="shared" ca="1" si="151"/>
        <v>#VALUE!</v>
      </c>
      <c r="AA293" t="e">
        <f t="shared" ca="1" si="152"/>
        <v>#VALUE!</v>
      </c>
      <c r="AB293" t="e">
        <f t="shared" ca="1" si="153"/>
        <v>#VALUE!</v>
      </c>
      <c r="AC293" t="e">
        <f t="shared" ca="1" si="154"/>
        <v>#VALUE!</v>
      </c>
      <c r="AD293" t="e">
        <f t="shared" ca="1" si="155"/>
        <v>#VALUE!</v>
      </c>
      <c r="AE293" t="e">
        <f t="shared" ca="1" si="156"/>
        <v>#VALUE!</v>
      </c>
      <c r="AF293" t="e">
        <f t="shared" ca="1" si="157"/>
        <v>#VALUE!</v>
      </c>
      <c r="AG293" t="e">
        <f t="shared" ca="1" si="158"/>
        <v>#VALUE!</v>
      </c>
      <c r="AH293" t="e">
        <f ca="1">IF(V32="Supercritical",L293,IF(V32="Subcritical",W293,IF(AND(V293=1,AG293=1),IF(T293&gt;=AE293,L293,W293),IF(V293=1,L293,IF(AG293=1,W293,MAX($D$16,POWER((ABS(K293)^2)/($I$5*MAX(F293,0.1)^2),1/3)))))))</f>
        <v>#VALUE!</v>
      </c>
      <c r="AI293" t="e">
        <f t="shared" ca="1" si="159"/>
        <v>#VALUE!</v>
      </c>
      <c r="AJ293" t="e">
        <f t="shared" ca="1" si="160"/>
        <v>#VALUE!</v>
      </c>
      <c r="AM293">
        <v>0</v>
      </c>
      <c r="AN293">
        <v>0</v>
      </c>
      <c r="AO293">
        <f t="shared" si="161"/>
        <v>0</v>
      </c>
      <c r="AP293">
        <f t="shared" si="170"/>
        <v>0</v>
      </c>
      <c r="AQ293" t="e">
        <f t="shared" ca="1" si="162"/>
        <v>#VALUE!</v>
      </c>
      <c r="AR293" t="e">
        <f t="shared" ca="1" si="163"/>
        <v>#VALUE!</v>
      </c>
      <c r="AS293" t="e">
        <f t="shared" ca="1" si="164"/>
        <v>#VALUE!</v>
      </c>
    </row>
    <row r="294" spans="1:45" x14ac:dyDescent="0.35">
      <c r="A294">
        <v>145</v>
      </c>
      <c r="B294">
        <v>143.94800000000001</v>
      </c>
      <c r="C294">
        <v>616439.88</v>
      </c>
      <c r="D294">
        <v>3097693.872</v>
      </c>
      <c r="E294">
        <v>632.49</v>
      </c>
      <c r="F294">
        <v>5.2</v>
      </c>
      <c r="G294">
        <v>0</v>
      </c>
      <c r="H294" t="s">
        <v>191</v>
      </c>
      <c r="I294">
        <v>5.7000000000000002E-2</v>
      </c>
      <c r="J294">
        <f t="shared" si="165"/>
        <v>1</v>
      </c>
      <c r="K294">
        <f t="shared" si="166"/>
        <v>51</v>
      </c>
      <c r="L294" t="e">
        <f t="shared" ca="1" si="167"/>
        <v>#VALUE!</v>
      </c>
      <c r="M294" t="e">
        <f t="shared" ca="1" si="140"/>
        <v>#VALUE!</v>
      </c>
      <c r="N294" t="e">
        <f t="shared" ca="1" si="141"/>
        <v>#VALUE!</v>
      </c>
      <c r="O294" t="e">
        <f t="shared" ca="1" si="142"/>
        <v>#VALUE!</v>
      </c>
      <c r="P294" t="e">
        <f t="shared" ca="1" si="143"/>
        <v>#VALUE!</v>
      </c>
      <c r="Q294" t="e">
        <f t="shared" ca="1" si="144"/>
        <v>#VALUE!</v>
      </c>
      <c r="R294" t="e">
        <f t="shared" ca="1" si="145"/>
        <v>#VALUE!</v>
      </c>
      <c r="S294" t="e">
        <f t="shared" ca="1" si="146"/>
        <v>#VALUE!</v>
      </c>
      <c r="T294" t="e">
        <f t="shared" ca="1" si="147"/>
        <v>#VALUE!</v>
      </c>
      <c r="U294" t="e">
        <f t="shared" ca="1" si="168"/>
        <v>#VALUE!</v>
      </c>
      <c r="V294" t="e">
        <f t="shared" ca="1" si="169"/>
        <v>#VALUE!</v>
      </c>
      <c r="W294" t="e">
        <f t="shared" ca="1" si="148"/>
        <v>#VALUE!</v>
      </c>
      <c r="X294" t="e">
        <f t="shared" ca="1" si="149"/>
        <v>#VALUE!</v>
      </c>
      <c r="Y294" t="e">
        <f t="shared" ca="1" si="150"/>
        <v>#VALUE!</v>
      </c>
      <c r="Z294" t="e">
        <f t="shared" ca="1" si="151"/>
        <v>#VALUE!</v>
      </c>
      <c r="AA294" t="e">
        <f t="shared" ca="1" si="152"/>
        <v>#VALUE!</v>
      </c>
      <c r="AB294" t="e">
        <f t="shared" ca="1" si="153"/>
        <v>#VALUE!</v>
      </c>
      <c r="AC294" t="e">
        <f t="shared" ca="1" si="154"/>
        <v>#VALUE!</v>
      </c>
      <c r="AD294" t="e">
        <f t="shared" ca="1" si="155"/>
        <v>#VALUE!</v>
      </c>
      <c r="AE294" t="e">
        <f t="shared" ca="1" si="156"/>
        <v>#VALUE!</v>
      </c>
      <c r="AF294" t="e">
        <f t="shared" ca="1" si="157"/>
        <v>#VALUE!</v>
      </c>
      <c r="AG294" t="e">
        <f t="shared" ca="1" si="158"/>
        <v>#VALUE!</v>
      </c>
      <c r="AH294" t="e">
        <f ca="1">IF(V32="Supercritical",L294,IF(V32="Subcritical",W294,IF(AND(V294=1,AG294=1),IF(T294&gt;=AE294,L294,W294),IF(V294=1,L294,IF(AG294=1,W294,MAX($D$16,POWER((ABS(K294)^2)/($I$5*MAX(F294,0.1)^2),1/3)))))))</f>
        <v>#VALUE!</v>
      </c>
      <c r="AI294" t="e">
        <f t="shared" ca="1" si="159"/>
        <v>#VALUE!</v>
      </c>
      <c r="AJ294" t="e">
        <f t="shared" ca="1" si="160"/>
        <v>#VALUE!</v>
      </c>
      <c r="AM294">
        <v>0</v>
      </c>
      <c r="AN294">
        <v>0</v>
      </c>
      <c r="AO294">
        <f t="shared" si="161"/>
        <v>0</v>
      </c>
      <c r="AP294">
        <f t="shared" si="170"/>
        <v>0</v>
      </c>
      <c r="AQ294" t="e">
        <f t="shared" ca="1" si="162"/>
        <v>#VALUE!</v>
      </c>
      <c r="AR294" t="e">
        <f t="shared" ca="1" si="163"/>
        <v>#VALUE!</v>
      </c>
      <c r="AS294" t="e">
        <f t="shared" ca="1" si="164"/>
        <v>#VALUE!</v>
      </c>
    </row>
    <row r="295" spans="1:45" x14ac:dyDescent="0.35">
      <c r="A295">
        <v>146</v>
      </c>
      <c r="B295">
        <v>144.94800000000001</v>
      </c>
      <c r="C295">
        <v>616438.88100000005</v>
      </c>
      <c r="D295">
        <v>3097693.824</v>
      </c>
      <c r="E295">
        <v>632.48950000000002</v>
      </c>
      <c r="F295">
        <v>5.2</v>
      </c>
      <c r="G295">
        <v>0</v>
      </c>
      <c r="H295" t="s">
        <v>191</v>
      </c>
      <c r="I295">
        <v>0</v>
      </c>
      <c r="J295">
        <f t="shared" si="165"/>
        <v>1</v>
      </c>
      <c r="K295">
        <f t="shared" si="166"/>
        <v>51</v>
      </c>
      <c r="L295" t="e">
        <f t="shared" ca="1" si="167"/>
        <v>#VALUE!</v>
      </c>
      <c r="M295" t="e">
        <f t="shared" ca="1" si="140"/>
        <v>#VALUE!</v>
      </c>
      <c r="N295" t="e">
        <f t="shared" ca="1" si="141"/>
        <v>#VALUE!</v>
      </c>
      <c r="O295" t="e">
        <f t="shared" ca="1" si="142"/>
        <v>#VALUE!</v>
      </c>
      <c r="P295" t="e">
        <f t="shared" ca="1" si="143"/>
        <v>#VALUE!</v>
      </c>
      <c r="Q295" t="e">
        <f t="shared" ca="1" si="144"/>
        <v>#VALUE!</v>
      </c>
      <c r="R295" t="e">
        <f t="shared" ca="1" si="145"/>
        <v>#VALUE!</v>
      </c>
      <c r="S295" t="e">
        <f t="shared" ca="1" si="146"/>
        <v>#VALUE!</v>
      </c>
      <c r="T295" t="e">
        <f t="shared" ca="1" si="147"/>
        <v>#VALUE!</v>
      </c>
      <c r="U295" t="e">
        <f t="shared" ca="1" si="168"/>
        <v>#VALUE!</v>
      </c>
      <c r="V295" t="e">
        <f t="shared" ca="1" si="169"/>
        <v>#VALUE!</v>
      </c>
      <c r="W295" t="e">
        <f t="shared" ca="1" si="148"/>
        <v>#VALUE!</v>
      </c>
      <c r="X295" t="e">
        <f t="shared" ca="1" si="149"/>
        <v>#VALUE!</v>
      </c>
      <c r="Y295" t="e">
        <f t="shared" ca="1" si="150"/>
        <v>#VALUE!</v>
      </c>
      <c r="Z295" t="e">
        <f t="shared" ca="1" si="151"/>
        <v>#VALUE!</v>
      </c>
      <c r="AA295" t="e">
        <f t="shared" ca="1" si="152"/>
        <v>#VALUE!</v>
      </c>
      <c r="AB295" t="e">
        <f t="shared" ca="1" si="153"/>
        <v>#VALUE!</v>
      </c>
      <c r="AC295" t="e">
        <f t="shared" ca="1" si="154"/>
        <v>#VALUE!</v>
      </c>
      <c r="AD295" t="e">
        <f t="shared" ca="1" si="155"/>
        <v>#VALUE!</v>
      </c>
      <c r="AE295" t="e">
        <f t="shared" ca="1" si="156"/>
        <v>#VALUE!</v>
      </c>
      <c r="AF295" t="e">
        <f t="shared" ca="1" si="157"/>
        <v>#VALUE!</v>
      </c>
      <c r="AG295" t="e">
        <f t="shared" ca="1" si="158"/>
        <v>#VALUE!</v>
      </c>
      <c r="AH295" t="e">
        <f ca="1">IF(V32="Supercritical",L295,IF(V32="Subcritical",W295,IF(AND(V295=1,AG295=1),IF(T295&gt;=AE295,L295,W295),IF(V295=1,L295,IF(AG295=1,W295,MAX($D$16,POWER((ABS(K295)^2)/($I$5*MAX(F295,0.1)^2),1/3)))))))</f>
        <v>#VALUE!</v>
      </c>
      <c r="AI295" t="e">
        <f t="shared" ca="1" si="159"/>
        <v>#VALUE!</v>
      </c>
      <c r="AJ295" t="e">
        <f t="shared" ca="1" si="160"/>
        <v>#VALUE!</v>
      </c>
      <c r="AM295">
        <v>0</v>
      </c>
      <c r="AN295">
        <v>0</v>
      </c>
      <c r="AO295">
        <f t="shared" si="161"/>
        <v>0</v>
      </c>
      <c r="AP295">
        <f t="shared" si="170"/>
        <v>0</v>
      </c>
      <c r="AQ295" t="e">
        <f t="shared" ca="1" si="162"/>
        <v>#VALUE!</v>
      </c>
      <c r="AR295" t="e">
        <f t="shared" ca="1" si="163"/>
        <v>#VALUE!</v>
      </c>
      <c r="AS295" t="e">
        <f t="shared" ca="1" si="164"/>
        <v>#VALUE!</v>
      </c>
    </row>
    <row r="296" spans="1:45" x14ac:dyDescent="0.35">
      <c r="A296">
        <v>147</v>
      </c>
      <c r="B296">
        <v>145.94800000000001</v>
      </c>
      <c r="C296">
        <v>616437.88199999998</v>
      </c>
      <c r="D296">
        <v>3097693.7760000001</v>
      </c>
      <c r="E296">
        <v>632.48900000000003</v>
      </c>
      <c r="F296">
        <v>5.2</v>
      </c>
      <c r="G296">
        <v>0</v>
      </c>
      <c r="H296" t="s">
        <v>191</v>
      </c>
      <c r="I296">
        <v>5.7000000000000002E-2</v>
      </c>
      <c r="J296">
        <f t="shared" si="165"/>
        <v>1</v>
      </c>
      <c r="K296">
        <f t="shared" si="166"/>
        <v>51</v>
      </c>
      <c r="L296" t="e">
        <f t="shared" ca="1" si="167"/>
        <v>#VALUE!</v>
      </c>
      <c r="M296" t="e">
        <f t="shared" ca="1" si="140"/>
        <v>#VALUE!</v>
      </c>
      <c r="N296" t="e">
        <f t="shared" ca="1" si="141"/>
        <v>#VALUE!</v>
      </c>
      <c r="O296" t="e">
        <f t="shared" ca="1" si="142"/>
        <v>#VALUE!</v>
      </c>
      <c r="P296" t="e">
        <f t="shared" ca="1" si="143"/>
        <v>#VALUE!</v>
      </c>
      <c r="Q296" t="e">
        <f t="shared" ca="1" si="144"/>
        <v>#VALUE!</v>
      </c>
      <c r="R296" t="e">
        <f t="shared" ca="1" si="145"/>
        <v>#VALUE!</v>
      </c>
      <c r="S296" t="e">
        <f t="shared" ca="1" si="146"/>
        <v>#VALUE!</v>
      </c>
      <c r="T296" t="e">
        <f t="shared" ca="1" si="147"/>
        <v>#VALUE!</v>
      </c>
      <c r="U296" t="e">
        <f t="shared" ca="1" si="168"/>
        <v>#VALUE!</v>
      </c>
      <c r="V296" t="e">
        <f t="shared" ca="1" si="169"/>
        <v>#VALUE!</v>
      </c>
      <c r="W296" t="e">
        <f t="shared" ca="1" si="148"/>
        <v>#VALUE!</v>
      </c>
      <c r="X296" t="e">
        <f t="shared" ca="1" si="149"/>
        <v>#VALUE!</v>
      </c>
      <c r="Y296" t="e">
        <f t="shared" ca="1" si="150"/>
        <v>#VALUE!</v>
      </c>
      <c r="Z296" t="e">
        <f t="shared" ca="1" si="151"/>
        <v>#VALUE!</v>
      </c>
      <c r="AA296" t="e">
        <f t="shared" ca="1" si="152"/>
        <v>#VALUE!</v>
      </c>
      <c r="AB296" t="e">
        <f t="shared" ca="1" si="153"/>
        <v>#VALUE!</v>
      </c>
      <c r="AC296" t="e">
        <f t="shared" ca="1" si="154"/>
        <v>#VALUE!</v>
      </c>
      <c r="AD296" t="e">
        <f t="shared" ca="1" si="155"/>
        <v>#VALUE!</v>
      </c>
      <c r="AE296" t="e">
        <f t="shared" ca="1" si="156"/>
        <v>#VALUE!</v>
      </c>
      <c r="AF296" t="e">
        <f t="shared" ca="1" si="157"/>
        <v>#VALUE!</v>
      </c>
      <c r="AG296" t="e">
        <f t="shared" ca="1" si="158"/>
        <v>#VALUE!</v>
      </c>
      <c r="AH296" t="e">
        <f ca="1">IF(V32="Supercritical",L296,IF(V32="Subcritical",W296,IF(AND(V296=1,AG296=1),IF(T296&gt;=AE296,L296,W296),IF(V296=1,L296,IF(AG296=1,W296,MAX($D$16,POWER((ABS(K296)^2)/($I$5*MAX(F296,0.1)^2),1/3)))))))</f>
        <v>#VALUE!</v>
      </c>
      <c r="AI296" t="e">
        <f t="shared" ca="1" si="159"/>
        <v>#VALUE!</v>
      </c>
      <c r="AJ296" t="e">
        <f t="shared" ca="1" si="160"/>
        <v>#VALUE!</v>
      </c>
      <c r="AM296">
        <v>0</v>
      </c>
      <c r="AN296">
        <v>0</v>
      </c>
      <c r="AO296">
        <f t="shared" si="161"/>
        <v>0</v>
      </c>
      <c r="AP296">
        <f t="shared" si="170"/>
        <v>0</v>
      </c>
      <c r="AQ296" t="e">
        <f t="shared" ca="1" si="162"/>
        <v>#VALUE!</v>
      </c>
      <c r="AR296" t="e">
        <f t="shared" ca="1" si="163"/>
        <v>#VALUE!</v>
      </c>
      <c r="AS296" t="e">
        <f t="shared" ca="1" si="164"/>
        <v>#VALUE!</v>
      </c>
    </row>
    <row r="297" spans="1:45" x14ac:dyDescent="0.35">
      <c r="A297">
        <v>148</v>
      </c>
      <c r="B297">
        <v>146.94800000000001</v>
      </c>
      <c r="C297">
        <v>616436.88300000003</v>
      </c>
      <c r="D297">
        <v>3097693.7289999998</v>
      </c>
      <c r="E297">
        <v>632.48850000000004</v>
      </c>
      <c r="F297">
        <v>5.2</v>
      </c>
      <c r="G297">
        <v>0</v>
      </c>
      <c r="H297" t="s">
        <v>191</v>
      </c>
      <c r="I297">
        <v>5.7000000000000002E-2</v>
      </c>
      <c r="J297">
        <f t="shared" si="165"/>
        <v>1</v>
      </c>
      <c r="K297">
        <f t="shared" si="166"/>
        <v>51</v>
      </c>
      <c r="L297" t="e">
        <f t="shared" ca="1" si="167"/>
        <v>#VALUE!</v>
      </c>
      <c r="M297" t="e">
        <f t="shared" ca="1" si="140"/>
        <v>#VALUE!</v>
      </c>
      <c r="N297" t="e">
        <f t="shared" ca="1" si="141"/>
        <v>#VALUE!</v>
      </c>
      <c r="O297" t="e">
        <f t="shared" ca="1" si="142"/>
        <v>#VALUE!</v>
      </c>
      <c r="P297" t="e">
        <f t="shared" ca="1" si="143"/>
        <v>#VALUE!</v>
      </c>
      <c r="Q297" t="e">
        <f t="shared" ca="1" si="144"/>
        <v>#VALUE!</v>
      </c>
      <c r="R297" t="e">
        <f t="shared" ca="1" si="145"/>
        <v>#VALUE!</v>
      </c>
      <c r="S297" t="e">
        <f t="shared" ca="1" si="146"/>
        <v>#VALUE!</v>
      </c>
      <c r="T297" t="e">
        <f t="shared" ca="1" si="147"/>
        <v>#VALUE!</v>
      </c>
      <c r="U297" t="e">
        <f t="shared" ca="1" si="168"/>
        <v>#VALUE!</v>
      </c>
      <c r="V297" t="e">
        <f t="shared" ca="1" si="169"/>
        <v>#VALUE!</v>
      </c>
      <c r="W297" t="e">
        <f t="shared" ca="1" si="148"/>
        <v>#VALUE!</v>
      </c>
      <c r="X297" t="e">
        <f t="shared" ca="1" si="149"/>
        <v>#VALUE!</v>
      </c>
      <c r="Y297" t="e">
        <f t="shared" ca="1" si="150"/>
        <v>#VALUE!</v>
      </c>
      <c r="Z297" t="e">
        <f t="shared" ca="1" si="151"/>
        <v>#VALUE!</v>
      </c>
      <c r="AA297" t="e">
        <f t="shared" ca="1" si="152"/>
        <v>#VALUE!</v>
      </c>
      <c r="AB297" t="e">
        <f t="shared" ca="1" si="153"/>
        <v>#VALUE!</v>
      </c>
      <c r="AC297" t="e">
        <f t="shared" ca="1" si="154"/>
        <v>#VALUE!</v>
      </c>
      <c r="AD297" t="e">
        <f t="shared" ca="1" si="155"/>
        <v>#VALUE!</v>
      </c>
      <c r="AE297" t="e">
        <f t="shared" ca="1" si="156"/>
        <v>#VALUE!</v>
      </c>
      <c r="AF297" t="e">
        <f t="shared" ca="1" si="157"/>
        <v>#VALUE!</v>
      </c>
      <c r="AG297" t="e">
        <f t="shared" ca="1" si="158"/>
        <v>#VALUE!</v>
      </c>
      <c r="AH297" t="e">
        <f ca="1">IF(V32="Supercritical",L297,IF(V32="Subcritical",W297,IF(AND(V297=1,AG297=1),IF(T297&gt;=AE297,L297,W297),IF(V297=1,L297,IF(AG297=1,W297,MAX($D$16,POWER((ABS(K297)^2)/($I$5*MAX(F297,0.1)^2),1/3)))))))</f>
        <v>#VALUE!</v>
      </c>
      <c r="AI297" t="e">
        <f t="shared" ca="1" si="159"/>
        <v>#VALUE!</v>
      </c>
      <c r="AJ297" t="e">
        <f t="shared" ca="1" si="160"/>
        <v>#VALUE!</v>
      </c>
      <c r="AM297">
        <v>0</v>
      </c>
      <c r="AN297">
        <v>0</v>
      </c>
      <c r="AO297">
        <f t="shared" si="161"/>
        <v>0</v>
      </c>
      <c r="AP297">
        <f t="shared" si="170"/>
        <v>0</v>
      </c>
      <c r="AQ297" t="e">
        <f t="shared" ca="1" si="162"/>
        <v>#VALUE!</v>
      </c>
      <c r="AR297" t="e">
        <f t="shared" ca="1" si="163"/>
        <v>#VALUE!</v>
      </c>
      <c r="AS297" t="e">
        <f t="shared" ca="1" si="164"/>
        <v>#VALUE!</v>
      </c>
    </row>
    <row r="298" spans="1:45" x14ac:dyDescent="0.35">
      <c r="A298">
        <v>149</v>
      </c>
      <c r="B298">
        <v>147.94900000000001</v>
      </c>
      <c r="C298">
        <v>616435.88399999996</v>
      </c>
      <c r="D298">
        <v>3097693.6809999999</v>
      </c>
      <c r="E298">
        <v>632.48800000000006</v>
      </c>
      <c r="F298">
        <v>5.2</v>
      </c>
      <c r="G298">
        <v>0</v>
      </c>
      <c r="H298" t="s">
        <v>191</v>
      </c>
      <c r="I298">
        <v>0</v>
      </c>
      <c r="J298">
        <f t="shared" si="165"/>
        <v>1.0010000000000048</v>
      </c>
      <c r="K298">
        <f t="shared" si="166"/>
        <v>51</v>
      </c>
      <c r="L298" t="e">
        <f t="shared" ca="1" si="167"/>
        <v>#VALUE!</v>
      </c>
      <c r="M298" t="e">
        <f t="shared" ca="1" si="140"/>
        <v>#VALUE!</v>
      </c>
      <c r="N298" t="e">
        <f t="shared" ca="1" si="141"/>
        <v>#VALUE!</v>
      </c>
      <c r="O298" t="e">
        <f t="shared" ca="1" si="142"/>
        <v>#VALUE!</v>
      </c>
      <c r="P298" t="e">
        <f t="shared" ca="1" si="143"/>
        <v>#VALUE!</v>
      </c>
      <c r="Q298" t="e">
        <f t="shared" ca="1" si="144"/>
        <v>#VALUE!</v>
      </c>
      <c r="R298" t="e">
        <f t="shared" ca="1" si="145"/>
        <v>#VALUE!</v>
      </c>
      <c r="S298" t="e">
        <f t="shared" ca="1" si="146"/>
        <v>#VALUE!</v>
      </c>
      <c r="T298" t="e">
        <f t="shared" ca="1" si="147"/>
        <v>#VALUE!</v>
      </c>
      <c r="U298" t="e">
        <f t="shared" ca="1" si="168"/>
        <v>#VALUE!</v>
      </c>
      <c r="V298" t="e">
        <f t="shared" ca="1" si="169"/>
        <v>#VALUE!</v>
      </c>
      <c r="W298" t="e">
        <f t="shared" ca="1" si="148"/>
        <v>#VALUE!</v>
      </c>
      <c r="X298" t="e">
        <f t="shared" ca="1" si="149"/>
        <v>#VALUE!</v>
      </c>
      <c r="Y298" t="e">
        <f t="shared" ca="1" si="150"/>
        <v>#VALUE!</v>
      </c>
      <c r="Z298" t="e">
        <f t="shared" ca="1" si="151"/>
        <v>#VALUE!</v>
      </c>
      <c r="AA298" t="e">
        <f t="shared" ca="1" si="152"/>
        <v>#VALUE!</v>
      </c>
      <c r="AB298" t="e">
        <f t="shared" ca="1" si="153"/>
        <v>#VALUE!</v>
      </c>
      <c r="AC298" t="e">
        <f t="shared" ca="1" si="154"/>
        <v>#VALUE!</v>
      </c>
      <c r="AD298" t="e">
        <f t="shared" ca="1" si="155"/>
        <v>#VALUE!</v>
      </c>
      <c r="AE298" t="e">
        <f t="shared" ca="1" si="156"/>
        <v>#VALUE!</v>
      </c>
      <c r="AF298" t="e">
        <f t="shared" ca="1" si="157"/>
        <v>#VALUE!</v>
      </c>
      <c r="AG298" t="e">
        <f t="shared" ca="1" si="158"/>
        <v>#VALUE!</v>
      </c>
      <c r="AH298" t="e">
        <f ca="1">IF(V32="Supercritical",L298,IF(V32="Subcritical",W298,IF(AND(V298=1,AG298=1),IF(T298&gt;=AE298,L298,W298),IF(V298=1,L298,IF(AG298=1,W298,MAX($D$16,POWER((ABS(K298)^2)/($I$5*MAX(F298,0.1)^2),1/3)))))))</f>
        <v>#VALUE!</v>
      </c>
      <c r="AI298" t="e">
        <f t="shared" ca="1" si="159"/>
        <v>#VALUE!</v>
      </c>
      <c r="AJ298" t="e">
        <f t="shared" ca="1" si="160"/>
        <v>#VALUE!</v>
      </c>
      <c r="AM298">
        <v>0</v>
      </c>
      <c r="AN298">
        <v>0</v>
      </c>
      <c r="AO298">
        <f t="shared" si="161"/>
        <v>0</v>
      </c>
      <c r="AP298">
        <f t="shared" si="170"/>
        <v>0</v>
      </c>
      <c r="AQ298" t="e">
        <f t="shared" ca="1" si="162"/>
        <v>#VALUE!</v>
      </c>
      <c r="AR298" t="e">
        <f t="shared" ca="1" si="163"/>
        <v>#VALUE!</v>
      </c>
      <c r="AS298" t="e">
        <f t="shared" ca="1" si="164"/>
        <v>#VALUE!</v>
      </c>
    </row>
    <row r="299" spans="1:45" x14ac:dyDescent="0.35">
      <c r="A299">
        <v>150</v>
      </c>
      <c r="B299">
        <v>148.94900000000001</v>
      </c>
      <c r="C299">
        <v>616434.88500000001</v>
      </c>
      <c r="D299">
        <v>3097693.6329999999</v>
      </c>
      <c r="E299">
        <v>632.48749999999995</v>
      </c>
      <c r="F299">
        <v>5.2</v>
      </c>
      <c r="G299">
        <v>0</v>
      </c>
      <c r="H299" t="s">
        <v>191</v>
      </c>
      <c r="I299">
        <v>5.5E-2</v>
      </c>
      <c r="J299">
        <f t="shared" si="165"/>
        <v>1</v>
      </c>
      <c r="K299">
        <f t="shared" si="166"/>
        <v>51</v>
      </c>
      <c r="L299" t="e">
        <f t="shared" ca="1" si="167"/>
        <v>#VALUE!</v>
      </c>
      <c r="M299" t="e">
        <f t="shared" ca="1" si="140"/>
        <v>#VALUE!</v>
      </c>
      <c r="N299" t="e">
        <f t="shared" ca="1" si="141"/>
        <v>#VALUE!</v>
      </c>
      <c r="O299" t="e">
        <f t="shared" ca="1" si="142"/>
        <v>#VALUE!</v>
      </c>
      <c r="P299" t="e">
        <f t="shared" ca="1" si="143"/>
        <v>#VALUE!</v>
      </c>
      <c r="Q299" t="e">
        <f t="shared" ca="1" si="144"/>
        <v>#VALUE!</v>
      </c>
      <c r="R299" t="e">
        <f t="shared" ca="1" si="145"/>
        <v>#VALUE!</v>
      </c>
      <c r="S299" t="e">
        <f t="shared" ca="1" si="146"/>
        <v>#VALUE!</v>
      </c>
      <c r="T299" t="e">
        <f t="shared" ca="1" si="147"/>
        <v>#VALUE!</v>
      </c>
      <c r="U299" t="e">
        <f t="shared" ca="1" si="168"/>
        <v>#VALUE!</v>
      </c>
      <c r="V299" t="e">
        <f t="shared" ca="1" si="169"/>
        <v>#VALUE!</v>
      </c>
      <c r="W299" t="e">
        <f t="shared" ca="1" si="148"/>
        <v>#VALUE!</v>
      </c>
      <c r="X299" t="e">
        <f t="shared" ca="1" si="149"/>
        <v>#VALUE!</v>
      </c>
      <c r="Y299" t="e">
        <f t="shared" ca="1" si="150"/>
        <v>#VALUE!</v>
      </c>
      <c r="Z299" t="e">
        <f t="shared" ca="1" si="151"/>
        <v>#VALUE!</v>
      </c>
      <c r="AA299" t="e">
        <f t="shared" ca="1" si="152"/>
        <v>#VALUE!</v>
      </c>
      <c r="AB299" t="e">
        <f t="shared" ca="1" si="153"/>
        <v>#VALUE!</v>
      </c>
      <c r="AC299" t="e">
        <f t="shared" ca="1" si="154"/>
        <v>#VALUE!</v>
      </c>
      <c r="AD299" t="e">
        <f t="shared" ca="1" si="155"/>
        <v>#VALUE!</v>
      </c>
      <c r="AE299" t="e">
        <f t="shared" ca="1" si="156"/>
        <v>#VALUE!</v>
      </c>
      <c r="AF299" t="e">
        <f t="shared" ca="1" si="157"/>
        <v>#VALUE!</v>
      </c>
      <c r="AG299" t="e">
        <f t="shared" ca="1" si="158"/>
        <v>#VALUE!</v>
      </c>
      <c r="AH299" t="e">
        <f ca="1">IF(V32="Supercritical",L299,IF(V32="Subcritical",W299,IF(AND(V299=1,AG299=1),IF(T299&gt;=AE299,L299,W299),IF(V299=1,L299,IF(AG299=1,W299,MAX($D$16,POWER((ABS(K299)^2)/($I$5*MAX(F299,0.1)^2),1/3)))))))</f>
        <v>#VALUE!</v>
      </c>
      <c r="AI299" t="e">
        <f t="shared" ca="1" si="159"/>
        <v>#VALUE!</v>
      </c>
      <c r="AJ299" t="e">
        <f t="shared" ca="1" si="160"/>
        <v>#VALUE!</v>
      </c>
      <c r="AM299">
        <v>0</v>
      </c>
      <c r="AN299">
        <v>0</v>
      </c>
      <c r="AO299">
        <f t="shared" si="161"/>
        <v>0</v>
      </c>
      <c r="AP299">
        <f t="shared" si="170"/>
        <v>0</v>
      </c>
      <c r="AQ299" t="e">
        <f t="shared" ca="1" si="162"/>
        <v>#VALUE!</v>
      </c>
      <c r="AR299" t="e">
        <f t="shared" ca="1" si="163"/>
        <v>#VALUE!</v>
      </c>
      <c r="AS299" t="e">
        <f t="shared" ca="1" si="164"/>
        <v>#VALUE!</v>
      </c>
    </row>
    <row r="300" spans="1:45" x14ac:dyDescent="0.35">
      <c r="A300">
        <v>151</v>
      </c>
      <c r="B300">
        <v>149.94800000000001</v>
      </c>
      <c r="C300">
        <v>616433.88699999999</v>
      </c>
      <c r="D300">
        <v>3097693.5860000001</v>
      </c>
      <c r="E300">
        <v>632.48699999999997</v>
      </c>
      <c r="F300">
        <v>5.2</v>
      </c>
      <c r="G300">
        <v>0</v>
      </c>
      <c r="H300" t="s">
        <v>191</v>
      </c>
      <c r="I300">
        <v>5.5E-2</v>
      </c>
      <c r="J300">
        <f t="shared" si="165"/>
        <v>0.99899999999999523</v>
      </c>
      <c r="K300">
        <f t="shared" si="166"/>
        <v>51</v>
      </c>
      <c r="L300" t="e">
        <f t="shared" ca="1" si="167"/>
        <v>#VALUE!</v>
      </c>
      <c r="M300" t="e">
        <f t="shared" ca="1" si="140"/>
        <v>#VALUE!</v>
      </c>
      <c r="N300" t="e">
        <f t="shared" ca="1" si="141"/>
        <v>#VALUE!</v>
      </c>
      <c r="O300" t="e">
        <f t="shared" ca="1" si="142"/>
        <v>#VALUE!</v>
      </c>
      <c r="P300" t="e">
        <f t="shared" ca="1" si="143"/>
        <v>#VALUE!</v>
      </c>
      <c r="Q300" t="e">
        <f t="shared" ca="1" si="144"/>
        <v>#VALUE!</v>
      </c>
      <c r="R300" t="e">
        <f t="shared" ca="1" si="145"/>
        <v>#VALUE!</v>
      </c>
      <c r="S300" t="e">
        <f t="shared" ca="1" si="146"/>
        <v>#VALUE!</v>
      </c>
      <c r="T300" t="e">
        <f t="shared" ca="1" si="147"/>
        <v>#VALUE!</v>
      </c>
      <c r="U300" t="e">
        <f t="shared" ca="1" si="168"/>
        <v>#VALUE!</v>
      </c>
      <c r="V300" t="e">
        <f t="shared" ca="1" si="169"/>
        <v>#VALUE!</v>
      </c>
      <c r="W300" t="e">
        <f t="shared" ca="1" si="148"/>
        <v>#VALUE!</v>
      </c>
      <c r="X300" t="e">
        <f t="shared" ca="1" si="149"/>
        <v>#VALUE!</v>
      </c>
      <c r="Y300" t="e">
        <f t="shared" ca="1" si="150"/>
        <v>#VALUE!</v>
      </c>
      <c r="Z300" t="e">
        <f t="shared" ca="1" si="151"/>
        <v>#VALUE!</v>
      </c>
      <c r="AA300" t="e">
        <f t="shared" ca="1" si="152"/>
        <v>#VALUE!</v>
      </c>
      <c r="AB300" t="e">
        <f t="shared" ca="1" si="153"/>
        <v>#VALUE!</v>
      </c>
      <c r="AC300" t="e">
        <f t="shared" ca="1" si="154"/>
        <v>#VALUE!</v>
      </c>
      <c r="AD300" t="e">
        <f t="shared" ca="1" si="155"/>
        <v>#VALUE!</v>
      </c>
      <c r="AE300" t="e">
        <f t="shared" ca="1" si="156"/>
        <v>#VALUE!</v>
      </c>
      <c r="AF300" t="e">
        <f t="shared" ca="1" si="157"/>
        <v>#VALUE!</v>
      </c>
      <c r="AG300" t="e">
        <f t="shared" ca="1" si="158"/>
        <v>#VALUE!</v>
      </c>
      <c r="AH300" t="e">
        <f ca="1">IF(V32="Supercritical",L300,IF(V32="Subcritical",W300,IF(AND(V300=1,AG300=1),IF(T300&gt;=AE300,L300,W300),IF(V300=1,L300,IF(AG300=1,W300,MAX($D$16,POWER((ABS(K300)^2)/($I$5*MAX(F300,0.1)^2),1/3)))))))</f>
        <v>#VALUE!</v>
      </c>
      <c r="AI300" t="e">
        <f t="shared" ca="1" si="159"/>
        <v>#VALUE!</v>
      </c>
      <c r="AJ300" t="e">
        <f t="shared" ca="1" si="160"/>
        <v>#VALUE!</v>
      </c>
      <c r="AM300">
        <v>0</v>
      </c>
      <c r="AN300">
        <v>0</v>
      </c>
      <c r="AO300">
        <f t="shared" si="161"/>
        <v>0</v>
      </c>
      <c r="AP300">
        <f t="shared" si="170"/>
        <v>0</v>
      </c>
      <c r="AQ300" t="e">
        <f t="shared" ca="1" si="162"/>
        <v>#VALUE!</v>
      </c>
      <c r="AR300" t="e">
        <f t="shared" ca="1" si="163"/>
        <v>#VALUE!</v>
      </c>
      <c r="AS300" t="e">
        <f t="shared" ca="1" si="164"/>
        <v>#VALUE!</v>
      </c>
    </row>
    <row r="301" spans="1:45" x14ac:dyDescent="0.35">
      <c r="A301">
        <v>152</v>
      </c>
      <c r="B301">
        <v>150.94800000000001</v>
      </c>
      <c r="C301">
        <v>616432.88800000004</v>
      </c>
      <c r="D301">
        <v>3097693.5380000002</v>
      </c>
      <c r="E301">
        <v>632.48649999999998</v>
      </c>
      <c r="F301">
        <v>5.2</v>
      </c>
      <c r="G301">
        <v>0</v>
      </c>
      <c r="H301" t="s">
        <v>191</v>
      </c>
      <c r="I301">
        <v>5.7000000000000002E-2</v>
      </c>
      <c r="J301">
        <f t="shared" si="165"/>
        <v>1</v>
      </c>
      <c r="K301">
        <f t="shared" si="166"/>
        <v>51</v>
      </c>
      <c r="L301" t="e">
        <f t="shared" ca="1" si="167"/>
        <v>#VALUE!</v>
      </c>
      <c r="M301" t="e">
        <f t="shared" ca="1" si="140"/>
        <v>#VALUE!</v>
      </c>
      <c r="N301" t="e">
        <f t="shared" ca="1" si="141"/>
        <v>#VALUE!</v>
      </c>
      <c r="O301" t="e">
        <f t="shared" ca="1" si="142"/>
        <v>#VALUE!</v>
      </c>
      <c r="P301" t="e">
        <f t="shared" ca="1" si="143"/>
        <v>#VALUE!</v>
      </c>
      <c r="Q301" t="e">
        <f t="shared" ca="1" si="144"/>
        <v>#VALUE!</v>
      </c>
      <c r="R301" t="e">
        <f t="shared" ca="1" si="145"/>
        <v>#VALUE!</v>
      </c>
      <c r="S301" t="e">
        <f t="shared" ca="1" si="146"/>
        <v>#VALUE!</v>
      </c>
      <c r="T301" t="e">
        <f t="shared" ca="1" si="147"/>
        <v>#VALUE!</v>
      </c>
      <c r="U301" t="e">
        <f t="shared" ca="1" si="168"/>
        <v>#VALUE!</v>
      </c>
      <c r="V301" t="e">
        <f t="shared" ca="1" si="169"/>
        <v>#VALUE!</v>
      </c>
      <c r="W301" t="e">
        <f t="shared" ca="1" si="148"/>
        <v>#VALUE!</v>
      </c>
      <c r="X301" t="e">
        <f t="shared" ca="1" si="149"/>
        <v>#VALUE!</v>
      </c>
      <c r="Y301" t="e">
        <f t="shared" ca="1" si="150"/>
        <v>#VALUE!</v>
      </c>
      <c r="Z301" t="e">
        <f t="shared" ca="1" si="151"/>
        <v>#VALUE!</v>
      </c>
      <c r="AA301" t="e">
        <f t="shared" ca="1" si="152"/>
        <v>#VALUE!</v>
      </c>
      <c r="AB301" t="e">
        <f t="shared" ca="1" si="153"/>
        <v>#VALUE!</v>
      </c>
      <c r="AC301" t="e">
        <f t="shared" ca="1" si="154"/>
        <v>#VALUE!</v>
      </c>
      <c r="AD301" t="e">
        <f t="shared" ca="1" si="155"/>
        <v>#VALUE!</v>
      </c>
      <c r="AE301" t="e">
        <f t="shared" ca="1" si="156"/>
        <v>#VALUE!</v>
      </c>
      <c r="AF301" t="e">
        <f t="shared" ca="1" si="157"/>
        <v>#VALUE!</v>
      </c>
      <c r="AG301" t="e">
        <f t="shared" ca="1" si="158"/>
        <v>#VALUE!</v>
      </c>
      <c r="AH301" t="e">
        <f ca="1">IF(V32="Supercritical",L301,IF(V32="Subcritical",W301,IF(AND(V301=1,AG301=1),IF(T301&gt;=AE301,L301,W301),IF(V301=1,L301,IF(AG301=1,W301,MAX($D$16,POWER((ABS(K301)^2)/($I$5*MAX(F301,0.1)^2),1/3)))))))</f>
        <v>#VALUE!</v>
      </c>
      <c r="AI301" t="e">
        <f t="shared" ca="1" si="159"/>
        <v>#VALUE!</v>
      </c>
      <c r="AJ301" t="e">
        <f t="shared" ca="1" si="160"/>
        <v>#VALUE!</v>
      </c>
      <c r="AM301">
        <v>0</v>
      </c>
      <c r="AN301">
        <v>0</v>
      </c>
      <c r="AO301">
        <f t="shared" si="161"/>
        <v>0</v>
      </c>
      <c r="AP301">
        <f t="shared" si="170"/>
        <v>0</v>
      </c>
      <c r="AQ301" t="e">
        <f t="shared" ca="1" si="162"/>
        <v>#VALUE!</v>
      </c>
      <c r="AR301" t="e">
        <f t="shared" ca="1" si="163"/>
        <v>#VALUE!</v>
      </c>
      <c r="AS301" t="e">
        <f t="shared" ca="1" si="164"/>
        <v>#VALUE!</v>
      </c>
    </row>
    <row r="302" spans="1:45" x14ac:dyDescent="0.35">
      <c r="A302">
        <v>153</v>
      </c>
      <c r="B302">
        <v>151.94800000000001</v>
      </c>
      <c r="C302">
        <v>616431.88899999997</v>
      </c>
      <c r="D302">
        <v>3097693.4909999999</v>
      </c>
      <c r="E302">
        <v>632.48599999999999</v>
      </c>
      <c r="F302">
        <v>5.2</v>
      </c>
      <c r="G302">
        <v>0</v>
      </c>
      <c r="H302" t="s">
        <v>191</v>
      </c>
      <c r="I302">
        <v>5.7000000000000002E-2</v>
      </c>
      <c r="J302">
        <f t="shared" si="165"/>
        <v>1</v>
      </c>
      <c r="K302">
        <f t="shared" si="166"/>
        <v>51</v>
      </c>
      <c r="L302" t="e">
        <f t="shared" ca="1" si="167"/>
        <v>#VALUE!</v>
      </c>
      <c r="M302" t="e">
        <f t="shared" ca="1" si="140"/>
        <v>#VALUE!</v>
      </c>
      <c r="N302" t="e">
        <f t="shared" ca="1" si="141"/>
        <v>#VALUE!</v>
      </c>
      <c r="O302" t="e">
        <f t="shared" ca="1" si="142"/>
        <v>#VALUE!</v>
      </c>
      <c r="P302" t="e">
        <f t="shared" ca="1" si="143"/>
        <v>#VALUE!</v>
      </c>
      <c r="Q302" t="e">
        <f t="shared" ca="1" si="144"/>
        <v>#VALUE!</v>
      </c>
      <c r="R302" t="e">
        <f t="shared" ca="1" si="145"/>
        <v>#VALUE!</v>
      </c>
      <c r="S302" t="e">
        <f t="shared" ca="1" si="146"/>
        <v>#VALUE!</v>
      </c>
      <c r="T302" t="e">
        <f t="shared" ca="1" si="147"/>
        <v>#VALUE!</v>
      </c>
      <c r="U302" t="e">
        <f t="shared" ca="1" si="168"/>
        <v>#VALUE!</v>
      </c>
      <c r="V302" t="e">
        <f t="shared" ca="1" si="169"/>
        <v>#VALUE!</v>
      </c>
      <c r="W302" t="e">
        <f t="shared" ca="1" si="148"/>
        <v>#VALUE!</v>
      </c>
      <c r="X302" t="e">
        <f t="shared" ca="1" si="149"/>
        <v>#VALUE!</v>
      </c>
      <c r="Y302" t="e">
        <f t="shared" ca="1" si="150"/>
        <v>#VALUE!</v>
      </c>
      <c r="Z302" t="e">
        <f t="shared" ca="1" si="151"/>
        <v>#VALUE!</v>
      </c>
      <c r="AA302" t="e">
        <f t="shared" ca="1" si="152"/>
        <v>#VALUE!</v>
      </c>
      <c r="AB302" t="e">
        <f t="shared" ca="1" si="153"/>
        <v>#VALUE!</v>
      </c>
      <c r="AC302" t="e">
        <f t="shared" ca="1" si="154"/>
        <v>#VALUE!</v>
      </c>
      <c r="AD302" t="e">
        <f t="shared" ca="1" si="155"/>
        <v>#VALUE!</v>
      </c>
      <c r="AE302" t="e">
        <f t="shared" ca="1" si="156"/>
        <v>#VALUE!</v>
      </c>
      <c r="AF302" t="e">
        <f t="shared" ca="1" si="157"/>
        <v>#VALUE!</v>
      </c>
      <c r="AG302" t="e">
        <f t="shared" ca="1" si="158"/>
        <v>#VALUE!</v>
      </c>
      <c r="AH302" t="e">
        <f ca="1">IF(V32="Supercritical",L302,IF(V32="Subcritical",W302,IF(AND(V302=1,AG302=1),IF(T302&gt;=AE302,L302,W302),IF(V302=1,L302,IF(AG302=1,W302,MAX($D$16,POWER((ABS(K302)^2)/($I$5*MAX(F302,0.1)^2),1/3)))))))</f>
        <v>#VALUE!</v>
      </c>
      <c r="AI302" t="e">
        <f t="shared" ca="1" si="159"/>
        <v>#VALUE!</v>
      </c>
      <c r="AJ302" t="e">
        <f t="shared" ca="1" si="160"/>
        <v>#VALUE!</v>
      </c>
      <c r="AM302">
        <v>0</v>
      </c>
      <c r="AN302">
        <v>0</v>
      </c>
      <c r="AO302">
        <f t="shared" si="161"/>
        <v>0</v>
      </c>
      <c r="AP302">
        <f t="shared" si="170"/>
        <v>0</v>
      </c>
      <c r="AQ302" t="e">
        <f t="shared" ca="1" si="162"/>
        <v>#VALUE!</v>
      </c>
      <c r="AR302" t="e">
        <f t="shared" ca="1" si="163"/>
        <v>#VALUE!</v>
      </c>
      <c r="AS302" t="e">
        <f t="shared" ca="1" si="164"/>
        <v>#VALUE!</v>
      </c>
    </row>
    <row r="303" spans="1:45" x14ac:dyDescent="0.35">
      <c r="A303">
        <v>154</v>
      </c>
      <c r="B303">
        <v>152.94800000000001</v>
      </c>
      <c r="C303">
        <v>616430.89</v>
      </c>
      <c r="D303">
        <v>3097693.443</v>
      </c>
      <c r="E303">
        <v>632.4855</v>
      </c>
      <c r="F303">
        <v>5.2</v>
      </c>
      <c r="G303">
        <v>0</v>
      </c>
      <c r="H303" t="s">
        <v>191</v>
      </c>
      <c r="I303">
        <v>0</v>
      </c>
      <c r="J303">
        <f t="shared" si="165"/>
        <v>1</v>
      </c>
      <c r="K303">
        <f t="shared" si="166"/>
        <v>51</v>
      </c>
      <c r="L303" t="e">
        <f t="shared" ca="1" si="167"/>
        <v>#VALUE!</v>
      </c>
      <c r="M303" t="e">
        <f t="shared" ca="1" si="140"/>
        <v>#VALUE!</v>
      </c>
      <c r="N303" t="e">
        <f t="shared" ca="1" si="141"/>
        <v>#VALUE!</v>
      </c>
      <c r="O303" t="e">
        <f t="shared" ca="1" si="142"/>
        <v>#VALUE!</v>
      </c>
      <c r="P303" t="e">
        <f t="shared" ca="1" si="143"/>
        <v>#VALUE!</v>
      </c>
      <c r="Q303" t="e">
        <f t="shared" ca="1" si="144"/>
        <v>#VALUE!</v>
      </c>
      <c r="R303" t="e">
        <f t="shared" ca="1" si="145"/>
        <v>#VALUE!</v>
      </c>
      <c r="S303" t="e">
        <f t="shared" ca="1" si="146"/>
        <v>#VALUE!</v>
      </c>
      <c r="T303" t="e">
        <f t="shared" ca="1" si="147"/>
        <v>#VALUE!</v>
      </c>
      <c r="U303" t="e">
        <f t="shared" ca="1" si="168"/>
        <v>#VALUE!</v>
      </c>
      <c r="V303" t="e">
        <f t="shared" ca="1" si="169"/>
        <v>#VALUE!</v>
      </c>
      <c r="W303" t="e">
        <f t="shared" ca="1" si="148"/>
        <v>#VALUE!</v>
      </c>
      <c r="X303" t="e">
        <f t="shared" ca="1" si="149"/>
        <v>#VALUE!</v>
      </c>
      <c r="Y303" t="e">
        <f t="shared" ca="1" si="150"/>
        <v>#VALUE!</v>
      </c>
      <c r="Z303" t="e">
        <f t="shared" ca="1" si="151"/>
        <v>#VALUE!</v>
      </c>
      <c r="AA303" t="e">
        <f t="shared" ca="1" si="152"/>
        <v>#VALUE!</v>
      </c>
      <c r="AB303" t="e">
        <f t="shared" ca="1" si="153"/>
        <v>#VALUE!</v>
      </c>
      <c r="AC303" t="e">
        <f t="shared" ca="1" si="154"/>
        <v>#VALUE!</v>
      </c>
      <c r="AD303" t="e">
        <f t="shared" ca="1" si="155"/>
        <v>#VALUE!</v>
      </c>
      <c r="AE303" t="e">
        <f t="shared" ca="1" si="156"/>
        <v>#VALUE!</v>
      </c>
      <c r="AF303" t="e">
        <f t="shared" ca="1" si="157"/>
        <v>#VALUE!</v>
      </c>
      <c r="AG303" t="e">
        <f t="shared" ca="1" si="158"/>
        <v>#VALUE!</v>
      </c>
      <c r="AH303" t="e">
        <f ca="1">IF(V32="Supercritical",L303,IF(V32="Subcritical",W303,IF(AND(V303=1,AG303=1),IF(T303&gt;=AE303,L303,W303),IF(V303=1,L303,IF(AG303=1,W303,MAX($D$16,POWER((ABS(K303)^2)/($I$5*MAX(F303,0.1)^2),1/3)))))))</f>
        <v>#VALUE!</v>
      </c>
      <c r="AI303" t="e">
        <f t="shared" ca="1" si="159"/>
        <v>#VALUE!</v>
      </c>
      <c r="AJ303" t="e">
        <f t="shared" ca="1" si="160"/>
        <v>#VALUE!</v>
      </c>
      <c r="AM303">
        <v>0</v>
      </c>
      <c r="AN303">
        <v>0</v>
      </c>
      <c r="AO303">
        <f t="shared" si="161"/>
        <v>0</v>
      </c>
      <c r="AP303">
        <f t="shared" si="170"/>
        <v>0</v>
      </c>
      <c r="AQ303" t="e">
        <f t="shared" ca="1" si="162"/>
        <v>#VALUE!</v>
      </c>
      <c r="AR303" t="e">
        <f t="shared" ca="1" si="163"/>
        <v>#VALUE!</v>
      </c>
      <c r="AS303" t="e">
        <f t="shared" ca="1" si="164"/>
        <v>#VALUE!</v>
      </c>
    </row>
    <row r="304" spans="1:45" x14ac:dyDescent="0.35">
      <c r="A304">
        <v>155</v>
      </c>
      <c r="B304">
        <v>153.94800000000001</v>
      </c>
      <c r="C304">
        <v>616429.89099999995</v>
      </c>
      <c r="D304">
        <v>3097693.395</v>
      </c>
      <c r="E304">
        <v>632.48500000000001</v>
      </c>
      <c r="F304">
        <v>5.2</v>
      </c>
      <c r="G304">
        <v>0</v>
      </c>
      <c r="H304" t="s">
        <v>191</v>
      </c>
      <c r="I304">
        <v>5.7000000000000002E-2</v>
      </c>
      <c r="J304">
        <f t="shared" si="165"/>
        <v>1</v>
      </c>
      <c r="K304">
        <f t="shared" si="166"/>
        <v>51</v>
      </c>
      <c r="L304" t="e">
        <f t="shared" ca="1" si="167"/>
        <v>#VALUE!</v>
      </c>
      <c r="M304" t="e">
        <f t="shared" ca="1" si="140"/>
        <v>#VALUE!</v>
      </c>
      <c r="N304" t="e">
        <f t="shared" ca="1" si="141"/>
        <v>#VALUE!</v>
      </c>
      <c r="O304" t="e">
        <f t="shared" ca="1" si="142"/>
        <v>#VALUE!</v>
      </c>
      <c r="P304" t="e">
        <f t="shared" ca="1" si="143"/>
        <v>#VALUE!</v>
      </c>
      <c r="Q304" t="e">
        <f t="shared" ca="1" si="144"/>
        <v>#VALUE!</v>
      </c>
      <c r="R304" t="e">
        <f t="shared" ca="1" si="145"/>
        <v>#VALUE!</v>
      </c>
      <c r="S304" t="e">
        <f t="shared" ca="1" si="146"/>
        <v>#VALUE!</v>
      </c>
      <c r="T304" t="e">
        <f t="shared" ca="1" si="147"/>
        <v>#VALUE!</v>
      </c>
      <c r="U304" t="e">
        <f t="shared" ca="1" si="168"/>
        <v>#VALUE!</v>
      </c>
      <c r="V304" t="e">
        <f t="shared" ca="1" si="169"/>
        <v>#VALUE!</v>
      </c>
      <c r="W304" t="e">
        <f t="shared" ca="1" si="148"/>
        <v>#VALUE!</v>
      </c>
      <c r="X304" t="e">
        <f t="shared" ca="1" si="149"/>
        <v>#VALUE!</v>
      </c>
      <c r="Y304" t="e">
        <f t="shared" ca="1" si="150"/>
        <v>#VALUE!</v>
      </c>
      <c r="Z304" t="e">
        <f t="shared" ca="1" si="151"/>
        <v>#VALUE!</v>
      </c>
      <c r="AA304" t="e">
        <f t="shared" ca="1" si="152"/>
        <v>#VALUE!</v>
      </c>
      <c r="AB304" t="e">
        <f t="shared" ca="1" si="153"/>
        <v>#VALUE!</v>
      </c>
      <c r="AC304" t="e">
        <f t="shared" ca="1" si="154"/>
        <v>#VALUE!</v>
      </c>
      <c r="AD304" t="e">
        <f t="shared" ca="1" si="155"/>
        <v>#VALUE!</v>
      </c>
      <c r="AE304" t="e">
        <f t="shared" ca="1" si="156"/>
        <v>#VALUE!</v>
      </c>
      <c r="AF304" t="e">
        <f t="shared" ca="1" si="157"/>
        <v>#VALUE!</v>
      </c>
      <c r="AG304" t="e">
        <f t="shared" ca="1" si="158"/>
        <v>#VALUE!</v>
      </c>
      <c r="AH304" t="e">
        <f ca="1">IF(V32="Supercritical",L304,IF(V32="Subcritical",W304,IF(AND(V304=1,AG304=1),IF(T304&gt;=AE304,L304,W304),IF(V304=1,L304,IF(AG304=1,W304,MAX($D$16,POWER((ABS(K304)^2)/($I$5*MAX(F304,0.1)^2),1/3)))))))</f>
        <v>#VALUE!</v>
      </c>
      <c r="AI304" t="e">
        <f t="shared" ca="1" si="159"/>
        <v>#VALUE!</v>
      </c>
      <c r="AJ304" t="e">
        <f t="shared" ca="1" si="160"/>
        <v>#VALUE!</v>
      </c>
      <c r="AM304">
        <v>0</v>
      </c>
      <c r="AN304">
        <v>0</v>
      </c>
      <c r="AO304">
        <f t="shared" si="161"/>
        <v>0</v>
      </c>
      <c r="AP304">
        <f t="shared" si="170"/>
        <v>0</v>
      </c>
      <c r="AQ304" t="e">
        <f t="shared" ca="1" si="162"/>
        <v>#VALUE!</v>
      </c>
      <c r="AR304" t="e">
        <f t="shared" ca="1" si="163"/>
        <v>#VALUE!</v>
      </c>
      <c r="AS304" t="e">
        <f t="shared" ca="1" si="164"/>
        <v>#VALUE!</v>
      </c>
    </row>
    <row r="305" spans="1:45" x14ac:dyDescent="0.35">
      <c r="A305">
        <v>156</v>
      </c>
      <c r="B305">
        <v>154.94800000000001</v>
      </c>
      <c r="C305">
        <v>616428.89199999999</v>
      </c>
      <c r="D305">
        <v>3097693.3480000002</v>
      </c>
      <c r="E305">
        <v>632.48450000000003</v>
      </c>
      <c r="F305">
        <v>5.2</v>
      </c>
      <c r="G305">
        <v>0</v>
      </c>
      <c r="H305" t="s">
        <v>191</v>
      </c>
      <c r="I305">
        <v>5.7000000000000002E-2</v>
      </c>
      <c r="J305">
        <f t="shared" si="165"/>
        <v>1</v>
      </c>
      <c r="K305">
        <f t="shared" si="166"/>
        <v>51</v>
      </c>
      <c r="L305" t="e">
        <f t="shared" ca="1" si="167"/>
        <v>#VALUE!</v>
      </c>
      <c r="M305" t="e">
        <f t="shared" ca="1" si="140"/>
        <v>#VALUE!</v>
      </c>
      <c r="N305" t="e">
        <f t="shared" ca="1" si="141"/>
        <v>#VALUE!</v>
      </c>
      <c r="O305" t="e">
        <f t="shared" ca="1" si="142"/>
        <v>#VALUE!</v>
      </c>
      <c r="P305" t="e">
        <f t="shared" ca="1" si="143"/>
        <v>#VALUE!</v>
      </c>
      <c r="Q305" t="e">
        <f t="shared" ca="1" si="144"/>
        <v>#VALUE!</v>
      </c>
      <c r="R305" t="e">
        <f t="shared" ca="1" si="145"/>
        <v>#VALUE!</v>
      </c>
      <c r="S305" t="e">
        <f t="shared" ca="1" si="146"/>
        <v>#VALUE!</v>
      </c>
      <c r="T305" t="e">
        <f t="shared" ca="1" si="147"/>
        <v>#VALUE!</v>
      </c>
      <c r="U305" t="e">
        <f t="shared" ca="1" si="168"/>
        <v>#VALUE!</v>
      </c>
      <c r="V305" t="e">
        <f t="shared" ca="1" si="169"/>
        <v>#VALUE!</v>
      </c>
      <c r="W305" t="e">
        <f t="shared" ca="1" si="148"/>
        <v>#VALUE!</v>
      </c>
      <c r="X305" t="e">
        <f t="shared" ca="1" si="149"/>
        <v>#VALUE!</v>
      </c>
      <c r="Y305" t="e">
        <f t="shared" ca="1" si="150"/>
        <v>#VALUE!</v>
      </c>
      <c r="Z305" t="e">
        <f t="shared" ca="1" si="151"/>
        <v>#VALUE!</v>
      </c>
      <c r="AA305" t="e">
        <f t="shared" ca="1" si="152"/>
        <v>#VALUE!</v>
      </c>
      <c r="AB305" t="e">
        <f t="shared" ca="1" si="153"/>
        <v>#VALUE!</v>
      </c>
      <c r="AC305" t="e">
        <f t="shared" ca="1" si="154"/>
        <v>#VALUE!</v>
      </c>
      <c r="AD305" t="e">
        <f t="shared" ca="1" si="155"/>
        <v>#VALUE!</v>
      </c>
      <c r="AE305" t="e">
        <f t="shared" ca="1" si="156"/>
        <v>#VALUE!</v>
      </c>
      <c r="AF305" t="e">
        <f t="shared" ca="1" si="157"/>
        <v>#VALUE!</v>
      </c>
      <c r="AG305" t="e">
        <f t="shared" ca="1" si="158"/>
        <v>#VALUE!</v>
      </c>
      <c r="AH305" t="e">
        <f ca="1">IF(V32="Supercritical",L305,IF(V32="Subcritical",W305,IF(AND(V305=1,AG305=1),IF(T305&gt;=AE305,L305,W305),IF(V305=1,L305,IF(AG305=1,W305,MAX($D$16,POWER((ABS(K305)^2)/($I$5*MAX(F305,0.1)^2),1/3)))))))</f>
        <v>#VALUE!</v>
      </c>
      <c r="AI305" t="e">
        <f t="shared" ca="1" si="159"/>
        <v>#VALUE!</v>
      </c>
      <c r="AJ305" t="e">
        <f t="shared" ca="1" si="160"/>
        <v>#VALUE!</v>
      </c>
      <c r="AM305">
        <v>0</v>
      </c>
      <c r="AN305">
        <v>0</v>
      </c>
      <c r="AO305">
        <f t="shared" si="161"/>
        <v>0</v>
      </c>
      <c r="AP305">
        <f t="shared" si="170"/>
        <v>0</v>
      </c>
      <c r="AQ305" t="e">
        <f t="shared" ca="1" si="162"/>
        <v>#VALUE!</v>
      </c>
      <c r="AR305" t="e">
        <f t="shared" ca="1" si="163"/>
        <v>#VALUE!</v>
      </c>
      <c r="AS305" t="e">
        <f t="shared" ca="1" si="164"/>
        <v>#VALUE!</v>
      </c>
    </row>
    <row r="306" spans="1:45" x14ac:dyDescent="0.35">
      <c r="A306">
        <v>157</v>
      </c>
      <c r="B306">
        <v>155.94900000000001</v>
      </c>
      <c r="C306">
        <v>616427.89300000004</v>
      </c>
      <c r="D306">
        <v>3097693.3</v>
      </c>
      <c r="E306">
        <v>632.48400000000004</v>
      </c>
      <c r="F306">
        <v>5.2</v>
      </c>
      <c r="G306">
        <v>0</v>
      </c>
      <c r="H306" t="s">
        <v>191</v>
      </c>
      <c r="I306">
        <v>5.5E-2</v>
      </c>
      <c r="J306">
        <f t="shared" si="165"/>
        <v>1.0010000000000048</v>
      </c>
      <c r="K306">
        <f t="shared" si="166"/>
        <v>51</v>
      </c>
      <c r="L306" t="e">
        <f t="shared" ca="1" si="167"/>
        <v>#VALUE!</v>
      </c>
      <c r="M306" t="e">
        <f t="shared" ca="1" si="140"/>
        <v>#VALUE!</v>
      </c>
      <c r="N306" t="e">
        <f t="shared" ca="1" si="141"/>
        <v>#VALUE!</v>
      </c>
      <c r="O306" t="e">
        <f t="shared" ca="1" si="142"/>
        <v>#VALUE!</v>
      </c>
      <c r="P306" t="e">
        <f t="shared" ca="1" si="143"/>
        <v>#VALUE!</v>
      </c>
      <c r="Q306" t="e">
        <f t="shared" ca="1" si="144"/>
        <v>#VALUE!</v>
      </c>
      <c r="R306" t="e">
        <f t="shared" ca="1" si="145"/>
        <v>#VALUE!</v>
      </c>
      <c r="S306" t="e">
        <f t="shared" ca="1" si="146"/>
        <v>#VALUE!</v>
      </c>
      <c r="T306" t="e">
        <f t="shared" ca="1" si="147"/>
        <v>#VALUE!</v>
      </c>
      <c r="U306" t="e">
        <f t="shared" ca="1" si="168"/>
        <v>#VALUE!</v>
      </c>
      <c r="V306" t="e">
        <f t="shared" ca="1" si="169"/>
        <v>#VALUE!</v>
      </c>
      <c r="W306" t="e">
        <f t="shared" ca="1" si="148"/>
        <v>#VALUE!</v>
      </c>
      <c r="X306" t="e">
        <f t="shared" ca="1" si="149"/>
        <v>#VALUE!</v>
      </c>
      <c r="Y306" t="e">
        <f t="shared" ca="1" si="150"/>
        <v>#VALUE!</v>
      </c>
      <c r="Z306" t="e">
        <f t="shared" ca="1" si="151"/>
        <v>#VALUE!</v>
      </c>
      <c r="AA306" t="e">
        <f t="shared" ca="1" si="152"/>
        <v>#VALUE!</v>
      </c>
      <c r="AB306" t="e">
        <f t="shared" ca="1" si="153"/>
        <v>#VALUE!</v>
      </c>
      <c r="AC306" t="e">
        <f t="shared" ca="1" si="154"/>
        <v>#VALUE!</v>
      </c>
      <c r="AD306" t="e">
        <f t="shared" ca="1" si="155"/>
        <v>#VALUE!</v>
      </c>
      <c r="AE306" t="e">
        <f t="shared" ca="1" si="156"/>
        <v>#VALUE!</v>
      </c>
      <c r="AF306" t="e">
        <f t="shared" ca="1" si="157"/>
        <v>#VALUE!</v>
      </c>
      <c r="AG306" t="e">
        <f t="shared" ca="1" si="158"/>
        <v>#VALUE!</v>
      </c>
      <c r="AH306" t="e">
        <f ca="1">IF(V32="Supercritical",L306,IF(V32="Subcritical",W306,IF(AND(V306=1,AG306=1),IF(T306&gt;=AE306,L306,W306),IF(V306=1,L306,IF(AG306=1,W306,MAX($D$16,POWER((ABS(K306)^2)/($I$5*MAX(F306,0.1)^2),1/3)))))))</f>
        <v>#VALUE!</v>
      </c>
      <c r="AI306" t="e">
        <f t="shared" ca="1" si="159"/>
        <v>#VALUE!</v>
      </c>
      <c r="AJ306" t="e">
        <f t="shared" ca="1" si="160"/>
        <v>#VALUE!</v>
      </c>
      <c r="AM306">
        <v>0</v>
      </c>
      <c r="AN306">
        <v>0</v>
      </c>
      <c r="AO306">
        <f t="shared" si="161"/>
        <v>0</v>
      </c>
      <c r="AP306">
        <f t="shared" si="170"/>
        <v>0</v>
      </c>
      <c r="AQ306" t="e">
        <f t="shared" ca="1" si="162"/>
        <v>#VALUE!</v>
      </c>
      <c r="AR306" t="e">
        <f t="shared" ca="1" si="163"/>
        <v>#VALUE!</v>
      </c>
      <c r="AS306" t="e">
        <f t="shared" ca="1" si="164"/>
        <v>#VALUE!</v>
      </c>
    </row>
    <row r="307" spans="1:45" x14ac:dyDescent="0.35">
      <c r="A307">
        <v>158</v>
      </c>
      <c r="B307">
        <v>156.94800000000001</v>
      </c>
      <c r="C307">
        <v>616426.89500000002</v>
      </c>
      <c r="D307">
        <v>3097693.253</v>
      </c>
      <c r="E307">
        <v>632.48350000000005</v>
      </c>
      <c r="F307">
        <v>5.2</v>
      </c>
      <c r="G307">
        <v>0</v>
      </c>
      <c r="H307" t="s">
        <v>191</v>
      </c>
      <c r="I307">
        <v>5.5E-2</v>
      </c>
      <c r="J307">
        <f t="shared" si="165"/>
        <v>0.99899999999999523</v>
      </c>
      <c r="K307">
        <f t="shared" si="166"/>
        <v>51</v>
      </c>
      <c r="L307" t="e">
        <f t="shared" ca="1" si="167"/>
        <v>#VALUE!</v>
      </c>
      <c r="M307" t="e">
        <f t="shared" ca="1" si="140"/>
        <v>#VALUE!</v>
      </c>
      <c r="N307" t="e">
        <f t="shared" ca="1" si="141"/>
        <v>#VALUE!</v>
      </c>
      <c r="O307" t="e">
        <f t="shared" ca="1" si="142"/>
        <v>#VALUE!</v>
      </c>
      <c r="P307" t="e">
        <f t="shared" ca="1" si="143"/>
        <v>#VALUE!</v>
      </c>
      <c r="Q307" t="e">
        <f t="shared" ca="1" si="144"/>
        <v>#VALUE!</v>
      </c>
      <c r="R307" t="e">
        <f t="shared" ca="1" si="145"/>
        <v>#VALUE!</v>
      </c>
      <c r="S307" t="e">
        <f t="shared" ca="1" si="146"/>
        <v>#VALUE!</v>
      </c>
      <c r="T307" t="e">
        <f t="shared" ca="1" si="147"/>
        <v>#VALUE!</v>
      </c>
      <c r="U307" t="e">
        <f t="shared" ca="1" si="168"/>
        <v>#VALUE!</v>
      </c>
      <c r="V307" t="e">
        <f t="shared" ca="1" si="169"/>
        <v>#VALUE!</v>
      </c>
      <c r="W307" t="e">
        <f t="shared" ca="1" si="148"/>
        <v>#VALUE!</v>
      </c>
      <c r="X307" t="e">
        <f t="shared" ca="1" si="149"/>
        <v>#VALUE!</v>
      </c>
      <c r="Y307" t="e">
        <f t="shared" ca="1" si="150"/>
        <v>#VALUE!</v>
      </c>
      <c r="Z307" t="e">
        <f t="shared" ca="1" si="151"/>
        <v>#VALUE!</v>
      </c>
      <c r="AA307" t="e">
        <f t="shared" ca="1" si="152"/>
        <v>#VALUE!</v>
      </c>
      <c r="AB307" t="e">
        <f t="shared" ca="1" si="153"/>
        <v>#VALUE!</v>
      </c>
      <c r="AC307" t="e">
        <f t="shared" ca="1" si="154"/>
        <v>#VALUE!</v>
      </c>
      <c r="AD307" t="e">
        <f t="shared" ca="1" si="155"/>
        <v>#VALUE!</v>
      </c>
      <c r="AE307" t="e">
        <f t="shared" ca="1" si="156"/>
        <v>#VALUE!</v>
      </c>
      <c r="AF307" t="e">
        <f t="shared" ca="1" si="157"/>
        <v>#VALUE!</v>
      </c>
      <c r="AG307" t="e">
        <f t="shared" ca="1" si="158"/>
        <v>#VALUE!</v>
      </c>
      <c r="AH307" t="e">
        <f ca="1">IF(V32="Supercritical",L307,IF(V32="Subcritical",W307,IF(AND(V307=1,AG307=1),IF(T307&gt;=AE307,L307,W307),IF(V307=1,L307,IF(AG307=1,W307,MAX($D$16,POWER((ABS(K307)^2)/($I$5*MAX(F307,0.1)^2),1/3)))))))</f>
        <v>#VALUE!</v>
      </c>
      <c r="AI307" t="e">
        <f t="shared" ca="1" si="159"/>
        <v>#VALUE!</v>
      </c>
      <c r="AJ307" t="e">
        <f t="shared" ca="1" si="160"/>
        <v>#VALUE!</v>
      </c>
      <c r="AM307">
        <v>0</v>
      </c>
      <c r="AN307">
        <v>0</v>
      </c>
      <c r="AO307">
        <f t="shared" si="161"/>
        <v>0</v>
      </c>
      <c r="AP307">
        <f t="shared" si="170"/>
        <v>0</v>
      </c>
      <c r="AQ307" t="e">
        <f t="shared" ca="1" si="162"/>
        <v>#VALUE!</v>
      </c>
      <c r="AR307" t="e">
        <f t="shared" ca="1" si="163"/>
        <v>#VALUE!</v>
      </c>
      <c r="AS307" t="e">
        <f t="shared" ca="1" si="164"/>
        <v>#VALUE!</v>
      </c>
    </row>
    <row r="308" spans="1:45" x14ac:dyDescent="0.35">
      <c r="A308">
        <v>159</v>
      </c>
      <c r="B308">
        <v>157.94800000000001</v>
      </c>
      <c r="C308">
        <v>616425.89599999995</v>
      </c>
      <c r="D308">
        <v>3097693.2050000001</v>
      </c>
      <c r="E308">
        <v>632.48299999999995</v>
      </c>
      <c r="F308">
        <v>5.2</v>
      </c>
      <c r="G308">
        <v>0</v>
      </c>
      <c r="H308" t="s">
        <v>191</v>
      </c>
      <c r="I308">
        <v>0</v>
      </c>
      <c r="J308">
        <f t="shared" si="165"/>
        <v>1</v>
      </c>
      <c r="K308">
        <f t="shared" si="166"/>
        <v>51</v>
      </c>
      <c r="L308" t="e">
        <f t="shared" ca="1" si="167"/>
        <v>#VALUE!</v>
      </c>
      <c r="M308" t="e">
        <f t="shared" ca="1" si="140"/>
        <v>#VALUE!</v>
      </c>
      <c r="N308" t="e">
        <f t="shared" ca="1" si="141"/>
        <v>#VALUE!</v>
      </c>
      <c r="O308" t="e">
        <f t="shared" ca="1" si="142"/>
        <v>#VALUE!</v>
      </c>
      <c r="P308" t="e">
        <f t="shared" ca="1" si="143"/>
        <v>#VALUE!</v>
      </c>
      <c r="Q308" t="e">
        <f t="shared" ca="1" si="144"/>
        <v>#VALUE!</v>
      </c>
      <c r="R308" t="e">
        <f t="shared" ca="1" si="145"/>
        <v>#VALUE!</v>
      </c>
      <c r="S308" t="e">
        <f t="shared" ca="1" si="146"/>
        <v>#VALUE!</v>
      </c>
      <c r="T308" t="e">
        <f t="shared" ca="1" si="147"/>
        <v>#VALUE!</v>
      </c>
      <c r="U308" t="e">
        <f t="shared" ca="1" si="168"/>
        <v>#VALUE!</v>
      </c>
      <c r="V308" t="e">
        <f t="shared" ca="1" si="169"/>
        <v>#VALUE!</v>
      </c>
      <c r="W308" t="e">
        <f t="shared" ca="1" si="148"/>
        <v>#VALUE!</v>
      </c>
      <c r="X308" t="e">
        <f t="shared" ca="1" si="149"/>
        <v>#VALUE!</v>
      </c>
      <c r="Y308" t="e">
        <f t="shared" ca="1" si="150"/>
        <v>#VALUE!</v>
      </c>
      <c r="Z308" t="e">
        <f t="shared" ca="1" si="151"/>
        <v>#VALUE!</v>
      </c>
      <c r="AA308" t="e">
        <f t="shared" ca="1" si="152"/>
        <v>#VALUE!</v>
      </c>
      <c r="AB308" t="e">
        <f t="shared" ca="1" si="153"/>
        <v>#VALUE!</v>
      </c>
      <c r="AC308" t="e">
        <f t="shared" ca="1" si="154"/>
        <v>#VALUE!</v>
      </c>
      <c r="AD308" t="e">
        <f t="shared" ca="1" si="155"/>
        <v>#VALUE!</v>
      </c>
      <c r="AE308" t="e">
        <f t="shared" ca="1" si="156"/>
        <v>#VALUE!</v>
      </c>
      <c r="AF308" t="e">
        <f t="shared" ca="1" si="157"/>
        <v>#VALUE!</v>
      </c>
      <c r="AG308" t="e">
        <f t="shared" ca="1" si="158"/>
        <v>#VALUE!</v>
      </c>
      <c r="AH308" t="e">
        <f ca="1">IF(V32="Supercritical",L308,IF(V32="Subcritical",W308,IF(AND(V308=1,AG308=1),IF(T308&gt;=AE308,L308,W308),IF(V308=1,L308,IF(AG308=1,W308,MAX($D$16,POWER((ABS(K308)^2)/($I$5*MAX(F308,0.1)^2),1/3)))))))</f>
        <v>#VALUE!</v>
      </c>
      <c r="AI308" t="e">
        <f t="shared" ca="1" si="159"/>
        <v>#VALUE!</v>
      </c>
      <c r="AJ308" t="e">
        <f t="shared" ca="1" si="160"/>
        <v>#VALUE!</v>
      </c>
      <c r="AM308">
        <v>0</v>
      </c>
      <c r="AN308">
        <v>0</v>
      </c>
      <c r="AO308">
        <f t="shared" si="161"/>
        <v>0</v>
      </c>
      <c r="AP308">
        <f t="shared" si="170"/>
        <v>0</v>
      </c>
      <c r="AQ308" t="e">
        <f t="shared" ca="1" si="162"/>
        <v>#VALUE!</v>
      </c>
      <c r="AR308" t="e">
        <f t="shared" ca="1" si="163"/>
        <v>#VALUE!</v>
      </c>
      <c r="AS308" t="e">
        <f t="shared" ca="1" si="164"/>
        <v>#VALUE!</v>
      </c>
    </row>
    <row r="309" spans="1:45" x14ac:dyDescent="0.35">
      <c r="A309">
        <v>160</v>
      </c>
      <c r="B309">
        <v>158.94800000000001</v>
      </c>
      <c r="C309">
        <v>616424.897</v>
      </c>
      <c r="D309">
        <v>3097693.1570000001</v>
      </c>
      <c r="E309">
        <v>632.48249999999996</v>
      </c>
      <c r="F309">
        <v>5.2</v>
      </c>
      <c r="G309">
        <v>0</v>
      </c>
      <c r="H309" t="s">
        <v>191</v>
      </c>
      <c r="I309">
        <v>5.7000000000000002E-2</v>
      </c>
      <c r="J309">
        <f t="shared" si="165"/>
        <v>1</v>
      </c>
      <c r="K309">
        <f t="shared" si="166"/>
        <v>51</v>
      </c>
      <c r="L309" t="e">
        <f t="shared" ca="1" si="167"/>
        <v>#VALUE!</v>
      </c>
      <c r="M309" t="e">
        <f t="shared" ca="1" si="140"/>
        <v>#VALUE!</v>
      </c>
      <c r="N309" t="e">
        <f t="shared" ca="1" si="141"/>
        <v>#VALUE!</v>
      </c>
      <c r="O309" t="e">
        <f t="shared" ca="1" si="142"/>
        <v>#VALUE!</v>
      </c>
      <c r="P309" t="e">
        <f t="shared" ca="1" si="143"/>
        <v>#VALUE!</v>
      </c>
      <c r="Q309" t="e">
        <f t="shared" ca="1" si="144"/>
        <v>#VALUE!</v>
      </c>
      <c r="R309" t="e">
        <f t="shared" ca="1" si="145"/>
        <v>#VALUE!</v>
      </c>
      <c r="S309" t="e">
        <f t="shared" ca="1" si="146"/>
        <v>#VALUE!</v>
      </c>
      <c r="T309" t="e">
        <f t="shared" ca="1" si="147"/>
        <v>#VALUE!</v>
      </c>
      <c r="U309" t="e">
        <f t="shared" ca="1" si="168"/>
        <v>#VALUE!</v>
      </c>
      <c r="V309" t="e">
        <f t="shared" ca="1" si="169"/>
        <v>#VALUE!</v>
      </c>
      <c r="W309" t="e">
        <f t="shared" ca="1" si="148"/>
        <v>#VALUE!</v>
      </c>
      <c r="X309" t="e">
        <f t="shared" ca="1" si="149"/>
        <v>#VALUE!</v>
      </c>
      <c r="Y309" t="e">
        <f t="shared" ca="1" si="150"/>
        <v>#VALUE!</v>
      </c>
      <c r="Z309" t="e">
        <f t="shared" ca="1" si="151"/>
        <v>#VALUE!</v>
      </c>
      <c r="AA309" t="e">
        <f t="shared" ca="1" si="152"/>
        <v>#VALUE!</v>
      </c>
      <c r="AB309" t="e">
        <f t="shared" ca="1" si="153"/>
        <v>#VALUE!</v>
      </c>
      <c r="AC309" t="e">
        <f t="shared" ca="1" si="154"/>
        <v>#VALUE!</v>
      </c>
      <c r="AD309" t="e">
        <f t="shared" ca="1" si="155"/>
        <v>#VALUE!</v>
      </c>
      <c r="AE309" t="e">
        <f t="shared" ca="1" si="156"/>
        <v>#VALUE!</v>
      </c>
      <c r="AF309" t="e">
        <f t="shared" ca="1" si="157"/>
        <v>#VALUE!</v>
      </c>
      <c r="AG309" t="e">
        <f t="shared" ca="1" si="158"/>
        <v>#VALUE!</v>
      </c>
      <c r="AH309" t="e">
        <f ca="1">IF(V32="Supercritical",L309,IF(V32="Subcritical",W309,IF(AND(V309=1,AG309=1),IF(T309&gt;=AE309,L309,W309),IF(V309=1,L309,IF(AG309=1,W309,MAX($D$16,POWER((ABS(K309)^2)/($I$5*MAX(F309,0.1)^2),1/3)))))))</f>
        <v>#VALUE!</v>
      </c>
      <c r="AI309" t="e">
        <f t="shared" ca="1" si="159"/>
        <v>#VALUE!</v>
      </c>
      <c r="AJ309" t="e">
        <f t="shared" ca="1" si="160"/>
        <v>#VALUE!</v>
      </c>
      <c r="AM309">
        <v>0</v>
      </c>
      <c r="AN309">
        <v>0</v>
      </c>
      <c r="AO309">
        <f t="shared" si="161"/>
        <v>0</v>
      </c>
      <c r="AP309">
        <f t="shared" si="170"/>
        <v>0</v>
      </c>
      <c r="AQ309" t="e">
        <f t="shared" ca="1" si="162"/>
        <v>#VALUE!</v>
      </c>
      <c r="AR309" t="e">
        <f t="shared" ca="1" si="163"/>
        <v>#VALUE!</v>
      </c>
      <c r="AS309" t="e">
        <f t="shared" ca="1" si="164"/>
        <v>#VALUE!</v>
      </c>
    </row>
    <row r="310" spans="1:45" x14ac:dyDescent="0.35">
      <c r="A310">
        <v>161</v>
      </c>
      <c r="B310">
        <v>159.94800000000001</v>
      </c>
      <c r="C310">
        <v>616423.89800000004</v>
      </c>
      <c r="D310">
        <v>3097693.11</v>
      </c>
      <c r="E310">
        <v>632.48199999999997</v>
      </c>
      <c r="F310">
        <v>5.2</v>
      </c>
      <c r="G310">
        <v>0</v>
      </c>
      <c r="H310" t="s">
        <v>191</v>
      </c>
      <c r="I310">
        <v>5.7000000000000002E-2</v>
      </c>
      <c r="J310">
        <f t="shared" si="165"/>
        <v>1</v>
      </c>
      <c r="K310">
        <f t="shared" si="166"/>
        <v>51</v>
      </c>
      <c r="L310" t="e">
        <f t="shared" ca="1" si="167"/>
        <v>#VALUE!</v>
      </c>
      <c r="M310" t="e">
        <f t="shared" ca="1" si="140"/>
        <v>#VALUE!</v>
      </c>
      <c r="N310" t="e">
        <f t="shared" ca="1" si="141"/>
        <v>#VALUE!</v>
      </c>
      <c r="O310" t="e">
        <f t="shared" ca="1" si="142"/>
        <v>#VALUE!</v>
      </c>
      <c r="P310" t="e">
        <f t="shared" ca="1" si="143"/>
        <v>#VALUE!</v>
      </c>
      <c r="Q310" t="e">
        <f t="shared" ca="1" si="144"/>
        <v>#VALUE!</v>
      </c>
      <c r="R310" t="e">
        <f t="shared" ca="1" si="145"/>
        <v>#VALUE!</v>
      </c>
      <c r="S310" t="e">
        <f t="shared" ca="1" si="146"/>
        <v>#VALUE!</v>
      </c>
      <c r="T310" t="e">
        <f t="shared" ca="1" si="147"/>
        <v>#VALUE!</v>
      </c>
      <c r="U310" t="e">
        <f t="shared" ca="1" si="168"/>
        <v>#VALUE!</v>
      </c>
      <c r="V310" t="e">
        <f t="shared" ca="1" si="169"/>
        <v>#VALUE!</v>
      </c>
      <c r="W310" t="e">
        <f t="shared" ca="1" si="148"/>
        <v>#VALUE!</v>
      </c>
      <c r="X310" t="e">
        <f t="shared" ca="1" si="149"/>
        <v>#VALUE!</v>
      </c>
      <c r="Y310" t="e">
        <f t="shared" ca="1" si="150"/>
        <v>#VALUE!</v>
      </c>
      <c r="Z310" t="e">
        <f t="shared" ca="1" si="151"/>
        <v>#VALUE!</v>
      </c>
      <c r="AA310" t="e">
        <f t="shared" ca="1" si="152"/>
        <v>#VALUE!</v>
      </c>
      <c r="AB310" t="e">
        <f t="shared" ca="1" si="153"/>
        <v>#VALUE!</v>
      </c>
      <c r="AC310" t="e">
        <f t="shared" ca="1" si="154"/>
        <v>#VALUE!</v>
      </c>
      <c r="AD310" t="e">
        <f t="shared" ca="1" si="155"/>
        <v>#VALUE!</v>
      </c>
      <c r="AE310" t="e">
        <f t="shared" ca="1" si="156"/>
        <v>#VALUE!</v>
      </c>
      <c r="AF310" t="e">
        <f t="shared" ca="1" si="157"/>
        <v>#VALUE!</v>
      </c>
      <c r="AG310" t="e">
        <f t="shared" ca="1" si="158"/>
        <v>#VALUE!</v>
      </c>
      <c r="AH310" t="e">
        <f ca="1">IF(V32="Supercritical",L310,IF(V32="Subcritical",W310,IF(AND(V310=1,AG310=1),IF(T310&gt;=AE310,L310,W310),IF(V310=1,L310,IF(AG310=1,W310,MAX($D$16,POWER((ABS(K310)^2)/($I$5*MAX(F310,0.1)^2),1/3)))))))</f>
        <v>#VALUE!</v>
      </c>
      <c r="AI310" t="e">
        <f t="shared" ca="1" si="159"/>
        <v>#VALUE!</v>
      </c>
      <c r="AJ310" t="e">
        <f t="shared" ca="1" si="160"/>
        <v>#VALUE!</v>
      </c>
      <c r="AM310">
        <v>0</v>
      </c>
      <c r="AN310">
        <v>0</v>
      </c>
      <c r="AO310">
        <f t="shared" si="161"/>
        <v>0</v>
      </c>
      <c r="AP310">
        <f t="shared" si="170"/>
        <v>0</v>
      </c>
      <c r="AQ310" t="e">
        <f t="shared" ca="1" si="162"/>
        <v>#VALUE!</v>
      </c>
      <c r="AR310" t="e">
        <f t="shared" ca="1" si="163"/>
        <v>#VALUE!</v>
      </c>
      <c r="AS310" t="e">
        <f t="shared" ca="1" si="164"/>
        <v>#VALUE!</v>
      </c>
    </row>
    <row r="311" spans="1:45" x14ac:dyDescent="0.35">
      <c r="A311">
        <v>162</v>
      </c>
      <c r="B311">
        <v>160.94800000000001</v>
      </c>
      <c r="C311">
        <v>616422.89899999998</v>
      </c>
      <c r="D311">
        <v>3097693.0619999999</v>
      </c>
      <c r="E311">
        <v>632.48149999999998</v>
      </c>
      <c r="F311">
        <v>5.2</v>
      </c>
      <c r="G311">
        <v>0</v>
      </c>
      <c r="H311" t="s">
        <v>191</v>
      </c>
      <c r="I311">
        <v>0</v>
      </c>
      <c r="J311">
        <f t="shared" si="165"/>
        <v>1</v>
      </c>
      <c r="K311">
        <f t="shared" si="166"/>
        <v>51</v>
      </c>
      <c r="L311" t="e">
        <f t="shared" ca="1" si="167"/>
        <v>#VALUE!</v>
      </c>
      <c r="M311" t="e">
        <f t="shared" ca="1" si="140"/>
        <v>#VALUE!</v>
      </c>
      <c r="N311" t="e">
        <f t="shared" ca="1" si="141"/>
        <v>#VALUE!</v>
      </c>
      <c r="O311" t="e">
        <f t="shared" ca="1" si="142"/>
        <v>#VALUE!</v>
      </c>
      <c r="P311" t="e">
        <f t="shared" ca="1" si="143"/>
        <v>#VALUE!</v>
      </c>
      <c r="Q311" t="e">
        <f t="shared" ca="1" si="144"/>
        <v>#VALUE!</v>
      </c>
      <c r="R311" t="e">
        <f t="shared" ca="1" si="145"/>
        <v>#VALUE!</v>
      </c>
      <c r="S311" t="e">
        <f t="shared" ca="1" si="146"/>
        <v>#VALUE!</v>
      </c>
      <c r="T311" t="e">
        <f t="shared" ca="1" si="147"/>
        <v>#VALUE!</v>
      </c>
      <c r="U311" t="e">
        <f t="shared" ca="1" si="168"/>
        <v>#VALUE!</v>
      </c>
      <c r="V311" t="e">
        <f t="shared" ca="1" si="169"/>
        <v>#VALUE!</v>
      </c>
      <c r="W311" t="e">
        <f t="shared" ca="1" si="148"/>
        <v>#VALUE!</v>
      </c>
      <c r="X311" t="e">
        <f t="shared" ca="1" si="149"/>
        <v>#VALUE!</v>
      </c>
      <c r="Y311" t="e">
        <f t="shared" ca="1" si="150"/>
        <v>#VALUE!</v>
      </c>
      <c r="Z311" t="e">
        <f t="shared" ca="1" si="151"/>
        <v>#VALUE!</v>
      </c>
      <c r="AA311" t="e">
        <f t="shared" ca="1" si="152"/>
        <v>#VALUE!</v>
      </c>
      <c r="AB311" t="e">
        <f t="shared" ca="1" si="153"/>
        <v>#VALUE!</v>
      </c>
      <c r="AC311" t="e">
        <f t="shared" ca="1" si="154"/>
        <v>#VALUE!</v>
      </c>
      <c r="AD311" t="e">
        <f t="shared" ca="1" si="155"/>
        <v>#VALUE!</v>
      </c>
      <c r="AE311" t="e">
        <f t="shared" ca="1" si="156"/>
        <v>#VALUE!</v>
      </c>
      <c r="AF311" t="e">
        <f t="shared" ca="1" si="157"/>
        <v>#VALUE!</v>
      </c>
      <c r="AG311" t="e">
        <f t="shared" ca="1" si="158"/>
        <v>#VALUE!</v>
      </c>
      <c r="AH311" t="e">
        <f ca="1">IF(V32="Supercritical",L311,IF(V32="Subcritical",W311,IF(AND(V311=1,AG311=1),IF(T311&gt;=AE311,L311,W311),IF(V311=1,L311,IF(AG311=1,W311,MAX($D$16,POWER((ABS(K311)^2)/($I$5*MAX(F311,0.1)^2),1/3)))))))</f>
        <v>#VALUE!</v>
      </c>
      <c r="AI311" t="e">
        <f t="shared" ca="1" si="159"/>
        <v>#VALUE!</v>
      </c>
      <c r="AJ311" t="e">
        <f t="shared" ca="1" si="160"/>
        <v>#VALUE!</v>
      </c>
      <c r="AM311">
        <v>0</v>
      </c>
      <c r="AN311">
        <v>0</v>
      </c>
      <c r="AO311">
        <f t="shared" si="161"/>
        <v>0</v>
      </c>
      <c r="AP311">
        <f t="shared" si="170"/>
        <v>0</v>
      </c>
      <c r="AQ311" t="e">
        <f t="shared" ca="1" si="162"/>
        <v>#VALUE!</v>
      </c>
      <c r="AR311" t="e">
        <f t="shared" ca="1" si="163"/>
        <v>#VALUE!</v>
      </c>
      <c r="AS311" t="e">
        <f t="shared" ca="1" si="164"/>
        <v>#VALUE!</v>
      </c>
    </row>
    <row r="312" spans="1:45" x14ac:dyDescent="0.35">
      <c r="A312">
        <v>163</v>
      </c>
      <c r="B312">
        <v>161.94800000000001</v>
      </c>
      <c r="C312">
        <v>616421.9</v>
      </c>
      <c r="D312">
        <v>3097693.014</v>
      </c>
      <c r="E312">
        <v>632.48099999999999</v>
      </c>
      <c r="F312">
        <v>5.2</v>
      </c>
      <c r="G312">
        <v>0</v>
      </c>
      <c r="H312" t="s">
        <v>191</v>
      </c>
      <c r="I312">
        <v>5.7000000000000002E-2</v>
      </c>
      <c r="J312">
        <f t="shared" si="165"/>
        <v>1</v>
      </c>
      <c r="K312">
        <f t="shared" si="166"/>
        <v>51</v>
      </c>
      <c r="L312" t="e">
        <f t="shared" ca="1" si="167"/>
        <v>#VALUE!</v>
      </c>
      <c r="M312" t="e">
        <f t="shared" ca="1" si="140"/>
        <v>#VALUE!</v>
      </c>
      <c r="N312" t="e">
        <f t="shared" ca="1" si="141"/>
        <v>#VALUE!</v>
      </c>
      <c r="O312" t="e">
        <f t="shared" ca="1" si="142"/>
        <v>#VALUE!</v>
      </c>
      <c r="P312" t="e">
        <f t="shared" ca="1" si="143"/>
        <v>#VALUE!</v>
      </c>
      <c r="Q312" t="e">
        <f t="shared" ca="1" si="144"/>
        <v>#VALUE!</v>
      </c>
      <c r="R312" t="e">
        <f t="shared" ca="1" si="145"/>
        <v>#VALUE!</v>
      </c>
      <c r="S312" t="e">
        <f t="shared" ca="1" si="146"/>
        <v>#VALUE!</v>
      </c>
      <c r="T312" t="e">
        <f t="shared" ca="1" si="147"/>
        <v>#VALUE!</v>
      </c>
      <c r="U312" t="e">
        <f t="shared" ca="1" si="168"/>
        <v>#VALUE!</v>
      </c>
      <c r="V312" t="e">
        <f t="shared" ca="1" si="169"/>
        <v>#VALUE!</v>
      </c>
      <c r="W312" t="e">
        <f t="shared" ca="1" si="148"/>
        <v>#VALUE!</v>
      </c>
      <c r="X312" t="e">
        <f t="shared" ca="1" si="149"/>
        <v>#VALUE!</v>
      </c>
      <c r="Y312" t="e">
        <f t="shared" ca="1" si="150"/>
        <v>#VALUE!</v>
      </c>
      <c r="Z312" t="e">
        <f t="shared" ca="1" si="151"/>
        <v>#VALUE!</v>
      </c>
      <c r="AA312" t="e">
        <f t="shared" ca="1" si="152"/>
        <v>#VALUE!</v>
      </c>
      <c r="AB312" t="e">
        <f t="shared" ca="1" si="153"/>
        <v>#VALUE!</v>
      </c>
      <c r="AC312" t="e">
        <f t="shared" ca="1" si="154"/>
        <v>#VALUE!</v>
      </c>
      <c r="AD312" t="e">
        <f t="shared" ca="1" si="155"/>
        <v>#VALUE!</v>
      </c>
      <c r="AE312" t="e">
        <f t="shared" ca="1" si="156"/>
        <v>#VALUE!</v>
      </c>
      <c r="AF312" t="e">
        <f t="shared" ca="1" si="157"/>
        <v>#VALUE!</v>
      </c>
      <c r="AG312" t="e">
        <f t="shared" ca="1" si="158"/>
        <v>#VALUE!</v>
      </c>
      <c r="AH312" t="e">
        <f ca="1">IF(V32="Supercritical",L312,IF(V32="Subcritical",W312,IF(AND(V312=1,AG312=1),IF(T312&gt;=AE312,L312,W312),IF(V312=1,L312,IF(AG312=1,W312,MAX($D$16,POWER((ABS(K312)^2)/($I$5*MAX(F312,0.1)^2),1/3)))))))</f>
        <v>#VALUE!</v>
      </c>
      <c r="AI312" t="e">
        <f t="shared" ca="1" si="159"/>
        <v>#VALUE!</v>
      </c>
      <c r="AJ312" t="e">
        <f t="shared" ca="1" si="160"/>
        <v>#VALUE!</v>
      </c>
      <c r="AM312">
        <v>0</v>
      </c>
      <c r="AN312">
        <v>0</v>
      </c>
      <c r="AO312">
        <f t="shared" si="161"/>
        <v>0</v>
      </c>
      <c r="AP312">
        <f t="shared" si="170"/>
        <v>0</v>
      </c>
      <c r="AQ312" t="e">
        <f t="shared" ca="1" si="162"/>
        <v>#VALUE!</v>
      </c>
      <c r="AR312" t="e">
        <f t="shared" ca="1" si="163"/>
        <v>#VALUE!</v>
      </c>
      <c r="AS312" t="e">
        <f t="shared" ca="1" si="164"/>
        <v>#VALUE!</v>
      </c>
    </row>
    <row r="313" spans="1:45" x14ac:dyDescent="0.35">
      <c r="A313">
        <v>164</v>
      </c>
      <c r="B313">
        <v>162.94900000000001</v>
      </c>
      <c r="C313">
        <v>616420.90099999995</v>
      </c>
      <c r="D313">
        <v>3097692.9670000002</v>
      </c>
      <c r="E313">
        <v>632.48050000000001</v>
      </c>
      <c r="F313">
        <v>5.2</v>
      </c>
      <c r="G313">
        <v>0</v>
      </c>
      <c r="H313" t="s">
        <v>191</v>
      </c>
      <c r="I313">
        <v>5.7000000000000002E-2</v>
      </c>
      <c r="J313">
        <f t="shared" si="165"/>
        <v>1.0010000000000048</v>
      </c>
      <c r="K313">
        <f t="shared" si="166"/>
        <v>51</v>
      </c>
      <c r="L313" t="e">
        <f t="shared" ca="1" si="167"/>
        <v>#VALUE!</v>
      </c>
      <c r="M313" t="e">
        <f t="shared" ca="1" si="140"/>
        <v>#VALUE!</v>
      </c>
      <c r="N313" t="e">
        <f t="shared" ca="1" si="141"/>
        <v>#VALUE!</v>
      </c>
      <c r="O313" t="e">
        <f t="shared" ca="1" si="142"/>
        <v>#VALUE!</v>
      </c>
      <c r="P313" t="e">
        <f t="shared" ca="1" si="143"/>
        <v>#VALUE!</v>
      </c>
      <c r="Q313" t="e">
        <f t="shared" ca="1" si="144"/>
        <v>#VALUE!</v>
      </c>
      <c r="R313" t="e">
        <f t="shared" ca="1" si="145"/>
        <v>#VALUE!</v>
      </c>
      <c r="S313" t="e">
        <f t="shared" ca="1" si="146"/>
        <v>#VALUE!</v>
      </c>
      <c r="T313" t="e">
        <f t="shared" ca="1" si="147"/>
        <v>#VALUE!</v>
      </c>
      <c r="U313" t="e">
        <f t="shared" ca="1" si="168"/>
        <v>#VALUE!</v>
      </c>
      <c r="V313" t="e">
        <f t="shared" ca="1" si="169"/>
        <v>#VALUE!</v>
      </c>
      <c r="W313" t="e">
        <f t="shared" ca="1" si="148"/>
        <v>#VALUE!</v>
      </c>
      <c r="X313" t="e">
        <f t="shared" ca="1" si="149"/>
        <v>#VALUE!</v>
      </c>
      <c r="Y313" t="e">
        <f t="shared" ca="1" si="150"/>
        <v>#VALUE!</v>
      </c>
      <c r="Z313" t="e">
        <f t="shared" ca="1" si="151"/>
        <v>#VALUE!</v>
      </c>
      <c r="AA313" t="e">
        <f t="shared" ca="1" si="152"/>
        <v>#VALUE!</v>
      </c>
      <c r="AB313" t="e">
        <f t="shared" ca="1" si="153"/>
        <v>#VALUE!</v>
      </c>
      <c r="AC313" t="e">
        <f t="shared" ca="1" si="154"/>
        <v>#VALUE!</v>
      </c>
      <c r="AD313" t="e">
        <f t="shared" ca="1" si="155"/>
        <v>#VALUE!</v>
      </c>
      <c r="AE313" t="e">
        <f t="shared" ca="1" si="156"/>
        <v>#VALUE!</v>
      </c>
      <c r="AF313" t="e">
        <f t="shared" ca="1" si="157"/>
        <v>#VALUE!</v>
      </c>
      <c r="AG313" t="e">
        <f t="shared" ca="1" si="158"/>
        <v>#VALUE!</v>
      </c>
      <c r="AH313" t="e">
        <f ca="1">IF(V32="Supercritical",L313,IF(V32="Subcritical",W313,IF(AND(V313=1,AG313=1),IF(T313&gt;=AE313,L313,W313),IF(V313=1,L313,IF(AG313=1,W313,MAX($D$16,POWER((ABS(K313)^2)/($I$5*MAX(F313,0.1)^2),1/3)))))))</f>
        <v>#VALUE!</v>
      </c>
      <c r="AI313" t="e">
        <f t="shared" ca="1" si="159"/>
        <v>#VALUE!</v>
      </c>
      <c r="AJ313" t="e">
        <f t="shared" ca="1" si="160"/>
        <v>#VALUE!</v>
      </c>
      <c r="AM313">
        <v>0</v>
      </c>
      <c r="AN313">
        <v>0</v>
      </c>
      <c r="AO313">
        <f t="shared" si="161"/>
        <v>0</v>
      </c>
      <c r="AP313">
        <f t="shared" si="170"/>
        <v>0</v>
      </c>
      <c r="AQ313" t="e">
        <f t="shared" ca="1" si="162"/>
        <v>#VALUE!</v>
      </c>
      <c r="AR313" t="e">
        <f t="shared" ca="1" si="163"/>
        <v>#VALUE!</v>
      </c>
      <c r="AS313" t="e">
        <f t="shared" ca="1" si="164"/>
        <v>#VALUE!</v>
      </c>
    </row>
    <row r="314" spans="1:45" x14ac:dyDescent="0.35">
      <c r="A314">
        <v>165</v>
      </c>
      <c r="B314">
        <v>163.94900000000001</v>
      </c>
      <c r="C314">
        <v>616419.902</v>
      </c>
      <c r="D314">
        <v>3097692.9190000002</v>
      </c>
      <c r="E314">
        <v>632.48</v>
      </c>
      <c r="F314">
        <v>5.2</v>
      </c>
      <c r="G314">
        <v>0</v>
      </c>
      <c r="H314" t="s">
        <v>191</v>
      </c>
      <c r="I314">
        <v>5.5E-2</v>
      </c>
      <c r="J314">
        <f t="shared" si="165"/>
        <v>1</v>
      </c>
      <c r="K314">
        <f t="shared" si="166"/>
        <v>51</v>
      </c>
      <c r="L314" t="e">
        <f t="shared" ca="1" si="167"/>
        <v>#VALUE!</v>
      </c>
      <c r="M314" t="e">
        <f t="shared" ca="1" si="140"/>
        <v>#VALUE!</v>
      </c>
      <c r="N314" t="e">
        <f t="shared" ca="1" si="141"/>
        <v>#VALUE!</v>
      </c>
      <c r="O314" t="e">
        <f t="shared" ca="1" si="142"/>
        <v>#VALUE!</v>
      </c>
      <c r="P314" t="e">
        <f t="shared" ca="1" si="143"/>
        <v>#VALUE!</v>
      </c>
      <c r="Q314" t="e">
        <f t="shared" ca="1" si="144"/>
        <v>#VALUE!</v>
      </c>
      <c r="R314" t="e">
        <f t="shared" ca="1" si="145"/>
        <v>#VALUE!</v>
      </c>
      <c r="S314" t="e">
        <f t="shared" ca="1" si="146"/>
        <v>#VALUE!</v>
      </c>
      <c r="T314" t="e">
        <f t="shared" ca="1" si="147"/>
        <v>#VALUE!</v>
      </c>
      <c r="U314" t="e">
        <f t="shared" ca="1" si="168"/>
        <v>#VALUE!</v>
      </c>
      <c r="V314" t="e">
        <f t="shared" ca="1" si="169"/>
        <v>#VALUE!</v>
      </c>
      <c r="W314" t="e">
        <f t="shared" ca="1" si="148"/>
        <v>#VALUE!</v>
      </c>
      <c r="X314" t="e">
        <f t="shared" ca="1" si="149"/>
        <v>#VALUE!</v>
      </c>
      <c r="Y314" t="e">
        <f t="shared" ca="1" si="150"/>
        <v>#VALUE!</v>
      </c>
      <c r="Z314" t="e">
        <f t="shared" ca="1" si="151"/>
        <v>#VALUE!</v>
      </c>
      <c r="AA314" t="e">
        <f t="shared" ca="1" si="152"/>
        <v>#VALUE!</v>
      </c>
      <c r="AB314" t="e">
        <f t="shared" ca="1" si="153"/>
        <v>#VALUE!</v>
      </c>
      <c r="AC314" t="e">
        <f t="shared" ca="1" si="154"/>
        <v>#VALUE!</v>
      </c>
      <c r="AD314" t="e">
        <f t="shared" ca="1" si="155"/>
        <v>#VALUE!</v>
      </c>
      <c r="AE314" t="e">
        <f t="shared" ca="1" si="156"/>
        <v>#VALUE!</v>
      </c>
      <c r="AF314" t="e">
        <f t="shared" ca="1" si="157"/>
        <v>#VALUE!</v>
      </c>
      <c r="AG314" t="e">
        <f t="shared" ca="1" si="158"/>
        <v>#VALUE!</v>
      </c>
      <c r="AH314" t="e">
        <f ca="1">IF(V32="Supercritical",L314,IF(V32="Subcritical",W314,IF(AND(V314=1,AG314=1),IF(T314&gt;=AE314,L314,W314),IF(V314=1,L314,IF(AG314=1,W314,MAX($D$16,POWER((ABS(K314)^2)/($I$5*MAX(F314,0.1)^2),1/3)))))))</f>
        <v>#VALUE!</v>
      </c>
      <c r="AI314" t="e">
        <f t="shared" ca="1" si="159"/>
        <v>#VALUE!</v>
      </c>
      <c r="AJ314" t="e">
        <f t="shared" ca="1" si="160"/>
        <v>#VALUE!</v>
      </c>
      <c r="AM314">
        <v>0</v>
      </c>
      <c r="AN314">
        <v>0</v>
      </c>
      <c r="AO314">
        <f t="shared" si="161"/>
        <v>0</v>
      </c>
      <c r="AP314">
        <f t="shared" si="170"/>
        <v>0</v>
      </c>
      <c r="AQ314" t="e">
        <f t="shared" ca="1" si="162"/>
        <v>#VALUE!</v>
      </c>
      <c r="AR314" t="e">
        <f t="shared" ca="1" si="163"/>
        <v>#VALUE!</v>
      </c>
      <c r="AS314" t="e">
        <f t="shared" ca="1" si="164"/>
        <v>#VALUE!</v>
      </c>
    </row>
    <row r="315" spans="1:45" x14ac:dyDescent="0.35">
      <c r="A315">
        <v>166</v>
      </c>
      <c r="B315">
        <v>164.94800000000001</v>
      </c>
      <c r="C315">
        <v>616418.90399999998</v>
      </c>
      <c r="D315">
        <v>3097692.872</v>
      </c>
      <c r="E315">
        <v>632.47950000000003</v>
      </c>
      <c r="F315">
        <v>5.2</v>
      </c>
      <c r="G315">
        <v>0</v>
      </c>
      <c r="H315" t="s">
        <v>191</v>
      </c>
      <c r="I315">
        <v>5.5E-2</v>
      </c>
      <c r="J315">
        <f t="shared" si="165"/>
        <v>0.99899999999999523</v>
      </c>
      <c r="K315">
        <f t="shared" si="166"/>
        <v>51</v>
      </c>
      <c r="L315" t="e">
        <f t="shared" ca="1" si="167"/>
        <v>#VALUE!</v>
      </c>
      <c r="M315" t="e">
        <f t="shared" ca="1" si="140"/>
        <v>#VALUE!</v>
      </c>
      <c r="N315" t="e">
        <f t="shared" ca="1" si="141"/>
        <v>#VALUE!</v>
      </c>
      <c r="O315" t="e">
        <f t="shared" ca="1" si="142"/>
        <v>#VALUE!</v>
      </c>
      <c r="P315" t="e">
        <f t="shared" ca="1" si="143"/>
        <v>#VALUE!</v>
      </c>
      <c r="Q315" t="e">
        <f t="shared" ca="1" si="144"/>
        <v>#VALUE!</v>
      </c>
      <c r="R315" t="e">
        <f t="shared" ca="1" si="145"/>
        <v>#VALUE!</v>
      </c>
      <c r="S315" t="e">
        <f t="shared" ca="1" si="146"/>
        <v>#VALUE!</v>
      </c>
      <c r="T315" t="e">
        <f t="shared" ca="1" si="147"/>
        <v>#VALUE!</v>
      </c>
      <c r="U315" t="e">
        <f t="shared" ca="1" si="168"/>
        <v>#VALUE!</v>
      </c>
      <c r="V315" t="e">
        <f t="shared" ca="1" si="169"/>
        <v>#VALUE!</v>
      </c>
      <c r="W315" t="e">
        <f t="shared" ca="1" si="148"/>
        <v>#VALUE!</v>
      </c>
      <c r="X315" t="e">
        <f t="shared" ca="1" si="149"/>
        <v>#VALUE!</v>
      </c>
      <c r="Y315" t="e">
        <f t="shared" ca="1" si="150"/>
        <v>#VALUE!</v>
      </c>
      <c r="Z315" t="e">
        <f t="shared" ca="1" si="151"/>
        <v>#VALUE!</v>
      </c>
      <c r="AA315" t="e">
        <f t="shared" ca="1" si="152"/>
        <v>#VALUE!</v>
      </c>
      <c r="AB315" t="e">
        <f t="shared" ca="1" si="153"/>
        <v>#VALUE!</v>
      </c>
      <c r="AC315" t="e">
        <f t="shared" ca="1" si="154"/>
        <v>#VALUE!</v>
      </c>
      <c r="AD315" t="e">
        <f t="shared" ca="1" si="155"/>
        <v>#VALUE!</v>
      </c>
      <c r="AE315" t="e">
        <f t="shared" ca="1" si="156"/>
        <v>#VALUE!</v>
      </c>
      <c r="AF315" t="e">
        <f t="shared" ca="1" si="157"/>
        <v>#VALUE!</v>
      </c>
      <c r="AG315" t="e">
        <f t="shared" ca="1" si="158"/>
        <v>#VALUE!</v>
      </c>
      <c r="AH315" t="e">
        <f ca="1">IF(V32="Supercritical",L315,IF(V32="Subcritical",W315,IF(AND(V315=1,AG315=1),IF(T315&gt;=AE315,L315,W315),IF(V315=1,L315,IF(AG315=1,W315,MAX($D$16,POWER((ABS(K315)^2)/($I$5*MAX(F315,0.1)^2),1/3)))))))</f>
        <v>#VALUE!</v>
      </c>
      <c r="AI315" t="e">
        <f t="shared" ca="1" si="159"/>
        <v>#VALUE!</v>
      </c>
      <c r="AJ315" t="e">
        <f t="shared" ca="1" si="160"/>
        <v>#VALUE!</v>
      </c>
      <c r="AM315">
        <v>0</v>
      </c>
      <c r="AN315">
        <v>0</v>
      </c>
      <c r="AO315">
        <f t="shared" si="161"/>
        <v>0</v>
      </c>
      <c r="AP315">
        <f t="shared" si="170"/>
        <v>0</v>
      </c>
      <c r="AQ315" t="e">
        <f t="shared" ca="1" si="162"/>
        <v>#VALUE!</v>
      </c>
      <c r="AR315" t="e">
        <f t="shared" ca="1" si="163"/>
        <v>#VALUE!</v>
      </c>
      <c r="AS315" t="e">
        <f t="shared" ca="1" si="164"/>
        <v>#VALUE!</v>
      </c>
    </row>
    <row r="316" spans="1:45" x14ac:dyDescent="0.35">
      <c r="A316">
        <v>167</v>
      </c>
      <c r="B316">
        <v>165.94800000000001</v>
      </c>
      <c r="C316">
        <v>616417.90500000003</v>
      </c>
      <c r="D316">
        <v>3097692.824</v>
      </c>
      <c r="E316">
        <v>632.47900000000004</v>
      </c>
      <c r="F316">
        <v>5.2</v>
      </c>
      <c r="G316">
        <v>0</v>
      </c>
      <c r="H316" t="s">
        <v>191</v>
      </c>
      <c r="I316">
        <v>0</v>
      </c>
      <c r="J316">
        <f t="shared" si="165"/>
        <v>1</v>
      </c>
      <c r="K316">
        <f t="shared" si="166"/>
        <v>51</v>
      </c>
      <c r="L316" t="e">
        <f t="shared" ca="1" si="167"/>
        <v>#VALUE!</v>
      </c>
      <c r="M316" t="e">
        <f t="shared" ca="1" si="140"/>
        <v>#VALUE!</v>
      </c>
      <c r="N316" t="e">
        <f t="shared" ca="1" si="141"/>
        <v>#VALUE!</v>
      </c>
      <c r="O316" t="e">
        <f t="shared" ca="1" si="142"/>
        <v>#VALUE!</v>
      </c>
      <c r="P316" t="e">
        <f t="shared" ca="1" si="143"/>
        <v>#VALUE!</v>
      </c>
      <c r="Q316" t="e">
        <f t="shared" ca="1" si="144"/>
        <v>#VALUE!</v>
      </c>
      <c r="R316" t="e">
        <f t="shared" ca="1" si="145"/>
        <v>#VALUE!</v>
      </c>
      <c r="S316" t="e">
        <f t="shared" ca="1" si="146"/>
        <v>#VALUE!</v>
      </c>
      <c r="T316" t="e">
        <f t="shared" ca="1" si="147"/>
        <v>#VALUE!</v>
      </c>
      <c r="U316" t="e">
        <f t="shared" ca="1" si="168"/>
        <v>#VALUE!</v>
      </c>
      <c r="V316" t="e">
        <f t="shared" ca="1" si="169"/>
        <v>#VALUE!</v>
      </c>
      <c r="W316" t="e">
        <f t="shared" ca="1" si="148"/>
        <v>#VALUE!</v>
      </c>
      <c r="X316" t="e">
        <f t="shared" ca="1" si="149"/>
        <v>#VALUE!</v>
      </c>
      <c r="Y316" t="e">
        <f t="shared" ca="1" si="150"/>
        <v>#VALUE!</v>
      </c>
      <c r="Z316" t="e">
        <f t="shared" ca="1" si="151"/>
        <v>#VALUE!</v>
      </c>
      <c r="AA316" t="e">
        <f t="shared" ca="1" si="152"/>
        <v>#VALUE!</v>
      </c>
      <c r="AB316" t="e">
        <f t="shared" ca="1" si="153"/>
        <v>#VALUE!</v>
      </c>
      <c r="AC316" t="e">
        <f t="shared" ca="1" si="154"/>
        <v>#VALUE!</v>
      </c>
      <c r="AD316" t="e">
        <f t="shared" ca="1" si="155"/>
        <v>#VALUE!</v>
      </c>
      <c r="AE316" t="e">
        <f t="shared" ca="1" si="156"/>
        <v>#VALUE!</v>
      </c>
      <c r="AF316" t="e">
        <f t="shared" ca="1" si="157"/>
        <v>#VALUE!</v>
      </c>
      <c r="AG316" t="e">
        <f t="shared" ca="1" si="158"/>
        <v>#VALUE!</v>
      </c>
      <c r="AH316" t="e">
        <f ca="1">IF(V32="Supercritical",L316,IF(V32="Subcritical",W316,IF(AND(V316=1,AG316=1),IF(T316&gt;=AE316,L316,W316),IF(V316=1,L316,IF(AG316=1,W316,MAX($D$16,POWER((ABS(K316)^2)/($I$5*MAX(F316,0.1)^2),1/3)))))))</f>
        <v>#VALUE!</v>
      </c>
      <c r="AI316" t="e">
        <f t="shared" ca="1" si="159"/>
        <v>#VALUE!</v>
      </c>
      <c r="AJ316" t="e">
        <f t="shared" ca="1" si="160"/>
        <v>#VALUE!</v>
      </c>
      <c r="AM316">
        <v>0</v>
      </c>
      <c r="AN316">
        <v>0</v>
      </c>
      <c r="AO316">
        <f t="shared" si="161"/>
        <v>0</v>
      </c>
      <c r="AP316">
        <f t="shared" si="170"/>
        <v>0</v>
      </c>
      <c r="AQ316" t="e">
        <f t="shared" ca="1" si="162"/>
        <v>#VALUE!</v>
      </c>
      <c r="AR316" t="e">
        <f t="shared" ca="1" si="163"/>
        <v>#VALUE!</v>
      </c>
      <c r="AS316" t="e">
        <f t="shared" ca="1" si="164"/>
        <v>#VALUE!</v>
      </c>
    </row>
    <row r="317" spans="1:45" x14ac:dyDescent="0.35">
      <c r="A317">
        <v>168</v>
      </c>
      <c r="B317">
        <v>166.94800000000001</v>
      </c>
      <c r="C317">
        <v>616416.90599999996</v>
      </c>
      <c r="D317">
        <v>3097692.7760000001</v>
      </c>
      <c r="E317">
        <v>632.47850000000005</v>
      </c>
      <c r="F317">
        <v>5.2</v>
      </c>
      <c r="G317">
        <v>0</v>
      </c>
      <c r="H317" t="s">
        <v>191</v>
      </c>
      <c r="I317">
        <v>5.7000000000000002E-2</v>
      </c>
      <c r="J317">
        <f t="shared" si="165"/>
        <v>1</v>
      </c>
      <c r="K317">
        <f t="shared" si="166"/>
        <v>51</v>
      </c>
      <c r="L317" t="e">
        <f t="shared" ca="1" si="167"/>
        <v>#VALUE!</v>
      </c>
      <c r="M317" t="e">
        <f t="shared" ca="1" si="140"/>
        <v>#VALUE!</v>
      </c>
      <c r="N317" t="e">
        <f t="shared" ca="1" si="141"/>
        <v>#VALUE!</v>
      </c>
      <c r="O317" t="e">
        <f t="shared" ca="1" si="142"/>
        <v>#VALUE!</v>
      </c>
      <c r="P317" t="e">
        <f t="shared" ca="1" si="143"/>
        <v>#VALUE!</v>
      </c>
      <c r="Q317" t="e">
        <f t="shared" ca="1" si="144"/>
        <v>#VALUE!</v>
      </c>
      <c r="R317" t="e">
        <f t="shared" ca="1" si="145"/>
        <v>#VALUE!</v>
      </c>
      <c r="S317" t="e">
        <f t="shared" ca="1" si="146"/>
        <v>#VALUE!</v>
      </c>
      <c r="T317" t="e">
        <f t="shared" ca="1" si="147"/>
        <v>#VALUE!</v>
      </c>
      <c r="U317" t="e">
        <f t="shared" ca="1" si="168"/>
        <v>#VALUE!</v>
      </c>
      <c r="V317" t="e">
        <f t="shared" ca="1" si="169"/>
        <v>#VALUE!</v>
      </c>
      <c r="W317" t="e">
        <f t="shared" ca="1" si="148"/>
        <v>#VALUE!</v>
      </c>
      <c r="X317" t="e">
        <f t="shared" ca="1" si="149"/>
        <v>#VALUE!</v>
      </c>
      <c r="Y317" t="e">
        <f t="shared" ca="1" si="150"/>
        <v>#VALUE!</v>
      </c>
      <c r="Z317" t="e">
        <f t="shared" ca="1" si="151"/>
        <v>#VALUE!</v>
      </c>
      <c r="AA317" t="e">
        <f t="shared" ca="1" si="152"/>
        <v>#VALUE!</v>
      </c>
      <c r="AB317" t="e">
        <f t="shared" ca="1" si="153"/>
        <v>#VALUE!</v>
      </c>
      <c r="AC317" t="e">
        <f t="shared" ca="1" si="154"/>
        <v>#VALUE!</v>
      </c>
      <c r="AD317" t="e">
        <f t="shared" ca="1" si="155"/>
        <v>#VALUE!</v>
      </c>
      <c r="AE317" t="e">
        <f t="shared" ca="1" si="156"/>
        <v>#VALUE!</v>
      </c>
      <c r="AF317" t="e">
        <f t="shared" ca="1" si="157"/>
        <v>#VALUE!</v>
      </c>
      <c r="AG317" t="e">
        <f t="shared" ca="1" si="158"/>
        <v>#VALUE!</v>
      </c>
      <c r="AH317" t="e">
        <f ca="1">IF(V32="Supercritical",L317,IF(V32="Subcritical",W317,IF(AND(V317=1,AG317=1),IF(T317&gt;=AE317,L317,W317),IF(V317=1,L317,IF(AG317=1,W317,MAX($D$16,POWER((ABS(K317)^2)/($I$5*MAX(F317,0.1)^2),1/3)))))))</f>
        <v>#VALUE!</v>
      </c>
      <c r="AI317" t="e">
        <f t="shared" ca="1" si="159"/>
        <v>#VALUE!</v>
      </c>
      <c r="AJ317" t="e">
        <f t="shared" ca="1" si="160"/>
        <v>#VALUE!</v>
      </c>
      <c r="AM317">
        <v>0</v>
      </c>
      <c r="AN317">
        <v>0</v>
      </c>
      <c r="AO317">
        <f t="shared" si="161"/>
        <v>0</v>
      </c>
      <c r="AP317">
        <f t="shared" si="170"/>
        <v>0</v>
      </c>
      <c r="AQ317" t="e">
        <f t="shared" ca="1" si="162"/>
        <v>#VALUE!</v>
      </c>
      <c r="AR317" t="e">
        <f t="shared" ca="1" si="163"/>
        <v>#VALUE!</v>
      </c>
      <c r="AS317" t="e">
        <f t="shared" ca="1" si="164"/>
        <v>#VALUE!</v>
      </c>
    </row>
    <row r="318" spans="1:45" x14ac:dyDescent="0.35">
      <c r="A318">
        <v>169</v>
      </c>
      <c r="B318">
        <v>167.94800000000001</v>
      </c>
      <c r="C318">
        <v>616415.90700000001</v>
      </c>
      <c r="D318">
        <v>3097692.7289999998</v>
      </c>
      <c r="E318">
        <v>632.47799999999995</v>
      </c>
      <c r="F318">
        <v>5.2</v>
      </c>
      <c r="G318">
        <v>0</v>
      </c>
      <c r="H318" t="s">
        <v>191</v>
      </c>
      <c r="I318">
        <v>5.7000000000000002E-2</v>
      </c>
      <c r="J318">
        <f t="shared" si="165"/>
        <v>1</v>
      </c>
      <c r="K318">
        <f t="shared" si="166"/>
        <v>51</v>
      </c>
      <c r="L318" t="e">
        <f t="shared" ca="1" si="167"/>
        <v>#VALUE!</v>
      </c>
      <c r="M318" t="e">
        <f t="shared" ca="1" si="140"/>
        <v>#VALUE!</v>
      </c>
      <c r="N318" t="e">
        <f t="shared" ca="1" si="141"/>
        <v>#VALUE!</v>
      </c>
      <c r="O318" t="e">
        <f t="shared" ca="1" si="142"/>
        <v>#VALUE!</v>
      </c>
      <c r="P318" t="e">
        <f t="shared" ca="1" si="143"/>
        <v>#VALUE!</v>
      </c>
      <c r="Q318" t="e">
        <f t="shared" ca="1" si="144"/>
        <v>#VALUE!</v>
      </c>
      <c r="R318" t="e">
        <f t="shared" ca="1" si="145"/>
        <v>#VALUE!</v>
      </c>
      <c r="S318" t="e">
        <f t="shared" ca="1" si="146"/>
        <v>#VALUE!</v>
      </c>
      <c r="T318" t="e">
        <f t="shared" ca="1" si="147"/>
        <v>#VALUE!</v>
      </c>
      <c r="U318" t="e">
        <f t="shared" ca="1" si="168"/>
        <v>#VALUE!</v>
      </c>
      <c r="V318" t="e">
        <f t="shared" ca="1" si="169"/>
        <v>#VALUE!</v>
      </c>
      <c r="W318" t="e">
        <f t="shared" ca="1" si="148"/>
        <v>#VALUE!</v>
      </c>
      <c r="X318" t="e">
        <f t="shared" ca="1" si="149"/>
        <v>#VALUE!</v>
      </c>
      <c r="Y318" t="e">
        <f t="shared" ca="1" si="150"/>
        <v>#VALUE!</v>
      </c>
      <c r="Z318" t="e">
        <f t="shared" ca="1" si="151"/>
        <v>#VALUE!</v>
      </c>
      <c r="AA318" t="e">
        <f t="shared" ca="1" si="152"/>
        <v>#VALUE!</v>
      </c>
      <c r="AB318" t="e">
        <f t="shared" ca="1" si="153"/>
        <v>#VALUE!</v>
      </c>
      <c r="AC318" t="e">
        <f t="shared" ca="1" si="154"/>
        <v>#VALUE!</v>
      </c>
      <c r="AD318" t="e">
        <f t="shared" ca="1" si="155"/>
        <v>#VALUE!</v>
      </c>
      <c r="AE318" t="e">
        <f t="shared" ca="1" si="156"/>
        <v>#VALUE!</v>
      </c>
      <c r="AF318" t="e">
        <f t="shared" ca="1" si="157"/>
        <v>#VALUE!</v>
      </c>
      <c r="AG318" t="e">
        <f t="shared" ca="1" si="158"/>
        <v>#VALUE!</v>
      </c>
      <c r="AH318" t="e">
        <f ca="1">IF(V32="Supercritical",L318,IF(V32="Subcritical",W318,IF(AND(V318=1,AG318=1),IF(T318&gt;=AE318,L318,W318),IF(V318=1,L318,IF(AG318=1,W318,MAX($D$16,POWER((ABS(K318)^2)/($I$5*MAX(F318,0.1)^2),1/3)))))))</f>
        <v>#VALUE!</v>
      </c>
      <c r="AI318" t="e">
        <f t="shared" ca="1" si="159"/>
        <v>#VALUE!</v>
      </c>
      <c r="AJ318" t="e">
        <f t="shared" ca="1" si="160"/>
        <v>#VALUE!</v>
      </c>
      <c r="AM318">
        <v>0</v>
      </c>
      <c r="AN318">
        <v>0</v>
      </c>
      <c r="AO318">
        <f t="shared" si="161"/>
        <v>0</v>
      </c>
      <c r="AP318">
        <f t="shared" si="170"/>
        <v>0</v>
      </c>
      <c r="AQ318" t="e">
        <f t="shared" ca="1" si="162"/>
        <v>#VALUE!</v>
      </c>
      <c r="AR318" t="e">
        <f t="shared" ca="1" si="163"/>
        <v>#VALUE!</v>
      </c>
      <c r="AS318" t="e">
        <f t="shared" ca="1" si="164"/>
        <v>#VALUE!</v>
      </c>
    </row>
    <row r="319" spans="1:45" x14ac:dyDescent="0.35">
      <c r="A319">
        <v>170</v>
      </c>
      <c r="B319">
        <v>168.94800000000001</v>
      </c>
      <c r="C319">
        <v>616414.90800000005</v>
      </c>
      <c r="D319">
        <v>3097692.6809999999</v>
      </c>
      <c r="E319">
        <v>632.47749999999996</v>
      </c>
      <c r="F319">
        <v>5.2</v>
      </c>
      <c r="G319">
        <v>0</v>
      </c>
      <c r="H319" t="s">
        <v>191</v>
      </c>
      <c r="I319">
        <v>0</v>
      </c>
      <c r="J319">
        <f t="shared" si="165"/>
        <v>1</v>
      </c>
      <c r="K319">
        <f t="shared" si="166"/>
        <v>51</v>
      </c>
      <c r="L319" t="e">
        <f t="shared" ca="1" si="167"/>
        <v>#VALUE!</v>
      </c>
      <c r="M319" t="e">
        <f t="shared" ca="1" si="140"/>
        <v>#VALUE!</v>
      </c>
      <c r="N319" t="e">
        <f t="shared" ca="1" si="141"/>
        <v>#VALUE!</v>
      </c>
      <c r="O319" t="e">
        <f t="shared" ca="1" si="142"/>
        <v>#VALUE!</v>
      </c>
      <c r="P319" t="e">
        <f t="shared" ca="1" si="143"/>
        <v>#VALUE!</v>
      </c>
      <c r="Q319" t="e">
        <f t="shared" ca="1" si="144"/>
        <v>#VALUE!</v>
      </c>
      <c r="R319" t="e">
        <f t="shared" ca="1" si="145"/>
        <v>#VALUE!</v>
      </c>
      <c r="S319" t="e">
        <f t="shared" ca="1" si="146"/>
        <v>#VALUE!</v>
      </c>
      <c r="T319" t="e">
        <f t="shared" ca="1" si="147"/>
        <v>#VALUE!</v>
      </c>
      <c r="U319" t="e">
        <f t="shared" ca="1" si="168"/>
        <v>#VALUE!</v>
      </c>
      <c r="V319" t="e">
        <f t="shared" ca="1" si="169"/>
        <v>#VALUE!</v>
      </c>
      <c r="W319" t="e">
        <f t="shared" ca="1" si="148"/>
        <v>#VALUE!</v>
      </c>
      <c r="X319" t="e">
        <f t="shared" ca="1" si="149"/>
        <v>#VALUE!</v>
      </c>
      <c r="Y319" t="e">
        <f t="shared" ca="1" si="150"/>
        <v>#VALUE!</v>
      </c>
      <c r="Z319" t="e">
        <f t="shared" ca="1" si="151"/>
        <v>#VALUE!</v>
      </c>
      <c r="AA319" t="e">
        <f t="shared" ca="1" si="152"/>
        <v>#VALUE!</v>
      </c>
      <c r="AB319" t="e">
        <f t="shared" ca="1" si="153"/>
        <v>#VALUE!</v>
      </c>
      <c r="AC319" t="e">
        <f t="shared" ca="1" si="154"/>
        <v>#VALUE!</v>
      </c>
      <c r="AD319" t="e">
        <f t="shared" ca="1" si="155"/>
        <v>#VALUE!</v>
      </c>
      <c r="AE319" t="e">
        <f t="shared" ca="1" si="156"/>
        <v>#VALUE!</v>
      </c>
      <c r="AF319" t="e">
        <f t="shared" ca="1" si="157"/>
        <v>#VALUE!</v>
      </c>
      <c r="AG319" t="e">
        <f t="shared" ca="1" si="158"/>
        <v>#VALUE!</v>
      </c>
      <c r="AH319" t="e">
        <f ca="1">IF(V32="Supercritical",L319,IF(V32="Subcritical",W319,IF(AND(V319=1,AG319=1),IF(T319&gt;=AE319,L319,W319),IF(V319=1,L319,IF(AG319=1,W319,MAX($D$16,POWER((ABS(K319)^2)/($I$5*MAX(F319,0.1)^2),1/3)))))))</f>
        <v>#VALUE!</v>
      </c>
      <c r="AI319" t="e">
        <f t="shared" ca="1" si="159"/>
        <v>#VALUE!</v>
      </c>
      <c r="AJ319" t="e">
        <f t="shared" ca="1" si="160"/>
        <v>#VALUE!</v>
      </c>
      <c r="AM319">
        <v>0</v>
      </c>
      <c r="AN319">
        <v>0</v>
      </c>
      <c r="AO319">
        <f t="shared" si="161"/>
        <v>0</v>
      </c>
      <c r="AP319">
        <f t="shared" si="170"/>
        <v>0</v>
      </c>
      <c r="AQ319" t="e">
        <f t="shared" ca="1" si="162"/>
        <v>#VALUE!</v>
      </c>
      <c r="AR319" t="e">
        <f t="shared" ca="1" si="163"/>
        <v>#VALUE!</v>
      </c>
      <c r="AS319" t="e">
        <f t="shared" ca="1" si="164"/>
        <v>#VALUE!</v>
      </c>
    </row>
    <row r="320" spans="1:45" x14ac:dyDescent="0.35">
      <c r="A320">
        <v>171</v>
      </c>
      <c r="B320">
        <v>169.94800000000001</v>
      </c>
      <c r="C320">
        <v>616413.90899999999</v>
      </c>
      <c r="D320">
        <v>3097692.6329999999</v>
      </c>
      <c r="E320">
        <v>632.47699999999998</v>
      </c>
      <c r="F320">
        <v>5.2</v>
      </c>
      <c r="G320">
        <v>0</v>
      </c>
      <c r="H320" t="s">
        <v>191</v>
      </c>
      <c r="I320">
        <v>5.7000000000000002E-2</v>
      </c>
      <c r="J320">
        <f t="shared" si="165"/>
        <v>1</v>
      </c>
      <c r="K320">
        <f t="shared" si="166"/>
        <v>51</v>
      </c>
      <c r="L320" t="e">
        <f t="shared" ca="1" si="167"/>
        <v>#VALUE!</v>
      </c>
      <c r="M320" t="e">
        <f t="shared" ca="1" si="140"/>
        <v>#VALUE!</v>
      </c>
      <c r="N320" t="e">
        <f t="shared" ca="1" si="141"/>
        <v>#VALUE!</v>
      </c>
      <c r="O320" t="e">
        <f t="shared" ca="1" si="142"/>
        <v>#VALUE!</v>
      </c>
      <c r="P320" t="e">
        <f t="shared" ca="1" si="143"/>
        <v>#VALUE!</v>
      </c>
      <c r="Q320" t="e">
        <f t="shared" ca="1" si="144"/>
        <v>#VALUE!</v>
      </c>
      <c r="R320" t="e">
        <f t="shared" ca="1" si="145"/>
        <v>#VALUE!</v>
      </c>
      <c r="S320" t="e">
        <f t="shared" ca="1" si="146"/>
        <v>#VALUE!</v>
      </c>
      <c r="T320" t="e">
        <f t="shared" ca="1" si="147"/>
        <v>#VALUE!</v>
      </c>
      <c r="U320" t="e">
        <f t="shared" ca="1" si="168"/>
        <v>#VALUE!</v>
      </c>
      <c r="V320" t="e">
        <f t="shared" ca="1" si="169"/>
        <v>#VALUE!</v>
      </c>
      <c r="W320" t="e">
        <f t="shared" ca="1" si="148"/>
        <v>#VALUE!</v>
      </c>
      <c r="X320" t="e">
        <f t="shared" ca="1" si="149"/>
        <v>#VALUE!</v>
      </c>
      <c r="Y320" t="e">
        <f t="shared" ca="1" si="150"/>
        <v>#VALUE!</v>
      </c>
      <c r="Z320" t="e">
        <f t="shared" ca="1" si="151"/>
        <v>#VALUE!</v>
      </c>
      <c r="AA320" t="e">
        <f t="shared" ca="1" si="152"/>
        <v>#VALUE!</v>
      </c>
      <c r="AB320" t="e">
        <f t="shared" ca="1" si="153"/>
        <v>#VALUE!</v>
      </c>
      <c r="AC320" t="e">
        <f t="shared" ca="1" si="154"/>
        <v>#VALUE!</v>
      </c>
      <c r="AD320" t="e">
        <f t="shared" ca="1" si="155"/>
        <v>#VALUE!</v>
      </c>
      <c r="AE320" t="e">
        <f t="shared" ca="1" si="156"/>
        <v>#VALUE!</v>
      </c>
      <c r="AF320" t="e">
        <f t="shared" ca="1" si="157"/>
        <v>#VALUE!</v>
      </c>
      <c r="AG320" t="e">
        <f t="shared" ca="1" si="158"/>
        <v>#VALUE!</v>
      </c>
      <c r="AH320" t="e">
        <f ca="1">IF(V32="Supercritical",L320,IF(V32="Subcritical",W320,IF(AND(V320=1,AG320=1),IF(T320&gt;=AE320,L320,W320),IF(V320=1,L320,IF(AG320=1,W320,MAX($D$16,POWER((ABS(K320)^2)/($I$5*MAX(F320,0.1)^2),1/3)))))))</f>
        <v>#VALUE!</v>
      </c>
      <c r="AI320" t="e">
        <f t="shared" ca="1" si="159"/>
        <v>#VALUE!</v>
      </c>
      <c r="AJ320" t="e">
        <f t="shared" ca="1" si="160"/>
        <v>#VALUE!</v>
      </c>
      <c r="AM320">
        <v>0</v>
      </c>
      <c r="AN320">
        <v>0</v>
      </c>
      <c r="AO320">
        <f t="shared" si="161"/>
        <v>0</v>
      </c>
      <c r="AP320">
        <f t="shared" si="170"/>
        <v>0</v>
      </c>
      <c r="AQ320" t="e">
        <f t="shared" ca="1" si="162"/>
        <v>#VALUE!</v>
      </c>
      <c r="AR320" t="e">
        <f t="shared" ca="1" si="163"/>
        <v>#VALUE!</v>
      </c>
      <c r="AS320" t="e">
        <f t="shared" ca="1" si="164"/>
        <v>#VALUE!</v>
      </c>
    </row>
    <row r="321" spans="1:45" x14ac:dyDescent="0.35">
      <c r="A321">
        <v>172</v>
      </c>
      <c r="B321">
        <v>170.94900000000001</v>
      </c>
      <c r="C321">
        <v>616412.91</v>
      </c>
      <c r="D321">
        <v>3097692.5860000001</v>
      </c>
      <c r="E321">
        <v>632.47649999999999</v>
      </c>
      <c r="F321">
        <v>5.2</v>
      </c>
      <c r="G321">
        <v>0</v>
      </c>
      <c r="H321" t="s">
        <v>191</v>
      </c>
      <c r="I321">
        <v>0.06</v>
      </c>
      <c r="J321">
        <f t="shared" si="165"/>
        <v>1.0010000000000048</v>
      </c>
      <c r="K321">
        <f t="shared" si="166"/>
        <v>51</v>
      </c>
      <c r="L321" t="e">
        <f t="shared" ca="1" si="167"/>
        <v>#VALUE!</v>
      </c>
      <c r="M321" t="e">
        <f t="shared" ca="1" si="140"/>
        <v>#VALUE!</v>
      </c>
      <c r="N321" t="e">
        <f t="shared" ca="1" si="141"/>
        <v>#VALUE!</v>
      </c>
      <c r="O321" t="e">
        <f t="shared" ca="1" si="142"/>
        <v>#VALUE!</v>
      </c>
      <c r="P321" t="e">
        <f t="shared" ca="1" si="143"/>
        <v>#VALUE!</v>
      </c>
      <c r="Q321" t="e">
        <f t="shared" ca="1" si="144"/>
        <v>#VALUE!</v>
      </c>
      <c r="R321" t="e">
        <f t="shared" ca="1" si="145"/>
        <v>#VALUE!</v>
      </c>
      <c r="S321" t="e">
        <f t="shared" ca="1" si="146"/>
        <v>#VALUE!</v>
      </c>
      <c r="T321" t="e">
        <f t="shared" ca="1" si="147"/>
        <v>#VALUE!</v>
      </c>
      <c r="U321" t="e">
        <f t="shared" ca="1" si="168"/>
        <v>#VALUE!</v>
      </c>
      <c r="V321" t="e">
        <f t="shared" ca="1" si="169"/>
        <v>#VALUE!</v>
      </c>
      <c r="W321" t="e">
        <f t="shared" ca="1" si="148"/>
        <v>#VALUE!</v>
      </c>
      <c r="X321" t="e">
        <f t="shared" ca="1" si="149"/>
        <v>#VALUE!</v>
      </c>
      <c r="Y321" t="e">
        <f t="shared" ca="1" si="150"/>
        <v>#VALUE!</v>
      </c>
      <c r="Z321" t="e">
        <f t="shared" ca="1" si="151"/>
        <v>#VALUE!</v>
      </c>
      <c r="AA321" t="e">
        <f t="shared" ca="1" si="152"/>
        <v>#VALUE!</v>
      </c>
      <c r="AB321" t="e">
        <f t="shared" ca="1" si="153"/>
        <v>#VALUE!</v>
      </c>
      <c r="AC321" t="e">
        <f t="shared" ca="1" si="154"/>
        <v>#VALUE!</v>
      </c>
      <c r="AD321" t="e">
        <f t="shared" ca="1" si="155"/>
        <v>#VALUE!</v>
      </c>
      <c r="AE321" t="e">
        <f t="shared" ca="1" si="156"/>
        <v>#VALUE!</v>
      </c>
      <c r="AF321" t="e">
        <f t="shared" ca="1" si="157"/>
        <v>#VALUE!</v>
      </c>
      <c r="AG321" t="e">
        <f t="shared" ca="1" si="158"/>
        <v>#VALUE!</v>
      </c>
      <c r="AH321" t="e">
        <f ca="1">IF(V32="Supercritical",L321,IF(V32="Subcritical",W321,IF(AND(V321=1,AG321=1),IF(T321&gt;=AE321,L321,W321),IF(V321=1,L321,IF(AG321=1,W321,MAX($D$16,POWER((ABS(K321)^2)/($I$5*MAX(F321,0.1)^2),1/3)))))))</f>
        <v>#VALUE!</v>
      </c>
      <c r="AI321" t="e">
        <f t="shared" ca="1" si="159"/>
        <v>#VALUE!</v>
      </c>
      <c r="AJ321" t="e">
        <f t="shared" ca="1" si="160"/>
        <v>#VALUE!</v>
      </c>
      <c r="AM321">
        <v>0</v>
      </c>
      <c r="AN321">
        <v>0</v>
      </c>
      <c r="AO321">
        <f t="shared" si="161"/>
        <v>0</v>
      </c>
      <c r="AP321">
        <f t="shared" si="170"/>
        <v>0</v>
      </c>
      <c r="AQ321" t="e">
        <f t="shared" ca="1" si="162"/>
        <v>#VALUE!</v>
      </c>
      <c r="AR321" t="e">
        <f t="shared" ca="1" si="163"/>
        <v>#VALUE!</v>
      </c>
      <c r="AS321" t="e">
        <f t="shared" ca="1" si="164"/>
        <v>#VALUE!</v>
      </c>
    </row>
    <row r="322" spans="1:45" x14ac:dyDescent="0.35">
      <c r="A322">
        <v>173</v>
      </c>
      <c r="B322">
        <v>171.94800000000001</v>
      </c>
      <c r="C322">
        <v>616411.91200000001</v>
      </c>
      <c r="D322">
        <v>3097692.5380000002</v>
      </c>
      <c r="E322">
        <v>632.476</v>
      </c>
      <c r="F322">
        <v>5.2</v>
      </c>
      <c r="G322">
        <v>0</v>
      </c>
      <c r="H322" t="s">
        <v>191</v>
      </c>
      <c r="I322">
        <v>0.06</v>
      </c>
      <c r="J322">
        <f t="shared" si="165"/>
        <v>0.99899999999999523</v>
      </c>
      <c r="K322">
        <f t="shared" si="166"/>
        <v>51</v>
      </c>
      <c r="L322" t="e">
        <f t="shared" ca="1" si="167"/>
        <v>#VALUE!</v>
      </c>
      <c r="M322" t="e">
        <f t="shared" ca="1" si="140"/>
        <v>#VALUE!</v>
      </c>
      <c r="N322" t="e">
        <f t="shared" ca="1" si="141"/>
        <v>#VALUE!</v>
      </c>
      <c r="O322" t="e">
        <f t="shared" ca="1" si="142"/>
        <v>#VALUE!</v>
      </c>
      <c r="P322" t="e">
        <f t="shared" ca="1" si="143"/>
        <v>#VALUE!</v>
      </c>
      <c r="Q322" t="e">
        <f t="shared" ca="1" si="144"/>
        <v>#VALUE!</v>
      </c>
      <c r="R322" t="e">
        <f t="shared" ca="1" si="145"/>
        <v>#VALUE!</v>
      </c>
      <c r="S322" t="e">
        <f t="shared" ca="1" si="146"/>
        <v>#VALUE!</v>
      </c>
      <c r="T322" t="e">
        <f t="shared" ca="1" si="147"/>
        <v>#VALUE!</v>
      </c>
      <c r="U322" t="e">
        <f t="shared" ca="1" si="168"/>
        <v>#VALUE!</v>
      </c>
      <c r="V322" t="e">
        <f t="shared" ca="1" si="169"/>
        <v>#VALUE!</v>
      </c>
      <c r="W322" t="e">
        <f t="shared" ca="1" si="148"/>
        <v>#VALUE!</v>
      </c>
      <c r="X322" t="e">
        <f t="shared" ca="1" si="149"/>
        <v>#VALUE!</v>
      </c>
      <c r="Y322" t="e">
        <f t="shared" ca="1" si="150"/>
        <v>#VALUE!</v>
      </c>
      <c r="Z322" t="e">
        <f t="shared" ca="1" si="151"/>
        <v>#VALUE!</v>
      </c>
      <c r="AA322" t="e">
        <f t="shared" ca="1" si="152"/>
        <v>#VALUE!</v>
      </c>
      <c r="AB322" t="e">
        <f t="shared" ca="1" si="153"/>
        <v>#VALUE!</v>
      </c>
      <c r="AC322" t="e">
        <f t="shared" ca="1" si="154"/>
        <v>#VALUE!</v>
      </c>
      <c r="AD322" t="e">
        <f t="shared" ca="1" si="155"/>
        <v>#VALUE!</v>
      </c>
      <c r="AE322" t="e">
        <f t="shared" ca="1" si="156"/>
        <v>#VALUE!</v>
      </c>
      <c r="AF322" t="e">
        <f t="shared" ca="1" si="157"/>
        <v>#VALUE!</v>
      </c>
      <c r="AG322" t="e">
        <f t="shared" ca="1" si="158"/>
        <v>#VALUE!</v>
      </c>
      <c r="AH322" t="e">
        <f ca="1">IF(V32="Supercritical",L322,IF(V32="Subcritical",W322,IF(AND(V322=1,AG322=1),IF(T322&gt;=AE322,L322,W322),IF(V322=1,L322,IF(AG322=1,W322,MAX($D$16,POWER((ABS(K322)^2)/($I$5*MAX(F322,0.1)^2),1/3)))))))</f>
        <v>#VALUE!</v>
      </c>
      <c r="AI322" t="e">
        <f t="shared" ca="1" si="159"/>
        <v>#VALUE!</v>
      </c>
      <c r="AJ322" t="e">
        <f t="shared" ca="1" si="160"/>
        <v>#VALUE!</v>
      </c>
      <c r="AM322">
        <v>0</v>
      </c>
      <c r="AN322">
        <v>0</v>
      </c>
      <c r="AO322">
        <f t="shared" si="161"/>
        <v>0</v>
      </c>
      <c r="AP322">
        <f t="shared" si="170"/>
        <v>0</v>
      </c>
      <c r="AQ322" t="e">
        <f t="shared" ca="1" si="162"/>
        <v>#VALUE!</v>
      </c>
      <c r="AR322" t="e">
        <f t="shared" ca="1" si="163"/>
        <v>#VALUE!</v>
      </c>
      <c r="AS322" t="e">
        <f t="shared" ca="1" si="164"/>
        <v>#VALUE!</v>
      </c>
    </row>
    <row r="323" spans="1:45" x14ac:dyDescent="0.35">
      <c r="A323">
        <v>174</v>
      </c>
      <c r="B323">
        <v>172.94800000000001</v>
      </c>
      <c r="C323">
        <v>616410.91299999994</v>
      </c>
      <c r="D323">
        <v>3097692.4909999999</v>
      </c>
      <c r="E323">
        <v>632.47550000000001</v>
      </c>
      <c r="F323">
        <v>5.2</v>
      </c>
      <c r="G323">
        <v>0</v>
      </c>
      <c r="H323" t="s">
        <v>191</v>
      </c>
      <c r="I323">
        <v>5.7000000000000002E-2</v>
      </c>
      <c r="J323">
        <f t="shared" si="165"/>
        <v>1</v>
      </c>
      <c r="K323">
        <f t="shared" si="166"/>
        <v>51</v>
      </c>
      <c r="L323" t="e">
        <f t="shared" ca="1" si="167"/>
        <v>#VALUE!</v>
      </c>
      <c r="M323" t="e">
        <f t="shared" ca="1" si="140"/>
        <v>#VALUE!</v>
      </c>
      <c r="N323" t="e">
        <f t="shared" ca="1" si="141"/>
        <v>#VALUE!</v>
      </c>
      <c r="O323" t="e">
        <f t="shared" ca="1" si="142"/>
        <v>#VALUE!</v>
      </c>
      <c r="P323" t="e">
        <f t="shared" ca="1" si="143"/>
        <v>#VALUE!</v>
      </c>
      <c r="Q323" t="e">
        <f t="shared" ca="1" si="144"/>
        <v>#VALUE!</v>
      </c>
      <c r="R323" t="e">
        <f t="shared" ca="1" si="145"/>
        <v>#VALUE!</v>
      </c>
      <c r="S323" t="e">
        <f t="shared" ca="1" si="146"/>
        <v>#VALUE!</v>
      </c>
      <c r="T323" t="e">
        <f t="shared" ca="1" si="147"/>
        <v>#VALUE!</v>
      </c>
      <c r="U323" t="e">
        <f t="shared" ca="1" si="168"/>
        <v>#VALUE!</v>
      </c>
      <c r="V323" t="e">
        <f t="shared" ca="1" si="169"/>
        <v>#VALUE!</v>
      </c>
      <c r="W323" t="e">
        <f t="shared" ca="1" si="148"/>
        <v>#VALUE!</v>
      </c>
      <c r="X323" t="e">
        <f t="shared" ca="1" si="149"/>
        <v>#VALUE!</v>
      </c>
      <c r="Y323" t="e">
        <f t="shared" ca="1" si="150"/>
        <v>#VALUE!</v>
      </c>
      <c r="Z323" t="e">
        <f t="shared" ca="1" si="151"/>
        <v>#VALUE!</v>
      </c>
      <c r="AA323" t="e">
        <f t="shared" ca="1" si="152"/>
        <v>#VALUE!</v>
      </c>
      <c r="AB323" t="e">
        <f t="shared" ca="1" si="153"/>
        <v>#VALUE!</v>
      </c>
      <c r="AC323" t="e">
        <f t="shared" ca="1" si="154"/>
        <v>#VALUE!</v>
      </c>
      <c r="AD323" t="e">
        <f t="shared" ca="1" si="155"/>
        <v>#VALUE!</v>
      </c>
      <c r="AE323" t="e">
        <f t="shared" ca="1" si="156"/>
        <v>#VALUE!</v>
      </c>
      <c r="AF323" t="e">
        <f t="shared" ca="1" si="157"/>
        <v>#VALUE!</v>
      </c>
      <c r="AG323" t="e">
        <f t="shared" ca="1" si="158"/>
        <v>#VALUE!</v>
      </c>
      <c r="AH323" t="e">
        <f ca="1">IF(V32="Supercritical",L323,IF(V32="Subcritical",W323,IF(AND(V323=1,AG323=1),IF(T323&gt;=AE323,L323,W323),IF(V323=1,L323,IF(AG323=1,W323,MAX($D$16,POWER((ABS(K323)^2)/($I$5*MAX(F323,0.1)^2),1/3)))))))</f>
        <v>#VALUE!</v>
      </c>
      <c r="AI323" t="e">
        <f t="shared" ca="1" si="159"/>
        <v>#VALUE!</v>
      </c>
      <c r="AJ323" t="e">
        <f t="shared" ca="1" si="160"/>
        <v>#VALUE!</v>
      </c>
      <c r="AM323">
        <v>0</v>
      </c>
      <c r="AN323">
        <v>0</v>
      </c>
      <c r="AO323">
        <f t="shared" si="161"/>
        <v>0</v>
      </c>
      <c r="AP323">
        <f t="shared" si="170"/>
        <v>0</v>
      </c>
      <c r="AQ323" t="e">
        <f t="shared" ca="1" si="162"/>
        <v>#VALUE!</v>
      </c>
      <c r="AR323" t="e">
        <f t="shared" ca="1" si="163"/>
        <v>#VALUE!</v>
      </c>
      <c r="AS323" t="e">
        <f t="shared" ca="1" si="164"/>
        <v>#VALUE!</v>
      </c>
    </row>
    <row r="324" spans="1:45" x14ac:dyDescent="0.35">
      <c r="A324">
        <v>175</v>
      </c>
      <c r="B324">
        <v>173.94800000000001</v>
      </c>
      <c r="C324">
        <v>616409.91399999999</v>
      </c>
      <c r="D324">
        <v>3097692.443</v>
      </c>
      <c r="E324">
        <v>632.47500000000002</v>
      </c>
      <c r="F324">
        <v>5.2</v>
      </c>
      <c r="G324">
        <v>0</v>
      </c>
      <c r="H324" t="s">
        <v>191</v>
      </c>
      <c r="I324">
        <v>0</v>
      </c>
      <c r="J324">
        <f t="shared" si="165"/>
        <v>1</v>
      </c>
      <c r="K324">
        <f t="shared" si="166"/>
        <v>51</v>
      </c>
      <c r="L324" t="e">
        <f t="shared" ca="1" si="167"/>
        <v>#VALUE!</v>
      </c>
      <c r="M324" t="e">
        <f t="shared" ca="1" si="140"/>
        <v>#VALUE!</v>
      </c>
      <c r="N324" t="e">
        <f t="shared" ca="1" si="141"/>
        <v>#VALUE!</v>
      </c>
      <c r="O324" t="e">
        <f t="shared" ca="1" si="142"/>
        <v>#VALUE!</v>
      </c>
      <c r="P324" t="e">
        <f t="shared" ca="1" si="143"/>
        <v>#VALUE!</v>
      </c>
      <c r="Q324" t="e">
        <f t="shared" ca="1" si="144"/>
        <v>#VALUE!</v>
      </c>
      <c r="R324" t="e">
        <f t="shared" ca="1" si="145"/>
        <v>#VALUE!</v>
      </c>
      <c r="S324" t="e">
        <f t="shared" ca="1" si="146"/>
        <v>#VALUE!</v>
      </c>
      <c r="T324" t="e">
        <f t="shared" ca="1" si="147"/>
        <v>#VALUE!</v>
      </c>
      <c r="U324" t="e">
        <f t="shared" ca="1" si="168"/>
        <v>#VALUE!</v>
      </c>
      <c r="V324" t="e">
        <f t="shared" ca="1" si="169"/>
        <v>#VALUE!</v>
      </c>
      <c r="W324" t="e">
        <f t="shared" ca="1" si="148"/>
        <v>#VALUE!</v>
      </c>
      <c r="X324" t="e">
        <f t="shared" ca="1" si="149"/>
        <v>#VALUE!</v>
      </c>
      <c r="Y324" t="e">
        <f t="shared" ca="1" si="150"/>
        <v>#VALUE!</v>
      </c>
      <c r="Z324" t="e">
        <f t="shared" ca="1" si="151"/>
        <v>#VALUE!</v>
      </c>
      <c r="AA324" t="e">
        <f t="shared" ca="1" si="152"/>
        <v>#VALUE!</v>
      </c>
      <c r="AB324" t="e">
        <f t="shared" ca="1" si="153"/>
        <v>#VALUE!</v>
      </c>
      <c r="AC324" t="e">
        <f t="shared" ca="1" si="154"/>
        <v>#VALUE!</v>
      </c>
      <c r="AD324" t="e">
        <f t="shared" ca="1" si="155"/>
        <v>#VALUE!</v>
      </c>
      <c r="AE324" t="e">
        <f t="shared" ca="1" si="156"/>
        <v>#VALUE!</v>
      </c>
      <c r="AF324" t="e">
        <f t="shared" ca="1" si="157"/>
        <v>#VALUE!</v>
      </c>
      <c r="AG324" t="e">
        <f t="shared" ca="1" si="158"/>
        <v>#VALUE!</v>
      </c>
      <c r="AH324" t="e">
        <f ca="1">IF(V32="Supercritical",L324,IF(V32="Subcritical",W324,IF(AND(V324=1,AG324=1),IF(T324&gt;=AE324,L324,W324),IF(V324=1,L324,IF(AG324=1,W324,MAX($D$16,POWER((ABS(K324)^2)/($I$5*MAX(F324,0.1)^2),1/3)))))))</f>
        <v>#VALUE!</v>
      </c>
      <c r="AI324" t="e">
        <f t="shared" ca="1" si="159"/>
        <v>#VALUE!</v>
      </c>
      <c r="AJ324" t="e">
        <f t="shared" ca="1" si="160"/>
        <v>#VALUE!</v>
      </c>
      <c r="AM324">
        <v>0</v>
      </c>
      <c r="AN324">
        <v>0</v>
      </c>
      <c r="AO324">
        <f t="shared" si="161"/>
        <v>0</v>
      </c>
      <c r="AP324">
        <f t="shared" si="170"/>
        <v>0</v>
      </c>
      <c r="AQ324" t="e">
        <f t="shared" ca="1" si="162"/>
        <v>#VALUE!</v>
      </c>
      <c r="AR324" t="e">
        <f t="shared" ca="1" si="163"/>
        <v>#VALUE!</v>
      </c>
      <c r="AS324" t="e">
        <f t="shared" ca="1" si="164"/>
        <v>#VALUE!</v>
      </c>
    </row>
    <row r="325" spans="1:45" x14ac:dyDescent="0.35">
      <c r="A325">
        <v>176</v>
      </c>
      <c r="B325">
        <v>174.94800000000001</v>
      </c>
      <c r="C325">
        <v>616408.91500000004</v>
      </c>
      <c r="D325">
        <v>3097692.395</v>
      </c>
      <c r="E325">
        <v>632.47450000000003</v>
      </c>
      <c r="F325">
        <v>5.2</v>
      </c>
      <c r="G325">
        <v>0</v>
      </c>
      <c r="H325" t="s">
        <v>191</v>
      </c>
      <c r="I325">
        <v>5.7000000000000002E-2</v>
      </c>
      <c r="J325">
        <f t="shared" si="165"/>
        <v>1</v>
      </c>
      <c r="K325">
        <f t="shared" si="166"/>
        <v>51</v>
      </c>
      <c r="L325" t="e">
        <f t="shared" ca="1" si="167"/>
        <v>#VALUE!</v>
      </c>
      <c r="M325" t="e">
        <f t="shared" ca="1" si="140"/>
        <v>#VALUE!</v>
      </c>
      <c r="N325" t="e">
        <f t="shared" ca="1" si="141"/>
        <v>#VALUE!</v>
      </c>
      <c r="O325" t="e">
        <f t="shared" ca="1" si="142"/>
        <v>#VALUE!</v>
      </c>
      <c r="P325" t="e">
        <f t="shared" ca="1" si="143"/>
        <v>#VALUE!</v>
      </c>
      <c r="Q325" t="e">
        <f t="shared" ca="1" si="144"/>
        <v>#VALUE!</v>
      </c>
      <c r="R325" t="e">
        <f t="shared" ca="1" si="145"/>
        <v>#VALUE!</v>
      </c>
      <c r="S325" t="e">
        <f t="shared" ca="1" si="146"/>
        <v>#VALUE!</v>
      </c>
      <c r="T325" t="e">
        <f t="shared" ca="1" si="147"/>
        <v>#VALUE!</v>
      </c>
      <c r="U325" t="e">
        <f t="shared" ca="1" si="168"/>
        <v>#VALUE!</v>
      </c>
      <c r="V325" t="e">
        <f t="shared" ca="1" si="169"/>
        <v>#VALUE!</v>
      </c>
      <c r="W325" t="e">
        <f t="shared" ca="1" si="148"/>
        <v>#VALUE!</v>
      </c>
      <c r="X325" t="e">
        <f t="shared" ca="1" si="149"/>
        <v>#VALUE!</v>
      </c>
      <c r="Y325" t="e">
        <f t="shared" ca="1" si="150"/>
        <v>#VALUE!</v>
      </c>
      <c r="Z325" t="e">
        <f t="shared" ca="1" si="151"/>
        <v>#VALUE!</v>
      </c>
      <c r="AA325" t="e">
        <f t="shared" ca="1" si="152"/>
        <v>#VALUE!</v>
      </c>
      <c r="AB325" t="e">
        <f t="shared" ca="1" si="153"/>
        <v>#VALUE!</v>
      </c>
      <c r="AC325" t="e">
        <f t="shared" ca="1" si="154"/>
        <v>#VALUE!</v>
      </c>
      <c r="AD325" t="e">
        <f t="shared" ca="1" si="155"/>
        <v>#VALUE!</v>
      </c>
      <c r="AE325" t="e">
        <f t="shared" ca="1" si="156"/>
        <v>#VALUE!</v>
      </c>
      <c r="AF325" t="e">
        <f t="shared" ca="1" si="157"/>
        <v>#VALUE!</v>
      </c>
      <c r="AG325" t="e">
        <f t="shared" ca="1" si="158"/>
        <v>#VALUE!</v>
      </c>
      <c r="AH325" t="e">
        <f ca="1">IF(V32="Supercritical",L325,IF(V32="Subcritical",W325,IF(AND(V325=1,AG325=1),IF(T325&gt;=AE325,L325,W325),IF(V325=1,L325,IF(AG325=1,W325,MAX($D$16,POWER((ABS(K325)^2)/($I$5*MAX(F325,0.1)^2),1/3)))))))</f>
        <v>#VALUE!</v>
      </c>
      <c r="AI325" t="e">
        <f t="shared" ca="1" si="159"/>
        <v>#VALUE!</v>
      </c>
      <c r="AJ325" t="e">
        <f t="shared" ca="1" si="160"/>
        <v>#VALUE!</v>
      </c>
      <c r="AM325">
        <v>0</v>
      </c>
      <c r="AN325">
        <v>0</v>
      </c>
      <c r="AO325">
        <f t="shared" si="161"/>
        <v>0</v>
      </c>
      <c r="AP325">
        <f t="shared" si="170"/>
        <v>0</v>
      </c>
      <c r="AQ325" t="e">
        <f t="shared" ca="1" si="162"/>
        <v>#VALUE!</v>
      </c>
      <c r="AR325" t="e">
        <f t="shared" ca="1" si="163"/>
        <v>#VALUE!</v>
      </c>
      <c r="AS325" t="e">
        <f t="shared" ca="1" si="164"/>
        <v>#VALUE!</v>
      </c>
    </row>
    <row r="326" spans="1:45" x14ac:dyDescent="0.35">
      <c r="A326">
        <v>177</v>
      </c>
      <c r="B326">
        <v>175.94800000000001</v>
      </c>
      <c r="C326">
        <v>616407.91599999997</v>
      </c>
      <c r="D326">
        <v>3097692.3480000002</v>
      </c>
      <c r="E326">
        <v>632.47400000000005</v>
      </c>
      <c r="F326">
        <v>5.2</v>
      </c>
      <c r="G326">
        <v>0</v>
      </c>
      <c r="H326" t="s">
        <v>191</v>
      </c>
      <c r="I326">
        <v>5.7000000000000002E-2</v>
      </c>
      <c r="J326">
        <f t="shared" si="165"/>
        <v>1</v>
      </c>
      <c r="K326">
        <f t="shared" si="166"/>
        <v>51</v>
      </c>
      <c r="L326" t="e">
        <f t="shared" ca="1" si="167"/>
        <v>#VALUE!</v>
      </c>
      <c r="M326" t="e">
        <f t="shared" ca="1" si="140"/>
        <v>#VALUE!</v>
      </c>
      <c r="N326" t="e">
        <f t="shared" ca="1" si="141"/>
        <v>#VALUE!</v>
      </c>
      <c r="O326" t="e">
        <f t="shared" ca="1" si="142"/>
        <v>#VALUE!</v>
      </c>
      <c r="P326" t="e">
        <f t="shared" ca="1" si="143"/>
        <v>#VALUE!</v>
      </c>
      <c r="Q326" t="e">
        <f t="shared" ca="1" si="144"/>
        <v>#VALUE!</v>
      </c>
      <c r="R326" t="e">
        <f t="shared" ca="1" si="145"/>
        <v>#VALUE!</v>
      </c>
      <c r="S326" t="e">
        <f t="shared" ca="1" si="146"/>
        <v>#VALUE!</v>
      </c>
      <c r="T326" t="e">
        <f t="shared" ca="1" si="147"/>
        <v>#VALUE!</v>
      </c>
      <c r="U326" t="e">
        <f t="shared" ca="1" si="168"/>
        <v>#VALUE!</v>
      </c>
      <c r="V326" t="e">
        <f t="shared" ca="1" si="169"/>
        <v>#VALUE!</v>
      </c>
      <c r="W326" t="e">
        <f t="shared" ca="1" si="148"/>
        <v>#VALUE!</v>
      </c>
      <c r="X326" t="e">
        <f t="shared" ca="1" si="149"/>
        <v>#VALUE!</v>
      </c>
      <c r="Y326" t="e">
        <f t="shared" ca="1" si="150"/>
        <v>#VALUE!</v>
      </c>
      <c r="Z326" t="e">
        <f t="shared" ca="1" si="151"/>
        <v>#VALUE!</v>
      </c>
      <c r="AA326" t="e">
        <f t="shared" ca="1" si="152"/>
        <v>#VALUE!</v>
      </c>
      <c r="AB326" t="e">
        <f t="shared" ca="1" si="153"/>
        <v>#VALUE!</v>
      </c>
      <c r="AC326" t="e">
        <f t="shared" ca="1" si="154"/>
        <v>#VALUE!</v>
      </c>
      <c r="AD326" t="e">
        <f t="shared" ca="1" si="155"/>
        <v>#VALUE!</v>
      </c>
      <c r="AE326" t="e">
        <f t="shared" ca="1" si="156"/>
        <v>#VALUE!</v>
      </c>
      <c r="AF326" t="e">
        <f t="shared" ca="1" si="157"/>
        <v>#VALUE!</v>
      </c>
      <c r="AG326" t="e">
        <f t="shared" ca="1" si="158"/>
        <v>#VALUE!</v>
      </c>
      <c r="AH326" t="e">
        <f ca="1">IF(V32="Supercritical",L326,IF(V32="Subcritical",W326,IF(AND(V326=1,AG326=1),IF(T326&gt;=AE326,L326,W326),IF(V326=1,L326,IF(AG326=1,W326,MAX($D$16,POWER((ABS(K326)^2)/($I$5*MAX(F326,0.1)^2),1/3)))))))</f>
        <v>#VALUE!</v>
      </c>
      <c r="AI326" t="e">
        <f t="shared" ca="1" si="159"/>
        <v>#VALUE!</v>
      </c>
      <c r="AJ326" t="e">
        <f t="shared" ca="1" si="160"/>
        <v>#VALUE!</v>
      </c>
      <c r="AM326">
        <v>0</v>
      </c>
      <c r="AN326">
        <v>0</v>
      </c>
      <c r="AO326">
        <f t="shared" si="161"/>
        <v>0</v>
      </c>
      <c r="AP326">
        <f t="shared" si="170"/>
        <v>0</v>
      </c>
      <c r="AQ326" t="e">
        <f t="shared" ca="1" si="162"/>
        <v>#VALUE!</v>
      </c>
      <c r="AR326" t="e">
        <f t="shared" ca="1" si="163"/>
        <v>#VALUE!</v>
      </c>
      <c r="AS326" t="e">
        <f t="shared" ca="1" si="164"/>
        <v>#VALUE!</v>
      </c>
    </row>
    <row r="327" spans="1:45" x14ac:dyDescent="0.35">
      <c r="A327">
        <v>178</v>
      </c>
      <c r="B327">
        <v>176.94800000000001</v>
      </c>
      <c r="C327">
        <v>616406.91700000002</v>
      </c>
      <c r="D327">
        <v>3097692.3</v>
      </c>
      <c r="E327">
        <v>632.47349999999994</v>
      </c>
      <c r="F327">
        <v>5.2</v>
      </c>
      <c r="G327">
        <v>0</v>
      </c>
      <c r="H327" t="s">
        <v>191</v>
      </c>
      <c r="I327">
        <v>5.7000000000000002E-2</v>
      </c>
      <c r="J327">
        <f t="shared" si="165"/>
        <v>1</v>
      </c>
      <c r="K327">
        <f t="shared" si="166"/>
        <v>51</v>
      </c>
      <c r="L327" t="e">
        <f t="shared" ca="1" si="167"/>
        <v>#VALUE!</v>
      </c>
      <c r="M327" t="e">
        <f t="shared" ca="1" si="140"/>
        <v>#VALUE!</v>
      </c>
      <c r="N327" t="e">
        <f t="shared" ca="1" si="141"/>
        <v>#VALUE!</v>
      </c>
      <c r="O327" t="e">
        <f t="shared" ca="1" si="142"/>
        <v>#VALUE!</v>
      </c>
      <c r="P327" t="e">
        <f t="shared" ca="1" si="143"/>
        <v>#VALUE!</v>
      </c>
      <c r="Q327" t="e">
        <f t="shared" ca="1" si="144"/>
        <v>#VALUE!</v>
      </c>
      <c r="R327" t="e">
        <f t="shared" ca="1" si="145"/>
        <v>#VALUE!</v>
      </c>
      <c r="S327" t="e">
        <f t="shared" ca="1" si="146"/>
        <v>#VALUE!</v>
      </c>
      <c r="T327" t="e">
        <f t="shared" ca="1" si="147"/>
        <v>#VALUE!</v>
      </c>
      <c r="U327" t="e">
        <f t="shared" ca="1" si="168"/>
        <v>#VALUE!</v>
      </c>
      <c r="V327" t="e">
        <f t="shared" ca="1" si="169"/>
        <v>#VALUE!</v>
      </c>
      <c r="W327" t="e">
        <f t="shared" ca="1" si="148"/>
        <v>#VALUE!</v>
      </c>
      <c r="X327" t="e">
        <f t="shared" ca="1" si="149"/>
        <v>#VALUE!</v>
      </c>
      <c r="Y327" t="e">
        <f t="shared" ca="1" si="150"/>
        <v>#VALUE!</v>
      </c>
      <c r="Z327" t="e">
        <f t="shared" ca="1" si="151"/>
        <v>#VALUE!</v>
      </c>
      <c r="AA327" t="e">
        <f t="shared" ca="1" si="152"/>
        <v>#VALUE!</v>
      </c>
      <c r="AB327" t="e">
        <f t="shared" ca="1" si="153"/>
        <v>#VALUE!</v>
      </c>
      <c r="AC327" t="e">
        <f t="shared" ca="1" si="154"/>
        <v>#VALUE!</v>
      </c>
      <c r="AD327" t="e">
        <f t="shared" ca="1" si="155"/>
        <v>#VALUE!</v>
      </c>
      <c r="AE327" t="e">
        <f t="shared" ca="1" si="156"/>
        <v>#VALUE!</v>
      </c>
      <c r="AF327" t="e">
        <f t="shared" ca="1" si="157"/>
        <v>#VALUE!</v>
      </c>
      <c r="AG327" t="e">
        <f t="shared" ca="1" si="158"/>
        <v>#VALUE!</v>
      </c>
      <c r="AH327" t="e">
        <f ca="1">IF(V32="Supercritical",L327,IF(V32="Subcritical",W327,IF(AND(V327=1,AG327=1),IF(T327&gt;=AE327,L327,W327),IF(V327=1,L327,IF(AG327=1,W327,MAX($D$16,POWER((ABS(K327)^2)/($I$5*MAX(F327,0.1)^2),1/3)))))))</f>
        <v>#VALUE!</v>
      </c>
      <c r="AI327" t="e">
        <f t="shared" ca="1" si="159"/>
        <v>#VALUE!</v>
      </c>
      <c r="AJ327" t="e">
        <f t="shared" ca="1" si="160"/>
        <v>#VALUE!</v>
      </c>
      <c r="AM327">
        <v>0</v>
      </c>
      <c r="AN327">
        <v>0</v>
      </c>
      <c r="AO327">
        <f t="shared" si="161"/>
        <v>0</v>
      </c>
      <c r="AP327">
        <f t="shared" si="170"/>
        <v>0</v>
      </c>
      <c r="AQ327" t="e">
        <f t="shared" ca="1" si="162"/>
        <v>#VALUE!</v>
      </c>
      <c r="AR327" t="e">
        <f t="shared" ca="1" si="163"/>
        <v>#VALUE!</v>
      </c>
      <c r="AS327" t="e">
        <f t="shared" ca="1" si="164"/>
        <v>#VALUE!</v>
      </c>
    </row>
    <row r="328" spans="1:45" x14ac:dyDescent="0.35">
      <c r="A328">
        <v>179</v>
      </c>
      <c r="B328">
        <v>177.94900000000001</v>
      </c>
      <c r="C328">
        <v>616405.91799999995</v>
      </c>
      <c r="D328">
        <v>3097692.253</v>
      </c>
      <c r="E328">
        <v>632.47299999999996</v>
      </c>
      <c r="F328">
        <v>5.2</v>
      </c>
      <c r="G328">
        <v>0</v>
      </c>
      <c r="H328" t="s">
        <v>191</v>
      </c>
      <c r="I328">
        <v>5.7000000000000002E-2</v>
      </c>
      <c r="J328">
        <f t="shared" si="165"/>
        <v>1.0010000000000048</v>
      </c>
      <c r="K328">
        <f t="shared" si="166"/>
        <v>51</v>
      </c>
      <c r="L328" t="e">
        <f t="shared" ca="1" si="167"/>
        <v>#VALUE!</v>
      </c>
      <c r="M328" t="e">
        <f t="shared" ca="1" si="140"/>
        <v>#VALUE!</v>
      </c>
      <c r="N328" t="e">
        <f t="shared" ca="1" si="141"/>
        <v>#VALUE!</v>
      </c>
      <c r="O328" t="e">
        <f t="shared" ca="1" si="142"/>
        <v>#VALUE!</v>
      </c>
      <c r="P328" t="e">
        <f t="shared" ca="1" si="143"/>
        <v>#VALUE!</v>
      </c>
      <c r="Q328" t="e">
        <f t="shared" ca="1" si="144"/>
        <v>#VALUE!</v>
      </c>
      <c r="R328" t="e">
        <f t="shared" ca="1" si="145"/>
        <v>#VALUE!</v>
      </c>
      <c r="S328" t="e">
        <f t="shared" ca="1" si="146"/>
        <v>#VALUE!</v>
      </c>
      <c r="T328" t="e">
        <f t="shared" ca="1" si="147"/>
        <v>#VALUE!</v>
      </c>
      <c r="U328" t="e">
        <f t="shared" ca="1" si="168"/>
        <v>#VALUE!</v>
      </c>
      <c r="V328" t="e">
        <f t="shared" ca="1" si="169"/>
        <v>#VALUE!</v>
      </c>
      <c r="W328" t="e">
        <f t="shared" ca="1" si="148"/>
        <v>#VALUE!</v>
      </c>
      <c r="X328" t="e">
        <f t="shared" ca="1" si="149"/>
        <v>#VALUE!</v>
      </c>
      <c r="Y328" t="e">
        <f t="shared" ca="1" si="150"/>
        <v>#VALUE!</v>
      </c>
      <c r="Z328" t="e">
        <f t="shared" ca="1" si="151"/>
        <v>#VALUE!</v>
      </c>
      <c r="AA328" t="e">
        <f t="shared" ca="1" si="152"/>
        <v>#VALUE!</v>
      </c>
      <c r="AB328" t="e">
        <f t="shared" ca="1" si="153"/>
        <v>#VALUE!</v>
      </c>
      <c r="AC328" t="e">
        <f t="shared" ca="1" si="154"/>
        <v>#VALUE!</v>
      </c>
      <c r="AD328" t="e">
        <f t="shared" ca="1" si="155"/>
        <v>#VALUE!</v>
      </c>
      <c r="AE328" t="e">
        <f t="shared" ca="1" si="156"/>
        <v>#VALUE!</v>
      </c>
      <c r="AF328" t="e">
        <f t="shared" ca="1" si="157"/>
        <v>#VALUE!</v>
      </c>
      <c r="AG328" t="e">
        <f t="shared" ca="1" si="158"/>
        <v>#VALUE!</v>
      </c>
      <c r="AH328" t="e">
        <f ca="1">IF(V32="Supercritical",L328,IF(V32="Subcritical",W328,IF(AND(V328=1,AG328=1),IF(T328&gt;=AE328,L328,W328),IF(V328=1,L328,IF(AG328=1,W328,MAX($D$16,POWER((ABS(K328)^2)/($I$5*MAX(F328,0.1)^2),1/3)))))))</f>
        <v>#VALUE!</v>
      </c>
      <c r="AI328" t="e">
        <f t="shared" ca="1" si="159"/>
        <v>#VALUE!</v>
      </c>
      <c r="AJ328" t="e">
        <f t="shared" ca="1" si="160"/>
        <v>#VALUE!</v>
      </c>
      <c r="AM328">
        <v>0</v>
      </c>
      <c r="AN328">
        <v>0</v>
      </c>
      <c r="AO328">
        <f t="shared" si="161"/>
        <v>0</v>
      </c>
      <c r="AP328">
        <f t="shared" si="170"/>
        <v>0</v>
      </c>
      <c r="AQ328" t="e">
        <f t="shared" ca="1" si="162"/>
        <v>#VALUE!</v>
      </c>
      <c r="AR328" t="e">
        <f t="shared" ca="1" si="163"/>
        <v>#VALUE!</v>
      </c>
      <c r="AS328" t="e">
        <f t="shared" ca="1" si="164"/>
        <v>#VALUE!</v>
      </c>
    </row>
    <row r="329" spans="1:45" x14ac:dyDescent="0.35">
      <c r="A329">
        <v>180</v>
      </c>
      <c r="B329">
        <v>178.94900000000001</v>
      </c>
      <c r="C329">
        <v>616404.91899999999</v>
      </c>
      <c r="D329">
        <v>3097692.2050000001</v>
      </c>
      <c r="E329">
        <v>632.47249999999997</v>
      </c>
      <c r="F329">
        <v>5.2</v>
      </c>
      <c r="G329">
        <v>0</v>
      </c>
      <c r="H329" t="s">
        <v>191</v>
      </c>
      <c r="I329">
        <v>3.0000000000000001E-3</v>
      </c>
      <c r="J329">
        <f t="shared" si="165"/>
        <v>1</v>
      </c>
      <c r="K329">
        <f t="shared" si="166"/>
        <v>51</v>
      </c>
      <c r="L329" t="e">
        <f t="shared" ca="1" si="167"/>
        <v>#VALUE!</v>
      </c>
      <c r="M329" t="e">
        <f t="shared" ca="1" si="140"/>
        <v>#VALUE!</v>
      </c>
      <c r="N329" t="e">
        <f t="shared" ca="1" si="141"/>
        <v>#VALUE!</v>
      </c>
      <c r="O329" t="e">
        <f t="shared" ca="1" si="142"/>
        <v>#VALUE!</v>
      </c>
      <c r="P329" t="e">
        <f t="shared" ca="1" si="143"/>
        <v>#VALUE!</v>
      </c>
      <c r="Q329" t="e">
        <f t="shared" ca="1" si="144"/>
        <v>#VALUE!</v>
      </c>
      <c r="R329" t="e">
        <f t="shared" ca="1" si="145"/>
        <v>#VALUE!</v>
      </c>
      <c r="S329" t="e">
        <f t="shared" ca="1" si="146"/>
        <v>#VALUE!</v>
      </c>
      <c r="T329" t="e">
        <f t="shared" ca="1" si="147"/>
        <v>#VALUE!</v>
      </c>
      <c r="U329" t="e">
        <f t="shared" ca="1" si="168"/>
        <v>#VALUE!</v>
      </c>
      <c r="V329" t="e">
        <f t="shared" ca="1" si="169"/>
        <v>#VALUE!</v>
      </c>
      <c r="W329" t="e">
        <f t="shared" ca="1" si="148"/>
        <v>#VALUE!</v>
      </c>
      <c r="X329" t="e">
        <f t="shared" ca="1" si="149"/>
        <v>#VALUE!</v>
      </c>
      <c r="Y329" t="e">
        <f t="shared" ca="1" si="150"/>
        <v>#VALUE!</v>
      </c>
      <c r="Z329" t="e">
        <f t="shared" ca="1" si="151"/>
        <v>#VALUE!</v>
      </c>
      <c r="AA329" t="e">
        <f t="shared" ca="1" si="152"/>
        <v>#VALUE!</v>
      </c>
      <c r="AB329" t="e">
        <f t="shared" ca="1" si="153"/>
        <v>#VALUE!</v>
      </c>
      <c r="AC329" t="e">
        <f t="shared" ca="1" si="154"/>
        <v>#VALUE!</v>
      </c>
      <c r="AD329" t="e">
        <f t="shared" ca="1" si="155"/>
        <v>#VALUE!</v>
      </c>
      <c r="AE329" t="e">
        <f t="shared" ca="1" si="156"/>
        <v>#VALUE!</v>
      </c>
      <c r="AF329" t="e">
        <f t="shared" ca="1" si="157"/>
        <v>#VALUE!</v>
      </c>
      <c r="AG329" t="e">
        <f t="shared" ca="1" si="158"/>
        <v>#VALUE!</v>
      </c>
      <c r="AH329" t="e">
        <f ca="1">IF(V32="Supercritical",L329,IF(V32="Subcritical",W329,IF(AND(V329=1,AG329=1),IF(T329&gt;=AE329,L329,W329),IF(V329=1,L329,IF(AG329=1,W329,MAX($D$16,POWER((ABS(K329)^2)/($I$5*MAX(F329,0.1)^2),1/3)))))))</f>
        <v>#VALUE!</v>
      </c>
      <c r="AI329" t="e">
        <f t="shared" ca="1" si="159"/>
        <v>#VALUE!</v>
      </c>
      <c r="AJ329" t="e">
        <f t="shared" ca="1" si="160"/>
        <v>#VALUE!</v>
      </c>
      <c r="AM329">
        <v>0</v>
      </c>
      <c r="AN329">
        <v>0</v>
      </c>
      <c r="AO329">
        <f t="shared" si="161"/>
        <v>0</v>
      </c>
      <c r="AP329">
        <f t="shared" si="170"/>
        <v>0</v>
      </c>
      <c r="AQ329" t="e">
        <f t="shared" ca="1" si="162"/>
        <v>#VALUE!</v>
      </c>
      <c r="AR329" t="e">
        <f t="shared" ca="1" si="163"/>
        <v>#VALUE!</v>
      </c>
      <c r="AS329" t="e">
        <f t="shared" ca="1" si="164"/>
        <v>#VALUE!</v>
      </c>
    </row>
    <row r="330" spans="1:45" x14ac:dyDescent="0.35">
      <c r="A330">
        <v>181</v>
      </c>
      <c r="B330">
        <v>179.94800000000001</v>
      </c>
      <c r="C330">
        <v>616403.92099999997</v>
      </c>
      <c r="D330">
        <v>3097692.1570000001</v>
      </c>
      <c r="E330">
        <v>632.47199999999998</v>
      </c>
      <c r="F330">
        <v>5.2</v>
      </c>
      <c r="G330">
        <v>0</v>
      </c>
      <c r="H330" t="s">
        <v>191</v>
      </c>
      <c r="I330">
        <v>0.06</v>
      </c>
      <c r="J330">
        <f t="shared" si="165"/>
        <v>0.99899999999999523</v>
      </c>
      <c r="K330">
        <f t="shared" si="166"/>
        <v>51</v>
      </c>
      <c r="L330" t="e">
        <f t="shared" ca="1" si="167"/>
        <v>#VALUE!</v>
      </c>
      <c r="M330" t="e">
        <f t="shared" ca="1" si="140"/>
        <v>#VALUE!</v>
      </c>
      <c r="N330" t="e">
        <f t="shared" ca="1" si="141"/>
        <v>#VALUE!</v>
      </c>
      <c r="O330" t="e">
        <f t="shared" ca="1" si="142"/>
        <v>#VALUE!</v>
      </c>
      <c r="P330" t="e">
        <f t="shared" ca="1" si="143"/>
        <v>#VALUE!</v>
      </c>
      <c r="Q330" t="e">
        <f t="shared" ca="1" si="144"/>
        <v>#VALUE!</v>
      </c>
      <c r="R330" t="e">
        <f t="shared" ca="1" si="145"/>
        <v>#VALUE!</v>
      </c>
      <c r="S330" t="e">
        <f t="shared" ca="1" si="146"/>
        <v>#VALUE!</v>
      </c>
      <c r="T330" t="e">
        <f t="shared" ca="1" si="147"/>
        <v>#VALUE!</v>
      </c>
      <c r="U330" t="e">
        <f t="shared" ca="1" si="168"/>
        <v>#VALUE!</v>
      </c>
      <c r="V330" t="e">
        <f t="shared" ca="1" si="169"/>
        <v>#VALUE!</v>
      </c>
      <c r="W330" t="e">
        <f t="shared" ca="1" si="148"/>
        <v>#VALUE!</v>
      </c>
      <c r="X330" t="e">
        <f t="shared" ca="1" si="149"/>
        <v>#VALUE!</v>
      </c>
      <c r="Y330" t="e">
        <f t="shared" ca="1" si="150"/>
        <v>#VALUE!</v>
      </c>
      <c r="Z330" t="e">
        <f t="shared" ca="1" si="151"/>
        <v>#VALUE!</v>
      </c>
      <c r="AA330" t="e">
        <f t="shared" ca="1" si="152"/>
        <v>#VALUE!</v>
      </c>
      <c r="AB330" t="e">
        <f t="shared" ca="1" si="153"/>
        <v>#VALUE!</v>
      </c>
      <c r="AC330" t="e">
        <f t="shared" ca="1" si="154"/>
        <v>#VALUE!</v>
      </c>
      <c r="AD330" t="e">
        <f t="shared" ca="1" si="155"/>
        <v>#VALUE!</v>
      </c>
      <c r="AE330" t="e">
        <f t="shared" ca="1" si="156"/>
        <v>#VALUE!</v>
      </c>
      <c r="AF330" t="e">
        <f t="shared" ca="1" si="157"/>
        <v>#VALUE!</v>
      </c>
      <c r="AG330" t="e">
        <f t="shared" ca="1" si="158"/>
        <v>#VALUE!</v>
      </c>
      <c r="AH330" t="e">
        <f ca="1">IF(V32="Supercritical",L330,IF(V32="Subcritical",W330,IF(AND(V330=1,AG330=1),IF(T330&gt;=AE330,L330,W330),IF(V330=1,L330,IF(AG330=1,W330,MAX($D$16,POWER((ABS(K330)^2)/($I$5*MAX(F330,0.1)^2),1/3)))))))</f>
        <v>#VALUE!</v>
      </c>
      <c r="AI330" t="e">
        <f t="shared" ca="1" si="159"/>
        <v>#VALUE!</v>
      </c>
      <c r="AJ330" t="e">
        <f t="shared" ca="1" si="160"/>
        <v>#VALUE!</v>
      </c>
      <c r="AM330">
        <v>0</v>
      </c>
      <c r="AN330">
        <v>0</v>
      </c>
      <c r="AO330">
        <f t="shared" si="161"/>
        <v>0</v>
      </c>
      <c r="AP330">
        <f t="shared" si="170"/>
        <v>0</v>
      </c>
      <c r="AQ330" t="e">
        <f t="shared" ca="1" si="162"/>
        <v>#VALUE!</v>
      </c>
      <c r="AR330" t="e">
        <f t="shared" ca="1" si="163"/>
        <v>#VALUE!</v>
      </c>
      <c r="AS330" t="e">
        <f t="shared" ca="1" si="164"/>
        <v>#VALUE!</v>
      </c>
    </row>
    <row r="331" spans="1:45" x14ac:dyDescent="0.35">
      <c r="A331">
        <v>182</v>
      </c>
      <c r="B331">
        <v>180.94800000000001</v>
      </c>
      <c r="C331">
        <v>616402.92200000002</v>
      </c>
      <c r="D331">
        <v>3097692.11</v>
      </c>
      <c r="E331">
        <v>632.47149999999999</v>
      </c>
      <c r="F331">
        <v>5.2</v>
      </c>
      <c r="G331">
        <v>0</v>
      </c>
      <c r="H331" t="s">
        <v>191</v>
      </c>
      <c r="I331">
        <v>5.7000000000000002E-2</v>
      </c>
      <c r="J331">
        <f t="shared" si="165"/>
        <v>1</v>
      </c>
      <c r="K331">
        <f t="shared" si="166"/>
        <v>51</v>
      </c>
      <c r="L331" t="e">
        <f t="shared" ca="1" si="167"/>
        <v>#VALUE!</v>
      </c>
      <c r="M331" t="e">
        <f t="shared" ca="1" si="140"/>
        <v>#VALUE!</v>
      </c>
      <c r="N331" t="e">
        <f t="shared" ca="1" si="141"/>
        <v>#VALUE!</v>
      </c>
      <c r="O331" t="e">
        <f t="shared" ca="1" si="142"/>
        <v>#VALUE!</v>
      </c>
      <c r="P331" t="e">
        <f t="shared" ca="1" si="143"/>
        <v>#VALUE!</v>
      </c>
      <c r="Q331" t="e">
        <f t="shared" ca="1" si="144"/>
        <v>#VALUE!</v>
      </c>
      <c r="R331" t="e">
        <f t="shared" ca="1" si="145"/>
        <v>#VALUE!</v>
      </c>
      <c r="S331" t="e">
        <f t="shared" ca="1" si="146"/>
        <v>#VALUE!</v>
      </c>
      <c r="T331" t="e">
        <f t="shared" ca="1" si="147"/>
        <v>#VALUE!</v>
      </c>
      <c r="U331" t="e">
        <f t="shared" ca="1" si="168"/>
        <v>#VALUE!</v>
      </c>
      <c r="V331" t="e">
        <f t="shared" ca="1" si="169"/>
        <v>#VALUE!</v>
      </c>
      <c r="W331" t="e">
        <f t="shared" ca="1" si="148"/>
        <v>#VALUE!</v>
      </c>
      <c r="X331" t="e">
        <f t="shared" ca="1" si="149"/>
        <v>#VALUE!</v>
      </c>
      <c r="Y331" t="e">
        <f t="shared" ca="1" si="150"/>
        <v>#VALUE!</v>
      </c>
      <c r="Z331" t="e">
        <f t="shared" ca="1" si="151"/>
        <v>#VALUE!</v>
      </c>
      <c r="AA331" t="e">
        <f t="shared" ca="1" si="152"/>
        <v>#VALUE!</v>
      </c>
      <c r="AB331" t="e">
        <f t="shared" ca="1" si="153"/>
        <v>#VALUE!</v>
      </c>
      <c r="AC331" t="e">
        <f t="shared" ca="1" si="154"/>
        <v>#VALUE!</v>
      </c>
      <c r="AD331" t="e">
        <f t="shared" ca="1" si="155"/>
        <v>#VALUE!</v>
      </c>
      <c r="AE331" t="e">
        <f t="shared" ca="1" si="156"/>
        <v>#VALUE!</v>
      </c>
      <c r="AF331" t="e">
        <f t="shared" ca="1" si="157"/>
        <v>#VALUE!</v>
      </c>
      <c r="AG331" t="e">
        <f t="shared" ca="1" si="158"/>
        <v>#VALUE!</v>
      </c>
      <c r="AH331" t="e">
        <f ca="1">IF(V32="Supercritical",L331,IF(V32="Subcritical",W331,IF(AND(V331=1,AG331=1),IF(T331&gt;=AE331,L331,W331),IF(V331=1,L331,IF(AG331=1,W331,MAX($D$16,POWER((ABS(K331)^2)/($I$5*MAX(F331,0.1)^2),1/3)))))))</f>
        <v>#VALUE!</v>
      </c>
      <c r="AI331" t="e">
        <f t="shared" ca="1" si="159"/>
        <v>#VALUE!</v>
      </c>
      <c r="AJ331" t="e">
        <f t="shared" ca="1" si="160"/>
        <v>#VALUE!</v>
      </c>
      <c r="AM331">
        <v>0</v>
      </c>
      <c r="AN331">
        <v>0</v>
      </c>
      <c r="AO331">
        <f t="shared" si="161"/>
        <v>0</v>
      </c>
      <c r="AP331">
        <f t="shared" si="170"/>
        <v>0</v>
      </c>
      <c r="AQ331" t="e">
        <f t="shared" ca="1" si="162"/>
        <v>#VALUE!</v>
      </c>
      <c r="AR331" t="e">
        <f t="shared" ca="1" si="163"/>
        <v>#VALUE!</v>
      </c>
      <c r="AS331" t="e">
        <f t="shared" ca="1" si="164"/>
        <v>#VALUE!</v>
      </c>
    </row>
    <row r="332" spans="1:45" x14ac:dyDescent="0.35">
      <c r="A332">
        <v>183</v>
      </c>
      <c r="B332">
        <v>181.94800000000001</v>
      </c>
      <c r="C332">
        <v>616401.92299999995</v>
      </c>
      <c r="D332">
        <v>3097692.0619999999</v>
      </c>
      <c r="E332">
        <v>632.471</v>
      </c>
      <c r="F332">
        <v>5.2</v>
      </c>
      <c r="G332">
        <v>0</v>
      </c>
      <c r="H332" t="s">
        <v>191</v>
      </c>
      <c r="I332">
        <v>0</v>
      </c>
      <c r="J332">
        <f t="shared" si="165"/>
        <v>1</v>
      </c>
      <c r="K332">
        <f t="shared" si="166"/>
        <v>51</v>
      </c>
      <c r="L332" t="e">
        <f t="shared" ca="1" si="167"/>
        <v>#VALUE!</v>
      </c>
      <c r="M332" t="e">
        <f t="shared" ca="1" si="140"/>
        <v>#VALUE!</v>
      </c>
      <c r="N332" t="e">
        <f t="shared" ca="1" si="141"/>
        <v>#VALUE!</v>
      </c>
      <c r="O332" t="e">
        <f t="shared" ca="1" si="142"/>
        <v>#VALUE!</v>
      </c>
      <c r="P332" t="e">
        <f t="shared" ca="1" si="143"/>
        <v>#VALUE!</v>
      </c>
      <c r="Q332" t="e">
        <f t="shared" ca="1" si="144"/>
        <v>#VALUE!</v>
      </c>
      <c r="R332" t="e">
        <f t="shared" ca="1" si="145"/>
        <v>#VALUE!</v>
      </c>
      <c r="S332" t="e">
        <f t="shared" ca="1" si="146"/>
        <v>#VALUE!</v>
      </c>
      <c r="T332" t="e">
        <f t="shared" ca="1" si="147"/>
        <v>#VALUE!</v>
      </c>
      <c r="U332" t="e">
        <f t="shared" ca="1" si="168"/>
        <v>#VALUE!</v>
      </c>
      <c r="V332" t="e">
        <f t="shared" ca="1" si="169"/>
        <v>#VALUE!</v>
      </c>
      <c r="W332" t="e">
        <f t="shared" ca="1" si="148"/>
        <v>#VALUE!</v>
      </c>
      <c r="X332" t="e">
        <f t="shared" ca="1" si="149"/>
        <v>#VALUE!</v>
      </c>
      <c r="Y332" t="e">
        <f t="shared" ca="1" si="150"/>
        <v>#VALUE!</v>
      </c>
      <c r="Z332" t="e">
        <f t="shared" ca="1" si="151"/>
        <v>#VALUE!</v>
      </c>
      <c r="AA332" t="e">
        <f t="shared" ca="1" si="152"/>
        <v>#VALUE!</v>
      </c>
      <c r="AB332" t="e">
        <f t="shared" ca="1" si="153"/>
        <v>#VALUE!</v>
      </c>
      <c r="AC332" t="e">
        <f t="shared" ca="1" si="154"/>
        <v>#VALUE!</v>
      </c>
      <c r="AD332" t="e">
        <f t="shared" ca="1" si="155"/>
        <v>#VALUE!</v>
      </c>
      <c r="AE332" t="e">
        <f t="shared" ca="1" si="156"/>
        <v>#VALUE!</v>
      </c>
      <c r="AF332" t="e">
        <f t="shared" ca="1" si="157"/>
        <v>#VALUE!</v>
      </c>
      <c r="AG332" t="e">
        <f t="shared" ca="1" si="158"/>
        <v>#VALUE!</v>
      </c>
      <c r="AH332" t="e">
        <f ca="1">IF(V32="Supercritical",L332,IF(V32="Subcritical",W332,IF(AND(V332=1,AG332=1),IF(T332&gt;=AE332,L332,W332),IF(V332=1,L332,IF(AG332=1,W332,MAX($D$16,POWER((ABS(K332)^2)/($I$5*MAX(F332,0.1)^2),1/3)))))))</f>
        <v>#VALUE!</v>
      </c>
      <c r="AI332" t="e">
        <f t="shared" ca="1" si="159"/>
        <v>#VALUE!</v>
      </c>
      <c r="AJ332" t="e">
        <f t="shared" ca="1" si="160"/>
        <v>#VALUE!</v>
      </c>
      <c r="AM332">
        <v>0</v>
      </c>
      <c r="AN332">
        <v>0</v>
      </c>
      <c r="AO332">
        <f t="shared" si="161"/>
        <v>0</v>
      </c>
      <c r="AP332">
        <f t="shared" si="170"/>
        <v>0</v>
      </c>
      <c r="AQ332" t="e">
        <f t="shared" ca="1" si="162"/>
        <v>#VALUE!</v>
      </c>
      <c r="AR332" t="e">
        <f t="shared" ca="1" si="163"/>
        <v>#VALUE!</v>
      </c>
      <c r="AS332" t="e">
        <f t="shared" ca="1" si="164"/>
        <v>#VALUE!</v>
      </c>
    </row>
    <row r="333" spans="1:45" x14ac:dyDescent="0.35">
      <c r="A333">
        <v>184</v>
      </c>
      <c r="B333">
        <v>182.94800000000001</v>
      </c>
      <c r="C333">
        <v>616400.924</v>
      </c>
      <c r="D333">
        <v>3097692.014</v>
      </c>
      <c r="E333">
        <v>632.47050000000002</v>
      </c>
      <c r="F333">
        <v>5.2</v>
      </c>
      <c r="G333">
        <v>0</v>
      </c>
      <c r="H333" t="s">
        <v>191</v>
      </c>
      <c r="I333">
        <v>5.7000000000000002E-2</v>
      </c>
      <c r="J333">
        <f t="shared" si="165"/>
        <v>1</v>
      </c>
      <c r="K333">
        <f t="shared" si="166"/>
        <v>51</v>
      </c>
      <c r="L333" t="e">
        <f t="shared" ca="1" si="167"/>
        <v>#VALUE!</v>
      </c>
      <c r="M333" t="e">
        <f t="shared" ca="1" si="140"/>
        <v>#VALUE!</v>
      </c>
      <c r="N333" t="e">
        <f t="shared" ca="1" si="141"/>
        <v>#VALUE!</v>
      </c>
      <c r="O333" t="e">
        <f t="shared" ca="1" si="142"/>
        <v>#VALUE!</v>
      </c>
      <c r="P333" t="e">
        <f t="shared" ca="1" si="143"/>
        <v>#VALUE!</v>
      </c>
      <c r="Q333" t="e">
        <f t="shared" ca="1" si="144"/>
        <v>#VALUE!</v>
      </c>
      <c r="R333" t="e">
        <f t="shared" ca="1" si="145"/>
        <v>#VALUE!</v>
      </c>
      <c r="S333" t="e">
        <f t="shared" ca="1" si="146"/>
        <v>#VALUE!</v>
      </c>
      <c r="T333" t="e">
        <f t="shared" ca="1" si="147"/>
        <v>#VALUE!</v>
      </c>
      <c r="U333" t="e">
        <f t="shared" ca="1" si="168"/>
        <v>#VALUE!</v>
      </c>
      <c r="V333" t="e">
        <f t="shared" ca="1" si="169"/>
        <v>#VALUE!</v>
      </c>
      <c r="W333" t="e">
        <f t="shared" ca="1" si="148"/>
        <v>#VALUE!</v>
      </c>
      <c r="X333" t="e">
        <f t="shared" ca="1" si="149"/>
        <v>#VALUE!</v>
      </c>
      <c r="Y333" t="e">
        <f t="shared" ca="1" si="150"/>
        <v>#VALUE!</v>
      </c>
      <c r="Z333" t="e">
        <f t="shared" ca="1" si="151"/>
        <v>#VALUE!</v>
      </c>
      <c r="AA333" t="e">
        <f t="shared" ca="1" si="152"/>
        <v>#VALUE!</v>
      </c>
      <c r="AB333" t="e">
        <f t="shared" ca="1" si="153"/>
        <v>#VALUE!</v>
      </c>
      <c r="AC333" t="e">
        <f t="shared" ca="1" si="154"/>
        <v>#VALUE!</v>
      </c>
      <c r="AD333" t="e">
        <f t="shared" ca="1" si="155"/>
        <v>#VALUE!</v>
      </c>
      <c r="AE333" t="e">
        <f t="shared" ca="1" si="156"/>
        <v>#VALUE!</v>
      </c>
      <c r="AF333" t="e">
        <f t="shared" ca="1" si="157"/>
        <v>#VALUE!</v>
      </c>
      <c r="AG333" t="e">
        <f t="shared" ca="1" si="158"/>
        <v>#VALUE!</v>
      </c>
      <c r="AH333" t="e">
        <f ca="1">IF(V32="Supercritical",L333,IF(V32="Subcritical",W333,IF(AND(V333=1,AG333=1),IF(T333&gt;=AE333,L333,W333),IF(V333=1,L333,IF(AG333=1,W333,MAX($D$16,POWER((ABS(K333)^2)/($I$5*MAX(F333,0.1)^2),1/3)))))))</f>
        <v>#VALUE!</v>
      </c>
      <c r="AI333" t="e">
        <f t="shared" ca="1" si="159"/>
        <v>#VALUE!</v>
      </c>
      <c r="AJ333" t="e">
        <f t="shared" ca="1" si="160"/>
        <v>#VALUE!</v>
      </c>
      <c r="AM333">
        <v>0</v>
      </c>
      <c r="AN333">
        <v>0</v>
      </c>
      <c r="AO333">
        <f t="shared" si="161"/>
        <v>0</v>
      </c>
      <c r="AP333">
        <f t="shared" si="170"/>
        <v>0</v>
      </c>
      <c r="AQ333" t="e">
        <f t="shared" ca="1" si="162"/>
        <v>#VALUE!</v>
      </c>
      <c r="AR333" t="e">
        <f t="shared" ca="1" si="163"/>
        <v>#VALUE!</v>
      </c>
      <c r="AS333" t="e">
        <f t="shared" ca="1" si="164"/>
        <v>#VALUE!</v>
      </c>
    </row>
    <row r="334" spans="1:45" x14ac:dyDescent="0.35">
      <c r="A334">
        <v>185</v>
      </c>
      <c r="B334">
        <v>183.94800000000001</v>
      </c>
      <c r="C334">
        <v>616399.92500000005</v>
      </c>
      <c r="D334">
        <v>3097691.9670000002</v>
      </c>
      <c r="E334">
        <v>632.47</v>
      </c>
      <c r="F334">
        <v>5.2</v>
      </c>
      <c r="G334">
        <v>0</v>
      </c>
      <c r="H334" t="s">
        <v>191</v>
      </c>
      <c r="I334">
        <v>5.7000000000000002E-2</v>
      </c>
      <c r="J334">
        <f t="shared" si="165"/>
        <v>1</v>
      </c>
      <c r="K334">
        <f t="shared" si="166"/>
        <v>51</v>
      </c>
      <c r="L334" t="e">
        <f t="shared" ca="1" si="167"/>
        <v>#VALUE!</v>
      </c>
      <c r="M334" t="e">
        <f t="shared" ca="1" si="140"/>
        <v>#VALUE!</v>
      </c>
      <c r="N334" t="e">
        <f t="shared" ca="1" si="141"/>
        <v>#VALUE!</v>
      </c>
      <c r="O334" t="e">
        <f t="shared" ca="1" si="142"/>
        <v>#VALUE!</v>
      </c>
      <c r="P334" t="e">
        <f t="shared" ca="1" si="143"/>
        <v>#VALUE!</v>
      </c>
      <c r="Q334" t="e">
        <f t="shared" ca="1" si="144"/>
        <v>#VALUE!</v>
      </c>
      <c r="R334" t="e">
        <f t="shared" ca="1" si="145"/>
        <v>#VALUE!</v>
      </c>
      <c r="S334" t="e">
        <f t="shared" ca="1" si="146"/>
        <v>#VALUE!</v>
      </c>
      <c r="T334" t="e">
        <f t="shared" ca="1" si="147"/>
        <v>#VALUE!</v>
      </c>
      <c r="U334" t="e">
        <f t="shared" ca="1" si="168"/>
        <v>#VALUE!</v>
      </c>
      <c r="V334" t="e">
        <f t="shared" ca="1" si="169"/>
        <v>#VALUE!</v>
      </c>
      <c r="W334" t="e">
        <f t="shared" ca="1" si="148"/>
        <v>#VALUE!</v>
      </c>
      <c r="X334" t="e">
        <f t="shared" ca="1" si="149"/>
        <v>#VALUE!</v>
      </c>
      <c r="Y334" t="e">
        <f t="shared" ca="1" si="150"/>
        <v>#VALUE!</v>
      </c>
      <c r="Z334" t="e">
        <f t="shared" ca="1" si="151"/>
        <v>#VALUE!</v>
      </c>
      <c r="AA334" t="e">
        <f t="shared" ca="1" si="152"/>
        <v>#VALUE!</v>
      </c>
      <c r="AB334" t="e">
        <f t="shared" ca="1" si="153"/>
        <v>#VALUE!</v>
      </c>
      <c r="AC334" t="e">
        <f t="shared" ca="1" si="154"/>
        <v>#VALUE!</v>
      </c>
      <c r="AD334" t="e">
        <f t="shared" ca="1" si="155"/>
        <v>#VALUE!</v>
      </c>
      <c r="AE334" t="e">
        <f t="shared" ca="1" si="156"/>
        <v>#VALUE!</v>
      </c>
      <c r="AF334" t="e">
        <f t="shared" ca="1" si="157"/>
        <v>#VALUE!</v>
      </c>
      <c r="AG334" t="e">
        <f t="shared" ca="1" si="158"/>
        <v>#VALUE!</v>
      </c>
      <c r="AH334" t="e">
        <f ca="1">IF(V32="Supercritical",L334,IF(V32="Subcritical",W334,IF(AND(V334=1,AG334=1),IF(T334&gt;=AE334,L334,W334),IF(V334=1,L334,IF(AG334=1,W334,MAX($D$16,POWER((ABS(K334)^2)/($I$5*MAX(F334,0.1)^2),1/3)))))))</f>
        <v>#VALUE!</v>
      </c>
      <c r="AI334" t="e">
        <f t="shared" ca="1" si="159"/>
        <v>#VALUE!</v>
      </c>
      <c r="AJ334" t="e">
        <f t="shared" ca="1" si="160"/>
        <v>#VALUE!</v>
      </c>
      <c r="AM334">
        <v>0</v>
      </c>
      <c r="AN334">
        <v>0</v>
      </c>
      <c r="AO334">
        <f t="shared" si="161"/>
        <v>0</v>
      </c>
      <c r="AP334">
        <f t="shared" si="170"/>
        <v>0</v>
      </c>
      <c r="AQ334" t="e">
        <f t="shared" ca="1" si="162"/>
        <v>#VALUE!</v>
      </c>
      <c r="AR334" t="e">
        <f t="shared" ca="1" si="163"/>
        <v>#VALUE!</v>
      </c>
      <c r="AS334" t="e">
        <f t="shared" ca="1" si="164"/>
        <v>#VALUE!</v>
      </c>
    </row>
    <row r="335" spans="1:45" x14ac:dyDescent="0.35">
      <c r="A335">
        <v>186</v>
      </c>
      <c r="B335">
        <v>184.94800000000001</v>
      </c>
      <c r="C335">
        <v>616398.92599999998</v>
      </c>
      <c r="D335">
        <v>3097691.9190000002</v>
      </c>
      <c r="E335">
        <v>632.46950000000004</v>
      </c>
      <c r="F335">
        <v>5.2</v>
      </c>
      <c r="G335">
        <v>0</v>
      </c>
      <c r="H335" t="s">
        <v>191</v>
      </c>
      <c r="I335">
        <v>5.7000000000000002E-2</v>
      </c>
      <c r="J335">
        <f t="shared" si="165"/>
        <v>1</v>
      </c>
      <c r="K335">
        <f t="shared" si="166"/>
        <v>51</v>
      </c>
      <c r="L335" t="e">
        <f t="shared" ca="1" si="167"/>
        <v>#VALUE!</v>
      </c>
      <c r="M335" t="e">
        <f t="shared" ca="1" si="140"/>
        <v>#VALUE!</v>
      </c>
      <c r="N335" t="e">
        <f t="shared" ca="1" si="141"/>
        <v>#VALUE!</v>
      </c>
      <c r="O335" t="e">
        <f t="shared" ca="1" si="142"/>
        <v>#VALUE!</v>
      </c>
      <c r="P335" t="e">
        <f t="shared" ca="1" si="143"/>
        <v>#VALUE!</v>
      </c>
      <c r="Q335" t="e">
        <f t="shared" ca="1" si="144"/>
        <v>#VALUE!</v>
      </c>
      <c r="R335" t="e">
        <f t="shared" ca="1" si="145"/>
        <v>#VALUE!</v>
      </c>
      <c r="S335" t="e">
        <f t="shared" ca="1" si="146"/>
        <v>#VALUE!</v>
      </c>
      <c r="T335" t="e">
        <f t="shared" ca="1" si="147"/>
        <v>#VALUE!</v>
      </c>
      <c r="U335" t="e">
        <f t="shared" ca="1" si="168"/>
        <v>#VALUE!</v>
      </c>
      <c r="V335" t="e">
        <f t="shared" ca="1" si="169"/>
        <v>#VALUE!</v>
      </c>
      <c r="W335" t="e">
        <f t="shared" ca="1" si="148"/>
        <v>#VALUE!</v>
      </c>
      <c r="X335" t="e">
        <f t="shared" ca="1" si="149"/>
        <v>#VALUE!</v>
      </c>
      <c r="Y335" t="e">
        <f t="shared" ca="1" si="150"/>
        <v>#VALUE!</v>
      </c>
      <c r="Z335" t="e">
        <f t="shared" ca="1" si="151"/>
        <v>#VALUE!</v>
      </c>
      <c r="AA335" t="e">
        <f t="shared" ca="1" si="152"/>
        <v>#VALUE!</v>
      </c>
      <c r="AB335" t="e">
        <f t="shared" ca="1" si="153"/>
        <v>#VALUE!</v>
      </c>
      <c r="AC335" t="e">
        <f t="shared" ca="1" si="154"/>
        <v>#VALUE!</v>
      </c>
      <c r="AD335" t="e">
        <f t="shared" ca="1" si="155"/>
        <v>#VALUE!</v>
      </c>
      <c r="AE335" t="e">
        <f t="shared" ca="1" si="156"/>
        <v>#VALUE!</v>
      </c>
      <c r="AF335" t="e">
        <f t="shared" ca="1" si="157"/>
        <v>#VALUE!</v>
      </c>
      <c r="AG335" t="e">
        <f t="shared" ca="1" si="158"/>
        <v>#VALUE!</v>
      </c>
      <c r="AH335" t="e">
        <f ca="1">IF(V32="Supercritical",L335,IF(V32="Subcritical",W335,IF(AND(V335=1,AG335=1),IF(T335&gt;=AE335,L335,W335),IF(V335=1,L335,IF(AG335=1,W335,MAX($D$16,POWER((ABS(K335)^2)/($I$5*MAX(F335,0.1)^2),1/3)))))))</f>
        <v>#VALUE!</v>
      </c>
      <c r="AI335" t="e">
        <f t="shared" ca="1" si="159"/>
        <v>#VALUE!</v>
      </c>
      <c r="AJ335" t="e">
        <f t="shared" ca="1" si="160"/>
        <v>#VALUE!</v>
      </c>
      <c r="AM335">
        <v>0</v>
      </c>
      <c r="AN335">
        <v>0</v>
      </c>
      <c r="AO335">
        <f t="shared" si="161"/>
        <v>0</v>
      </c>
      <c r="AP335">
        <f t="shared" si="170"/>
        <v>0</v>
      </c>
      <c r="AQ335" t="e">
        <f t="shared" ca="1" si="162"/>
        <v>#VALUE!</v>
      </c>
      <c r="AR335" t="e">
        <f t="shared" ca="1" si="163"/>
        <v>#VALUE!</v>
      </c>
      <c r="AS335" t="e">
        <f t="shared" ca="1" si="164"/>
        <v>#VALUE!</v>
      </c>
    </row>
    <row r="336" spans="1:45" x14ac:dyDescent="0.35">
      <c r="A336">
        <v>187</v>
      </c>
      <c r="B336">
        <v>185.94900000000001</v>
      </c>
      <c r="C336">
        <v>616397.92700000003</v>
      </c>
      <c r="D336">
        <v>3097691.872</v>
      </c>
      <c r="E336">
        <v>632.46900000000005</v>
      </c>
      <c r="F336">
        <v>5.2</v>
      </c>
      <c r="G336">
        <v>0</v>
      </c>
      <c r="H336" t="s">
        <v>191</v>
      </c>
      <c r="I336">
        <v>0.06</v>
      </c>
      <c r="J336">
        <f t="shared" si="165"/>
        <v>1.0010000000000048</v>
      </c>
      <c r="K336">
        <f t="shared" si="166"/>
        <v>51</v>
      </c>
      <c r="L336" t="e">
        <f t="shared" ca="1" si="167"/>
        <v>#VALUE!</v>
      </c>
      <c r="M336" t="e">
        <f t="shared" ca="1" si="140"/>
        <v>#VALUE!</v>
      </c>
      <c r="N336" t="e">
        <f t="shared" ca="1" si="141"/>
        <v>#VALUE!</v>
      </c>
      <c r="O336" t="e">
        <f t="shared" ca="1" si="142"/>
        <v>#VALUE!</v>
      </c>
      <c r="P336" t="e">
        <f t="shared" ca="1" si="143"/>
        <v>#VALUE!</v>
      </c>
      <c r="Q336" t="e">
        <f t="shared" ca="1" si="144"/>
        <v>#VALUE!</v>
      </c>
      <c r="R336" t="e">
        <f t="shared" ca="1" si="145"/>
        <v>#VALUE!</v>
      </c>
      <c r="S336" t="e">
        <f t="shared" ca="1" si="146"/>
        <v>#VALUE!</v>
      </c>
      <c r="T336" t="e">
        <f t="shared" ca="1" si="147"/>
        <v>#VALUE!</v>
      </c>
      <c r="U336" t="e">
        <f t="shared" ca="1" si="168"/>
        <v>#VALUE!</v>
      </c>
      <c r="V336" t="e">
        <f t="shared" ca="1" si="169"/>
        <v>#VALUE!</v>
      </c>
      <c r="W336" t="e">
        <f t="shared" ca="1" si="148"/>
        <v>#VALUE!</v>
      </c>
      <c r="X336" t="e">
        <f t="shared" ca="1" si="149"/>
        <v>#VALUE!</v>
      </c>
      <c r="Y336" t="e">
        <f t="shared" ca="1" si="150"/>
        <v>#VALUE!</v>
      </c>
      <c r="Z336" t="e">
        <f t="shared" ca="1" si="151"/>
        <v>#VALUE!</v>
      </c>
      <c r="AA336" t="e">
        <f t="shared" ca="1" si="152"/>
        <v>#VALUE!</v>
      </c>
      <c r="AB336" t="e">
        <f t="shared" ca="1" si="153"/>
        <v>#VALUE!</v>
      </c>
      <c r="AC336" t="e">
        <f t="shared" ca="1" si="154"/>
        <v>#VALUE!</v>
      </c>
      <c r="AD336" t="e">
        <f t="shared" ca="1" si="155"/>
        <v>#VALUE!</v>
      </c>
      <c r="AE336" t="e">
        <f t="shared" ca="1" si="156"/>
        <v>#VALUE!</v>
      </c>
      <c r="AF336" t="e">
        <f t="shared" ca="1" si="157"/>
        <v>#VALUE!</v>
      </c>
      <c r="AG336" t="e">
        <f t="shared" ca="1" si="158"/>
        <v>#VALUE!</v>
      </c>
      <c r="AH336" t="e">
        <f ca="1">IF(V32="Supercritical",L336,IF(V32="Subcritical",W336,IF(AND(V336=1,AG336=1),IF(T336&gt;=AE336,L336,W336),IF(V336=1,L336,IF(AG336=1,W336,MAX($D$16,POWER((ABS(K336)^2)/($I$5*MAX(F336,0.1)^2),1/3)))))))</f>
        <v>#VALUE!</v>
      </c>
      <c r="AI336" t="e">
        <f t="shared" ca="1" si="159"/>
        <v>#VALUE!</v>
      </c>
      <c r="AJ336" t="e">
        <f t="shared" ca="1" si="160"/>
        <v>#VALUE!</v>
      </c>
      <c r="AM336">
        <v>0</v>
      </c>
      <c r="AN336">
        <v>0</v>
      </c>
      <c r="AO336">
        <f t="shared" si="161"/>
        <v>0</v>
      </c>
      <c r="AP336">
        <f t="shared" si="170"/>
        <v>0</v>
      </c>
      <c r="AQ336" t="e">
        <f t="shared" ca="1" si="162"/>
        <v>#VALUE!</v>
      </c>
      <c r="AR336" t="e">
        <f t="shared" ca="1" si="163"/>
        <v>#VALUE!</v>
      </c>
      <c r="AS336" t="e">
        <f t="shared" ca="1" si="164"/>
        <v>#VALUE!</v>
      </c>
    </row>
    <row r="337" spans="1:45" x14ac:dyDescent="0.35">
      <c r="A337">
        <v>188</v>
      </c>
      <c r="B337">
        <v>186.94800000000001</v>
      </c>
      <c r="C337">
        <v>616396.929</v>
      </c>
      <c r="D337">
        <v>3097691.824</v>
      </c>
      <c r="E337">
        <v>632.46849999999995</v>
      </c>
      <c r="F337">
        <v>5.2</v>
      </c>
      <c r="G337">
        <v>0</v>
      </c>
      <c r="H337" t="s">
        <v>191</v>
      </c>
      <c r="I337">
        <v>3.0000000000000001E-3</v>
      </c>
      <c r="J337">
        <f t="shared" si="165"/>
        <v>0.99899999999999523</v>
      </c>
      <c r="K337">
        <f t="shared" si="166"/>
        <v>51</v>
      </c>
      <c r="L337" t="e">
        <f t="shared" ca="1" si="167"/>
        <v>#VALUE!</v>
      </c>
      <c r="M337" t="e">
        <f t="shared" ca="1" si="140"/>
        <v>#VALUE!</v>
      </c>
      <c r="N337" t="e">
        <f t="shared" ca="1" si="141"/>
        <v>#VALUE!</v>
      </c>
      <c r="O337" t="e">
        <f t="shared" ca="1" si="142"/>
        <v>#VALUE!</v>
      </c>
      <c r="P337" t="e">
        <f t="shared" ca="1" si="143"/>
        <v>#VALUE!</v>
      </c>
      <c r="Q337" t="e">
        <f t="shared" ca="1" si="144"/>
        <v>#VALUE!</v>
      </c>
      <c r="R337" t="e">
        <f t="shared" ca="1" si="145"/>
        <v>#VALUE!</v>
      </c>
      <c r="S337" t="e">
        <f t="shared" ca="1" si="146"/>
        <v>#VALUE!</v>
      </c>
      <c r="T337" t="e">
        <f t="shared" ca="1" si="147"/>
        <v>#VALUE!</v>
      </c>
      <c r="U337" t="e">
        <f t="shared" ca="1" si="168"/>
        <v>#VALUE!</v>
      </c>
      <c r="V337" t="e">
        <f t="shared" ca="1" si="169"/>
        <v>#VALUE!</v>
      </c>
      <c r="W337" t="e">
        <f t="shared" ca="1" si="148"/>
        <v>#VALUE!</v>
      </c>
      <c r="X337" t="e">
        <f t="shared" ca="1" si="149"/>
        <v>#VALUE!</v>
      </c>
      <c r="Y337" t="e">
        <f t="shared" ca="1" si="150"/>
        <v>#VALUE!</v>
      </c>
      <c r="Z337" t="e">
        <f t="shared" ca="1" si="151"/>
        <v>#VALUE!</v>
      </c>
      <c r="AA337" t="e">
        <f t="shared" ca="1" si="152"/>
        <v>#VALUE!</v>
      </c>
      <c r="AB337" t="e">
        <f t="shared" ca="1" si="153"/>
        <v>#VALUE!</v>
      </c>
      <c r="AC337" t="e">
        <f t="shared" ca="1" si="154"/>
        <v>#VALUE!</v>
      </c>
      <c r="AD337" t="e">
        <f t="shared" ca="1" si="155"/>
        <v>#VALUE!</v>
      </c>
      <c r="AE337" t="e">
        <f t="shared" ca="1" si="156"/>
        <v>#VALUE!</v>
      </c>
      <c r="AF337" t="e">
        <f t="shared" ca="1" si="157"/>
        <v>#VALUE!</v>
      </c>
      <c r="AG337" t="e">
        <f t="shared" ca="1" si="158"/>
        <v>#VALUE!</v>
      </c>
      <c r="AH337" t="e">
        <f ca="1">IF(V32="Supercritical",L337,IF(V32="Subcritical",W337,IF(AND(V337=1,AG337=1),IF(T337&gt;=AE337,L337,W337),IF(V337=1,L337,IF(AG337=1,W337,MAX($D$16,POWER((ABS(K337)^2)/($I$5*MAX(F337,0.1)^2),1/3)))))))</f>
        <v>#VALUE!</v>
      </c>
      <c r="AI337" t="e">
        <f t="shared" ca="1" si="159"/>
        <v>#VALUE!</v>
      </c>
      <c r="AJ337" t="e">
        <f t="shared" ca="1" si="160"/>
        <v>#VALUE!</v>
      </c>
      <c r="AM337">
        <v>0</v>
      </c>
      <c r="AN337">
        <v>0</v>
      </c>
      <c r="AO337">
        <f t="shared" si="161"/>
        <v>0</v>
      </c>
      <c r="AP337">
        <f t="shared" si="170"/>
        <v>0</v>
      </c>
      <c r="AQ337" t="e">
        <f t="shared" ca="1" si="162"/>
        <v>#VALUE!</v>
      </c>
      <c r="AR337" t="e">
        <f t="shared" ca="1" si="163"/>
        <v>#VALUE!</v>
      </c>
      <c r="AS337" t="e">
        <f t="shared" ca="1" si="164"/>
        <v>#VALUE!</v>
      </c>
    </row>
    <row r="338" spans="1:45" x14ac:dyDescent="0.35">
      <c r="A338">
        <v>189</v>
      </c>
      <c r="B338">
        <v>187.94800000000001</v>
      </c>
      <c r="C338">
        <v>616395.93000000005</v>
      </c>
      <c r="D338">
        <v>3097691.7760000001</v>
      </c>
      <c r="E338">
        <v>632.46799999999996</v>
      </c>
      <c r="F338">
        <v>5.2</v>
      </c>
      <c r="G338">
        <v>0</v>
      </c>
      <c r="H338" t="s">
        <v>191</v>
      </c>
      <c r="I338">
        <v>5.7000000000000002E-2</v>
      </c>
      <c r="J338">
        <f t="shared" si="165"/>
        <v>1</v>
      </c>
      <c r="K338">
        <f t="shared" si="166"/>
        <v>51</v>
      </c>
      <c r="L338" t="e">
        <f t="shared" ca="1" si="167"/>
        <v>#VALUE!</v>
      </c>
      <c r="M338" t="e">
        <f t="shared" ca="1" si="140"/>
        <v>#VALUE!</v>
      </c>
      <c r="N338" t="e">
        <f t="shared" ca="1" si="141"/>
        <v>#VALUE!</v>
      </c>
      <c r="O338" t="e">
        <f t="shared" ca="1" si="142"/>
        <v>#VALUE!</v>
      </c>
      <c r="P338" t="e">
        <f t="shared" ca="1" si="143"/>
        <v>#VALUE!</v>
      </c>
      <c r="Q338" t="e">
        <f t="shared" ca="1" si="144"/>
        <v>#VALUE!</v>
      </c>
      <c r="R338" t="e">
        <f t="shared" ca="1" si="145"/>
        <v>#VALUE!</v>
      </c>
      <c r="S338" t="e">
        <f t="shared" ca="1" si="146"/>
        <v>#VALUE!</v>
      </c>
      <c r="T338" t="e">
        <f t="shared" ca="1" si="147"/>
        <v>#VALUE!</v>
      </c>
      <c r="U338" t="e">
        <f t="shared" ca="1" si="168"/>
        <v>#VALUE!</v>
      </c>
      <c r="V338" t="e">
        <f t="shared" ca="1" si="169"/>
        <v>#VALUE!</v>
      </c>
      <c r="W338" t="e">
        <f t="shared" ca="1" si="148"/>
        <v>#VALUE!</v>
      </c>
      <c r="X338" t="e">
        <f t="shared" ca="1" si="149"/>
        <v>#VALUE!</v>
      </c>
      <c r="Y338" t="e">
        <f t="shared" ca="1" si="150"/>
        <v>#VALUE!</v>
      </c>
      <c r="Z338" t="e">
        <f t="shared" ca="1" si="151"/>
        <v>#VALUE!</v>
      </c>
      <c r="AA338" t="e">
        <f t="shared" ca="1" si="152"/>
        <v>#VALUE!</v>
      </c>
      <c r="AB338" t="e">
        <f t="shared" ca="1" si="153"/>
        <v>#VALUE!</v>
      </c>
      <c r="AC338" t="e">
        <f t="shared" ca="1" si="154"/>
        <v>#VALUE!</v>
      </c>
      <c r="AD338" t="e">
        <f t="shared" ca="1" si="155"/>
        <v>#VALUE!</v>
      </c>
      <c r="AE338" t="e">
        <f t="shared" ca="1" si="156"/>
        <v>#VALUE!</v>
      </c>
      <c r="AF338" t="e">
        <f t="shared" ca="1" si="157"/>
        <v>#VALUE!</v>
      </c>
      <c r="AG338" t="e">
        <f t="shared" ca="1" si="158"/>
        <v>#VALUE!</v>
      </c>
      <c r="AH338" t="e">
        <f ca="1">IF(V32="Supercritical",L338,IF(V32="Subcritical",W338,IF(AND(V338=1,AG338=1),IF(T338&gt;=AE338,L338,W338),IF(V338=1,L338,IF(AG338=1,W338,MAX($D$16,POWER((ABS(K338)^2)/($I$5*MAX(F338,0.1)^2),1/3)))))))</f>
        <v>#VALUE!</v>
      </c>
      <c r="AI338" t="e">
        <f t="shared" ca="1" si="159"/>
        <v>#VALUE!</v>
      </c>
      <c r="AJ338" t="e">
        <f t="shared" ca="1" si="160"/>
        <v>#VALUE!</v>
      </c>
      <c r="AM338">
        <v>0</v>
      </c>
      <c r="AN338">
        <v>0</v>
      </c>
      <c r="AO338">
        <f t="shared" si="161"/>
        <v>0</v>
      </c>
      <c r="AP338">
        <f t="shared" si="170"/>
        <v>0</v>
      </c>
      <c r="AQ338" t="e">
        <f t="shared" ca="1" si="162"/>
        <v>#VALUE!</v>
      </c>
      <c r="AR338" t="e">
        <f t="shared" ca="1" si="163"/>
        <v>#VALUE!</v>
      </c>
      <c r="AS338" t="e">
        <f t="shared" ca="1" si="164"/>
        <v>#VALUE!</v>
      </c>
    </row>
    <row r="339" spans="1:45" x14ac:dyDescent="0.35">
      <c r="A339">
        <v>190</v>
      </c>
      <c r="B339">
        <v>188.94800000000001</v>
      </c>
      <c r="C339">
        <v>616394.93099999998</v>
      </c>
      <c r="D339">
        <v>3097691.7289999998</v>
      </c>
      <c r="E339">
        <v>632.46749999999997</v>
      </c>
      <c r="F339">
        <v>5.2</v>
      </c>
      <c r="G339">
        <v>0</v>
      </c>
      <c r="H339" t="s">
        <v>191</v>
      </c>
      <c r="I339">
        <v>5.7000000000000002E-2</v>
      </c>
      <c r="J339">
        <f t="shared" si="165"/>
        <v>1</v>
      </c>
      <c r="K339">
        <f t="shared" si="166"/>
        <v>51</v>
      </c>
      <c r="L339" t="e">
        <f t="shared" ca="1" si="167"/>
        <v>#VALUE!</v>
      </c>
      <c r="M339" t="e">
        <f t="shared" ca="1" si="140"/>
        <v>#VALUE!</v>
      </c>
      <c r="N339" t="e">
        <f t="shared" ca="1" si="141"/>
        <v>#VALUE!</v>
      </c>
      <c r="O339" t="e">
        <f t="shared" ca="1" si="142"/>
        <v>#VALUE!</v>
      </c>
      <c r="P339" t="e">
        <f t="shared" ca="1" si="143"/>
        <v>#VALUE!</v>
      </c>
      <c r="Q339" t="e">
        <f t="shared" ca="1" si="144"/>
        <v>#VALUE!</v>
      </c>
      <c r="R339" t="e">
        <f t="shared" ca="1" si="145"/>
        <v>#VALUE!</v>
      </c>
      <c r="S339" t="e">
        <f t="shared" ca="1" si="146"/>
        <v>#VALUE!</v>
      </c>
      <c r="T339" t="e">
        <f t="shared" ca="1" si="147"/>
        <v>#VALUE!</v>
      </c>
      <c r="U339" t="e">
        <f t="shared" ca="1" si="168"/>
        <v>#VALUE!</v>
      </c>
      <c r="V339" t="e">
        <f t="shared" ca="1" si="169"/>
        <v>#VALUE!</v>
      </c>
      <c r="W339" t="e">
        <f t="shared" ca="1" si="148"/>
        <v>#VALUE!</v>
      </c>
      <c r="X339" t="e">
        <f t="shared" ca="1" si="149"/>
        <v>#VALUE!</v>
      </c>
      <c r="Y339" t="e">
        <f t="shared" ca="1" si="150"/>
        <v>#VALUE!</v>
      </c>
      <c r="Z339" t="e">
        <f t="shared" ca="1" si="151"/>
        <v>#VALUE!</v>
      </c>
      <c r="AA339" t="e">
        <f t="shared" ca="1" si="152"/>
        <v>#VALUE!</v>
      </c>
      <c r="AB339" t="e">
        <f t="shared" ca="1" si="153"/>
        <v>#VALUE!</v>
      </c>
      <c r="AC339" t="e">
        <f t="shared" ca="1" si="154"/>
        <v>#VALUE!</v>
      </c>
      <c r="AD339" t="e">
        <f t="shared" ca="1" si="155"/>
        <v>#VALUE!</v>
      </c>
      <c r="AE339" t="e">
        <f t="shared" ca="1" si="156"/>
        <v>#VALUE!</v>
      </c>
      <c r="AF339" t="e">
        <f t="shared" ca="1" si="157"/>
        <v>#VALUE!</v>
      </c>
      <c r="AG339" t="e">
        <f t="shared" ca="1" si="158"/>
        <v>#VALUE!</v>
      </c>
      <c r="AH339" t="e">
        <f ca="1">IF(V32="Supercritical",L339,IF(V32="Subcritical",W339,IF(AND(V339=1,AG339=1),IF(T339&gt;=AE339,L339,W339),IF(V339=1,L339,IF(AG339=1,W339,MAX($D$16,POWER((ABS(K339)^2)/($I$5*MAX(F339,0.1)^2),1/3)))))))</f>
        <v>#VALUE!</v>
      </c>
      <c r="AI339" t="e">
        <f t="shared" ca="1" si="159"/>
        <v>#VALUE!</v>
      </c>
      <c r="AJ339" t="e">
        <f t="shared" ca="1" si="160"/>
        <v>#VALUE!</v>
      </c>
      <c r="AM339">
        <v>0</v>
      </c>
      <c r="AN339">
        <v>0</v>
      </c>
      <c r="AO339">
        <f t="shared" si="161"/>
        <v>0</v>
      </c>
      <c r="AP339">
        <f t="shared" si="170"/>
        <v>0</v>
      </c>
      <c r="AQ339" t="e">
        <f t="shared" ca="1" si="162"/>
        <v>#VALUE!</v>
      </c>
      <c r="AR339" t="e">
        <f t="shared" ca="1" si="163"/>
        <v>#VALUE!</v>
      </c>
      <c r="AS339" t="e">
        <f t="shared" ca="1" si="164"/>
        <v>#VALUE!</v>
      </c>
    </row>
    <row r="340" spans="1:45" x14ac:dyDescent="0.35">
      <c r="A340">
        <v>191</v>
      </c>
      <c r="B340">
        <v>189.94800000000001</v>
      </c>
      <c r="C340">
        <v>616393.93200000003</v>
      </c>
      <c r="D340">
        <v>3097691.6809999999</v>
      </c>
      <c r="E340">
        <v>632.46699999999998</v>
      </c>
      <c r="F340">
        <v>5.2</v>
      </c>
      <c r="G340">
        <v>0</v>
      </c>
      <c r="H340" t="s">
        <v>191</v>
      </c>
      <c r="I340">
        <v>0</v>
      </c>
      <c r="J340">
        <f t="shared" si="165"/>
        <v>1</v>
      </c>
      <c r="K340">
        <f t="shared" si="166"/>
        <v>51</v>
      </c>
      <c r="L340" t="e">
        <f t="shared" ca="1" si="167"/>
        <v>#VALUE!</v>
      </c>
      <c r="M340" t="e">
        <f t="shared" ca="1" si="140"/>
        <v>#VALUE!</v>
      </c>
      <c r="N340" t="e">
        <f t="shared" ca="1" si="141"/>
        <v>#VALUE!</v>
      </c>
      <c r="O340" t="e">
        <f t="shared" ca="1" si="142"/>
        <v>#VALUE!</v>
      </c>
      <c r="P340" t="e">
        <f t="shared" ca="1" si="143"/>
        <v>#VALUE!</v>
      </c>
      <c r="Q340" t="e">
        <f t="shared" ca="1" si="144"/>
        <v>#VALUE!</v>
      </c>
      <c r="R340" t="e">
        <f t="shared" ca="1" si="145"/>
        <v>#VALUE!</v>
      </c>
      <c r="S340" t="e">
        <f t="shared" ca="1" si="146"/>
        <v>#VALUE!</v>
      </c>
      <c r="T340" t="e">
        <f t="shared" ca="1" si="147"/>
        <v>#VALUE!</v>
      </c>
      <c r="U340" t="e">
        <f t="shared" ca="1" si="168"/>
        <v>#VALUE!</v>
      </c>
      <c r="V340" t="e">
        <f t="shared" ca="1" si="169"/>
        <v>#VALUE!</v>
      </c>
      <c r="W340" t="e">
        <f t="shared" ca="1" si="148"/>
        <v>#VALUE!</v>
      </c>
      <c r="X340" t="e">
        <f t="shared" ca="1" si="149"/>
        <v>#VALUE!</v>
      </c>
      <c r="Y340" t="e">
        <f t="shared" ca="1" si="150"/>
        <v>#VALUE!</v>
      </c>
      <c r="Z340" t="e">
        <f t="shared" ca="1" si="151"/>
        <v>#VALUE!</v>
      </c>
      <c r="AA340" t="e">
        <f t="shared" ca="1" si="152"/>
        <v>#VALUE!</v>
      </c>
      <c r="AB340" t="e">
        <f t="shared" ca="1" si="153"/>
        <v>#VALUE!</v>
      </c>
      <c r="AC340" t="e">
        <f t="shared" ca="1" si="154"/>
        <v>#VALUE!</v>
      </c>
      <c r="AD340" t="e">
        <f t="shared" ca="1" si="155"/>
        <v>#VALUE!</v>
      </c>
      <c r="AE340" t="e">
        <f t="shared" ca="1" si="156"/>
        <v>#VALUE!</v>
      </c>
      <c r="AF340" t="e">
        <f t="shared" ca="1" si="157"/>
        <v>#VALUE!</v>
      </c>
      <c r="AG340" t="e">
        <f t="shared" ca="1" si="158"/>
        <v>#VALUE!</v>
      </c>
      <c r="AH340" t="e">
        <f ca="1">IF(V32="Supercritical",L340,IF(V32="Subcritical",W340,IF(AND(V340=1,AG340=1),IF(T340&gt;=AE340,L340,W340),IF(V340=1,L340,IF(AG340=1,W340,MAX($D$16,POWER((ABS(K340)^2)/($I$5*MAX(F340,0.1)^2),1/3)))))))</f>
        <v>#VALUE!</v>
      </c>
      <c r="AI340" t="e">
        <f t="shared" ca="1" si="159"/>
        <v>#VALUE!</v>
      </c>
      <c r="AJ340" t="e">
        <f t="shared" ca="1" si="160"/>
        <v>#VALUE!</v>
      </c>
      <c r="AM340">
        <v>0</v>
      </c>
      <c r="AN340">
        <v>0</v>
      </c>
      <c r="AO340">
        <f t="shared" si="161"/>
        <v>0</v>
      </c>
      <c r="AP340">
        <f t="shared" si="170"/>
        <v>0</v>
      </c>
      <c r="AQ340" t="e">
        <f t="shared" ca="1" si="162"/>
        <v>#VALUE!</v>
      </c>
      <c r="AR340" t="e">
        <f t="shared" ca="1" si="163"/>
        <v>#VALUE!</v>
      </c>
      <c r="AS340" t="e">
        <f t="shared" ca="1" si="164"/>
        <v>#VALUE!</v>
      </c>
    </row>
    <row r="341" spans="1:45" x14ac:dyDescent="0.35">
      <c r="A341">
        <v>192</v>
      </c>
      <c r="B341">
        <v>190.94800000000001</v>
      </c>
      <c r="C341">
        <v>616392.93299999996</v>
      </c>
      <c r="D341">
        <v>3097691.6329999999</v>
      </c>
      <c r="E341">
        <v>632.4665</v>
      </c>
      <c r="F341">
        <v>5.2</v>
      </c>
      <c r="G341">
        <v>0</v>
      </c>
      <c r="H341" t="s">
        <v>191</v>
      </c>
      <c r="I341">
        <v>5.7000000000000002E-2</v>
      </c>
      <c r="J341">
        <f t="shared" si="165"/>
        <v>1</v>
      </c>
      <c r="K341">
        <f t="shared" si="166"/>
        <v>51</v>
      </c>
      <c r="L341" t="e">
        <f t="shared" ca="1" si="167"/>
        <v>#VALUE!</v>
      </c>
      <c r="M341" t="e">
        <f t="shared" ca="1" si="140"/>
        <v>#VALUE!</v>
      </c>
      <c r="N341" t="e">
        <f t="shared" ca="1" si="141"/>
        <v>#VALUE!</v>
      </c>
      <c r="O341" t="e">
        <f t="shared" ca="1" si="142"/>
        <v>#VALUE!</v>
      </c>
      <c r="P341" t="e">
        <f t="shared" ca="1" si="143"/>
        <v>#VALUE!</v>
      </c>
      <c r="Q341" t="e">
        <f t="shared" ca="1" si="144"/>
        <v>#VALUE!</v>
      </c>
      <c r="R341" t="e">
        <f t="shared" ca="1" si="145"/>
        <v>#VALUE!</v>
      </c>
      <c r="S341" t="e">
        <f t="shared" ca="1" si="146"/>
        <v>#VALUE!</v>
      </c>
      <c r="T341" t="e">
        <f t="shared" ca="1" si="147"/>
        <v>#VALUE!</v>
      </c>
      <c r="U341" t="e">
        <f t="shared" ca="1" si="168"/>
        <v>#VALUE!</v>
      </c>
      <c r="V341" t="e">
        <f t="shared" ca="1" si="169"/>
        <v>#VALUE!</v>
      </c>
      <c r="W341" t="e">
        <f t="shared" ca="1" si="148"/>
        <v>#VALUE!</v>
      </c>
      <c r="X341" t="e">
        <f t="shared" ca="1" si="149"/>
        <v>#VALUE!</v>
      </c>
      <c r="Y341" t="e">
        <f t="shared" ca="1" si="150"/>
        <v>#VALUE!</v>
      </c>
      <c r="Z341" t="e">
        <f t="shared" ca="1" si="151"/>
        <v>#VALUE!</v>
      </c>
      <c r="AA341" t="e">
        <f t="shared" ca="1" si="152"/>
        <v>#VALUE!</v>
      </c>
      <c r="AB341" t="e">
        <f t="shared" ca="1" si="153"/>
        <v>#VALUE!</v>
      </c>
      <c r="AC341" t="e">
        <f t="shared" ca="1" si="154"/>
        <v>#VALUE!</v>
      </c>
      <c r="AD341" t="e">
        <f t="shared" ca="1" si="155"/>
        <v>#VALUE!</v>
      </c>
      <c r="AE341" t="e">
        <f t="shared" ca="1" si="156"/>
        <v>#VALUE!</v>
      </c>
      <c r="AF341" t="e">
        <f t="shared" ca="1" si="157"/>
        <v>#VALUE!</v>
      </c>
      <c r="AG341" t="e">
        <f t="shared" ca="1" si="158"/>
        <v>#VALUE!</v>
      </c>
      <c r="AH341" t="e">
        <f ca="1">IF(V32="Supercritical",L341,IF(V32="Subcritical",W341,IF(AND(V341=1,AG341=1),IF(T341&gt;=AE341,L341,W341),IF(V341=1,L341,IF(AG341=1,W341,MAX($D$16,POWER((ABS(K341)^2)/($I$5*MAX(F341,0.1)^2),1/3)))))))</f>
        <v>#VALUE!</v>
      </c>
      <c r="AI341" t="e">
        <f t="shared" ca="1" si="159"/>
        <v>#VALUE!</v>
      </c>
      <c r="AJ341" t="e">
        <f t="shared" ca="1" si="160"/>
        <v>#VALUE!</v>
      </c>
      <c r="AM341">
        <v>0</v>
      </c>
      <c r="AN341">
        <v>0</v>
      </c>
      <c r="AO341">
        <f t="shared" si="161"/>
        <v>0</v>
      </c>
      <c r="AP341">
        <f t="shared" si="170"/>
        <v>0</v>
      </c>
      <c r="AQ341" t="e">
        <f t="shared" ca="1" si="162"/>
        <v>#VALUE!</v>
      </c>
      <c r="AR341" t="e">
        <f t="shared" ca="1" si="163"/>
        <v>#VALUE!</v>
      </c>
      <c r="AS341" t="e">
        <f t="shared" ca="1" si="164"/>
        <v>#VALUE!</v>
      </c>
    </row>
    <row r="342" spans="1:45" x14ac:dyDescent="0.35">
      <c r="A342">
        <v>193</v>
      </c>
      <c r="B342">
        <v>191.94800000000001</v>
      </c>
      <c r="C342">
        <v>616391.93400000001</v>
      </c>
      <c r="D342">
        <v>3097691.5860000001</v>
      </c>
      <c r="E342">
        <v>632.46600000000001</v>
      </c>
      <c r="F342">
        <v>5.2</v>
      </c>
      <c r="G342">
        <v>0</v>
      </c>
      <c r="H342" t="s">
        <v>191</v>
      </c>
      <c r="I342">
        <v>5.7000000000000002E-2</v>
      </c>
      <c r="J342">
        <f t="shared" si="165"/>
        <v>1</v>
      </c>
      <c r="K342">
        <f t="shared" si="166"/>
        <v>51</v>
      </c>
      <c r="L342" t="e">
        <f t="shared" ca="1" si="167"/>
        <v>#VALUE!</v>
      </c>
      <c r="M342" t="e">
        <f t="shared" ref="M342:M405" ca="1" si="171">((F342)+(G342)*(L342))*(L342)</f>
        <v>#VALUE!</v>
      </c>
      <c r="N342" t="e">
        <f t="shared" ref="N342:N405" ca="1" si="172">(((F342)+(G342)*(L342))*(L342))/MAX((F342)+2*(L342)*SQRT(1+(G342)^2),0.000001)</f>
        <v>#VALUE!</v>
      </c>
      <c r="O342" t="e">
        <f t="shared" ref="O342:O405" ca="1" si="173">ABS(K342)/MAX(((F342)+(G342)*(L342))*(L342),0.000001)</f>
        <v>#VALUE!</v>
      </c>
      <c r="P342" t="e">
        <f t="shared" ref="P342:P405" ca="1" si="174">E342+L342</f>
        <v>#VALUE!</v>
      </c>
      <c r="Q342" t="e">
        <f t="shared" ref="Q342:Q405" ca="1" si="175">P342+((ABS(K342)/MAX(((F342)+(G342)*(L342))*(L342),0.000001))^2)/(2*$I$5)</f>
        <v>#VALUE!</v>
      </c>
      <c r="R342" t="e">
        <f t="shared" ref="R342:R405" ca="1" si="176">((ABS(K342)*$D$6)/(MAX(((F342)+(G342)*(L342))*(L342),0.000001)*MAX(((((F342)+(G342)*(L342))*(L342))/MAX((F342)+2*(L342)*SQRT(1+(G342)^2),0.000001))^(2/3),0.000001)))^2</f>
        <v>#VALUE!</v>
      </c>
      <c r="S342" t="e">
        <f t="shared" ref="S342:S405" ca="1" si="177">ABS(ABS(K342)/MAX(((F342)+(G342)*(L342))*(L342),0.000001))/SQRT($I$5*MAX((((F342)+(G342)*(L342))*(L342))/MAX((F342)+2*(G342)*(L342),0.000001),0.000001))</f>
        <v>#VALUE!</v>
      </c>
      <c r="T342" t="e">
        <f t="shared" ref="T342:T405" ca="1" si="178">((F342)*(L342)^2)/2+(G342)*(L342)^3/3+(ABS(K342)^2)/($I$5*MAX(((F342)+(G342)*(L342))*(L342),0.000001))</f>
        <v>#VALUE!</v>
      </c>
      <c r="U342" t="e">
        <f t="shared" ca="1" si="168"/>
        <v>#VALUE!</v>
      </c>
      <c r="V342" t="e">
        <f t="shared" ca="1" si="169"/>
        <v>#VALUE!</v>
      </c>
      <c r="W342" t="e">
        <f t="shared" ref="W342:W405" ca="1" si="179">IF($D$20=0,W343,IF(AG343=0,W343,IF(W342=0,W343,IF(ABS(AF342)&gt;$D$19,MAX($D$16,W342+((AF342)*$D$18*IF((AD342)&lt;1,1,-1))),W342))))</f>
        <v>#VALUE!</v>
      </c>
      <c r="X342" t="e">
        <f t="shared" ref="X342:X405" ca="1" si="180">((F342)+(G342)*(W342))*(W342)</f>
        <v>#VALUE!</v>
      </c>
      <c r="Y342" t="e">
        <f t="shared" ref="Y342:Y405" ca="1" si="181">(((F342)+(G342)*(W342))*(W342))/MAX((F342)+2*(W342)*SQRT(1+(G342)^2),0.000001)</f>
        <v>#VALUE!</v>
      </c>
      <c r="Z342" t="e">
        <f t="shared" ref="Z342:Z405" ca="1" si="182">ABS(K342)/MAX(((F342)+(G342)*(W342))*(W342),0.000001)</f>
        <v>#VALUE!</v>
      </c>
      <c r="AA342" t="e">
        <f t="shared" ref="AA342:AA405" ca="1" si="183">E342+W342</f>
        <v>#VALUE!</v>
      </c>
      <c r="AB342" t="e">
        <f t="shared" ref="AB342:AB405" ca="1" si="184">AA342+((ABS(K342)/MAX(((F342)+(G342)*(W342))*(W342),0.000001))^2)/(2*$I$5)</f>
        <v>#VALUE!</v>
      </c>
      <c r="AC342" t="e">
        <f t="shared" ref="AC342:AC405" ca="1" si="185">((ABS(K342)*$D$6)/(MAX(((F342)+(G342)*(W342))*(W342),0.000001)*MAX(((((F342)+(G342)*(W342))*(W342))/MAX((F342)+2*(W342)*SQRT(1+(G342)^2),0.000001))^(2/3),0.000001)))^2</f>
        <v>#VALUE!</v>
      </c>
      <c r="AD342" t="e">
        <f t="shared" ref="AD342:AD405" ca="1" si="186">ABS(ABS(K342)/MAX(((F342)+(G342)*(W342))*(W342),0.000001))/SQRT($I$5*MAX((((F342)+(G342)*(W342))*(W342))/MAX((F342)+2*(G342)*(W342),0.000001),0.000001))</f>
        <v>#VALUE!</v>
      </c>
      <c r="AE342" t="e">
        <f t="shared" ref="AE342:AE405" ca="1" si="187">((F342)*(W342)^2)/2+(G342)*(W342)^3/3+(ABS(K342)^2)/($I$5*MAX(((F342)+(G342)*(W342))*(W342),0.000001))</f>
        <v>#VALUE!</v>
      </c>
      <c r="AF342" t="e">
        <f t="shared" ref="AF342:AF405" ca="1" si="188">AB343+(((AC342+AC343)/2)*J343)+(IF(Z342&gt;Z343,$D$8*((Z342^2-Z343^2)/(2*$I$5)),$D$9*((Z343^2-Z342^2)/(2*$I$5)))+($D$10*(ABS(I343)/90)*(MAX(Z342^2,Z343^2)/(2*$I$5))))-AB342</f>
        <v>#VALUE!</v>
      </c>
      <c r="AG342" t="e">
        <f t="shared" ref="AG342:AG405" ca="1" si="189">IF(ABS(AF342)&lt;$D$19,1,0)</f>
        <v>#VALUE!</v>
      </c>
      <c r="AH342" t="e">
        <f ca="1">IF(V32="Supercritical",L342,IF(V32="Subcritical",W342,IF(AND(V342=1,AG342=1),IF(T342&gt;=AE342,L342,W342),IF(V342=1,L342,IF(AG342=1,W342,MAX($D$16,POWER((ABS(K342)^2)/($I$5*MAX(F342,0.1)^2),1/3)))))))</f>
        <v>#VALUE!</v>
      </c>
      <c r="AI342" t="e">
        <f t="shared" ref="AI342:AI405" ca="1" si="190">E342+AH342</f>
        <v>#VALUE!</v>
      </c>
      <c r="AJ342" t="e">
        <f t="shared" ref="AJ342:AJ405" ca="1" si="191">AI342+((ABS(K342)/MAX(((F342)+(G342)*(AH342))*(AH342),0.000001))^2)/(2*$I$5)</f>
        <v>#VALUE!</v>
      </c>
      <c r="AM342">
        <v>0</v>
      </c>
      <c r="AN342">
        <v>0</v>
      </c>
      <c r="AO342">
        <f t="shared" ref="AO342:AO405" si="192">AM342+AN342</f>
        <v>0</v>
      </c>
      <c r="AP342">
        <f t="shared" si="170"/>
        <v>0</v>
      </c>
      <c r="AQ342" t="e">
        <f t="shared" ref="AQ342:AQ405" ca="1" si="193">ABS(ABS(K342)/MAX(((F342)+(G342)*(AH342))*(AH342),0.000001))/SQRT($I$5*MAX((((F342)+(G342)*(AH342))*(AH342))/MAX((F342)+2*(G342)*(AH342),0.000001),0.000001))</f>
        <v>#VALUE!</v>
      </c>
      <c r="AR342" t="e">
        <f t="shared" ref="AR342:AR405" ca="1" si="194">IF(AQ342&lt;1,"Subcritical","Supercritical")</f>
        <v>#VALUE!</v>
      </c>
      <c r="AS342" t="e">
        <f t="shared" ref="AS342:AS405" ca="1" si="195">((ABS(K342)*$D$6)/(MAX(((F342)+(G342)*(AH342))*(AH342),0.000001)*MAX(((((F342)+(G342)*(AH342))*(AH342))/MAX((F342)+2*(AH342)*SQRT(1+(G342)^2),0.000001))^(2/3),0.000001)))^2</f>
        <v>#VALUE!</v>
      </c>
    </row>
    <row r="343" spans="1:45" x14ac:dyDescent="0.35">
      <c r="A343">
        <v>194</v>
      </c>
      <c r="B343">
        <v>192.94900000000001</v>
      </c>
      <c r="C343">
        <v>616390.93500000006</v>
      </c>
      <c r="D343">
        <v>3097691.5380000002</v>
      </c>
      <c r="E343">
        <v>632.46550000000002</v>
      </c>
      <c r="F343">
        <v>5.2</v>
      </c>
      <c r="G343">
        <v>0</v>
      </c>
      <c r="H343" t="s">
        <v>191</v>
      </c>
      <c r="I343">
        <v>5.7000000000000002E-2</v>
      </c>
      <c r="J343">
        <f t="shared" ref="J343:J406" si="196">B343-B342</f>
        <v>1.0010000000000048</v>
      </c>
      <c r="K343">
        <f t="shared" ref="K343:K406" si="197">MAX(0,K342-AO342)</f>
        <v>51</v>
      </c>
      <c r="L343" t="e">
        <f t="shared" ref="L343:L406" ca="1" si="198">IF($D$20=0,L342,IF(V342=0,L342,IF(L343=0,L342,IF(ABS(U343)&gt;$D$19,MAX($D$16,L343+((U343)*$D$18*IF((S343)&lt;1,1,-1))),L343))))</f>
        <v>#VALUE!</v>
      </c>
      <c r="M343" t="e">
        <f t="shared" ca="1" si="171"/>
        <v>#VALUE!</v>
      </c>
      <c r="N343" t="e">
        <f t="shared" ca="1" si="172"/>
        <v>#VALUE!</v>
      </c>
      <c r="O343" t="e">
        <f t="shared" ca="1" si="173"/>
        <v>#VALUE!</v>
      </c>
      <c r="P343" t="e">
        <f t="shared" ca="1" si="174"/>
        <v>#VALUE!</v>
      </c>
      <c r="Q343" t="e">
        <f t="shared" ca="1" si="175"/>
        <v>#VALUE!</v>
      </c>
      <c r="R343" t="e">
        <f t="shared" ca="1" si="176"/>
        <v>#VALUE!</v>
      </c>
      <c r="S343" t="e">
        <f t="shared" ca="1" si="177"/>
        <v>#VALUE!</v>
      </c>
      <c r="T343" t="e">
        <f t="shared" ca="1" si="178"/>
        <v>#VALUE!</v>
      </c>
      <c r="U343" t="e">
        <f t="shared" ref="U343:U406" ca="1" si="199">Q342-(((R342+R343)/2)*J343)-(IF(O342&gt;O343,$D$8*((O342^2-O343^2)/(2*$I$5)),$D$9*((O343^2-O342^2)/(2*$I$5)))+($D$10*(ABS(I343)/90)*(MAX(O342^2,O343^2)/(2*$I$5))))-Q343</f>
        <v>#VALUE!</v>
      </c>
      <c r="V343" t="e">
        <f t="shared" ref="V343:V406" ca="1" si="200">IF(ABS(U343)&lt;$D$19,1,0)</f>
        <v>#VALUE!</v>
      </c>
      <c r="W343" t="e">
        <f t="shared" ca="1" si="179"/>
        <v>#VALUE!</v>
      </c>
      <c r="X343" t="e">
        <f t="shared" ca="1" si="180"/>
        <v>#VALUE!</v>
      </c>
      <c r="Y343" t="e">
        <f t="shared" ca="1" si="181"/>
        <v>#VALUE!</v>
      </c>
      <c r="Z343" t="e">
        <f t="shared" ca="1" si="182"/>
        <v>#VALUE!</v>
      </c>
      <c r="AA343" t="e">
        <f t="shared" ca="1" si="183"/>
        <v>#VALUE!</v>
      </c>
      <c r="AB343" t="e">
        <f t="shared" ca="1" si="184"/>
        <v>#VALUE!</v>
      </c>
      <c r="AC343" t="e">
        <f t="shared" ca="1" si="185"/>
        <v>#VALUE!</v>
      </c>
      <c r="AD343" t="e">
        <f t="shared" ca="1" si="186"/>
        <v>#VALUE!</v>
      </c>
      <c r="AE343" t="e">
        <f t="shared" ca="1" si="187"/>
        <v>#VALUE!</v>
      </c>
      <c r="AF343" t="e">
        <f t="shared" ca="1" si="188"/>
        <v>#VALUE!</v>
      </c>
      <c r="AG343" t="e">
        <f t="shared" ca="1" si="189"/>
        <v>#VALUE!</v>
      </c>
      <c r="AH343" t="e">
        <f ca="1">IF(V32="Supercritical",L343,IF(V32="Subcritical",W343,IF(AND(V343=1,AG343=1),IF(T343&gt;=AE343,L343,W343),IF(V343=1,L343,IF(AG343=1,W343,MAX($D$16,POWER((ABS(K343)^2)/($I$5*MAX(F343,0.1)^2),1/3)))))))</f>
        <v>#VALUE!</v>
      </c>
      <c r="AI343" t="e">
        <f t="shared" ca="1" si="190"/>
        <v>#VALUE!</v>
      </c>
      <c r="AJ343" t="e">
        <f t="shared" ca="1" si="191"/>
        <v>#VALUE!</v>
      </c>
      <c r="AM343">
        <v>0</v>
      </c>
      <c r="AN343">
        <v>0</v>
      </c>
      <c r="AO343">
        <f t="shared" si="192"/>
        <v>0</v>
      </c>
      <c r="AP343">
        <f t="shared" ref="AP343:AP406" si="201">AP342+AO343</f>
        <v>0</v>
      </c>
      <c r="AQ343" t="e">
        <f t="shared" ca="1" si="193"/>
        <v>#VALUE!</v>
      </c>
      <c r="AR343" t="e">
        <f t="shared" ca="1" si="194"/>
        <v>#VALUE!</v>
      </c>
      <c r="AS343" t="e">
        <f t="shared" ca="1" si="195"/>
        <v>#VALUE!</v>
      </c>
    </row>
    <row r="344" spans="1:45" x14ac:dyDescent="0.35">
      <c r="A344">
        <v>195</v>
      </c>
      <c r="B344">
        <v>193.94900000000001</v>
      </c>
      <c r="C344">
        <v>616389.93599999999</v>
      </c>
      <c r="D344">
        <v>3097691.4909999999</v>
      </c>
      <c r="E344">
        <v>632.46500000000003</v>
      </c>
      <c r="F344">
        <v>5.2</v>
      </c>
      <c r="G344">
        <v>0</v>
      </c>
      <c r="H344" t="s">
        <v>191</v>
      </c>
      <c r="I344">
        <v>0.06</v>
      </c>
      <c r="J344">
        <f t="shared" si="196"/>
        <v>1</v>
      </c>
      <c r="K344">
        <f t="shared" si="197"/>
        <v>51</v>
      </c>
      <c r="L344" t="e">
        <f t="shared" ca="1" si="198"/>
        <v>#VALUE!</v>
      </c>
      <c r="M344" t="e">
        <f t="shared" ca="1" si="171"/>
        <v>#VALUE!</v>
      </c>
      <c r="N344" t="e">
        <f t="shared" ca="1" si="172"/>
        <v>#VALUE!</v>
      </c>
      <c r="O344" t="e">
        <f t="shared" ca="1" si="173"/>
        <v>#VALUE!</v>
      </c>
      <c r="P344" t="e">
        <f t="shared" ca="1" si="174"/>
        <v>#VALUE!</v>
      </c>
      <c r="Q344" t="e">
        <f t="shared" ca="1" si="175"/>
        <v>#VALUE!</v>
      </c>
      <c r="R344" t="e">
        <f t="shared" ca="1" si="176"/>
        <v>#VALUE!</v>
      </c>
      <c r="S344" t="e">
        <f t="shared" ca="1" si="177"/>
        <v>#VALUE!</v>
      </c>
      <c r="T344" t="e">
        <f t="shared" ca="1" si="178"/>
        <v>#VALUE!</v>
      </c>
      <c r="U344" t="e">
        <f t="shared" ca="1" si="199"/>
        <v>#VALUE!</v>
      </c>
      <c r="V344" t="e">
        <f t="shared" ca="1" si="200"/>
        <v>#VALUE!</v>
      </c>
      <c r="W344" t="e">
        <f t="shared" ca="1" si="179"/>
        <v>#VALUE!</v>
      </c>
      <c r="X344" t="e">
        <f t="shared" ca="1" si="180"/>
        <v>#VALUE!</v>
      </c>
      <c r="Y344" t="e">
        <f t="shared" ca="1" si="181"/>
        <v>#VALUE!</v>
      </c>
      <c r="Z344" t="e">
        <f t="shared" ca="1" si="182"/>
        <v>#VALUE!</v>
      </c>
      <c r="AA344" t="e">
        <f t="shared" ca="1" si="183"/>
        <v>#VALUE!</v>
      </c>
      <c r="AB344" t="e">
        <f t="shared" ca="1" si="184"/>
        <v>#VALUE!</v>
      </c>
      <c r="AC344" t="e">
        <f t="shared" ca="1" si="185"/>
        <v>#VALUE!</v>
      </c>
      <c r="AD344" t="e">
        <f t="shared" ca="1" si="186"/>
        <v>#VALUE!</v>
      </c>
      <c r="AE344" t="e">
        <f t="shared" ca="1" si="187"/>
        <v>#VALUE!</v>
      </c>
      <c r="AF344" t="e">
        <f t="shared" ca="1" si="188"/>
        <v>#VALUE!</v>
      </c>
      <c r="AG344" t="e">
        <f t="shared" ca="1" si="189"/>
        <v>#VALUE!</v>
      </c>
      <c r="AH344" t="e">
        <f ca="1">IF(V32="Supercritical",L344,IF(V32="Subcritical",W344,IF(AND(V344=1,AG344=1),IF(T344&gt;=AE344,L344,W344),IF(V344=1,L344,IF(AG344=1,W344,MAX($D$16,POWER((ABS(K344)^2)/($I$5*MAX(F344,0.1)^2),1/3)))))))</f>
        <v>#VALUE!</v>
      </c>
      <c r="AI344" t="e">
        <f t="shared" ca="1" si="190"/>
        <v>#VALUE!</v>
      </c>
      <c r="AJ344" t="e">
        <f t="shared" ca="1" si="191"/>
        <v>#VALUE!</v>
      </c>
      <c r="AM344">
        <v>0</v>
      </c>
      <c r="AN344">
        <v>0</v>
      </c>
      <c r="AO344">
        <f t="shared" si="192"/>
        <v>0</v>
      </c>
      <c r="AP344">
        <f t="shared" si="201"/>
        <v>0</v>
      </c>
      <c r="AQ344" t="e">
        <f t="shared" ca="1" si="193"/>
        <v>#VALUE!</v>
      </c>
      <c r="AR344" t="e">
        <f t="shared" ca="1" si="194"/>
        <v>#VALUE!</v>
      </c>
      <c r="AS344" t="e">
        <f t="shared" ca="1" si="195"/>
        <v>#VALUE!</v>
      </c>
    </row>
    <row r="345" spans="1:45" x14ac:dyDescent="0.35">
      <c r="A345">
        <v>196</v>
      </c>
      <c r="B345">
        <v>194.94800000000001</v>
      </c>
      <c r="C345">
        <v>616388.93799999997</v>
      </c>
      <c r="D345">
        <v>3097691.443</v>
      </c>
      <c r="E345">
        <v>632.46450000000004</v>
      </c>
      <c r="F345">
        <v>5.2</v>
      </c>
      <c r="G345">
        <v>0</v>
      </c>
      <c r="H345" t="s">
        <v>191</v>
      </c>
      <c r="I345">
        <v>3.0000000000000001E-3</v>
      </c>
      <c r="J345">
        <f t="shared" si="196"/>
        <v>0.99899999999999523</v>
      </c>
      <c r="K345">
        <f t="shared" si="197"/>
        <v>51</v>
      </c>
      <c r="L345" t="e">
        <f t="shared" ca="1" si="198"/>
        <v>#VALUE!</v>
      </c>
      <c r="M345" t="e">
        <f t="shared" ca="1" si="171"/>
        <v>#VALUE!</v>
      </c>
      <c r="N345" t="e">
        <f t="shared" ca="1" si="172"/>
        <v>#VALUE!</v>
      </c>
      <c r="O345" t="e">
        <f t="shared" ca="1" si="173"/>
        <v>#VALUE!</v>
      </c>
      <c r="P345" t="e">
        <f t="shared" ca="1" si="174"/>
        <v>#VALUE!</v>
      </c>
      <c r="Q345" t="e">
        <f t="shared" ca="1" si="175"/>
        <v>#VALUE!</v>
      </c>
      <c r="R345" t="e">
        <f t="shared" ca="1" si="176"/>
        <v>#VALUE!</v>
      </c>
      <c r="S345" t="e">
        <f t="shared" ca="1" si="177"/>
        <v>#VALUE!</v>
      </c>
      <c r="T345" t="e">
        <f t="shared" ca="1" si="178"/>
        <v>#VALUE!</v>
      </c>
      <c r="U345" t="e">
        <f t="shared" ca="1" si="199"/>
        <v>#VALUE!</v>
      </c>
      <c r="V345" t="e">
        <f t="shared" ca="1" si="200"/>
        <v>#VALUE!</v>
      </c>
      <c r="W345" t="e">
        <f t="shared" ca="1" si="179"/>
        <v>#VALUE!</v>
      </c>
      <c r="X345" t="e">
        <f t="shared" ca="1" si="180"/>
        <v>#VALUE!</v>
      </c>
      <c r="Y345" t="e">
        <f t="shared" ca="1" si="181"/>
        <v>#VALUE!</v>
      </c>
      <c r="Z345" t="e">
        <f t="shared" ca="1" si="182"/>
        <v>#VALUE!</v>
      </c>
      <c r="AA345" t="e">
        <f t="shared" ca="1" si="183"/>
        <v>#VALUE!</v>
      </c>
      <c r="AB345" t="e">
        <f t="shared" ca="1" si="184"/>
        <v>#VALUE!</v>
      </c>
      <c r="AC345" t="e">
        <f t="shared" ca="1" si="185"/>
        <v>#VALUE!</v>
      </c>
      <c r="AD345" t="e">
        <f t="shared" ca="1" si="186"/>
        <v>#VALUE!</v>
      </c>
      <c r="AE345" t="e">
        <f t="shared" ca="1" si="187"/>
        <v>#VALUE!</v>
      </c>
      <c r="AF345" t="e">
        <f t="shared" ca="1" si="188"/>
        <v>#VALUE!</v>
      </c>
      <c r="AG345" t="e">
        <f t="shared" ca="1" si="189"/>
        <v>#VALUE!</v>
      </c>
      <c r="AH345" t="e">
        <f ca="1">IF(V32="Supercritical",L345,IF(V32="Subcritical",W345,IF(AND(V345=1,AG345=1),IF(T345&gt;=AE345,L345,W345),IF(V345=1,L345,IF(AG345=1,W345,MAX($D$16,POWER((ABS(K345)^2)/($I$5*MAX(F345,0.1)^2),1/3)))))))</f>
        <v>#VALUE!</v>
      </c>
      <c r="AI345" t="e">
        <f t="shared" ca="1" si="190"/>
        <v>#VALUE!</v>
      </c>
      <c r="AJ345" t="e">
        <f t="shared" ca="1" si="191"/>
        <v>#VALUE!</v>
      </c>
      <c r="AM345">
        <v>0</v>
      </c>
      <c r="AN345">
        <v>0</v>
      </c>
      <c r="AO345">
        <f t="shared" si="192"/>
        <v>0</v>
      </c>
      <c r="AP345">
        <f t="shared" si="201"/>
        <v>0</v>
      </c>
      <c r="AQ345" t="e">
        <f t="shared" ca="1" si="193"/>
        <v>#VALUE!</v>
      </c>
      <c r="AR345" t="e">
        <f t="shared" ca="1" si="194"/>
        <v>#VALUE!</v>
      </c>
      <c r="AS345" t="e">
        <f t="shared" ca="1" si="195"/>
        <v>#VALUE!</v>
      </c>
    </row>
    <row r="346" spans="1:45" x14ac:dyDescent="0.35">
      <c r="A346">
        <v>197</v>
      </c>
      <c r="B346">
        <v>195.94800000000001</v>
      </c>
      <c r="C346">
        <v>616387.93900000001</v>
      </c>
      <c r="D346">
        <v>3097691.395</v>
      </c>
      <c r="E346">
        <v>632.46400000000006</v>
      </c>
      <c r="F346">
        <v>5.2</v>
      </c>
      <c r="G346">
        <v>0</v>
      </c>
      <c r="H346" t="s">
        <v>191</v>
      </c>
      <c r="I346">
        <v>5.7000000000000002E-2</v>
      </c>
      <c r="J346">
        <f t="shared" si="196"/>
        <v>1</v>
      </c>
      <c r="K346">
        <f t="shared" si="197"/>
        <v>51</v>
      </c>
      <c r="L346" t="e">
        <f t="shared" ca="1" si="198"/>
        <v>#VALUE!</v>
      </c>
      <c r="M346" t="e">
        <f t="shared" ca="1" si="171"/>
        <v>#VALUE!</v>
      </c>
      <c r="N346" t="e">
        <f t="shared" ca="1" si="172"/>
        <v>#VALUE!</v>
      </c>
      <c r="O346" t="e">
        <f t="shared" ca="1" si="173"/>
        <v>#VALUE!</v>
      </c>
      <c r="P346" t="e">
        <f t="shared" ca="1" si="174"/>
        <v>#VALUE!</v>
      </c>
      <c r="Q346" t="e">
        <f t="shared" ca="1" si="175"/>
        <v>#VALUE!</v>
      </c>
      <c r="R346" t="e">
        <f t="shared" ca="1" si="176"/>
        <v>#VALUE!</v>
      </c>
      <c r="S346" t="e">
        <f t="shared" ca="1" si="177"/>
        <v>#VALUE!</v>
      </c>
      <c r="T346" t="e">
        <f t="shared" ca="1" si="178"/>
        <v>#VALUE!</v>
      </c>
      <c r="U346" t="e">
        <f t="shared" ca="1" si="199"/>
        <v>#VALUE!</v>
      </c>
      <c r="V346" t="e">
        <f t="shared" ca="1" si="200"/>
        <v>#VALUE!</v>
      </c>
      <c r="W346" t="e">
        <f t="shared" ca="1" si="179"/>
        <v>#VALUE!</v>
      </c>
      <c r="X346" t="e">
        <f t="shared" ca="1" si="180"/>
        <v>#VALUE!</v>
      </c>
      <c r="Y346" t="e">
        <f t="shared" ca="1" si="181"/>
        <v>#VALUE!</v>
      </c>
      <c r="Z346" t="e">
        <f t="shared" ca="1" si="182"/>
        <v>#VALUE!</v>
      </c>
      <c r="AA346" t="e">
        <f t="shared" ca="1" si="183"/>
        <v>#VALUE!</v>
      </c>
      <c r="AB346" t="e">
        <f t="shared" ca="1" si="184"/>
        <v>#VALUE!</v>
      </c>
      <c r="AC346" t="e">
        <f t="shared" ca="1" si="185"/>
        <v>#VALUE!</v>
      </c>
      <c r="AD346" t="e">
        <f t="shared" ca="1" si="186"/>
        <v>#VALUE!</v>
      </c>
      <c r="AE346" t="e">
        <f t="shared" ca="1" si="187"/>
        <v>#VALUE!</v>
      </c>
      <c r="AF346" t="e">
        <f t="shared" ca="1" si="188"/>
        <v>#VALUE!</v>
      </c>
      <c r="AG346" t="e">
        <f t="shared" ca="1" si="189"/>
        <v>#VALUE!</v>
      </c>
      <c r="AH346" t="e">
        <f ca="1">IF(V32="Supercritical",L346,IF(V32="Subcritical",W346,IF(AND(V346=1,AG346=1),IF(T346&gt;=AE346,L346,W346),IF(V346=1,L346,IF(AG346=1,W346,MAX($D$16,POWER((ABS(K346)^2)/($I$5*MAX(F346,0.1)^2),1/3)))))))</f>
        <v>#VALUE!</v>
      </c>
      <c r="AI346" t="e">
        <f t="shared" ca="1" si="190"/>
        <v>#VALUE!</v>
      </c>
      <c r="AJ346" t="e">
        <f t="shared" ca="1" si="191"/>
        <v>#VALUE!</v>
      </c>
      <c r="AM346">
        <v>0</v>
      </c>
      <c r="AN346">
        <v>0</v>
      </c>
      <c r="AO346">
        <f t="shared" si="192"/>
        <v>0</v>
      </c>
      <c r="AP346">
        <f t="shared" si="201"/>
        <v>0</v>
      </c>
      <c r="AQ346" t="e">
        <f t="shared" ca="1" si="193"/>
        <v>#VALUE!</v>
      </c>
      <c r="AR346" t="e">
        <f t="shared" ca="1" si="194"/>
        <v>#VALUE!</v>
      </c>
      <c r="AS346" t="e">
        <f t="shared" ca="1" si="195"/>
        <v>#VALUE!</v>
      </c>
    </row>
    <row r="347" spans="1:45" x14ac:dyDescent="0.35">
      <c r="A347">
        <v>198</v>
      </c>
      <c r="B347">
        <v>196.94800000000001</v>
      </c>
      <c r="C347">
        <v>616386.93999999994</v>
      </c>
      <c r="D347">
        <v>3097691.3480000002</v>
      </c>
      <c r="E347">
        <v>632.46349999999995</v>
      </c>
      <c r="F347">
        <v>5.2</v>
      </c>
      <c r="G347">
        <v>0</v>
      </c>
      <c r="H347" t="s">
        <v>191</v>
      </c>
      <c r="I347">
        <v>5.7000000000000002E-2</v>
      </c>
      <c r="J347">
        <f t="shared" si="196"/>
        <v>1</v>
      </c>
      <c r="K347">
        <f t="shared" si="197"/>
        <v>51</v>
      </c>
      <c r="L347" t="e">
        <f t="shared" ca="1" si="198"/>
        <v>#VALUE!</v>
      </c>
      <c r="M347" t="e">
        <f t="shared" ca="1" si="171"/>
        <v>#VALUE!</v>
      </c>
      <c r="N347" t="e">
        <f t="shared" ca="1" si="172"/>
        <v>#VALUE!</v>
      </c>
      <c r="O347" t="e">
        <f t="shared" ca="1" si="173"/>
        <v>#VALUE!</v>
      </c>
      <c r="P347" t="e">
        <f t="shared" ca="1" si="174"/>
        <v>#VALUE!</v>
      </c>
      <c r="Q347" t="e">
        <f t="shared" ca="1" si="175"/>
        <v>#VALUE!</v>
      </c>
      <c r="R347" t="e">
        <f t="shared" ca="1" si="176"/>
        <v>#VALUE!</v>
      </c>
      <c r="S347" t="e">
        <f t="shared" ca="1" si="177"/>
        <v>#VALUE!</v>
      </c>
      <c r="T347" t="e">
        <f t="shared" ca="1" si="178"/>
        <v>#VALUE!</v>
      </c>
      <c r="U347" t="e">
        <f t="shared" ca="1" si="199"/>
        <v>#VALUE!</v>
      </c>
      <c r="V347" t="e">
        <f t="shared" ca="1" si="200"/>
        <v>#VALUE!</v>
      </c>
      <c r="W347" t="e">
        <f t="shared" ca="1" si="179"/>
        <v>#VALUE!</v>
      </c>
      <c r="X347" t="e">
        <f t="shared" ca="1" si="180"/>
        <v>#VALUE!</v>
      </c>
      <c r="Y347" t="e">
        <f t="shared" ca="1" si="181"/>
        <v>#VALUE!</v>
      </c>
      <c r="Z347" t="e">
        <f t="shared" ca="1" si="182"/>
        <v>#VALUE!</v>
      </c>
      <c r="AA347" t="e">
        <f t="shared" ca="1" si="183"/>
        <v>#VALUE!</v>
      </c>
      <c r="AB347" t="e">
        <f t="shared" ca="1" si="184"/>
        <v>#VALUE!</v>
      </c>
      <c r="AC347" t="e">
        <f t="shared" ca="1" si="185"/>
        <v>#VALUE!</v>
      </c>
      <c r="AD347" t="e">
        <f t="shared" ca="1" si="186"/>
        <v>#VALUE!</v>
      </c>
      <c r="AE347" t="e">
        <f t="shared" ca="1" si="187"/>
        <v>#VALUE!</v>
      </c>
      <c r="AF347" t="e">
        <f t="shared" ca="1" si="188"/>
        <v>#VALUE!</v>
      </c>
      <c r="AG347" t="e">
        <f t="shared" ca="1" si="189"/>
        <v>#VALUE!</v>
      </c>
      <c r="AH347" t="e">
        <f ca="1">IF(V32="Supercritical",L347,IF(V32="Subcritical",W347,IF(AND(V347=1,AG347=1),IF(T347&gt;=AE347,L347,W347),IF(V347=1,L347,IF(AG347=1,W347,MAX($D$16,POWER((ABS(K347)^2)/($I$5*MAX(F347,0.1)^2),1/3)))))))</f>
        <v>#VALUE!</v>
      </c>
      <c r="AI347" t="e">
        <f t="shared" ca="1" si="190"/>
        <v>#VALUE!</v>
      </c>
      <c r="AJ347" t="e">
        <f t="shared" ca="1" si="191"/>
        <v>#VALUE!</v>
      </c>
      <c r="AM347">
        <v>0</v>
      </c>
      <c r="AN347">
        <v>0</v>
      </c>
      <c r="AO347">
        <f t="shared" si="192"/>
        <v>0</v>
      </c>
      <c r="AP347">
        <f t="shared" si="201"/>
        <v>0</v>
      </c>
      <c r="AQ347" t="e">
        <f t="shared" ca="1" si="193"/>
        <v>#VALUE!</v>
      </c>
      <c r="AR347" t="e">
        <f t="shared" ca="1" si="194"/>
        <v>#VALUE!</v>
      </c>
      <c r="AS347" t="e">
        <f t="shared" ca="1" si="195"/>
        <v>#VALUE!</v>
      </c>
    </row>
    <row r="348" spans="1:45" x14ac:dyDescent="0.35">
      <c r="A348">
        <v>199</v>
      </c>
      <c r="B348">
        <v>197.94800000000001</v>
      </c>
      <c r="C348">
        <v>616385.94099999999</v>
      </c>
      <c r="D348">
        <v>3097691.3</v>
      </c>
      <c r="E348">
        <v>632.46299999999997</v>
      </c>
      <c r="F348">
        <v>5.2</v>
      </c>
      <c r="G348">
        <v>0</v>
      </c>
      <c r="H348" t="s">
        <v>191</v>
      </c>
      <c r="I348">
        <v>5.7000000000000002E-2</v>
      </c>
      <c r="J348">
        <f t="shared" si="196"/>
        <v>1</v>
      </c>
      <c r="K348">
        <f t="shared" si="197"/>
        <v>51</v>
      </c>
      <c r="L348" t="e">
        <f t="shared" ca="1" si="198"/>
        <v>#VALUE!</v>
      </c>
      <c r="M348" t="e">
        <f t="shared" ca="1" si="171"/>
        <v>#VALUE!</v>
      </c>
      <c r="N348" t="e">
        <f t="shared" ca="1" si="172"/>
        <v>#VALUE!</v>
      </c>
      <c r="O348" t="e">
        <f t="shared" ca="1" si="173"/>
        <v>#VALUE!</v>
      </c>
      <c r="P348" t="e">
        <f t="shared" ca="1" si="174"/>
        <v>#VALUE!</v>
      </c>
      <c r="Q348" t="e">
        <f t="shared" ca="1" si="175"/>
        <v>#VALUE!</v>
      </c>
      <c r="R348" t="e">
        <f t="shared" ca="1" si="176"/>
        <v>#VALUE!</v>
      </c>
      <c r="S348" t="e">
        <f t="shared" ca="1" si="177"/>
        <v>#VALUE!</v>
      </c>
      <c r="T348" t="e">
        <f t="shared" ca="1" si="178"/>
        <v>#VALUE!</v>
      </c>
      <c r="U348" t="e">
        <f t="shared" ca="1" si="199"/>
        <v>#VALUE!</v>
      </c>
      <c r="V348" t="e">
        <f t="shared" ca="1" si="200"/>
        <v>#VALUE!</v>
      </c>
      <c r="W348" t="e">
        <f t="shared" ca="1" si="179"/>
        <v>#VALUE!</v>
      </c>
      <c r="X348" t="e">
        <f t="shared" ca="1" si="180"/>
        <v>#VALUE!</v>
      </c>
      <c r="Y348" t="e">
        <f t="shared" ca="1" si="181"/>
        <v>#VALUE!</v>
      </c>
      <c r="Z348" t="e">
        <f t="shared" ca="1" si="182"/>
        <v>#VALUE!</v>
      </c>
      <c r="AA348" t="e">
        <f t="shared" ca="1" si="183"/>
        <v>#VALUE!</v>
      </c>
      <c r="AB348" t="e">
        <f t="shared" ca="1" si="184"/>
        <v>#VALUE!</v>
      </c>
      <c r="AC348" t="e">
        <f t="shared" ca="1" si="185"/>
        <v>#VALUE!</v>
      </c>
      <c r="AD348" t="e">
        <f t="shared" ca="1" si="186"/>
        <v>#VALUE!</v>
      </c>
      <c r="AE348" t="e">
        <f t="shared" ca="1" si="187"/>
        <v>#VALUE!</v>
      </c>
      <c r="AF348" t="e">
        <f t="shared" ca="1" si="188"/>
        <v>#VALUE!</v>
      </c>
      <c r="AG348" t="e">
        <f t="shared" ca="1" si="189"/>
        <v>#VALUE!</v>
      </c>
      <c r="AH348" t="e">
        <f ca="1">IF(V32="Supercritical",L348,IF(V32="Subcritical",W348,IF(AND(V348=1,AG348=1),IF(T348&gt;=AE348,L348,W348),IF(V348=1,L348,IF(AG348=1,W348,MAX($D$16,POWER((ABS(K348)^2)/($I$5*MAX(F348,0.1)^2),1/3)))))))</f>
        <v>#VALUE!</v>
      </c>
      <c r="AI348" t="e">
        <f t="shared" ca="1" si="190"/>
        <v>#VALUE!</v>
      </c>
      <c r="AJ348" t="e">
        <f t="shared" ca="1" si="191"/>
        <v>#VALUE!</v>
      </c>
      <c r="AM348">
        <v>0</v>
      </c>
      <c r="AN348">
        <v>0</v>
      </c>
      <c r="AO348">
        <f t="shared" si="192"/>
        <v>0</v>
      </c>
      <c r="AP348">
        <f t="shared" si="201"/>
        <v>0</v>
      </c>
      <c r="AQ348" t="e">
        <f t="shared" ca="1" si="193"/>
        <v>#VALUE!</v>
      </c>
      <c r="AR348" t="e">
        <f t="shared" ca="1" si="194"/>
        <v>#VALUE!</v>
      </c>
      <c r="AS348" t="e">
        <f t="shared" ca="1" si="195"/>
        <v>#VALUE!</v>
      </c>
    </row>
    <row r="349" spans="1:45" x14ac:dyDescent="0.35">
      <c r="A349">
        <v>200</v>
      </c>
      <c r="B349">
        <v>198.94800000000001</v>
      </c>
      <c r="C349">
        <v>616384.94200000004</v>
      </c>
      <c r="D349">
        <v>3097691.253</v>
      </c>
      <c r="E349">
        <v>632.46249999999998</v>
      </c>
      <c r="F349">
        <v>5.2</v>
      </c>
      <c r="G349">
        <v>0</v>
      </c>
      <c r="H349" t="s">
        <v>191</v>
      </c>
      <c r="I349">
        <v>5.7000000000000002E-2</v>
      </c>
      <c r="J349">
        <f t="shared" si="196"/>
        <v>1</v>
      </c>
      <c r="K349">
        <f t="shared" si="197"/>
        <v>51</v>
      </c>
      <c r="L349" t="e">
        <f t="shared" ca="1" si="198"/>
        <v>#VALUE!</v>
      </c>
      <c r="M349" t="e">
        <f t="shared" ca="1" si="171"/>
        <v>#VALUE!</v>
      </c>
      <c r="N349" t="e">
        <f t="shared" ca="1" si="172"/>
        <v>#VALUE!</v>
      </c>
      <c r="O349" t="e">
        <f t="shared" ca="1" si="173"/>
        <v>#VALUE!</v>
      </c>
      <c r="P349" t="e">
        <f t="shared" ca="1" si="174"/>
        <v>#VALUE!</v>
      </c>
      <c r="Q349" t="e">
        <f t="shared" ca="1" si="175"/>
        <v>#VALUE!</v>
      </c>
      <c r="R349" t="e">
        <f t="shared" ca="1" si="176"/>
        <v>#VALUE!</v>
      </c>
      <c r="S349" t="e">
        <f t="shared" ca="1" si="177"/>
        <v>#VALUE!</v>
      </c>
      <c r="T349" t="e">
        <f t="shared" ca="1" si="178"/>
        <v>#VALUE!</v>
      </c>
      <c r="U349" t="e">
        <f t="shared" ca="1" si="199"/>
        <v>#VALUE!</v>
      </c>
      <c r="V349" t="e">
        <f t="shared" ca="1" si="200"/>
        <v>#VALUE!</v>
      </c>
      <c r="W349" t="e">
        <f t="shared" ca="1" si="179"/>
        <v>#VALUE!</v>
      </c>
      <c r="X349" t="e">
        <f t="shared" ca="1" si="180"/>
        <v>#VALUE!</v>
      </c>
      <c r="Y349" t="e">
        <f t="shared" ca="1" si="181"/>
        <v>#VALUE!</v>
      </c>
      <c r="Z349" t="e">
        <f t="shared" ca="1" si="182"/>
        <v>#VALUE!</v>
      </c>
      <c r="AA349" t="e">
        <f t="shared" ca="1" si="183"/>
        <v>#VALUE!</v>
      </c>
      <c r="AB349" t="e">
        <f t="shared" ca="1" si="184"/>
        <v>#VALUE!</v>
      </c>
      <c r="AC349" t="e">
        <f t="shared" ca="1" si="185"/>
        <v>#VALUE!</v>
      </c>
      <c r="AD349" t="e">
        <f t="shared" ca="1" si="186"/>
        <v>#VALUE!</v>
      </c>
      <c r="AE349" t="e">
        <f t="shared" ca="1" si="187"/>
        <v>#VALUE!</v>
      </c>
      <c r="AF349" t="e">
        <f t="shared" ca="1" si="188"/>
        <v>#VALUE!</v>
      </c>
      <c r="AG349" t="e">
        <f t="shared" ca="1" si="189"/>
        <v>#VALUE!</v>
      </c>
      <c r="AH349" t="e">
        <f ca="1">IF(V32="Supercritical",L349,IF(V32="Subcritical",W349,IF(AND(V349=1,AG349=1),IF(T349&gt;=AE349,L349,W349),IF(V349=1,L349,IF(AG349=1,W349,MAX($D$16,POWER((ABS(K349)^2)/($I$5*MAX(F349,0.1)^2),1/3)))))))</f>
        <v>#VALUE!</v>
      </c>
      <c r="AI349" t="e">
        <f t="shared" ca="1" si="190"/>
        <v>#VALUE!</v>
      </c>
      <c r="AJ349" t="e">
        <f t="shared" ca="1" si="191"/>
        <v>#VALUE!</v>
      </c>
      <c r="AM349">
        <v>0</v>
      </c>
      <c r="AN349">
        <v>0</v>
      </c>
      <c r="AO349">
        <f t="shared" si="192"/>
        <v>0</v>
      </c>
      <c r="AP349">
        <f t="shared" si="201"/>
        <v>0</v>
      </c>
      <c r="AQ349" t="e">
        <f t="shared" ca="1" si="193"/>
        <v>#VALUE!</v>
      </c>
      <c r="AR349" t="e">
        <f t="shared" ca="1" si="194"/>
        <v>#VALUE!</v>
      </c>
      <c r="AS349" t="e">
        <f t="shared" ca="1" si="195"/>
        <v>#VALUE!</v>
      </c>
    </row>
    <row r="350" spans="1:45" x14ac:dyDescent="0.35">
      <c r="A350">
        <v>201</v>
      </c>
      <c r="B350">
        <v>199.94800000000001</v>
      </c>
      <c r="C350">
        <v>616383.94299999997</v>
      </c>
      <c r="D350">
        <v>3097691.2050000001</v>
      </c>
      <c r="E350">
        <v>632.46199999999999</v>
      </c>
      <c r="F350">
        <v>5.2</v>
      </c>
      <c r="G350">
        <v>0</v>
      </c>
      <c r="H350" t="s">
        <v>191</v>
      </c>
      <c r="I350">
        <v>0</v>
      </c>
      <c r="J350">
        <f t="shared" si="196"/>
        <v>1</v>
      </c>
      <c r="K350">
        <f t="shared" si="197"/>
        <v>51</v>
      </c>
      <c r="L350" t="e">
        <f t="shared" ca="1" si="198"/>
        <v>#VALUE!</v>
      </c>
      <c r="M350" t="e">
        <f t="shared" ca="1" si="171"/>
        <v>#VALUE!</v>
      </c>
      <c r="N350" t="e">
        <f t="shared" ca="1" si="172"/>
        <v>#VALUE!</v>
      </c>
      <c r="O350" t="e">
        <f t="shared" ca="1" si="173"/>
        <v>#VALUE!</v>
      </c>
      <c r="P350" t="e">
        <f t="shared" ca="1" si="174"/>
        <v>#VALUE!</v>
      </c>
      <c r="Q350" t="e">
        <f t="shared" ca="1" si="175"/>
        <v>#VALUE!</v>
      </c>
      <c r="R350" t="e">
        <f t="shared" ca="1" si="176"/>
        <v>#VALUE!</v>
      </c>
      <c r="S350" t="e">
        <f t="shared" ca="1" si="177"/>
        <v>#VALUE!</v>
      </c>
      <c r="T350" t="e">
        <f t="shared" ca="1" si="178"/>
        <v>#VALUE!</v>
      </c>
      <c r="U350" t="e">
        <f t="shared" ca="1" si="199"/>
        <v>#VALUE!</v>
      </c>
      <c r="V350" t="e">
        <f t="shared" ca="1" si="200"/>
        <v>#VALUE!</v>
      </c>
      <c r="W350" t="e">
        <f t="shared" ca="1" si="179"/>
        <v>#VALUE!</v>
      </c>
      <c r="X350" t="e">
        <f t="shared" ca="1" si="180"/>
        <v>#VALUE!</v>
      </c>
      <c r="Y350" t="e">
        <f t="shared" ca="1" si="181"/>
        <v>#VALUE!</v>
      </c>
      <c r="Z350" t="e">
        <f t="shared" ca="1" si="182"/>
        <v>#VALUE!</v>
      </c>
      <c r="AA350" t="e">
        <f t="shared" ca="1" si="183"/>
        <v>#VALUE!</v>
      </c>
      <c r="AB350" t="e">
        <f t="shared" ca="1" si="184"/>
        <v>#VALUE!</v>
      </c>
      <c r="AC350" t="e">
        <f t="shared" ca="1" si="185"/>
        <v>#VALUE!</v>
      </c>
      <c r="AD350" t="e">
        <f t="shared" ca="1" si="186"/>
        <v>#VALUE!</v>
      </c>
      <c r="AE350" t="e">
        <f t="shared" ca="1" si="187"/>
        <v>#VALUE!</v>
      </c>
      <c r="AF350" t="e">
        <f t="shared" ca="1" si="188"/>
        <v>#VALUE!</v>
      </c>
      <c r="AG350" t="e">
        <f t="shared" ca="1" si="189"/>
        <v>#VALUE!</v>
      </c>
      <c r="AH350" t="e">
        <f ca="1">IF(V32="Supercritical",L350,IF(V32="Subcritical",W350,IF(AND(V350=1,AG350=1),IF(T350&gt;=AE350,L350,W350),IF(V350=1,L350,IF(AG350=1,W350,MAX($D$16,POWER((ABS(K350)^2)/($I$5*MAX(F350,0.1)^2),1/3)))))))</f>
        <v>#VALUE!</v>
      </c>
      <c r="AI350" t="e">
        <f t="shared" ca="1" si="190"/>
        <v>#VALUE!</v>
      </c>
      <c r="AJ350" t="e">
        <f t="shared" ca="1" si="191"/>
        <v>#VALUE!</v>
      </c>
      <c r="AM350">
        <v>0</v>
      </c>
      <c r="AN350">
        <v>0</v>
      </c>
      <c r="AO350">
        <f t="shared" si="192"/>
        <v>0</v>
      </c>
      <c r="AP350">
        <f t="shared" si="201"/>
        <v>0</v>
      </c>
      <c r="AQ350" t="e">
        <f t="shared" ca="1" si="193"/>
        <v>#VALUE!</v>
      </c>
      <c r="AR350" t="e">
        <f t="shared" ca="1" si="194"/>
        <v>#VALUE!</v>
      </c>
      <c r="AS350" t="e">
        <f t="shared" ca="1" si="195"/>
        <v>#VALUE!</v>
      </c>
    </row>
    <row r="351" spans="1:45" x14ac:dyDescent="0.35">
      <c r="A351">
        <v>202</v>
      </c>
      <c r="B351">
        <v>200.94900000000001</v>
      </c>
      <c r="C351">
        <v>616382.94400000002</v>
      </c>
      <c r="D351">
        <v>3097691.1570000001</v>
      </c>
      <c r="E351">
        <v>632.4615</v>
      </c>
      <c r="F351">
        <v>5.2</v>
      </c>
      <c r="G351">
        <v>0</v>
      </c>
      <c r="H351" t="s">
        <v>191</v>
      </c>
      <c r="I351">
        <v>5.5E-2</v>
      </c>
      <c r="J351">
        <f t="shared" si="196"/>
        <v>1.0010000000000048</v>
      </c>
      <c r="K351">
        <f t="shared" si="197"/>
        <v>51</v>
      </c>
      <c r="L351" t="e">
        <f t="shared" ca="1" si="198"/>
        <v>#VALUE!</v>
      </c>
      <c r="M351" t="e">
        <f t="shared" ca="1" si="171"/>
        <v>#VALUE!</v>
      </c>
      <c r="N351" t="e">
        <f t="shared" ca="1" si="172"/>
        <v>#VALUE!</v>
      </c>
      <c r="O351" t="e">
        <f t="shared" ca="1" si="173"/>
        <v>#VALUE!</v>
      </c>
      <c r="P351" t="e">
        <f t="shared" ca="1" si="174"/>
        <v>#VALUE!</v>
      </c>
      <c r="Q351" t="e">
        <f t="shared" ca="1" si="175"/>
        <v>#VALUE!</v>
      </c>
      <c r="R351" t="e">
        <f t="shared" ca="1" si="176"/>
        <v>#VALUE!</v>
      </c>
      <c r="S351" t="e">
        <f t="shared" ca="1" si="177"/>
        <v>#VALUE!</v>
      </c>
      <c r="T351" t="e">
        <f t="shared" ca="1" si="178"/>
        <v>#VALUE!</v>
      </c>
      <c r="U351" t="e">
        <f t="shared" ca="1" si="199"/>
        <v>#VALUE!</v>
      </c>
      <c r="V351" t="e">
        <f t="shared" ca="1" si="200"/>
        <v>#VALUE!</v>
      </c>
      <c r="W351" t="e">
        <f t="shared" ca="1" si="179"/>
        <v>#VALUE!</v>
      </c>
      <c r="X351" t="e">
        <f t="shared" ca="1" si="180"/>
        <v>#VALUE!</v>
      </c>
      <c r="Y351" t="e">
        <f t="shared" ca="1" si="181"/>
        <v>#VALUE!</v>
      </c>
      <c r="Z351" t="e">
        <f t="shared" ca="1" si="182"/>
        <v>#VALUE!</v>
      </c>
      <c r="AA351" t="e">
        <f t="shared" ca="1" si="183"/>
        <v>#VALUE!</v>
      </c>
      <c r="AB351" t="e">
        <f t="shared" ca="1" si="184"/>
        <v>#VALUE!</v>
      </c>
      <c r="AC351" t="e">
        <f t="shared" ca="1" si="185"/>
        <v>#VALUE!</v>
      </c>
      <c r="AD351" t="e">
        <f t="shared" ca="1" si="186"/>
        <v>#VALUE!</v>
      </c>
      <c r="AE351" t="e">
        <f t="shared" ca="1" si="187"/>
        <v>#VALUE!</v>
      </c>
      <c r="AF351" t="e">
        <f t="shared" ca="1" si="188"/>
        <v>#VALUE!</v>
      </c>
      <c r="AG351" t="e">
        <f t="shared" ca="1" si="189"/>
        <v>#VALUE!</v>
      </c>
      <c r="AH351" t="e">
        <f ca="1">IF(V32="Supercritical",L351,IF(V32="Subcritical",W351,IF(AND(V351=1,AG351=1),IF(T351&gt;=AE351,L351,W351),IF(V351=1,L351,IF(AG351=1,W351,MAX($D$16,POWER((ABS(K351)^2)/($I$5*MAX(F351,0.1)^2),1/3)))))))</f>
        <v>#VALUE!</v>
      </c>
      <c r="AI351" t="e">
        <f t="shared" ca="1" si="190"/>
        <v>#VALUE!</v>
      </c>
      <c r="AJ351" t="e">
        <f t="shared" ca="1" si="191"/>
        <v>#VALUE!</v>
      </c>
      <c r="AM351">
        <v>0</v>
      </c>
      <c r="AN351">
        <v>0</v>
      </c>
      <c r="AO351">
        <f t="shared" si="192"/>
        <v>0</v>
      </c>
      <c r="AP351">
        <f t="shared" si="201"/>
        <v>0</v>
      </c>
      <c r="AQ351" t="e">
        <f t="shared" ca="1" si="193"/>
        <v>#VALUE!</v>
      </c>
      <c r="AR351" t="e">
        <f t="shared" ca="1" si="194"/>
        <v>#VALUE!</v>
      </c>
      <c r="AS351" t="e">
        <f t="shared" ca="1" si="195"/>
        <v>#VALUE!</v>
      </c>
    </row>
    <row r="352" spans="1:45" x14ac:dyDescent="0.35">
      <c r="A352">
        <v>203</v>
      </c>
      <c r="B352">
        <v>201.94800000000001</v>
      </c>
      <c r="C352">
        <v>616381.946</v>
      </c>
      <c r="D352">
        <v>3097691.11</v>
      </c>
      <c r="E352">
        <v>632.46100000000001</v>
      </c>
      <c r="F352">
        <v>5.2</v>
      </c>
      <c r="G352">
        <v>0</v>
      </c>
      <c r="H352" t="s">
        <v>191</v>
      </c>
      <c r="I352">
        <v>5.5E-2</v>
      </c>
      <c r="J352">
        <f t="shared" si="196"/>
        <v>0.99899999999999523</v>
      </c>
      <c r="K352">
        <f t="shared" si="197"/>
        <v>51</v>
      </c>
      <c r="L352" t="e">
        <f t="shared" ca="1" si="198"/>
        <v>#VALUE!</v>
      </c>
      <c r="M352" t="e">
        <f t="shared" ca="1" si="171"/>
        <v>#VALUE!</v>
      </c>
      <c r="N352" t="e">
        <f t="shared" ca="1" si="172"/>
        <v>#VALUE!</v>
      </c>
      <c r="O352" t="e">
        <f t="shared" ca="1" si="173"/>
        <v>#VALUE!</v>
      </c>
      <c r="P352" t="e">
        <f t="shared" ca="1" si="174"/>
        <v>#VALUE!</v>
      </c>
      <c r="Q352" t="e">
        <f t="shared" ca="1" si="175"/>
        <v>#VALUE!</v>
      </c>
      <c r="R352" t="e">
        <f t="shared" ca="1" si="176"/>
        <v>#VALUE!</v>
      </c>
      <c r="S352" t="e">
        <f t="shared" ca="1" si="177"/>
        <v>#VALUE!</v>
      </c>
      <c r="T352" t="e">
        <f t="shared" ca="1" si="178"/>
        <v>#VALUE!</v>
      </c>
      <c r="U352" t="e">
        <f t="shared" ca="1" si="199"/>
        <v>#VALUE!</v>
      </c>
      <c r="V352" t="e">
        <f t="shared" ca="1" si="200"/>
        <v>#VALUE!</v>
      </c>
      <c r="W352" t="e">
        <f t="shared" ca="1" si="179"/>
        <v>#VALUE!</v>
      </c>
      <c r="X352" t="e">
        <f t="shared" ca="1" si="180"/>
        <v>#VALUE!</v>
      </c>
      <c r="Y352" t="e">
        <f t="shared" ca="1" si="181"/>
        <v>#VALUE!</v>
      </c>
      <c r="Z352" t="e">
        <f t="shared" ca="1" si="182"/>
        <v>#VALUE!</v>
      </c>
      <c r="AA352" t="e">
        <f t="shared" ca="1" si="183"/>
        <v>#VALUE!</v>
      </c>
      <c r="AB352" t="e">
        <f t="shared" ca="1" si="184"/>
        <v>#VALUE!</v>
      </c>
      <c r="AC352" t="e">
        <f t="shared" ca="1" si="185"/>
        <v>#VALUE!</v>
      </c>
      <c r="AD352" t="e">
        <f t="shared" ca="1" si="186"/>
        <v>#VALUE!</v>
      </c>
      <c r="AE352" t="e">
        <f t="shared" ca="1" si="187"/>
        <v>#VALUE!</v>
      </c>
      <c r="AF352" t="e">
        <f t="shared" ca="1" si="188"/>
        <v>#VALUE!</v>
      </c>
      <c r="AG352" t="e">
        <f t="shared" ca="1" si="189"/>
        <v>#VALUE!</v>
      </c>
      <c r="AH352" t="e">
        <f ca="1">IF(V32="Supercritical",L352,IF(V32="Subcritical",W352,IF(AND(V352=1,AG352=1),IF(T352&gt;=AE352,L352,W352),IF(V352=1,L352,IF(AG352=1,W352,MAX($D$16,POWER((ABS(K352)^2)/($I$5*MAX(F352,0.1)^2),1/3)))))))</f>
        <v>#VALUE!</v>
      </c>
      <c r="AI352" t="e">
        <f t="shared" ca="1" si="190"/>
        <v>#VALUE!</v>
      </c>
      <c r="AJ352" t="e">
        <f t="shared" ca="1" si="191"/>
        <v>#VALUE!</v>
      </c>
      <c r="AM352">
        <v>0</v>
      </c>
      <c r="AN352">
        <v>0</v>
      </c>
      <c r="AO352">
        <f t="shared" si="192"/>
        <v>0</v>
      </c>
      <c r="AP352">
        <f t="shared" si="201"/>
        <v>0</v>
      </c>
      <c r="AQ352" t="e">
        <f t="shared" ca="1" si="193"/>
        <v>#VALUE!</v>
      </c>
      <c r="AR352" t="e">
        <f t="shared" ca="1" si="194"/>
        <v>#VALUE!</v>
      </c>
      <c r="AS352" t="e">
        <f t="shared" ca="1" si="195"/>
        <v>#VALUE!</v>
      </c>
    </row>
    <row r="353" spans="1:45" x14ac:dyDescent="0.35">
      <c r="A353">
        <v>204</v>
      </c>
      <c r="B353">
        <v>202.94800000000001</v>
      </c>
      <c r="C353">
        <v>616380.94700000004</v>
      </c>
      <c r="D353">
        <v>3097691.0619999999</v>
      </c>
      <c r="E353">
        <v>632.46050000000002</v>
      </c>
      <c r="F353">
        <v>5.2</v>
      </c>
      <c r="G353">
        <v>0</v>
      </c>
      <c r="H353" t="s">
        <v>191</v>
      </c>
      <c r="I353">
        <v>0</v>
      </c>
      <c r="J353">
        <f t="shared" si="196"/>
        <v>1</v>
      </c>
      <c r="K353">
        <f t="shared" si="197"/>
        <v>51</v>
      </c>
      <c r="L353" t="e">
        <f t="shared" ca="1" si="198"/>
        <v>#VALUE!</v>
      </c>
      <c r="M353" t="e">
        <f t="shared" ca="1" si="171"/>
        <v>#VALUE!</v>
      </c>
      <c r="N353" t="e">
        <f t="shared" ca="1" si="172"/>
        <v>#VALUE!</v>
      </c>
      <c r="O353" t="e">
        <f t="shared" ca="1" si="173"/>
        <v>#VALUE!</v>
      </c>
      <c r="P353" t="e">
        <f t="shared" ca="1" si="174"/>
        <v>#VALUE!</v>
      </c>
      <c r="Q353" t="e">
        <f t="shared" ca="1" si="175"/>
        <v>#VALUE!</v>
      </c>
      <c r="R353" t="e">
        <f t="shared" ca="1" si="176"/>
        <v>#VALUE!</v>
      </c>
      <c r="S353" t="e">
        <f t="shared" ca="1" si="177"/>
        <v>#VALUE!</v>
      </c>
      <c r="T353" t="e">
        <f t="shared" ca="1" si="178"/>
        <v>#VALUE!</v>
      </c>
      <c r="U353" t="e">
        <f t="shared" ca="1" si="199"/>
        <v>#VALUE!</v>
      </c>
      <c r="V353" t="e">
        <f t="shared" ca="1" si="200"/>
        <v>#VALUE!</v>
      </c>
      <c r="W353" t="e">
        <f t="shared" ca="1" si="179"/>
        <v>#VALUE!</v>
      </c>
      <c r="X353" t="e">
        <f t="shared" ca="1" si="180"/>
        <v>#VALUE!</v>
      </c>
      <c r="Y353" t="e">
        <f t="shared" ca="1" si="181"/>
        <v>#VALUE!</v>
      </c>
      <c r="Z353" t="e">
        <f t="shared" ca="1" si="182"/>
        <v>#VALUE!</v>
      </c>
      <c r="AA353" t="e">
        <f t="shared" ca="1" si="183"/>
        <v>#VALUE!</v>
      </c>
      <c r="AB353" t="e">
        <f t="shared" ca="1" si="184"/>
        <v>#VALUE!</v>
      </c>
      <c r="AC353" t="e">
        <f t="shared" ca="1" si="185"/>
        <v>#VALUE!</v>
      </c>
      <c r="AD353" t="e">
        <f t="shared" ca="1" si="186"/>
        <v>#VALUE!</v>
      </c>
      <c r="AE353" t="e">
        <f t="shared" ca="1" si="187"/>
        <v>#VALUE!</v>
      </c>
      <c r="AF353" t="e">
        <f t="shared" ca="1" si="188"/>
        <v>#VALUE!</v>
      </c>
      <c r="AG353" t="e">
        <f t="shared" ca="1" si="189"/>
        <v>#VALUE!</v>
      </c>
      <c r="AH353" t="e">
        <f ca="1">IF(V32="Supercritical",L353,IF(V32="Subcritical",W353,IF(AND(V353=1,AG353=1),IF(T353&gt;=AE353,L353,W353),IF(V353=1,L353,IF(AG353=1,W353,MAX($D$16,POWER((ABS(K353)^2)/($I$5*MAX(F353,0.1)^2),1/3)))))))</f>
        <v>#VALUE!</v>
      </c>
      <c r="AI353" t="e">
        <f t="shared" ca="1" si="190"/>
        <v>#VALUE!</v>
      </c>
      <c r="AJ353" t="e">
        <f t="shared" ca="1" si="191"/>
        <v>#VALUE!</v>
      </c>
      <c r="AM353">
        <v>0</v>
      </c>
      <c r="AN353">
        <v>0</v>
      </c>
      <c r="AO353">
        <f t="shared" si="192"/>
        <v>0</v>
      </c>
      <c r="AP353">
        <f t="shared" si="201"/>
        <v>0</v>
      </c>
      <c r="AQ353" t="e">
        <f t="shared" ca="1" si="193"/>
        <v>#VALUE!</v>
      </c>
      <c r="AR353" t="e">
        <f t="shared" ca="1" si="194"/>
        <v>#VALUE!</v>
      </c>
      <c r="AS353" t="e">
        <f t="shared" ca="1" si="195"/>
        <v>#VALUE!</v>
      </c>
    </row>
    <row r="354" spans="1:45" x14ac:dyDescent="0.35">
      <c r="A354">
        <v>205</v>
      </c>
      <c r="B354">
        <v>203.94800000000001</v>
      </c>
      <c r="C354">
        <v>616379.94799999997</v>
      </c>
      <c r="D354">
        <v>3097691.014</v>
      </c>
      <c r="E354">
        <v>632.46</v>
      </c>
      <c r="F354">
        <v>5.2</v>
      </c>
      <c r="G354">
        <v>0</v>
      </c>
      <c r="H354" t="s">
        <v>191</v>
      </c>
      <c r="I354">
        <v>5.7000000000000002E-2</v>
      </c>
      <c r="J354">
        <f t="shared" si="196"/>
        <v>1</v>
      </c>
      <c r="K354">
        <f t="shared" si="197"/>
        <v>51</v>
      </c>
      <c r="L354" t="e">
        <f t="shared" ca="1" si="198"/>
        <v>#VALUE!</v>
      </c>
      <c r="M354" t="e">
        <f t="shared" ca="1" si="171"/>
        <v>#VALUE!</v>
      </c>
      <c r="N354" t="e">
        <f t="shared" ca="1" si="172"/>
        <v>#VALUE!</v>
      </c>
      <c r="O354" t="e">
        <f t="shared" ca="1" si="173"/>
        <v>#VALUE!</v>
      </c>
      <c r="P354" t="e">
        <f t="shared" ca="1" si="174"/>
        <v>#VALUE!</v>
      </c>
      <c r="Q354" t="e">
        <f t="shared" ca="1" si="175"/>
        <v>#VALUE!</v>
      </c>
      <c r="R354" t="e">
        <f t="shared" ca="1" si="176"/>
        <v>#VALUE!</v>
      </c>
      <c r="S354" t="e">
        <f t="shared" ca="1" si="177"/>
        <v>#VALUE!</v>
      </c>
      <c r="T354" t="e">
        <f t="shared" ca="1" si="178"/>
        <v>#VALUE!</v>
      </c>
      <c r="U354" t="e">
        <f t="shared" ca="1" si="199"/>
        <v>#VALUE!</v>
      </c>
      <c r="V354" t="e">
        <f t="shared" ca="1" si="200"/>
        <v>#VALUE!</v>
      </c>
      <c r="W354" t="e">
        <f t="shared" ca="1" si="179"/>
        <v>#VALUE!</v>
      </c>
      <c r="X354" t="e">
        <f t="shared" ca="1" si="180"/>
        <v>#VALUE!</v>
      </c>
      <c r="Y354" t="e">
        <f t="shared" ca="1" si="181"/>
        <v>#VALUE!</v>
      </c>
      <c r="Z354" t="e">
        <f t="shared" ca="1" si="182"/>
        <v>#VALUE!</v>
      </c>
      <c r="AA354" t="e">
        <f t="shared" ca="1" si="183"/>
        <v>#VALUE!</v>
      </c>
      <c r="AB354" t="e">
        <f t="shared" ca="1" si="184"/>
        <v>#VALUE!</v>
      </c>
      <c r="AC354" t="e">
        <f t="shared" ca="1" si="185"/>
        <v>#VALUE!</v>
      </c>
      <c r="AD354" t="e">
        <f t="shared" ca="1" si="186"/>
        <v>#VALUE!</v>
      </c>
      <c r="AE354" t="e">
        <f t="shared" ca="1" si="187"/>
        <v>#VALUE!</v>
      </c>
      <c r="AF354" t="e">
        <f t="shared" ca="1" si="188"/>
        <v>#VALUE!</v>
      </c>
      <c r="AG354" t="e">
        <f t="shared" ca="1" si="189"/>
        <v>#VALUE!</v>
      </c>
      <c r="AH354" t="e">
        <f ca="1">IF(V32="Supercritical",L354,IF(V32="Subcritical",W354,IF(AND(V354=1,AG354=1),IF(T354&gt;=AE354,L354,W354),IF(V354=1,L354,IF(AG354=1,W354,MAX($D$16,POWER((ABS(K354)^2)/($I$5*MAX(F354,0.1)^2),1/3)))))))</f>
        <v>#VALUE!</v>
      </c>
      <c r="AI354" t="e">
        <f t="shared" ca="1" si="190"/>
        <v>#VALUE!</v>
      </c>
      <c r="AJ354" t="e">
        <f t="shared" ca="1" si="191"/>
        <v>#VALUE!</v>
      </c>
      <c r="AM354">
        <v>0</v>
      </c>
      <c r="AN354">
        <v>0</v>
      </c>
      <c r="AO354">
        <f t="shared" si="192"/>
        <v>0</v>
      </c>
      <c r="AP354">
        <f t="shared" si="201"/>
        <v>0</v>
      </c>
      <c r="AQ354" t="e">
        <f t="shared" ca="1" si="193"/>
        <v>#VALUE!</v>
      </c>
      <c r="AR354" t="e">
        <f t="shared" ca="1" si="194"/>
        <v>#VALUE!</v>
      </c>
      <c r="AS354" t="e">
        <f t="shared" ca="1" si="195"/>
        <v>#VALUE!</v>
      </c>
    </row>
    <row r="355" spans="1:45" x14ac:dyDescent="0.35">
      <c r="A355">
        <v>206</v>
      </c>
      <c r="B355">
        <v>204.94800000000001</v>
      </c>
      <c r="C355">
        <v>616378.94900000002</v>
      </c>
      <c r="D355">
        <v>3097690.9670000002</v>
      </c>
      <c r="E355">
        <v>632.45950000000005</v>
      </c>
      <c r="F355">
        <v>5.2</v>
      </c>
      <c r="G355">
        <v>0</v>
      </c>
      <c r="H355" t="s">
        <v>191</v>
      </c>
      <c r="I355">
        <v>5.7000000000000002E-2</v>
      </c>
      <c r="J355">
        <f t="shared" si="196"/>
        <v>1</v>
      </c>
      <c r="K355">
        <f t="shared" si="197"/>
        <v>51</v>
      </c>
      <c r="L355" t="e">
        <f t="shared" ca="1" si="198"/>
        <v>#VALUE!</v>
      </c>
      <c r="M355" t="e">
        <f t="shared" ca="1" si="171"/>
        <v>#VALUE!</v>
      </c>
      <c r="N355" t="e">
        <f t="shared" ca="1" si="172"/>
        <v>#VALUE!</v>
      </c>
      <c r="O355" t="e">
        <f t="shared" ca="1" si="173"/>
        <v>#VALUE!</v>
      </c>
      <c r="P355" t="e">
        <f t="shared" ca="1" si="174"/>
        <v>#VALUE!</v>
      </c>
      <c r="Q355" t="e">
        <f t="shared" ca="1" si="175"/>
        <v>#VALUE!</v>
      </c>
      <c r="R355" t="e">
        <f t="shared" ca="1" si="176"/>
        <v>#VALUE!</v>
      </c>
      <c r="S355" t="e">
        <f t="shared" ca="1" si="177"/>
        <v>#VALUE!</v>
      </c>
      <c r="T355" t="e">
        <f t="shared" ca="1" si="178"/>
        <v>#VALUE!</v>
      </c>
      <c r="U355" t="e">
        <f t="shared" ca="1" si="199"/>
        <v>#VALUE!</v>
      </c>
      <c r="V355" t="e">
        <f t="shared" ca="1" si="200"/>
        <v>#VALUE!</v>
      </c>
      <c r="W355" t="e">
        <f t="shared" ca="1" si="179"/>
        <v>#VALUE!</v>
      </c>
      <c r="X355" t="e">
        <f t="shared" ca="1" si="180"/>
        <v>#VALUE!</v>
      </c>
      <c r="Y355" t="e">
        <f t="shared" ca="1" si="181"/>
        <v>#VALUE!</v>
      </c>
      <c r="Z355" t="e">
        <f t="shared" ca="1" si="182"/>
        <v>#VALUE!</v>
      </c>
      <c r="AA355" t="e">
        <f t="shared" ca="1" si="183"/>
        <v>#VALUE!</v>
      </c>
      <c r="AB355" t="e">
        <f t="shared" ca="1" si="184"/>
        <v>#VALUE!</v>
      </c>
      <c r="AC355" t="e">
        <f t="shared" ca="1" si="185"/>
        <v>#VALUE!</v>
      </c>
      <c r="AD355" t="e">
        <f t="shared" ca="1" si="186"/>
        <v>#VALUE!</v>
      </c>
      <c r="AE355" t="e">
        <f t="shared" ca="1" si="187"/>
        <v>#VALUE!</v>
      </c>
      <c r="AF355" t="e">
        <f t="shared" ca="1" si="188"/>
        <v>#VALUE!</v>
      </c>
      <c r="AG355" t="e">
        <f t="shared" ca="1" si="189"/>
        <v>#VALUE!</v>
      </c>
      <c r="AH355" t="e">
        <f ca="1">IF(V32="Supercritical",L355,IF(V32="Subcritical",W355,IF(AND(V355=1,AG355=1),IF(T355&gt;=AE355,L355,W355),IF(V355=1,L355,IF(AG355=1,W355,MAX($D$16,POWER((ABS(K355)^2)/($I$5*MAX(F355,0.1)^2),1/3)))))))</f>
        <v>#VALUE!</v>
      </c>
      <c r="AI355" t="e">
        <f t="shared" ca="1" si="190"/>
        <v>#VALUE!</v>
      </c>
      <c r="AJ355" t="e">
        <f t="shared" ca="1" si="191"/>
        <v>#VALUE!</v>
      </c>
      <c r="AM355">
        <v>0</v>
      </c>
      <c r="AN355">
        <v>0</v>
      </c>
      <c r="AO355">
        <f t="shared" si="192"/>
        <v>0</v>
      </c>
      <c r="AP355">
        <f t="shared" si="201"/>
        <v>0</v>
      </c>
      <c r="AQ355" t="e">
        <f t="shared" ca="1" si="193"/>
        <v>#VALUE!</v>
      </c>
      <c r="AR355" t="e">
        <f t="shared" ca="1" si="194"/>
        <v>#VALUE!</v>
      </c>
      <c r="AS355" t="e">
        <f t="shared" ca="1" si="195"/>
        <v>#VALUE!</v>
      </c>
    </row>
    <row r="356" spans="1:45" x14ac:dyDescent="0.35">
      <c r="A356">
        <v>207</v>
      </c>
      <c r="B356">
        <v>205.94800000000001</v>
      </c>
      <c r="C356">
        <v>616377.94999999995</v>
      </c>
      <c r="D356">
        <v>3097690.9190000002</v>
      </c>
      <c r="E356">
        <v>632.45899999999995</v>
      </c>
      <c r="F356">
        <v>5.2</v>
      </c>
      <c r="G356">
        <v>0</v>
      </c>
      <c r="H356" t="s">
        <v>191</v>
      </c>
      <c r="I356">
        <v>5.7000000000000002E-2</v>
      </c>
      <c r="J356">
        <f t="shared" si="196"/>
        <v>1</v>
      </c>
      <c r="K356">
        <f t="shared" si="197"/>
        <v>51</v>
      </c>
      <c r="L356" t="e">
        <f t="shared" ca="1" si="198"/>
        <v>#VALUE!</v>
      </c>
      <c r="M356" t="e">
        <f t="shared" ca="1" si="171"/>
        <v>#VALUE!</v>
      </c>
      <c r="N356" t="e">
        <f t="shared" ca="1" si="172"/>
        <v>#VALUE!</v>
      </c>
      <c r="O356" t="e">
        <f t="shared" ca="1" si="173"/>
        <v>#VALUE!</v>
      </c>
      <c r="P356" t="e">
        <f t="shared" ca="1" si="174"/>
        <v>#VALUE!</v>
      </c>
      <c r="Q356" t="e">
        <f t="shared" ca="1" si="175"/>
        <v>#VALUE!</v>
      </c>
      <c r="R356" t="e">
        <f t="shared" ca="1" si="176"/>
        <v>#VALUE!</v>
      </c>
      <c r="S356" t="e">
        <f t="shared" ca="1" si="177"/>
        <v>#VALUE!</v>
      </c>
      <c r="T356" t="e">
        <f t="shared" ca="1" si="178"/>
        <v>#VALUE!</v>
      </c>
      <c r="U356" t="e">
        <f t="shared" ca="1" si="199"/>
        <v>#VALUE!</v>
      </c>
      <c r="V356" t="e">
        <f t="shared" ca="1" si="200"/>
        <v>#VALUE!</v>
      </c>
      <c r="W356" t="e">
        <f t="shared" ca="1" si="179"/>
        <v>#VALUE!</v>
      </c>
      <c r="X356" t="e">
        <f t="shared" ca="1" si="180"/>
        <v>#VALUE!</v>
      </c>
      <c r="Y356" t="e">
        <f t="shared" ca="1" si="181"/>
        <v>#VALUE!</v>
      </c>
      <c r="Z356" t="e">
        <f t="shared" ca="1" si="182"/>
        <v>#VALUE!</v>
      </c>
      <c r="AA356" t="e">
        <f t="shared" ca="1" si="183"/>
        <v>#VALUE!</v>
      </c>
      <c r="AB356" t="e">
        <f t="shared" ca="1" si="184"/>
        <v>#VALUE!</v>
      </c>
      <c r="AC356" t="e">
        <f t="shared" ca="1" si="185"/>
        <v>#VALUE!</v>
      </c>
      <c r="AD356" t="e">
        <f t="shared" ca="1" si="186"/>
        <v>#VALUE!</v>
      </c>
      <c r="AE356" t="e">
        <f t="shared" ca="1" si="187"/>
        <v>#VALUE!</v>
      </c>
      <c r="AF356" t="e">
        <f t="shared" ca="1" si="188"/>
        <v>#VALUE!</v>
      </c>
      <c r="AG356" t="e">
        <f t="shared" ca="1" si="189"/>
        <v>#VALUE!</v>
      </c>
      <c r="AH356" t="e">
        <f ca="1">IF(V32="Supercritical",L356,IF(V32="Subcritical",W356,IF(AND(V356=1,AG356=1),IF(T356&gt;=AE356,L356,W356),IF(V356=1,L356,IF(AG356=1,W356,MAX($D$16,POWER((ABS(K356)^2)/($I$5*MAX(F356,0.1)^2),1/3)))))))</f>
        <v>#VALUE!</v>
      </c>
      <c r="AI356" t="e">
        <f t="shared" ca="1" si="190"/>
        <v>#VALUE!</v>
      </c>
      <c r="AJ356" t="e">
        <f t="shared" ca="1" si="191"/>
        <v>#VALUE!</v>
      </c>
      <c r="AM356">
        <v>0</v>
      </c>
      <c r="AN356">
        <v>0</v>
      </c>
      <c r="AO356">
        <f t="shared" si="192"/>
        <v>0</v>
      </c>
      <c r="AP356">
        <f t="shared" si="201"/>
        <v>0</v>
      </c>
      <c r="AQ356" t="e">
        <f t="shared" ca="1" si="193"/>
        <v>#VALUE!</v>
      </c>
      <c r="AR356" t="e">
        <f t="shared" ca="1" si="194"/>
        <v>#VALUE!</v>
      </c>
      <c r="AS356" t="e">
        <f t="shared" ca="1" si="195"/>
        <v>#VALUE!</v>
      </c>
    </row>
    <row r="357" spans="1:45" x14ac:dyDescent="0.35">
      <c r="A357">
        <v>208</v>
      </c>
      <c r="B357">
        <v>206.94800000000001</v>
      </c>
      <c r="C357">
        <v>616376.951</v>
      </c>
      <c r="D357">
        <v>3097690.872</v>
      </c>
      <c r="E357">
        <v>632.45849999999996</v>
      </c>
      <c r="F357">
        <v>5.2</v>
      </c>
      <c r="G357">
        <v>0</v>
      </c>
      <c r="H357" t="s">
        <v>191</v>
      </c>
      <c r="I357">
        <v>5.7000000000000002E-2</v>
      </c>
      <c r="J357">
        <f t="shared" si="196"/>
        <v>1</v>
      </c>
      <c r="K357">
        <f t="shared" si="197"/>
        <v>51</v>
      </c>
      <c r="L357" t="e">
        <f t="shared" ca="1" si="198"/>
        <v>#VALUE!</v>
      </c>
      <c r="M357" t="e">
        <f t="shared" ca="1" si="171"/>
        <v>#VALUE!</v>
      </c>
      <c r="N357" t="e">
        <f t="shared" ca="1" si="172"/>
        <v>#VALUE!</v>
      </c>
      <c r="O357" t="e">
        <f t="shared" ca="1" si="173"/>
        <v>#VALUE!</v>
      </c>
      <c r="P357" t="e">
        <f t="shared" ca="1" si="174"/>
        <v>#VALUE!</v>
      </c>
      <c r="Q357" t="e">
        <f t="shared" ca="1" si="175"/>
        <v>#VALUE!</v>
      </c>
      <c r="R357" t="e">
        <f t="shared" ca="1" si="176"/>
        <v>#VALUE!</v>
      </c>
      <c r="S357" t="e">
        <f t="shared" ca="1" si="177"/>
        <v>#VALUE!</v>
      </c>
      <c r="T357" t="e">
        <f t="shared" ca="1" si="178"/>
        <v>#VALUE!</v>
      </c>
      <c r="U357" t="e">
        <f t="shared" ca="1" si="199"/>
        <v>#VALUE!</v>
      </c>
      <c r="V357" t="e">
        <f t="shared" ca="1" si="200"/>
        <v>#VALUE!</v>
      </c>
      <c r="W357" t="e">
        <f t="shared" ca="1" si="179"/>
        <v>#VALUE!</v>
      </c>
      <c r="X357" t="e">
        <f t="shared" ca="1" si="180"/>
        <v>#VALUE!</v>
      </c>
      <c r="Y357" t="e">
        <f t="shared" ca="1" si="181"/>
        <v>#VALUE!</v>
      </c>
      <c r="Z357" t="e">
        <f t="shared" ca="1" si="182"/>
        <v>#VALUE!</v>
      </c>
      <c r="AA357" t="e">
        <f t="shared" ca="1" si="183"/>
        <v>#VALUE!</v>
      </c>
      <c r="AB357" t="e">
        <f t="shared" ca="1" si="184"/>
        <v>#VALUE!</v>
      </c>
      <c r="AC357" t="e">
        <f t="shared" ca="1" si="185"/>
        <v>#VALUE!</v>
      </c>
      <c r="AD357" t="e">
        <f t="shared" ca="1" si="186"/>
        <v>#VALUE!</v>
      </c>
      <c r="AE357" t="e">
        <f t="shared" ca="1" si="187"/>
        <v>#VALUE!</v>
      </c>
      <c r="AF357" t="e">
        <f t="shared" ca="1" si="188"/>
        <v>#VALUE!</v>
      </c>
      <c r="AG357" t="e">
        <f t="shared" ca="1" si="189"/>
        <v>#VALUE!</v>
      </c>
      <c r="AH357" t="e">
        <f ca="1">IF(V32="Supercritical",L357,IF(V32="Subcritical",W357,IF(AND(V357=1,AG357=1),IF(T357&gt;=AE357,L357,W357),IF(V357=1,L357,IF(AG357=1,W357,MAX($D$16,POWER((ABS(K357)^2)/($I$5*MAX(F357,0.1)^2),1/3)))))))</f>
        <v>#VALUE!</v>
      </c>
      <c r="AI357" t="e">
        <f t="shared" ca="1" si="190"/>
        <v>#VALUE!</v>
      </c>
      <c r="AJ357" t="e">
        <f t="shared" ca="1" si="191"/>
        <v>#VALUE!</v>
      </c>
      <c r="AM357">
        <v>0</v>
      </c>
      <c r="AN357">
        <v>0</v>
      </c>
      <c r="AO357">
        <f t="shared" si="192"/>
        <v>0</v>
      </c>
      <c r="AP357">
        <f t="shared" si="201"/>
        <v>0</v>
      </c>
      <c r="AQ357" t="e">
        <f t="shared" ca="1" si="193"/>
        <v>#VALUE!</v>
      </c>
      <c r="AR357" t="e">
        <f t="shared" ca="1" si="194"/>
        <v>#VALUE!</v>
      </c>
      <c r="AS357" t="e">
        <f t="shared" ca="1" si="195"/>
        <v>#VALUE!</v>
      </c>
    </row>
    <row r="358" spans="1:45" x14ac:dyDescent="0.35">
      <c r="A358">
        <v>209</v>
      </c>
      <c r="B358">
        <v>207.94900000000001</v>
      </c>
      <c r="C358">
        <v>616375.95200000005</v>
      </c>
      <c r="D358">
        <v>3097690.824</v>
      </c>
      <c r="E358">
        <v>632.45799999999997</v>
      </c>
      <c r="F358">
        <v>5.2</v>
      </c>
      <c r="G358">
        <v>0</v>
      </c>
      <c r="H358" t="s">
        <v>191</v>
      </c>
      <c r="I358">
        <v>3.0000000000000001E-3</v>
      </c>
      <c r="J358">
        <f t="shared" si="196"/>
        <v>1.0010000000000048</v>
      </c>
      <c r="K358">
        <f t="shared" si="197"/>
        <v>51</v>
      </c>
      <c r="L358" t="e">
        <f t="shared" ca="1" si="198"/>
        <v>#VALUE!</v>
      </c>
      <c r="M358" t="e">
        <f t="shared" ca="1" si="171"/>
        <v>#VALUE!</v>
      </c>
      <c r="N358" t="e">
        <f t="shared" ca="1" si="172"/>
        <v>#VALUE!</v>
      </c>
      <c r="O358" t="e">
        <f t="shared" ca="1" si="173"/>
        <v>#VALUE!</v>
      </c>
      <c r="P358" t="e">
        <f t="shared" ca="1" si="174"/>
        <v>#VALUE!</v>
      </c>
      <c r="Q358" t="e">
        <f t="shared" ca="1" si="175"/>
        <v>#VALUE!</v>
      </c>
      <c r="R358" t="e">
        <f t="shared" ca="1" si="176"/>
        <v>#VALUE!</v>
      </c>
      <c r="S358" t="e">
        <f t="shared" ca="1" si="177"/>
        <v>#VALUE!</v>
      </c>
      <c r="T358" t="e">
        <f t="shared" ca="1" si="178"/>
        <v>#VALUE!</v>
      </c>
      <c r="U358" t="e">
        <f t="shared" ca="1" si="199"/>
        <v>#VALUE!</v>
      </c>
      <c r="V358" t="e">
        <f t="shared" ca="1" si="200"/>
        <v>#VALUE!</v>
      </c>
      <c r="W358" t="e">
        <f t="shared" ca="1" si="179"/>
        <v>#VALUE!</v>
      </c>
      <c r="X358" t="e">
        <f t="shared" ca="1" si="180"/>
        <v>#VALUE!</v>
      </c>
      <c r="Y358" t="e">
        <f t="shared" ca="1" si="181"/>
        <v>#VALUE!</v>
      </c>
      <c r="Z358" t="e">
        <f t="shared" ca="1" si="182"/>
        <v>#VALUE!</v>
      </c>
      <c r="AA358" t="e">
        <f t="shared" ca="1" si="183"/>
        <v>#VALUE!</v>
      </c>
      <c r="AB358" t="e">
        <f t="shared" ca="1" si="184"/>
        <v>#VALUE!</v>
      </c>
      <c r="AC358" t="e">
        <f t="shared" ca="1" si="185"/>
        <v>#VALUE!</v>
      </c>
      <c r="AD358" t="e">
        <f t="shared" ca="1" si="186"/>
        <v>#VALUE!</v>
      </c>
      <c r="AE358" t="e">
        <f t="shared" ca="1" si="187"/>
        <v>#VALUE!</v>
      </c>
      <c r="AF358" t="e">
        <f t="shared" ca="1" si="188"/>
        <v>#VALUE!</v>
      </c>
      <c r="AG358" t="e">
        <f t="shared" ca="1" si="189"/>
        <v>#VALUE!</v>
      </c>
      <c r="AH358" t="e">
        <f ca="1">IF(V32="Supercritical",L358,IF(V32="Subcritical",W358,IF(AND(V358=1,AG358=1),IF(T358&gt;=AE358,L358,W358),IF(V358=1,L358,IF(AG358=1,W358,MAX($D$16,POWER((ABS(K358)^2)/($I$5*MAX(F358,0.1)^2),1/3)))))))</f>
        <v>#VALUE!</v>
      </c>
      <c r="AI358" t="e">
        <f t="shared" ca="1" si="190"/>
        <v>#VALUE!</v>
      </c>
      <c r="AJ358" t="e">
        <f t="shared" ca="1" si="191"/>
        <v>#VALUE!</v>
      </c>
      <c r="AM358">
        <v>0</v>
      </c>
      <c r="AN358">
        <v>0</v>
      </c>
      <c r="AO358">
        <f t="shared" si="192"/>
        <v>0</v>
      </c>
      <c r="AP358">
        <f t="shared" si="201"/>
        <v>0</v>
      </c>
      <c r="AQ358" t="e">
        <f t="shared" ca="1" si="193"/>
        <v>#VALUE!</v>
      </c>
      <c r="AR358" t="e">
        <f t="shared" ca="1" si="194"/>
        <v>#VALUE!</v>
      </c>
      <c r="AS358" t="e">
        <f t="shared" ca="1" si="195"/>
        <v>#VALUE!</v>
      </c>
    </row>
    <row r="359" spans="1:45" x14ac:dyDescent="0.35">
      <c r="A359">
        <v>210</v>
      </c>
      <c r="B359">
        <v>208.94800000000001</v>
      </c>
      <c r="C359">
        <v>616374.95400000003</v>
      </c>
      <c r="D359">
        <v>3097690.7760000001</v>
      </c>
      <c r="E359">
        <v>632.45749999999998</v>
      </c>
      <c r="F359">
        <v>5.2</v>
      </c>
      <c r="G359">
        <v>0</v>
      </c>
      <c r="H359" t="s">
        <v>191</v>
      </c>
      <c r="I359">
        <v>0.06</v>
      </c>
      <c r="J359">
        <f t="shared" si="196"/>
        <v>0.99899999999999523</v>
      </c>
      <c r="K359">
        <f t="shared" si="197"/>
        <v>51</v>
      </c>
      <c r="L359" t="e">
        <f t="shared" ca="1" si="198"/>
        <v>#VALUE!</v>
      </c>
      <c r="M359" t="e">
        <f t="shared" ca="1" si="171"/>
        <v>#VALUE!</v>
      </c>
      <c r="N359" t="e">
        <f t="shared" ca="1" si="172"/>
        <v>#VALUE!</v>
      </c>
      <c r="O359" t="e">
        <f t="shared" ca="1" si="173"/>
        <v>#VALUE!</v>
      </c>
      <c r="P359" t="e">
        <f t="shared" ca="1" si="174"/>
        <v>#VALUE!</v>
      </c>
      <c r="Q359" t="e">
        <f t="shared" ca="1" si="175"/>
        <v>#VALUE!</v>
      </c>
      <c r="R359" t="e">
        <f t="shared" ca="1" si="176"/>
        <v>#VALUE!</v>
      </c>
      <c r="S359" t="e">
        <f t="shared" ca="1" si="177"/>
        <v>#VALUE!</v>
      </c>
      <c r="T359" t="e">
        <f t="shared" ca="1" si="178"/>
        <v>#VALUE!</v>
      </c>
      <c r="U359" t="e">
        <f t="shared" ca="1" si="199"/>
        <v>#VALUE!</v>
      </c>
      <c r="V359" t="e">
        <f t="shared" ca="1" si="200"/>
        <v>#VALUE!</v>
      </c>
      <c r="W359" t="e">
        <f t="shared" ca="1" si="179"/>
        <v>#VALUE!</v>
      </c>
      <c r="X359" t="e">
        <f t="shared" ca="1" si="180"/>
        <v>#VALUE!</v>
      </c>
      <c r="Y359" t="e">
        <f t="shared" ca="1" si="181"/>
        <v>#VALUE!</v>
      </c>
      <c r="Z359" t="e">
        <f t="shared" ca="1" si="182"/>
        <v>#VALUE!</v>
      </c>
      <c r="AA359" t="e">
        <f t="shared" ca="1" si="183"/>
        <v>#VALUE!</v>
      </c>
      <c r="AB359" t="e">
        <f t="shared" ca="1" si="184"/>
        <v>#VALUE!</v>
      </c>
      <c r="AC359" t="e">
        <f t="shared" ca="1" si="185"/>
        <v>#VALUE!</v>
      </c>
      <c r="AD359" t="e">
        <f t="shared" ca="1" si="186"/>
        <v>#VALUE!</v>
      </c>
      <c r="AE359" t="e">
        <f t="shared" ca="1" si="187"/>
        <v>#VALUE!</v>
      </c>
      <c r="AF359" t="e">
        <f t="shared" ca="1" si="188"/>
        <v>#VALUE!</v>
      </c>
      <c r="AG359" t="e">
        <f t="shared" ca="1" si="189"/>
        <v>#VALUE!</v>
      </c>
      <c r="AH359" t="e">
        <f ca="1">IF(V32="Supercritical",L359,IF(V32="Subcritical",W359,IF(AND(V359=1,AG359=1),IF(T359&gt;=AE359,L359,W359),IF(V359=1,L359,IF(AG359=1,W359,MAX($D$16,POWER((ABS(K359)^2)/($I$5*MAX(F359,0.1)^2),1/3)))))))</f>
        <v>#VALUE!</v>
      </c>
      <c r="AI359" t="e">
        <f t="shared" ca="1" si="190"/>
        <v>#VALUE!</v>
      </c>
      <c r="AJ359" t="e">
        <f t="shared" ca="1" si="191"/>
        <v>#VALUE!</v>
      </c>
      <c r="AM359">
        <v>0</v>
      </c>
      <c r="AN359">
        <v>0</v>
      </c>
      <c r="AO359">
        <f t="shared" si="192"/>
        <v>0</v>
      </c>
      <c r="AP359">
        <f t="shared" si="201"/>
        <v>0</v>
      </c>
      <c r="AQ359" t="e">
        <f t="shared" ca="1" si="193"/>
        <v>#VALUE!</v>
      </c>
      <c r="AR359" t="e">
        <f t="shared" ca="1" si="194"/>
        <v>#VALUE!</v>
      </c>
      <c r="AS359" t="e">
        <f t="shared" ca="1" si="195"/>
        <v>#VALUE!</v>
      </c>
    </row>
    <row r="360" spans="1:45" x14ac:dyDescent="0.35">
      <c r="A360">
        <v>211</v>
      </c>
      <c r="B360">
        <v>209.94800000000001</v>
      </c>
      <c r="C360">
        <v>616373.95499999996</v>
      </c>
      <c r="D360">
        <v>3097690.7289999998</v>
      </c>
      <c r="E360">
        <v>632.45699999999999</v>
      </c>
      <c r="F360">
        <v>5.2</v>
      </c>
      <c r="G360">
        <v>0</v>
      </c>
      <c r="H360" t="s">
        <v>191</v>
      </c>
      <c r="I360">
        <v>5.7000000000000002E-2</v>
      </c>
      <c r="J360">
        <f t="shared" si="196"/>
        <v>1</v>
      </c>
      <c r="K360">
        <f t="shared" si="197"/>
        <v>51</v>
      </c>
      <c r="L360" t="e">
        <f t="shared" ca="1" si="198"/>
        <v>#VALUE!</v>
      </c>
      <c r="M360" t="e">
        <f t="shared" ca="1" si="171"/>
        <v>#VALUE!</v>
      </c>
      <c r="N360" t="e">
        <f t="shared" ca="1" si="172"/>
        <v>#VALUE!</v>
      </c>
      <c r="O360" t="e">
        <f t="shared" ca="1" si="173"/>
        <v>#VALUE!</v>
      </c>
      <c r="P360" t="e">
        <f t="shared" ca="1" si="174"/>
        <v>#VALUE!</v>
      </c>
      <c r="Q360" t="e">
        <f t="shared" ca="1" si="175"/>
        <v>#VALUE!</v>
      </c>
      <c r="R360" t="e">
        <f t="shared" ca="1" si="176"/>
        <v>#VALUE!</v>
      </c>
      <c r="S360" t="e">
        <f t="shared" ca="1" si="177"/>
        <v>#VALUE!</v>
      </c>
      <c r="T360" t="e">
        <f t="shared" ca="1" si="178"/>
        <v>#VALUE!</v>
      </c>
      <c r="U360" t="e">
        <f t="shared" ca="1" si="199"/>
        <v>#VALUE!</v>
      </c>
      <c r="V360" t="e">
        <f t="shared" ca="1" si="200"/>
        <v>#VALUE!</v>
      </c>
      <c r="W360" t="e">
        <f t="shared" ca="1" si="179"/>
        <v>#VALUE!</v>
      </c>
      <c r="X360" t="e">
        <f t="shared" ca="1" si="180"/>
        <v>#VALUE!</v>
      </c>
      <c r="Y360" t="e">
        <f t="shared" ca="1" si="181"/>
        <v>#VALUE!</v>
      </c>
      <c r="Z360" t="e">
        <f t="shared" ca="1" si="182"/>
        <v>#VALUE!</v>
      </c>
      <c r="AA360" t="e">
        <f t="shared" ca="1" si="183"/>
        <v>#VALUE!</v>
      </c>
      <c r="AB360" t="e">
        <f t="shared" ca="1" si="184"/>
        <v>#VALUE!</v>
      </c>
      <c r="AC360" t="e">
        <f t="shared" ca="1" si="185"/>
        <v>#VALUE!</v>
      </c>
      <c r="AD360" t="e">
        <f t="shared" ca="1" si="186"/>
        <v>#VALUE!</v>
      </c>
      <c r="AE360" t="e">
        <f t="shared" ca="1" si="187"/>
        <v>#VALUE!</v>
      </c>
      <c r="AF360" t="e">
        <f t="shared" ca="1" si="188"/>
        <v>#VALUE!</v>
      </c>
      <c r="AG360" t="e">
        <f t="shared" ca="1" si="189"/>
        <v>#VALUE!</v>
      </c>
      <c r="AH360" t="e">
        <f ca="1">IF(V32="Supercritical",L360,IF(V32="Subcritical",W360,IF(AND(V360=1,AG360=1),IF(T360&gt;=AE360,L360,W360),IF(V360=1,L360,IF(AG360=1,W360,MAX($D$16,POWER((ABS(K360)^2)/($I$5*MAX(F360,0.1)^2),1/3)))))))</f>
        <v>#VALUE!</v>
      </c>
      <c r="AI360" t="e">
        <f t="shared" ca="1" si="190"/>
        <v>#VALUE!</v>
      </c>
      <c r="AJ360" t="e">
        <f t="shared" ca="1" si="191"/>
        <v>#VALUE!</v>
      </c>
      <c r="AM360">
        <v>0</v>
      </c>
      <c r="AN360">
        <v>0</v>
      </c>
      <c r="AO360">
        <f t="shared" si="192"/>
        <v>0</v>
      </c>
      <c r="AP360">
        <f t="shared" si="201"/>
        <v>0</v>
      </c>
      <c r="AQ360" t="e">
        <f t="shared" ca="1" si="193"/>
        <v>#VALUE!</v>
      </c>
      <c r="AR360" t="e">
        <f t="shared" ca="1" si="194"/>
        <v>#VALUE!</v>
      </c>
      <c r="AS360" t="e">
        <f t="shared" ca="1" si="195"/>
        <v>#VALUE!</v>
      </c>
    </row>
    <row r="361" spans="1:45" x14ac:dyDescent="0.35">
      <c r="A361">
        <v>212</v>
      </c>
      <c r="B361">
        <v>210.94800000000001</v>
      </c>
      <c r="C361">
        <v>616372.95600000001</v>
      </c>
      <c r="D361">
        <v>3097690.6809999999</v>
      </c>
      <c r="E361">
        <v>632.45650000000001</v>
      </c>
      <c r="F361">
        <v>5.2</v>
      </c>
      <c r="G361">
        <v>0</v>
      </c>
      <c r="H361" t="s">
        <v>191</v>
      </c>
      <c r="I361">
        <v>0</v>
      </c>
      <c r="J361">
        <f t="shared" si="196"/>
        <v>1</v>
      </c>
      <c r="K361">
        <f t="shared" si="197"/>
        <v>51</v>
      </c>
      <c r="L361" t="e">
        <f t="shared" ca="1" si="198"/>
        <v>#VALUE!</v>
      </c>
      <c r="M361" t="e">
        <f t="shared" ca="1" si="171"/>
        <v>#VALUE!</v>
      </c>
      <c r="N361" t="e">
        <f t="shared" ca="1" si="172"/>
        <v>#VALUE!</v>
      </c>
      <c r="O361" t="e">
        <f t="shared" ca="1" si="173"/>
        <v>#VALUE!</v>
      </c>
      <c r="P361" t="e">
        <f t="shared" ca="1" si="174"/>
        <v>#VALUE!</v>
      </c>
      <c r="Q361" t="e">
        <f t="shared" ca="1" si="175"/>
        <v>#VALUE!</v>
      </c>
      <c r="R361" t="e">
        <f t="shared" ca="1" si="176"/>
        <v>#VALUE!</v>
      </c>
      <c r="S361" t="e">
        <f t="shared" ca="1" si="177"/>
        <v>#VALUE!</v>
      </c>
      <c r="T361" t="e">
        <f t="shared" ca="1" si="178"/>
        <v>#VALUE!</v>
      </c>
      <c r="U361" t="e">
        <f t="shared" ca="1" si="199"/>
        <v>#VALUE!</v>
      </c>
      <c r="V361" t="e">
        <f t="shared" ca="1" si="200"/>
        <v>#VALUE!</v>
      </c>
      <c r="W361" t="e">
        <f t="shared" ca="1" si="179"/>
        <v>#VALUE!</v>
      </c>
      <c r="X361" t="e">
        <f t="shared" ca="1" si="180"/>
        <v>#VALUE!</v>
      </c>
      <c r="Y361" t="e">
        <f t="shared" ca="1" si="181"/>
        <v>#VALUE!</v>
      </c>
      <c r="Z361" t="e">
        <f t="shared" ca="1" si="182"/>
        <v>#VALUE!</v>
      </c>
      <c r="AA361" t="e">
        <f t="shared" ca="1" si="183"/>
        <v>#VALUE!</v>
      </c>
      <c r="AB361" t="e">
        <f t="shared" ca="1" si="184"/>
        <v>#VALUE!</v>
      </c>
      <c r="AC361" t="e">
        <f t="shared" ca="1" si="185"/>
        <v>#VALUE!</v>
      </c>
      <c r="AD361" t="e">
        <f t="shared" ca="1" si="186"/>
        <v>#VALUE!</v>
      </c>
      <c r="AE361" t="e">
        <f t="shared" ca="1" si="187"/>
        <v>#VALUE!</v>
      </c>
      <c r="AF361" t="e">
        <f t="shared" ca="1" si="188"/>
        <v>#VALUE!</v>
      </c>
      <c r="AG361" t="e">
        <f t="shared" ca="1" si="189"/>
        <v>#VALUE!</v>
      </c>
      <c r="AH361" t="e">
        <f ca="1">IF(V32="Supercritical",L361,IF(V32="Subcritical",W361,IF(AND(V361=1,AG361=1),IF(T361&gt;=AE361,L361,W361),IF(V361=1,L361,IF(AG361=1,W361,MAX($D$16,POWER((ABS(K361)^2)/($I$5*MAX(F361,0.1)^2),1/3)))))))</f>
        <v>#VALUE!</v>
      </c>
      <c r="AI361" t="e">
        <f t="shared" ca="1" si="190"/>
        <v>#VALUE!</v>
      </c>
      <c r="AJ361" t="e">
        <f t="shared" ca="1" si="191"/>
        <v>#VALUE!</v>
      </c>
      <c r="AM361">
        <v>0</v>
      </c>
      <c r="AN361">
        <v>0</v>
      </c>
      <c r="AO361">
        <f t="shared" si="192"/>
        <v>0</v>
      </c>
      <c r="AP361">
        <f t="shared" si="201"/>
        <v>0</v>
      </c>
      <c r="AQ361" t="e">
        <f t="shared" ca="1" si="193"/>
        <v>#VALUE!</v>
      </c>
      <c r="AR361" t="e">
        <f t="shared" ca="1" si="194"/>
        <v>#VALUE!</v>
      </c>
      <c r="AS361" t="e">
        <f t="shared" ca="1" si="195"/>
        <v>#VALUE!</v>
      </c>
    </row>
    <row r="362" spans="1:45" x14ac:dyDescent="0.35">
      <c r="A362">
        <v>213</v>
      </c>
      <c r="B362">
        <v>211.94800000000001</v>
      </c>
      <c r="C362">
        <v>616371.95700000005</v>
      </c>
      <c r="D362">
        <v>3097690.6329999999</v>
      </c>
      <c r="E362">
        <v>632.45600000000002</v>
      </c>
      <c r="F362">
        <v>5.2</v>
      </c>
      <c r="G362">
        <v>0</v>
      </c>
      <c r="H362" t="s">
        <v>191</v>
      </c>
      <c r="I362">
        <v>5.7000000000000002E-2</v>
      </c>
      <c r="J362">
        <f t="shared" si="196"/>
        <v>1</v>
      </c>
      <c r="K362">
        <f t="shared" si="197"/>
        <v>51</v>
      </c>
      <c r="L362" t="e">
        <f t="shared" ca="1" si="198"/>
        <v>#VALUE!</v>
      </c>
      <c r="M362" t="e">
        <f t="shared" ca="1" si="171"/>
        <v>#VALUE!</v>
      </c>
      <c r="N362" t="e">
        <f t="shared" ca="1" si="172"/>
        <v>#VALUE!</v>
      </c>
      <c r="O362" t="e">
        <f t="shared" ca="1" si="173"/>
        <v>#VALUE!</v>
      </c>
      <c r="P362" t="e">
        <f t="shared" ca="1" si="174"/>
        <v>#VALUE!</v>
      </c>
      <c r="Q362" t="e">
        <f t="shared" ca="1" si="175"/>
        <v>#VALUE!</v>
      </c>
      <c r="R362" t="e">
        <f t="shared" ca="1" si="176"/>
        <v>#VALUE!</v>
      </c>
      <c r="S362" t="e">
        <f t="shared" ca="1" si="177"/>
        <v>#VALUE!</v>
      </c>
      <c r="T362" t="e">
        <f t="shared" ca="1" si="178"/>
        <v>#VALUE!</v>
      </c>
      <c r="U362" t="e">
        <f t="shared" ca="1" si="199"/>
        <v>#VALUE!</v>
      </c>
      <c r="V362" t="e">
        <f t="shared" ca="1" si="200"/>
        <v>#VALUE!</v>
      </c>
      <c r="W362" t="e">
        <f t="shared" ca="1" si="179"/>
        <v>#VALUE!</v>
      </c>
      <c r="X362" t="e">
        <f t="shared" ca="1" si="180"/>
        <v>#VALUE!</v>
      </c>
      <c r="Y362" t="e">
        <f t="shared" ca="1" si="181"/>
        <v>#VALUE!</v>
      </c>
      <c r="Z362" t="e">
        <f t="shared" ca="1" si="182"/>
        <v>#VALUE!</v>
      </c>
      <c r="AA362" t="e">
        <f t="shared" ca="1" si="183"/>
        <v>#VALUE!</v>
      </c>
      <c r="AB362" t="e">
        <f t="shared" ca="1" si="184"/>
        <v>#VALUE!</v>
      </c>
      <c r="AC362" t="e">
        <f t="shared" ca="1" si="185"/>
        <v>#VALUE!</v>
      </c>
      <c r="AD362" t="e">
        <f t="shared" ca="1" si="186"/>
        <v>#VALUE!</v>
      </c>
      <c r="AE362" t="e">
        <f t="shared" ca="1" si="187"/>
        <v>#VALUE!</v>
      </c>
      <c r="AF362" t="e">
        <f t="shared" ca="1" si="188"/>
        <v>#VALUE!</v>
      </c>
      <c r="AG362" t="e">
        <f t="shared" ca="1" si="189"/>
        <v>#VALUE!</v>
      </c>
      <c r="AH362" t="e">
        <f ca="1">IF(V32="Supercritical",L362,IF(V32="Subcritical",W362,IF(AND(V362=1,AG362=1),IF(T362&gt;=AE362,L362,W362),IF(V362=1,L362,IF(AG362=1,W362,MAX($D$16,POWER((ABS(K362)^2)/($I$5*MAX(F362,0.1)^2),1/3)))))))</f>
        <v>#VALUE!</v>
      </c>
      <c r="AI362" t="e">
        <f t="shared" ca="1" si="190"/>
        <v>#VALUE!</v>
      </c>
      <c r="AJ362" t="e">
        <f t="shared" ca="1" si="191"/>
        <v>#VALUE!</v>
      </c>
      <c r="AM362">
        <v>0</v>
      </c>
      <c r="AN362">
        <v>0</v>
      </c>
      <c r="AO362">
        <f t="shared" si="192"/>
        <v>0</v>
      </c>
      <c r="AP362">
        <f t="shared" si="201"/>
        <v>0</v>
      </c>
      <c r="AQ362" t="e">
        <f t="shared" ca="1" si="193"/>
        <v>#VALUE!</v>
      </c>
      <c r="AR362" t="e">
        <f t="shared" ca="1" si="194"/>
        <v>#VALUE!</v>
      </c>
      <c r="AS362" t="e">
        <f t="shared" ca="1" si="195"/>
        <v>#VALUE!</v>
      </c>
    </row>
    <row r="363" spans="1:45" x14ac:dyDescent="0.35">
      <c r="A363">
        <v>214</v>
      </c>
      <c r="B363">
        <v>212.94800000000001</v>
      </c>
      <c r="C363">
        <v>616370.95799999998</v>
      </c>
      <c r="D363">
        <v>3097690.5860000001</v>
      </c>
      <c r="E363">
        <v>632.45550000000003</v>
      </c>
      <c r="F363">
        <v>5.2</v>
      </c>
      <c r="G363">
        <v>0</v>
      </c>
      <c r="H363" t="s">
        <v>191</v>
      </c>
      <c r="I363">
        <v>5.7000000000000002E-2</v>
      </c>
      <c r="J363">
        <f t="shared" si="196"/>
        <v>1</v>
      </c>
      <c r="K363">
        <f t="shared" si="197"/>
        <v>51</v>
      </c>
      <c r="L363" t="e">
        <f t="shared" ca="1" si="198"/>
        <v>#VALUE!</v>
      </c>
      <c r="M363" t="e">
        <f t="shared" ca="1" si="171"/>
        <v>#VALUE!</v>
      </c>
      <c r="N363" t="e">
        <f t="shared" ca="1" si="172"/>
        <v>#VALUE!</v>
      </c>
      <c r="O363" t="e">
        <f t="shared" ca="1" si="173"/>
        <v>#VALUE!</v>
      </c>
      <c r="P363" t="e">
        <f t="shared" ca="1" si="174"/>
        <v>#VALUE!</v>
      </c>
      <c r="Q363" t="e">
        <f t="shared" ca="1" si="175"/>
        <v>#VALUE!</v>
      </c>
      <c r="R363" t="e">
        <f t="shared" ca="1" si="176"/>
        <v>#VALUE!</v>
      </c>
      <c r="S363" t="e">
        <f t="shared" ca="1" si="177"/>
        <v>#VALUE!</v>
      </c>
      <c r="T363" t="e">
        <f t="shared" ca="1" si="178"/>
        <v>#VALUE!</v>
      </c>
      <c r="U363" t="e">
        <f t="shared" ca="1" si="199"/>
        <v>#VALUE!</v>
      </c>
      <c r="V363" t="e">
        <f t="shared" ca="1" si="200"/>
        <v>#VALUE!</v>
      </c>
      <c r="W363" t="e">
        <f t="shared" ca="1" si="179"/>
        <v>#VALUE!</v>
      </c>
      <c r="X363" t="e">
        <f t="shared" ca="1" si="180"/>
        <v>#VALUE!</v>
      </c>
      <c r="Y363" t="e">
        <f t="shared" ca="1" si="181"/>
        <v>#VALUE!</v>
      </c>
      <c r="Z363" t="e">
        <f t="shared" ca="1" si="182"/>
        <v>#VALUE!</v>
      </c>
      <c r="AA363" t="e">
        <f t="shared" ca="1" si="183"/>
        <v>#VALUE!</v>
      </c>
      <c r="AB363" t="e">
        <f t="shared" ca="1" si="184"/>
        <v>#VALUE!</v>
      </c>
      <c r="AC363" t="e">
        <f t="shared" ca="1" si="185"/>
        <v>#VALUE!</v>
      </c>
      <c r="AD363" t="e">
        <f t="shared" ca="1" si="186"/>
        <v>#VALUE!</v>
      </c>
      <c r="AE363" t="e">
        <f t="shared" ca="1" si="187"/>
        <v>#VALUE!</v>
      </c>
      <c r="AF363" t="e">
        <f t="shared" ca="1" si="188"/>
        <v>#VALUE!</v>
      </c>
      <c r="AG363" t="e">
        <f t="shared" ca="1" si="189"/>
        <v>#VALUE!</v>
      </c>
      <c r="AH363" t="e">
        <f ca="1">IF(V32="Supercritical",L363,IF(V32="Subcritical",W363,IF(AND(V363=1,AG363=1),IF(T363&gt;=AE363,L363,W363),IF(V363=1,L363,IF(AG363=1,W363,MAX($D$16,POWER((ABS(K363)^2)/($I$5*MAX(F363,0.1)^2),1/3)))))))</f>
        <v>#VALUE!</v>
      </c>
      <c r="AI363" t="e">
        <f t="shared" ca="1" si="190"/>
        <v>#VALUE!</v>
      </c>
      <c r="AJ363" t="e">
        <f t="shared" ca="1" si="191"/>
        <v>#VALUE!</v>
      </c>
      <c r="AM363">
        <v>0</v>
      </c>
      <c r="AN363">
        <v>0</v>
      </c>
      <c r="AO363">
        <f t="shared" si="192"/>
        <v>0</v>
      </c>
      <c r="AP363">
        <f t="shared" si="201"/>
        <v>0</v>
      </c>
      <c r="AQ363" t="e">
        <f t="shared" ca="1" si="193"/>
        <v>#VALUE!</v>
      </c>
      <c r="AR363" t="e">
        <f t="shared" ca="1" si="194"/>
        <v>#VALUE!</v>
      </c>
      <c r="AS363" t="e">
        <f t="shared" ca="1" si="195"/>
        <v>#VALUE!</v>
      </c>
    </row>
    <row r="364" spans="1:45" x14ac:dyDescent="0.35">
      <c r="A364">
        <v>215</v>
      </c>
      <c r="B364">
        <v>213.94800000000001</v>
      </c>
      <c r="C364">
        <v>616369.95900000003</v>
      </c>
      <c r="D364">
        <v>3097690.5380000002</v>
      </c>
      <c r="E364">
        <v>632.45500000000004</v>
      </c>
      <c r="F364">
        <v>5.2</v>
      </c>
      <c r="G364">
        <v>0</v>
      </c>
      <c r="H364" t="s">
        <v>191</v>
      </c>
      <c r="I364">
        <v>5.7000000000000002E-2</v>
      </c>
      <c r="J364">
        <f t="shared" si="196"/>
        <v>1</v>
      </c>
      <c r="K364">
        <f t="shared" si="197"/>
        <v>51</v>
      </c>
      <c r="L364" t="e">
        <f t="shared" ca="1" si="198"/>
        <v>#VALUE!</v>
      </c>
      <c r="M364" t="e">
        <f t="shared" ca="1" si="171"/>
        <v>#VALUE!</v>
      </c>
      <c r="N364" t="e">
        <f t="shared" ca="1" si="172"/>
        <v>#VALUE!</v>
      </c>
      <c r="O364" t="e">
        <f t="shared" ca="1" si="173"/>
        <v>#VALUE!</v>
      </c>
      <c r="P364" t="e">
        <f t="shared" ca="1" si="174"/>
        <v>#VALUE!</v>
      </c>
      <c r="Q364" t="e">
        <f t="shared" ca="1" si="175"/>
        <v>#VALUE!</v>
      </c>
      <c r="R364" t="e">
        <f t="shared" ca="1" si="176"/>
        <v>#VALUE!</v>
      </c>
      <c r="S364" t="e">
        <f t="shared" ca="1" si="177"/>
        <v>#VALUE!</v>
      </c>
      <c r="T364" t="e">
        <f t="shared" ca="1" si="178"/>
        <v>#VALUE!</v>
      </c>
      <c r="U364" t="e">
        <f t="shared" ca="1" si="199"/>
        <v>#VALUE!</v>
      </c>
      <c r="V364" t="e">
        <f t="shared" ca="1" si="200"/>
        <v>#VALUE!</v>
      </c>
      <c r="W364" t="e">
        <f t="shared" ca="1" si="179"/>
        <v>#VALUE!</v>
      </c>
      <c r="X364" t="e">
        <f t="shared" ca="1" si="180"/>
        <v>#VALUE!</v>
      </c>
      <c r="Y364" t="e">
        <f t="shared" ca="1" si="181"/>
        <v>#VALUE!</v>
      </c>
      <c r="Z364" t="e">
        <f t="shared" ca="1" si="182"/>
        <v>#VALUE!</v>
      </c>
      <c r="AA364" t="e">
        <f t="shared" ca="1" si="183"/>
        <v>#VALUE!</v>
      </c>
      <c r="AB364" t="e">
        <f t="shared" ca="1" si="184"/>
        <v>#VALUE!</v>
      </c>
      <c r="AC364" t="e">
        <f t="shared" ca="1" si="185"/>
        <v>#VALUE!</v>
      </c>
      <c r="AD364" t="e">
        <f t="shared" ca="1" si="186"/>
        <v>#VALUE!</v>
      </c>
      <c r="AE364" t="e">
        <f t="shared" ca="1" si="187"/>
        <v>#VALUE!</v>
      </c>
      <c r="AF364" t="e">
        <f t="shared" ca="1" si="188"/>
        <v>#VALUE!</v>
      </c>
      <c r="AG364" t="e">
        <f t="shared" ca="1" si="189"/>
        <v>#VALUE!</v>
      </c>
      <c r="AH364" t="e">
        <f ca="1">IF(V32="Supercritical",L364,IF(V32="Subcritical",W364,IF(AND(V364=1,AG364=1),IF(T364&gt;=AE364,L364,W364),IF(V364=1,L364,IF(AG364=1,W364,MAX($D$16,POWER((ABS(K364)^2)/($I$5*MAX(F364,0.1)^2),1/3)))))))</f>
        <v>#VALUE!</v>
      </c>
      <c r="AI364" t="e">
        <f t="shared" ca="1" si="190"/>
        <v>#VALUE!</v>
      </c>
      <c r="AJ364" t="e">
        <f t="shared" ca="1" si="191"/>
        <v>#VALUE!</v>
      </c>
      <c r="AM364">
        <v>0</v>
      </c>
      <c r="AN364">
        <v>0</v>
      </c>
      <c r="AO364">
        <f t="shared" si="192"/>
        <v>0</v>
      </c>
      <c r="AP364">
        <f t="shared" si="201"/>
        <v>0</v>
      </c>
      <c r="AQ364" t="e">
        <f t="shared" ca="1" si="193"/>
        <v>#VALUE!</v>
      </c>
      <c r="AR364" t="e">
        <f t="shared" ca="1" si="194"/>
        <v>#VALUE!</v>
      </c>
      <c r="AS364" t="e">
        <f t="shared" ca="1" si="195"/>
        <v>#VALUE!</v>
      </c>
    </row>
    <row r="365" spans="1:45" x14ac:dyDescent="0.35">
      <c r="A365">
        <v>216</v>
      </c>
      <c r="B365">
        <v>214.94900000000001</v>
      </c>
      <c r="C365">
        <v>616368.96</v>
      </c>
      <c r="D365">
        <v>3097690.4909999999</v>
      </c>
      <c r="E365">
        <v>632.45450000000005</v>
      </c>
      <c r="F365">
        <v>5.2</v>
      </c>
      <c r="G365">
        <v>0</v>
      </c>
      <c r="H365" t="s">
        <v>191</v>
      </c>
      <c r="I365">
        <v>5.7000000000000002E-2</v>
      </c>
      <c r="J365">
        <f t="shared" si="196"/>
        <v>1.0010000000000048</v>
      </c>
      <c r="K365">
        <f t="shared" si="197"/>
        <v>51</v>
      </c>
      <c r="L365" t="e">
        <f t="shared" ca="1" si="198"/>
        <v>#VALUE!</v>
      </c>
      <c r="M365" t="e">
        <f t="shared" ca="1" si="171"/>
        <v>#VALUE!</v>
      </c>
      <c r="N365" t="e">
        <f t="shared" ca="1" si="172"/>
        <v>#VALUE!</v>
      </c>
      <c r="O365" t="e">
        <f t="shared" ca="1" si="173"/>
        <v>#VALUE!</v>
      </c>
      <c r="P365" t="e">
        <f t="shared" ca="1" si="174"/>
        <v>#VALUE!</v>
      </c>
      <c r="Q365" t="e">
        <f t="shared" ca="1" si="175"/>
        <v>#VALUE!</v>
      </c>
      <c r="R365" t="e">
        <f t="shared" ca="1" si="176"/>
        <v>#VALUE!</v>
      </c>
      <c r="S365" t="e">
        <f t="shared" ca="1" si="177"/>
        <v>#VALUE!</v>
      </c>
      <c r="T365" t="e">
        <f t="shared" ca="1" si="178"/>
        <v>#VALUE!</v>
      </c>
      <c r="U365" t="e">
        <f t="shared" ca="1" si="199"/>
        <v>#VALUE!</v>
      </c>
      <c r="V365" t="e">
        <f t="shared" ca="1" si="200"/>
        <v>#VALUE!</v>
      </c>
      <c r="W365" t="e">
        <f t="shared" ca="1" si="179"/>
        <v>#VALUE!</v>
      </c>
      <c r="X365" t="e">
        <f t="shared" ca="1" si="180"/>
        <v>#VALUE!</v>
      </c>
      <c r="Y365" t="e">
        <f t="shared" ca="1" si="181"/>
        <v>#VALUE!</v>
      </c>
      <c r="Z365" t="e">
        <f t="shared" ca="1" si="182"/>
        <v>#VALUE!</v>
      </c>
      <c r="AA365" t="e">
        <f t="shared" ca="1" si="183"/>
        <v>#VALUE!</v>
      </c>
      <c r="AB365" t="e">
        <f t="shared" ca="1" si="184"/>
        <v>#VALUE!</v>
      </c>
      <c r="AC365" t="e">
        <f t="shared" ca="1" si="185"/>
        <v>#VALUE!</v>
      </c>
      <c r="AD365" t="e">
        <f t="shared" ca="1" si="186"/>
        <v>#VALUE!</v>
      </c>
      <c r="AE365" t="e">
        <f t="shared" ca="1" si="187"/>
        <v>#VALUE!</v>
      </c>
      <c r="AF365" t="e">
        <f t="shared" ca="1" si="188"/>
        <v>#VALUE!</v>
      </c>
      <c r="AG365" t="e">
        <f t="shared" ca="1" si="189"/>
        <v>#VALUE!</v>
      </c>
      <c r="AH365" t="e">
        <f ca="1">IF(V32="Supercritical",L365,IF(V32="Subcritical",W365,IF(AND(V365=1,AG365=1),IF(T365&gt;=AE365,L365,W365),IF(V365=1,L365,IF(AG365=1,W365,MAX($D$16,POWER((ABS(K365)^2)/($I$5*MAX(F365,0.1)^2),1/3)))))))</f>
        <v>#VALUE!</v>
      </c>
      <c r="AI365" t="e">
        <f t="shared" ca="1" si="190"/>
        <v>#VALUE!</v>
      </c>
      <c r="AJ365" t="e">
        <f t="shared" ca="1" si="191"/>
        <v>#VALUE!</v>
      </c>
      <c r="AM365">
        <v>0</v>
      </c>
      <c r="AN365">
        <v>0</v>
      </c>
      <c r="AO365">
        <f t="shared" si="192"/>
        <v>0</v>
      </c>
      <c r="AP365">
        <f t="shared" si="201"/>
        <v>0</v>
      </c>
      <c r="AQ365" t="e">
        <f t="shared" ca="1" si="193"/>
        <v>#VALUE!</v>
      </c>
      <c r="AR365" t="e">
        <f t="shared" ca="1" si="194"/>
        <v>#VALUE!</v>
      </c>
      <c r="AS365" t="e">
        <f t="shared" ca="1" si="195"/>
        <v>#VALUE!</v>
      </c>
    </row>
    <row r="366" spans="1:45" x14ac:dyDescent="0.35">
      <c r="A366">
        <v>217</v>
      </c>
      <c r="B366">
        <v>215.94900000000001</v>
      </c>
      <c r="C366">
        <v>616367.96100000001</v>
      </c>
      <c r="D366">
        <v>3097690.443</v>
      </c>
      <c r="E366">
        <v>632.45399999999995</v>
      </c>
      <c r="F366">
        <v>5.2</v>
      </c>
      <c r="G366">
        <v>0</v>
      </c>
      <c r="H366" t="s">
        <v>191</v>
      </c>
      <c r="I366">
        <v>3.0000000000000001E-3</v>
      </c>
      <c r="J366">
        <f t="shared" si="196"/>
        <v>1</v>
      </c>
      <c r="K366">
        <f t="shared" si="197"/>
        <v>51</v>
      </c>
      <c r="L366" t="e">
        <f t="shared" ca="1" si="198"/>
        <v>#VALUE!</v>
      </c>
      <c r="M366" t="e">
        <f t="shared" ca="1" si="171"/>
        <v>#VALUE!</v>
      </c>
      <c r="N366" t="e">
        <f t="shared" ca="1" si="172"/>
        <v>#VALUE!</v>
      </c>
      <c r="O366" t="e">
        <f t="shared" ca="1" si="173"/>
        <v>#VALUE!</v>
      </c>
      <c r="P366" t="e">
        <f t="shared" ca="1" si="174"/>
        <v>#VALUE!</v>
      </c>
      <c r="Q366" t="e">
        <f t="shared" ca="1" si="175"/>
        <v>#VALUE!</v>
      </c>
      <c r="R366" t="e">
        <f t="shared" ca="1" si="176"/>
        <v>#VALUE!</v>
      </c>
      <c r="S366" t="e">
        <f t="shared" ca="1" si="177"/>
        <v>#VALUE!</v>
      </c>
      <c r="T366" t="e">
        <f t="shared" ca="1" si="178"/>
        <v>#VALUE!</v>
      </c>
      <c r="U366" t="e">
        <f t="shared" ca="1" si="199"/>
        <v>#VALUE!</v>
      </c>
      <c r="V366" t="e">
        <f t="shared" ca="1" si="200"/>
        <v>#VALUE!</v>
      </c>
      <c r="W366" t="e">
        <f t="shared" ca="1" si="179"/>
        <v>#VALUE!</v>
      </c>
      <c r="X366" t="e">
        <f t="shared" ca="1" si="180"/>
        <v>#VALUE!</v>
      </c>
      <c r="Y366" t="e">
        <f t="shared" ca="1" si="181"/>
        <v>#VALUE!</v>
      </c>
      <c r="Z366" t="e">
        <f t="shared" ca="1" si="182"/>
        <v>#VALUE!</v>
      </c>
      <c r="AA366" t="e">
        <f t="shared" ca="1" si="183"/>
        <v>#VALUE!</v>
      </c>
      <c r="AB366" t="e">
        <f t="shared" ca="1" si="184"/>
        <v>#VALUE!</v>
      </c>
      <c r="AC366" t="e">
        <f t="shared" ca="1" si="185"/>
        <v>#VALUE!</v>
      </c>
      <c r="AD366" t="e">
        <f t="shared" ca="1" si="186"/>
        <v>#VALUE!</v>
      </c>
      <c r="AE366" t="e">
        <f t="shared" ca="1" si="187"/>
        <v>#VALUE!</v>
      </c>
      <c r="AF366" t="e">
        <f t="shared" ca="1" si="188"/>
        <v>#VALUE!</v>
      </c>
      <c r="AG366" t="e">
        <f t="shared" ca="1" si="189"/>
        <v>#VALUE!</v>
      </c>
      <c r="AH366" t="e">
        <f ca="1">IF(V32="Supercritical",L366,IF(V32="Subcritical",W366,IF(AND(V366=1,AG366=1),IF(T366&gt;=AE366,L366,W366),IF(V366=1,L366,IF(AG366=1,W366,MAX($D$16,POWER((ABS(K366)^2)/($I$5*MAX(F366,0.1)^2),1/3)))))))</f>
        <v>#VALUE!</v>
      </c>
      <c r="AI366" t="e">
        <f t="shared" ca="1" si="190"/>
        <v>#VALUE!</v>
      </c>
      <c r="AJ366" t="e">
        <f t="shared" ca="1" si="191"/>
        <v>#VALUE!</v>
      </c>
      <c r="AM366">
        <v>0</v>
      </c>
      <c r="AN366">
        <v>0</v>
      </c>
      <c r="AO366">
        <f t="shared" si="192"/>
        <v>0</v>
      </c>
      <c r="AP366">
        <f t="shared" si="201"/>
        <v>0</v>
      </c>
      <c r="AQ366" t="e">
        <f t="shared" ca="1" si="193"/>
        <v>#VALUE!</v>
      </c>
      <c r="AR366" t="e">
        <f t="shared" ca="1" si="194"/>
        <v>#VALUE!</v>
      </c>
      <c r="AS366" t="e">
        <f t="shared" ca="1" si="195"/>
        <v>#VALUE!</v>
      </c>
    </row>
    <row r="367" spans="1:45" x14ac:dyDescent="0.35">
      <c r="A367">
        <v>218</v>
      </c>
      <c r="B367">
        <v>216.94800000000001</v>
      </c>
      <c r="C367">
        <v>616366.96299999999</v>
      </c>
      <c r="D367">
        <v>3097690.395</v>
      </c>
      <c r="E367">
        <v>632.45349999999996</v>
      </c>
      <c r="F367">
        <v>5.2</v>
      </c>
      <c r="G367">
        <v>0</v>
      </c>
      <c r="H367" t="s">
        <v>191</v>
      </c>
      <c r="I367">
        <v>0.06</v>
      </c>
      <c r="J367">
        <f t="shared" si="196"/>
        <v>0.99899999999999523</v>
      </c>
      <c r="K367">
        <f t="shared" si="197"/>
        <v>51</v>
      </c>
      <c r="L367" t="e">
        <f t="shared" ca="1" si="198"/>
        <v>#VALUE!</v>
      </c>
      <c r="M367" t="e">
        <f t="shared" ca="1" si="171"/>
        <v>#VALUE!</v>
      </c>
      <c r="N367" t="e">
        <f t="shared" ca="1" si="172"/>
        <v>#VALUE!</v>
      </c>
      <c r="O367" t="e">
        <f t="shared" ca="1" si="173"/>
        <v>#VALUE!</v>
      </c>
      <c r="P367" t="e">
        <f t="shared" ca="1" si="174"/>
        <v>#VALUE!</v>
      </c>
      <c r="Q367" t="e">
        <f t="shared" ca="1" si="175"/>
        <v>#VALUE!</v>
      </c>
      <c r="R367" t="e">
        <f t="shared" ca="1" si="176"/>
        <v>#VALUE!</v>
      </c>
      <c r="S367" t="e">
        <f t="shared" ca="1" si="177"/>
        <v>#VALUE!</v>
      </c>
      <c r="T367" t="e">
        <f t="shared" ca="1" si="178"/>
        <v>#VALUE!</v>
      </c>
      <c r="U367" t="e">
        <f t="shared" ca="1" si="199"/>
        <v>#VALUE!</v>
      </c>
      <c r="V367" t="e">
        <f t="shared" ca="1" si="200"/>
        <v>#VALUE!</v>
      </c>
      <c r="W367" t="e">
        <f t="shared" ca="1" si="179"/>
        <v>#VALUE!</v>
      </c>
      <c r="X367" t="e">
        <f t="shared" ca="1" si="180"/>
        <v>#VALUE!</v>
      </c>
      <c r="Y367" t="e">
        <f t="shared" ca="1" si="181"/>
        <v>#VALUE!</v>
      </c>
      <c r="Z367" t="e">
        <f t="shared" ca="1" si="182"/>
        <v>#VALUE!</v>
      </c>
      <c r="AA367" t="e">
        <f t="shared" ca="1" si="183"/>
        <v>#VALUE!</v>
      </c>
      <c r="AB367" t="e">
        <f t="shared" ca="1" si="184"/>
        <v>#VALUE!</v>
      </c>
      <c r="AC367" t="e">
        <f t="shared" ca="1" si="185"/>
        <v>#VALUE!</v>
      </c>
      <c r="AD367" t="e">
        <f t="shared" ca="1" si="186"/>
        <v>#VALUE!</v>
      </c>
      <c r="AE367" t="e">
        <f t="shared" ca="1" si="187"/>
        <v>#VALUE!</v>
      </c>
      <c r="AF367" t="e">
        <f t="shared" ca="1" si="188"/>
        <v>#VALUE!</v>
      </c>
      <c r="AG367" t="e">
        <f t="shared" ca="1" si="189"/>
        <v>#VALUE!</v>
      </c>
      <c r="AH367" t="e">
        <f ca="1">IF(V32="Supercritical",L367,IF(V32="Subcritical",W367,IF(AND(V367=1,AG367=1),IF(T367&gt;=AE367,L367,W367),IF(V367=1,L367,IF(AG367=1,W367,MAX($D$16,POWER((ABS(K367)^2)/($I$5*MAX(F367,0.1)^2),1/3)))))))</f>
        <v>#VALUE!</v>
      </c>
      <c r="AI367" t="e">
        <f t="shared" ca="1" si="190"/>
        <v>#VALUE!</v>
      </c>
      <c r="AJ367" t="e">
        <f t="shared" ca="1" si="191"/>
        <v>#VALUE!</v>
      </c>
      <c r="AM367">
        <v>0</v>
      </c>
      <c r="AN367">
        <v>0</v>
      </c>
      <c r="AO367">
        <f t="shared" si="192"/>
        <v>0</v>
      </c>
      <c r="AP367">
        <f t="shared" si="201"/>
        <v>0</v>
      </c>
      <c r="AQ367" t="e">
        <f t="shared" ca="1" si="193"/>
        <v>#VALUE!</v>
      </c>
      <c r="AR367" t="e">
        <f t="shared" ca="1" si="194"/>
        <v>#VALUE!</v>
      </c>
      <c r="AS367" t="e">
        <f t="shared" ca="1" si="195"/>
        <v>#VALUE!</v>
      </c>
    </row>
    <row r="368" spans="1:45" x14ac:dyDescent="0.35">
      <c r="A368">
        <v>219</v>
      </c>
      <c r="B368">
        <v>217.94800000000001</v>
      </c>
      <c r="C368">
        <v>616365.96400000004</v>
      </c>
      <c r="D368">
        <v>3097690.3480000002</v>
      </c>
      <c r="E368">
        <v>632.45299999999997</v>
      </c>
      <c r="F368">
        <v>5.2</v>
      </c>
      <c r="G368">
        <v>0</v>
      </c>
      <c r="H368" t="s">
        <v>191</v>
      </c>
      <c r="I368">
        <v>5.7000000000000002E-2</v>
      </c>
      <c r="J368">
        <f t="shared" si="196"/>
        <v>1</v>
      </c>
      <c r="K368">
        <f t="shared" si="197"/>
        <v>51</v>
      </c>
      <c r="L368" t="e">
        <f t="shared" ca="1" si="198"/>
        <v>#VALUE!</v>
      </c>
      <c r="M368" t="e">
        <f t="shared" ca="1" si="171"/>
        <v>#VALUE!</v>
      </c>
      <c r="N368" t="e">
        <f t="shared" ca="1" si="172"/>
        <v>#VALUE!</v>
      </c>
      <c r="O368" t="e">
        <f t="shared" ca="1" si="173"/>
        <v>#VALUE!</v>
      </c>
      <c r="P368" t="e">
        <f t="shared" ca="1" si="174"/>
        <v>#VALUE!</v>
      </c>
      <c r="Q368" t="e">
        <f t="shared" ca="1" si="175"/>
        <v>#VALUE!</v>
      </c>
      <c r="R368" t="e">
        <f t="shared" ca="1" si="176"/>
        <v>#VALUE!</v>
      </c>
      <c r="S368" t="e">
        <f t="shared" ca="1" si="177"/>
        <v>#VALUE!</v>
      </c>
      <c r="T368" t="e">
        <f t="shared" ca="1" si="178"/>
        <v>#VALUE!</v>
      </c>
      <c r="U368" t="e">
        <f t="shared" ca="1" si="199"/>
        <v>#VALUE!</v>
      </c>
      <c r="V368" t="e">
        <f t="shared" ca="1" si="200"/>
        <v>#VALUE!</v>
      </c>
      <c r="W368" t="e">
        <f t="shared" ca="1" si="179"/>
        <v>#VALUE!</v>
      </c>
      <c r="X368" t="e">
        <f t="shared" ca="1" si="180"/>
        <v>#VALUE!</v>
      </c>
      <c r="Y368" t="e">
        <f t="shared" ca="1" si="181"/>
        <v>#VALUE!</v>
      </c>
      <c r="Z368" t="e">
        <f t="shared" ca="1" si="182"/>
        <v>#VALUE!</v>
      </c>
      <c r="AA368" t="e">
        <f t="shared" ca="1" si="183"/>
        <v>#VALUE!</v>
      </c>
      <c r="AB368" t="e">
        <f t="shared" ca="1" si="184"/>
        <v>#VALUE!</v>
      </c>
      <c r="AC368" t="e">
        <f t="shared" ca="1" si="185"/>
        <v>#VALUE!</v>
      </c>
      <c r="AD368" t="e">
        <f t="shared" ca="1" si="186"/>
        <v>#VALUE!</v>
      </c>
      <c r="AE368" t="e">
        <f t="shared" ca="1" si="187"/>
        <v>#VALUE!</v>
      </c>
      <c r="AF368" t="e">
        <f t="shared" ca="1" si="188"/>
        <v>#VALUE!</v>
      </c>
      <c r="AG368" t="e">
        <f t="shared" ca="1" si="189"/>
        <v>#VALUE!</v>
      </c>
      <c r="AH368" t="e">
        <f ca="1">IF(V32="Supercritical",L368,IF(V32="Subcritical",W368,IF(AND(V368=1,AG368=1),IF(T368&gt;=AE368,L368,W368),IF(V368=1,L368,IF(AG368=1,W368,MAX($D$16,POWER((ABS(K368)^2)/($I$5*MAX(F368,0.1)^2),1/3)))))))</f>
        <v>#VALUE!</v>
      </c>
      <c r="AI368" t="e">
        <f t="shared" ca="1" si="190"/>
        <v>#VALUE!</v>
      </c>
      <c r="AJ368" t="e">
        <f t="shared" ca="1" si="191"/>
        <v>#VALUE!</v>
      </c>
      <c r="AM368">
        <v>0</v>
      </c>
      <c r="AN368">
        <v>0</v>
      </c>
      <c r="AO368">
        <f t="shared" si="192"/>
        <v>0</v>
      </c>
      <c r="AP368">
        <f t="shared" si="201"/>
        <v>0</v>
      </c>
      <c r="AQ368" t="e">
        <f t="shared" ca="1" si="193"/>
        <v>#VALUE!</v>
      </c>
      <c r="AR368" t="e">
        <f t="shared" ca="1" si="194"/>
        <v>#VALUE!</v>
      </c>
      <c r="AS368" t="e">
        <f t="shared" ca="1" si="195"/>
        <v>#VALUE!</v>
      </c>
    </row>
    <row r="369" spans="1:45" x14ac:dyDescent="0.35">
      <c r="A369">
        <v>220</v>
      </c>
      <c r="B369">
        <v>218.94800000000001</v>
      </c>
      <c r="C369">
        <v>616364.96499999997</v>
      </c>
      <c r="D369">
        <v>3097690.3</v>
      </c>
      <c r="E369">
        <v>632.45249999999999</v>
      </c>
      <c r="F369">
        <v>5.2</v>
      </c>
      <c r="G369">
        <v>0</v>
      </c>
      <c r="H369" t="s">
        <v>191</v>
      </c>
      <c r="I369">
        <v>5.7000000000000002E-2</v>
      </c>
      <c r="J369">
        <f t="shared" si="196"/>
        <v>1</v>
      </c>
      <c r="K369">
        <f t="shared" si="197"/>
        <v>51</v>
      </c>
      <c r="L369" t="e">
        <f t="shared" ca="1" si="198"/>
        <v>#VALUE!</v>
      </c>
      <c r="M369" t="e">
        <f t="shared" ca="1" si="171"/>
        <v>#VALUE!</v>
      </c>
      <c r="N369" t="e">
        <f t="shared" ca="1" si="172"/>
        <v>#VALUE!</v>
      </c>
      <c r="O369" t="e">
        <f t="shared" ca="1" si="173"/>
        <v>#VALUE!</v>
      </c>
      <c r="P369" t="e">
        <f t="shared" ca="1" si="174"/>
        <v>#VALUE!</v>
      </c>
      <c r="Q369" t="e">
        <f t="shared" ca="1" si="175"/>
        <v>#VALUE!</v>
      </c>
      <c r="R369" t="e">
        <f t="shared" ca="1" si="176"/>
        <v>#VALUE!</v>
      </c>
      <c r="S369" t="e">
        <f t="shared" ca="1" si="177"/>
        <v>#VALUE!</v>
      </c>
      <c r="T369" t="e">
        <f t="shared" ca="1" si="178"/>
        <v>#VALUE!</v>
      </c>
      <c r="U369" t="e">
        <f t="shared" ca="1" si="199"/>
        <v>#VALUE!</v>
      </c>
      <c r="V369" t="e">
        <f t="shared" ca="1" si="200"/>
        <v>#VALUE!</v>
      </c>
      <c r="W369" t="e">
        <f t="shared" ca="1" si="179"/>
        <v>#VALUE!</v>
      </c>
      <c r="X369" t="e">
        <f t="shared" ca="1" si="180"/>
        <v>#VALUE!</v>
      </c>
      <c r="Y369" t="e">
        <f t="shared" ca="1" si="181"/>
        <v>#VALUE!</v>
      </c>
      <c r="Z369" t="e">
        <f t="shared" ca="1" si="182"/>
        <v>#VALUE!</v>
      </c>
      <c r="AA369" t="e">
        <f t="shared" ca="1" si="183"/>
        <v>#VALUE!</v>
      </c>
      <c r="AB369" t="e">
        <f t="shared" ca="1" si="184"/>
        <v>#VALUE!</v>
      </c>
      <c r="AC369" t="e">
        <f t="shared" ca="1" si="185"/>
        <v>#VALUE!</v>
      </c>
      <c r="AD369" t="e">
        <f t="shared" ca="1" si="186"/>
        <v>#VALUE!</v>
      </c>
      <c r="AE369" t="e">
        <f t="shared" ca="1" si="187"/>
        <v>#VALUE!</v>
      </c>
      <c r="AF369" t="e">
        <f t="shared" ca="1" si="188"/>
        <v>#VALUE!</v>
      </c>
      <c r="AG369" t="e">
        <f t="shared" ca="1" si="189"/>
        <v>#VALUE!</v>
      </c>
      <c r="AH369" t="e">
        <f ca="1">IF(V32="Supercritical",L369,IF(V32="Subcritical",W369,IF(AND(V369=1,AG369=1),IF(T369&gt;=AE369,L369,W369),IF(V369=1,L369,IF(AG369=1,W369,MAX($D$16,POWER((ABS(K369)^2)/($I$5*MAX(F369,0.1)^2),1/3)))))))</f>
        <v>#VALUE!</v>
      </c>
      <c r="AI369" t="e">
        <f t="shared" ca="1" si="190"/>
        <v>#VALUE!</v>
      </c>
      <c r="AJ369" t="e">
        <f t="shared" ca="1" si="191"/>
        <v>#VALUE!</v>
      </c>
      <c r="AM369">
        <v>0</v>
      </c>
      <c r="AN369">
        <v>0</v>
      </c>
      <c r="AO369">
        <f t="shared" si="192"/>
        <v>0</v>
      </c>
      <c r="AP369">
        <f t="shared" si="201"/>
        <v>0</v>
      </c>
      <c r="AQ369" t="e">
        <f t="shared" ca="1" si="193"/>
        <v>#VALUE!</v>
      </c>
      <c r="AR369" t="e">
        <f t="shared" ca="1" si="194"/>
        <v>#VALUE!</v>
      </c>
      <c r="AS369" t="e">
        <f t="shared" ca="1" si="195"/>
        <v>#VALUE!</v>
      </c>
    </row>
    <row r="370" spans="1:45" x14ac:dyDescent="0.35">
      <c r="A370">
        <v>221</v>
      </c>
      <c r="B370">
        <v>219.94800000000001</v>
      </c>
      <c r="C370">
        <v>616363.96600000001</v>
      </c>
      <c r="D370">
        <v>3097690.253</v>
      </c>
      <c r="E370">
        <v>632.452</v>
      </c>
      <c r="F370">
        <v>5.2</v>
      </c>
      <c r="G370">
        <v>0</v>
      </c>
      <c r="H370" t="s">
        <v>191</v>
      </c>
      <c r="I370">
        <v>5.7000000000000002E-2</v>
      </c>
      <c r="J370">
        <f t="shared" si="196"/>
        <v>1</v>
      </c>
      <c r="K370">
        <f t="shared" si="197"/>
        <v>51</v>
      </c>
      <c r="L370" t="e">
        <f t="shared" ca="1" si="198"/>
        <v>#VALUE!</v>
      </c>
      <c r="M370" t="e">
        <f t="shared" ca="1" si="171"/>
        <v>#VALUE!</v>
      </c>
      <c r="N370" t="e">
        <f t="shared" ca="1" si="172"/>
        <v>#VALUE!</v>
      </c>
      <c r="O370" t="e">
        <f t="shared" ca="1" si="173"/>
        <v>#VALUE!</v>
      </c>
      <c r="P370" t="e">
        <f t="shared" ca="1" si="174"/>
        <v>#VALUE!</v>
      </c>
      <c r="Q370" t="e">
        <f t="shared" ca="1" si="175"/>
        <v>#VALUE!</v>
      </c>
      <c r="R370" t="e">
        <f t="shared" ca="1" si="176"/>
        <v>#VALUE!</v>
      </c>
      <c r="S370" t="e">
        <f t="shared" ca="1" si="177"/>
        <v>#VALUE!</v>
      </c>
      <c r="T370" t="e">
        <f t="shared" ca="1" si="178"/>
        <v>#VALUE!</v>
      </c>
      <c r="U370" t="e">
        <f t="shared" ca="1" si="199"/>
        <v>#VALUE!</v>
      </c>
      <c r="V370" t="e">
        <f t="shared" ca="1" si="200"/>
        <v>#VALUE!</v>
      </c>
      <c r="W370" t="e">
        <f t="shared" ca="1" si="179"/>
        <v>#VALUE!</v>
      </c>
      <c r="X370" t="e">
        <f t="shared" ca="1" si="180"/>
        <v>#VALUE!</v>
      </c>
      <c r="Y370" t="e">
        <f t="shared" ca="1" si="181"/>
        <v>#VALUE!</v>
      </c>
      <c r="Z370" t="e">
        <f t="shared" ca="1" si="182"/>
        <v>#VALUE!</v>
      </c>
      <c r="AA370" t="e">
        <f t="shared" ca="1" si="183"/>
        <v>#VALUE!</v>
      </c>
      <c r="AB370" t="e">
        <f t="shared" ca="1" si="184"/>
        <v>#VALUE!</v>
      </c>
      <c r="AC370" t="e">
        <f t="shared" ca="1" si="185"/>
        <v>#VALUE!</v>
      </c>
      <c r="AD370" t="e">
        <f t="shared" ca="1" si="186"/>
        <v>#VALUE!</v>
      </c>
      <c r="AE370" t="e">
        <f t="shared" ca="1" si="187"/>
        <v>#VALUE!</v>
      </c>
      <c r="AF370" t="e">
        <f t="shared" ca="1" si="188"/>
        <v>#VALUE!</v>
      </c>
      <c r="AG370" t="e">
        <f t="shared" ca="1" si="189"/>
        <v>#VALUE!</v>
      </c>
      <c r="AH370" t="e">
        <f ca="1">IF(V32="Supercritical",L370,IF(V32="Subcritical",W370,IF(AND(V370=1,AG370=1),IF(T370&gt;=AE370,L370,W370),IF(V370=1,L370,IF(AG370=1,W370,MAX($D$16,POWER((ABS(K370)^2)/($I$5*MAX(F370,0.1)^2),1/3)))))))</f>
        <v>#VALUE!</v>
      </c>
      <c r="AI370" t="e">
        <f t="shared" ca="1" si="190"/>
        <v>#VALUE!</v>
      </c>
      <c r="AJ370" t="e">
        <f t="shared" ca="1" si="191"/>
        <v>#VALUE!</v>
      </c>
      <c r="AM370">
        <v>0</v>
      </c>
      <c r="AN370">
        <v>0</v>
      </c>
      <c r="AO370">
        <f t="shared" si="192"/>
        <v>0</v>
      </c>
      <c r="AP370">
        <f t="shared" si="201"/>
        <v>0</v>
      </c>
      <c r="AQ370" t="e">
        <f t="shared" ca="1" si="193"/>
        <v>#VALUE!</v>
      </c>
      <c r="AR370" t="e">
        <f t="shared" ca="1" si="194"/>
        <v>#VALUE!</v>
      </c>
      <c r="AS370" t="e">
        <f t="shared" ca="1" si="195"/>
        <v>#VALUE!</v>
      </c>
    </row>
    <row r="371" spans="1:45" x14ac:dyDescent="0.35">
      <c r="A371">
        <v>222</v>
      </c>
      <c r="B371">
        <v>220.94800000000001</v>
      </c>
      <c r="C371">
        <v>616362.96699999995</v>
      </c>
      <c r="D371">
        <v>3097690.2050000001</v>
      </c>
      <c r="E371">
        <v>632.45150000000001</v>
      </c>
      <c r="F371">
        <v>5.2</v>
      </c>
      <c r="G371">
        <v>0</v>
      </c>
      <c r="H371" t="s">
        <v>191</v>
      </c>
      <c r="I371">
        <v>0</v>
      </c>
      <c r="J371">
        <f t="shared" si="196"/>
        <v>1</v>
      </c>
      <c r="K371">
        <f t="shared" si="197"/>
        <v>51</v>
      </c>
      <c r="L371" t="e">
        <f t="shared" ca="1" si="198"/>
        <v>#VALUE!</v>
      </c>
      <c r="M371" t="e">
        <f t="shared" ca="1" si="171"/>
        <v>#VALUE!</v>
      </c>
      <c r="N371" t="e">
        <f t="shared" ca="1" si="172"/>
        <v>#VALUE!</v>
      </c>
      <c r="O371" t="e">
        <f t="shared" ca="1" si="173"/>
        <v>#VALUE!</v>
      </c>
      <c r="P371" t="e">
        <f t="shared" ca="1" si="174"/>
        <v>#VALUE!</v>
      </c>
      <c r="Q371" t="e">
        <f t="shared" ca="1" si="175"/>
        <v>#VALUE!</v>
      </c>
      <c r="R371" t="e">
        <f t="shared" ca="1" si="176"/>
        <v>#VALUE!</v>
      </c>
      <c r="S371" t="e">
        <f t="shared" ca="1" si="177"/>
        <v>#VALUE!</v>
      </c>
      <c r="T371" t="e">
        <f t="shared" ca="1" si="178"/>
        <v>#VALUE!</v>
      </c>
      <c r="U371" t="e">
        <f t="shared" ca="1" si="199"/>
        <v>#VALUE!</v>
      </c>
      <c r="V371" t="e">
        <f t="shared" ca="1" si="200"/>
        <v>#VALUE!</v>
      </c>
      <c r="W371" t="e">
        <f t="shared" ca="1" si="179"/>
        <v>#VALUE!</v>
      </c>
      <c r="X371" t="e">
        <f t="shared" ca="1" si="180"/>
        <v>#VALUE!</v>
      </c>
      <c r="Y371" t="e">
        <f t="shared" ca="1" si="181"/>
        <v>#VALUE!</v>
      </c>
      <c r="Z371" t="e">
        <f t="shared" ca="1" si="182"/>
        <v>#VALUE!</v>
      </c>
      <c r="AA371" t="e">
        <f t="shared" ca="1" si="183"/>
        <v>#VALUE!</v>
      </c>
      <c r="AB371" t="e">
        <f t="shared" ca="1" si="184"/>
        <v>#VALUE!</v>
      </c>
      <c r="AC371" t="e">
        <f t="shared" ca="1" si="185"/>
        <v>#VALUE!</v>
      </c>
      <c r="AD371" t="e">
        <f t="shared" ca="1" si="186"/>
        <v>#VALUE!</v>
      </c>
      <c r="AE371" t="e">
        <f t="shared" ca="1" si="187"/>
        <v>#VALUE!</v>
      </c>
      <c r="AF371" t="e">
        <f t="shared" ca="1" si="188"/>
        <v>#VALUE!</v>
      </c>
      <c r="AG371" t="e">
        <f t="shared" ca="1" si="189"/>
        <v>#VALUE!</v>
      </c>
      <c r="AH371" t="e">
        <f ca="1">IF(V32="Supercritical",L371,IF(V32="Subcritical",W371,IF(AND(V371=1,AG371=1),IF(T371&gt;=AE371,L371,W371),IF(V371=1,L371,IF(AG371=1,W371,MAX($D$16,POWER((ABS(K371)^2)/($I$5*MAX(F371,0.1)^2),1/3)))))))</f>
        <v>#VALUE!</v>
      </c>
      <c r="AI371" t="e">
        <f t="shared" ca="1" si="190"/>
        <v>#VALUE!</v>
      </c>
      <c r="AJ371" t="e">
        <f t="shared" ca="1" si="191"/>
        <v>#VALUE!</v>
      </c>
      <c r="AM371">
        <v>0</v>
      </c>
      <c r="AN371">
        <v>0</v>
      </c>
      <c r="AO371">
        <f t="shared" si="192"/>
        <v>0</v>
      </c>
      <c r="AP371">
        <f t="shared" si="201"/>
        <v>0</v>
      </c>
      <c r="AQ371" t="e">
        <f t="shared" ca="1" si="193"/>
        <v>#VALUE!</v>
      </c>
      <c r="AR371" t="e">
        <f t="shared" ca="1" si="194"/>
        <v>#VALUE!</v>
      </c>
      <c r="AS371" t="e">
        <f t="shared" ca="1" si="195"/>
        <v>#VALUE!</v>
      </c>
    </row>
    <row r="372" spans="1:45" x14ac:dyDescent="0.35">
      <c r="A372">
        <v>223</v>
      </c>
      <c r="B372">
        <v>221.94800000000001</v>
      </c>
      <c r="C372">
        <v>616361.96799999999</v>
      </c>
      <c r="D372">
        <v>3097690.1570000001</v>
      </c>
      <c r="E372">
        <v>632.45100000000002</v>
      </c>
      <c r="F372">
        <v>5.2</v>
      </c>
      <c r="G372">
        <v>0</v>
      </c>
      <c r="H372" t="s">
        <v>191</v>
      </c>
      <c r="I372">
        <v>5.7000000000000002E-2</v>
      </c>
      <c r="J372">
        <f t="shared" si="196"/>
        <v>1</v>
      </c>
      <c r="K372">
        <f t="shared" si="197"/>
        <v>51</v>
      </c>
      <c r="L372" t="e">
        <f t="shared" ca="1" si="198"/>
        <v>#VALUE!</v>
      </c>
      <c r="M372" t="e">
        <f t="shared" ca="1" si="171"/>
        <v>#VALUE!</v>
      </c>
      <c r="N372" t="e">
        <f t="shared" ca="1" si="172"/>
        <v>#VALUE!</v>
      </c>
      <c r="O372" t="e">
        <f t="shared" ca="1" si="173"/>
        <v>#VALUE!</v>
      </c>
      <c r="P372" t="e">
        <f t="shared" ca="1" si="174"/>
        <v>#VALUE!</v>
      </c>
      <c r="Q372" t="e">
        <f t="shared" ca="1" si="175"/>
        <v>#VALUE!</v>
      </c>
      <c r="R372" t="e">
        <f t="shared" ca="1" si="176"/>
        <v>#VALUE!</v>
      </c>
      <c r="S372" t="e">
        <f t="shared" ca="1" si="177"/>
        <v>#VALUE!</v>
      </c>
      <c r="T372" t="e">
        <f t="shared" ca="1" si="178"/>
        <v>#VALUE!</v>
      </c>
      <c r="U372" t="e">
        <f t="shared" ca="1" si="199"/>
        <v>#VALUE!</v>
      </c>
      <c r="V372" t="e">
        <f t="shared" ca="1" si="200"/>
        <v>#VALUE!</v>
      </c>
      <c r="W372" t="e">
        <f t="shared" ca="1" si="179"/>
        <v>#VALUE!</v>
      </c>
      <c r="X372" t="e">
        <f t="shared" ca="1" si="180"/>
        <v>#VALUE!</v>
      </c>
      <c r="Y372" t="e">
        <f t="shared" ca="1" si="181"/>
        <v>#VALUE!</v>
      </c>
      <c r="Z372" t="e">
        <f t="shared" ca="1" si="182"/>
        <v>#VALUE!</v>
      </c>
      <c r="AA372" t="e">
        <f t="shared" ca="1" si="183"/>
        <v>#VALUE!</v>
      </c>
      <c r="AB372" t="e">
        <f t="shared" ca="1" si="184"/>
        <v>#VALUE!</v>
      </c>
      <c r="AC372" t="e">
        <f t="shared" ca="1" si="185"/>
        <v>#VALUE!</v>
      </c>
      <c r="AD372" t="e">
        <f t="shared" ca="1" si="186"/>
        <v>#VALUE!</v>
      </c>
      <c r="AE372" t="e">
        <f t="shared" ca="1" si="187"/>
        <v>#VALUE!</v>
      </c>
      <c r="AF372" t="e">
        <f t="shared" ca="1" si="188"/>
        <v>#VALUE!</v>
      </c>
      <c r="AG372" t="e">
        <f t="shared" ca="1" si="189"/>
        <v>#VALUE!</v>
      </c>
      <c r="AH372" t="e">
        <f ca="1">IF(V32="Supercritical",L372,IF(V32="Subcritical",W372,IF(AND(V372=1,AG372=1),IF(T372&gt;=AE372,L372,W372),IF(V372=1,L372,IF(AG372=1,W372,MAX($D$16,POWER((ABS(K372)^2)/($I$5*MAX(F372,0.1)^2),1/3)))))))</f>
        <v>#VALUE!</v>
      </c>
      <c r="AI372" t="e">
        <f t="shared" ca="1" si="190"/>
        <v>#VALUE!</v>
      </c>
      <c r="AJ372" t="e">
        <f t="shared" ca="1" si="191"/>
        <v>#VALUE!</v>
      </c>
      <c r="AM372">
        <v>0</v>
      </c>
      <c r="AN372">
        <v>0</v>
      </c>
      <c r="AO372">
        <f t="shared" si="192"/>
        <v>0</v>
      </c>
      <c r="AP372">
        <f t="shared" si="201"/>
        <v>0</v>
      </c>
      <c r="AQ372" t="e">
        <f t="shared" ca="1" si="193"/>
        <v>#VALUE!</v>
      </c>
      <c r="AR372" t="e">
        <f t="shared" ca="1" si="194"/>
        <v>#VALUE!</v>
      </c>
      <c r="AS372" t="e">
        <f t="shared" ca="1" si="195"/>
        <v>#VALUE!</v>
      </c>
    </row>
    <row r="373" spans="1:45" x14ac:dyDescent="0.35">
      <c r="A373">
        <v>224</v>
      </c>
      <c r="B373">
        <v>222.94900000000001</v>
      </c>
      <c r="C373">
        <v>616360.96900000004</v>
      </c>
      <c r="D373">
        <v>3097690.11</v>
      </c>
      <c r="E373">
        <v>632.45050000000003</v>
      </c>
      <c r="F373">
        <v>5.2</v>
      </c>
      <c r="G373">
        <v>0</v>
      </c>
      <c r="H373" t="s">
        <v>191</v>
      </c>
      <c r="I373">
        <v>0.06</v>
      </c>
      <c r="J373">
        <f t="shared" si="196"/>
        <v>1.0010000000000048</v>
      </c>
      <c r="K373">
        <f t="shared" si="197"/>
        <v>51</v>
      </c>
      <c r="L373" t="e">
        <f t="shared" ca="1" si="198"/>
        <v>#VALUE!</v>
      </c>
      <c r="M373" t="e">
        <f t="shared" ca="1" si="171"/>
        <v>#VALUE!</v>
      </c>
      <c r="N373" t="e">
        <f t="shared" ca="1" si="172"/>
        <v>#VALUE!</v>
      </c>
      <c r="O373" t="e">
        <f t="shared" ca="1" si="173"/>
        <v>#VALUE!</v>
      </c>
      <c r="P373" t="e">
        <f t="shared" ca="1" si="174"/>
        <v>#VALUE!</v>
      </c>
      <c r="Q373" t="e">
        <f t="shared" ca="1" si="175"/>
        <v>#VALUE!</v>
      </c>
      <c r="R373" t="e">
        <f t="shared" ca="1" si="176"/>
        <v>#VALUE!</v>
      </c>
      <c r="S373" t="e">
        <f t="shared" ca="1" si="177"/>
        <v>#VALUE!</v>
      </c>
      <c r="T373" t="e">
        <f t="shared" ca="1" si="178"/>
        <v>#VALUE!</v>
      </c>
      <c r="U373" t="e">
        <f t="shared" ca="1" si="199"/>
        <v>#VALUE!</v>
      </c>
      <c r="V373" t="e">
        <f t="shared" ca="1" si="200"/>
        <v>#VALUE!</v>
      </c>
      <c r="W373" t="e">
        <f t="shared" ca="1" si="179"/>
        <v>#VALUE!</v>
      </c>
      <c r="X373" t="e">
        <f t="shared" ca="1" si="180"/>
        <v>#VALUE!</v>
      </c>
      <c r="Y373" t="e">
        <f t="shared" ca="1" si="181"/>
        <v>#VALUE!</v>
      </c>
      <c r="Z373" t="e">
        <f t="shared" ca="1" si="182"/>
        <v>#VALUE!</v>
      </c>
      <c r="AA373" t="e">
        <f t="shared" ca="1" si="183"/>
        <v>#VALUE!</v>
      </c>
      <c r="AB373" t="e">
        <f t="shared" ca="1" si="184"/>
        <v>#VALUE!</v>
      </c>
      <c r="AC373" t="e">
        <f t="shared" ca="1" si="185"/>
        <v>#VALUE!</v>
      </c>
      <c r="AD373" t="e">
        <f t="shared" ca="1" si="186"/>
        <v>#VALUE!</v>
      </c>
      <c r="AE373" t="e">
        <f t="shared" ca="1" si="187"/>
        <v>#VALUE!</v>
      </c>
      <c r="AF373" t="e">
        <f t="shared" ca="1" si="188"/>
        <v>#VALUE!</v>
      </c>
      <c r="AG373" t="e">
        <f t="shared" ca="1" si="189"/>
        <v>#VALUE!</v>
      </c>
      <c r="AH373" t="e">
        <f ca="1">IF(V32="Supercritical",L373,IF(V32="Subcritical",W373,IF(AND(V373=1,AG373=1),IF(T373&gt;=AE373,L373,W373),IF(V373=1,L373,IF(AG373=1,W373,MAX($D$16,POWER((ABS(K373)^2)/($I$5*MAX(F373,0.1)^2),1/3)))))))</f>
        <v>#VALUE!</v>
      </c>
      <c r="AI373" t="e">
        <f t="shared" ca="1" si="190"/>
        <v>#VALUE!</v>
      </c>
      <c r="AJ373" t="e">
        <f t="shared" ca="1" si="191"/>
        <v>#VALUE!</v>
      </c>
      <c r="AM373">
        <v>0</v>
      </c>
      <c r="AN373">
        <v>0</v>
      </c>
      <c r="AO373">
        <f t="shared" si="192"/>
        <v>0</v>
      </c>
      <c r="AP373">
        <f t="shared" si="201"/>
        <v>0</v>
      </c>
      <c r="AQ373" t="e">
        <f t="shared" ca="1" si="193"/>
        <v>#VALUE!</v>
      </c>
      <c r="AR373" t="e">
        <f t="shared" ca="1" si="194"/>
        <v>#VALUE!</v>
      </c>
      <c r="AS373" t="e">
        <f t="shared" ca="1" si="195"/>
        <v>#VALUE!</v>
      </c>
    </row>
    <row r="374" spans="1:45" x14ac:dyDescent="0.35">
      <c r="A374">
        <v>225</v>
      </c>
      <c r="B374">
        <v>223.94800000000001</v>
      </c>
      <c r="C374">
        <v>616359.97100000002</v>
      </c>
      <c r="D374">
        <v>3097690.0619999999</v>
      </c>
      <c r="E374">
        <v>632.45000000000005</v>
      </c>
      <c r="F374">
        <v>5.2</v>
      </c>
      <c r="G374">
        <v>0</v>
      </c>
      <c r="H374" t="s">
        <v>191</v>
      </c>
      <c r="I374">
        <v>3.0000000000000001E-3</v>
      </c>
      <c r="J374">
        <f t="shared" si="196"/>
        <v>0.99899999999999523</v>
      </c>
      <c r="K374">
        <f t="shared" si="197"/>
        <v>51</v>
      </c>
      <c r="L374" t="e">
        <f t="shared" ca="1" si="198"/>
        <v>#VALUE!</v>
      </c>
      <c r="M374" t="e">
        <f t="shared" ca="1" si="171"/>
        <v>#VALUE!</v>
      </c>
      <c r="N374" t="e">
        <f t="shared" ca="1" si="172"/>
        <v>#VALUE!</v>
      </c>
      <c r="O374" t="e">
        <f t="shared" ca="1" si="173"/>
        <v>#VALUE!</v>
      </c>
      <c r="P374" t="e">
        <f t="shared" ca="1" si="174"/>
        <v>#VALUE!</v>
      </c>
      <c r="Q374" t="e">
        <f t="shared" ca="1" si="175"/>
        <v>#VALUE!</v>
      </c>
      <c r="R374" t="e">
        <f t="shared" ca="1" si="176"/>
        <v>#VALUE!</v>
      </c>
      <c r="S374" t="e">
        <f t="shared" ca="1" si="177"/>
        <v>#VALUE!</v>
      </c>
      <c r="T374" t="e">
        <f t="shared" ca="1" si="178"/>
        <v>#VALUE!</v>
      </c>
      <c r="U374" t="e">
        <f t="shared" ca="1" si="199"/>
        <v>#VALUE!</v>
      </c>
      <c r="V374" t="e">
        <f t="shared" ca="1" si="200"/>
        <v>#VALUE!</v>
      </c>
      <c r="W374" t="e">
        <f t="shared" ca="1" si="179"/>
        <v>#VALUE!</v>
      </c>
      <c r="X374" t="e">
        <f t="shared" ca="1" si="180"/>
        <v>#VALUE!</v>
      </c>
      <c r="Y374" t="e">
        <f t="shared" ca="1" si="181"/>
        <v>#VALUE!</v>
      </c>
      <c r="Z374" t="e">
        <f t="shared" ca="1" si="182"/>
        <v>#VALUE!</v>
      </c>
      <c r="AA374" t="e">
        <f t="shared" ca="1" si="183"/>
        <v>#VALUE!</v>
      </c>
      <c r="AB374" t="e">
        <f t="shared" ca="1" si="184"/>
        <v>#VALUE!</v>
      </c>
      <c r="AC374" t="e">
        <f t="shared" ca="1" si="185"/>
        <v>#VALUE!</v>
      </c>
      <c r="AD374" t="e">
        <f t="shared" ca="1" si="186"/>
        <v>#VALUE!</v>
      </c>
      <c r="AE374" t="e">
        <f t="shared" ca="1" si="187"/>
        <v>#VALUE!</v>
      </c>
      <c r="AF374" t="e">
        <f t="shared" ca="1" si="188"/>
        <v>#VALUE!</v>
      </c>
      <c r="AG374" t="e">
        <f t="shared" ca="1" si="189"/>
        <v>#VALUE!</v>
      </c>
      <c r="AH374" t="e">
        <f ca="1">IF(V32="Supercritical",L374,IF(V32="Subcritical",W374,IF(AND(V374=1,AG374=1),IF(T374&gt;=AE374,L374,W374),IF(V374=1,L374,IF(AG374=1,W374,MAX($D$16,POWER((ABS(K374)^2)/($I$5*MAX(F374,0.1)^2),1/3)))))))</f>
        <v>#VALUE!</v>
      </c>
      <c r="AI374" t="e">
        <f t="shared" ca="1" si="190"/>
        <v>#VALUE!</v>
      </c>
      <c r="AJ374" t="e">
        <f t="shared" ca="1" si="191"/>
        <v>#VALUE!</v>
      </c>
      <c r="AM374">
        <v>0</v>
      </c>
      <c r="AN374">
        <v>0</v>
      </c>
      <c r="AO374">
        <f t="shared" si="192"/>
        <v>0</v>
      </c>
      <c r="AP374">
        <f t="shared" si="201"/>
        <v>0</v>
      </c>
      <c r="AQ374" t="e">
        <f t="shared" ca="1" si="193"/>
        <v>#VALUE!</v>
      </c>
      <c r="AR374" t="e">
        <f t="shared" ca="1" si="194"/>
        <v>#VALUE!</v>
      </c>
      <c r="AS374" t="e">
        <f t="shared" ca="1" si="195"/>
        <v>#VALUE!</v>
      </c>
    </row>
    <row r="375" spans="1:45" x14ac:dyDescent="0.35">
      <c r="A375">
        <v>226</v>
      </c>
      <c r="B375">
        <v>224.94800000000001</v>
      </c>
      <c r="C375">
        <v>616358.97199999995</v>
      </c>
      <c r="D375">
        <v>3097690.014</v>
      </c>
      <c r="E375">
        <v>632.44949999999994</v>
      </c>
      <c r="F375">
        <v>5.2</v>
      </c>
      <c r="G375">
        <v>0</v>
      </c>
      <c r="H375" t="s">
        <v>191</v>
      </c>
      <c r="I375">
        <v>5.7000000000000002E-2</v>
      </c>
      <c r="J375">
        <f t="shared" si="196"/>
        <v>1</v>
      </c>
      <c r="K375">
        <f t="shared" si="197"/>
        <v>51</v>
      </c>
      <c r="L375" t="e">
        <f t="shared" ca="1" si="198"/>
        <v>#VALUE!</v>
      </c>
      <c r="M375" t="e">
        <f t="shared" ca="1" si="171"/>
        <v>#VALUE!</v>
      </c>
      <c r="N375" t="e">
        <f t="shared" ca="1" si="172"/>
        <v>#VALUE!</v>
      </c>
      <c r="O375" t="e">
        <f t="shared" ca="1" si="173"/>
        <v>#VALUE!</v>
      </c>
      <c r="P375" t="e">
        <f t="shared" ca="1" si="174"/>
        <v>#VALUE!</v>
      </c>
      <c r="Q375" t="e">
        <f t="shared" ca="1" si="175"/>
        <v>#VALUE!</v>
      </c>
      <c r="R375" t="e">
        <f t="shared" ca="1" si="176"/>
        <v>#VALUE!</v>
      </c>
      <c r="S375" t="e">
        <f t="shared" ca="1" si="177"/>
        <v>#VALUE!</v>
      </c>
      <c r="T375" t="e">
        <f t="shared" ca="1" si="178"/>
        <v>#VALUE!</v>
      </c>
      <c r="U375" t="e">
        <f t="shared" ca="1" si="199"/>
        <v>#VALUE!</v>
      </c>
      <c r="V375" t="e">
        <f t="shared" ca="1" si="200"/>
        <v>#VALUE!</v>
      </c>
      <c r="W375" t="e">
        <f t="shared" ca="1" si="179"/>
        <v>#VALUE!</v>
      </c>
      <c r="X375" t="e">
        <f t="shared" ca="1" si="180"/>
        <v>#VALUE!</v>
      </c>
      <c r="Y375" t="e">
        <f t="shared" ca="1" si="181"/>
        <v>#VALUE!</v>
      </c>
      <c r="Z375" t="e">
        <f t="shared" ca="1" si="182"/>
        <v>#VALUE!</v>
      </c>
      <c r="AA375" t="e">
        <f t="shared" ca="1" si="183"/>
        <v>#VALUE!</v>
      </c>
      <c r="AB375" t="e">
        <f t="shared" ca="1" si="184"/>
        <v>#VALUE!</v>
      </c>
      <c r="AC375" t="e">
        <f t="shared" ca="1" si="185"/>
        <v>#VALUE!</v>
      </c>
      <c r="AD375" t="e">
        <f t="shared" ca="1" si="186"/>
        <v>#VALUE!</v>
      </c>
      <c r="AE375" t="e">
        <f t="shared" ca="1" si="187"/>
        <v>#VALUE!</v>
      </c>
      <c r="AF375" t="e">
        <f t="shared" ca="1" si="188"/>
        <v>#VALUE!</v>
      </c>
      <c r="AG375" t="e">
        <f t="shared" ca="1" si="189"/>
        <v>#VALUE!</v>
      </c>
      <c r="AH375" t="e">
        <f ca="1">IF(V32="Supercritical",L375,IF(V32="Subcritical",W375,IF(AND(V375=1,AG375=1),IF(T375&gt;=AE375,L375,W375),IF(V375=1,L375,IF(AG375=1,W375,MAX($D$16,POWER((ABS(K375)^2)/($I$5*MAX(F375,0.1)^2),1/3)))))))</f>
        <v>#VALUE!</v>
      </c>
      <c r="AI375" t="e">
        <f t="shared" ca="1" si="190"/>
        <v>#VALUE!</v>
      </c>
      <c r="AJ375" t="e">
        <f t="shared" ca="1" si="191"/>
        <v>#VALUE!</v>
      </c>
      <c r="AM375">
        <v>0</v>
      </c>
      <c r="AN375">
        <v>0</v>
      </c>
      <c r="AO375">
        <f t="shared" si="192"/>
        <v>0</v>
      </c>
      <c r="AP375">
        <f t="shared" si="201"/>
        <v>0</v>
      </c>
      <c r="AQ375" t="e">
        <f t="shared" ca="1" si="193"/>
        <v>#VALUE!</v>
      </c>
      <c r="AR375" t="e">
        <f t="shared" ca="1" si="194"/>
        <v>#VALUE!</v>
      </c>
      <c r="AS375" t="e">
        <f t="shared" ca="1" si="195"/>
        <v>#VALUE!</v>
      </c>
    </row>
    <row r="376" spans="1:45" x14ac:dyDescent="0.35">
      <c r="A376">
        <v>227</v>
      </c>
      <c r="B376">
        <v>225.94800000000001</v>
      </c>
      <c r="C376">
        <v>616357.973</v>
      </c>
      <c r="D376">
        <v>3097689.9670000002</v>
      </c>
      <c r="E376">
        <v>632.44899999999996</v>
      </c>
      <c r="F376">
        <v>5.2</v>
      </c>
      <c r="G376">
        <v>0</v>
      </c>
      <c r="H376" t="s">
        <v>191</v>
      </c>
      <c r="I376">
        <v>5.7000000000000002E-2</v>
      </c>
      <c r="J376">
        <f t="shared" si="196"/>
        <v>1</v>
      </c>
      <c r="K376">
        <f t="shared" si="197"/>
        <v>51</v>
      </c>
      <c r="L376" t="e">
        <f t="shared" ca="1" si="198"/>
        <v>#VALUE!</v>
      </c>
      <c r="M376" t="e">
        <f t="shared" ca="1" si="171"/>
        <v>#VALUE!</v>
      </c>
      <c r="N376" t="e">
        <f t="shared" ca="1" si="172"/>
        <v>#VALUE!</v>
      </c>
      <c r="O376" t="e">
        <f t="shared" ca="1" si="173"/>
        <v>#VALUE!</v>
      </c>
      <c r="P376" t="e">
        <f t="shared" ca="1" si="174"/>
        <v>#VALUE!</v>
      </c>
      <c r="Q376" t="e">
        <f t="shared" ca="1" si="175"/>
        <v>#VALUE!</v>
      </c>
      <c r="R376" t="e">
        <f t="shared" ca="1" si="176"/>
        <v>#VALUE!</v>
      </c>
      <c r="S376" t="e">
        <f t="shared" ca="1" si="177"/>
        <v>#VALUE!</v>
      </c>
      <c r="T376" t="e">
        <f t="shared" ca="1" si="178"/>
        <v>#VALUE!</v>
      </c>
      <c r="U376" t="e">
        <f t="shared" ca="1" si="199"/>
        <v>#VALUE!</v>
      </c>
      <c r="V376" t="e">
        <f t="shared" ca="1" si="200"/>
        <v>#VALUE!</v>
      </c>
      <c r="W376" t="e">
        <f t="shared" ca="1" si="179"/>
        <v>#VALUE!</v>
      </c>
      <c r="X376" t="e">
        <f t="shared" ca="1" si="180"/>
        <v>#VALUE!</v>
      </c>
      <c r="Y376" t="e">
        <f t="shared" ca="1" si="181"/>
        <v>#VALUE!</v>
      </c>
      <c r="Z376" t="e">
        <f t="shared" ca="1" si="182"/>
        <v>#VALUE!</v>
      </c>
      <c r="AA376" t="e">
        <f t="shared" ca="1" si="183"/>
        <v>#VALUE!</v>
      </c>
      <c r="AB376" t="e">
        <f t="shared" ca="1" si="184"/>
        <v>#VALUE!</v>
      </c>
      <c r="AC376" t="e">
        <f t="shared" ca="1" si="185"/>
        <v>#VALUE!</v>
      </c>
      <c r="AD376" t="e">
        <f t="shared" ca="1" si="186"/>
        <v>#VALUE!</v>
      </c>
      <c r="AE376" t="e">
        <f t="shared" ca="1" si="187"/>
        <v>#VALUE!</v>
      </c>
      <c r="AF376" t="e">
        <f t="shared" ca="1" si="188"/>
        <v>#VALUE!</v>
      </c>
      <c r="AG376" t="e">
        <f t="shared" ca="1" si="189"/>
        <v>#VALUE!</v>
      </c>
      <c r="AH376" t="e">
        <f ca="1">IF(V32="Supercritical",L376,IF(V32="Subcritical",W376,IF(AND(V376=1,AG376=1),IF(T376&gt;=AE376,L376,W376),IF(V376=1,L376,IF(AG376=1,W376,MAX($D$16,POWER((ABS(K376)^2)/($I$5*MAX(F376,0.1)^2),1/3)))))))</f>
        <v>#VALUE!</v>
      </c>
      <c r="AI376" t="e">
        <f t="shared" ca="1" si="190"/>
        <v>#VALUE!</v>
      </c>
      <c r="AJ376" t="e">
        <f t="shared" ca="1" si="191"/>
        <v>#VALUE!</v>
      </c>
      <c r="AM376">
        <v>0</v>
      </c>
      <c r="AN376">
        <v>0</v>
      </c>
      <c r="AO376">
        <f t="shared" si="192"/>
        <v>0</v>
      </c>
      <c r="AP376">
        <f t="shared" si="201"/>
        <v>0</v>
      </c>
      <c r="AQ376" t="e">
        <f t="shared" ca="1" si="193"/>
        <v>#VALUE!</v>
      </c>
      <c r="AR376" t="e">
        <f t="shared" ca="1" si="194"/>
        <v>#VALUE!</v>
      </c>
      <c r="AS376" t="e">
        <f t="shared" ca="1" si="195"/>
        <v>#VALUE!</v>
      </c>
    </row>
    <row r="377" spans="1:45" x14ac:dyDescent="0.35">
      <c r="A377">
        <v>228</v>
      </c>
      <c r="B377">
        <v>226.94800000000001</v>
      </c>
      <c r="C377">
        <v>616356.97400000005</v>
      </c>
      <c r="D377">
        <v>3097689.9190000002</v>
      </c>
      <c r="E377">
        <v>632.44849999999997</v>
      </c>
      <c r="F377">
        <v>5.2</v>
      </c>
      <c r="G377">
        <v>0</v>
      </c>
      <c r="H377" t="s">
        <v>191</v>
      </c>
      <c r="I377">
        <v>5.7000000000000002E-2</v>
      </c>
      <c r="J377">
        <f t="shared" si="196"/>
        <v>1</v>
      </c>
      <c r="K377">
        <f t="shared" si="197"/>
        <v>51</v>
      </c>
      <c r="L377" t="e">
        <f t="shared" ca="1" si="198"/>
        <v>#VALUE!</v>
      </c>
      <c r="M377" t="e">
        <f t="shared" ca="1" si="171"/>
        <v>#VALUE!</v>
      </c>
      <c r="N377" t="e">
        <f t="shared" ca="1" si="172"/>
        <v>#VALUE!</v>
      </c>
      <c r="O377" t="e">
        <f t="shared" ca="1" si="173"/>
        <v>#VALUE!</v>
      </c>
      <c r="P377" t="e">
        <f t="shared" ca="1" si="174"/>
        <v>#VALUE!</v>
      </c>
      <c r="Q377" t="e">
        <f t="shared" ca="1" si="175"/>
        <v>#VALUE!</v>
      </c>
      <c r="R377" t="e">
        <f t="shared" ca="1" si="176"/>
        <v>#VALUE!</v>
      </c>
      <c r="S377" t="e">
        <f t="shared" ca="1" si="177"/>
        <v>#VALUE!</v>
      </c>
      <c r="T377" t="e">
        <f t="shared" ca="1" si="178"/>
        <v>#VALUE!</v>
      </c>
      <c r="U377" t="e">
        <f t="shared" ca="1" si="199"/>
        <v>#VALUE!</v>
      </c>
      <c r="V377" t="e">
        <f t="shared" ca="1" si="200"/>
        <v>#VALUE!</v>
      </c>
      <c r="W377" t="e">
        <f t="shared" ca="1" si="179"/>
        <v>#VALUE!</v>
      </c>
      <c r="X377" t="e">
        <f t="shared" ca="1" si="180"/>
        <v>#VALUE!</v>
      </c>
      <c r="Y377" t="e">
        <f t="shared" ca="1" si="181"/>
        <v>#VALUE!</v>
      </c>
      <c r="Z377" t="e">
        <f t="shared" ca="1" si="182"/>
        <v>#VALUE!</v>
      </c>
      <c r="AA377" t="e">
        <f t="shared" ca="1" si="183"/>
        <v>#VALUE!</v>
      </c>
      <c r="AB377" t="e">
        <f t="shared" ca="1" si="184"/>
        <v>#VALUE!</v>
      </c>
      <c r="AC377" t="e">
        <f t="shared" ca="1" si="185"/>
        <v>#VALUE!</v>
      </c>
      <c r="AD377" t="e">
        <f t="shared" ca="1" si="186"/>
        <v>#VALUE!</v>
      </c>
      <c r="AE377" t="e">
        <f t="shared" ca="1" si="187"/>
        <v>#VALUE!</v>
      </c>
      <c r="AF377" t="e">
        <f t="shared" ca="1" si="188"/>
        <v>#VALUE!</v>
      </c>
      <c r="AG377" t="e">
        <f t="shared" ca="1" si="189"/>
        <v>#VALUE!</v>
      </c>
      <c r="AH377" t="e">
        <f ca="1">IF(V32="Supercritical",L377,IF(V32="Subcritical",W377,IF(AND(V377=1,AG377=1),IF(T377&gt;=AE377,L377,W377),IF(V377=1,L377,IF(AG377=1,W377,MAX($D$16,POWER((ABS(K377)^2)/($I$5*MAX(F377,0.1)^2),1/3)))))))</f>
        <v>#VALUE!</v>
      </c>
      <c r="AI377" t="e">
        <f t="shared" ca="1" si="190"/>
        <v>#VALUE!</v>
      </c>
      <c r="AJ377" t="e">
        <f t="shared" ca="1" si="191"/>
        <v>#VALUE!</v>
      </c>
      <c r="AM377">
        <v>0</v>
      </c>
      <c r="AN377">
        <v>0</v>
      </c>
      <c r="AO377">
        <f t="shared" si="192"/>
        <v>0</v>
      </c>
      <c r="AP377">
        <f t="shared" si="201"/>
        <v>0</v>
      </c>
      <c r="AQ377" t="e">
        <f t="shared" ca="1" si="193"/>
        <v>#VALUE!</v>
      </c>
      <c r="AR377" t="e">
        <f t="shared" ca="1" si="194"/>
        <v>#VALUE!</v>
      </c>
      <c r="AS377" t="e">
        <f t="shared" ca="1" si="195"/>
        <v>#VALUE!</v>
      </c>
    </row>
    <row r="378" spans="1:45" x14ac:dyDescent="0.35">
      <c r="A378">
        <v>229</v>
      </c>
      <c r="B378">
        <v>227.94800000000001</v>
      </c>
      <c r="C378">
        <v>616355.97499999998</v>
      </c>
      <c r="D378">
        <v>3097689.872</v>
      </c>
      <c r="E378">
        <v>632.44799999999998</v>
      </c>
      <c r="F378">
        <v>5.2</v>
      </c>
      <c r="G378">
        <v>0</v>
      </c>
      <c r="H378" t="s">
        <v>191</v>
      </c>
      <c r="I378">
        <v>5.7000000000000002E-2</v>
      </c>
      <c r="J378">
        <f t="shared" si="196"/>
        <v>1</v>
      </c>
      <c r="K378">
        <f t="shared" si="197"/>
        <v>51</v>
      </c>
      <c r="L378" t="e">
        <f t="shared" ca="1" si="198"/>
        <v>#VALUE!</v>
      </c>
      <c r="M378" t="e">
        <f t="shared" ca="1" si="171"/>
        <v>#VALUE!</v>
      </c>
      <c r="N378" t="e">
        <f t="shared" ca="1" si="172"/>
        <v>#VALUE!</v>
      </c>
      <c r="O378" t="e">
        <f t="shared" ca="1" si="173"/>
        <v>#VALUE!</v>
      </c>
      <c r="P378" t="e">
        <f t="shared" ca="1" si="174"/>
        <v>#VALUE!</v>
      </c>
      <c r="Q378" t="e">
        <f t="shared" ca="1" si="175"/>
        <v>#VALUE!</v>
      </c>
      <c r="R378" t="e">
        <f t="shared" ca="1" si="176"/>
        <v>#VALUE!</v>
      </c>
      <c r="S378" t="e">
        <f t="shared" ca="1" si="177"/>
        <v>#VALUE!</v>
      </c>
      <c r="T378" t="e">
        <f t="shared" ca="1" si="178"/>
        <v>#VALUE!</v>
      </c>
      <c r="U378" t="e">
        <f t="shared" ca="1" si="199"/>
        <v>#VALUE!</v>
      </c>
      <c r="V378" t="e">
        <f t="shared" ca="1" si="200"/>
        <v>#VALUE!</v>
      </c>
      <c r="W378" t="e">
        <f t="shared" ca="1" si="179"/>
        <v>#VALUE!</v>
      </c>
      <c r="X378" t="e">
        <f t="shared" ca="1" si="180"/>
        <v>#VALUE!</v>
      </c>
      <c r="Y378" t="e">
        <f t="shared" ca="1" si="181"/>
        <v>#VALUE!</v>
      </c>
      <c r="Z378" t="e">
        <f t="shared" ca="1" si="182"/>
        <v>#VALUE!</v>
      </c>
      <c r="AA378" t="e">
        <f t="shared" ca="1" si="183"/>
        <v>#VALUE!</v>
      </c>
      <c r="AB378" t="e">
        <f t="shared" ca="1" si="184"/>
        <v>#VALUE!</v>
      </c>
      <c r="AC378" t="e">
        <f t="shared" ca="1" si="185"/>
        <v>#VALUE!</v>
      </c>
      <c r="AD378" t="e">
        <f t="shared" ca="1" si="186"/>
        <v>#VALUE!</v>
      </c>
      <c r="AE378" t="e">
        <f t="shared" ca="1" si="187"/>
        <v>#VALUE!</v>
      </c>
      <c r="AF378" t="e">
        <f t="shared" ca="1" si="188"/>
        <v>#VALUE!</v>
      </c>
      <c r="AG378" t="e">
        <f t="shared" ca="1" si="189"/>
        <v>#VALUE!</v>
      </c>
      <c r="AH378" t="e">
        <f ca="1">IF(V32="Supercritical",L378,IF(V32="Subcritical",W378,IF(AND(V378=1,AG378=1),IF(T378&gt;=AE378,L378,W378),IF(V378=1,L378,IF(AG378=1,W378,MAX($D$16,POWER((ABS(K378)^2)/($I$5*MAX(F378,0.1)^2),1/3)))))))</f>
        <v>#VALUE!</v>
      </c>
      <c r="AI378" t="e">
        <f t="shared" ca="1" si="190"/>
        <v>#VALUE!</v>
      </c>
      <c r="AJ378" t="e">
        <f t="shared" ca="1" si="191"/>
        <v>#VALUE!</v>
      </c>
      <c r="AM378">
        <v>0</v>
      </c>
      <c r="AN378">
        <v>0</v>
      </c>
      <c r="AO378">
        <f t="shared" si="192"/>
        <v>0</v>
      </c>
      <c r="AP378">
        <f t="shared" si="201"/>
        <v>0</v>
      </c>
      <c r="AQ378" t="e">
        <f t="shared" ca="1" si="193"/>
        <v>#VALUE!</v>
      </c>
      <c r="AR378" t="e">
        <f t="shared" ca="1" si="194"/>
        <v>#VALUE!</v>
      </c>
      <c r="AS378" t="e">
        <f t="shared" ca="1" si="195"/>
        <v>#VALUE!</v>
      </c>
    </row>
    <row r="379" spans="1:45" x14ac:dyDescent="0.35">
      <c r="A379">
        <v>230</v>
      </c>
      <c r="B379">
        <v>228.94800000000001</v>
      </c>
      <c r="C379">
        <v>616354.97600000002</v>
      </c>
      <c r="D379">
        <v>3097689.824</v>
      </c>
      <c r="E379">
        <v>632.44749999999999</v>
      </c>
      <c r="F379">
        <v>5.2</v>
      </c>
      <c r="G379">
        <v>0</v>
      </c>
      <c r="H379" t="s">
        <v>191</v>
      </c>
      <c r="I379">
        <v>0</v>
      </c>
      <c r="J379">
        <f t="shared" si="196"/>
        <v>1</v>
      </c>
      <c r="K379">
        <f t="shared" si="197"/>
        <v>51</v>
      </c>
      <c r="L379" t="e">
        <f t="shared" ca="1" si="198"/>
        <v>#VALUE!</v>
      </c>
      <c r="M379" t="e">
        <f t="shared" ca="1" si="171"/>
        <v>#VALUE!</v>
      </c>
      <c r="N379" t="e">
        <f t="shared" ca="1" si="172"/>
        <v>#VALUE!</v>
      </c>
      <c r="O379" t="e">
        <f t="shared" ca="1" si="173"/>
        <v>#VALUE!</v>
      </c>
      <c r="P379" t="e">
        <f t="shared" ca="1" si="174"/>
        <v>#VALUE!</v>
      </c>
      <c r="Q379" t="e">
        <f t="shared" ca="1" si="175"/>
        <v>#VALUE!</v>
      </c>
      <c r="R379" t="e">
        <f t="shared" ca="1" si="176"/>
        <v>#VALUE!</v>
      </c>
      <c r="S379" t="e">
        <f t="shared" ca="1" si="177"/>
        <v>#VALUE!</v>
      </c>
      <c r="T379" t="e">
        <f t="shared" ca="1" si="178"/>
        <v>#VALUE!</v>
      </c>
      <c r="U379" t="e">
        <f t="shared" ca="1" si="199"/>
        <v>#VALUE!</v>
      </c>
      <c r="V379" t="e">
        <f t="shared" ca="1" si="200"/>
        <v>#VALUE!</v>
      </c>
      <c r="W379" t="e">
        <f t="shared" ca="1" si="179"/>
        <v>#VALUE!</v>
      </c>
      <c r="X379" t="e">
        <f t="shared" ca="1" si="180"/>
        <v>#VALUE!</v>
      </c>
      <c r="Y379" t="e">
        <f t="shared" ca="1" si="181"/>
        <v>#VALUE!</v>
      </c>
      <c r="Z379" t="e">
        <f t="shared" ca="1" si="182"/>
        <v>#VALUE!</v>
      </c>
      <c r="AA379" t="e">
        <f t="shared" ca="1" si="183"/>
        <v>#VALUE!</v>
      </c>
      <c r="AB379" t="e">
        <f t="shared" ca="1" si="184"/>
        <v>#VALUE!</v>
      </c>
      <c r="AC379" t="e">
        <f t="shared" ca="1" si="185"/>
        <v>#VALUE!</v>
      </c>
      <c r="AD379" t="e">
        <f t="shared" ca="1" si="186"/>
        <v>#VALUE!</v>
      </c>
      <c r="AE379" t="e">
        <f t="shared" ca="1" si="187"/>
        <v>#VALUE!</v>
      </c>
      <c r="AF379" t="e">
        <f t="shared" ca="1" si="188"/>
        <v>#VALUE!</v>
      </c>
      <c r="AG379" t="e">
        <f t="shared" ca="1" si="189"/>
        <v>#VALUE!</v>
      </c>
      <c r="AH379" t="e">
        <f ca="1">IF(V32="Supercritical",L379,IF(V32="Subcritical",W379,IF(AND(V379=1,AG379=1),IF(T379&gt;=AE379,L379,W379),IF(V379=1,L379,IF(AG379=1,W379,MAX($D$16,POWER((ABS(K379)^2)/($I$5*MAX(F379,0.1)^2),1/3)))))))</f>
        <v>#VALUE!</v>
      </c>
      <c r="AI379" t="e">
        <f t="shared" ca="1" si="190"/>
        <v>#VALUE!</v>
      </c>
      <c r="AJ379" t="e">
        <f t="shared" ca="1" si="191"/>
        <v>#VALUE!</v>
      </c>
      <c r="AM379">
        <v>0</v>
      </c>
      <c r="AN379">
        <v>0</v>
      </c>
      <c r="AO379">
        <f t="shared" si="192"/>
        <v>0</v>
      </c>
      <c r="AP379">
        <f t="shared" si="201"/>
        <v>0</v>
      </c>
      <c r="AQ379" t="e">
        <f t="shared" ca="1" si="193"/>
        <v>#VALUE!</v>
      </c>
      <c r="AR379" t="e">
        <f t="shared" ca="1" si="194"/>
        <v>#VALUE!</v>
      </c>
      <c r="AS379" t="e">
        <f t="shared" ca="1" si="195"/>
        <v>#VALUE!</v>
      </c>
    </row>
    <row r="380" spans="1:45" x14ac:dyDescent="0.35">
      <c r="A380">
        <v>231</v>
      </c>
      <c r="B380">
        <v>229.94900000000001</v>
      </c>
      <c r="C380">
        <v>616353.97699999996</v>
      </c>
      <c r="D380">
        <v>3097689.7760000001</v>
      </c>
      <c r="E380">
        <v>632.447</v>
      </c>
      <c r="F380">
        <v>5.2</v>
      </c>
      <c r="G380">
        <v>0</v>
      </c>
      <c r="H380" t="s">
        <v>191</v>
      </c>
      <c r="I380">
        <v>5.7000000000000002E-2</v>
      </c>
      <c r="J380">
        <f t="shared" si="196"/>
        <v>1.0010000000000048</v>
      </c>
      <c r="K380">
        <f t="shared" si="197"/>
        <v>51</v>
      </c>
      <c r="L380" t="e">
        <f t="shared" ca="1" si="198"/>
        <v>#VALUE!</v>
      </c>
      <c r="M380" t="e">
        <f t="shared" ca="1" si="171"/>
        <v>#VALUE!</v>
      </c>
      <c r="N380" t="e">
        <f t="shared" ca="1" si="172"/>
        <v>#VALUE!</v>
      </c>
      <c r="O380" t="e">
        <f t="shared" ca="1" si="173"/>
        <v>#VALUE!</v>
      </c>
      <c r="P380" t="e">
        <f t="shared" ca="1" si="174"/>
        <v>#VALUE!</v>
      </c>
      <c r="Q380" t="e">
        <f t="shared" ca="1" si="175"/>
        <v>#VALUE!</v>
      </c>
      <c r="R380" t="e">
        <f t="shared" ca="1" si="176"/>
        <v>#VALUE!</v>
      </c>
      <c r="S380" t="e">
        <f t="shared" ca="1" si="177"/>
        <v>#VALUE!</v>
      </c>
      <c r="T380" t="e">
        <f t="shared" ca="1" si="178"/>
        <v>#VALUE!</v>
      </c>
      <c r="U380" t="e">
        <f t="shared" ca="1" si="199"/>
        <v>#VALUE!</v>
      </c>
      <c r="V380" t="e">
        <f t="shared" ca="1" si="200"/>
        <v>#VALUE!</v>
      </c>
      <c r="W380" t="e">
        <f t="shared" ca="1" si="179"/>
        <v>#VALUE!</v>
      </c>
      <c r="X380" t="e">
        <f t="shared" ca="1" si="180"/>
        <v>#VALUE!</v>
      </c>
      <c r="Y380" t="e">
        <f t="shared" ca="1" si="181"/>
        <v>#VALUE!</v>
      </c>
      <c r="Z380" t="e">
        <f t="shared" ca="1" si="182"/>
        <v>#VALUE!</v>
      </c>
      <c r="AA380" t="e">
        <f t="shared" ca="1" si="183"/>
        <v>#VALUE!</v>
      </c>
      <c r="AB380" t="e">
        <f t="shared" ca="1" si="184"/>
        <v>#VALUE!</v>
      </c>
      <c r="AC380" t="e">
        <f t="shared" ca="1" si="185"/>
        <v>#VALUE!</v>
      </c>
      <c r="AD380" t="e">
        <f t="shared" ca="1" si="186"/>
        <v>#VALUE!</v>
      </c>
      <c r="AE380" t="e">
        <f t="shared" ca="1" si="187"/>
        <v>#VALUE!</v>
      </c>
      <c r="AF380" t="e">
        <f t="shared" ca="1" si="188"/>
        <v>#VALUE!</v>
      </c>
      <c r="AG380" t="e">
        <f t="shared" ca="1" si="189"/>
        <v>#VALUE!</v>
      </c>
      <c r="AH380" t="e">
        <f ca="1">IF(V32="Supercritical",L380,IF(V32="Subcritical",W380,IF(AND(V380=1,AG380=1),IF(T380&gt;=AE380,L380,W380),IF(V380=1,L380,IF(AG380=1,W380,MAX($D$16,POWER((ABS(K380)^2)/($I$5*MAX(F380,0.1)^2),1/3)))))))</f>
        <v>#VALUE!</v>
      </c>
      <c r="AI380" t="e">
        <f t="shared" ca="1" si="190"/>
        <v>#VALUE!</v>
      </c>
      <c r="AJ380" t="e">
        <f t="shared" ca="1" si="191"/>
        <v>#VALUE!</v>
      </c>
      <c r="AM380">
        <v>0</v>
      </c>
      <c r="AN380">
        <v>0</v>
      </c>
      <c r="AO380">
        <f t="shared" si="192"/>
        <v>0</v>
      </c>
      <c r="AP380">
        <f t="shared" si="201"/>
        <v>0</v>
      </c>
      <c r="AQ380" t="e">
        <f t="shared" ca="1" si="193"/>
        <v>#VALUE!</v>
      </c>
      <c r="AR380" t="e">
        <f t="shared" ca="1" si="194"/>
        <v>#VALUE!</v>
      </c>
      <c r="AS380" t="e">
        <f t="shared" ca="1" si="195"/>
        <v>#VALUE!</v>
      </c>
    </row>
    <row r="381" spans="1:45" x14ac:dyDescent="0.35">
      <c r="A381">
        <v>232</v>
      </c>
      <c r="B381">
        <v>230.94900000000001</v>
      </c>
      <c r="C381">
        <v>616352.978</v>
      </c>
      <c r="D381">
        <v>3097689.7289999998</v>
      </c>
      <c r="E381">
        <v>632.44650000000001</v>
      </c>
      <c r="F381">
        <v>5.2</v>
      </c>
      <c r="G381">
        <v>0</v>
      </c>
      <c r="H381" t="s">
        <v>191</v>
      </c>
      <c r="I381">
        <v>0.06</v>
      </c>
      <c r="J381">
        <f t="shared" si="196"/>
        <v>1</v>
      </c>
      <c r="K381">
        <f t="shared" si="197"/>
        <v>51</v>
      </c>
      <c r="L381" t="e">
        <f t="shared" ca="1" si="198"/>
        <v>#VALUE!</v>
      </c>
      <c r="M381" t="e">
        <f t="shared" ca="1" si="171"/>
        <v>#VALUE!</v>
      </c>
      <c r="N381" t="e">
        <f t="shared" ca="1" si="172"/>
        <v>#VALUE!</v>
      </c>
      <c r="O381" t="e">
        <f t="shared" ca="1" si="173"/>
        <v>#VALUE!</v>
      </c>
      <c r="P381" t="e">
        <f t="shared" ca="1" si="174"/>
        <v>#VALUE!</v>
      </c>
      <c r="Q381" t="e">
        <f t="shared" ca="1" si="175"/>
        <v>#VALUE!</v>
      </c>
      <c r="R381" t="e">
        <f t="shared" ca="1" si="176"/>
        <v>#VALUE!</v>
      </c>
      <c r="S381" t="e">
        <f t="shared" ca="1" si="177"/>
        <v>#VALUE!</v>
      </c>
      <c r="T381" t="e">
        <f t="shared" ca="1" si="178"/>
        <v>#VALUE!</v>
      </c>
      <c r="U381" t="e">
        <f t="shared" ca="1" si="199"/>
        <v>#VALUE!</v>
      </c>
      <c r="V381" t="e">
        <f t="shared" ca="1" si="200"/>
        <v>#VALUE!</v>
      </c>
      <c r="W381" t="e">
        <f t="shared" ca="1" si="179"/>
        <v>#VALUE!</v>
      </c>
      <c r="X381" t="e">
        <f t="shared" ca="1" si="180"/>
        <v>#VALUE!</v>
      </c>
      <c r="Y381" t="e">
        <f t="shared" ca="1" si="181"/>
        <v>#VALUE!</v>
      </c>
      <c r="Z381" t="e">
        <f t="shared" ca="1" si="182"/>
        <v>#VALUE!</v>
      </c>
      <c r="AA381" t="e">
        <f t="shared" ca="1" si="183"/>
        <v>#VALUE!</v>
      </c>
      <c r="AB381" t="e">
        <f t="shared" ca="1" si="184"/>
        <v>#VALUE!</v>
      </c>
      <c r="AC381" t="e">
        <f t="shared" ca="1" si="185"/>
        <v>#VALUE!</v>
      </c>
      <c r="AD381" t="e">
        <f t="shared" ca="1" si="186"/>
        <v>#VALUE!</v>
      </c>
      <c r="AE381" t="e">
        <f t="shared" ca="1" si="187"/>
        <v>#VALUE!</v>
      </c>
      <c r="AF381" t="e">
        <f t="shared" ca="1" si="188"/>
        <v>#VALUE!</v>
      </c>
      <c r="AG381" t="e">
        <f t="shared" ca="1" si="189"/>
        <v>#VALUE!</v>
      </c>
      <c r="AH381" t="e">
        <f ca="1">IF(V32="Supercritical",L381,IF(V32="Subcritical",W381,IF(AND(V381=1,AG381=1),IF(T381&gt;=AE381,L381,W381),IF(V381=1,L381,IF(AG381=1,W381,MAX($D$16,POWER((ABS(K381)^2)/($I$5*MAX(F381,0.1)^2),1/3)))))))</f>
        <v>#VALUE!</v>
      </c>
      <c r="AI381" t="e">
        <f t="shared" ca="1" si="190"/>
        <v>#VALUE!</v>
      </c>
      <c r="AJ381" t="e">
        <f t="shared" ca="1" si="191"/>
        <v>#VALUE!</v>
      </c>
      <c r="AM381">
        <v>0</v>
      </c>
      <c r="AN381">
        <v>0</v>
      </c>
      <c r="AO381">
        <f t="shared" si="192"/>
        <v>0</v>
      </c>
      <c r="AP381">
        <f t="shared" si="201"/>
        <v>0</v>
      </c>
      <c r="AQ381" t="e">
        <f t="shared" ca="1" si="193"/>
        <v>#VALUE!</v>
      </c>
      <c r="AR381" t="e">
        <f t="shared" ca="1" si="194"/>
        <v>#VALUE!</v>
      </c>
      <c r="AS381" t="e">
        <f t="shared" ca="1" si="195"/>
        <v>#VALUE!</v>
      </c>
    </row>
    <row r="382" spans="1:45" x14ac:dyDescent="0.35">
      <c r="A382">
        <v>233</v>
      </c>
      <c r="B382">
        <v>231.94800000000001</v>
      </c>
      <c r="C382">
        <v>616351.98</v>
      </c>
      <c r="D382">
        <v>3097689.6809999999</v>
      </c>
      <c r="E382">
        <v>632.44600000000003</v>
      </c>
      <c r="F382">
        <v>5.2</v>
      </c>
      <c r="G382">
        <v>0</v>
      </c>
      <c r="H382" t="s">
        <v>191</v>
      </c>
      <c r="I382">
        <v>3.0000000000000001E-3</v>
      </c>
      <c r="J382">
        <f t="shared" si="196"/>
        <v>0.99899999999999523</v>
      </c>
      <c r="K382">
        <f t="shared" si="197"/>
        <v>51</v>
      </c>
      <c r="L382" t="e">
        <f t="shared" ca="1" si="198"/>
        <v>#VALUE!</v>
      </c>
      <c r="M382" t="e">
        <f t="shared" ca="1" si="171"/>
        <v>#VALUE!</v>
      </c>
      <c r="N382" t="e">
        <f t="shared" ca="1" si="172"/>
        <v>#VALUE!</v>
      </c>
      <c r="O382" t="e">
        <f t="shared" ca="1" si="173"/>
        <v>#VALUE!</v>
      </c>
      <c r="P382" t="e">
        <f t="shared" ca="1" si="174"/>
        <v>#VALUE!</v>
      </c>
      <c r="Q382" t="e">
        <f t="shared" ca="1" si="175"/>
        <v>#VALUE!</v>
      </c>
      <c r="R382" t="e">
        <f t="shared" ca="1" si="176"/>
        <v>#VALUE!</v>
      </c>
      <c r="S382" t="e">
        <f t="shared" ca="1" si="177"/>
        <v>#VALUE!</v>
      </c>
      <c r="T382" t="e">
        <f t="shared" ca="1" si="178"/>
        <v>#VALUE!</v>
      </c>
      <c r="U382" t="e">
        <f t="shared" ca="1" si="199"/>
        <v>#VALUE!</v>
      </c>
      <c r="V382" t="e">
        <f t="shared" ca="1" si="200"/>
        <v>#VALUE!</v>
      </c>
      <c r="W382" t="e">
        <f t="shared" ca="1" si="179"/>
        <v>#VALUE!</v>
      </c>
      <c r="X382" t="e">
        <f t="shared" ca="1" si="180"/>
        <v>#VALUE!</v>
      </c>
      <c r="Y382" t="e">
        <f t="shared" ca="1" si="181"/>
        <v>#VALUE!</v>
      </c>
      <c r="Z382" t="e">
        <f t="shared" ca="1" si="182"/>
        <v>#VALUE!</v>
      </c>
      <c r="AA382" t="e">
        <f t="shared" ca="1" si="183"/>
        <v>#VALUE!</v>
      </c>
      <c r="AB382" t="e">
        <f t="shared" ca="1" si="184"/>
        <v>#VALUE!</v>
      </c>
      <c r="AC382" t="e">
        <f t="shared" ca="1" si="185"/>
        <v>#VALUE!</v>
      </c>
      <c r="AD382" t="e">
        <f t="shared" ca="1" si="186"/>
        <v>#VALUE!</v>
      </c>
      <c r="AE382" t="e">
        <f t="shared" ca="1" si="187"/>
        <v>#VALUE!</v>
      </c>
      <c r="AF382" t="e">
        <f t="shared" ca="1" si="188"/>
        <v>#VALUE!</v>
      </c>
      <c r="AG382" t="e">
        <f t="shared" ca="1" si="189"/>
        <v>#VALUE!</v>
      </c>
      <c r="AH382" t="e">
        <f ca="1">IF(V32="Supercritical",L382,IF(V32="Subcritical",W382,IF(AND(V382=1,AG382=1),IF(T382&gt;=AE382,L382,W382),IF(V382=1,L382,IF(AG382=1,W382,MAX($D$16,POWER((ABS(K382)^2)/($I$5*MAX(F382,0.1)^2),1/3)))))))</f>
        <v>#VALUE!</v>
      </c>
      <c r="AI382" t="e">
        <f t="shared" ca="1" si="190"/>
        <v>#VALUE!</v>
      </c>
      <c r="AJ382" t="e">
        <f t="shared" ca="1" si="191"/>
        <v>#VALUE!</v>
      </c>
      <c r="AM382">
        <v>0</v>
      </c>
      <c r="AN382">
        <v>0</v>
      </c>
      <c r="AO382">
        <f t="shared" si="192"/>
        <v>0</v>
      </c>
      <c r="AP382">
        <f t="shared" si="201"/>
        <v>0</v>
      </c>
      <c r="AQ382" t="e">
        <f t="shared" ca="1" si="193"/>
        <v>#VALUE!</v>
      </c>
      <c r="AR382" t="e">
        <f t="shared" ca="1" si="194"/>
        <v>#VALUE!</v>
      </c>
      <c r="AS382" t="e">
        <f t="shared" ca="1" si="195"/>
        <v>#VALUE!</v>
      </c>
    </row>
    <row r="383" spans="1:45" x14ac:dyDescent="0.35">
      <c r="A383">
        <v>234</v>
      </c>
      <c r="B383">
        <v>232.94800000000001</v>
      </c>
      <c r="C383">
        <v>616350.98100000003</v>
      </c>
      <c r="D383">
        <v>3097689.6329999999</v>
      </c>
      <c r="E383">
        <v>632.44550000000004</v>
      </c>
      <c r="F383">
        <v>5.2</v>
      </c>
      <c r="G383">
        <v>0</v>
      </c>
      <c r="H383" t="s">
        <v>191</v>
      </c>
      <c r="I383">
        <v>5.7000000000000002E-2</v>
      </c>
      <c r="J383">
        <f t="shared" si="196"/>
        <v>1</v>
      </c>
      <c r="K383">
        <f t="shared" si="197"/>
        <v>51</v>
      </c>
      <c r="L383" t="e">
        <f t="shared" ca="1" si="198"/>
        <v>#VALUE!</v>
      </c>
      <c r="M383" t="e">
        <f t="shared" ca="1" si="171"/>
        <v>#VALUE!</v>
      </c>
      <c r="N383" t="e">
        <f t="shared" ca="1" si="172"/>
        <v>#VALUE!</v>
      </c>
      <c r="O383" t="e">
        <f t="shared" ca="1" si="173"/>
        <v>#VALUE!</v>
      </c>
      <c r="P383" t="e">
        <f t="shared" ca="1" si="174"/>
        <v>#VALUE!</v>
      </c>
      <c r="Q383" t="e">
        <f t="shared" ca="1" si="175"/>
        <v>#VALUE!</v>
      </c>
      <c r="R383" t="e">
        <f t="shared" ca="1" si="176"/>
        <v>#VALUE!</v>
      </c>
      <c r="S383" t="e">
        <f t="shared" ca="1" si="177"/>
        <v>#VALUE!</v>
      </c>
      <c r="T383" t="e">
        <f t="shared" ca="1" si="178"/>
        <v>#VALUE!</v>
      </c>
      <c r="U383" t="e">
        <f t="shared" ca="1" si="199"/>
        <v>#VALUE!</v>
      </c>
      <c r="V383" t="e">
        <f t="shared" ca="1" si="200"/>
        <v>#VALUE!</v>
      </c>
      <c r="W383" t="e">
        <f t="shared" ca="1" si="179"/>
        <v>#VALUE!</v>
      </c>
      <c r="X383" t="e">
        <f t="shared" ca="1" si="180"/>
        <v>#VALUE!</v>
      </c>
      <c r="Y383" t="e">
        <f t="shared" ca="1" si="181"/>
        <v>#VALUE!</v>
      </c>
      <c r="Z383" t="e">
        <f t="shared" ca="1" si="182"/>
        <v>#VALUE!</v>
      </c>
      <c r="AA383" t="e">
        <f t="shared" ca="1" si="183"/>
        <v>#VALUE!</v>
      </c>
      <c r="AB383" t="e">
        <f t="shared" ca="1" si="184"/>
        <v>#VALUE!</v>
      </c>
      <c r="AC383" t="e">
        <f t="shared" ca="1" si="185"/>
        <v>#VALUE!</v>
      </c>
      <c r="AD383" t="e">
        <f t="shared" ca="1" si="186"/>
        <v>#VALUE!</v>
      </c>
      <c r="AE383" t="e">
        <f t="shared" ca="1" si="187"/>
        <v>#VALUE!</v>
      </c>
      <c r="AF383" t="e">
        <f t="shared" ca="1" si="188"/>
        <v>#VALUE!</v>
      </c>
      <c r="AG383" t="e">
        <f t="shared" ca="1" si="189"/>
        <v>#VALUE!</v>
      </c>
      <c r="AH383" t="e">
        <f ca="1">IF(V32="Supercritical",L383,IF(V32="Subcritical",W383,IF(AND(V383=1,AG383=1),IF(T383&gt;=AE383,L383,W383),IF(V383=1,L383,IF(AG383=1,W383,MAX($D$16,POWER((ABS(K383)^2)/($I$5*MAX(F383,0.1)^2),1/3)))))))</f>
        <v>#VALUE!</v>
      </c>
      <c r="AI383" t="e">
        <f t="shared" ca="1" si="190"/>
        <v>#VALUE!</v>
      </c>
      <c r="AJ383" t="e">
        <f t="shared" ca="1" si="191"/>
        <v>#VALUE!</v>
      </c>
      <c r="AM383">
        <v>0</v>
      </c>
      <c r="AN383">
        <v>0</v>
      </c>
      <c r="AO383">
        <f t="shared" si="192"/>
        <v>0</v>
      </c>
      <c r="AP383">
        <f t="shared" si="201"/>
        <v>0</v>
      </c>
      <c r="AQ383" t="e">
        <f t="shared" ca="1" si="193"/>
        <v>#VALUE!</v>
      </c>
      <c r="AR383" t="e">
        <f t="shared" ca="1" si="194"/>
        <v>#VALUE!</v>
      </c>
      <c r="AS383" t="e">
        <f t="shared" ca="1" si="195"/>
        <v>#VALUE!</v>
      </c>
    </row>
    <row r="384" spans="1:45" x14ac:dyDescent="0.35">
      <c r="A384">
        <v>235</v>
      </c>
      <c r="B384">
        <v>233.94800000000001</v>
      </c>
      <c r="C384">
        <v>616349.98199999996</v>
      </c>
      <c r="D384">
        <v>3097689.5860000001</v>
      </c>
      <c r="E384">
        <v>632.44500000000005</v>
      </c>
      <c r="F384">
        <v>5.2</v>
      </c>
      <c r="G384">
        <v>0</v>
      </c>
      <c r="H384" t="s">
        <v>191</v>
      </c>
      <c r="I384">
        <v>5.7000000000000002E-2</v>
      </c>
      <c r="J384">
        <f t="shared" si="196"/>
        <v>1</v>
      </c>
      <c r="K384">
        <f t="shared" si="197"/>
        <v>51</v>
      </c>
      <c r="L384" t="e">
        <f t="shared" ca="1" si="198"/>
        <v>#VALUE!</v>
      </c>
      <c r="M384" t="e">
        <f t="shared" ca="1" si="171"/>
        <v>#VALUE!</v>
      </c>
      <c r="N384" t="e">
        <f t="shared" ca="1" si="172"/>
        <v>#VALUE!</v>
      </c>
      <c r="O384" t="e">
        <f t="shared" ca="1" si="173"/>
        <v>#VALUE!</v>
      </c>
      <c r="P384" t="e">
        <f t="shared" ca="1" si="174"/>
        <v>#VALUE!</v>
      </c>
      <c r="Q384" t="e">
        <f t="shared" ca="1" si="175"/>
        <v>#VALUE!</v>
      </c>
      <c r="R384" t="e">
        <f t="shared" ca="1" si="176"/>
        <v>#VALUE!</v>
      </c>
      <c r="S384" t="e">
        <f t="shared" ca="1" si="177"/>
        <v>#VALUE!</v>
      </c>
      <c r="T384" t="e">
        <f t="shared" ca="1" si="178"/>
        <v>#VALUE!</v>
      </c>
      <c r="U384" t="e">
        <f t="shared" ca="1" si="199"/>
        <v>#VALUE!</v>
      </c>
      <c r="V384" t="e">
        <f t="shared" ca="1" si="200"/>
        <v>#VALUE!</v>
      </c>
      <c r="W384" t="e">
        <f t="shared" ca="1" si="179"/>
        <v>#VALUE!</v>
      </c>
      <c r="X384" t="e">
        <f t="shared" ca="1" si="180"/>
        <v>#VALUE!</v>
      </c>
      <c r="Y384" t="e">
        <f t="shared" ca="1" si="181"/>
        <v>#VALUE!</v>
      </c>
      <c r="Z384" t="e">
        <f t="shared" ca="1" si="182"/>
        <v>#VALUE!</v>
      </c>
      <c r="AA384" t="e">
        <f t="shared" ca="1" si="183"/>
        <v>#VALUE!</v>
      </c>
      <c r="AB384" t="e">
        <f t="shared" ca="1" si="184"/>
        <v>#VALUE!</v>
      </c>
      <c r="AC384" t="e">
        <f t="shared" ca="1" si="185"/>
        <v>#VALUE!</v>
      </c>
      <c r="AD384" t="e">
        <f t="shared" ca="1" si="186"/>
        <v>#VALUE!</v>
      </c>
      <c r="AE384" t="e">
        <f t="shared" ca="1" si="187"/>
        <v>#VALUE!</v>
      </c>
      <c r="AF384" t="e">
        <f t="shared" ca="1" si="188"/>
        <v>#VALUE!</v>
      </c>
      <c r="AG384" t="e">
        <f t="shared" ca="1" si="189"/>
        <v>#VALUE!</v>
      </c>
      <c r="AH384" t="e">
        <f ca="1">IF(V32="Supercritical",L384,IF(V32="Subcritical",W384,IF(AND(V384=1,AG384=1),IF(T384&gt;=AE384,L384,W384),IF(V384=1,L384,IF(AG384=1,W384,MAX($D$16,POWER((ABS(K384)^2)/($I$5*MAX(F384,0.1)^2),1/3)))))))</f>
        <v>#VALUE!</v>
      </c>
      <c r="AI384" t="e">
        <f t="shared" ca="1" si="190"/>
        <v>#VALUE!</v>
      </c>
      <c r="AJ384" t="e">
        <f t="shared" ca="1" si="191"/>
        <v>#VALUE!</v>
      </c>
      <c r="AM384">
        <v>0</v>
      </c>
      <c r="AN384">
        <v>0</v>
      </c>
      <c r="AO384">
        <f t="shared" si="192"/>
        <v>0</v>
      </c>
      <c r="AP384">
        <f t="shared" si="201"/>
        <v>0</v>
      </c>
      <c r="AQ384" t="e">
        <f t="shared" ca="1" si="193"/>
        <v>#VALUE!</v>
      </c>
      <c r="AR384" t="e">
        <f t="shared" ca="1" si="194"/>
        <v>#VALUE!</v>
      </c>
      <c r="AS384" t="e">
        <f t="shared" ca="1" si="195"/>
        <v>#VALUE!</v>
      </c>
    </row>
    <row r="385" spans="1:45" x14ac:dyDescent="0.35">
      <c r="A385">
        <v>236</v>
      </c>
      <c r="B385">
        <v>234.94800000000001</v>
      </c>
      <c r="C385">
        <v>616348.98300000001</v>
      </c>
      <c r="D385">
        <v>3097689.5380000002</v>
      </c>
      <c r="E385">
        <v>632.44449999999995</v>
      </c>
      <c r="F385">
        <v>5.2</v>
      </c>
      <c r="G385">
        <v>0</v>
      </c>
      <c r="H385" t="s">
        <v>191</v>
      </c>
      <c r="I385">
        <v>5.7000000000000002E-2</v>
      </c>
      <c r="J385">
        <f t="shared" si="196"/>
        <v>1</v>
      </c>
      <c r="K385">
        <f t="shared" si="197"/>
        <v>51</v>
      </c>
      <c r="L385" t="e">
        <f t="shared" ca="1" si="198"/>
        <v>#VALUE!</v>
      </c>
      <c r="M385" t="e">
        <f t="shared" ca="1" si="171"/>
        <v>#VALUE!</v>
      </c>
      <c r="N385" t="e">
        <f t="shared" ca="1" si="172"/>
        <v>#VALUE!</v>
      </c>
      <c r="O385" t="e">
        <f t="shared" ca="1" si="173"/>
        <v>#VALUE!</v>
      </c>
      <c r="P385" t="e">
        <f t="shared" ca="1" si="174"/>
        <v>#VALUE!</v>
      </c>
      <c r="Q385" t="e">
        <f t="shared" ca="1" si="175"/>
        <v>#VALUE!</v>
      </c>
      <c r="R385" t="e">
        <f t="shared" ca="1" si="176"/>
        <v>#VALUE!</v>
      </c>
      <c r="S385" t="e">
        <f t="shared" ca="1" si="177"/>
        <v>#VALUE!</v>
      </c>
      <c r="T385" t="e">
        <f t="shared" ca="1" si="178"/>
        <v>#VALUE!</v>
      </c>
      <c r="U385" t="e">
        <f t="shared" ca="1" si="199"/>
        <v>#VALUE!</v>
      </c>
      <c r="V385" t="e">
        <f t="shared" ca="1" si="200"/>
        <v>#VALUE!</v>
      </c>
      <c r="W385" t="e">
        <f t="shared" ca="1" si="179"/>
        <v>#VALUE!</v>
      </c>
      <c r="X385" t="e">
        <f t="shared" ca="1" si="180"/>
        <v>#VALUE!</v>
      </c>
      <c r="Y385" t="e">
        <f t="shared" ca="1" si="181"/>
        <v>#VALUE!</v>
      </c>
      <c r="Z385" t="e">
        <f t="shared" ca="1" si="182"/>
        <v>#VALUE!</v>
      </c>
      <c r="AA385" t="e">
        <f t="shared" ca="1" si="183"/>
        <v>#VALUE!</v>
      </c>
      <c r="AB385" t="e">
        <f t="shared" ca="1" si="184"/>
        <v>#VALUE!</v>
      </c>
      <c r="AC385" t="e">
        <f t="shared" ca="1" si="185"/>
        <v>#VALUE!</v>
      </c>
      <c r="AD385" t="e">
        <f t="shared" ca="1" si="186"/>
        <v>#VALUE!</v>
      </c>
      <c r="AE385" t="e">
        <f t="shared" ca="1" si="187"/>
        <v>#VALUE!</v>
      </c>
      <c r="AF385" t="e">
        <f t="shared" ca="1" si="188"/>
        <v>#VALUE!</v>
      </c>
      <c r="AG385" t="e">
        <f t="shared" ca="1" si="189"/>
        <v>#VALUE!</v>
      </c>
      <c r="AH385" t="e">
        <f ca="1">IF(V32="Supercritical",L385,IF(V32="Subcritical",W385,IF(AND(V385=1,AG385=1),IF(T385&gt;=AE385,L385,W385),IF(V385=1,L385,IF(AG385=1,W385,MAX($D$16,POWER((ABS(K385)^2)/($I$5*MAX(F385,0.1)^2),1/3)))))))</f>
        <v>#VALUE!</v>
      </c>
      <c r="AI385" t="e">
        <f t="shared" ca="1" si="190"/>
        <v>#VALUE!</v>
      </c>
      <c r="AJ385" t="e">
        <f t="shared" ca="1" si="191"/>
        <v>#VALUE!</v>
      </c>
      <c r="AM385">
        <v>0</v>
      </c>
      <c r="AN385">
        <v>0</v>
      </c>
      <c r="AO385">
        <f t="shared" si="192"/>
        <v>0</v>
      </c>
      <c r="AP385">
        <f t="shared" si="201"/>
        <v>0</v>
      </c>
      <c r="AQ385" t="e">
        <f t="shared" ca="1" si="193"/>
        <v>#VALUE!</v>
      </c>
      <c r="AR385" t="e">
        <f t="shared" ca="1" si="194"/>
        <v>#VALUE!</v>
      </c>
      <c r="AS385" t="e">
        <f t="shared" ca="1" si="195"/>
        <v>#VALUE!</v>
      </c>
    </row>
    <row r="386" spans="1:45" x14ac:dyDescent="0.35">
      <c r="A386">
        <v>237</v>
      </c>
      <c r="B386">
        <v>235.94800000000001</v>
      </c>
      <c r="C386">
        <v>616347.98400000005</v>
      </c>
      <c r="D386">
        <v>3097689.4909999999</v>
      </c>
      <c r="E386">
        <v>632.44399999999996</v>
      </c>
      <c r="F386">
        <v>5.2</v>
      </c>
      <c r="G386">
        <v>0</v>
      </c>
      <c r="H386" t="s">
        <v>191</v>
      </c>
      <c r="I386">
        <v>5.7000000000000002E-2</v>
      </c>
      <c r="J386">
        <f t="shared" si="196"/>
        <v>1</v>
      </c>
      <c r="K386">
        <f t="shared" si="197"/>
        <v>51</v>
      </c>
      <c r="L386" t="e">
        <f t="shared" ca="1" si="198"/>
        <v>#VALUE!</v>
      </c>
      <c r="M386" t="e">
        <f t="shared" ca="1" si="171"/>
        <v>#VALUE!</v>
      </c>
      <c r="N386" t="e">
        <f t="shared" ca="1" si="172"/>
        <v>#VALUE!</v>
      </c>
      <c r="O386" t="e">
        <f t="shared" ca="1" si="173"/>
        <v>#VALUE!</v>
      </c>
      <c r="P386" t="e">
        <f t="shared" ca="1" si="174"/>
        <v>#VALUE!</v>
      </c>
      <c r="Q386" t="e">
        <f t="shared" ca="1" si="175"/>
        <v>#VALUE!</v>
      </c>
      <c r="R386" t="e">
        <f t="shared" ca="1" si="176"/>
        <v>#VALUE!</v>
      </c>
      <c r="S386" t="e">
        <f t="shared" ca="1" si="177"/>
        <v>#VALUE!</v>
      </c>
      <c r="T386" t="e">
        <f t="shared" ca="1" si="178"/>
        <v>#VALUE!</v>
      </c>
      <c r="U386" t="e">
        <f t="shared" ca="1" si="199"/>
        <v>#VALUE!</v>
      </c>
      <c r="V386" t="e">
        <f t="shared" ca="1" si="200"/>
        <v>#VALUE!</v>
      </c>
      <c r="W386" t="e">
        <f t="shared" ca="1" si="179"/>
        <v>#VALUE!</v>
      </c>
      <c r="X386" t="e">
        <f t="shared" ca="1" si="180"/>
        <v>#VALUE!</v>
      </c>
      <c r="Y386" t="e">
        <f t="shared" ca="1" si="181"/>
        <v>#VALUE!</v>
      </c>
      <c r="Z386" t="e">
        <f t="shared" ca="1" si="182"/>
        <v>#VALUE!</v>
      </c>
      <c r="AA386" t="e">
        <f t="shared" ca="1" si="183"/>
        <v>#VALUE!</v>
      </c>
      <c r="AB386" t="e">
        <f t="shared" ca="1" si="184"/>
        <v>#VALUE!</v>
      </c>
      <c r="AC386" t="e">
        <f t="shared" ca="1" si="185"/>
        <v>#VALUE!</v>
      </c>
      <c r="AD386" t="e">
        <f t="shared" ca="1" si="186"/>
        <v>#VALUE!</v>
      </c>
      <c r="AE386" t="e">
        <f t="shared" ca="1" si="187"/>
        <v>#VALUE!</v>
      </c>
      <c r="AF386" t="e">
        <f t="shared" ca="1" si="188"/>
        <v>#VALUE!</v>
      </c>
      <c r="AG386" t="e">
        <f t="shared" ca="1" si="189"/>
        <v>#VALUE!</v>
      </c>
      <c r="AH386" t="e">
        <f ca="1">IF(V32="Supercritical",L386,IF(V32="Subcritical",W386,IF(AND(V386=1,AG386=1),IF(T386&gt;=AE386,L386,W386),IF(V386=1,L386,IF(AG386=1,W386,MAX($D$16,POWER((ABS(K386)^2)/($I$5*MAX(F386,0.1)^2),1/3)))))))</f>
        <v>#VALUE!</v>
      </c>
      <c r="AI386" t="e">
        <f t="shared" ca="1" si="190"/>
        <v>#VALUE!</v>
      </c>
      <c r="AJ386" t="e">
        <f t="shared" ca="1" si="191"/>
        <v>#VALUE!</v>
      </c>
      <c r="AM386">
        <v>0</v>
      </c>
      <c r="AN386">
        <v>0</v>
      </c>
      <c r="AO386">
        <f t="shared" si="192"/>
        <v>0</v>
      </c>
      <c r="AP386">
        <f t="shared" si="201"/>
        <v>0</v>
      </c>
      <c r="AQ386" t="e">
        <f t="shared" ca="1" si="193"/>
        <v>#VALUE!</v>
      </c>
      <c r="AR386" t="e">
        <f t="shared" ca="1" si="194"/>
        <v>#VALUE!</v>
      </c>
      <c r="AS386" t="e">
        <f t="shared" ca="1" si="195"/>
        <v>#VALUE!</v>
      </c>
    </row>
    <row r="387" spans="1:45" x14ac:dyDescent="0.35">
      <c r="A387">
        <v>238</v>
      </c>
      <c r="B387">
        <v>236.94800000000001</v>
      </c>
      <c r="C387">
        <v>616346.98499999999</v>
      </c>
      <c r="D387">
        <v>3097689.443</v>
      </c>
      <c r="E387">
        <v>632.44349999999997</v>
      </c>
      <c r="F387">
        <v>5.2</v>
      </c>
      <c r="G387">
        <v>0</v>
      </c>
      <c r="H387" t="s">
        <v>191</v>
      </c>
      <c r="I387">
        <v>0</v>
      </c>
      <c r="J387">
        <f t="shared" si="196"/>
        <v>1</v>
      </c>
      <c r="K387">
        <f t="shared" si="197"/>
        <v>51</v>
      </c>
      <c r="L387" t="e">
        <f t="shared" ca="1" si="198"/>
        <v>#VALUE!</v>
      </c>
      <c r="M387" t="e">
        <f t="shared" ca="1" si="171"/>
        <v>#VALUE!</v>
      </c>
      <c r="N387" t="e">
        <f t="shared" ca="1" si="172"/>
        <v>#VALUE!</v>
      </c>
      <c r="O387" t="e">
        <f t="shared" ca="1" si="173"/>
        <v>#VALUE!</v>
      </c>
      <c r="P387" t="e">
        <f t="shared" ca="1" si="174"/>
        <v>#VALUE!</v>
      </c>
      <c r="Q387" t="e">
        <f t="shared" ca="1" si="175"/>
        <v>#VALUE!</v>
      </c>
      <c r="R387" t="e">
        <f t="shared" ca="1" si="176"/>
        <v>#VALUE!</v>
      </c>
      <c r="S387" t="e">
        <f t="shared" ca="1" si="177"/>
        <v>#VALUE!</v>
      </c>
      <c r="T387" t="e">
        <f t="shared" ca="1" si="178"/>
        <v>#VALUE!</v>
      </c>
      <c r="U387" t="e">
        <f t="shared" ca="1" si="199"/>
        <v>#VALUE!</v>
      </c>
      <c r="V387" t="e">
        <f t="shared" ca="1" si="200"/>
        <v>#VALUE!</v>
      </c>
      <c r="W387" t="e">
        <f t="shared" ca="1" si="179"/>
        <v>#VALUE!</v>
      </c>
      <c r="X387" t="e">
        <f t="shared" ca="1" si="180"/>
        <v>#VALUE!</v>
      </c>
      <c r="Y387" t="e">
        <f t="shared" ca="1" si="181"/>
        <v>#VALUE!</v>
      </c>
      <c r="Z387" t="e">
        <f t="shared" ca="1" si="182"/>
        <v>#VALUE!</v>
      </c>
      <c r="AA387" t="e">
        <f t="shared" ca="1" si="183"/>
        <v>#VALUE!</v>
      </c>
      <c r="AB387" t="e">
        <f t="shared" ca="1" si="184"/>
        <v>#VALUE!</v>
      </c>
      <c r="AC387" t="e">
        <f t="shared" ca="1" si="185"/>
        <v>#VALUE!</v>
      </c>
      <c r="AD387" t="e">
        <f t="shared" ca="1" si="186"/>
        <v>#VALUE!</v>
      </c>
      <c r="AE387" t="e">
        <f t="shared" ca="1" si="187"/>
        <v>#VALUE!</v>
      </c>
      <c r="AF387" t="e">
        <f t="shared" ca="1" si="188"/>
        <v>#VALUE!</v>
      </c>
      <c r="AG387" t="e">
        <f t="shared" ca="1" si="189"/>
        <v>#VALUE!</v>
      </c>
      <c r="AH387" t="e">
        <f ca="1">IF(V32="Supercritical",L387,IF(V32="Subcritical",W387,IF(AND(V387=1,AG387=1),IF(T387&gt;=AE387,L387,W387),IF(V387=1,L387,IF(AG387=1,W387,MAX($D$16,POWER((ABS(K387)^2)/($I$5*MAX(F387,0.1)^2),1/3)))))))</f>
        <v>#VALUE!</v>
      </c>
      <c r="AI387" t="e">
        <f t="shared" ca="1" si="190"/>
        <v>#VALUE!</v>
      </c>
      <c r="AJ387" t="e">
        <f t="shared" ca="1" si="191"/>
        <v>#VALUE!</v>
      </c>
      <c r="AM387">
        <v>0</v>
      </c>
      <c r="AN387">
        <v>0</v>
      </c>
      <c r="AO387">
        <f t="shared" si="192"/>
        <v>0</v>
      </c>
      <c r="AP387">
        <f t="shared" si="201"/>
        <v>0</v>
      </c>
      <c r="AQ387" t="e">
        <f t="shared" ca="1" si="193"/>
        <v>#VALUE!</v>
      </c>
      <c r="AR387" t="e">
        <f t="shared" ca="1" si="194"/>
        <v>#VALUE!</v>
      </c>
      <c r="AS387" t="e">
        <f t="shared" ca="1" si="195"/>
        <v>#VALUE!</v>
      </c>
    </row>
    <row r="388" spans="1:45" x14ac:dyDescent="0.35">
      <c r="A388">
        <v>239</v>
      </c>
      <c r="B388">
        <v>237.94900000000001</v>
      </c>
      <c r="C388">
        <v>616345.98600000003</v>
      </c>
      <c r="D388">
        <v>3097689.395</v>
      </c>
      <c r="E388">
        <v>632.44299999999998</v>
      </c>
      <c r="F388">
        <v>5.2</v>
      </c>
      <c r="G388">
        <v>0</v>
      </c>
      <c r="H388" t="s">
        <v>191</v>
      </c>
      <c r="I388">
        <v>5.5E-2</v>
      </c>
      <c r="J388">
        <f t="shared" si="196"/>
        <v>1.0010000000000048</v>
      </c>
      <c r="K388">
        <f t="shared" si="197"/>
        <v>51</v>
      </c>
      <c r="L388" t="e">
        <f t="shared" ca="1" si="198"/>
        <v>#VALUE!</v>
      </c>
      <c r="M388" t="e">
        <f t="shared" ca="1" si="171"/>
        <v>#VALUE!</v>
      </c>
      <c r="N388" t="e">
        <f t="shared" ca="1" si="172"/>
        <v>#VALUE!</v>
      </c>
      <c r="O388" t="e">
        <f t="shared" ca="1" si="173"/>
        <v>#VALUE!</v>
      </c>
      <c r="P388" t="e">
        <f t="shared" ca="1" si="174"/>
        <v>#VALUE!</v>
      </c>
      <c r="Q388" t="e">
        <f t="shared" ca="1" si="175"/>
        <v>#VALUE!</v>
      </c>
      <c r="R388" t="e">
        <f t="shared" ca="1" si="176"/>
        <v>#VALUE!</v>
      </c>
      <c r="S388" t="e">
        <f t="shared" ca="1" si="177"/>
        <v>#VALUE!</v>
      </c>
      <c r="T388" t="e">
        <f t="shared" ca="1" si="178"/>
        <v>#VALUE!</v>
      </c>
      <c r="U388" t="e">
        <f t="shared" ca="1" si="199"/>
        <v>#VALUE!</v>
      </c>
      <c r="V388" t="e">
        <f t="shared" ca="1" si="200"/>
        <v>#VALUE!</v>
      </c>
      <c r="W388" t="e">
        <f t="shared" ca="1" si="179"/>
        <v>#VALUE!</v>
      </c>
      <c r="X388" t="e">
        <f t="shared" ca="1" si="180"/>
        <v>#VALUE!</v>
      </c>
      <c r="Y388" t="e">
        <f t="shared" ca="1" si="181"/>
        <v>#VALUE!</v>
      </c>
      <c r="Z388" t="e">
        <f t="shared" ca="1" si="182"/>
        <v>#VALUE!</v>
      </c>
      <c r="AA388" t="e">
        <f t="shared" ca="1" si="183"/>
        <v>#VALUE!</v>
      </c>
      <c r="AB388" t="e">
        <f t="shared" ca="1" si="184"/>
        <v>#VALUE!</v>
      </c>
      <c r="AC388" t="e">
        <f t="shared" ca="1" si="185"/>
        <v>#VALUE!</v>
      </c>
      <c r="AD388" t="e">
        <f t="shared" ca="1" si="186"/>
        <v>#VALUE!</v>
      </c>
      <c r="AE388" t="e">
        <f t="shared" ca="1" si="187"/>
        <v>#VALUE!</v>
      </c>
      <c r="AF388" t="e">
        <f t="shared" ca="1" si="188"/>
        <v>#VALUE!</v>
      </c>
      <c r="AG388" t="e">
        <f t="shared" ca="1" si="189"/>
        <v>#VALUE!</v>
      </c>
      <c r="AH388" t="e">
        <f ca="1">IF(V32="Supercritical",L388,IF(V32="Subcritical",W388,IF(AND(V388=1,AG388=1),IF(T388&gt;=AE388,L388,W388),IF(V388=1,L388,IF(AG388=1,W388,MAX($D$16,POWER((ABS(K388)^2)/($I$5*MAX(F388,0.1)^2),1/3)))))))</f>
        <v>#VALUE!</v>
      </c>
      <c r="AI388" t="e">
        <f t="shared" ca="1" si="190"/>
        <v>#VALUE!</v>
      </c>
      <c r="AJ388" t="e">
        <f t="shared" ca="1" si="191"/>
        <v>#VALUE!</v>
      </c>
      <c r="AM388">
        <v>0</v>
      </c>
      <c r="AN388">
        <v>0</v>
      </c>
      <c r="AO388">
        <f t="shared" si="192"/>
        <v>0</v>
      </c>
      <c r="AP388">
        <f t="shared" si="201"/>
        <v>0</v>
      </c>
      <c r="AQ388" t="e">
        <f t="shared" ca="1" si="193"/>
        <v>#VALUE!</v>
      </c>
      <c r="AR388" t="e">
        <f t="shared" ca="1" si="194"/>
        <v>#VALUE!</v>
      </c>
      <c r="AS388" t="e">
        <f t="shared" ca="1" si="195"/>
        <v>#VALUE!</v>
      </c>
    </row>
    <row r="389" spans="1:45" x14ac:dyDescent="0.35">
      <c r="A389">
        <v>240</v>
      </c>
      <c r="B389">
        <v>238.94800000000001</v>
      </c>
      <c r="C389">
        <v>616344.98800000001</v>
      </c>
      <c r="D389">
        <v>3097689.3480000002</v>
      </c>
      <c r="E389">
        <v>632.4425</v>
      </c>
      <c r="F389">
        <v>5.2</v>
      </c>
      <c r="G389">
        <v>0</v>
      </c>
      <c r="H389" t="s">
        <v>191</v>
      </c>
      <c r="I389">
        <v>5.5E-2</v>
      </c>
      <c r="J389">
        <f t="shared" si="196"/>
        <v>0.99899999999999523</v>
      </c>
      <c r="K389">
        <f t="shared" si="197"/>
        <v>51</v>
      </c>
      <c r="L389" t="e">
        <f t="shared" ca="1" si="198"/>
        <v>#VALUE!</v>
      </c>
      <c r="M389" t="e">
        <f t="shared" ca="1" si="171"/>
        <v>#VALUE!</v>
      </c>
      <c r="N389" t="e">
        <f t="shared" ca="1" si="172"/>
        <v>#VALUE!</v>
      </c>
      <c r="O389" t="e">
        <f t="shared" ca="1" si="173"/>
        <v>#VALUE!</v>
      </c>
      <c r="P389" t="e">
        <f t="shared" ca="1" si="174"/>
        <v>#VALUE!</v>
      </c>
      <c r="Q389" t="e">
        <f t="shared" ca="1" si="175"/>
        <v>#VALUE!</v>
      </c>
      <c r="R389" t="e">
        <f t="shared" ca="1" si="176"/>
        <v>#VALUE!</v>
      </c>
      <c r="S389" t="e">
        <f t="shared" ca="1" si="177"/>
        <v>#VALUE!</v>
      </c>
      <c r="T389" t="e">
        <f t="shared" ca="1" si="178"/>
        <v>#VALUE!</v>
      </c>
      <c r="U389" t="e">
        <f t="shared" ca="1" si="199"/>
        <v>#VALUE!</v>
      </c>
      <c r="V389" t="e">
        <f t="shared" ca="1" si="200"/>
        <v>#VALUE!</v>
      </c>
      <c r="W389" t="e">
        <f t="shared" ca="1" si="179"/>
        <v>#VALUE!</v>
      </c>
      <c r="X389" t="e">
        <f t="shared" ca="1" si="180"/>
        <v>#VALUE!</v>
      </c>
      <c r="Y389" t="e">
        <f t="shared" ca="1" si="181"/>
        <v>#VALUE!</v>
      </c>
      <c r="Z389" t="e">
        <f t="shared" ca="1" si="182"/>
        <v>#VALUE!</v>
      </c>
      <c r="AA389" t="e">
        <f t="shared" ca="1" si="183"/>
        <v>#VALUE!</v>
      </c>
      <c r="AB389" t="e">
        <f t="shared" ca="1" si="184"/>
        <v>#VALUE!</v>
      </c>
      <c r="AC389" t="e">
        <f t="shared" ca="1" si="185"/>
        <v>#VALUE!</v>
      </c>
      <c r="AD389" t="e">
        <f t="shared" ca="1" si="186"/>
        <v>#VALUE!</v>
      </c>
      <c r="AE389" t="e">
        <f t="shared" ca="1" si="187"/>
        <v>#VALUE!</v>
      </c>
      <c r="AF389" t="e">
        <f t="shared" ca="1" si="188"/>
        <v>#VALUE!</v>
      </c>
      <c r="AG389" t="e">
        <f t="shared" ca="1" si="189"/>
        <v>#VALUE!</v>
      </c>
      <c r="AH389" t="e">
        <f ca="1">IF(V32="Supercritical",L389,IF(V32="Subcritical",W389,IF(AND(V389=1,AG389=1),IF(T389&gt;=AE389,L389,W389),IF(V389=1,L389,IF(AG389=1,W389,MAX($D$16,POWER((ABS(K389)^2)/($I$5*MAX(F389,0.1)^2),1/3)))))))</f>
        <v>#VALUE!</v>
      </c>
      <c r="AI389" t="e">
        <f t="shared" ca="1" si="190"/>
        <v>#VALUE!</v>
      </c>
      <c r="AJ389" t="e">
        <f t="shared" ca="1" si="191"/>
        <v>#VALUE!</v>
      </c>
      <c r="AM389">
        <v>0</v>
      </c>
      <c r="AN389">
        <v>0</v>
      </c>
      <c r="AO389">
        <f t="shared" si="192"/>
        <v>0</v>
      </c>
      <c r="AP389">
        <f t="shared" si="201"/>
        <v>0</v>
      </c>
      <c r="AQ389" t="e">
        <f t="shared" ca="1" si="193"/>
        <v>#VALUE!</v>
      </c>
      <c r="AR389" t="e">
        <f t="shared" ca="1" si="194"/>
        <v>#VALUE!</v>
      </c>
      <c r="AS389" t="e">
        <f t="shared" ca="1" si="195"/>
        <v>#VALUE!</v>
      </c>
    </row>
    <row r="390" spans="1:45" x14ac:dyDescent="0.35">
      <c r="A390">
        <v>241</v>
      </c>
      <c r="B390">
        <v>239.94800000000001</v>
      </c>
      <c r="C390">
        <v>616343.98899999994</v>
      </c>
      <c r="D390">
        <v>3097689.3</v>
      </c>
      <c r="E390">
        <v>632.44200000000001</v>
      </c>
      <c r="F390">
        <v>5.2</v>
      </c>
      <c r="G390">
        <v>0</v>
      </c>
      <c r="H390" t="s">
        <v>191</v>
      </c>
      <c r="I390">
        <v>5.7000000000000002E-2</v>
      </c>
      <c r="J390">
        <f t="shared" si="196"/>
        <v>1</v>
      </c>
      <c r="K390">
        <f t="shared" si="197"/>
        <v>51</v>
      </c>
      <c r="L390" t="e">
        <f t="shared" ca="1" si="198"/>
        <v>#VALUE!</v>
      </c>
      <c r="M390" t="e">
        <f t="shared" ca="1" si="171"/>
        <v>#VALUE!</v>
      </c>
      <c r="N390" t="e">
        <f t="shared" ca="1" si="172"/>
        <v>#VALUE!</v>
      </c>
      <c r="O390" t="e">
        <f t="shared" ca="1" si="173"/>
        <v>#VALUE!</v>
      </c>
      <c r="P390" t="e">
        <f t="shared" ca="1" si="174"/>
        <v>#VALUE!</v>
      </c>
      <c r="Q390" t="e">
        <f t="shared" ca="1" si="175"/>
        <v>#VALUE!</v>
      </c>
      <c r="R390" t="e">
        <f t="shared" ca="1" si="176"/>
        <v>#VALUE!</v>
      </c>
      <c r="S390" t="e">
        <f t="shared" ca="1" si="177"/>
        <v>#VALUE!</v>
      </c>
      <c r="T390" t="e">
        <f t="shared" ca="1" si="178"/>
        <v>#VALUE!</v>
      </c>
      <c r="U390" t="e">
        <f t="shared" ca="1" si="199"/>
        <v>#VALUE!</v>
      </c>
      <c r="V390" t="e">
        <f t="shared" ca="1" si="200"/>
        <v>#VALUE!</v>
      </c>
      <c r="W390" t="e">
        <f t="shared" ca="1" si="179"/>
        <v>#VALUE!</v>
      </c>
      <c r="X390" t="e">
        <f t="shared" ca="1" si="180"/>
        <v>#VALUE!</v>
      </c>
      <c r="Y390" t="e">
        <f t="shared" ca="1" si="181"/>
        <v>#VALUE!</v>
      </c>
      <c r="Z390" t="e">
        <f t="shared" ca="1" si="182"/>
        <v>#VALUE!</v>
      </c>
      <c r="AA390" t="e">
        <f t="shared" ca="1" si="183"/>
        <v>#VALUE!</v>
      </c>
      <c r="AB390" t="e">
        <f t="shared" ca="1" si="184"/>
        <v>#VALUE!</v>
      </c>
      <c r="AC390" t="e">
        <f t="shared" ca="1" si="185"/>
        <v>#VALUE!</v>
      </c>
      <c r="AD390" t="e">
        <f t="shared" ca="1" si="186"/>
        <v>#VALUE!</v>
      </c>
      <c r="AE390" t="e">
        <f t="shared" ca="1" si="187"/>
        <v>#VALUE!</v>
      </c>
      <c r="AF390" t="e">
        <f t="shared" ca="1" si="188"/>
        <v>#VALUE!</v>
      </c>
      <c r="AG390" t="e">
        <f t="shared" ca="1" si="189"/>
        <v>#VALUE!</v>
      </c>
      <c r="AH390" t="e">
        <f ca="1">IF(V32="Supercritical",L390,IF(V32="Subcritical",W390,IF(AND(V390=1,AG390=1),IF(T390&gt;=AE390,L390,W390),IF(V390=1,L390,IF(AG390=1,W390,MAX($D$16,POWER((ABS(K390)^2)/($I$5*MAX(F390,0.1)^2),1/3)))))))</f>
        <v>#VALUE!</v>
      </c>
      <c r="AI390" t="e">
        <f t="shared" ca="1" si="190"/>
        <v>#VALUE!</v>
      </c>
      <c r="AJ390" t="e">
        <f t="shared" ca="1" si="191"/>
        <v>#VALUE!</v>
      </c>
      <c r="AM390">
        <v>0</v>
      </c>
      <c r="AN390">
        <v>0</v>
      </c>
      <c r="AO390">
        <f t="shared" si="192"/>
        <v>0</v>
      </c>
      <c r="AP390">
        <f t="shared" si="201"/>
        <v>0</v>
      </c>
      <c r="AQ390" t="e">
        <f t="shared" ca="1" si="193"/>
        <v>#VALUE!</v>
      </c>
      <c r="AR390" t="e">
        <f t="shared" ca="1" si="194"/>
        <v>#VALUE!</v>
      </c>
      <c r="AS390" t="e">
        <f t="shared" ca="1" si="195"/>
        <v>#VALUE!</v>
      </c>
    </row>
    <row r="391" spans="1:45" x14ac:dyDescent="0.35">
      <c r="A391">
        <v>242</v>
      </c>
      <c r="B391">
        <v>240.94800000000001</v>
      </c>
      <c r="C391">
        <v>616342.99</v>
      </c>
      <c r="D391">
        <v>3097689.253</v>
      </c>
      <c r="E391">
        <v>632.44150000000002</v>
      </c>
      <c r="F391">
        <v>5.2</v>
      </c>
      <c r="G391">
        <v>0</v>
      </c>
      <c r="H391" t="s">
        <v>191</v>
      </c>
      <c r="I391">
        <v>5.7000000000000002E-2</v>
      </c>
      <c r="J391">
        <f t="shared" si="196"/>
        <v>1</v>
      </c>
      <c r="K391">
        <f t="shared" si="197"/>
        <v>51</v>
      </c>
      <c r="L391" t="e">
        <f t="shared" ca="1" si="198"/>
        <v>#VALUE!</v>
      </c>
      <c r="M391" t="e">
        <f t="shared" ca="1" si="171"/>
        <v>#VALUE!</v>
      </c>
      <c r="N391" t="e">
        <f t="shared" ca="1" si="172"/>
        <v>#VALUE!</v>
      </c>
      <c r="O391" t="e">
        <f t="shared" ca="1" si="173"/>
        <v>#VALUE!</v>
      </c>
      <c r="P391" t="e">
        <f t="shared" ca="1" si="174"/>
        <v>#VALUE!</v>
      </c>
      <c r="Q391" t="e">
        <f t="shared" ca="1" si="175"/>
        <v>#VALUE!</v>
      </c>
      <c r="R391" t="e">
        <f t="shared" ca="1" si="176"/>
        <v>#VALUE!</v>
      </c>
      <c r="S391" t="e">
        <f t="shared" ca="1" si="177"/>
        <v>#VALUE!</v>
      </c>
      <c r="T391" t="e">
        <f t="shared" ca="1" si="178"/>
        <v>#VALUE!</v>
      </c>
      <c r="U391" t="e">
        <f t="shared" ca="1" si="199"/>
        <v>#VALUE!</v>
      </c>
      <c r="V391" t="e">
        <f t="shared" ca="1" si="200"/>
        <v>#VALUE!</v>
      </c>
      <c r="W391" t="e">
        <f t="shared" ca="1" si="179"/>
        <v>#VALUE!</v>
      </c>
      <c r="X391" t="e">
        <f t="shared" ca="1" si="180"/>
        <v>#VALUE!</v>
      </c>
      <c r="Y391" t="e">
        <f t="shared" ca="1" si="181"/>
        <v>#VALUE!</v>
      </c>
      <c r="Z391" t="e">
        <f t="shared" ca="1" si="182"/>
        <v>#VALUE!</v>
      </c>
      <c r="AA391" t="e">
        <f t="shared" ca="1" si="183"/>
        <v>#VALUE!</v>
      </c>
      <c r="AB391" t="e">
        <f t="shared" ca="1" si="184"/>
        <v>#VALUE!</v>
      </c>
      <c r="AC391" t="e">
        <f t="shared" ca="1" si="185"/>
        <v>#VALUE!</v>
      </c>
      <c r="AD391" t="e">
        <f t="shared" ca="1" si="186"/>
        <v>#VALUE!</v>
      </c>
      <c r="AE391" t="e">
        <f t="shared" ca="1" si="187"/>
        <v>#VALUE!</v>
      </c>
      <c r="AF391" t="e">
        <f t="shared" ca="1" si="188"/>
        <v>#VALUE!</v>
      </c>
      <c r="AG391" t="e">
        <f t="shared" ca="1" si="189"/>
        <v>#VALUE!</v>
      </c>
      <c r="AH391" t="e">
        <f ca="1">IF(V32="Supercritical",L391,IF(V32="Subcritical",W391,IF(AND(V391=1,AG391=1),IF(T391&gt;=AE391,L391,W391),IF(V391=1,L391,IF(AG391=1,W391,MAX($D$16,POWER((ABS(K391)^2)/($I$5*MAX(F391,0.1)^2),1/3)))))))</f>
        <v>#VALUE!</v>
      </c>
      <c r="AI391" t="e">
        <f t="shared" ca="1" si="190"/>
        <v>#VALUE!</v>
      </c>
      <c r="AJ391" t="e">
        <f t="shared" ca="1" si="191"/>
        <v>#VALUE!</v>
      </c>
      <c r="AM391">
        <v>0</v>
      </c>
      <c r="AN391">
        <v>0</v>
      </c>
      <c r="AO391">
        <f t="shared" si="192"/>
        <v>0</v>
      </c>
      <c r="AP391">
        <f t="shared" si="201"/>
        <v>0</v>
      </c>
      <c r="AQ391" t="e">
        <f t="shared" ca="1" si="193"/>
        <v>#VALUE!</v>
      </c>
      <c r="AR391" t="e">
        <f t="shared" ca="1" si="194"/>
        <v>#VALUE!</v>
      </c>
      <c r="AS391" t="e">
        <f t="shared" ca="1" si="195"/>
        <v>#VALUE!</v>
      </c>
    </row>
    <row r="392" spans="1:45" x14ac:dyDescent="0.35">
      <c r="A392">
        <v>243</v>
      </c>
      <c r="B392">
        <v>241.94800000000001</v>
      </c>
      <c r="C392">
        <v>616341.99100000004</v>
      </c>
      <c r="D392">
        <v>3097689.2050000001</v>
      </c>
      <c r="E392">
        <v>632.44100000000003</v>
      </c>
      <c r="F392">
        <v>5.2</v>
      </c>
      <c r="G392">
        <v>0</v>
      </c>
      <c r="H392" t="s">
        <v>191</v>
      </c>
      <c r="I392">
        <v>0</v>
      </c>
      <c r="J392">
        <f t="shared" si="196"/>
        <v>1</v>
      </c>
      <c r="K392">
        <f t="shared" si="197"/>
        <v>51</v>
      </c>
      <c r="L392" t="e">
        <f t="shared" ca="1" si="198"/>
        <v>#VALUE!</v>
      </c>
      <c r="M392" t="e">
        <f t="shared" ca="1" si="171"/>
        <v>#VALUE!</v>
      </c>
      <c r="N392" t="e">
        <f t="shared" ca="1" si="172"/>
        <v>#VALUE!</v>
      </c>
      <c r="O392" t="e">
        <f t="shared" ca="1" si="173"/>
        <v>#VALUE!</v>
      </c>
      <c r="P392" t="e">
        <f t="shared" ca="1" si="174"/>
        <v>#VALUE!</v>
      </c>
      <c r="Q392" t="e">
        <f t="shared" ca="1" si="175"/>
        <v>#VALUE!</v>
      </c>
      <c r="R392" t="e">
        <f t="shared" ca="1" si="176"/>
        <v>#VALUE!</v>
      </c>
      <c r="S392" t="e">
        <f t="shared" ca="1" si="177"/>
        <v>#VALUE!</v>
      </c>
      <c r="T392" t="e">
        <f t="shared" ca="1" si="178"/>
        <v>#VALUE!</v>
      </c>
      <c r="U392" t="e">
        <f t="shared" ca="1" si="199"/>
        <v>#VALUE!</v>
      </c>
      <c r="V392" t="e">
        <f t="shared" ca="1" si="200"/>
        <v>#VALUE!</v>
      </c>
      <c r="W392" t="e">
        <f t="shared" ca="1" si="179"/>
        <v>#VALUE!</v>
      </c>
      <c r="X392" t="e">
        <f t="shared" ca="1" si="180"/>
        <v>#VALUE!</v>
      </c>
      <c r="Y392" t="e">
        <f t="shared" ca="1" si="181"/>
        <v>#VALUE!</v>
      </c>
      <c r="Z392" t="e">
        <f t="shared" ca="1" si="182"/>
        <v>#VALUE!</v>
      </c>
      <c r="AA392" t="e">
        <f t="shared" ca="1" si="183"/>
        <v>#VALUE!</v>
      </c>
      <c r="AB392" t="e">
        <f t="shared" ca="1" si="184"/>
        <v>#VALUE!</v>
      </c>
      <c r="AC392" t="e">
        <f t="shared" ca="1" si="185"/>
        <v>#VALUE!</v>
      </c>
      <c r="AD392" t="e">
        <f t="shared" ca="1" si="186"/>
        <v>#VALUE!</v>
      </c>
      <c r="AE392" t="e">
        <f t="shared" ca="1" si="187"/>
        <v>#VALUE!</v>
      </c>
      <c r="AF392" t="e">
        <f t="shared" ca="1" si="188"/>
        <v>#VALUE!</v>
      </c>
      <c r="AG392" t="e">
        <f t="shared" ca="1" si="189"/>
        <v>#VALUE!</v>
      </c>
      <c r="AH392" t="e">
        <f ca="1">IF(V32="Supercritical",L392,IF(V32="Subcritical",W392,IF(AND(V392=1,AG392=1),IF(T392&gt;=AE392,L392,W392),IF(V392=1,L392,IF(AG392=1,W392,MAX($D$16,POWER((ABS(K392)^2)/($I$5*MAX(F392,0.1)^2),1/3)))))))</f>
        <v>#VALUE!</v>
      </c>
      <c r="AI392" t="e">
        <f t="shared" ca="1" si="190"/>
        <v>#VALUE!</v>
      </c>
      <c r="AJ392" t="e">
        <f t="shared" ca="1" si="191"/>
        <v>#VALUE!</v>
      </c>
      <c r="AM392">
        <v>0</v>
      </c>
      <c r="AN392">
        <v>0</v>
      </c>
      <c r="AO392">
        <f t="shared" si="192"/>
        <v>0</v>
      </c>
      <c r="AP392">
        <f t="shared" si="201"/>
        <v>0</v>
      </c>
      <c r="AQ392" t="e">
        <f t="shared" ca="1" si="193"/>
        <v>#VALUE!</v>
      </c>
      <c r="AR392" t="e">
        <f t="shared" ca="1" si="194"/>
        <v>#VALUE!</v>
      </c>
      <c r="AS392" t="e">
        <f t="shared" ca="1" si="195"/>
        <v>#VALUE!</v>
      </c>
    </row>
    <row r="393" spans="1:45" x14ac:dyDescent="0.35">
      <c r="A393">
        <v>244</v>
      </c>
      <c r="B393">
        <v>242.94800000000001</v>
      </c>
      <c r="C393">
        <v>616340.99199999997</v>
      </c>
      <c r="D393">
        <v>3097689.1570000001</v>
      </c>
      <c r="E393">
        <v>632.44050000000004</v>
      </c>
      <c r="F393">
        <v>5.2</v>
      </c>
      <c r="G393">
        <v>0</v>
      </c>
      <c r="H393" t="s">
        <v>191</v>
      </c>
      <c r="I393">
        <v>23.762</v>
      </c>
      <c r="J393">
        <f t="shared" si="196"/>
        <v>1</v>
      </c>
      <c r="K393">
        <f t="shared" si="197"/>
        <v>51</v>
      </c>
      <c r="L393" t="e">
        <f t="shared" ca="1" si="198"/>
        <v>#VALUE!</v>
      </c>
      <c r="M393" t="e">
        <f t="shared" ca="1" si="171"/>
        <v>#VALUE!</v>
      </c>
      <c r="N393" t="e">
        <f t="shared" ca="1" si="172"/>
        <v>#VALUE!</v>
      </c>
      <c r="O393" t="e">
        <f t="shared" ca="1" si="173"/>
        <v>#VALUE!</v>
      </c>
      <c r="P393" t="e">
        <f t="shared" ca="1" si="174"/>
        <v>#VALUE!</v>
      </c>
      <c r="Q393" t="e">
        <f t="shared" ca="1" si="175"/>
        <v>#VALUE!</v>
      </c>
      <c r="R393" t="e">
        <f t="shared" ca="1" si="176"/>
        <v>#VALUE!</v>
      </c>
      <c r="S393" t="e">
        <f t="shared" ca="1" si="177"/>
        <v>#VALUE!</v>
      </c>
      <c r="T393" t="e">
        <f t="shared" ca="1" si="178"/>
        <v>#VALUE!</v>
      </c>
      <c r="U393" t="e">
        <f t="shared" ca="1" si="199"/>
        <v>#VALUE!</v>
      </c>
      <c r="V393" t="e">
        <f t="shared" ca="1" si="200"/>
        <v>#VALUE!</v>
      </c>
      <c r="W393" t="e">
        <f t="shared" ca="1" si="179"/>
        <v>#VALUE!</v>
      </c>
      <c r="X393" t="e">
        <f t="shared" ca="1" si="180"/>
        <v>#VALUE!</v>
      </c>
      <c r="Y393" t="e">
        <f t="shared" ca="1" si="181"/>
        <v>#VALUE!</v>
      </c>
      <c r="Z393" t="e">
        <f t="shared" ca="1" si="182"/>
        <v>#VALUE!</v>
      </c>
      <c r="AA393" t="e">
        <f t="shared" ca="1" si="183"/>
        <v>#VALUE!</v>
      </c>
      <c r="AB393" t="e">
        <f t="shared" ca="1" si="184"/>
        <v>#VALUE!</v>
      </c>
      <c r="AC393" t="e">
        <f t="shared" ca="1" si="185"/>
        <v>#VALUE!</v>
      </c>
      <c r="AD393" t="e">
        <f t="shared" ca="1" si="186"/>
        <v>#VALUE!</v>
      </c>
      <c r="AE393" t="e">
        <f t="shared" ca="1" si="187"/>
        <v>#VALUE!</v>
      </c>
      <c r="AF393" t="e">
        <f t="shared" ca="1" si="188"/>
        <v>#VALUE!</v>
      </c>
      <c r="AG393" t="e">
        <f t="shared" ca="1" si="189"/>
        <v>#VALUE!</v>
      </c>
      <c r="AH393" t="e">
        <f ca="1">IF(V32="Supercritical",L393,IF(V32="Subcritical",W393,IF(AND(V393=1,AG393=1),IF(T393&gt;=AE393,L393,W393),IF(V393=1,L393,IF(AG393=1,W393,MAX($D$16,POWER((ABS(K393)^2)/($I$5*MAX(F393,0.1)^2),1/3)))))))</f>
        <v>#VALUE!</v>
      </c>
      <c r="AI393" t="e">
        <f t="shared" ca="1" si="190"/>
        <v>#VALUE!</v>
      </c>
      <c r="AJ393" t="e">
        <f t="shared" ca="1" si="191"/>
        <v>#VALUE!</v>
      </c>
      <c r="AM393">
        <v>0</v>
      </c>
      <c r="AN393">
        <v>0</v>
      </c>
      <c r="AO393">
        <f t="shared" si="192"/>
        <v>0</v>
      </c>
      <c r="AP393">
        <f t="shared" si="201"/>
        <v>0</v>
      </c>
      <c r="AQ393" t="e">
        <f t="shared" ca="1" si="193"/>
        <v>#VALUE!</v>
      </c>
      <c r="AR393" t="e">
        <f t="shared" ca="1" si="194"/>
        <v>#VALUE!</v>
      </c>
      <c r="AS393" t="e">
        <f t="shared" ca="1" si="195"/>
        <v>#VALUE!</v>
      </c>
    </row>
    <row r="394" spans="1:45" x14ac:dyDescent="0.35">
      <c r="A394">
        <v>245</v>
      </c>
      <c r="B394">
        <v>243.92699999999999</v>
      </c>
      <c r="C394">
        <v>616340.11600000004</v>
      </c>
      <c r="D394">
        <v>3097688.72</v>
      </c>
      <c r="E394">
        <v>632.44000000000005</v>
      </c>
      <c r="F394">
        <v>4.7960000000000003</v>
      </c>
      <c r="G394">
        <v>0</v>
      </c>
      <c r="H394" t="s">
        <v>191</v>
      </c>
      <c r="I394">
        <v>5.6989999999999998</v>
      </c>
      <c r="J394">
        <f t="shared" si="196"/>
        <v>0.97899999999998499</v>
      </c>
      <c r="K394">
        <f t="shared" si="197"/>
        <v>51</v>
      </c>
      <c r="L394" t="e">
        <f t="shared" ca="1" si="198"/>
        <v>#VALUE!</v>
      </c>
      <c r="M394" t="e">
        <f t="shared" ca="1" si="171"/>
        <v>#VALUE!</v>
      </c>
      <c r="N394" t="e">
        <f t="shared" ca="1" si="172"/>
        <v>#VALUE!</v>
      </c>
      <c r="O394" t="e">
        <f t="shared" ca="1" si="173"/>
        <v>#VALUE!</v>
      </c>
      <c r="P394" t="e">
        <f t="shared" ca="1" si="174"/>
        <v>#VALUE!</v>
      </c>
      <c r="Q394" t="e">
        <f t="shared" ca="1" si="175"/>
        <v>#VALUE!</v>
      </c>
      <c r="R394" t="e">
        <f t="shared" ca="1" si="176"/>
        <v>#VALUE!</v>
      </c>
      <c r="S394" t="e">
        <f t="shared" ca="1" si="177"/>
        <v>#VALUE!</v>
      </c>
      <c r="T394" t="e">
        <f t="shared" ca="1" si="178"/>
        <v>#VALUE!</v>
      </c>
      <c r="U394" t="e">
        <f t="shared" ca="1" si="199"/>
        <v>#VALUE!</v>
      </c>
      <c r="V394" t="e">
        <f t="shared" ca="1" si="200"/>
        <v>#VALUE!</v>
      </c>
      <c r="W394" t="e">
        <f t="shared" ca="1" si="179"/>
        <v>#VALUE!</v>
      </c>
      <c r="X394" t="e">
        <f t="shared" ca="1" si="180"/>
        <v>#VALUE!</v>
      </c>
      <c r="Y394" t="e">
        <f t="shared" ca="1" si="181"/>
        <v>#VALUE!</v>
      </c>
      <c r="Z394" t="e">
        <f t="shared" ca="1" si="182"/>
        <v>#VALUE!</v>
      </c>
      <c r="AA394" t="e">
        <f t="shared" ca="1" si="183"/>
        <v>#VALUE!</v>
      </c>
      <c r="AB394" t="e">
        <f t="shared" ca="1" si="184"/>
        <v>#VALUE!</v>
      </c>
      <c r="AC394" t="e">
        <f t="shared" ca="1" si="185"/>
        <v>#VALUE!</v>
      </c>
      <c r="AD394" t="e">
        <f t="shared" ca="1" si="186"/>
        <v>#VALUE!</v>
      </c>
      <c r="AE394" t="e">
        <f t="shared" ca="1" si="187"/>
        <v>#VALUE!</v>
      </c>
      <c r="AF394" t="e">
        <f t="shared" ca="1" si="188"/>
        <v>#VALUE!</v>
      </c>
      <c r="AG394" t="e">
        <f t="shared" ca="1" si="189"/>
        <v>#VALUE!</v>
      </c>
      <c r="AH394" t="e">
        <f ca="1">IF(V32="Supercritical",L394,IF(V32="Subcritical",W394,IF(AND(V394=1,AG394=1),IF(T394&gt;=AE394,L394,W394),IF(V394=1,L394,IF(AG394=1,W394,MAX($D$16,POWER((ABS(K394)^2)/($I$5*MAX(F394,0.1)^2),1/3)))))))</f>
        <v>#VALUE!</v>
      </c>
      <c r="AI394" t="e">
        <f t="shared" ca="1" si="190"/>
        <v>#VALUE!</v>
      </c>
      <c r="AJ394" t="e">
        <f t="shared" ca="1" si="191"/>
        <v>#VALUE!</v>
      </c>
      <c r="AM394">
        <v>0</v>
      </c>
      <c r="AN394">
        <v>0</v>
      </c>
      <c r="AO394">
        <f t="shared" si="192"/>
        <v>0</v>
      </c>
      <c r="AP394">
        <f t="shared" si="201"/>
        <v>0</v>
      </c>
      <c r="AQ394" t="e">
        <f t="shared" ca="1" si="193"/>
        <v>#VALUE!</v>
      </c>
      <c r="AR394" t="e">
        <f t="shared" ca="1" si="194"/>
        <v>#VALUE!</v>
      </c>
      <c r="AS394" t="e">
        <f t="shared" ca="1" si="195"/>
        <v>#VALUE!</v>
      </c>
    </row>
    <row r="395" spans="1:45" x14ac:dyDescent="0.35">
      <c r="A395">
        <v>246</v>
      </c>
      <c r="B395">
        <v>244.92699999999999</v>
      </c>
      <c r="C395">
        <v>616339.27</v>
      </c>
      <c r="D395">
        <v>3097688.1869999999</v>
      </c>
      <c r="E395">
        <v>632.43949999999995</v>
      </c>
      <c r="F395">
        <v>4.5270000000000001</v>
      </c>
      <c r="G395">
        <v>0</v>
      </c>
      <c r="H395" t="s">
        <v>191</v>
      </c>
      <c r="I395">
        <v>0</v>
      </c>
      <c r="J395">
        <f t="shared" si="196"/>
        <v>1</v>
      </c>
      <c r="K395">
        <f t="shared" si="197"/>
        <v>51</v>
      </c>
      <c r="L395" t="e">
        <f t="shared" ca="1" si="198"/>
        <v>#VALUE!</v>
      </c>
      <c r="M395" t="e">
        <f t="shared" ca="1" si="171"/>
        <v>#VALUE!</v>
      </c>
      <c r="N395" t="e">
        <f t="shared" ca="1" si="172"/>
        <v>#VALUE!</v>
      </c>
      <c r="O395" t="e">
        <f t="shared" ca="1" si="173"/>
        <v>#VALUE!</v>
      </c>
      <c r="P395" t="e">
        <f t="shared" ca="1" si="174"/>
        <v>#VALUE!</v>
      </c>
      <c r="Q395" t="e">
        <f t="shared" ca="1" si="175"/>
        <v>#VALUE!</v>
      </c>
      <c r="R395" t="e">
        <f t="shared" ca="1" si="176"/>
        <v>#VALUE!</v>
      </c>
      <c r="S395" t="e">
        <f t="shared" ca="1" si="177"/>
        <v>#VALUE!</v>
      </c>
      <c r="T395" t="e">
        <f t="shared" ca="1" si="178"/>
        <v>#VALUE!</v>
      </c>
      <c r="U395" t="e">
        <f t="shared" ca="1" si="199"/>
        <v>#VALUE!</v>
      </c>
      <c r="V395" t="e">
        <f t="shared" ca="1" si="200"/>
        <v>#VALUE!</v>
      </c>
      <c r="W395" t="e">
        <f t="shared" ca="1" si="179"/>
        <v>#VALUE!</v>
      </c>
      <c r="X395" t="e">
        <f t="shared" ca="1" si="180"/>
        <v>#VALUE!</v>
      </c>
      <c r="Y395" t="e">
        <f t="shared" ca="1" si="181"/>
        <v>#VALUE!</v>
      </c>
      <c r="Z395" t="e">
        <f t="shared" ca="1" si="182"/>
        <v>#VALUE!</v>
      </c>
      <c r="AA395" t="e">
        <f t="shared" ca="1" si="183"/>
        <v>#VALUE!</v>
      </c>
      <c r="AB395" t="e">
        <f t="shared" ca="1" si="184"/>
        <v>#VALUE!</v>
      </c>
      <c r="AC395" t="e">
        <f t="shared" ca="1" si="185"/>
        <v>#VALUE!</v>
      </c>
      <c r="AD395" t="e">
        <f t="shared" ca="1" si="186"/>
        <v>#VALUE!</v>
      </c>
      <c r="AE395" t="e">
        <f t="shared" ca="1" si="187"/>
        <v>#VALUE!</v>
      </c>
      <c r="AF395" t="e">
        <f t="shared" ca="1" si="188"/>
        <v>#VALUE!</v>
      </c>
      <c r="AG395" t="e">
        <f t="shared" ca="1" si="189"/>
        <v>#VALUE!</v>
      </c>
      <c r="AH395" t="e">
        <f ca="1">IF(V32="Supercritical",L395,IF(V32="Subcritical",W395,IF(AND(V395=1,AG395=1),IF(T395&gt;=AE395,L395,W395),IF(V395=1,L395,IF(AG395=1,W395,MAX($D$16,POWER((ABS(K395)^2)/($I$5*MAX(F395,0.1)^2),1/3)))))))</f>
        <v>#VALUE!</v>
      </c>
      <c r="AI395" t="e">
        <f t="shared" ca="1" si="190"/>
        <v>#VALUE!</v>
      </c>
      <c r="AJ395" t="e">
        <f t="shared" ca="1" si="191"/>
        <v>#VALUE!</v>
      </c>
      <c r="AM395">
        <v>0</v>
      </c>
      <c r="AN395">
        <v>0</v>
      </c>
      <c r="AO395">
        <f t="shared" si="192"/>
        <v>0</v>
      </c>
      <c r="AP395">
        <f t="shared" si="201"/>
        <v>0</v>
      </c>
      <c r="AQ395" t="e">
        <f t="shared" ca="1" si="193"/>
        <v>#VALUE!</v>
      </c>
      <c r="AR395" t="e">
        <f t="shared" ca="1" si="194"/>
        <v>#VALUE!</v>
      </c>
      <c r="AS395" t="e">
        <f t="shared" ca="1" si="195"/>
        <v>#VALUE!</v>
      </c>
    </row>
    <row r="396" spans="1:45" x14ac:dyDescent="0.35">
      <c r="A396">
        <v>247</v>
      </c>
      <c r="B396">
        <v>245.92699999999999</v>
      </c>
      <c r="C396">
        <v>616338.424</v>
      </c>
      <c r="D396">
        <v>3097687.6540000001</v>
      </c>
      <c r="E396">
        <v>632.43899999999996</v>
      </c>
      <c r="F396">
        <v>4.5270000000000001</v>
      </c>
      <c r="G396">
        <v>0</v>
      </c>
      <c r="H396" t="s">
        <v>191</v>
      </c>
      <c r="I396">
        <v>4.8000000000000001E-2</v>
      </c>
      <c r="J396">
        <f t="shared" si="196"/>
        <v>1</v>
      </c>
      <c r="K396">
        <f t="shared" si="197"/>
        <v>51</v>
      </c>
      <c r="L396" t="e">
        <f t="shared" ca="1" si="198"/>
        <v>#VALUE!</v>
      </c>
      <c r="M396" t="e">
        <f t="shared" ca="1" si="171"/>
        <v>#VALUE!</v>
      </c>
      <c r="N396" t="e">
        <f t="shared" ca="1" si="172"/>
        <v>#VALUE!</v>
      </c>
      <c r="O396" t="e">
        <f t="shared" ca="1" si="173"/>
        <v>#VALUE!</v>
      </c>
      <c r="P396" t="e">
        <f t="shared" ca="1" si="174"/>
        <v>#VALUE!</v>
      </c>
      <c r="Q396" t="e">
        <f t="shared" ca="1" si="175"/>
        <v>#VALUE!</v>
      </c>
      <c r="R396" t="e">
        <f t="shared" ca="1" si="176"/>
        <v>#VALUE!</v>
      </c>
      <c r="S396" t="e">
        <f t="shared" ca="1" si="177"/>
        <v>#VALUE!</v>
      </c>
      <c r="T396" t="e">
        <f t="shared" ca="1" si="178"/>
        <v>#VALUE!</v>
      </c>
      <c r="U396" t="e">
        <f t="shared" ca="1" si="199"/>
        <v>#VALUE!</v>
      </c>
      <c r="V396" t="e">
        <f t="shared" ca="1" si="200"/>
        <v>#VALUE!</v>
      </c>
      <c r="W396" t="e">
        <f t="shared" ca="1" si="179"/>
        <v>#VALUE!</v>
      </c>
      <c r="X396" t="e">
        <f t="shared" ca="1" si="180"/>
        <v>#VALUE!</v>
      </c>
      <c r="Y396" t="e">
        <f t="shared" ca="1" si="181"/>
        <v>#VALUE!</v>
      </c>
      <c r="Z396" t="e">
        <f t="shared" ca="1" si="182"/>
        <v>#VALUE!</v>
      </c>
      <c r="AA396" t="e">
        <f t="shared" ca="1" si="183"/>
        <v>#VALUE!</v>
      </c>
      <c r="AB396" t="e">
        <f t="shared" ca="1" si="184"/>
        <v>#VALUE!</v>
      </c>
      <c r="AC396" t="e">
        <f t="shared" ca="1" si="185"/>
        <v>#VALUE!</v>
      </c>
      <c r="AD396" t="e">
        <f t="shared" ca="1" si="186"/>
        <v>#VALUE!</v>
      </c>
      <c r="AE396" t="e">
        <f t="shared" ca="1" si="187"/>
        <v>#VALUE!</v>
      </c>
      <c r="AF396" t="e">
        <f t="shared" ca="1" si="188"/>
        <v>#VALUE!</v>
      </c>
      <c r="AG396" t="e">
        <f t="shared" ca="1" si="189"/>
        <v>#VALUE!</v>
      </c>
      <c r="AH396" t="e">
        <f ca="1">IF(V32="Supercritical",L396,IF(V32="Subcritical",W396,IF(AND(V396=1,AG396=1),IF(T396&gt;=AE396,L396,W396),IF(V396=1,L396,IF(AG396=1,W396,MAX($D$16,POWER((ABS(K396)^2)/($I$5*MAX(F396,0.1)^2),1/3)))))))</f>
        <v>#VALUE!</v>
      </c>
      <c r="AI396" t="e">
        <f t="shared" ca="1" si="190"/>
        <v>#VALUE!</v>
      </c>
      <c r="AJ396" t="e">
        <f t="shared" ca="1" si="191"/>
        <v>#VALUE!</v>
      </c>
      <c r="AM396">
        <v>0</v>
      </c>
      <c r="AN396">
        <v>0</v>
      </c>
      <c r="AO396">
        <f t="shared" si="192"/>
        <v>0</v>
      </c>
      <c r="AP396">
        <f t="shared" si="201"/>
        <v>0</v>
      </c>
      <c r="AQ396" t="e">
        <f t="shared" ca="1" si="193"/>
        <v>#VALUE!</v>
      </c>
      <c r="AR396" t="e">
        <f t="shared" ca="1" si="194"/>
        <v>#VALUE!</v>
      </c>
      <c r="AS396" t="e">
        <f t="shared" ca="1" si="195"/>
        <v>#VALUE!</v>
      </c>
    </row>
    <row r="397" spans="1:45" x14ac:dyDescent="0.35">
      <c r="A397">
        <v>248</v>
      </c>
      <c r="B397">
        <v>246.92699999999999</v>
      </c>
      <c r="C397">
        <v>616337.57799999998</v>
      </c>
      <c r="D397">
        <v>3097687.12</v>
      </c>
      <c r="E397">
        <v>632.43849999999998</v>
      </c>
      <c r="F397">
        <v>4.5270000000000001</v>
      </c>
      <c r="G397">
        <v>0</v>
      </c>
      <c r="H397" t="s">
        <v>191</v>
      </c>
      <c r="I397">
        <v>4.8000000000000001E-2</v>
      </c>
      <c r="J397">
        <f t="shared" si="196"/>
        <v>1</v>
      </c>
      <c r="K397">
        <f t="shared" si="197"/>
        <v>51</v>
      </c>
      <c r="L397" t="e">
        <f t="shared" ca="1" si="198"/>
        <v>#VALUE!</v>
      </c>
      <c r="M397" t="e">
        <f t="shared" ca="1" si="171"/>
        <v>#VALUE!</v>
      </c>
      <c r="N397" t="e">
        <f t="shared" ca="1" si="172"/>
        <v>#VALUE!</v>
      </c>
      <c r="O397" t="e">
        <f t="shared" ca="1" si="173"/>
        <v>#VALUE!</v>
      </c>
      <c r="P397" t="e">
        <f t="shared" ca="1" si="174"/>
        <v>#VALUE!</v>
      </c>
      <c r="Q397" t="e">
        <f t="shared" ca="1" si="175"/>
        <v>#VALUE!</v>
      </c>
      <c r="R397" t="e">
        <f t="shared" ca="1" si="176"/>
        <v>#VALUE!</v>
      </c>
      <c r="S397" t="e">
        <f t="shared" ca="1" si="177"/>
        <v>#VALUE!</v>
      </c>
      <c r="T397" t="e">
        <f t="shared" ca="1" si="178"/>
        <v>#VALUE!</v>
      </c>
      <c r="U397" t="e">
        <f t="shared" ca="1" si="199"/>
        <v>#VALUE!</v>
      </c>
      <c r="V397" t="e">
        <f t="shared" ca="1" si="200"/>
        <v>#VALUE!</v>
      </c>
      <c r="W397" t="e">
        <f t="shared" ca="1" si="179"/>
        <v>#VALUE!</v>
      </c>
      <c r="X397" t="e">
        <f t="shared" ca="1" si="180"/>
        <v>#VALUE!</v>
      </c>
      <c r="Y397" t="e">
        <f t="shared" ca="1" si="181"/>
        <v>#VALUE!</v>
      </c>
      <c r="Z397" t="e">
        <f t="shared" ca="1" si="182"/>
        <v>#VALUE!</v>
      </c>
      <c r="AA397" t="e">
        <f t="shared" ca="1" si="183"/>
        <v>#VALUE!</v>
      </c>
      <c r="AB397" t="e">
        <f t="shared" ca="1" si="184"/>
        <v>#VALUE!</v>
      </c>
      <c r="AC397" t="e">
        <f t="shared" ca="1" si="185"/>
        <v>#VALUE!</v>
      </c>
      <c r="AD397" t="e">
        <f t="shared" ca="1" si="186"/>
        <v>#VALUE!</v>
      </c>
      <c r="AE397" t="e">
        <f t="shared" ca="1" si="187"/>
        <v>#VALUE!</v>
      </c>
      <c r="AF397" t="e">
        <f t="shared" ca="1" si="188"/>
        <v>#VALUE!</v>
      </c>
      <c r="AG397" t="e">
        <f t="shared" ca="1" si="189"/>
        <v>#VALUE!</v>
      </c>
      <c r="AH397" t="e">
        <f ca="1">IF(V32="Supercritical",L397,IF(V32="Subcritical",W397,IF(AND(V397=1,AG397=1),IF(T397&gt;=AE397,L397,W397),IF(V397=1,L397,IF(AG397=1,W397,MAX($D$16,POWER((ABS(K397)^2)/($I$5*MAX(F397,0.1)^2),1/3)))))))</f>
        <v>#VALUE!</v>
      </c>
      <c r="AI397" t="e">
        <f t="shared" ca="1" si="190"/>
        <v>#VALUE!</v>
      </c>
      <c r="AJ397" t="e">
        <f t="shared" ca="1" si="191"/>
        <v>#VALUE!</v>
      </c>
      <c r="AM397">
        <v>0</v>
      </c>
      <c r="AN397">
        <v>0</v>
      </c>
      <c r="AO397">
        <f t="shared" si="192"/>
        <v>0</v>
      </c>
      <c r="AP397">
        <f t="shared" si="201"/>
        <v>0</v>
      </c>
      <c r="AQ397" t="e">
        <f t="shared" ca="1" si="193"/>
        <v>#VALUE!</v>
      </c>
      <c r="AR397" t="e">
        <f t="shared" ca="1" si="194"/>
        <v>#VALUE!</v>
      </c>
      <c r="AS397" t="e">
        <f t="shared" ca="1" si="195"/>
        <v>#VALUE!</v>
      </c>
    </row>
    <row r="398" spans="1:45" x14ac:dyDescent="0.35">
      <c r="A398">
        <v>249</v>
      </c>
      <c r="B398">
        <v>247.92699999999999</v>
      </c>
      <c r="C398">
        <v>616336.73199999996</v>
      </c>
      <c r="D398">
        <v>3097686.5869999998</v>
      </c>
      <c r="E398">
        <v>632.43799999999999</v>
      </c>
      <c r="F398">
        <v>4.5270000000000001</v>
      </c>
      <c r="G398">
        <v>0</v>
      </c>
      <c r="H398" t="s">
        <v>191</v>
      </c>
      <c r="I398">
        <v>3.1E-2</v>
      </c>
      <c r="J398">
        <f t="shared" si="196"/>
        <v>1</v>
      </c>
      <c r="K398">
        <f t="shared" si="197"/>
        <v>51</v>
      </c>
      <c r="L398" t="e">
        <f t="shared" ca="1" si="198"/>
        <v>#VALUE!</v>
      </c>
      <c r="M398" t="e">
        <f t="shared" ca="1" si="171"/>
        <v>#VALUE!</v>
      </c>
      <c r="N398" t="e">
        <f t="shared" ca="1" si="172"/>
        <v>#VALUE!</v>
      </c>
      <c r="O398" t="e">
        <f t="shared" ca="1" si="173"/>
        <v>#VALUE!</v>
      </c>
      <c r="P398" t="e">
        <f t="shared" ca="1" si="174"/>
        <v>#VALUE!</v>
      </c>
      <c r="Q398" t="e">
        <f t="shared" ca="1" si="175"/>
        <v>#VALUE!</v>
      </c>
      <c r="R398" t="e">
        <f t="shared" ca="1" si="176"/>
        <v>#VALUE!</v>
      </c>
      <c r="S398" t="e">
        <f t="shared" ca="1" si="177"/>
        <v>#VALUE!</v>
      </c>
      <c r="T398" t="e">
        <f t="shared" ca="1" si="178"/>
        <v>#VALUE!</v>
      </c>
      <c r="U398" t="e">
        <f t="shared" ca="1" si="199"/>
        <v>#VALUE!</v>
      </c>
      <c r="V398" t="e">
        <f t="shared" ca="1" si="200"/>
        <v>#VALUE!</v>
      </c>
      <c r="W398" t="e">
        <f t="shared" ca="1" si="179"/>
        <v>#VALUE!</v>
      </c>
      <c r="X398" t="e">
        <f t="shared" ca="1" si="180"/>
        <v>#VALUE!</v>
      </c>
      <c r="Y398" t="e">
        <f t="shared" ca="1" si="181"/>
        <v>#VALUE!</v>
      </c>
      <c r="Z398" t="e">
        <f t="shared" ca="1" si="182"/>
        <v>#VALUE!</v>
      </c>
      <c r="AA398" t="e">
        <f t="shared" ca="1" si="183"/>
        <v>#VALUE!</v>
      </c>
      <c r="AB398" t="e">
        <f t="shared" ca="1" si="184"/>
        <v>#VALUE!</v>
      </c>
      <c r="AC398" t="e">
        <f t="shared" ca="1" si="185"/>
        <v>#VALUE!</v>
      </c>
      <c r="AD398" t="e">
        <f t="shared" ca="1" si="186"/>
        <v>#VALUE!</v>
      </c>
      <c r="AE398" t="e">
        <f t="shared" ca="1" si="187"/>
        <v>#VALUE!</v>
      </c>
      <c r="AF398" t="e">
        <f t="shared" ca="1" si="188"/>
        <v>#VALUE!</v>
      </c>
      <c r="AG398" t="e">
        <f t="shared" ca="1" si="189"/>
        <v>#VALUE!</v>
      </c>
      <c r="AH398" t="e">
        <f ca="1">IF(V32="Supercritical",L398,IF(V32="Subcritical",W398,IF(AND(V398=1,AG398=1),IF(T398&gt;=AE398,L398,W398),IF(V398=1,L398,IF(AG398=1,W398,MAX($D$16,POWER((ABS(K398)^2)/($I$5*MAX(F398,0.1)^2),1/3)))))))</f>
        <v>#VALUE!</v>
      </c>
      <c r="AI398" t="e">
        <f t="shared" ca="1" si="190"/>
        <v>#VALUE!</v>
      </c>
      <c r="AJ398" t="e">
        <f t="shared" ca="1" si="191"/>
        <v>#VALUE!</v>
      </c>
      <c r="AM398">
        <v>0</v>
      </c>
      <c r="AN398">
        <v>0</v>
      </c>
      <c r="AO398">
        <f t="shared" si="192"/>
        <v>0</v>
      </c>
      <c r="AP398">
        <f t="shared" si="201"/>
        <v>0</v>
      </c>
      <c r="AQ398" t="e">
        <f t="shared" ca="1" si="193"/>
        <v>#VALUE!</v>
      </c>
      <c r="AR398" t="e">
        <f t="shared" ca="1" si="194"/>
        <v>#VALUE!</v>
      </c>
      <c r="AS398" t="e">
        <f t="shared" ca="1" si="195"/>
        <v>#VALUE!</v>
      </c>
    </row>
    <row r="399" spans="1:45" x14ac:dyDescent="0.35">
      <c r="A399">
        <v>250</v>
      </c>
      <c r="B399">
        <v>248.928</v>
      </c>
      <c r="C399">
        <v>616335.88500000001</v>
      </c>
      <c r="D399">
        <v>3097686.054</v>
      </c>
      <c r="E399">
        <v>632.4375</v>
      </c>
      <c r="F399">
        <v>4.5270000000000001</v>
      </c>
      <c r="G399">
        <v>0</v>
      </c>
      <c r="H399" t="s">
        <v>191</v>
      </c>
      <c r="I399">
        <v>3.1E-2</v>
      </c>
      <c r="J399">
        <f t="shared" si="196"/>
        <v>1.0010000000000048</v>
      </c>
      <c r="K399">
        <f t="shared" si="197"/>
        <v>51</v>
      </c>
      <c r="L399" t="e">
        <f t="shared" ca="1" si="198"/>
        <v>#VALUE!</v>
      </c>
      <c r="M399" t="e">
        <f t="shared" ca="1" si="171"/>
        <v>#VALUE!</v>
      </c>
      <c r="N399" t="e">
        <f t="shared" ca="1" si="172"/>
        <v>#VALUE!</v>
      </c>
      <c r="O399" t="e">
        <f t="shared" ca="1" si="173"/>
        <v>#VALUE!</v>
      </c>
      <c r="P399" t="e">
        <f t="shared" ca="1" si="174"/>
        <v>#VALUE!</v>
      </c>
      <c r="Q399" t="e">
        <f t="shared" ca="1" si="175"/>
        <v>#VALUE!</v>
      </c>
      <c r="R399" t="e">
        <f t="shared" ca="1" si="176"/>
        <v>#VALUE!</v>
      </c>
      <c r="S399" t="e">
        <f t="shared" ca="1" si="177"/>
        <v>#VALUE!</v>
      </c>
      <c r="T399" t="e">
        <f t="shared" ca="1" si="178"/>
        <v>#VALUE!</v>
      </c>
      <c r="U399" t="e">
        <f t="shared" ca="1" si="199"/>
        <v>#VALUE!</v>
      </c>
      <c r="V399" t="e">
        <f t="shared" ca="1" si="200"/>
        <v>#VALUE!</v>
      </c>
      <c r="W399" t="e">
        <f t="shared" ca="1" si="179"/>
        <v>#VALUE!</v>
      </c>
      <c r="X399" t="e">
        <f t="shared" ca="1" si="180"/>
        <v>#VALUE!</v>
      </c>
      <c r="Y399" t="e">
        <f t="shared" ca="1" si="181"/>
        <v>#VALUE!</v>
      </c>
      <c r="Z399" t="e">
        <f t="shared" ca="1" si="182"/>
        <v>#VALUE!</v>
      </c>
      <c r="AA399" t="e">
        <f t="shared" ca="1" si="183"/>
        <v>#VALUE!</v>
      </c>
      <c r="AB399" t="e">
        <f t="shared" ca="1" si="184"/>
        <v>#VALUE!</v>
      </c>
      <c r="AC399" t="e">
        <f t="shared" ca="1" si="185"/>
        <v>#VALUE!</v>
      </c>
      <c r="AD399" t="e">
        <f t="shared" ca="1" si="186"/>
        <v>#VALUE!</v>
      </c>
      <c r="AE399" t="e">
        <f t="shared" ca="1" si="187"/>
        <v>#VALUE!</v>
      </c>
      <c r="AF399" t="e">
        <f t="shared" ca="1" si="188"/>
        <v>#VALUE!</v>
      </c>
      <c r="AG399" t="e">
        <f t="shared" ca="1" si="189"/>
        <v>#VALUE!</v>
      </c>
      <c r="AH399" t="e">
        <f ca="1">IF(V32="Supercritical",L399,IF(V32="Subcritical",W399,IF(AND(V399=1,AG399=1),IF(T399&gt;=AE399,L399,W399),IF(V399=1,L399,IF(AG399=1,W399,MAX($D$16,POWER((ABS(K399)^2)/($I$5*MAX(F399,0.1)^2),1/3)))))))</f>
        <v>#VALUE!</v>
      </c>
      <c r="AI399" t="e">
        <f t="shared" ca="1" si="190"/>
        <v>#VALUE!</v>
      </c>
      <c r="AJ399" t="e">
        <f t="shared" ca="1" si="191"/>
        <v>#VALUE!</v>
      </c>
      <c r="AM399">
        <v>0</v>
      </c>
      <c r="AN399">
        <v>0</v>
      </c>
      <c r="AO399">
        <f t="shared" si="192"/>
        <v>0</v>
      </c>
      <c r="AP399">
        <f t="shared" si="201"/>
        <v>0</v>
      </c>
      <c r="AQ399" t="e">
        <f t="shared" ca="1" si="193"/>
        <v>#VALUE!</v>
      </c>
      <c r="AR399" t="e">
        <f t="shared" ca="1" si="194"/>
        <v>#VALUE!</v>
      </c>
      <c r="AS399" t="e">
        <f t="shared" ca="1" si="195"/>
        <v>#VALUE!</v>
      </c>
    </row>
    <row r="400" spans="1:45" x14ac:dyDescent="0.35">
      <c r="A400">
        <v>251</v>
      </c>
      <c r="B400">
        <v>249.928</v>
      </c>
      <c r="C400">
        <v>616335.03899999999</v>
      </c>
      <c r="D400">
        <v>3097685.5210000002</v>
      </c>
      <c r="E400">
        <v>632.43700000000001</v>
      </c>
      <c r="F400">
        <v>4.5270000000000001</v>
      </c>
      <c r="G400">
        <v>0</v>
      </c>
      <c r="H400" t="s">
        <v>191</v>
      </c>
      <c r="I400">
        <v>0</v>
      </c>
      <c r="J400">
        <f t="shared" si="196"/>
        <v>1</v>
      </c>
      <c r="K400">
        <f t="shared" si="197"/>
        <v>51</v>
      </c>
      <c r="L400" t="e">
        <f t="shared" ca="1" si="198"/>
        <v>#VALUE!</v>
      </c>
      <c r="M400" t="e">
        <f t="shared" ca="1" si="171"/>
        <v>#VALUE!</v>
      </c>
      <c r="N400" t="e">
        <f t="shared" ca="1" si="172"/>
        <v>#VALUE!</v>
      </c>
      <c r="O400" t="e">
        <f t="shared" ca="1" si="173"/>
        <v>#VALUE!</v>
      </c>
      <c r="P400" t="e">
        <f t="shared" ca="1" si="174"/>
        <v>#VALUE!</v>
      </c>
      <c r="Q400" t="e">
        <f t="shared" ca="1" si="175"/>
        <v>#VALUE!</v>
      </c>
      <c r="R400" t="e">
        <f t="shared" ca="1" si="176"/>
        <v>#VALUE!</v>
      </c>
      <c r="S400" t="e">
        <f t="shared" ca="1" si="177"/>
        <v>#VALUE!</v>
      </c>
      <c r="T400" t="e">
        <f t="shared" ca="1" si="178"/>
        <v>#VALUE!</v>
      </c>
      <c r="U400" t="e">
        <f t="shared" ca="1" si="199"/>
        <v>#VALUE!</v>
      </c>
      <c r="V400" t="e">
        <f t="shared" ca="1" si="200"/>
        <v>#VALUE!</v>
      </c>
      <c r="W400" t="e">
        <f t="shared" ca="1" si="179"/>
        <v>#VALUE!</v>
      </c>
      <c r="X400" t="e">
        <f t="shared" ca="1" si="180"/>
        <v>#VALUE!</v>
      </c>
      <c r="Y400" t="e">
        <f t="shared" ca="1" si="181"/>
        <v>#VALUE!</v>
      </c>
      <c r="Z400" t="e">
        <f t="shared" ca="1" si="182"/>
        <v>#VALUE!</v>
      </c>
      <c r="AA400" t="e">
        <f t="shared" ca="1" si="183"/>
        <v>#VALUE!</v>
      </c>
      <c r="AB400" t="e">
        <f t="shared" ca="1" si="184"/>
        <v>#VALUE!</v>
      </c>
      <c r="AC400" t="e">
        <f t="shared" ca="1" si="185"/>
        <v>#VALUE!</v>
      </c>
      <c r="AD400" t="e">
        <f t="shared" ca="1" si="186"/>
        <v>#VALUE!</v>
      </c>
      <c r="AE400" t="e">
        <f t="shared" ca="1" si="187"/>
        <v>#VALUE!</v>
      </c>
      <c r="AF400" t="e">
        <f t="shared" ca="1" si="188"/>
        <v>#VALUE!</v>
      </c>
      <c r="AG400" t="e">
        <f t="shared" ca="1" si="189"/>
        <v>#VALUE!</v>
      </c>
      <c r="AH400" t="e">
        <f ca="1">IF(V32="Supercritical",L400,IF(V32="Subcritical",W400,IF(AND(V400=1,AG400=1),IF(T400&gt;=AE400,L400,W400),IF(V400=1,L400,IF(AG400=1,W400,MAX($D$16,POWER((ABS(K400)^2)/($I$5*MAX(F400,0.1)^2),1/3)))))))</f>
        <v>#VALUE!</v>
      </c>
      <c r="AI400" t="e">
        <f t="shared" ca="1" si="190"/>
        <v>#VALUE!</v>
      </c>
      <c r="AJ400" t="e">
        <f t="shared" ca="1" si="191"/>
        <v>#VALUE!</v>
      </c>
      <c r="AM400">
        <v>0</v>
      </c>
      <c r="AN400">
        <v>0</v>
      </c>
      <c r="AO400">
        <f t="shared" si="192"/>
        <v>0</v>
      </c>
      <c r="AP400">
        <f t="shared" si="201"/>
        <v>0</v>
      </c>
      <c r="AQ400" t="e">
        <f t="shared" ca="1" si="193"/>
        <v>#VALUE!</v>
      </c>
      <c r="AR400" t="e">
        <f t="shared" ca="1" si="194"/>
        <v>#VALUE!</v>
      </c>
      <c r="AS400" t="e">
        <f t="shared" ca="1" si="195"/>
        <v>#VALUE!</v>
      </c>
    </row>
    <row r="401" spans="1:45" x14ac:dyDescent="0.35">
      <c r="A401">
        <v>252</v>
      </c>
      <c r="B401">
        <v>250.928</v>
      </c>
      <c r="C401">
        <v>616334.19299999997</v>
      </c>
      <c r="D401">
        <v>3097684.9879999999</v>
      </c>
      <c r="E401">
        <v>632.43650000000002</v>
      </c>
      <c r="F401">
        <v>4.5270000000000001</v>
      </c>
      <c r="G401">
        <v>0</v>
      </c>
      <c r="H401" t="s">
        <v>191</v>
      </c>
      <c r="I401">
        <v>0</v>
      </c>
      <c r="J401">
        <f t="shared" si="196"/>
        <v>1</v>
      </c>
      <c r="K401">
        <f t="shared" si="197"/>
        <v>51</v>
      </c>
      <c r="L401" t="e">
        <f t="shared" ca="1" si="198"/>
        <v>#VALUE!</v>
      </c>
      <c r="M401" t="e">
        <f t="shared" ca="1" si="171"/>
        <v>#VALUE!</v>
      </c>
      <c r="N401" t="e">
        <f t="shared" ca="1" si="172"/>
        <v>#VALUE!</v>
      </c>
      <c r="O401" t="e">
        <f t="shared" ca="1" si="173"/>
        <v>#VALUE!</v>
      </c>
      <c r="P401" t="e">
        <f t="shared" ca="1" si="174"/>
        <v>#VALUE!</v>
      </c>
      <c r="Q401" t="e">
        <f t="shared" ca="1" si="175"/>
        <v>#VALUE!</v>
      </c>
      <c r="R401" t="e">
        <f t="shared" ca="1" si="176"/>
        <v>#VALUE!</v>
      </c>
      <c r="S401" t="e">
        <f t="shared" ca="1" si="177"/>
        <v>#VALUE!</v>
      </c>
      <c r="T401" t="e">
        <f t="shared" ca="1" si="178"/>
        <v>#VALUE!</v>
      </c>
      <c r="U401" t="e">
        <f t="shared" ca="1" si="199"/>
        <v>#VALUE!</v>
      </c>
      <c r="V401" t="e">
        <f t="shared" ca="1" si="200"/>
        <v>#VALUE!</v>
      </c>
      <c r="W401" t="e">
        <f t="shared" ca="1" si="179"/>
        <v>#VALUE!</v>
      </c>
      <c r="X401" t="e">
        <f t="shared" ca="1" si="180"/>
        <v>#VALUE!</v>
      </c>
      <c r="Y401" t="e">
        <f t="shared" ca="1" si="181"/>
        <v>#VALUE!</v>
      </c>
      <c r="Z401" t="e">
        <f t="shared" ca="1" si="182"/>
        <v>#VALUE!</v>
      </c>
      <c r="AA401" t="e">
        <f t="shared" ca="1" si="183"/>
        <v>#VALUE!</v>
      </c>
      <c r="AB401" t="e">
        <f t="shared" ca="1" si="184"/>
        <v>#VALUE!</v>
      </c>
      <c r="AC401" t="e">
        <f t="shared" ca="1" si="185"/>
        <v>#VALUE!</v>
      </c>
      <c r="AD401" t="e">
        <f t="shared" ca="1" si="186"/>
        <v>#VALUE!</v>
      </c>
      <c r="AE401" t="e">
        <f t="shared" ca="1" si="187"/>
        <v>#VALUE!</v>
      </c>
      <c r="AF401" t="e">
        <f t="shared" ca="1" si="188"/>
        <v>#VALUE!</v>
      </c>
      <c r="AG401" t="e">
        <f t="shared" ca="1" si="189"/>
        <v>#VALUE!</v>
      </c>
      <c r="AH401" t="e">
        <f ca="1">IF(V32="Supercritical",L401,IF(V32="Subcritical",W401,IF(AND(V401=1,AG401=1),IF(T401&gt;=AE401,L401,W401),IF(V401=1,L401,IF(AG401=1,W401,MAX($D$16,POWER((ABS(K401)^2)/($I$5*MAX(F401,0.1)^2),1/3)))))))</f>
        <v>#VALUE!</v>
      </c>
      <c r="AI401" t="e">
        <f t="shared" ca="1" si="190"/>
        <v>#VALUE!</v>
      </c>
      <c r="AJ401" t="e">
        <f t="shared" ca="1" si="191"/>
        <v>#VALUE!</v>
      </c>
      <c r="AM401">
        <v>0</v>
      </c>
      <c r="AN401">
        <v>0</v>
      </c>
      <c r="AO401">
        <f t="shared" si="192"/>
        <v>0</v>
      </c>
      <c r="AP401">
        <f t="shared" si="201"/>
        <v>0</v>
      </c>
      <c r="AQ401" t="e">
        <f t="shared" ca="1" si="193"/>
        <v>#VALUE!</v>
      </c>
      <c r="AR401" t="e">
        <f t="shared" ca="1" si="194"/>
        <v>#VALUE!</v>
      </c>
      <c r="AS401" t="e">
        <f t="shared" ca="1" si="195"/>
        <v>#VALUE!</v>
      </c>
    </row>
    <row r="402" spans="1:45" x14ac:dyDescent="0.35">
      <c r="A402">
        <v>253</v>
      </c>
      <c r="B402">
        <v>251.928</v>
      </c>
      <c r="C402">
        <v>616333.34699999995</v>
      </c>
      <c r="D402">
        <v>3097684.4550000001</v>
      </c>
      <c r="E402">
        <v>632.43600000000004</v>
      </c>
      <c r="F402">
        <v>4.5270000000000001</v>
      </c>
      <c r="G402">
        <v>0</v>
      </c>
      <c r="H402" t="s">
        <v>191</v>
      </c>
      <c r="I402">
        <v>0</v>
      </c>
      <c r="J402">
        <f t="shared" si="196"/>
        <v>1</v>
      </c>
      <c r="K402">
        <f t="shared" si="197"/>
        <v>51</v>
      </c>
      <c r="L402" t="e">
        <f t="shared" ca="1" si="198"/>
        <v>#VALUE!</v>
      </c>
      <c r="M402" t="e">
        <f t="shared" ca="1" si="171"/>
        <v>#VALUE!</v>
      </c>
      <c r="N402" t="e">
        <f t="shared" ca="1" si="172"/>
        <v>#VALUE!</v>
      </c>
      <c r="O402" t="e">
        <f t="shared" ca="1" si="173"/>
        <v>#VALUE!</v>
      </c>
      <c r="P402" t="e">
        <f t="shared" ca="1" si="174"/>
        <v>#VALUE!</v>
      </c>
      <c r="Q402" t="e">
        <f t="shared" ca="1" si="175"/>
        <v>#VALUE!</v>
      </c>
      <c r="R402" t="e">
        <f t="shared" ca="1" si="176"/>
        <v>#VALUE!</v>
      </c>
      <c r="S402" t="e">
        <f t="shared" ca="1" si="177"/>
        <v>#VALUE!</v>
      </c>
      <c r="T402" t="e">
        <f t="shared" ca="1" si="178"/>
        <v>#VALUE!</v>
      </c>
      <c r="U402" t="e">
        <f t="shared" ca="1" si="199"/>
        <v>#VALUE!</v>
      </c>
      <c r="V402" t="e">
        <f t="shared" ca="1" si="200"/>
        <v>#VALUE!</v>
      </c>
      <c r="W402" t="e">
        <f t="shared" ca="1" si="179"/>
        <v>#VALUE!</v>
      </c>
      <c r="X402" t="e">
        <f t="shared" ca="1" si="180"/>
        <v>#VALUE!</v>
      </c>
      <c r="Y402" t="e">
        <f t="shared" ca="1" si="181"/>
        <v>#VALUE!</v>
      </c>
      <c r="Z402" t="e">
        <f t="shared" ca="1" si="182"/>
        <v>#VALUE!</v>
      </c>
      <c r="AA402" t="e">
        <f t="shared" ca="1" si="183"/>
        <v>#VALUE!</v>
      </c>
      <c r="AB402" t="e">
        <f t="shared" ca="1" si="184"/>
        <v>#VALUE!</v>
      </c>
      <c r="AC402" t="e">
        <f t="shared" ca="1" si="185"/>
        <v>#VALUE!</v>
      </c>
      <c r="AD402" t="e">
        <f t="shared" ca="1" si="186"/>
        <v>#VALUE!</v>
      </c>
      <c r="AE402" t="e">
        <f t="shared" ca="1" si="187"/>
        <v>#VALUE!</v>
      </c>
      <c r="AF402" t="e">
        <f t="shared" ca="1" si="188"/>
        <v>#VALUE!</v>
      </c>
      <c r="AG402" t="e">
        <f t="shared" ca="1" si="189"/>
        <v>#VALUE!</v>
      </c>
      <c r="AH402" t="e">
        <f ca="1">IF(V32="Supercritical",L402,IF(V32="Subcritical",W402,IF(AND(V402=1,AG402=1),IF(T402&gt;=AE402,L402,W402),IF(V402=1,L402,IF(AG402=1,W402,MAX($D$16,POWER((ABS(K402)^2)/($I$5*MAX(F402,0.1)^2),1/3)))))))</f>
        <v>#VALUE!</v>
      </c>
      <c r="AI402" t="e">
        <f t="shared" ca="1" si="190"/>
        <v>#VALUE!</v>
      </c>
      <c r="AJ402" t="e">
        <f t="shared" ca="1" si="191"/>
        <v>#VALUE!</v>
      </c>
      <c r="AM402">
        <v>0</v>
      </c>
      <c r="AN402">
        <v>0</v>
      </c>
      <c r="AO402">
        <f t="shared" si="192"/>
        <v>0</v>
      </c>
      <c r="AP402">
        <f t="shared" si="201"/>
        <v>0</v>
      </c>
      <c r="AQ402" t="e">
        <f t="shared" ca="1" si="193"/>
        <v>#VALUE!</v>
      </c>
      <c r="AR402" t="e">
        <f t="shared" ca="1" si="194"/>
        <v>#VALUE!</v>
      </c>
      <c r="AS402" t="e">
        <f t="shared" ca="1" si="195"/>
        <v>#VALUE!</v>
      </c>
    </row>
    <row r="403" spans="1:45" x14ac:dyDescent="0.35">
      <c r="A403">
        <v>254</v>
      </c>
      <c r="B403">
        <v>252.928</v>
      </c>
      <c r="C403">
        <v>616332.50100000005</v>
      </c>
      <c r="D403">
        <v>3097683.9219999998</v>
      </c>
      <c r="E403">
        <v>632.43550000000005</v>
      </c>
      <c r="F403">
        <v>4.5270000000000001</v>
      </c>
      <c r="G403">
        <v>0</v>
      </c>
      <c r="H403" t="s">
        <v>191</v>
      </c>
      <c r="I403">
        <v>0</v>
      </c>
      <c r="J403">
        <f t="shared" si="196"/>
        <v>1</v>
      </c>
      <c r="K403">
        <f t="shared" si="197"/>
        <v>51</v>
      </c>
      <c r="L403" t="e">
        <f t="shared" ca="1" si="198"/>
        <v>#VALUE!</v>
      </c>
      <c r="M403" t="e">
        <f t="shared" ca="1" si="171"/>
        <v>#VALUE!</v>
      </c>
      <c r="N403" t="e">
        <f t="shared" ca="1" si="172"/>
        <v>#VALUE!</v>
      </c>
      <c r="O403" t="e">
        <f t="shared" ca="1" si="173"/>
        <v>#VALUE!</v>
      </c>
      <c r="P403" t="e">
        <f t="shared" ca="1" si="174"/>
        <v>#VALUE!</v>
      </c>
      <c r="Q403" t="e">
        <f t="shared" ca="1" si="175"/>
        <v>#VALUE!</v>
      </c>
      <c r="R403" t="e">
        <f t="shared" ca="1" si="176"/>
        <v>#VALUE!</v>
      </c>
      <c r="S403" t="e">
        <f t="shared" ca="1" si="177"/>
        <v>#VALUE!</v>
      </c>
      <c r="T403" t="e">
        <f t="shared" ca="1" si="178"/>
        <v>#VALUE!</v>
      </c>
      <c r="U403" t="e">
        <f t="shared" ca="1" si="199"/>
        <v>#VALUE!</v>
      </c>
      <c r="V403" t="e">
        <f t="shared" ca="1" si="200"/>
        <v>#VALUE!</v>
      </c>
      <c r="W403" t="e">
        <f t="shared" ca="1" si="179"/>
        <v>#VALUE!</v>
      </c>
      <c r="X403" t="e">
        <f t="shared" ca="1" si="180"/>
        <v>#VALUE!</v>
      </c>
      <c r="Y403" t="e">
        <f t="shared" ca="1" si="181"/>
        <v>#VALUE!</v>
      </c>
      <c r="Z403" t="e">
        <f t="shared" ca="1" si="182"/>
        <v>#VALUE!</v>
      </c>
      <c r="AA403" t="e">
        <f t="shared" ca="1" si="183"/>
        <v>#VALUE!</v>
      </c>
      <c r="AB403" t="e">
        <f t="shared" ca="1" si="184"/>
        <v>#VALUE!</v>
      </c>
      <c r="AC403" t="e">
        <f t="shared" ca="1" si="185"/>
        <v>#VALUE!</v>
      </c>
      <c r="AD403" t="e">
        <f t="shared" ca="1" si="186"/>
        <v>#VALUE!</v>
      </c>
      <c r="AE403" t="e">
        <f t="shared" ca="1" si="187"/>
        <v>#VALUE!</v>
      </c>
      <c r="AF403" t="e">
        <f t="shared" ca="1" si="188"/>
        <v>#VALUE!</v>
      </c>
      <c r="AG403" t="e">
        <f t="shared" ca="1" si="189"/>
        <v>#VALUE!</v>
      </c>
      <c r="AH403" t="e">
        <f ca="1">IF(V32="Supercritical",L403,IF(V32="Subcritical",W403,IF(AND(V403=1,AG403=1),IF(T403&gt;=AE403,L403,W403),IF(V403=1,L403,IF(AG403=1,W403,MAX($D$16,POWER((ABS(K403)^2)/($I$5*MAX(F403,0.1)^2),1/3)))))))</f>
        <v>#VALUE!</v>
      </c>
      <c r="AI403" t="e">
        <f t="shared" ca="1" si="190"/>
        <v>#VALUE!</v>
      </c>
      <c r="AJ403" t="e">
        <f t="shared" ca="1" si="191"/>
        <v>#VALUE!</v>
      </c>
      <c r="AM403">
        <v>0</v>
      </c>
      <c r="AN403">
        <v>0</v>
      </c>
      <c r="AO403">
        <f t="shared" si="192"/>
        <v>0</v>
      </c>
      <c r="AP403">
        <f t="shared" si="201"/>
        <v>0</v>
      </c>
      <c r="AQ403" t="e">
        <f t="shared" ca="1" si="193"/>
        <v>#VALUE!</v>
      </c>
      <c r="AR403" t="e">
        <f t="shared" ca="1" si="194"/>
        <v>#VALUE!</v>
      </c>
      <c r="AS403" t="e">
        <f t="shared" ca="1" si="195"/>
        <v>#VALUE!</v>
      </c>
    </row>
    <row r="404" spans="1:45" x14ac:dyDescent="0.35">
      <c r="A404">
        <v>255</v>
      </c>
      <c r="B404">
        <v>253.928</v>
      </c>
      <c r="C404">
        <v>616331.65500000003</v>
      </c>
      <c r="D404">
        <v>3097683.389</v>
      </c>
      <c r="E404">
        <v>632.43499999999995</v>
      </c>
      <c r="F404">
        <v>4.5270000000000001</v>
      </c>
      <c r="G404">
        <v>0</v>
      </c>
      <c r="H404" t="s">
        <v>191</v>
      </c>
      <c r="I404">
        <v>0</v>
      </c>
      <c r="J404">
        <f t="shared" si="196"/>
        <v>1</v>
      </c>
      <c r="K404">
        <f t="shared" si="197"/>
        <v>51</v>
      </c>
      <c r="L404" t="e">
        <f t="shared" ca="1" si="198"/>
        <v>#VALUE!</v>
      </c>
      <c r="M404" t="e">
        <f t="shared" ca="1" si="171"/>
        <v>#VALUE!</v>
      </c>
      <c r="N404" t="e">
        <f t="shared" ca="1" si="172"/>
        <v>#VALUE!</v>
      </c>
      <c r="O404" t="e">
        <f t="shared" ca="1" si="173"/>
        <v>#VALUE!</v>
      </c>
      <c r="P404" t="e">
        <f t="shared" ca="1" si="174"/>
        <v>#VALUE!</v>
      </c>
      <c r="Q404" t="e">
        <f t="shared" ca="1" si="175"/>
        <v>#VALUE!</v>
      </c>
      <c r="R404" t="e">
        <f t="shared" ca="1" si="176"/>
        <v>#VALUE!</v>
      </c>
      <c r="S404" t="e">
        <f t="shared" ca="1" si="177"/>
        <v>#VALUE!</v>
      </c>
      <c r="T404" t="e">
        <f t="shared" ca="1" si="178"/>
        <v>#VALUE!</v>
      </c>
      <c r="U404" t="e">
        <f t="shared" ca="1" si="199"/>
        <v>#VALUE!</v>
      </c>
      <c r="V404" t="e">
        <f t="shared" ca="1" si="200"/>
        <v>#VALUE!</v>
      </c>
      <c r="W404" t="e">
        <f t="shared" ca="1" si="179"/>
        <v>#VALUE!</v>
      </c>
      <c r="X404" t="e">
        <f t="shared" ca="1" si="180"/>
        <v>#VALUE!</v>
      </c>
      <c r="Y404" t="e">
        <f t="shared" ca="1" si="181"/>
        <v>#VALUE!</v>
      </c>
      <c r="Z404" t="e">
        <f t="shared" ca="1" si="182"/>
        <v>#VALUE!</v>
      </c>
      <c r="AA404" t="e">
        <f t="shared" ca="1" si="183"/>
        <v>#VALUE!</v>
      </c>
      <c r="AB404" t="e">
        <f t="shared" ca="1" si="184"/>
        <v>#VALUE!</v>
      </c>
      <c r="AC404" t="e">
        <f t="shared" ca="1" si="185"/>
        <v>#VALUE!</v>
      </c>
      <c r="AD404" t="e">
        <f t="shared" ca="1" si="186"/>
        <v>#VALUE!</v>
      </c>
      <c r="AE404" t="e">
        <f t="shared" ca="1" si="187"/>
        <v>#VALUE!</v>
      </c>
      <c r="AF404" t="e">
        <f t="shared" ca="1" si="188"/>
        <v>#VALUE!</v>
      </c>
      <c r="AG404" t="e">
        <f t="shared" ca="1" si="189"/>
        <v>#VALUE!</v>
      </c>
      <c r="AH404" t="e">
        <f ca="1">IF(V32="Supercritical",L404,IF(V32="Subcritical",W404,IF(AND(V404=1,AG404=1),IF(T404&gt;=AE404,L404,W404),IF(V404=1,L404,IF(AG404=1,W404,MAX($D$16,POWER((ABS(K404)^2)/($I$5*MAX(F404,0.1)^2),1/3)))))))</f>
        <v>#VALUE!</v>
      </c>
      <c r="AI404" t="e">
        <f t="shared" ca="1" si="190"/>
        <v>#VALUE!</v>
      </c>
      <c r="AJ404" t="e">
        <f t="shared" ca="1" si="191"/>
        <v>#VALUE!</v>
      </c>
      <c r="AM404">
        <v>0</v>
      </c>
      <c r="AN404">
        <v>0</v>
      </c>
      <c r="AO404">
        <f t="shared" si="192"/>
        <v>0</v>
      </c>
      <c r="AP404">
        <f t="shared" si="201"/>
        <v>0</v>
      </c>
      <c r="AQ404" t="e">
        <f t="shared" ca="1" si="193"/>
        <v>#VALUE!</v>
      </c>
      <c r="AR404" t="e">
        <f t="shared" ca="1" si="194"/>
        <v>#VALUE!</v>
      </c>
      <c r="AS404" t="e">
        <f t="shared" ca="1" si="195"/>
        <v>#VALUE!</v>
      </c>
    </row>
    <row r="405" spans="1:45" x14ac:dyDescent="0.35">
      <c r="A405">
        <v>256</v>
      </c>
      <c r="B405">
        <v>254.928</v>
      </c>
      <c r="C405">
        <v>616330.80900000001</v>
      </c>
      <c r="D405">
        <v>3097682.8560000001</v>
      </c>
      <c r="E405">
        <v>632.43449999999996</v>
      </c>
      <c r="F405">
        <v>4.5270000000000001</v>
      </c>
      <c r="G405">
        <v>0</v>
      </c>
      <c r="H405" t="s">
        <v>191</v>
      </c>
      <c r="I405">
        <v>0</v>
      </c>
      <c r="J405">
        <f t="shared" si="196"/>
        <v>1</v>
      </c>
      <c r="K405">
        <f t="shared" si="197"/>
        <v>51</v>
      </c>
      <c r="L405" t="e">
        <f t="shared" ca="1" si="198"/>
        <v>#VALUE!</v>
      </c>
      <c r="M405" t="e">
        <f t="shared" ca="1" si="171"/>
        <v>#VALUE!</v>
      </c>
      <c r="N405" t="e">
        <f t="shared" ca="1" si="172"/>
        <v>#VALUE!</v>
      </c>
      <c r="O405" t="e">
        <f t="shared" ca="1" si="173"/>
        <v>#VALUE!</v>
      </c>
      <c r="P405" t="e">
        <f t="shared" ca="1" si="174"/>
        <v>#VALUE!</v>
      </c>
      <c r="Q405" t="e">
        <f t="shared" ca="1" si="175"/>
        <v>#VALUE!</v>
      </c>
      <c r="R405" t="e">
        <f t="shared" ca="1" si="176"/>
        <v>#VALUE!</v>
      </c>
      <c r="S405" t="e">
        <f t="shared" ca="1" si="177"/>
        <v>#VALUE!</v>
      </c>
      <c r="T405" t="e">
        <f t="shared" ca="1" si="178"/>
        <v>#VALUE!</v>
      </c>
      <c r="U405" t="e">
        <f t="shared" ca="1" si="199"/>
        <v>#VALUE!</v>
      </c>
      <c r="V405" t="e">
        <f t="shared" ca="1" si="200"/>
        <v>#VALUE!</v>
      </c>
      <c r="W405" t="e">
        <f t="shared" ca="1" si="179"/>
        <v>#VALUE!</v>
      </c>
      <c r="X405" t="e">
        <f t="shared" ca="1" si="180"/>
        <v>#VALUE!</v>
      </c>
      <c r="Y405" t="e">
        <f t="shared" ca="1" si="181"/>
        <v>#VALUE!</v>
      </c>
      <c r="Z405" t="e">
        <f t="shared" ca="1" si="182"/>
        <v>#VALUE!</v>
      </c>
      <c r="AA405" t="e">
        <f t="shared" ca="1" si="183"/>
        <v>#VALUE!</v>
      </c>
      <c r="AB405" t="e">
        <f t="shared" ca="1" si="184"/>
        <v>#VALUE!</v>
      </c>
      <c r="AC405" t="e">
        <f t="shared" ca="1" si="185"/>
        <v>#VALUE!</v>
      </c>
      <c r="AD405" t="e">
        <f t="shared" ca="1" si="186"/>
        <v>#VALUE!</v>
      </c>
      <c r="AE405" t="e">
        <f t="shared" ca="1" si="187"/>
        <v>#VALUE!</v>
      </c>
      <c r="AF405" t="e">
        <f t="shared" ca="1" si="188"/>
        <v>#VALUE!</v>
      </c>
      <c r="AG405" t="e">
        <f t="shared" ca="1" si="189"/>
        <v>#VALUE!</v>
      </c>
      <c r="AH405" t="e">
        <f ca="1">IF(V32="Supercritical",L405,IF(V32="Subcritical",W405,IF(AND(V405=1,AG405=1),IF(T405&gt;=AE405,L405,W405),IF(V405=1,L405,IF(AG405=1,W405,MAX($D$16,POWER((ABS(K405)^2)/($I$5*MAX(F405,0.1)^2),1/3)))))))</f>
        <v>#VALUE!</v>
      </c>
      <c r="AI405" t="e">
        <f t="shared" ca="1" si="190"/>
        <v>#VALUE!</v>
      </c>
      <c r="AJ405" t="e">
        <f t="shared" ca="1" si="191"/>
        <v>#VALUE!</v>
      </c>
      <c r="AM405">
        <v>0</v>
      </c>
      <c r="AN405">
        <v>0</v>
      </c>
      <c r="AO405">
        <f t="shared" si="192"/>
        <v>0</v>
      </c>
      <c r="AP405">
        <f t="shared" si="201"/>
        <v>0</v>
      </c>
      <c r="AQ405" t="e">
        <f t="shared" ca="1" si="193"/>
        <v>#VALUE!</v>
      </c>
      <c r="AR405" t="e">
        <f t="shared" ca="1" si="194"/>
        <v>#VALUE!</v>
      </c>
      <c r="AS405" t="e">
        <f t="shared" ca="1" si="195"/>
        <v>#VALUE!</v>
      </c>
    </row>
    <row r="406" spans="1:45" x14ac:dyDescent="0.35">
      <c r="A406">
        <v>257</v>
      </c>
      <c r="B406">
        <v>255.92699999999999</v>
      </c>
      <c r="C406">
        <v>616329.96299999999</v>
      </c>
      <c r="D406">
        <v>3097682.3229999999</v>
      </c>
      <c r="E406">
        <v>632.43399999999997</v>
      </c>
      <c r="F406">
        <v>4.5270000000000001</v>
      </c>
      <c r="G406">
        <v>0</v>
      </c>
      <c r="H406" t="s">
        <v>191</v>
      </c>
      <c r="I406">
        <v>0</v>
      </c>
      <c r="J406">
        <f t="shared" si="196"/>
        <v>0.99899999999999523</v>
      </c>
      <c r="K406">
        <f t="shared" si="197"/>
        <v>51</v>
      </c>
      <c r="L406" t="e">
        <f t="shared" ca="1" si="198"/>
        <v>#VALUE!</v>
      </c>
      <c r="M406" t="e">
        <f t="shared" ref="M406:M469" ca="1" si="202">((F406)+(G406)*(L406))*(L406)</f>
        <v>#VALUE!</v>
      </c>
      <c r="N406" t="e">
        <f t="shared" ref="N406:N469" ca="1" si="203">(((F406)+(G406)*(L406))*(L406))/MAX((F406)+2*(L406)*SQRT(1+(G406)^2),0.000001)</f>
        <v>#VALUE!</v>
      </c>
      <c r="O406" t="e">
        <f t="shared" ref="O406:O469" ca="1" si="204">ABS(K406)/MAX(((F406)+(G406)*(L406))*(L406),0.000001)</f>
        <v>#VALUE!</v>
      </c>
      <c r="P406" t="e">
        <f t="shared" ref="P406:P469" ca="1" si="205">E406+L406</f>
        <v>#VALUE!</v>
      </c>
      <c r="Q406" t="e">
        <f t="shared" ref="Q406:Q469" ca="1" si="206">P406+((ABS(K406)/MAX(((F406)+(G406)*(L406))*(L406),0.000001))^2)/(2*$I$5)</f>
        <v>#VALUE!</v>
      </c>
      <c r="R406" t="e">
        <f t="shared" ref="R406:R469" ca="1" si="207">((ABS(K406)*$D$6)/(MAX(((F406)+(G406)*(L406))*(L406),0.000001)*MAX(((((F406)+(G406)*(L406))*(L406))/MAX((F406)+2*(L406)*SQRT(1+(G406)^2),0.000001))^(2/3),0.000001)))^2</f>
        <v>#VALUE!</v>
      </c>
      <c r="S406" t="e">
        <f t="shared" ref="S406:S469" ca="1" si="208">ABS(ABS(K406)/MAX(((F406)+(G406)*(L406))*(L406),0.000001))/SQRT($I$5*MAX((((F406)+(G406)*(L406))*(L406))/MAX((F406)+2*(G406)*(L406),0.000001),0.000001))</f>
        <v>#VALUE!</v>
      </c>
      <c r="T406" t="e">
        <f t="shared" ref="T406:T469" ca="1" si="209">((F406)*(L406)^2)/2+(G406)*(L406)^3/3+(ABS(K406)^2)/($I$5*MAX(((F406)+(G406)*(L406))*(L406),0.000001))</f>
        <v>#VALUE!</v>
      </c>
      <c r="U406" t="e">
        <f t="shared" ca="1" si="199"/>
        <v>#VALUE!</v>
      </c>
      <c r="V406" t="e">
        <f t="shared" ca="1" si="200"/>
        <v>#VALUE!</v>
      </c>
      <c r="W406" t="e">
        <f t="shared" ref="W406:W469" ca="1" si="210">IF($D$20=0,W407,IF(AG407=0,W407,IF(W406=0,W407,IF(ABS(AF406)&gt;$D$19,MAX($D$16,W406+((AF406)*$D$18*IF((AD406)&lt;1,1,-1))),W406))))</f>
        <v>#VALUE!</v>
      </c>
      <c r="X406" t="e">
        <f t="shared" ref="X406:X469" ca="1" si="211">((F406)+(G406)*(W406))*(W406)</f>
        <v>#VALUE!</v>
      </c>
      <c r="Y406" t="e">
        <f t="shared" ref="Y406:Y469" ca="1" si="212">(((F406)+(G406)*(W406))*(W406))/MAX((F406)+2*(W406)*SQRT(1+(G406)^2),0.000001)</f>
        <v>#VALUE!</v>
      </c>
      <c r="Z406" t="e">
        <f t="shared" ref="Z406:Z469" ca="1" si="213">ABS(K406)/MAX(((F406)+(G406)*(W406))*(W406),0.000001)</f>
        <v>#VALUE!</v>
      </c>
      <c r="AA406" t="e">
        <f t="shared" ref="AA406:AA469" ca="1" si="214">E406+W406</f>
        <v>#VALUE!</v>
      </c>
      <c r="AB406" t="e">
        <f t="shared" ref="AB406:AB469" ca="1" si="215">AA406+((ABS(K406)/MAX(((F406)+(G406)*(W406))*(W406),0.000001))^2)/(2*$I$5)</f>
        <v>#VALUE!</v>
      </c>
      <c r="AC406" t="e">
        <f t="shared" ref="AC406:AC469" ca="1" si="216">((ABS(K406)*$D$6)/(MAX(((F406)+(G406)*(W406))*(W406),0.000001)*MAX(((((F406)+(G406)*(W406))*(W406))/MAX((F406)+2*(W406)*SQRT(1+(G406)^2),0.000001))^(2/3),0.000001)))^2</f>
        <v>#VALUE!</v>
      </c>
      <c r="AD406" t="e">
        <f t="shared" ref="AD406:AD469" ca="1" si="217">ABS(ABS(K406)/MAX(((F406)+(G406)*(W406))*(W406),0.000001))/SQRT($I$5*MAX((((F406)+(G406)*(W406))*(W406))/MAX((F406)+2*(G406)*(W406),0.000001),0.000001))</f>
        <v>#VALUE!</v>
      </c>
      <c r="AE406" t="e">
        <f t="shared" ref="AE406:AE469" ca="1" si="218">((F406)*(W406)^2)/2+(G406)*(W406)^3/3+(ABS(K406)^2)/($I$5*MAX(((F406)+(G406)*(W406))*(W406),0.000001))</f>
        <v>#VALUE!</v>
      </c>
      <c r="AF406" t="e">
        <f t="shared" ref="AF406:AF469" ca="1" si="219">AB407+(((AC406+AC407)/2)*J407)+(IF(Z406&gt;Z407,$D$8*((Z406^2-Z407^2)/(2*$I$5)),$D$9*((Z407^2-Z406^2)/(2*$I$5)))+($D$10*(ABS(I407)/90)*(MAX(Z406^2,Z407^2)/(2*$I$5))))-AB406</f>
        <v>#VALUE!</v>
      </c>
      <c r="AG406" t="e">
        <f t="shared" ref="AG406:AG469" ca="1" si="220">IF(ABS(AF406)&lt;$D$19,1,0)</f>
        <v>#VALUE!</v>
      </c>
      <c r="AH406" t="e">
        <f ca="1">IF(V32="Supercritical",L406,IF(V32="Subcritical",W406,IF(AND(V406=1,AG406=1),IF(T406&gt;=AE406,L406,W406),IF(V406=1,L406,IF(AG406=1,W406,MAX($D$16,POWER((ABS(K406)^2)/($I$5*MAX(F406,0.1)^2),1/3)))))))</f>
        <v>#VALUE!</v>
      </c>
      <c r="AI406" t="e">
        <f t="shared" ref="AI406:AI469" ca="1" si="221">E406+AH406</f>
        <v>#VALUE!</v>
      </c>
      <c r="AJ406" t="e">
        <f t="shared" ref="AJ406:AJ469" ca="1" si="222">AI406+((ABS(K406)/MAX(((F406)+(G406)*(AH406))*(AH406),0.000001))^2)/(2*$I$5)</f>
        <v>#VALUE!</v>
      </c>
      <c r="AM406">
        <v>0</v>
      </c>
      <c r="AN406">
        <v>0</v>
      </c>
      <c r="AO406">
        <f t="shared" ref="AO406:AO469" si="223">AM406+AN406</f>
        <v>0</v>
      </c>
      <c r="AP406">
        <f t="shared" si="201"/>
        <v>0</v>
      </c>
      <c r="AQ406" t="e">
        <f t="shared" ref="AQ406:AQ469" ca="1" si="224">ABS(ABS(K406)/MAX(((F406)+(G406)*(AH406))*(AH406),0.000001))/SQRT($I$5*MAX((((F406)+(G406)*(AH406))*(AH406))/MAX((F406)+2*(G406)*(AH406),0.000001),0.000001))</f>
        <v>#VALUE!</v>
      </c>
      <c r="AR406" t="e">
        <f t="shared" ref="AR406:AR469" ca="1" si="225">IF(AQ406&lt;1,"Subcritical","Supercritical")</f>
        <v>#VALUE!</v>
      </c>
      <c r="AS406" t="e">
        <f t="shared" ref="AS406:AS469" ca="1" si="226">((ABS(K406)*$D$6)/(MAX(((F406)+(G406)*(AH406))*(AH406),0.000001)*MAX(((((F406)+(G406)*(AH406))*(AH406))/MAX((F406)+2*(AH406)*SQRT(1+(G406)^2),0.000001))^(2/3),0.000001)))^2</f>
        <v>#VALUE!</v>
      </c>
    </row>
    <row r="407" spans="1:45" x14ac:dyDescent="0.35">
      <c r="A407">
        <v>258</v>
      </c>
      <c r="B407">
        <v>256.92700000000002</v>
      </c>
      <c r="C407">
        <v>616329.11699999997</v>
      </c>
      <c r="D407">
        <v>3097681.79</v>
      </c>
      <c r="E407">
        <v>632.43349999999998</v>
      </c>
      <c r="F407">
        <v>4.5270000000000001</v>
      </c>
      <c r="G407">
        <v>0</v>
      </c>
      <c r="H407" t="s">
        <v>191</v>
      </c>
      <c r="I407">
        <v>0</v>
      </c>
      <c r="J407">
        <f t="shared" ref="J407:J470" si="227">B407-B406</f>
        <v>1.0000000000000284</v>
      </c>
      <c r="K407">
        <f t="shared" ref="K407:K470" si="228">MAX(0,K406-AO406)</f>
        <v>51</v>
      </c>
      <c r="L407" t="e">
        <f t="shared" ref="L407:L470" ca="1" si="229">IF($D$20=0,L406,IF(V406=0,L406,IF(L407=0,L406,IF(ABS(U407)&gt;$D$19,MAX($D$16,L407+((U407)*$D$18*IF((S407)&lt;1,1,-1))),L407))))</f>
        <v>#VALUE!</v>
      </c>
      <c r="M407" t="e">
        <f t="shared" ca="1" si="202"/>
        <v>#VALUE!</v>
      </c>
      <c r="N407" t="e">
        <f t="shared" ca="1" si="203"/>
        <v>#VALUE!</v>
      </c>
      <c r="O407" t="e">
        <f t="shared" ca="1" si="204"/>
        <v>#VALUE!</v>
      </c>
      <c r="P407" t="e">
        <f t="shared" ca="1" si="205"/>
        <v>#VALUE!</v>
      </c>
      <c r="Q407" t="e">
        <f t="shared" ca="1" si="206"/>
        <v>#VALUE!</v>
      </c>
      <c r="R407" t="e">
        <f t="shared" ca="1" si="207"/>
        <v>#VALUE!</v>
      </c>
      <c r="S407" t="e">
        <f t="shared" ca="1" si="208"/>
        <v>#VALUE!</v>
      </c>
      <c r="T407" t="e">
        <f t="shared" ca="1" si="209"/>
        <v>#VALUE!</v>
      </c>
      <c r="U407" t="e">
        <f t="shared" ref="U407:U470" ca="1" si="230">Q406-(((R406+R407)/2)*J407)-(IF(O406&gt;O407,$D$8*((O406^2-O407^2)/(2*$I$5)),$D$9*((O407^2-O406^2)/(2*$I$5)))+($D$10*(ABS(I407)/90)*(MAX(O406^2,O407^2)/(2*$I$5))))-Q407</f>
        <v>#VALUE!</v>
      </c>
      <c r="V407" t="e">
        <f t="shared" ref="V407:V470" ca="1" si="231">IF(ABS(U407)&lt;$D$19,1,0)</f>
        <v>#VALUE!</v>
      </c>
      <c r="W407" t="e">
        <f t="shared" ca="1" si="210"/>
        <v>#VALUE!</v>
      </c>
      <c r="X407" t="e">
        <f t="shared" ca="1" si="211"/>
        <v>#VALUE!</v>
      </c>
      <c r="Y407" t="e">
        <f t="shared" ca="1" si="212"/>
        <v>#VALUE!</v>
      </c>
      <c r="Z407" t="e">
        <f t="shared" ca="1" si="213"/>
        <v>#VALUE!</v>
      </c>
      <c r="AA407" t="e">
        <f t="shared" ca="1" si="214"/>
        <v>#VALUE!</v>
      </c>
      <c r="AB407" t="e">
        <f t="shared" ca="1" si="215"/>
        <v>#VALUE!</v>
      </c>
      <c r="AC407" t="e">
        <f t="shared" ca="1" si="216"/>
        <v>#VALUE!</v>
      </c>
      <c r="AD407" t="e">
        <f t="shared" ca="1" si="217"/>
        <v>#VALUE!</v>
      </c>
      <c r="AE407" t="e">
        <f t="shared" ca="1" si="218"/>
        <v>#VALUE!</v>
      </c>
      <c r="AF407" t="e">
        <f t="shared" ca="1" si="219"/>
        <v>#VALUE!</v>
      </c>
      <c r="AG407" t="e">
        <f t="shared" ca="1" si="220"/>
        <v>#VALUE!</v>
      </c>
      <c r="AH407" t="e">
        <f ca="1">IF(V32="Supercritical",L407,IF(V32="Subcritical",W407,IF(AND(V407=1,AG407=1),IF(T407&gt;=AE407,L407,W407),IF(V407=1,L407,IF(AG407=1,W407,MAX($D$16,POWER((ABS(K407)^2)/($I$5*MAX(F407,0.1)^2),1/3)))))))</f>
        <v>#VALUE!</v>
      </c>
      <c r="AI407" t="e">
        <f t="shared" ca="1" si="221"/>
        <v>#VALUE!</v>
      </c>
      <c r="AJ407" t="e">
        <f t="shared" ca="1" si="222"/>
        <v>#VALUE!</v>
      </c>
      <c r="AM407">
        <v>0</v>
      </c>
      <c r="AN407">
        <v>0</v>
      </c>
      <c r="AO407">
        <f t="shared" si="223"/>
        <v>0</v>
      </c>
      <c r="AP407">
        <f t="shared" ref="AP407:AP470" si="232">AP406+AO407</f>
        <v>0</v>
      </c>
      <c r="AQ407" t="e">
        <f t="shared" ca="1" si="224"/>
        <v>#VALUE!</v>
      </c>
      <c r="AR407" t="e">
        <f t="shared" ca="1" si="225"/>
        <v>#VALUE!</v>
      </c>
      <c r="AS407" t="e">
        <f t="shared" ca="1" si="226"/>
        <v>#VALUE!</v>
      </c>
    </row>
    <row r="408" spans="1:45" x14ac:dyDescent="0.35">
      <c r="A408">
        <v>259</v>
      </c>
      <c r="B408">
        <v>257.92700000000002</v>
      </c>
      <c r="C408">
        <v>616328.27099999995</v>
      </c>
      <c r="D408">
        <v>3097681.2570000002</v>
      </c>
      <c r="E408">
        <v>632.43299999999999</v>
      </c>
      <c r="F408">
        <v>4.5270000000000001</v>
      </c>
      <c r="G408">
        <v>0</v>
      </c>
      <c r="H408" t="s">
        <v>191</v>
      </c>
      <c r="I408">
        <v>3.1E-2</v>
      </c>
      <c r="J408">
        <f t="shared" si="227"/>
        <v>1</v>
      </c>
      <c r="K408">
        <f t="shared" si="228"/>
        <v>51</v>
      </c>
      <c r="L408" t="e">
        <f t="shared" ca="1" si="229"/>
        <v>#VALUE!</v>
      </c>
      <c r="M408" t="e">
        <f t="shared" ca="1" si="202"/>
        <v>#VALUE!</v>
      </c>
      <c r="N408" t="e">
        <f t="shared" ca="1" si="203"/>
        <v>#VALUE!</v>
      </c>
      <c r="O408" t="e">
        <f t="shared" ca="1" si="204"/>
        <v>#VALUE!</v>
      </c>
      <c r="P408" t="e">
        <f t="shared" ca="1" si="205"/>
        <v>#VALUE!</v>
      </c>
      <c r="Q408" t="e">
        <f t="shared" ca="1" si="206"/>
        <v>#VALUE!</v>
      </c>
      <c r="R408" t="e">
        <f t="shared" ca="1" si="207"/>
        <v>#VALUE!</v>
      </c>
      <c r="S408" t="e">
        <f t="shared" ca="1" si="208"/>
        <v>#VALUE!</v>
      </c>
      <c r="T408" t="e">
        <f t="shared" ca="1" si="209"/>
        <v>#VALUE!</v>
      </c>
      <c r="U408" t="e">
        <f t="shared" ca="1" si="230"/>
        <v>#VALUE!</v>
      </c>
      <c r="V408" t="e">
        <f t="shared" ca="1" si="231"/>
        <v>#VALUE!</v>
      </c>
      <c r="W408" t="e">
        <f t="shared" ca="1" si="210"/>
        <v>#VALUE!</v>
      </c>
      <c r="X408" t="e">
        <f t="shared" ca="1" si="211"/>
        <v>#VALUE!</v>
      </c>
      <c r="Y408" t="e">
        <f t="shared" ca="1" si="212"/>
        <v>#VALUE!</v>
      </c>
      <c r="Z408" t="e">
        <f t="shared" ca="1" si="213"/>
        <v>#VALUE!</v>
      </c>
      <c r="AA408" t="e">
        <f t="shared" ca="1" si="214"/>
        <v>#VALUE!</v>
      </c>
      <c r="AB408" t="e">
        <f t="shared" ca="1" si="215"/>
        <v>#VALUE!</v>
      </c>
      <c r="AC408" t="e">
        <f t="shared" ca="1" si="216"/>
        <v>#VALUE!</v>
      </c>
      <c r="AD408" t="e">
        <f t="shared" ca="1" si="217"/>
        <v>#VALUE!</v>
      </c>
      <c r="AE408" t="e">
        <f t="shared" ca="1" si="218"/>
        <v>#VALUE!</v>
      </c>
      <c r="AF408" t="e">
        <f t="shared" ca="1" si="219"/>
        <v>#VALUE!</v>
      </c>
      <c r="AG408" t="e">
        <f t="shared" ca="1" si="220"/>
        <v>#VALUE!</v>
      </c>
      <c r="AH408" t="e">
        <f ca="1">IF(V32="Supercritical",L408,IF(V32="Subcritical",W408,IF(AND(V408=1,AG408=1),IF(T408&gt;=AE408,L408,W408),IF(V408=1,L408,IF(AG408=1,W408,MAX($D$16,POWER((ABS(K408)^2)/($I$5*MAX(F408,0.1)^2),1/3)))))))</f>
        <v>#VALUE!</v>
      </c>
      <c r="AI408" t="e">
        <f t="shared" ca="1" si="221"/>
        <v>#VALUE!</v>
      </c>
      <c r="AJ408" t="e">
        <f t="shared" ca="1" si="222"/>
        <v>#VALUE!</v>
      </c>
      <c r="AM408">
        <v>0</v>
      </c>
      <c r="AN408">
        <v>0</v>
      </c>
      <c r="AO408">
        <f t="shared" si="223"/>
        <v>0</v>
      </c>
      <c r="AP408">
        <f t="shared" si="232"/>
        <v>0</v>
      </c>
      <c r="AQ408" t="e">
        <f t="shared" ca="1" si="224"/>
        <v>#VALUE!</v>
      </c>
      <c r="AR408" t="e">
        <f t="shared" ca="1" si="225"/>
        <v>#VALUE!</v>
      </c>
      <c r="AS408" t="e">
        <f t="shared" ca="1" si="226"/>
        <v>#VALUE!</v>
      </c>
    </row>
    <row r="409" spans="1:45" x14ac:dyDescent="0.35">
      <c r="A409">
        <v>260</v>
      </c>
      <c r="B409">
        <v>258.928</v>
      </c>
      <c r="C409">
        <v>616327.424</v>
      </c>
      <c r="D409">
        <v>3097680.7239999999</v>
      </c>
      <c r="E409">
        <v>632.4325</v>
      </c>
      <c r="F409">
        <v>4.5270000000000001</v>
      </c>
      <c r="G409">
        <v>0</v>
      </c>
      <c r="H409" t="s">
        <v>191</v>
      </c>
      <c r="I409">
        <v>3.1E-2</v>
      </c>
      <c r="J409">
        <f t="shared" si="227"/>
        <v>1.0009999999999764</v>
      </c>
      <c r="K409">
        <f t="shared" si="228"/>
        <v>51</v>
      </c>
      <c r="L409" t="e">
        <f t="shared" ca="1" si="229"/>
        <v>#VALUE!</v>
      </c>
      <c r="M409" t="e">
        <f t="shared" ca="1" si="202"/>
        <v>#VALUE!</v>
      </c>
      <c r="N409" t="e">
        <f t="shared" ca="1" si="203"/>
        <v>#VALUE!</v>
      </c>
      <c r="O409" t="e">
        <f t="shared" ca="1" si="204"/>
        <v>#VALUE!</v>
      </c>
      <c r="P409" t="e">
        <f t="shared" ca="1" si="205"/>
        <v>#VALUE!</v>
      </c>
      <c r="Q409" t="e">
        <f t="shared" ca="1" si="206"/>
        <v>#VALUE!</v>
      </c>
      <c r="R409" t="e">
        <f t="shared" ca="1" si="207"/>
        <v>#VALUE!</v>
      </c>
      <c r="S409" t="e">
        <f t="shared" ca="1" si="208"/>
        <v>#VALUE!</v>
      </c>
      <c r="T409" t="e">
        <f t="shared" ca="1" si="209"/>
        <v>#VALUE!</v>
      </c>
      <c r="U409" t="e">
        <f t="shared" ca="1" si="230"/>
        <v>#VALUE!</v>
      </c>
      <c r="V409" t="e">
        <f t="shared" ca="1" si="231"/>
        <v>#VALUE!</v>
      </c>
      <c r="W409" t="e">
        <f t="shared" ca="1" si="210"/>
        <v>#VALUE!</v>
      </c>
      <c r="X409" t="e">
        <f t="shared" ca="1" si="211"/>
        <v>#VALUE!</v>
      </c>
      <c r="Y409" t="e">
        <f t="shared" ca="1" si="212"/>
        <v>#VALUE!</v>
      </c>
      <c r="Z409" t="e">
        <f t="shared" ca="1" si="213"/>
        <v>#VALUE!</v>
      </c>
      <c r="AA409" t="e">
        <f t="shared" ca="1" si="214"/>
        <v>#VALUE!</v>
      </c>
      <c r="AB409" t="e">
        <f t="shared" ca="1" si="215"/>
        <v>#VALUE!</v>
      </c>
      <c r="AC409" t="e">
        <f t="shared" ca="1" si="216"/>
        <v>#VALUE!</v>
      </c>
      <c r="AD409" t="e">
        <f t="shared" ca="1" si="217"/>
        <v>#VALUE!</v>
      </c>
      <c r="AE409" t="e">
        <f t="shared" ca="1" si="218"/>
        <v>#VALUE!</v>
      </c>
      <c r="AF409" t="e">
        <f t="shared" ca="1" si="219"/>
        <v>#VALUE!</v>
      </c>
      <c r="AG409" t="e">
        <f t="shared" ca="1" si="220"/>
        <v>#VALUE!</v>
      </c>
      <c r="AH409" t="e">
        <f ca="1">IF(V32="Supercritical",L409,IF(V32="Subcritical",W409,IF(AND(V409=1,AG409=1),IF(T409&gt;=AE409,L409,W409),IF(V409=1,L409,IF(AG409=1,W409,MAX($D$16,POWER((ABS(K409)^2)/($I$5*MAX(F409,0.1)^2),1/3)))))))</f>
        <v>#VALUE!</v>
      </c>
      <c r="AI409" t="e">
        <f t="shared" ca="1" si="221"/>
        <v>#VALUE!</v>
      </c>
      <c r="AJ409" t="e">
        <f t="shared" ca="1" si="222"/>
        <v>#VALUE!</v>
      </c>
      <c r="AM409">
        <v>0</v>
      </c>
      <c r="AN409">
        <v>0</v>
      </c>
      <c r="AO409">
        <f t="shared" si="223"/>
        <v>0</v>
      </c>
      <c r="AP409">
        <f t="shared" si="232"/>
        <v>0</v>
      </c>
      <c r="AQ409" t="e">
        <f t="shared" ca="1" si="224"/>
        <v>#VALUE!</v>
      </c>
      <c r="AR409" t="e">
        <f t="shared" ca="1" si="225"/>
        <v>#VALUE!</v>
      </c>
      <c r="AS409" t="e">
        <f t="shared" ca="1" si="226"/>
        <v>#VALUE!</v>
      </c>
    </row>
    <row r="410" spans="1:45" x14ac:dyDescent="0.35">
      <c r="A410">
        <v>261</v>
      </c>
      <c r="B410">
        <v>259.928</v>
      </c>
      <c r="C410">
        <v>616326.57799999998</v>
      </c>
      <c r="D410">
        <v>3097680.1910000001</v>
      </c>
      <c r="E410">
        <v>632.43200000000002</v>
      </c>
      <c r="F410">
        <v>4.5270000000000001</v>
      </c>
      <c r="G410">
        <v>0</v>
      </c>
      <c r="H410" t="s">
        <v>191</v>
      </c>
      <c r="I410">
        <v>0</v>
      </c>
      <c r="J410">
        <f t="shared" si="227"/>
        <v>1</v>
      </c>
      <c r="K410">
        <f t="shared" si="228"/>
        <v>51</v>
      </c>
      <c r="L410" t="e">
        <f t="shared" ca="1" si="229"/>
        <v>#VALUE!</v>
      </c>
      <c r="M410" t="e">
        <f t="shared" ca="1" si="202"/>
        <v>#VALUE!</v>
      </c>
      <c r="N410" t="e">
        <f t="shared" ca="1" si="203"/>
        <v>#VALUE!</v>
      </c>
      <c r="O410" t="e">
        <f t="shared" ca="1" si="204"/>
        <v>#VALUE!</v>
      </c>
      <c r="P410" t="e">
        <f t="shared" ca="1" si="205"/>
        <v>#VALUE!</v>
      </c>
      <c r="Q410" t="e">
        <f t="shared" ca="1" si="206"/>
        <v>#VALUE!</v>
      </c>
      <c r="R410" t="e">
        <f t="shared" ca="1" si="207"/>
        <v>#VALUE!</v>
      </c>
      <c r="S410" t="e">
        <f t="shared" ca="1" si="208"/>
        <v>#VALUE!</v>
      </c>
      <c r="T410" t="e">
        <f t="shared" ca="1" si="209"/>
        <v>#VALUE!</v>
      </c>
      <c r="U410" t="e">
        <f t="shared" ca="1" si="230"/>
        <v>#VALUE!</v>
      </c>
      <c r="V410" t="e">
        <f t="shared" ca="1" si="231"/>
        <v>#VALUE!</v>
      </c>
      <c r="W410" t="e">
        <f t="shared" ca="1" si="210"/>
        <v>#VALUE!</v>
      </c>
      <c r="X410" t="e">
        <f t="shared" ca="1" si="211"/>
        <v>#VALUE!</v>
      </c>
      <c r="Y410" t="e">
        <f t="shared" ca="1" si="212"/>
        <v>#VALUE!</v>
      </c>
      <c r="Z410" t="e">
        <f t="shared" ca="1" si="213"/>
        <v>#VALUE!</v>
      </c>
      <c r="AA410" t="e">
        <f t="shared" ca="1" si="214"/>
        <v>#VALUE!</v>
      </c>
      <c r="AB410" t="e">
        <f t="shared" ca="1" si="215"/>
        <v>#VALUE!</v>
      </c>
      <c r="AC410" t="e">
        <f t="shared" ca="1" si="216"/>
        <v>#VALUE!</v>
      </c>
      <c r="AD410" t="e">
        <f t="shared" ca="1" si="217"/>
        <v>#VALUE!</v>
      </c>
      <c r="AE410" t="e">
        <f t="shared" ca="1" si="218"/>
        <v>#VALUE!</v>
      </c>
      <c r="AF410" t="e">
        <f t="shared" ca="1" si="219"/>
        <v>#VALUE!</v>
      </c>
      <c r="AG410" t="e">
        <f t="shared" ca="1" si="220"/>
        <v>#VALUE!</v>
      </c>
      <c r="AH410" t="e">
        <f ca="1">IF(V32="Supercritical",L410,IF(V32="Subcritical",W410,IF(AND(V410=1,AG410=1),IF(T410&gt;=AE410,L410,W410),IF(V410=1,L410,IF(AG410=1,W410,MAX($D$16,POWER((ABS(K410)^2)/($I$5*MAX(F410,0.1)^2),1/3)))))))</f>
        <v>#VALUE!</v>
      </c>
      <c r="AI410" t="e">
        <f t="shared" ca="1" si="221"/>
        <v>#VALUE!</v>
      </c>
      <c r="AJ410" t="e">
        <f t="shared" ca="1" si="222"/>
        <v>#VALUE!</v>
      </c>
      <c r="AM410">
        <v>0</v>
      </c>
      <c r="AN410">
        <v>0</v>
      </c>
      <c r="AO410">
        <f t="shared" si="223"/>
        <v>0</v>
      </c>
      <c r="AP410">
        <f t="shared" si="232"/>
        <v>0</v>
      </c>
      <c r="AQ410" t="e">
        <f t="shared" ca="1" si="224"/>
        <v>#VALUE!</v>
      </c>
      <c r="AR410" t="e">
        <f t="shared" ca="1" si="225"/>
        <v>#VALUE!</v>
      </c>
      <c r="AS410" t="e">
        <f t="shared" ca="1" si="226"/>
        <v>#VALUE!</v>
      </c>
    </row>
    <row r="411" spans="1:45" x14ac:dyDescent="0.35">
      <c r="A411">
        <v>262</v>
      </c>
      <c r="B411">
        <v>260.928</v>
      </c>
      <c r="C411">
        <v>616325.73199999996</v>
      </c>
      <c r="D411">
        <v>3097679.6579999998</v>
      </c>
      <c r="E411">
        <v>632.43150000000003</v>
      </c>
      <c r="F411">
        <v>4.5270000000000001</v>
      </c>
      <c r="G411">
        <v>0</v>
      </c>
      <c r="H411" t="s">
        <v>191</v>
      </c>
      <c r="I411">
        <v>0</v>
      </c>
      <c r="J411">
        <f t="shared" si="227"/>
        <v>1</v>
      </c>
      <c r="K411">
        <f t="shared" si="228"/>
        <v>51</v>
      </c>
      <c r="L411" t="e">
        <f t="shared" ca="1" si="229"/>
        <v>#VALUE!</v>
      </c>
      <c r="M411" t="e">
        <f t="shared" ca="1" si="202"/>
        <v>#VALUE!</v>
      </c>
      <c r="N411" t="e">
        <f t="shared" ca="1" si="203"/>
        <v>#VALUE!</v>
      </c>
      <c r="O411" t="e">
        <f t="shared" ca="1" si="204"/>
        <v>#VALUE!</v>
      </c>
      <c r="P411" t="e">
        <f t="shared" ca="1" si="205"/>
        <v>#VALUE!</v>
      </c>
      <c r="Q411" t="e">
        <f t="shared" ca="1" si="206"/>
        <v>#VALUE!</v>
      </c>
      <c r="R411" t="e">
        <f t="shared" ca="1" si="207"/>
        <v>#VALUE!</v>
      </c>
      <c r="S411" t="e">
        <f t="shared" ca="1" si="208"/>
        <v>#VALUE!</v>
      </c>
      <c r="T411" t="e">
        <f t="shared" ca="1" si="209"/>
        <v>#VALUE!</v>
      </c>
      <c r="U411" t="e">
        <f t="shared" ca="1" si="230"/>
        <v>#VALUE!</v>
      </c>
      <c r="V411" t="e">
        <f t="shared" ca="1" si="231"/>
        <v>#VALUE!</v>
      </c>
      <c r="W411" t="e">
        <f t="shared" ca="1" si="210"/>
        <v>#VALUE!</v>
      </c>
      <c r="X411" t="e">
        <f t="shared" ca="1" si="211"/>
        <v>#VALUE!</v>
      </c>
      <c r="Y411" t="e">
        <f t="shared" ca="1" si="212"/>
        <v>#VALUE!</v>
      </c>
      <c r="Z411" t="e">
        <f t="shared" ca="1" si="213"/>
        <v>#VALUE!</v>
      </c>
      <c r="AA411" t="e">
        <f t="shared" ca="1" si="214"/>
        <v>#VALUE!</v>
      </c>
      <c r="AB411" t="e">
        <f t="shared" ca="1" si="215"/>
        <v>#VALUE!</v>
      </c>
      <c r="AC411" t="e">
        <f t="shared" ca="1" si="216"/>
        <v>#VALUE!</v>
      </c>
      <c r="AD411" t="e">
        <f t="shared" ca="1" si="217"/>
        <v>#VALUE!</v>
      </c>
      <c r="AE411" t="e">
        <f t="shared" ca="1" si="218"/>
        <v>#VALUE!</v>
      </c>
      <c r="AF411" t="e">
        <f t="shared" ca="1" si="219"/>
        <v>#VALUE!</v>
      </c>
      <c r="AG411" t="e">
        <f t="shared" ca="1" si="220"/>
        <v>#VALUE!</v>
      </c>
      <c r="AH411" t="e">
        <f ca="1">IF(V32="Supercritical",L411,IF(V32="Subcritical",W411,IF(AND(V411=1,AG411=1),IF(T411&gt;=AE411,L411,W411),IF(V411=1,L411,IF(AG411=1,W411,MAX($D$16,POWER((ABS(K411)^2)/($I$5*MAX(F411,0.1)^2),1/3)))))))</f>
        <v>#VALUE!</v>
      </c>
      <c r="AI411" t="e">
        <f t="shared" ca="1" si="221"/>
        <v>#VALUE!</v>
      </c>
      <c r="AJ411" t="e">
        <f t="shared" ca="1" si="222"/>
        <v>#VALUE!</v>
      </c>
      <c r="AM411">
        <v>0</v>
      </c>
      <c r="AN411">
        <v>0</v>
      </c>
      <c r="AO411">
        <f t="shared" si="223"/>
        <v>0</v>
      </c>
      <c r="AP411">
        <f t="shared" si="232"/>
        <v>0</v>
      </c>
      <c r="AQ411" t="e">
        <f t="shared" ca="1" si="224"/>
        <v>#VALUE!</v>
      </c>
      <c r="AR411" t="e">
        <f t="shared" ca="1" si="225"/>
        <v>#VALUE!</v>
      </c>
      <c r="AS411" t="e">
        <f t="shared" ca="1" si="226"/>
        <v>#VALUE!</v>
      </c>
    </row>
    <row r="412" spans="1:45" x14ac:dyDescent="0.35">
      <c r="A412">
        <v>263</v>
      </c>
      <c r="B412">
        <v>261.928</v>
      </c>
      <c r="C412">
        <v>616324.88600000006</v>
      </c>
      <c r="D412">
        <v>3097679.125</v>
      </c>
      <c r="E412">
        <v>632.43100000000004</v>
      </c>
      <c r="F412">
        <v>4.5270000000000001</v>
      </c>
      <c r="G412">
        <v>0</v>
      </c>
      <c r="H412" t="s">
        <v>191</v>
      </c>
      <c r="I412">
        <v>0</v>
      </c>
      <c r="J412">
        <f t="shared" si="227"/>
        <v>1</v>
      </c>
      <c r="K412">
        <f t="shared" si="228"/>
        <v>51</v>
      </c>
      <c r="L412" t="e">
        <f t="shared" ca="1" si="229"/>
        <v>#VALUE!</v>
      </c>
      <c r="M412" t="e">
        <f t="shared" ca="1" si="202"/>
        <v>#VALUE!</v>
      </c>
      <c r="N412" t="e">
        <f t="shared" ca="1" si="203"/>
        <v>#VALUE!</v>
      </c>
      <c r="O412" t="e">
        <f t="shared" ca="1" si="204"/>
        <v>#VALUE!</v>
      </c>
      <c r="P412" t="e">
        <f t="shared" ca="1" si="205"/>
        <v>#VALUE!</v>
      </c>
      <c r="Q412" t="e">
        <f t="shared" ca="1" si="206"/>
        <v>#VALUE!</v>
      </c>
      <c r="R412" t="e">
        <f t="shared" ca="1" si="207"/>
        <v>#VALUE!</v>
      </c>
      <c r="S412" t="e">
        <f t="shared" ca="1" si="208"/>
        <v>#VALUE!</v>
      </c>
      <c r="T412" t="e">
        <f t="shared" ca="1" si="209"/>
        <v>#VALUE!</v>
      </c>
      <c r="U412" t="e">
        <f t="shared" ca="1" si="230"/>
        <v>#VALUE!</v>
      </c>
      <c r="V412" t="e">
        <f t="shared" ca="1" si="231"/>
        <v>#VALUE!</v>
      </c>
      <c r="W412" t="e">
        <f t="shared" ca="1" si="210"/>
        <v>#VALUE!</v>
      </c>
      <c r="X412" t="e">
        <f t="shared" ca="1" si="211"/>
        <v>#VALUE!</v>
      </c>
      <c r="Y412" t="e">
        <f t="shared" ca="1" si="212"/>
        <v>#VALUE!</v>
      </c>
      <c r="Z412" t="e">
        <f t="shared" ca="1" si="213"/>
        <v>#VALUE!</v>
      </c>
      <c r="AA412" t="e">
        <f t="shared" ca="1" si="214"/>
        <v>#VALUE!</v>
      </c>
      <c r="AB412" t="e">
        <f t="shared" ca="1" si="215"/>
        <v>#VALUE!</v>
      </c>
      <c r="AC412" t="e">
        <f t="shared" ca="1" si="216"/>
        <v>#VALUE!</v>
      </c>
      <c r="AD412" t="e">
        <f t="shared" ca="1" si="217"/>
        <v>#VALUE!</v>
      </c>
      <c r="AE412" t="e">
        <f t="shared" ca="1" si="218"/>
        <v>#VALUE!</v>
      </c>
      <c r="AF412" t="e">
        <f t="shared" ca="1" si="219"/>
        <v>#VALUE!</v>
      </c>
      <c r="AG412" t="e">
        <f t="shared" ca="1" si="220"/>
        <v>#VALUE!</v>
      </c>
      <c r="AH412" t="e">
        <f ca="1">IF(V32="Supercritical",L412,IF(V32="Subcritical",W412,IF(AND(V412=1,AG412=1),IF(T412&gt;=AE412,L412,W412),IF(V412=1,L412,IF(AG412=1,W412,MAX($D$16,POWER((ABS(K412)^2)/($I$5*MAX(F412,0.1)^2),1/3)))))))</f>
        <v>#VALUE!</v>
      </c>
      <c r="AI412" t="e">
        <f t="shared" ca="1" si="221"/>
        <v>#VALUE!</v>
      </c>
      <c r="AJ412" t="e">
        <f t="shared" ca="1" si="222"/>
        <v>#VALUE!</v>
      </c>
      <c r="AM412">
        <v>0</v>
      </c>
      <c r="AN412">
        <v>0</v>
      </c>
      <c r="AO412">
        <f t="shared" si="223"/>
        <v>0</v>
      </c>
      <c r="AP412">
        <f t="shared" si="232"/>
        <v>0</v>
      </c>
      <c r="AQ412" t="e">
        <f t="shared" ca="1" si="224"/>
        <v>#VALUE!</v>
      </c>
      <c r="AR412" t="e">
        <f t="shared" ca="1" si="225"/>
        <v>#VALUE!</v>
      </c>
      <c r="AS412" t="e">
        <f t="shared" ca="1" si="226"/>
        <v>#VALUE!</v>
      </c>
    </row>
    <row r="413" spans="1:45" x14ac:dyDescent="0.35">
      <c r="A413">
        <v>264</v>
      </c>
      <c r="B413">
        <v>262.928</v>
      </c>
      <c r="C413">
        <v>616324.04</v>
      </c>
      <c r="D413">
        <v>3097678.5920000002</v>
      </c>
      <c r="E413">
        <v>632.43050000000005</v>
      </c>
      <c r="F413">
        <v>4.5270000000000001</v>
      </c>
      <c r="G413">
        <v>0</v>
      </c>
      <c r="H413" t="s">
        <v>191</v>
      </c>
      <c r="I413">
        <v>0</v>
      </c>
      <c r="J413">
        <f t="shared" si="227"/>
        <v>1</v>
      </c>
      <c r="K413">
        <f t="shared" si="228"/>
        <v>51</v>
      </c>
      <c r="L413" t="e">
        <f t="shared" ca="1" si="229"/>
        <v>#VALUE!</v>
      </c>
      <c r="M413" t="e">
        <f t="shared" ca="1" si="202"/>
        <v>#VALUE!</v>
      </c>
      <c r="N413" t="e">
        <f t="shared" ca="1" si="203"/>
        <v>#VALUE!</v>
      </c>
      <c r="O413" t="e">
        <f t="shared" ca="1" si="204"/>
        <v>#VALUE!</v>
      </c>
      <c r="P413" t="e">
        <f t="shared" ca="1" si="205"/>
        <v>#VALUE!</v>
      </c>
      <c r="Q413" t="e">
        <f t="shared" ca="1" si="206"/>
        <v>#VALUE!</v>
      </c>
      <c r="R413" t="e">
        <f t="shared" ca="1" si="207"/>
        <v>#VALUE!</v>
      </c>
      <c r="S413" t="e">
        <f t="shared" ca="1" si="208"/>
        <v>#VALUE!</v>
      </c>
      <c r="T413" t="e">
        <f t="shared" ca="1" si="209"/>
        <v>#VALUE!</v>
      </c>
      <c r="U413" t="e">
        <f t="shared" ca="1" si="230"/>
        <v>#VALUE!</v>
      </c>
      <c r="V413" t="e">
        <f t="shared" ca="1" si="231"/>
        <v>#VALUE!</v>
      </c>
      <c r="W413" t="e">
        <f t="shared" ca="1" si="210"/>
        <v>#VALUE!</v>
      </c>
      <c r="X413" t="e">
        <f t="shared" ca="1" si="211"/>
        <v>#VALUE!</v>
      </c>
      <c r="Y413" t="e">
        <f t="shared" ca="1" si="212"/>
        <v>#VALUE!</v>
      </c>
      <c r="Z413" t="e">
        <f t="shared" ca="1" si="213"/>
        <v>#VALUE!</v>
      </c>
      <c r="AA413" t="e">
        <f t="shared" ca="1" si="214"/>
        <v>#VALUE!</v>
      </c>
      <c r="AB413" t="e">
        <f t="shared" ca="1" si="215"/>
        <v>#VALUE!</v>
      </c>
      <c r="AC413" t="e">
        <f t="shared" ca="1" si="216"/>
        <v>#VALUE!</v>
      </c>
      <c r="AD413" t="e">
        <f t="shared" ca="1" si="217"/>
        <v>#VALUE!</v>
      </c>
      <c r="AE413" t="e">
        <f t="shared" ca="1" si="218"/>
        <v>#VALUE!</v>
      </c>
      <c r="AF413" t="e">
        <f t="shared" ca="1" si="219"/>
        <v>#VALUE!</v>
      </c>
      <c r="AG413" t="e">
        <f t="shared" ca="1" si="220"/>
        <v>#VALUE!</v>
      </c>
      <c r="AH413" t="e">
        <f ca="1">IF(V32="Supercritical",L413,IF(V32="Subcritical",W413,IF(AND(V413=1,AG413=1),IF(T413&gt;=AE413,L413,W413),IF(V413=1,L413,IF(AG413=1,W413,MAX($D$16,POWER((ABS(K413)^2)/($I$5*MAX(F413,0.1)^2),1/3)))))))</f>
        <v>#VALUE!</v>
      </c>
      <c r="AI413" t="e">
        <f t="shared" ca="1" si="221"/>
        <v>#VALUE!</v>
      </c>
      <c r="AJ413" t="e">
        <f t="shared" ca="1" si="222"/>
        <v>#VALUE!</v>
      </c>
      <c r="AM413">
        <v>0</v>
      </c>
      <c r="AN413">
        <v>0</v>
      </c>
      <c r="AO413">
        <f t="shared" si="223"/>
        <v>0</v>
      </c>
      <c r="AP413">
        <f t="shared" si="232"/>
        <v>0</v>
      </c>
      <c r="AQ413" t="e">
        <f t="shared" ca="1" si="224"/>
        <v>#VALUE!</v>
      </c>
      <c r="AR413" t="e">
        <f t="shared" ca="1" si="225"/>
        <v>#VALUE!</v>
      </c>
      <c r="AS413" t="e">
        <f t="shared" ca="1" si="226"/>
        <v>#VALUE!</v>
      </c>
    </row>
    <row r="414" spans="1:45" x14ac:dyDescent="0.35">
      <c r="A414">
        <v>265</v>
      </c>
      <c r="B414">
        <v>263.928</v>
      </c>
      <c r="C414">
        <v>616323.19400000002</v>
      </c>
      <c r="D414">
        <v>3097678.0589999999</v>
      </c>
      <c r="E414">
        <v>632.42999999999995</v>
      </c>
      <c r="F414">
        <v>4.5270000000000001</v>
      </c>
      <c r="G414">
        <v>0</v>
      </c>
      <c r="H414" t="s">
        <v>191</v>
      </c>
      <c r="I414">
        <v>0</v>
      </c>
      <c r="J414">
        <f t="shared" si="227"/>
        <v>1</v>
      </c>
      <c r="K414">
        <f t="shared" si="228"/>
        <v>51</v>
      </c>
      <c r="L414" t="e">
        <f t="shared" ca="1" si="229"/>
        <v>#VALUE!</v>
      </c>
      <c r="M414" t="e">
        <f t="shared" ca="1" si="202"/>
        <v>#VALUE!</v>
      </c>
      <c r="N414" t="e">
        <f t="shared" ca="1" si="203"/>
        <v>#VALUE!</v>
      </c>
      <c r="O414" t="e">
        <f t="shared" ca="1" si="204"/>
        <v>#VALUE!</v>
      </c>
      <c r="P414" t="e">
        <f t="shared" ca="1" si="205"/>
        <v>#VALUE!</v>
      </c>
      <c r="Q414" t="e">
        <f t="shared" ca="1" si="206"/>
        <v>#VALUE!</v>
      </c>
      <c r="R414" t="e">
        <f t="shared" ca="1" si="207"/>
        <v>#VALUE!</v>
      </c>
      <c r="S414" t="e">
        <f t="shared" ca="1" si="208"/>
        <v>#VALUE!</v>
      </c>
      <c r="T414" t="e">
        <f t="shared" ca="1" si="209"/>
        <v>#VALUE!</v>
      </c>
      <c r="U414" t="e">
        <f t="shared" ca="1" si="230"/>
        <v>#VALUE!</v>
      </c>
      <c r="V414" t="e">
        <f t="shared" ca="1" si="231"/>
        <v>#VALUE!</v>
      </c>
      <c r="W414" t="e">
        <f t="shared" ca="1" si="210"/>
        <v>#VALUE!</v>
      </c>
      <c r="X414" t="e">
        <f t="shared" ca="1" si="211"/>
        <v>#VALUE!</v>
      </c>
      <c r="Y414" t="e">
        <f t="shared" ca="1" si="212"/>
        <v>#VALUE!</v>
      </c>
      <c r="Z414" t="e">
        <f t="shared" ca="1" si="213"/>
        <v>#VALUE!</v>
      </c>
      <c r="AA414" t="e">
        <f t="shared" ca="1" si="214"/>
        <v>#VALUE!</v>
      </c>
      <c r="AB414" t="e">
        <f t="shared" ca="1" si="215"/>
        <v>#VALUE!</v>
      </c>
      <c r="AC414" t="e">
        <f t="shared" ca="1" si="216"/>
        <v>#VALUE!</v>
      </c>
      <c r="AD414" t="e">
        <f t="shared" ca="1" si="217"/>
        <v>#VALUE!</v>
      </c>
      <c r="AE414" t="e">
        <f t="shared" ca="1" si="218"/>
        <v>#VALUE!</v>
      </c>
      <c r="AF414" t="e">
        <f t="shared" ca="1" si="219"/>
        <v>#VALUE!</v>
      </c>
      <c r="AG414" t="e">
        <f t="shared" ca="1" si="220"/>
        <v>#VALUE!</v>
      </c>
      <c r="AH414" t="e">
        <f ca="1">IF(V32="Supercritical",L414,IF(V32="Subcritical",W414,IF(AND(V414=1,AG414=1),IF(T414&gt;=AE414,L414,W414),IF(V414=1,L414,IF(AG414=1,W414,MAX($D$16,POWER((ABS(K414)^2)/($I$5*MAX(F414,0.1)^2),1/3)))))))</f>
        <v>#VALUE!</v>
      </c>
      <c r="AI414" t="e">
        <f t="shared" ca="1" si="221"/>
        <v>#VALUE!</v>
      </c>
      <c r="AJ414" t="e">
        <f t="shared" ca="1" si="222"/>
        <v>#VALUE!</v>
      </c>
      <c r="AM414">
        <v>0</v>
      </c>
      <c r="AN414">
        <v>0</v>
      </c>
      <c r="AO414">
        <f t="shared" si="223"/>
        <v>0</v>
      </c>
      <c r="AP414">
        <f t="shared" si="232"/>
        <v>0</v>
      </c>
      <c r="AQ414" t="e">
        <f t="shared" ca="1" si="224"/>
        <v>#VALUE!</v>
      </c>
      <c r="AR414" t="e">
        <f t="shared" ca="1" si="225"/>
        <v>#VALUE!</v>
      </c>
      <c r="AS414" t="e">
        <f t="shared" ca="1" si="226"/>
        <v>#VALUE!</v>
      </c>
    </row>
    <row r="415" spans="1:45" x14ac:dyDescent="0.35">
      <c r="A415">
        <v>266</v>
      </c>
      <c r="B415">
        <v>264.92700000000002</v>
      </c>
      <c r="C415">
        <v>616322.348</v>
      </c>
      <c r="D415">
        <v>3097677.5260000001</v>
      </c>
      <c r="E415">
        <v>632.42949999999996</v>
      </c>
      <c r="F415">
        <v>4.5270000000000001</v>
      </c>
      <c r="G415">
        <v>0</v>
      </c>
      <c r="H415" t="s">
        <v>191</v>
      </c>
      <c r="I415">
        <v>0</v>
      </c>
      <c r="J415">
        <f t="shared" si="227"/>
        <v>0.99900000000002365</v>
      </c>
      <c r="K415">
        <f t="shared" si="228"/>
        <v>51</v>
      </c>
      <c r="L415" t="e">
        <f t="shared" ca="1" si="229"/>
        <v>#VALUE!</v>
      </c>
      <c r="M415" t="e">
        <f t="shared" ca="1" si="202"/>
        <v>#VALUE!</v>
      </c>
      <c r="N415" t="e">
        <f t="shared" ca="1" si="203"/>
        <v>#VALUE!</v>
      </c>
      <c r="O415" t="e">
        <f t="shared" ca="1" si="204"/>
        <v>#VALUE!</v>
      </c>
      <c r="P415" t="e">
        <f t="shared" ca="1" si="205"/>
        <v>#VALUE!</v>
      </c>
      <c r="Q415" t="e">
        <f t="shared" ca="1" si="206"/>
        <v>#VALUE!</v>
      </c>
      <c r="R415" t="e">
        <f t="shared" ca="1" si="207"/>
        <v>#VALUE!</v>
      </c>
      <c r="S415" t="e">
        <f t="shared" ca="1" si="208"/>
        <v>#VALUE!</v>
      </c>
      <c r="T415" t="e">
        <f t="shared" ca="1" si="209"/>
        <v>#VALUE!</v>
      </c>
      <c r="U415" t="e">
        <f t="shared" ca="1" si="230"/>
        <v>#VALUE!</v>
      </c>
      <c r="V415" t="e">
        <f t="shared" ca="1" si="231"/>
        <v>#VALUE!</v>
      </c>
      <c r="W415" t="e">
        <f t="shared" ca="1" si="210"/>
        <v>#VALUE!</v>
      </c>
      <c r="X415" t="e">
        <f t="shared" ca="1" si="211"/>
        <v>#VALUE!</v>
      </c>
      <c r="Y415" t="e">
        <f t="shared" ca="1" si="212"/>
        <v>#VALUE!</v>
      </c>
      <c r="Z415" t="e">
        <f t="shared" ca="1" si="213"/>
        <v>#VALUE!</v>
      </c>
      <c r="AA415" t="e">
        <f t="shared" ca="1" si="214"/>
        <v>#VALUE!</v>
      </c>
      <c r="AB415" t="e">
        <f t="shared" ca="1" si="215"/>
        <v>#VALUE!</v>
      </c>
      <c r="AC415" t="e">
        <f t="shared" ca="1" si="216"/>
        <v>#VALUE!</v>
      </c>
      <c r="AD415" t="e">
        <f t="shared" ca="1" si="217"/>
        <v>#VALUE!</v>
      </c>
      <c r="AE415" t="e">
        <f t="shared" ca="1" si="218"/>
        <v>#VALUE!</v>
      </c>
      <c r="AF415" t="e">
        <f t="shared" ca="1" si="219"/>
        <v>#VALUE!</v>
      </c>
      <c r="AG415" t="e">
        <f t="shared" ca="1" si="220"/>
        <v>#VALUE!</v>
      </c>
      <c r="AH415" t="e">
        <f ca="1">IF(V32="Supercritical",L415,IF(V32="Subcritical",W415,IF(AND(V415=1,AG415=1),IF(T415&gt;=AE415,L415,W415),IF(V415=1,L415,IF(AG415=1,W415,MAX($D$16,POWER((ABS(K415)^2)/($I$5*MAX(F415,0.1)^2),1/3)))))))</f>
        <v>#VALUE!</v>
      </c>
      <c r="AI415" t="e">
        <f t="shared" ca="1" si="221"/>
        <v>#VALUE!</v>
      </c>
      <c r="AJ415" t="e">
        <f t="shared" ca="1" si="222"/>
        <v>#VALUE!</v>
      </c>
      <c r="AM415">
        <v>0</v>
      </c>
      <c r="AN415">
        <v>0</v>
      </c>
      <c r="AO415">
        <f t="shared" si="223"/>
        <v>0</v>
      </c>
      <c r="AP415">
        <f t="shared" si="232"/>
        <v>0</v>
      </c>
      <c r="AQ415" t="e">
        <f t="shared" ca="1" si="224"/>
        <v>#VALUE!</v>
      </c>
      <c r="AR415" t="e">
        <f t="shared" ca="1" si="225"/>
        <v>#VALUE!</v>
      </c>
      <c r="AS415" t="e">
        <f t="shared" ca="1" si="226"/>
        <v>#VALUE!</v>
      </c>
    </row>
    <row r="416" spans="1:45" x14ac:dyDescent="0.35">
      <c r="A416">
        <v>267</v>
      </c>
      <c r="B416">
        <v>265.92700000000002</v>
      </c>
      <c r="C416">
        <v>616321.50199999998</v>
      </c>
      <c r="D416">
        <v>3097676.9929999998</v>
      </c>
      <c r="E416">
        <v>632.42899999999997</v>
      </c>
      <c r="F416">
        <v>4.5270000000000001</v>
      </c>
      <c r="G416">
        <v>0</v>
      </c>
      <c r="H416" t="s">
        <v>191</v>
      </c>
      <c r="I416">
        <v>0</v>
      </c>
      <c r="J416">
        <f t="shared" si="227"/>
        <v>1</v>
      </c>
      <c r="K416">
        <f t="shared" si="228"/>
        <v>51</v>
      </c>
      <c r="L416" t="e">
        <f t="shared" ca="1" si="229"/>
        <v>#VALUE!</v>
      </c>
      <c r="M416" t="e">
        <f t="shared" ca="1" si="202"/>
        <v>#VALUE!</v>
      </c>
      <c r="N416" t="e">
        <f t="shared" ca="1" si="203"/>
        <v>#VALUE!</v>
      </c>
      <c r="O416" t="e">
        <f t="shared" ca="1" si="204"/>
        <v>#VALUE!</v>
      </c>
      <c r="P416" t="e">
        <f t="shared" ca="1" si="205"/>
        <v>#VALUE!</v>
      </c>
      <c r="Q416" t="e">
        <f t="shared" ca="1" si="206"/>
        <v>#VALUE!</v>
      </c>
      <c r="R416" t="e">
        <f t="shared" ca="1" si="207"/>
        <v>#VALUE!</v>
      </c>
      <c r="S416" t="e">
        <f t="shared" ca="1" si="208"/>
        <v>#VALUE!</v>
      </c>
      <c r="T416" t="e">
        <f t="shared" ca="1" si="209"/>
        <v>#VALUE!</v>
      </c>
      <c r="U416" t="e">
        <f t="shared" ca="1" si="230"/>
        <v>#VALUE!</v>
      </c>
      <c r="V416" t="e">
        <f t="shared" ca="1" si="231"/>
        <v>#VALUE!</v>
      </c>
      <c r="W416" t="e">
        <f t="shared" ca="1" si="210"/>
        <v>#VALUE!</v>
      </c>
      <c r="X416" t="e">
        <f t="shared" ca="1" si="211"/>
        <v>#VALUE!</v>
      </c>
      <c r="Y416" t="e">
        <f t="shared" ca="1" si="212"/>
        <v>#VALUE!</v>
      </c>
      <c r="Z416" t="e">
        <f t="shared" ca="1" si="213"/>
        <v>#VALUE!</v>
      </c>
      <c r="AA416" t="e">
        <f t="shared" ca="1" si="214"/>
        <v>#VALUE!</v>
      </c>
      <c r="AB416" t="e">
        <f t="shared" ca="1" si="215"/>
        <v>#VALUE!</v>
      </c>
      <c r="AC416" t="e">
        <f t="shared" ca="1" si="216"/>
        <v>#VALUE!</v>
      </c>
      <c r="AD416" t="e">
        <f t="shared" ca="1" si="217"/>
        <v>#VALUE!</v>
      </c>
      <c r="AE416" t="e">
        <f t="shared" ca="1" si="218"/>
        <v>#VALUE!</v>
      </c>
      <c r="AF416" t="e">
        <f t="shared" ca="1" si="219"/>
        <v>#VALUE!</v>
      </c>
      <c r="AG416" t="e">
        <f t="shared" ca="1" si="220"/>
        <v>#VALUE!</v>
      </c>
      <c r="AH416" t="e">
        <f ca="1">IF(V32="Supercritical",L416,IF(V32="Subcritical",W416,IF(AND(V416=1,AG416=1),IF(T416&gt;=AE416,L416,W416),IF(V416=1,L416,IF(AG416=1,W416,MAX($D$16,POWER((ABS(K416)^2)/($I$5*MAX(F416,0.1)^2),1/3)))))))</f>
        <v>#VALUE!</v>
      </c>
      <c r="AI416" t="e">
        <f t="shared" ca="1" si="221"/>
        <v>#VALUE!</v>
      </c>
      <c r="AJ416" t="e">
        <f t="shared" ca="1" si="222"/>
        <v>#VALUE!</v>
      </c>
      <c r="AM416">
        <v>0</v>
      </c>
      <c r="AN416">
        <v>0</v>
      </c>
      <c r="AO416">
        <f t="shared" si="223"/>
        <v>0</v>
      </c>
      <c r="AP416">
        <f t="shared" si="232"/>
        <v>0</v>
      </c>
      <c r="AQ416" t="e">
        <f t="shared" ca="1" si="224"/>
        <v>#VALUE!</v>
      </c>
      <c r="AR416" t="e">
        <f t="shared" ca="1" si="225"/>
        <v>#VALUE!</v>
      </c>
      <c r="AS416" t="e">
        <f t="shared" ca="1" si="226"/>
        <v>#VALUE!</v>
      </c>
    </row>
    <row r="417" spans="1:45" x14ac:dyDescent="0.35">
      <c r="A417">
        <v>268</v>
      </c>
      <c r="B417">
        <v>266.92700000000002</v>
      </c>
      <c r="C417">
        <v>616320.65599999996</v>
      </c>
      <c r="D417">
        <v>3097676.46</v>
      </c>
      <c r="E417">
        <v>632.42849999999999</v>
      </c>
      <c r="F417">
        <v>4.5270000000000001</v>
      </c>
      <c r="G417">
        <v>0</v>
      </c>
      <c r="H417" t="s">
        <v>191</v>
      </c>
      <c r="I417">
        <v>0</v>
      </c>
      <c r="J417">
        <f t="shared" si="227"/>
        <v>1</v>
      </c>
      <c r="K417">
        <f t="shared" si="228"/>
        <v>51</v>
      </c>
      <c r="L417" t="e">
        <f t="shared" ca="1" si="229"/>
        <v>#VALUE!</v>
      </c>
      <c r="M417" t="e">
        <f t="shared" ca="1" si="202"/>
        <v>#VALUE!</v>
      </c>
      <c r="N417" t="e">
        <f t="shared" ca="1" si="203"/>
        <v>#VALUE!</v>
      </c>
      <c r="O417" t="e">
        <f t="shared" ca="1" si="204"/>
        <v>#VALUE!</v>
      </c>
      <c r="P417" t="e">
        <f t="shared" ca="1" si="205"/>
        <v>#VALUE!</v>
      </c>
      <c r="Q417" t="e">
        <f t="shared" ca="1" si="206"/>
        <v>#VALUE!</v>
      </c>
      <c r="R417" t="e">
        <f t="shared" ca="1" si="207"/>
        <v>#VALUE!</v>
      </c>
      <c r="S417" t="e">
        <f t="shared" ca="1" si="208"/>
        <v>#VALUE!</v>
      </c>
      <c r="T417" t="e">
        <f t="shared" ca="1" si="209"/>
        <v>#VALUE!</v>
      </c>
      <c r="U417" t="e">
        <f t="shared" ca="1" si="230"/>
        <v>#VALUE!</v>
      </c>
      <c r="V417" t="e">
        <f t="shared" ca="1" si="231"/>
        <v>#VALUE!</v>
      </c>
      <c r="W417" t="e">
        <f t="shared" ca="1" si="210"/>
        <v>#VALUE!</v>
      </c>
      <c r="X417" t="e">
        <f t="shared" ca="1" si="211"/>
        <v>#VALUE!</v>
      </c>
      <c r="Y417" t="e">
        <f t="shared" ca="1" si="212"/>
        <v>#VALUE!</v>
      </c>
      <c r="Z417" t="e">
        <f t="shared" ca="1" si="213"/>
        <v>#VALUE!</v>
      </c>
      <c r="AA417" t="e">
        <f t="shared" ca="1" si="214"/>
        <v>#VALUE!</v>
      </c>
      <c r="AB417" t="e">
        <f t="shared" ca="1" si="215"/>
        <v>#VALUE!</v>
      </c>
      <c r="AC417" t="e">
        <f t="shared" ca="1" si="216"/>
        <v>#VALUE!</v>
      </c>
      <c r="AD417" t="e">
        <f t="shared" ca="1" si="217"/>
        <v>#VALUE!</v>
      </c>
      <c r="AE417" t="e">
        <f t="shared" ca="1" si="218"/>
        <v>#VALUE!</v>
      </c>
      <c r="AF417" t="e">
        <f t="shared" ca="1" si="219"/>
        <v>#VALUE!</v>
      </c>
      <c r="AG417" t="e">
        <f t="shared" ca="1" si="220"/>
        <v>#VALUE!</v>
      </c>
      <c r="AH417" t="e">
        <f ca="1">IF(V32="Supercritical",L417,IF(V32="Subcritical",W417,IF(AND(V417=1,AG417=1),IF(T417&gt;=AE417,L417,W417),IF(V417=1,L417,IF(AG417=1,W417,MAX($D$16,POWER((ABS(K417)^2)/($I$5*MAX(F417,0.1)^2),1/3)))))))</f>
        <v>#VALUE!</v>
      </c>
      <c r="AI417" t="e">
        <f t="shared" ca="1" si="221"/>
        <v>#VALUE!</v>
      </c>
      <c r="AJ417" t="e">
        <f t="shared" ca="1" si="222"/>
        <v>#VALUE!</v>
      </c>
      <c r="AM417">
        <v>0</v>
      </c>
      <c r="AN417">
        <v>0</v>
      </c>
      <c r="AO417">
        <f t="shared" si="223"/>
        <v>0</v>
      </c>
      <c r="AP417">
        <f t="shared" si="232"/>
        <v>0</v>
      </c>
      <c r="AQ417" t="e">
        <f t="shared" ca="1" si="224"/>
        <v>#VALUE!</v>
      </c>
      <c r="AR417" t="e">
        <f t="shared" ca="1" si="225"/>
        <v>#VALUE!</v>
      </c>
      <c r="AS417" t="e">
        <f t="shared" ca="1" si="226"/>
        <v>#VALUE!</v>
      </c>
    </row>
    <row r="418" spans="1:45" x14ac:dyDescent="0.35">
      <c r="A418">
        <v>269</v>
      </c>
      <c r="B418">
        <v>267.92700000000002</v>
      </c>
      <c r="C418">
        <v>616319.81000000006</v>
      </c>
      <c r="D418">
        <v>3097675.9270000001</v>
      </c>
      <c r="E418">
        <v>632.428</v>
      </c>
      <c r="F418">
        <v>4.5270000000000001</v>
      </c>
      <c r="G418">
        <v>0</v>
      </c>
      <c r="H418" t="s">
        <v>191</v>
      </c>
      <c r="I418">
        <v>0</v>
      </c>
      <c r="J418">
        <f t="shared" si="227"/>
        <v>1</v>
      </c>
      <c r="K418">
        <f t="shared" si="228"/>
        <v>51</v>
      </c>
      <c r="L418" t="e">
        <f t="shared" ca="1" si="229"/>
        <v>#VALUE!</v>
      </c>
      <c r="M418" t="e">
        <f t="shared" ca="1" si="202"/>
        <v>#VALUE!</v>
      </c>
      <c r="N418" t="e">
        <f t="shared" ca="1" si="203"/>
        <v>#VALUE!</v>
      </c>
      <c r="O418" t="e">
        <f t="shared" ca="1" si="204"/>
        <v>#VALUE!</v>
      </c>
      <c r="P418" t="e">
        <f t="shared" ca="1" si="205"/>
        <v>#VALUE!</v>
      </c>
      <c r="Q418" t="e">
        <f t="shared" ca="1" si="206"/>
        <v>#VALUE!</v>
      </c>
      <c r="R418" t="e">
        <f t="shared" ca="1" si="207"/>
        <v>#VALUE!</v>
      </c>
      <c r="S418" t="e">
        <f t="shared" ca="1" si="208"/>
        <v>#VALUE!</v>
      </c>
      <c r="T418" t="e">
        <f t="shared" ca="1" si="209"/>
        <v>#VALUE!</v>
      </c>
      <c r="U418" t="e">
        <f t="shared" ca="1" si="230"/>
        <v>#VALUE!</v>
      </c>
      <c r="V418" t="e">
        <f t="shared" ca="1" si="231"/>
        <v>#VALUE!</v>
      </c>
      <c r="W418" t="e">
        <f t="shared" ca="1" si="210"/>
        <v>#VALUE!</v>
      </c>
      <c r="X418" t="e">
        <f t="shared" ca="1" si="211"/>
        <v>#VALUE!</v>
      </c>
      <c r="Y418" t="e">
        <f t="shared" ca="1" si="212"/>
        <v>#VALUE!</v>
      </c>
      <c r="Z418" t="e">
        <f t="shared" ca="1" si="213"/>
        <v>#VALUE!</v>
      </c>
      <c r="AA418" t="e">
        <f t="shared" ca="1" si="214"/>
        <v>#VALUE!</v>
      </c>
      <c r="AB418" t="e">
        <f t="shared" ca="1" si="215"/>
        <v>#VALUE!</v>
      </c>
      <c r="AC418" t="e">
        <f t="shared" ca="1" si="216"/>
        <v>#VALUE!</v>
      </c>
      <c r="AD418" t="e">
        <f t="shared" ca="1" si="217"/>
        <v>#VALUE!</v>
      </c>
      <c r="AE418" t="e">
        <f t="shared" ca="1" si="218"/>
        <v>#VALUE!</v>
      </c>
      <c r="AF418" t="e">
        <f t="shared" ca="1" si="219"/>
        <v>#VALUE!</v>
      </c>
      <c r="AG418" t="e">
        <f t="shared" ca="1" si="220"/>
        <v>#VALUE!</v>
      </c>
      <c r="AH418" t="e">
        <f ca="1">IF(V32="Supercritical",L418,IF(V32="Subcritical",W418,IF(AND(V418=1,AG418=1),IF(T418&gt;=AE418,L418,W418),IF(V418=1,L418,IF(AG418=1,W418,MAX($D$16,POWER((ABS(K418)^2)/($I$5*MAX(F418,0.1)^2),1/3)))))))</f>
        <v>#VALUE!</v>
      </c>
      <c r="AI418" t="e">
        <f t="shared" ca="1" si="221"/>
        <v>#VALUE!</v>
      </c>
      <c r="AJ418" t="e">
        <f t="shared" ca="1" si="222"/>
        <v>#VALUE!</v>
      </c>
      <c r="AM418">
        <v>0</v>
      </c>
      <c r="AN418">
        <v>0</v>
      </c>
      <c r="AO418">
        <f t="shared" si="223"/>
        <v>0</v>
      </c>
      <c r="AP418">
        <f t="shared" si="232"/>
        <v>0</v>
      </c>
      <c r="AQ418" t="e">
        <f t="shared" ca="1" si="224"/>
        <v>#VALUE!</v>
      </c>
      <c r="AR418" t="e">
        <f t="shared" ca="1" si="225"/>
        <v>#VALUE!</v>
      </c>
      <c r="AS418" t="e">
        <f t="shared" ca="1" si="226"/>
        <v>#VALUE!</v>
      </c>
    </row>
    <row r="419" spans="1:45" x14ac:dyDescent="0.35">
      <c r="A419">
        <v>270</v>
      </c>
      <c r="B419">
        <v>268.92700000000002</v>
      </c>
      <c r="C419">
        <v>616318.96400000004</v>
      </c>
      <c r="D419">
        <v>3097675.3939999999</v>
      </c>
      <c r="E419">
        <v>632.42750000000001</v>
      </c>
      <c r="F419">
        <v>4.5270000000000001</v>
      </c>
      <c r="G419">
        <v>0</v>
      </c>
      <c r="H419" t="s">
        <v>191</v>
      </c>
      <c r="I419">
        <v>3.1E-2</v>
      </c>
      <c r="J419">
        <f t="shared" si="227"/>
        <v>1</v>
      </c>
      <c r="K419">
        <f t="shared" si="228"/>
        <v>51</v>
      </c>
      <c r="L419" t="e">
        <f t="shared" ca="1" si="229"/>
        <v>#VALUE!</v>
      </c>
      <c r="M419" t="e">
        <f t="shared" ca="1" si="202"/>
        <v>#VALUE!</v>
      </c>
      <c r="N419" t="e">
        <f t="shared" ca="1" si="203"/>
        <v>#VALUE!</v>
      </c>
      <c r="O419" t="e">
        <f t="shared" ca="1" si="204"/>
        <v>#VALUE!</v>
      </c>
      <c r="P419" t="e">
        <f t="shared" ca="1" si="205"/>
        <v>#VALUE!</v>
      </c>
      <c r="Q419" t="e">
        <f t="shared" ca="1" si="206"/>
        <v>#VALUE!</v>
      </c>
      <c r="R419" t="e">
        <f t="shared" ca="1" si="207"/>
        <v>#VALUE!</v>
      </c>
      <c r="S419" t="e">
        <f t="shared" ca="1" si="208"/>
        <v>#VALUE!</v>
      </c>
      <c r="T419" t="e">
        <f t="shared" ca="1" si="209"/>
        <v>#VALUE!</v>
      </c>
      <c r="U419" t="e">
        <f t="shared" ca="1" si="230"/>
        <v>#VALUE!</v>
      </c>
      <c r="V419" t="e">
        <f t="shared" ca="1" si="231"/>
        <v>#VALUE!</v>
      </c>
      <c r="W419" t="e">
        <f t="shared" ca="1" si="210"/>
        <v>#VALUE!</v>
      </c>
      <c r="X419" t="e">
        <f t="shared" ca="1" si="211"/>
        <v>#VALUE!</v>
      </c>
      <c r="Y419" t="e">
        <f t="shared" ca="1" si="212"/>
        <v>#VALUE!</v>
      </c>
      <c r="Z419" t="e">
        <f t="shared" ca="1" si="213"/>
        <v>#VALUE!</v>
      </c>
      <c r="AA419" t="e">
        <f t="shared" ca="1" si="214"/>
        <v>#VALUE!</v>
      </c>
      <c r="AB419" t="e">
        <f t="shared" ca="1" si="215"/>
        <v>#VALUE!</v>
      </c>
      <c r="AC419" t="e">
        <f t="shared" ca="1" si="216"/>
        <v>#VALUE!</v>
      </c>
      <c r="AD419" t="e">
        <f t="shared" ca="1" si="217"/>
        <v>#VALUE!</v>
      </c>
      <c r="AE419" t="e">
        <f t="shared" ca="1" si="218"/>
        <v>#VALUE!</v>
      </c>
      <c r="AF419" t="e">
        <f t="shared" ca="1" si="219"/>
        <v>#VALUE!</v>
      </c>
      <c r="AG419" t="e">
        <f t="shared" ca="1" si="220"/>
        <v>#VALUE!</v>
      </c>
      <c r="AH419" t="e">
        <f ca="1">IF(V32="Supercritical",L419,IF(V32="Subcritical",W419,IF(AND(V419=1,AG419=1),IF(T419&gt;=AE419,L419,W419),IF(V419=1,L419,IF(AG419=1,W419,MAX($D$16,POWER((ABS(K419)^2)/($I$5*MAX(F419,0.1)^2),1/3)))))))</f>
        <v>#VALUE!</v>
      </c>
      <c r="AI419" t="e">
        <f t="shared" ca="1" si="221"/>
        <v>#VALUE!</v>
      </c>
      <c r="AJ419" t="e">
        <f t="shared" ca="1" si="222"/>
        <v>#VALUE!</v>
      </c>
      <c r="AM419">
        <v>0</v>
      </c>
      <c r="AN419">
        <v>0</v>
      </c>
      <c r="AO419">
        <f t="shared" si="223"/>
        <v>0</v>
      </c>
      <c r="AP419">
        <f t="shared" si="232"/>
        <v>0</v>
      </c>
      <c r="AQ419" t="e">
        <f t="shared" ca="1" si="224"/>
        <v>#VALUE!</v>
      </c>
      <c r="AR419" t="e">
        <f t="shared" ca="1" si="225"/>
        <v>#VALUE!</v>
      </c>
      <c r="AS419" t="e">
        <f t="shared" ca="1" si="226"/>
        <v>#VALUE!</v>
      </c>
    </row>
    <row r="420" spans="1:45" x14ac:dyDescent="0.35">
      <c r="A420">
        <v>271</v>
      </c>
      <c r="B420">
        <v>269.928</v>
      </c>
      <c r="C420">
        <v>616318.11699999997</v>
      </c>
      <c r="D420">
        <v>3097674.861</v>
      </c>
      <c r="E420">
        <v>632.42700000000002</v>
      </c>
      <c r="F420">
        <v>4.5270000000000001</v>
      </c>
      <c r="G420">
        <v>0</v>
      </c>
      <c r="H420" t="s">
        <v>191</v>
      </c>
      <c r="I420">
        <v>3.1E-2</v>
      </c>
      <c r="J420">
        <f t="shared" si="227"/>
        <v>1.0009999999999764</v>
      </c>
      <c r="K420">
        <f t="shared" si="228"/>
        <v>51</v>
      </c>
      <c r="L420" t="e">
        <f t="shared" ca="1" si="229"/>
        <v>#VALUE!</v>
      </c>
      <c r="M420" t="e">
        <f t="shared" ca="1" si="202"/>
        <v>#VALUE!</v>
      </c>
      <c r="N420" t="e">
        <f t="shared" ca="1" si="203"/>
        <v>#VALUE!</v>
      </c>
      <c r="O420" t="e">
        <f t="shared" ca="1" si="204"/>
        <v>#VALUE!</v>
      </c>
      <c r="P420" t="e">
        <f t="shared" ca="1" si="205"/>
        <v>#VALUE!</v>
      </c>
      <c r="Q420" t="e">
        <f t="shared" ca="1" si="206"/>
        <v>#VALUE!</v>
      </c>
      <c r="R420" t="e">
        <f t="shared" ca="1" si="207"/>
        <v>#VALUE!</v>
      </c>
      <c r="S420" t="e">
        <f t="shared" ca="1" si="208"/>
        <v>#VALUE!</v>
      </c>
      <c r="T420" t="e">
        <f t="shared" ca="1" si="209"/>
        <v>#VALUE!</v>
      </c>
      <c r="U420" t="e">
        <f t="shared" ca="1" si="230"/>
        <v>#VALUE!</v>
      </c>
      <c r="V420" t="e">
        <f t="shared" ca="1" si="231"/>
        <v>#VALUE!</v>
      </c>
      <c r="W420" t="e">
        <f t="shared" ca="1" si="210"/>
        <v>#VALUE!</v>
      </c>
      <c r="X420" t="e">
        <f t="shared" ca="1" si="211"/>
        <v>#VALUE!</v>
      </c>
      <c r="Y420" t="e">
        <f t="shared" ca="1" si="212"/>
        <v>#VALUE!</v>
      </c>
      <c r="Z420" t="e">
        <f t="shared" ca="1" si="213"/>
        <v>#VALUE!</v>
      </c>
      <c r="AA420" t="e">
        <f t="shared" ca="1" si="214"/>
        <v>#VALUE!</v>
      </c>
      <c r="AB420" t="e">
        <f t="shared" ca="1" si="215"/>
        <v>#VALUE!</v>
      </c>
      <c r="AC420" t="e">
        <f t="shared" ca="1" si="216"/>
        <v>#VALUE!</v>
      </c>
      <c r="AD420" t="e">
        <f t="shared" ca="1" si="217"/>
        <v>#VALUE!</v>
      </c>
      <c r="AE420" t="e">
        <f t="shared" ca="1" si="218"/>
        <v>#VALUE!</v>
      </c>
      <c r="AF420" t="e">
        <f t="shared" ca="1" si="219"/>
        <v>#VALUE!</v>
      </c>
      <c r="AG420" t="e">
        <f t="shared" ca="1" si="220"/>
        <v>#VALUE!</v>
      </c>
      <c r="AH420" t="e">
        <f ca="1">IF(V32="Supercritical",L420,IF(V32="Subcritical",W420,IF(AND(V420=1,AG420=1),IF(T420&gt;=AE420,L420,W420),IF(V420=1,L420,IF(AG420=1,W420,MAX($D$16,POWER((ABS(K420)^2)/($I$5*MAX(F420,0.1)^2),1/3)))))))</f>
        <v>#VALUE!</v>
      </c>
      <c r="AI420" t="e">
        <f t="shared" ca="1" si="221"/>
        <v>#VALUE!</v>
      </c>
      <c r="AJ420" t="e">
        <f t="shared" ca="1" si="222"/>
        <v>#VALUE!</v>
      </c>
      <c r="AM420">
        <v>0</v>
      </c>
      <c r="AN420">
        <v>0</v>
      </c>
      <c r="AO420">
        <f t="shared" si="223"/>
        <v>0</v>
      </c>
      <c r="AP420">
        <f t="shared" si="232"/>
        <v>0</v>
      </c>
      <c r="AQ420" t="e">
        <f t="shared" ca="1" si="224"/>
        <v>#VALUE!</v>
      </c>
      <c r="AR420" t="e">
        <f t="shared" ca="1" si="225"/>
        <v>#VALUE!</v>
      </c>
      <c r="AS420" t="e">
        <f t="shared" ca="1" si="226"/>
        <v>#VALUE!</v>
      </c>
    </row>
    <row r="421" spans="1:45" x14ac:dyDescent="0.35">
      <c r="A421">
        <v>272</v>
      </c>
      <c r="B421">
        <v>270.928</v>
      </c>
      <c r="C421">
        <v>616317.27099999995</v>
      </c>
      <c r="D421">
        <v>3097674.3280000002</v>
      </c>
      <c r="E421">
        <v>632.42650000000003</v>
      </c>
      <c r="F421">
        <v>4.5270000000000001</v>
      </c>
      <c r="G421">
        <v>0</v>
      </c>
      <c r="H421" t="s">
        <v>191</v>
      </c>
      <c r="I421">
        <v>0</v>
      </c>
      <c r="J421">
        <f t="shared" si="227"/>
        <v>1</v>
      </c>
      <c r="K421">
        <f t="shared" si="228"/>
        <v>51</v>
      </c>
      <c r="L421" t="e">
        <f t="shared" ca="1" si="229"/>
        <v>#VALUE!</v>
      </c>
      <c r="M421" t="e">
        <f t="shared" ca="1" si="202"/>
        <v>#VALUE!</v>
      </c>
      <c r="N421" t="e">
        <f t="shared" ca="1" si="203"/>
        <v>#VALUE!</v>
      </c>
      <c r="O421" t="e">
        <f t="shared" ca="1" si="204"/>
        <v>#VALUE!</v>
      </c>
      <c r="P421" t="e">
        <f t="shared" ca="1" si="205"/>
        <v>#VALUE!</v>
      </c>
      <c r="Q421" t="e">
        <f t="shared" ca="1" si="206"/>
        <v>#VALUE!</v>
      </c>
      <c r="R421" t="e">
        <f t="shared" ca="1" si="207"/>
        <v>#VALUE!</v>
      </c>
      <c r="S421" t="e">
        <f t="shared" ca="1" si="208"/>
        <v>#VALUE!</v>
      </c>
      <c r="T421" t="e">
        <f t="shared" ca="1" si="209"/>
        <v>#VALUE!</v>
      </c>
      <c r="U421" t="e">
        <f t="shared" ca="1" si="230"/>
        <v>#VALUE!</v>
      </c>
      <c r="V421" t="e">
        <f t="shared" ca="1" si="231"/>
        <v>#VALUE!</v>
      </c>
      <c r="W421" t="e">
        <f t="shared" ca="1" si="210"/>
        <v>#VALUE!</v>
      </c>
      <c r="X421" t="e">
        <f t="shared" ca="1" si="211"/>
        <v>#VALUE!</v>
      </c>
      <c r="Y421" t="e">
        <f t="shared" ca="1" si="212"/>
        <v>#VALUE!</v>
      </c>
      <c r="Z421" t="e">
        <f t="shared" ca="1" si="213"/>
        <v>#VALUE!</v>
      </c>
      <c r="AA421" t="e">
        <f t="shared" ca="1" si="214"/>
        <v>#VALUE!</v>
      </c>
      <c r="AB421" t="e">
        <f t="shared" ca="1" si="215"/>
        <v>#VALUE!</v>
      </c>
      <c r="AC421" t="e">
        <f t="shared" ca="1" si="216"/>
        <v>#VALUE!</v>
      </c>
      <c r="AD421" t="e">
        <f t="shared" ca="1" si="217"/>
        <v>#VALUE!</v>
      </c>
      <c r="AE421" t="e">
        <f t="shared" ca="1" si="218"/>
        <v>#VALUE!</v>
      </c>
      <c r="AF421" t="e">
        <f t="shared" ca="1" si="219"/>
        <v>#VALUE!</v>
      </c>
      <c r="AG421" t="e">
        <f t="shared" ca="1" si="220"/>
        <v>#VALUE!</v>
      </c>
      <c r="AH421" t="e">
        <f ca="1">IF(V32="Supercritical",L421,IF(V32="Subcritical",W421,IF(AND(V421=1,AG421=1),IF(T421&gt;=AE421,L421,W421),IF(V421=1,L421,IF(AG421=1,W421,MAX($D$16,POWER((ABS(K421)^2)/($I$5*MAX(F421,0.1)^2),1/3)))))))</f>
        <v>#VALUE!</v>
      </c>
      <c r="AI421" t="e">
        <f t="shared" ca="1" si="221"/>
        <v>#VALUE!</v>
      </c>
      <c r="AJ421" t="e">
        <f t="shared" ca="1" si="222"/>
        <v>#VALUE!</v>
      </c>
      <c r="AM421">
        <v>0</v>
      </c>
      <c r="AN421">
        <v>0</v>
      </c>
      <c r="AO421">
        <f t="shared" si="223"/>
        <v>0</v>
      </c>
      <c r="AP421">
        <f t="shared" si="232"/>
        <v>0</v>
      </c>
      <c r="AQ421" t="e">
        <f t="shared" ca="1" si="224"/>
        <v>#VALUE!</v>
      </c>
      <c r="AR421" t="e">
        <f t="shared" ca="1" si="225"/>
        <v>#VALUE!</v>
      </c>
      <c r="AS421" t="e">
        <f t="shared" ca="1" si="226"/>
        <v>#VALUE!</v>
      </c>
    </row>
    <row r="422" spans="1:45" x14ac:dyDescent="0.35">
      <c r="A422">
        <v>273</v>
      </c>
      <c r="B422">
        <v>271.928</v>
      </c>
      <c r="C422">
        <v>616316.42500000005</v>
      </c>
      <c r="D422">
        <v>3097673.7949999999</v>
      </c>
      <c r="E422">
        <v>632.42600000000004</v>
      </c>
      <c r="F422">
        <v>4.5270000000000001</v>
      </c>
      <c r="G422">
        <v>0</v>
      </c>
      <c r="H422" t="s">
        <v>191</v>
      </c>
      <c r="I422">
        <v>0</v>
      </c>
      <c r="J422">
        <f t="shared" si="227"/>
        <v>1</v>
      </c>
      <c r="K422">
        <f t="shared" si="228"/>
        <v>51</v>
      </c>
      <c r="L422" t="e">
        <f t="shared" ca="1" si="229"/>
        <v>#VALUE!</v>
      </c>
      <c r="M422" t="e">
        <f t="shared" ca="1" si="202"/>
        <v>#VALUE!</v>
      </c>
      <c r="N422" t="e">
        <f t="shared" ca="1" si="203"/>
        <v>#VALUE!</v>
      </c>
      <c r="O422" t="e">
        <f t="shared" ca="1" si="204"/>
        <v>#VALUE!</v>
      </c>
      <c r="P422" t="e">
        <f t="shared" ca="1" si="205"/>
        <v>#VALUE!</v>
      </c>
      <c r="Q422" t="e">
        <f t="shared" ca="1" si="206"/>
        <v>#VALUE!</v>
      </c>
      <c r="R422" t="e">
        <f t="shared" ca="1" si="207"/>
        <v>#VALUE!</v>
      </c>
      <c r="S422" t="e">
        <f t="shared" ca="1" si="208"/>
        <v>#VALUE!</v>
      </c>
      <c r="T422" t="e">
        <f t="shared" ca="1" si="209"/>
        <v>#VALUE!</v>
      </c>
      <c r="U422" t="e">
        <f t="shared" ca="1" si="230"/>
        <v>#VALUE!</v>
      </c>
      <c r="V422" t="e">
        <f t="shared" ca="1" si="231"/>
        <v>#VALUE!</v>
      </c>
      <c r="W422" t="e">
        <f t="shared" ca="1" si="210"/>
        <v>#VALUE!</v>
      </c>
      <c r="X422" t="e">
        <f t="shared" ca="1" si="211"/>
        <v>#VALUE!</v>
      </c>
      <c r="Y422" t="e">
        <f t="shared" ca="1" si="212"/>
        <v>#VALUE!</v>
      </c>
      <c r="Z422" t="e">
        <f t="shared" ca="1" si="213"/>
        <v>#VALUE!</v>
      </c>
      <c r="AA422" t="e">
        <f t="shared" ca="1" si="214"/>
        <v>#VALUE!</v>
      </c>
      <c r="AB422" t="e">
        <f t="shared" ca="1" si="215"/>
        <v>#VALUE!</v>
      </c>
      <c r="AC422" t="e">
        <f t="shared" ca="1" si="216"/>
        <v>#VALUE!</v>
      </c>
      <c r="AD422" t="e">
        <f t="shared" ca="1" si="217"/>
        <v>#VALUE!</v>
      </c>
      <c r="AE422" t="e">
        <f t="shared" ca="1" si="218"/>
        <v>#VALUE!</v>
      </c>
      <c r="AF422" t="e">
        <f t="shared" ca="1" si="219"/>
        <v>#VALUE!</v>
      </c>
      <c r="AG422" t="e">
        <f t="shared" ca="1" si="220"/>
        <v>#VALUE!</v>
      </c>
      <c r="AH422" t="e">
        <f ca="1">IF(V32="Supercritical",L422,IF(V32="Subcritical",W422,IF(AND(V422=1,AG422=1),IF(T422&gt;=AE422,L422,W422),IF(V422=1,L422,IF(AG422=1,W422,MAX($D$16,POWER((ABS(K422)^2)/($I$5*MAX(F422,0.1)^2),1/3)))))))</f>
        <v>#VALUE!</v>
      </c>
      <c r="AI422" t="e">
        <f t="shared" ca="1" si="221"/>
        <v>#VALUE!</v>
      </c>
      <c r="AJ422" t="e">
        <f t="shared" ca="1" si="222"/>
        <v>#VALUE!</v>
      </c>
      <c r="AM422">
        <v>0</v>
      </c>
      <c r="AN422">
        <v>0</v>
      </c>
      <c r="AO422">
        <f t="shared" si="223"/>
        <v>0</v>
      </c>
      <c r="AP422">
        <f t="shared" si="232"/>
        <v>0</v>
      </c>
      <c r="AQ422" t="e">
        <f t="shared" ca="1" si="224"/>
        <v>#VALUE!</v>
      </c>
      <c r="AR422" t="e">
        <f t="shared" ca="1" si="225"/>
        <v>#VALUE!</v>
      </c>
      <c r="AS422" t="e">
        <f t="shared" ca="1" si="226"/>
        <v>#VALUE!</v>
      </c>
    </row>
    <row r="423" spans="1:45" x14ac:dyDescent="0.35">
      <c r="A423">
        <v>274</v>
      </c>
      <c r="B423">
        <v>272.92700000000002</v>
      </c>
      <c r="C423">
        <v>616315.57900000003</v>
      </c>
      <c r="D423">
        <v>3097673.2620000001</v>
      </c>
      <c r="E423">
        <v>632.42550000000006</v>
      </c>
      <c r="F423">
        <v>4.5270000000000001</v>
      </c>
      <c r="G423">
        <v>0</v>
      </c>
      <c r="H423" t="s">
        <v>191</v>
      </c>
      <c r="I423">
        <v>0</v>
      </c>
      <c r="J423">
        <f t="shared" si="227"/>
        <v>0.99900000000002365</v>
      </c>
      <c r="K423">
        <f t="shared" si="228"/>
        <v>51</v>
      </c>
      <c r="L423" t="e">
        <f t="shared" ca="1" si="229"/>
        <v>#VALUE!</v>
      </c>
      <c r="M423" t="e">
        <f t="shared" ca="1" si="202"/>
        <v>#VALUE!</v>
      </c>
      <c r="N423" t="e">
        <f t="shared" ca="1" si="203"/>
        <v>#VALUE!</v>
      </c>
      <c r="O423" t="e">
        <f t="shared" ca="1" si="204"/>
        <v>#VALUE!</v>
      </c>
      <c r="P423" t="e">
        <f t="shared" ca="1" si="205"/>
        <v>#VALUE!</v>
      </c>
      <c r="Q423" t="e">
        <f t="shared" ca="1" si="206"/>
        <v>#VALUE!</v>
      </c>
      <c r="R423" t="e">
        <f t="shared" ca="1" si="207"/>
        <v>#VALUE!</v>
      </c>
      <c r="S423" t="e">
        <f t="shared" ca="1" si="208"/>
        <v>#VALUE!</v>
      </c>
      <c r="T423" t="e">
        <f t="shared" ca="1" si="209"/>
        <v>#VALUE!</v>
      </c>
      <c r="U423" t="e">
        <f t="shared" ca="1" si="230"/>
        <v>#VALUE!</v>
      </c>
      <c r="V423" t="e">
        <f t="shared" ca="1" si="231"/>
        <v>#VALUE!</v>
      </c>
      <c r="W423" t="e">
        <f t="shared" ca="1" si="210"/>
        <v>#VALUE!</v>
      </c>
      <c r="X423" t="e">
        <f t="shared" ca="1" si="211"/>
        <v>#VALUE!</v>
      </c>
      <c r="Y423" t="e">
        <f t="shared" ca="1" si="212"/>
        <v>#VALUE!</v>
      </c>
      <c r="Z423" t="e">
        <f t="shared" ca="1" si="213"/>
        <v>#VALUE!</v>
      </c>
      <c r="AA423" t="e">
        <f t="shared" ca="1" si="214"/>
        <v>#VALUE!</v>
      </c>
      <c r="AB423" t="e">
        <f t="shared" ca="1" si="215"/>
        <v>#VALUE!</v>
      </c>
      <c r="AC423" t="e">
        <f t="shared" ca="1" si="216"/>
        <v>#VALUE!</v>
      </c>
      <c r="AD423" t="e">
        <f t="shared" ca="1" si="217"/>
        <v>#VALUE!</v>
      </c>
      <c r="AE423" t="e">
        <f t="shared" ca="1" si="218"/>
        <v>#VALUE!</v>
      </c>
      <c r="AF423" t="e">
        <f t="shared" ca="1" si="219"/>
        <v>#VALUE!</v>
      </c>
      <c r="AG423" t="e">
        <f t="shared" ca="1" si="220"/>
        <v>#VALUE!</v>
      </c>
      <c r="AH423" t="e">
        <f ca="1">IF(V32="Supercritical",L423,IF(V32="Subcritical",W423,IF(AND(V423=1,AG423=1),IF(T423&gt;=AE423,L423,W423),IF(V423=1,L423,IF(AG423=1,W423,MAX($D$16,POWER((ABS(K423)^2)/($I$5*MAX(F423,0.1)^2),1/3)))))))</f>
        <v>#VALUE!</v>
      </c>
      <c r="AI423" t="e">
        <f t="shared" ca="1" si="221"/>
        <v>#VALUE!</v>
      </c>
      <c r="AJ423" t="e">
        <f t="shared" ca="1" si="222"/>
        <v>#VALUE!</v>
      </c>
      <c r="AM423">
        <v>0</v>
      </c>
      <c r="AN423">
        <v>0</v>
      </c>
      <c r="AO423">
        <f t="shared" si="223"/>
        <v>0</v>
      </c>
      <c r="AP423">
        <f t="shared" si="232"/>
        <v>0</v>
      </c>
      <c r="AQ423" t="e">
        <f t="shared" ca="1" si="224"/>
        <v>#VALUE!</v>
      </c>
      <c r="AR423" t="e">
        <f t="shared" ca="1" si="225"/>
        <v>#VALUE!</v>
      </c>
      <c r="AS423" t="e">
        <f t="shared" ca="1" si="226"/>
        <v>#VALUE!</v>
      </c>
    </row>
    <row r="424" spans="1:45" x14ac:dyDescent="0.35">
      <c r="A424">
        <v>275</v>
      </c>
      <c r="B424">
        <v>273.92700000000002</v>
      </c>
      <c r="C424">
        <v>616314.73300000001</v>
      </c>
      <c r="D424">
        <v>3097672.7289999998</v>
      </c>
      <c r="E424">
        <v>632.42499999999995</v>
      </c>
      <c r="F424">
        <v>4.5270000000000001</v>
      </c>
      <c r="G424">
        <v>0</v>
      </c>
      <c r="H424" t="s">
        <v>191</v>
      </c>
      <c r="I424">
        <v>0</v>
      </c>
      <c r="J424">
        <f t="shared" si="227"/>
        <v>1</v>
      </c>
      <c r="K424">
        <f t="shared" si="228"/>
        <v>51</v>
      </c>
      <c r="L424" t="e">
        <f t="shared" ca="1" si="229"/>
        <v>#VALUE!</v>
      </c>
      <c r="M424" t="e">
        <f t="shared" ca="1" si="202"/>
        <v>#VALUE!</v>
      </c>
      <c r="N424" t="e">
        <f t="shared" ca="1" si="203"/>
        <v>#VALUE!</v>
      </c>
      <c r="O424" t="e">
        <f t="shared" ca="1" si="204"/>
        <v>#VALUE!</v>
      </c>
      <c r="P424" t="e">
        <f t="shared" ca="1" si="205"/>
        <v>#VALUE!</v>
      </c>
      <c r="Q424" t="e">
        <f t="shared" ca="1" si="206"/>
        <v>#VALUE!</v>
      </c>
      <c r="R424" t="e">
        <f t="shared" ca="1" si="207"/>
        <v>#VALUE!</v>
      </c>
      <c r="S424" t="e">
        <f t="shared" ca="1" si="208"/>
        <v>#VALUE!</v>
      </c>
      <c r="T424" t="e">
        <f t="shared" ca="1" si="209"/>
        <v>#VALUE!</v>
      </c>
      <c r="U424" t="e">
        <f t="shared" ca="1" si="230"/>
        <v>#VALUE!</v>
      </c>
      <c r="V424" t="e">
        <f t="shared" ca="1" si="231"/>
        <v>#VALUE!</v>
      </c>
      <c r="W424" t="e">
        <f t="shared" ca="1" si="210"/>
        <v>#VALUE!</v>
      </c>
      <c r="X424" t="e">
        <f t="shared" ca="1" si="211"/>
        <v>#VALUE!</v>
      </c>
      <c r="Y424" t="e">
        <f t="shared" ca="1" si="212"/>
        <v>#VALUE!</v>
      </c>
      <c r="Z424" t="e">
        <f t="shared" ca="1" si="213"/>
        <v>#VALUE!</v>
      </c>
      <c r="AA424" t="e">
        <f t="shared" ca="1" si="214"/>
        <v>#VALUE!</v>
      </c>
      <c r="AB424" t="e">
        <f t="shared" ca="1" si="215"/>
        <v>#VALUE!</v>
      </c>
      <c r="AC424" t="e">
        <f t="shared" ca="1" si="216"/>
        <v>#VALUE!</v>
      </c>
      <c r="AD424" t="e">
        <f t="shared" ca="1" si="217"/>
        <v>#VALUE!</v>
      </c>
      <c r="AE424" t="e">
        <f t="shared" ca="1" si="218"/>
        <v>#VALUE!</v>
      </c>
      <c r="AF424" t="e">
        <f t="shared" ca="1" si="219"/>
        <v>#VALUE!</v>
      </c>
      <c r="AG424" t="e">
        <f t="shared" ca="1" si="220"/>
        <v>#VALUE!</v>
      </c>
      <c r="AH424" t="e">
        <f ca="1">IF(V32="Supercritical",L424,IF(V32="Subcritical",W424,IF(AND(V424=1,AG424=1),IF(T424&gt;=AE424,L424,W424),IF(V424=1,L424,IF(AG424=1,W424,MAX($D$16,POWER((ABS(K424)^2)/($I$5*MAX(F424,0.1)^2),1/3)))))))</f>
        <v>#VALUE!</v>
      </c>
      <c r="AI424" t="e">
        <f t="shared" ca="1" si="221"/>
        <v>#VALUE!</v>
      </c>
      <c r="AJ424" t="e">
        <f t="shared" ca="1" si="222"/>
        <v>#VALUE!</v>
      </c>
      <c r="AM424">
        <v>0</v>
      </c>
      <c r="AN424">
        <v>0</v>
      </c>
      <c r="AO424">
        <f t="shared" si="223"/>
        <v>0</v>
      </c>
      <c r="AP424">
        <f t="shared" si="232"/>
        <v>0</v>
      </c>
      <c r="AQ424" t="e">
        <f t="shared" ca="1" si="224"/>
        <v>#VALUE!</v>
      </c>
      <c r="AR424" t="e">
        <f t="shared" ca="1" si="225"/>
        <v>#VALUE!</v>
      </c>
      <c r="AS424" t="e">
        <f t="shared" ca="1" si="226"/>
        <v>#VALUE!</v>
      </c>
    </row>
    <row r="425" spans="1:45" x14ac:dyDescent="0.35">
      <c r="A425">
        <v>276</v>
      </c>
      <c r="B425">
        <v>274.92700000000002</v>
      </c>
      <c r="C425">
        <v>616313.88699999999</v>
      </c>
      <c r="D425">
        <v>3097672.196</v>
      </c>
      <c r="E425">
        <v>632.42449999999997</v>
      </c>
      <c r="F425">
        <v>4.5270000000000001</v>
      </c>
      <c r="G425">
        <v>0</v>
      </c>
      <c r="H425" t="s">
        <v>191</v>
      </c>
      <c r="I425">
        <v>0</v>
      </c>
      <c r="J425">
        <f t="shared" si="227"/>
        <v>1</v>
      </c>
      <c r="K425">
        <f t="shared" si="228"/>
        <v>51</v>
      </c>
      <c r="L425" t="e">
        <f t="shared" ca="1" si="229"/>
        <v>#VALUE!</v>
      </c>
      <c r="M425" t="e">
        <f t="shared" ca="1" si="202"/>
        <v>#VALUE!</v>
      </c>
      <c r="N425" t="e">
        <f t="shared" ca="1" si="203"/>
        <v>#VALUE!</v>
      </c>
      <c r="O425" t="e">
        <f t="shared" ca="1" si="204"/>
        <v>#VALUE!</v>
      </c>
      <c r="P425" t="e">
        <f t="shared" ca="1" si="205"/>
        <v>#VALUE!</v>
      </c>
      <c r="Q425" t="e">
        <f t="shared" ca="1" si="206"/>
        <v>#VALUE!</v>
      </c>
      <c r="R425" t="e">
        <f t="shared" ca="1" si="207"/>
        <v>#VALUE!</v>
      </c>
      <c r="S425" t="e">
        <f t="shared" ca="1" si="208"/>
        <v>#VALUE!</v>
      </c>
      <c r="T425" t="e">
        <f t="shared" ca="1" si="209"/>
        <v>#VALUE!</v>
      </c>
      <c r="U425" t="e">
        <f t="shared" ca="1" si="230"/>
        <v>#VALUE!</v>
      </c>
      <c r="V425" t="e">
        <f t="shared" ca="1" si="231"/>
        <v>#VALUE!</v>
      </c>
      <c r="W425" t="e">
        <f t="shared" ca="1" si="210"/>
        <v>#VALUE!</v>
      </c>
      <c r="X425" t="e">
        <f t="shared" ca="1" si="211"/>
        <v>#VALUE!</v>
      </c>
      <c r="Y425" t="e">
        <f t="shared" ca="1" si="212"/>
        <v>#VALUE!</v>
      </c>
      <c r="Z425" t="e">
        <f t="shared" ca="1" si="213"/>
        <v>#VALUE!</v>
      </c>
      <c r="AA425" t="e">
        <f t="shared" ca="1" si="214"/>
        <v>#VALUE!</v>
      </c>
      <c r="AB425" t="e">
        <f t="shared" ca="1" si="215"/>
        <v>#VALUE!</v>
      </c>
      <c r="AC425" t="e">
        <f t="shared" ca="1" si="216"/>
        <v>#VALUE!</v>
      </c>
      <c r="AD425" t="e">
        <f t="shared" ca="1" si="217"/>
        <v>#VALUE!</v>
      </c>
      <c r="AE425" t="e">
        <f t="shared" ca="1" si="218"/>
        <v>#VALUE!</v>
      </c>
      <c r="AF425" t="e">
        <f t="shared" ca="1" si="219"/>
        <v>#VALUE!</v>
      </c>
      <c r="AG425" t="e">
        <f t="shared" ca="1" si="220"/>
        <v>#VALUE!</v>
      </c>
      <c r="AH425" t="e">
        <f ca="1">IF(V32="Supercritical",L425,IF(V32="Subcritical",W425,IF(AND(V425=1,AG425=1),IF(T425&gt;=AE425,L425,W425),IF(V425=1,L425,IF(AG425=1,W425,MAX($D$16,POWER((ABS(K425)^2)/($I$5*MAX(F425,0.1)^2),1/3)))))))</f>
        <v>#VALUE!</v>
      </c>
      <c r="AI425" t="e">
        <f t="shared" ca="1" si="221"/>
        <v>#VALUE!</v>
      </c>
      <c r="AJ425" t="e">
        <f t="shared" ca="1" si="222"/>
        <v>#VALUE!</v>
      </c>
      <c r="AM425">
        <v>0</v>
      </c>
      <c r="AN425">
        <v>0</v>
      </c>
      <c r="AO425">
        <f t="shared" si="223"/>
        <v>0</v>
      </c>
      <c r="AP425">
        <f t="shared" si="232"/>
        <v>0</v>
      </c>
      <c r="AQ425" t="e">
        <f t="shared" ca="1" si="224"/>
        <v>#VALUE!</v>
      </c>
      <c r="AR425" t="e">
        <f t="shared" ca="1" si="225"/>
        <v>#VALUE!</v>
      </c>
      <c r="AS425" t="e">
        <f t="shared" ca="1" si="226"/>
        <v>#VALUE!</v>
      </c>
    </row>
    <row r="426" spans="1:45" x14ac:dyDescent="0.35">
      <c r="A426">
        <v>277</v>
      </c>
      <c r="B426">
        <v>275.92700000000002</v>
      </c>
      <c r="C426">
        <v>616313.04099999997</v>
      </c>
      <c r="D426">
        <v>3097671.6630000002</v>
      </c>
      <c r="E426">
        <v>632.42399999999998</v>
      </c>
      <c r="F426">
        <v>4.5270000000000001</v>
      </c>
      <c r="G426">
        <v>0</v>
      </c>
      <c r="H426" t="s">
        <v>191</v>
      </c>
      <c r="I426">
        <v>0</v>
      </c>
      <c r="J426">
        <f t="shared" si="227"/>
        <v>1</v>
      </c>
      <c r="K426">
        <f t="shared" si="228"/>
        <v>51</v>
      </c>
      <c r="L426" t="e">
        <f t="shared" ca="1" si="229"/>
        <v>#VALUE!</v>
      </c>
      <c r="M426" t="e">
        <f t="shared" ca="1" si="202"/>
        <v>#VALUE!</v>
      </c>
      <c r="N426" t="e">
        <f t="shared" ca="1" si="203"/>
        <v>#VALUE!</v>
      </c>
      <c r="O426" t="e">
        <f t="shared" ca="1" si="204"/>
        <v>#VALUE!</v>
      </c>
      <c r="P426" t="e">
        <f t="shared" ca="1" si="205"/>
        <v>#VALUE!</v>
      </c>
      <c r="Q426" t="e">
        <f t="shared" ca="1" si="206"/>
        <v>#VALUE!</v>
      </c>
      <c r="R426" t="e">
        <f t="shared" ca="1" si="207"/>
        <v>#VALUE!</v>
      </c>
      <c r="S426" t="e">
        <f t="shared" ca="1" si="208"/>
        <v>#VALUE!</v>
      </c>
      <c r="T426" t="e">
        <f t="shared" ca="1" si="209"/>
        <v>#VALUE!</v>
      </c>
      <c r="U426" t="e">
        <f t="shared" ca="1" si="230"/>
        <v>#VALUE!</v>
      </c>
      <c r="V426" t="e">
        <f t="shared" ca="1" si="231"/>
        <v>#VALUE!</v>
      </c>
      <c r="W426" t="e">
        <f t="shared" ca="1" si="210"/>
        <v>#VALUE!</v>
      </c>
      <c r="X426" t="e">
        <f t="shared" ca="1" si="211"/>
        <v>#VALUE!</v>
      </c>
      <c r="Y426" t="e">
        <f t="shared" ca="1" si="212"/>
        <v>#VALUE!</v>
      </c>
      <c r="Z426" t="e">
        <f t="shared" ca="1" si="213"/>
        <v>#VALUE!</v>
      </c>
      <c r="AA426" t="e">
        <f t="shared" ca="1" si="214"/>
        <v>#VALUE!</v>
      </c>
      <c r="AB426" t="e">
        <f t="shared" ca="1" si="215"/>
        <v>#VALUE!</v>
      </c>
      <c r="AC426" t="e">
        <f t="shared" ca="1" si="216"/>
        <v>#VALUE!</v>
      </c>
      <c r="AD426" t="e">
        <f t="shared" ca="1" si="217"/>
        <v>#VALUE!</v>
      </c>
      <c r="AE426" t="e">
        <f t="shared" ca="1" si="218"/>
        <v>#VALUE!</v>
      </c>
      <c r="AF426" t="e">
        <f t="shared" ca="1" si="219"/>
        <v>#VALUE!</v>
      </c>
      <c r="AG426" t="e">
        <f t="shared" ca="1" si="220"/>
        <v>#VALUE!</v>
      </c>
      <c r="AH426" t="e">
        <f ca="1">IF(V32="Supercritical",L426,IF(V32="Subcritical",W426,IF(AND(V426=1,AG426=1),IF(T426&gt;=AE426,L426,W426),IF(V426=1,L426,IF(AG426=1,W426,MAX($D$16,POWER((ABS(K426)^2)/($I$5*MAX(F426,0.1)^2),1/3)))))))</f>
        <v>#VALUE!</v>
      </c>
      <c r="AI426" t="e">
        <f t="shared" ca="1" si="221"/>
        <v>#VALUE!</v>
      </c>
      <c r="AJ426" t="e">
        <f t="shared" ca="1" si="222"/>
        <v>#VALUE!</v>
      </c>
      <c r="AM426">
        <v>0</v>
      </c>
      <c r="AN426">
        <v>0</v>
      </c>
      <c r="AO426">
        <f t="shared" si="223"/>
        <v>0</v>
      </c>
      <c r="AP426">
        <f t="shared" si="232"/>
        <v>0</v>
      </c>
      <c r="AQ426" t="e">
        <f t="shared" ca="1" si="224"/>
        <v>#VALUE!</v>
      </c>
      <c r="AR426" t="e">
        <f t="shared" ca="1" si="225"/>
        <v>#VALUE!</v>
      </c>
      <c r="AS426" t="e">
        <f t="shared" ca="1" si="226"/>
        <v>#VALUE!</v>
      </c>
    </row>
    <row r="427" spans="1:45" x14ac:dyDescent="0.35">
      <c r="A427">
        <v>278</v>
      </c>
      <c r="B427">
        <v>276.92700000000002</v>
      </c>
      <c r="C427">
        <v>616312.19499999995</v>
      </c>
      <c r="D427">
        <v>3097671.13</v>
      </c>
      <c r="E427">
        <v>632.42349999999999</v>
      </c>
      <c r="F427">
        <v>4.5270000000000001</v>
      </c>
      <c r="G427">
        <v>0</v>
      </c>
      <c r="H427" t="s">
        <v>191</v>
      </c>
      <c r="I427">
        <v>0</v>
      </c>
      <c r="J427">
        <f t="shared" si="227"/>
        <v>1</v>
      </c>
      <c r="K427">
        <f t="shared" si="228"/>
        <v>51</v>
      </c>
      <c r="L427" t="e">
        <f t="shared" ca="1" si="229"/>
        <v>#VALUE!</v>
      </c>
      <c r="M427" t="e">
        <f t="shared" ca="1" si="202"/>
        <v>#VALUE!</v>
      </c>
      <c r="N427" t="e">
        <f t="shared" ca="1" si="203"/>
        <v>#VALUE!</v>
      </c>
      <c r="O427" t="e">
        <f t="shared" ca="1" si="204"/>
        <v>#VALUE!</v>
      </c>
      <c r="P427" t="e">
        <f t="shared" ca="1" si="205"/>
        <v>#VALUE!</v>
      </c>
      <c r="Q427" t="e">
        <f t="shared" ca="1" si="206"/>
        <v>#VALUE!</v>
      </c>
      <c r="R427" t="e">
        <f t="shared" ca="1" si="207"/>
        <v>#VALUE!</v>
      </c>
      <c r="S427" t="e">
        <f t="shared" ca="1" si="208"/>
        <v>#VALUE!</v>
      </c>
      <c r="T427" t="e">
        <f t="shared" ca="1" si="209"/>
        <v>#VALUE!</v>
      </c>
      <c r="U427" t="e">
        <f t="shared" ca="1" si="230"/>
        <v>#VALUE!</v>
      </c>
      <c r="V427" t="e">
        <f t="shared" ca="1" si="231"/>
        <v>#VALUE!</v>
      </c>
      <c r="W427" t="e">
        <f t="shared" ca="1" si="210"/>
        <v>#VALUE!</v>
      </c>
      <c r="X427" t="e">
        <f t="shared" ca="1" si="211"/>
        <v>#VALUE!</v>
      </c>
      <c r="Y427" t="e">
        <f t="shared" ca="1" si="212"/>
        <v>#VALUE!</v>
      </c>
      <c r="Z427" t="e">
        <f t="shared" ca="1" si="213"/>
        <v>#VALUE!</v>
      </c>
      <c r="AA427" t="e">
        <f t="shared" ca="1" si="214"/>
        <v>#VALUE!</v>
      </c>
      <c r="AB427" t="e">
        <f t="shared" ca="1" si="215"/>
        <v>#VALUE!</v>
      </c>
      <c r="AC427" t="e">
        <f t="shared" ca="1" si="216"/>
        <v>#VALUE!</v>
      </c>
      <c r="AD427" t="e">
        <f t="shared" ca="1" si="217"/>
        <v>#VALUE!</v>
      </c>
      <c r="AE427" t="e">
        <f t="shared" ca="1" si="218"/>
        <v>#VALUE!</v>
      </c>
      <c r="AF427" t="e">
        <f t="shared" ca="1" si="219"/>
        <v>#VALUE!</v>
      </c>
      <c r="AG427" t="e">
        <f t="shared" ca="1" si="220"/>
        <v>#VALUE!</v>
      </c>
      <c r="AH427" t="e">
        <f ca="1">IF(V32="Supercritical",L427,IF(V32="Subcritical",W427,IF(AND(V427=1,AG427=1),IF(T427&gt;=AE427,L427,W427),IF(V427=1,L427,IF(AG427=1,W427,MAX($D$16,POWER((ABS(K427)^2)/($I$5*MAX(F427,0.1)^2),1/3)))))))</f>
        <v>#VALUE!</v>
      </c>
      <c r="AI427" t="e">
        <f t="shared" ca="1" si="221"/>
        <v>#VALUE!</v>
      </c>
      <c r="AJ427" t="e">
        <f t="shared" ca="1" si="222"/>
        <v>#VALUE!</v>
      </c>
      <c r="AM427">
        <v>0</v>
      </c>
      <c r="AN427">
        <v>0</v>
      </c>
      <c r="AO427">
        <f t="shared" si="223"/>
        <v>0</v>
      </c>
      <c r="AP427">
        <f t="shared" si="232"/>
        <v>0</v>
      </c>
      <c r="AQ427" t="e">
        <f t="shared" ca="1" si="224"/>
        <v>#VALUE!</v>
      </c>
      <c r="AR427" t="e">
        <f t="shared" ca="1" si="225"/>
        <v>#VALUE!</v>
      </c>
      <c r="AS427" t="e">
        <f t="shared" ca="1" si="226"/>
        <v>#VALUE!</v>
      </c>
    </row>
    <row r="428" spans="1:45" x14ac:dyDescent="0.35">
      <c r="A428">
        <v>279</v>
      </c>
      <c r="B428">
        <v>277.92700000000002</v>
      </c>
      <c r="C428">
        <v>616311.34900000005</v>
      </c>
      <c r="D428">
        <v>3097670.5970000001</v>
      </c>
      <c r="E428">
        <v>632.423</v>
      </c>
      <c r="F428">
        <v>4.5270000000000001</v>
      </c>
      <c r="G428">
        <v>0</v>
      </c>
      <c r="H428" t="s">
        <v>191</v>
      </c>
      <c r="I428">
        <v>0</v>
      </c>
      <c r="J428">
        <f t="shared" si="227"/>
        <v>1</v>
      </c>
      <c r="K428">
        <f t="shared" si="228"/>
        <v>51</v>
      </c>
      <c r="L428" t="e">
        <f t="shared" ca="1" si="229"/>
        <v>#VALUE!</v>
      </c>
      <c r="M428" t="e">
        <f t="shared" ca="1" si="202"/>
        <v>#VALUE!</v>
      </c>
      <c r="N428" t="e">
        <f t="shared" ca="1" si="203"/>
        <v>#VALUE!</v>
      </c>
      <c r="O428" t="e">
        <f t="shared" ca="1" si="204"/>
        <v>#VALUE!</v>
      </c>
      <c r="P428" t="e">
        <f t="shared" ca="1" si="205"/>
        <v>#VALUE!</v>
      </c>
      <c r="Q428" t="e">
        <f t="shared" ca="1" si="206"/>
        <v>#VALUE!</v>
      </c>
      <c r="R428" t="e">
        <f t="shared" ca="1" si="207"/>
        <v>#VALUE!</v>
      </c>
      <c r="S428" t="e">
        <f t="shared" ca="1" si="208"/>
        <v>#VALUE!</v>
      </c>
      <c r="T428" t="e">
        <f t="shared" ca="1" si="209"/>
        <v>#VALUE!</v>
      </c>
      <c r="U428" t="e">
        <f t="shared" ca="1" si="230"/>
        <v>#VALUE!</v>
      </c>
      <c r="V428" t="e">
        <f t="shared" ca="1" si="231"/>
        <v>#VALUE!</v>
      </c>
      <c r="W428" t="e">
        <f t="shared" ca="1" si="210"/>
        <v>#VALUE!</v>
      </c>
      <c r="X428" t="e">
        <f t="shared" ca="1" si="211"/>
        <v>#VALUE!</v>
      </c>
      <c r="Y428" t="e">
        <f t="shared" ca="1" si="212"/>
        <v>#VALUE!</v>
      </c>
      <c r="Z428" t="e">
        <f t="shared" ca="1" si="213"/>
        <v>#VALUE!</v>
      </c>
      <c r="AA428" t="e">
        <f t="shared" ca="1" si="214"/>
        <v>#VALUE!</v>
      </c>
      <c r="AB428" t="e">
        <f t="shared" ca="1" si="215"/>
        <v>#VALUE!</v>
      </c>
      <c r="AC428" t="e">
        <f t="shared" ca="1" si="216"/>
        <v>#VALUE!</v>
      </c>
      <c r="AD428" t="e">
        <f t="shared" ca="1" si="217"/>
        <v>#VALUE!</v>
      </c>
      <c r="AE428" t="e">
        <f t="shared" ca="1" si="218"/>
        <v>#VALUE!</v>
      </c>
      <c r="AF428" t="e">
        <f t="shared" ca="1" si="219"/>
        <v>#VALUE!</v>
      </c>
      <c r="AG428" t="e">
        <f t="shared" ca="1" si="220"/>
        <v>#VALUE!</v>
      </c>
      <c r="AH428" t="e">
        <f ca="1">IF(V32="Supercritical",L428,IF(V32="Subcritical",W428,IF(AND(V428=1,AG428=1),IF(T428&gt;=AE428,L428,W428),IF(V428=1,L428,IF(AG428=1,W428,MAX($D$16,POWER((ABS(K428)^2)/($I$5*MAX(F428,0.1)^2),1/3)))))))</f>
        <v>#VALUE!</v>
      </c>
      <c r="AI428" t="e">
        <f t="shared" ca="1" si="221"/>
        <v>#VALUE!</v>
      </c>
      <c r="AJ428" t="e">
        <f t="shared" ca="1" si="222"/>
        <v>#VALUE!</v>
      </c>
      <c r="AM428">
        <v>0</v>
      </c>
      <c r="AN428">
        <v>0</v>
      </c>
      <c r="AO428">
        <f t="shared" si="223"/>
        <v>0</v>
      </c>
      <c r="AP428">
        <f t="shared" si="232"/>
        <v>0</v>
      </c>
      <c r="AQ428" t="e">
        <f t="shared" ca="1" si="224"/>
        <v>#VALUE!</v>
      </c>
      <c r="AR428" t="e">
        <f t="shared" ca="1" si="225"/>
        <v>#VALUE!</v>
      </c>
      <c r="AS428" t="e">
        <f t="shared" ca="1" si="226"/>
        <v>#VALUE!</v>
      </c>
    </row>
    <row r="429" spans="1:45" x14ac:dyDescent="0.35">
      <c r="A429">
        <v>280</v>
      </c>
      <c r="B429">
        <v>278.92700000000002</v>
      </c>
      <c r="C429">
        <v>616310.50300000003</v>
      </c>
      <c r="D429">
        <v>3097670.0639999998</v>
      </c>
      <c r="E429">
        <v>632.42250000000001</v>
      </c>
      <c r="F429">
        <v>4.5270000000000001</v>
      </c>
      <c r="G429">
        <v>0</v>
      </c>
      <c r="H429" t="s">
        <v>191</v>
      </c>
      <c r="I429">
        <v>3.1E-2</v>
      </c>
      <c r="J429">
        <f t="shared" si="227"/>
        <v>1</v>
      </c>
      <c r="K429">
        <f t="shared" si="228"/>
        <v>51</v>
      </c>
      <c r="L429" t="e">
        <f t="shared" ca="1" si="229"/>
        <v>#VALUE!</v>
      </c>
      <c r="M429" t="e">
        <f t="shared" ca="1" si="202"/>
        <v>#VALUE!</v>
      </c>
      <c r="N429" t="e">
        <f t="shared" ca="1" si="203"/>
        <v>#VALUE!</v>
      </c>
      <c r="O429" t="e">
        <f t="shared" ca="1" si="204"/>
        <v>#VALUE!</v>
      </c>
      <c r="P429" t="e">
        <f t="shared" ca="1" si="205"/>
        <v>#VALUE!</v>
      </c>
      <c r="Q429" t="e">
        <f t="shared" ca="1" si="206"/>
        <v>#VALUE!</v>
      </c>
      <c r="R429" t="e">
        <f t="shared" ca="1" si="207"/>
        <v>#VALUE!</v>
      </c>
      <c r="S429" t="e">
        <f t="shared" ca="1" si="208"/>
        <v>#VALUE!</v>
      </c>
      <c r="T429" t="e">
        <f t="shared" ca="1" si="209"/>
        <v>#VALUE!</v>
      </c>
      <c r="U429" t="e">
        <f t="shared" ca="1" si="230"/>
        <v>#VALUE!</v>
      </c>
      <c r="V429" t="e">
        <f t="shared" ca="1" si="231"/>
        <v>#VALUE!</v>
      </c>
      <c r="W429" t="e">
        <f t="shared" ca="1" si="210"/>
        <v>#VALUE!</v>
      </c>
      <c r="X429" t="e">
        <f t="shared" ca="1" si="211"/>
        <v>#VALUE!</v>
      </c>
      <c r="Y429" t="e">
        <f t="shared" ca="1" si="212"/>
        <v>#VALUE!</v>
      </c>
      <c r="Z429" t="e">
        <f t="shared" ca="1" si="213"/>
        <v>#VALUE!</v>
      </c>
      <c r="AA429" t="e">
        <f t="shared" ca="1" si="214"/>
        <v>#VALUE!</v>
      </c>
      <c r="AB429" t="e">
        <f t="shared" ca="1" si="215"/>
        <v>#VALUE!</v>
      </c>
      <c r="AC429" t="e">
        <f t="shared" ca="1" si="216"/>
        <v>#VALUE!</v>
      </c>
      <c r="AD429" t="e">
        <f t="shared" ca="1" si="217"/>
        <v>#VALUE!</v>
      </c>
      <c r="AE429" t="e">
        <f t="shared" ca="1" si="218"/>
        <v>#VALUE!</v>
      </c>
      <c r="AF429" t="e">
        <f t="shared" ca="1" si="219"/>
        <v>#VALUE!</v>
      </c>
      <c r="AG429" t="e">
        <f t="shared" ca="1" si="220"/>
        <v>#VALUE!</v>
      </c>
      <c r="AH429" t="e">
        <f ca="1">IF(V32="Supercritical",L429,IF(V32="Subcritical",W429,IF(AND(V429=1,AG429=1),IF(T429&gt;=AE429,L429,W429),IF(V429=1,L429,IF(AG429=1,W429,MAX($D$16,POWER((ABS(K429)^2)/($I$5*MAX(F429,0.1)^2),1/3)))))))</f>
        <v>#VALUE!</v>
      </c>
      <c r="AI429" t="e">
        <f t="shared" ca="1" si="221"/>
        <v>#VALUE!</v>
      </c>
      <c r="AJ429" t="e">
        <f t="shared" ca="1" si="222"/>
        <v>#VALUE!</v>
      </c>
      <c r="AM429">
        <v>0</v>
      </c>
      <c r="AN429">
        <v>0</v>
      </c>
      <c r="AO429">
        <f t="shared" si="223"/>
        <v>0</v>
      </c>
      <c r="AP429">
        <f t="shared" si="232"/>
        <v>0</v>
      </c>
      <c r="AQ429" t="e">
        <f t="shared" ca="1" si="224"/>
        <v>#VALUE!</v>
      </c>
      <c r="AR429" t="e">
        <f t="shared" ca="1" si="225"/>
        <v>#VALUE!</v>
      </c>
      <c r="AS429" t="e">
        <f t="shared" ca="1" si="226"/>
        <v>#VALUE!</v>
      </c>
    </row>
    <row r="430" spans="1:45" x14ac:dyDescent="0.35">
      <c r="A430">
        <v>281</v>
      </c>
      <c r="B430">
        <v>279.928</v>
      </c>
      <c r="C430">
        <v>616309.65599999996</v>
      </c>
      <c r="D430">
        <v>3097669.531</v>
      </c>
      <c r="E430">
        <v>632.42200000000003</v>
      </c>
      <c r="F430">
        <v>4.5270000000000001</v>
      </c>
      <c r="G430">
        <v>0</v>
      </c>
      <c r="H430" t="s">
        <v>191</v>
      </c>
      <c r="I430">
        <v>3.1E-2</v>
      </c>
      <c r="J430">
        <f t="shared" si="227"/>
        <v>1.0009999999999764</v>
      </c>
      <c r="K430">
        <f t="shared" si="228"/>
        <v>51</v>
      </c>
      <c r="L430" t="e">
        <f t="shared" ca="1" si="229"/>
        <v>#VALUE!</v>
      </c>
      <c r="M430" t="e">
        <f t="shared" ca="1" si="202"/>
        <v>#VALUE!</v>
      </c>
      <c r="N430" t="e">
        <f t="shared" ca="1" si="203"/>
        <v>#VALUE!</v>
      </c>
      <c r="O430" t="e">
        <f t="shared" ca="1" si="204"/>
        <v>#VALUE!</v>
      </c>
      <c r="P430" t="e">
        <f t="shared" ca="1" si="205"/>
        <v>#VALUE!</v>
      </c>
      <c r="Q430" t="e">
        <f t="shared" ca="1" si="206"/>
        <v>#VALUE!</v>
      </c>
      <c r="R430" t="e">
        <f t="shared" ca="1" si="207"/>
        <v>#VALUE!</v>
      </c>
      <c r="S430" t="e">
        <f t="shared" ca="1" si="208"/>
        <v>#VALUE!</v>
      </c>
      <c r="T430" t="e">
        <f t="shared" ca="1" si="209"/>
        <v>#VALUE!</v>
      </c>
      <c r="U430" t="e">
        <f t="shared" ca="1" si="230"/>
        <v>#VALUE!</v>
      </c>
      <c r="V430" t="e">
        <f t="shared" ca="1" si="231"/>
        <v>#VALUE!</v>
      </c>
      <c r="W430" t="e">
        <f t="shared" ca="1" si="210"/>
        <v>#VALUE!</v>
      </c>
      <c r="X430" t="e">
        <f t="shared" ca="1" si="211"/>
        <v>#VALUE!</v>
      </c>
      <c r="Y430" t="e">
        <f t="shared" ca="1" si="212"/>
        <v>#VALUE!</v>
      </c>
      <c r="Z430" t="e">
        <f t="shared" ca="1" si="213"/>
        <v>#VALUE!</v>
      </c>
      <c r="AA430" t="e">
        <f t="shared" ca="1" si="214"/>
        <v>#VALUE!</v>
      </c>
      <c r="AB430" t="e">
        <f t="shared" ca="1" si="215"/>
        <v>#VALUE!</v>
      </c>
      <c r="AC430" t="e">
        <f t="shared" ca="1" si="216"/>
        <v>#VALUE!</v>
      </c>
      <c r="AD430" t="e">
        <f t="shared" ca="1" si="217"/>
        <v>#VALUE!</v>
      </c>
      <c r="AE430" t="e">
        <f t="shared" ca="1" si="218"/>
        <v>#VALUE!</v>
      </c>
      <c r="AF430" t="e">
        <f t="shared" ca="1" si="219"/>
        <v>#VALUE!</v>
      </c>
      <c r="AG430" t="e">
        <f t="shared" ca="1" si="220"/>
        <v>#VALUE!</v>
      </c>
      <c r="AH430" t="e">
        <f ca="1">IF(V32="Supercritical",L430,IF(V32="Subcritical",W430,IF(AND(V430=1,AG430=1),IF(T430&gt;=AE430,L430,W430),IF(V430=1,L430,IF(AG430=1,W430,MAX($D$16,POWER((ABS(K430)^2)/($I$5*MAX(F430,0.1)^2),1/3)))))))</f>
        <v>#VALUE!</v>
      </c>
      <c r="AI430" t="e">
        <f t="shared" ca="1" si="221"/>
        <v>#VALUE!</v>
      </c>
      <c r="AJ430" t="e">
        <f t="shared" ca="1" si="222"/>
        <v>#VALUE!</v>
      </c>
      <c r="AM430">
        <v>0</v>
      </c>
      <c r="AN430">
        <v>0</v>
      </c>
      <c r="AO430">
        <f t="shared" si="223"/>
        <v>0</v>
      </c>
      <c r="AP430">
        <f t="shared" si="232"/>
        <v>0</v>
      </c>
      <c r="AQ430" t="e">
        <f t="shared" ca="1" si="224"/>
        <v>#VALUE!</v>
      </c>
      <c r="AR430" t="e">
        <f t="shared" ca="1" si="225"/>
        <v>#VALUE!</v>
      </c>
      <c r="AS430" t="e">
        <f t="shared" ca="1" si="226"/>
        <v>#VALUE!</v>
      </c>
    </row>
    <row r="431" spans="1:45" x14ac:dyDescent="0.35">
      <c r="A431">
        <v>282</v>
      </c>
      <c r="B431">
        <v>280.928</v>
      </c>
      <c r="C431">
        <v>616308.81000000006</v>
      </c>
      <c r="D431">
        <v>3097668.9980000001</v>
      </c>
      <c r="E431">
        <v>632.42150000000004</v>
      </c>
      <c r="F431">
        <v>4.5270000000000001</v>
      </c>
      <c r="G431">
        <v>0</v>
      </c>
      <c r="H431" t="s">
        <v>191</v>
      </c>
      <c r="I431">
        <v>0</v>
      </c>
      <c r="J431">
        <f t="shared" si="227"/>
        <v>1</v>
      </c>
      <c r="K431">
        <f t="shared" si="228"/>
        <v>51</v>
      </c>
      <c r="L431" t="e">
        <f t="shared" ca="1" si="229"/>
        <v>#VALUE!</v>
      </c>
      <c r="M431" t="e">
        <f t="shared" ca="1" si="202"/>
        <v>#VALUE!</v>
      </c>
      <c r="N431" t="e">
        <f t="shared" ca="1" si="203"/>
        <v>#VALUE!</v>
      </c>
      <c r="O431" t="e">
        <f t="shared" ca="1" si="204"/>
        <v>#VALUE!</v>
      </c>
      <c r="P431" t="e">
        <f t="shared" ca="1" si="205"/>
        <v>#VALUE!</v>
      </c>
      <c r="Q431" t="e">
        <f t="shared" ca="1" si="206"/>
        <v>#VALUE!</v>
      </c>
      <c r="R431" t="e">
        <f t="shared" ca="1" si="207"/>
        <v>#VALUE!</v>
      </c>
      <c r="S431" t="e">
        <f t="shared" ca="1" si="208"/>
        <v>#VALUE!</v>
      </c>
      <c r="T431" t="e">
        <f t="shared" ca="1" si="209"/>
        <v>#VALUE!</v>
      </c>
      <c r="U431" t="e">
        <f t="shared" ca="1" si="230"/>
        <v>#VALUE!</v>
      </c>
      <c r="V431" t="e">
        <f t="shared" ca="1" si="231"/>
        <v>#VALUE!</v>
      </c>
      <c r="W431" t="e">
        <f t="shared" ca="1" si="210"/>
        <v>#VALUE!</v>
      </c>
      <c r="X431" t="e">
        <f t="shared" ca="1" si="211"/>
        <v>#VALUE!</v>
      </c>
      <c r="Y431" t="e">
        <f t="shared" ca="1" si="212"/>
        <v>#VALUE!</v>
      </c>
      <c r="Z431" t="e">
        <f t="shared" ca="1" si="213"/>
        <v>#VALUE!</v>
      </c>
      <c r="AA431" t="e">
        <f t="shared" ca="1" si="214"/>
        <v>#VALUE!</v>
      </c>
      <c r="AB431" t="e">
        <f t="shared" ca="1" si="215"/>
        <v>#VALUE!</v>
      </c>
      <c r="AC431" t="e">
        <f t="shared" ca="1" si="216"/>
        <v>#VALUE!</v>
      </c>
      <c r="AD431" t="e">
        <f t="shared" ca="1" si="217"/>
        <v>#VALUE!</v>
      </c>
      <c r="AE431" t="e">
        <f t="shared" ca="1" si="218"/>
        <v>#VALUE!</v>
      </c>
      <c r="AF431" t="e">
        <f t="shared" ca="1" si="219"/>
        <v>#VALUE!</v>
      </c>
      <c r="AG431" t="e">
        <f t="shared" ca="1" si="220"/>
        <v>#VALUE!</v>
      </c>
      <c r="AH431" t="e">
        <f ca="1">IF(V32="Supercritical",L431,IF(V32="Subcritical",W431,IF(AND(V431=1,AG431=1),IF(T431&gt;=AE431,L431,W431),IF(V431=1,L431,IF(AG431=1,W431,MAX($D$16,POWER((ABS(K431)^2)/($I$5*MAX(F431,0.1)^2),1/3)))))))</f>
        <v>#VALUE!</v>
      </c>
      <c r="AI431" t="e">
        <f t="shared" ca="1" si="221"/>
        <v>#VALUE!</v>
      </c>
      <c r="AJ431" t="e">
        <f t="shared" ca="1" si="222"/>
        <v>#VALUE!</v>
      </c>
      <c r="AM431">
        <v>0</v>
      </c>
      <c r="AN431">
        <v>0</v>
      </c>
      <c r="AO431">
        <f t="shared" si="223"/>
        <v>0</v>
      </c>
      <c r="AP431">
        <f t="shared" si="232"/>
        <v>0</v>
      </c>
      <c r="AQ431" t="e">
        <f t="shared" ca="1" si="224"/>
        <v>#VALUE!</v>
      </c>
      <c r="AR431" t="e">
        <f t="shared" ca="1" si="225"/>
        <v>#VALUE!</v>
      </c>
      <c r="AS431" t="e">
        <f t="shared" ca="1" si="226"/>
        <v>#VALUE!</v>
      </c>
    </row>
    <row r="432" spans="1:45" x14ac:dyDescent="0.35">
      <c r="A432">
        <v>283</v>
      </c>
      <c r="B432">
        <v>281.92700000000002</v>
      </c>
      <c r="C432">
        <v>616307.96400000004</v>
      </c>
      <c r="D432">
        <v>3097668.4649999999</v>
      </c>
      <c r="E432">
        <v>632.42100000000005</v>
      </c>
      <c r="F432">
        <v>4.93</v>
      </c>
      <c r="G432">
        <v>0</v>
      </c>
      <c r="H432" t="s">
        <v>191</v>
      </c>
      <c r="I432">
        <v>12.746</v>
      </c>
      <c r="J432">
        <f t="shared" si="227"/>
        <v>0.99900000000002365</v>
      </c>
      <c r="K432">
        <f t="shared" si="228"/>
        <v>51</v>
      </c>
      <c r="L432" t="e">
        <f t="shared" ca="1" si="229"/>
        <v>#VALUE!</v>
      </c>
      <c r="M432" t="e">
        <f t="shared" ca="1" si="202"/>
        <v>#VALUE!</v>
      </c>
      <c r="N432" t="e">
        <f t="shared" ca="1" si="203"/>
        <v>#VALUE!</v>
      </c>
      <c r="O432" t="e">
        <f t="shared" ca="1" si="204"/>
        <v>#VALUE!</v>
      </c>
      <c r="P432" t="e">
        <f t="shared" ca="1" si="205"/>
        <v>#VALUE!</v>
      </c>
      <c r="Q432" t="e">
        <f t="shared" ca="1" si="206"/>
        <v>#VALUE!</v>
      </c>
      <c r="R432" t="e">
        <f t="shared" ca="1" si="207"/>
        <v>#VALUE!</v>
      </c>
      <c r="S432" t="e">
        <f t="shared" ca="1" si="208"/>
        <v>#VALUE!</v>
      </c>
      <c r="T432" t="e">
        <f t="shared" ca="1" si="209"/>
        <v>#VALUE!</v>
      </c>
      <c r="U432" t="e">
        <f t="shared" ca="1" si="230"/>
        <v>#VALUE!</v>
      </c>
      <c r="V432" t="e">
        <f t="shared" ca="1" si="231"/>
        <v>#VALUE!</v>
      </c>
      <c r="W432" t="e">
        <f t="shared" ca="1" si="210"/>
        <v>#VALUE!</v>
      </c>
      <c r="X432" t="e">
        <f t="shared" ca="1" si="211"/>
        <v>#VALUE!</v>
      </c>
      <c r="Y432" t="e">
        <f t="shared" ca="1" si="212"/>
        <v>#VALUE!</v>
      </c>
      <c r="Z432" t="e">
        <f t="shared" ca="1" si="213"/>
        <v>#VALUE!</v>
      </c>
      <c r="AA432" t="e">
        <f t="shared" ca="1" si="214"/>
        <v>#VALUE!</v>
      </c>
      <c r="AB432" t="e">
        <f t="shared" ca="1" si="215"/>
        <v>#VALUE!</v>
      </c>
      <c r="AC432" t="e">
        <f t="shared" ca="1" si="216"/>
        <v>#VALUE!</v>
      </c>
      <c r="AD432" t="e">
        <f t="shared" ca="1" si="217"/>
        <v>#VALUE!</v>
      </c>
      <c r="AE432" t="e">
        <f t="shared" ca="1" si="218"/>
        <v>#VALUE!</v>
      </c>
      <c r="AF432" t="e">
        <f t="shared" ca="1" si="219"/>
        <v>#VALUE!</v>
      </c>
      <c r="AG432" t="e">
        <f t="shared" ca="1" si="220"/>
        <v>#VALUE!</v>
      </c>
      <c r="AH432" t="e">
        <f ca="1">IF(V32="Supercritical",L432,IF(V32="Subcritical",W432,IF(AND(V432=1,AG432=1),IF(T432&gt;=AE432,L432,W432),IF(V432=1,L432,IF(AG432=1,W432,MAX($D$16,POWER((ABS(K432)^2)/($I$5*MAX(F432,0.1)^2),1/3)))))))</f>
        <v>#VALUE!</v>
      </c>
      <c r="AI432" t="e">
        <f t="shared" ca="1" si="221"/>
        <v>#VALUE!</v>
      </c>
      <c r="AJ432" t="e">
        <f t="shared" ca="1" si="222"/>
        <v>#VALUE!</v>
      </c>
      <c r="AM432">
        <v>0</v>
      </c>
      <c r="AN432">
        <v>0</v>
      </c>
      <c r="AO432">
        <f t="shared" si="223"/>
        <v>0</v>
      </c>
      <c r="AP432">
        <f t="shared" si="232"/>
        <v>0</v>
      </c>
      <c r="AQ432" t="e">
        <f t="shared" ca="1" si="224"/>
        <v>#VALUE!</v>
      </c>
      <c r="AR432" t="e">
        <f t="shared" ca="1" si="225"/>
        <v>#VALUE!</v>
      </c>
      <c r="AS432" t="e">
        <f t="shared" ca="1" si="226"/>
        <v>#VALUE!</v>
      </c>
    </row>
    <row r="433" spans="1:45" x14ac:dyDescent="0.35">
      <c r="A433">
        <v>284</v>
      </c>
      <c r="B433">
        <v>282.89499999999998</v>
      </c>
      <c r="C433">
        <v>616307.27899999998</v>
      </c>
      <c r="D433">
        <v>3097667.781</v>
      </c>
      <c r="E433">
        <v>632.42049999999995</v>
      </c>
      <c r="F433">
        <v>5.2</v>
      </c>
      <c r="G433">
        <v>0</v>
      </c>
      <c r="H433" t="s">
        <v>191</v>
      </c>
      <c r="I433">
        <v>16.733000000000001</v>
      </c>
      <c r="J433">
        <f t="shared" si="227"/>
        <v>0.96799999999996089</v>
      </c>
      <c r="K433">
        <f t="shared" si="228"/>
        <v>51</v>
      </c>
      <c r="L433" t="e">
        <f t="shared" ca="1" si="229"/>
        <v>#VALUE!</v>
      </c>
      <c r="M433" t="e">
        <f t="shared" ca="1" si="202"/>
        <v>#VALUE!</v>
      </c>
      <c r="N433" t="e">
        <f t="shared" ca="1" si="203"/>
        <v>#VALUE!</v>
      </c>
      <c r="O433" t="e">
        <f t="shared" ca="1" si="204"/>
        <v>#VALUE!</v>
      </c>
      <c r="P433" t="e">
        <f t="shared" ca="1" si="205"/>
        <v>#VALUE!</v>
      </c>
      <c r="Q433" t="e">
        <f t="shared" ca="1" si="206"/>
        <v>#VALUE!</v>
      </c>
      <c r="R433" t="e">
        <f t="shared" ca="1" si="207"/>
        <v>#VALUE!</v>
      </c>
      <c r="S433" t="e">
        <f t="shared" ca="1" si="208"/>
        <v>#VALUE!</v>
      </c>
      <c r="T433" t="e">
        <f t="shared" ca="1" si="209"/>
        <v>#VALUE!</v>
      </c>
      <c r="U433" t="e">
        <f t="shared" ca="1" si="230"/>
        <v>#VALUE!</v>
      </c>
      <c r="V433" t="e">
        <f t="shared" ca="1" si="231"/>
        <v>#VALUE!</v>
      </c>
      <c r="W433" t="e">
        <f t="shared" ca="1" si="210"/>
        <v>#VALUE!</v>
      </c>
      <c r="X433" t="e">
        <f t="shared" ca="1" si="211"/>
        <v>#VALUE!</v>
      </c>
      <c r="Y433" t="e">
        <f t="shared" ca="1" si="212"/>
        <v>#VALUE!</v>
      </c>
      <c r="Z433" t="e">
        <f t="shared" ca="1" si="213"/>
        <v>#VALUE!</v>
      </c>
      <c r="AA433" t="e">
        <f t="shared" ca="1" si="214"/>
        <v>#VALUE!</v>
      </c>
      <c r="AB433" t="e">
        <f t="shared" ca="1" si="215"/>
        <v>#VALUE!</v>
      </c>
      <c r="AC433" t="e">
        <f t="shared" ca="1" si="216"/>
        <v>#VALUE!</v>
      </c>
      <c r="AD433" t="e">
        <f t="shared" ca="1" si="217"/>
        <v>#VALUE!</v>
      </c>
      <c r="AE433" t="e">
        <f t="shared" ca="1" si="218"/>
        <v>#VALUE!</v>
      </c>
      <c r="AF433" t="e">
        <f t="shared" ca="1" si="219"/>
        <v>#VALUE!</v>
      </c>
      <c r="AG433" t="e">
        <f t="shared" ca="1" si="220"/>
        <v>#VALUE!</v>
      </c>
      <c r="AH433" t="e">
        <f ca="1">IF(V32="Supercritical",L433,IF(V32="Subcritical",W433,IF(AND(V433=1,AG433=1),IF(T433&gt;=AE433,L433,W433),IF(V433=1,L433,IF(AG433=1,W433,MAX($D$16,POWER((ABS(K433)^2)/($I$5*MAX(F433,0.1)^2),1/3)))))))</f>
        <v>#VALUE!</v>
      </c>
      <c r="AI433" t="e">
        <f t="shared" ca="1" si="221"/>
        <v>#VALUE!</v>
      </c>
      <c r="AJ433" t="e">
        <f t="shared" ca="1" si="222"/>
        <v>#VALUE!</v>
      </c>
      <c r="AM433">
        <v>0</v>
      </c>
      <c r="AN433">
        <v>0</v>
      </c>
      <c r="AO433">
        <f t="shared" si="223"/>
        <v>0</v>
      </c>
      <c r="AP433">
        <f t="shared" si="232"/>
        <v>0</v>
      </c>
      <c r="AQ433" t="e">
        <f t="shared" ca="1" si="224"/>
        <v>#VALUE!</v>
      </c>
      <c r="AR433" t="e">
        <f t="shared" ca="1" si="225"/>
        <v>#VALUE!</v>
      </c>
      <c r="AS433" t="e">
        <f t="shared" ca="1" si="226"/>
        <v>#VALUE!</v>
      </c>
    </row>
    <row r="434" spans="1:45" x14ac:dyDescent="0.35">
      <c r="A434">
        <v>285</v>
      </c>
      <c r="B434">
        <v>283.89499999999998</v>
      </c>
      <c r="C434">
        <v>616306.80500000005</v>
      </c>
      <c r="D434">
        <v>3097666.9010000001</v>
      </c>
      <c r="E434">
        <v>632.41999999999996</v>
      </c>
      <c r="F434">
        <v>5.2</v>
      </c>
      <c r="G434">
        <v>0</v>
      </c>
      <c r="H434" t="s">
        <v>191</v>
      </c>
      <c r="I434">
        <v>2.7E-2</v>
      </c>
      <c r="J434">
        <f t="shared" si="227"/>
        <v>1</v>
      </c>
      <c r="K434">
        <f t="shared" si="228"/>
        <v>51</v>
      </c>
      <c r="L434" t="e">
        <f t="shared" ca="1" si="229"/>
        <v>#VALUE!</v>
      </c>
      <c r="M434" t="e">
        <f t="shared" ca="1" si="202"/>
        <v>#VALUE!</v>
      </c>
      <c r="N434" t="e">
        <f t="shared" ca="1" si="203"/>
        <v>#VALUE!</v>
      </c>
      <c r="O434" t="e">
        <f t="shared" ca="1" si="204"/>
        <v>#VALUE!</v>
      </c>
      <c r="P434" t="e">
        <f t="shared" ca="1" si="205"/>
        <v>#VALUE!</v>
      </c>
      <c r="Q434" t="e">
        <f t="shared" ca="1" si="206"/>
        <v>#VALUE!</v>
      </c>
      <c r="R434" t="e">
        <f t="shared" ca="1" si="207"/>
        <v>#VALUE!</v>
      </c>
      <c r="S434" t="e">
        <f t="shared" ca="1" si="208"/>
        <v>#VALUE!</v>
      </c>
      <c r="T434" t="e">
        <f t="shared" ca="1" si="209"/>
        <v>#VALUE!</v>
      </c>
      <c r="U434" t="e">
        <f t="shared" ca="1" si="230"/>
        <v>#VALUE!</v>
      </c>
      <c r="V434" t="e">
        <f t="shared" ca="1" si="231"/>
        <v>#VALUE!</v>
      </c>
      <c r="W434" t="e">
        <f t="shared" ca="1" si="210"/>
        <v>#VALUE!</v>
      </c>
      <c r="X434" t="e">
        <f t="shared" ca="1" si="211"/>
        <v>#VALUE!</v>
      </c>
      <c r="Y434" t="e">
        <f t="shared" ca="1" si="212"/>
        <v>#VALUE!</v>
      </c>
      <c r="Z434" t="e">
        <f t="shared" ca="1" si="213"/>
        <v>#VALUE!</v>
      </c>
      <c r="AA434" t="e">
        <f t="shared" ca="1" si="214"/>
        <v>#VALUE!</v>
      </c>
      <c r="AB434" t="e">
        <f t="shared" ca="1" si="215"/>
        <v>#VALUE!</v>
      </c>
      <c r="AC434" t="e">
        <f t="shared" ca="1" si="216"/>
        <v>#VALUE!</v>
      </c>
      <c r="AD434" t="e">
        <f t="shared" ca="1" si="217"/>
        <v>#VALUE!</v>
      </c>
      <c r="AE434" t="e">
        <f t="shared" ca="1" si="218"/>
        <v>#VALUE!</v>
      </c>
      <c r="AF434" t="e">
        <f t="shared" ca="1" si="219"/>
        <v>#VALUE!</v>
      </c>
      <c r="AG434" t="e">
        <f t="shared" ca="1" si="220"/>
        <v>#VALUE!</v>
      </c>
      <c r="AH434" t="e">
        <f ca="1">IF(V32="Supercritical",L434,IF(V32="Subcritical",W434,IF(AND(V434=1,AG434=1),IF(T434&gt;=AE434,L434,W434),IF(V434=1,L434,IF(AG434=1,W434,MAX($D$16,POWER((ABS(K434)^2)/($I$5*MAX(F434,0.1)^2),1/3)))))))</f>
        <v>#VALUE!</v>
      </c>
      <c r="AI434" t="e">
        <f t="shared" ca="1" si="221"/>
        <v>#VALUE!</v>
      </c>
      <c r="AJ434" t="e">
        <f t="shared" ca="1" si="222"/>
        <v>#VALUE!</v>
      </c>
      <c r="AM434">
        <v>0</v>
      </c>
      <c r="AN434">
        <v>0</v>
      </c>
      <c r="AO434">
        <f t="shared" si="223"/>
        <v>0</v>
      </c>
      <c r="AP434">
        <f t="shared" si="232"/>
        <v>0</v>
      </c>
      <c r="AQ434" t="e">
        <f t="shared" ca="1" si="224"/>
        <v>#VALUE!</v>
      </c>
      <c r="AR434" t="e">
        <f t="shared" ca="1" si="225"/>
        <v>#VALUE!</v>
      </c>
      <c r="AS434" t="e">
        <f t="shared" ca="1" si="226"/>
        <v>#VALUE!</v>
      </c>
    </row>
    <row r="435" spans="1:45" x14ac:dyDescent="0.35">
      <c r="A435">
        <v>286</v>
      </c>
      <c r="B435">
        <v>284.89499999999998</v>
      </c>
      <c r="C435">
        <v>616306.33100000001</v>
      </c>
      <c r="D435">
        <v>3097666.02</v>
      </c>
      <c r="E435">
        <v>632.41949999999997</v>
      </c>
      <c r="F435">
        <v>5.2</v>
      </c>
      <c r="G435">
        <v>0</v>
      </c>
      <c r="H435" t="s">
        <v>191</v>
      </c>
      <c r="I435">
        <v>2.7E-2</v>
      </c>
      <c r="J435">
        <f t="shared" si="227"/>
        <v>1</v>
      </c>
      <c r="K435">
        <f t="shared" si="228"/>
        <v>51</v>
      </c>
      <c r="L435" t="e">
        <f t="shared" ca="1" si="229"/>
        <v>#VALUE!</v>
      </c>
      <c r="M435" t="e">
        <f t="shared" ca="1" si="202"/>
        <v>#VALUE!</v>
      </c>
      <c r="N435" t="e">
        <f t="shared" ca="1" si="203"/>
        <v>#VALUE!</v>
      </c>
      <c r="O435" t="e">
        <f t="shared" ca="1" si="204"/>
        <v>#VALUE!</v>
      </c>
      <c r="P435" t="e">
        <f t="shared" ca="1" si="205"/>
        <v>#VALUE!</v>
      </c>
      <c r="Q435" t="e">
        <f t="shared" ca="1" si="206"/>
        <v>#VALUE!</v>
      </c>
      <c r="R435" t="e">
        <f t="shared" ca="1" si="207"/>
        <v>#VALUE!</v>
      </c>
      <c r="S435" t="e">
        <f t="shared" ca="1" si="208"/>
        <v>#VALUE!</v>
      </c>
      <c r="T435" t="e">
        <f t="shared" ca="1" si="209"/>
        <v>#VALUE!</v>
      </c>
      <c r="U435" t="e">
        <f t="shared" ca="1" si="230"/>
        <v>#VALUE!</v>
      </c>
      <c r="V435" t="e">
        <f t="shared" ca="1" si="231"/>
        <v>#VALUE!</v>
      </c>
      <c r="W435" t="e">
        <f t="shared" ca="1" si="210"/>
        <v>#VALUE!</v>
      </c>
      <c r="X435" t="e">
        <f t="shared" ca="1" si="211"/>
        <v>#VALUE!</v>
      </c>
      <c r="Y435" t="e">
        <f t="shared" ca="1" si="212"/>
        <v>#VALUE!</v>
      </c>
      <c r="Z435" t="e">
        <f t="shared" ca="1" si="213"/>
        <v>#VALUE!</v>
      </c>
      <c r="AA435" t="e">
        <f t="shared" ca="1" si="214"/>
        <v>#VALUE!</v>
      </c>
      <c r="AB435" t="e">
        <f t="shared" ca="1" si="215"/>
        <v>#VALUE!</v>
      </c>
      <c r="AC435" t="e">
        <f t="shared" ca="1" si="216"/>
        <v>#VALUE!</v>
      </c>
      <c r="AD435" t="e">
        <f t="shared" ca="1" si="217"/>
        <v>#VALUE!</v>
      </c>
      <c r="AE435" t="e">
        <f t="shared" ca="1" si="218"/>
        <v>#VALUE!</v>
      </c>
      <c r="AF435" t="e">
        <f t="shared" ca="1" si="219"/>
        <v>#VALUE!</v>
      </c>
      <c r="AG435" t="e">
        <f t="shared" ca="1" si="220"/>
        <v>#VALUE!</v>
      </c>
      <c r="AH435" t="e">
        <f ca="1">IF(V32="Supercritical",L435,IF(V32="Subcritical",W435,IF(AND(V435=1,AG435=1),IF(T435&gt;=AE435,L435,W435),IF(V435=1,L435,IF(AG435=1,W435,MAX($D$16,POWER((ABS(K435)^2)/($I$5*MAX(F435,0.1)^2),1/3)))))))</f>
        <v>#VALUE!</v>
      </c>
      <c r="AI435" t="e">
        <f t="shared" ca="1" si="221"/>
        <v>#VALUE!</v>
      </c>
      <c r="AJ435" t="e">
        <f t="shared" ca="1" si="222"/>
        <v>#VALUE!</v>
      </c>
      <c r="AM435">
        <v>0</v>
      </c>
      <c r="AN435">
        <v>0</v>
      </c>
      <c r="AO435">
        <f t="shared" si="223"/>
        <v>0</v>
      </c>
      <c r="AP435">
        <f t="shared" si="232"/>
        <v>0</v>
      </c>
      <c r="AQ435" t="e">
        <f t="shared" ca="1" si="224"/>
        <v>#VALUE!</v>
      </c>
      <c r="AR435" t="e">
        <f t="shared" ca="1" si="225"/>
        <v>#VALUE!</v>
      </c>
      <c r="AS435" t="e">
        <f t="shared" ca="1" si="226"/>
        <v>#VALUE!</v>
      </c>
    </row>
    <row r="436" spans="1:45" x14ac:dyDescent="0.35">
      <c r="A436">
        <v>287</v>
      </c>
      <c r="B436">
        <v>285.89499999999998</v>
      </c>
      <c r="C436">
        <v>616305.85699999996</v>
      </c>
      <c r="D436">
        <v>3097665.14</v>
      </c>
      <c r="E436">
        <v>632.41899999999998</v>
      </c>
      <c r="F436">
        <v>5.2</v>
      </c>
      <c r="G436">
        <v>0</v>
      </c>
      <c r="H436" t="s">
        <v>191</v>
      </c>
      <c r="I436">
        <v>2.3E-2</v>
      </c>
      <c r="J436">
        <f t="shared" si="227"/>
        <v>1</v>
      </c>
      <c r="K436">
        <f t="shared" si="228"/>
        <v>51</v>
      </c>
      <c r="L436" t="e">
        <f t="shared" ca="1" si="229"/>
        <v>#VALUE!</v>
      </c>
      <c r="M436" t="e">
        <f t="shared" ca="1" si="202"/>
        <v>#VALUE!</v>
      </c>
      <c r="N436" t="e">
        <f t="shared" ca="1" si="203"/>
        <v>#VALUE!</v>
      </c>
      <c r="O436" t="e">
        <f t="shared" ca="1" si="204"/>
        <v>#VALUE!</v>
      </c>
      <c r="P436" t="e">
        <f t="shared" ca="1" si="205"/>
        <v>#VALUE!</v>
      </c>
      <c r="Q436" t="e">
        <f t="shared" ca="1" si="206"/>
        <v>#VALUE!</v>
      </c>
      <c r="R436" t="e">
        <f t="shared" ca="1" si="207"/>
        <v>#VALUE!</v>
      </c>
      <c r="S436" t="e">
        <f t="shared" ca="1" si="208"/>
        <v>#VALUE!</v>
      </c>
      <c r="T436" t="e">
        <f t="shared" ca="1" si="209"/>
        <v>#VALUE!</v>
      </c>
      <c r="U436" t="e">
        <f t="shared" ca="1" si="230"/>
        <v>#VALUE!</v>
      </c>
      <c r="V436" t="e">
        <f t="shared" ca="1" si="231"/>
        <v>#VALUE!</v>
      </c>
      <c r="W436" t="e">
        <f t="shared" ca="1" si="210"/>
        <v>#VALUE!</v>
      </c>
      <c r="X436" t="e">
        <f t="shared" ca="1" si="211"/>
        <v>#VALUE!</v>
      </c>
      <c r="Y436" t="e">
        <f t="shared" ca="1" si="212"/>
        <v>#VALUE!</v>
      </c>
      <c r="Z436" t="e">
        <f t="shared" ca="1" si="213"/>
        <v>#VALUE!</v>
      </c>
      <c r="AA436" t="e">
        <f t="shared" ca="1" si="214"/>
        <v>#VALUE!</v>
      </c>
      <c r="AB436" t="e">
        <f t="shared" ca="1" si="215"/>
        <v>#VALUE!</v>
      </c>
      <c r="AC436" t="e">
        <f t="shared" ca="1" si="216"/>
        <v>#VALUE!</v>
      </c>
      <c r="AD436" t="e">
        <f t="shared" ca="1" si="217"/>
        <v>#VALUE!</v>
      </c>
      <c r="AE436" t="e">
        <f t="shared" ca="1" si="218"/>
        <v>#VALUE!</v>
      </c>
      <c r="AF436" t="e">
        <f t="shared" ca="1" si="219"/>
        <v>#VALUE!</v>
      </c>
      <c r="AG436" t="e">
        <f t="shared" ca="1" si="220"/>
        <v>#VALUE!</v>
      </c>
      <c r="AH436" t="e">
        <f ca="1">IF(V32="Supercritical",L436,IF(V32="Subcritical",W436,IF(AND(V436=1,AG436=1),IF(T436&gt;=AE436,L436,W436),IF(V436=1,L436,IF(AG436=1,W436,MAX($D$16,POWER((ABS(K436)^2)/($I$5*MAX(F436,0.1)^2),1/3)))))))</f>
        <v>#VALUE!</v>
      </c>
      <c r="AI436" t="e">
        <f t="shared" ca="1" si="221"/>
        <v>#VALUE!</v>
      </c>
      <c r="AJ436" t="e">
        <f t="shared" ca="1" si="222"/>
        <v>#VALUE!</v>
      </c>
      <c r="AM436">
        <v>0</v>
      </c>
      <c r="AN436">
        <v>0</v>
      </c>
      <c r="AO436">
        <f t="shared" si="223"/>
        <v>0</v>
      </c>
      <c r="AP436">
        <f t="shared" si="232"/>
        <v>0</v>
      </c>
      <c r="AQ436" t="e">
        <f t="shared" ca="1" si="224"/>
        <v>#VALUE!</v>
      </c>
      <c r="AR436" t="e">
        <f t="shared" ca="1" si="225"/>
        <v>#VALUE!</v>
      </c>
      <c r="AS436" t="e">
        <f t="shared" ca="1" si="226"/>
        <v>#VALUE!</v>
      </c>
    </row>
    <row r="437" spans="1:45" x14ac:dyDescent="0.35">
      <c r="A437">
        <v>288</v>
      </c>
      <c r="B437">
        <v>286.89600000000002</v>
      </c>
      <c r="C437">
        <v>616305.38199999998</v>
      </c>
      <c r="D437">
        <v>3097664.2590000001</v>
      </c>
      <c r="E437">
        <v>632.41849999999999</v>
      </c>
      <c r="F437">
        <v>5.2</v>
      </c>
      <c r="G437">
        <v>0</v>
      </c>
      <c r="H437" t="s">
        <v>191</v>
      </c>
      <c r="I437">
        <v>2.3E-2</v>
      </c>
      <c r="J437">
        <f t="shared" si="227"/>
        <v>1.0010000000000332</v>
      </c>
      <c r="K437">
        <f t="shared" si="228"/>
        <v>51</v>
      </c>
      <c r="L437" t="e">
        <f t="shared" ca="1" si="229"/>
        <v>#VALUE!</v>
      </c>
      <c r="M437" t="e">
        <f t="shared" ca="1" si="202"/>
        <v>#VALUE!</v>
      </c>
      <c r="N437" t="e">
        <f t="shared" ca="1" si="203"/>
        <v>#VALUE!</v>
      </c>
      <c r="O437" t="e">
        <f t="shared" ca="1" si="204"/>
        <v>#VALUE!</v>
      </c>
      <c r="P437" t="e">
        <f t="shared" ca="1" si="205"/>
        <v>#VALUE!</v>
      </c>
      <c r="Q437" t="e">
        <f t="shared" ca="1" si="206"/>
        <v>#VALUE!</v>
      </c>
      <c r="R437" t="e">
        <f t="shared" ca="1" si="207"/>
        <v>#VALUE!</v>
      </c>
      <c r="S437" t="e">
        <f t="shared" ca="1" si="208"/>
        <v>#VALUE!</v>
      </c>
      <c r="T437" t="e">
        <f t="shared" ca="1" si="209"/>
        <v>#VALUE!</v>
      </c>
      <c r="U437" t="e">
        <f t="shared" ca="1" si="230"/>
        <v>#VALUE!</v>
      </c>
      <c r="V437" t="e">
        <f t="shared" ca="1" si="231"/>
        <v>#VALUE!</v>
      </c>
      <c r="W437" t="e">
        <f t="shared" ca="1" si="210"/>
        <v>#VALUE!</v>
      </c>
      <c r="X437" t="e">
        <f t="shared" ca="1" si="211"/>
        <v>#VALUE!</v>
      </c>
      <c r="Y437" t="e">
        <f t="shared" ca="1" si="212"/>
        <v>#VALUE!</v>
      </c>
      <c r="Z437" t="e">
        <f t="shared" ca="1" si="213"/>
        <v>#VALUE!</v>
      </c>
      <c r="AA437" t="e">
        <f t="shared" ca="1" si="214"/>
        <v>#VALUE!</v>
      </c>
      <c r="AB437" t="e">
        <f t="shared" ca="1" si="215"/>
        <v>#VALUE!</v>
      </c>
      <c r="AC437" t="e">
        <f t="shared" ca="1" si="216"/>
        <v>#VALUE!</v>
      </c>
      <c r="AD437" t="e">
        <f t="shared" ca="1" si="217"/>
        <v>#VALUE!</v>
      </c>
      <c r="AE437" t="e">
        <f t="shared" ca="1" si="218"/>
        <v>#VALUE!</v>
      </c>
      <c r="AF437" t="e">
        <f t="shared" ca="1" si="219"/>
        <v>#VALUE!</v>
      </c>
      <c r="AG437" t="e">
        <f t="shared" ca="1" si="220"/>
        <v>#VALUE!</v>
      </c>
      <c r="AH437" t="e">
        <f ca="1">IF(V32="Supercritical",L437,IF(V32="Subcritical",W437,IF(AND(V437=1,AG437=1),IF(T437&gt;=AE437,L437,W437),IF(V437=1,L437,IF(AG437=1,W437,MAX($D$16,POWER((ABS(K437)^2)/($I$5*MAX(F437,0.1)^2),1/3)))))))</f>
        <v>#VALUE!</v>
      </c>
      <c r="AI437" t="e">
        <f t="shared" ca="1" si="221"/>
        <v>#VALUE!</v>
      </c>
      <c r="AJ437" t="e">
        <f t="shared" ca="1" si="222"/>
        <v>#VALUE!</v>
      </c>
      <c r="AM437">
        <v>0</v>
      </c>
      <c r="AN437">
        <v>0</v>
      </c>
      <c r="AO437">
        <f t="shared" si="223"/>
        <v>0</v>
      </c>
      <c r="AP437">
        <f t="shared" si="232"/>
        <v>0</v>
      </c>
      <c r="AQ437" t="e">
        <f t="shared" ca="1" si="224"/>
        <v>#VALUE!</v>
      </c>
      <c r="AR437" t="e">
        <f t="shared" ca="1" si="225"/>
        <v>#VALUE!</v>
      </c>
      <c r="AS437" t="e">
        <f t="shared" ca="1" si="226"/>
        <v>#VALUE!</v>
      </c>
    </row>
    <row r="438" spans="1:45" x14ac:dyDescent="0.35">
      <c r="A438">
        <v>289</v>
      </c>
      <c r="B438">
        <v>287.89499999999998</v>
      </c>
      <c r="C438">
        <v>616304.90800000005</v>
      </c>
      <c r="D438">
        <v>3097663.3790000002</v>
      </c>
      <c r="E438">
        <v>632.41800000000001</v>
      </c>
      <c r="F438">
        <v>5.2</v>
      </c>
      <c r="G438">
        <v>0</v>
      </c>
      <c r="H438" t="s">
        <v>191</v>
      </c>
      <c r="I438">
        <v>0</v>
      </c>
      <c r="J438">
        <f t="shared" si="227"/>
        <v>0.9989999999999668</v>
      </c>
      <c r="K438">
        <f t="shared" si="228"/>
        <v>51</v>
      </c>
      <c r="L438" t="e">
        <f t="shared" ca="1" si="229"/>
        <v>#VALUE!</v>
      </c>
      <c r="M438" t="e">
        <f t="shared" ca="1" si="202"/>
        <v>#VALUE!</v>
      </c>
      <c r="N438" t="e">
        <f t="shared" ca="1" si="203"/>
        <v>#VALUE!</v>
      </c>
      <c r="O438" t="e">
        <f t="shared" ca="1" si="204"/>
        <v>#VALUE!</v>
      </c>
      <c r="P438" t="e">
        <f t="shared" ca="1" si="205"/>
        <v>#VALUE!</v>
      </c>
      <c r="Q438" t="e">
        <f t="shared" ca="1" si="206"/>
        <v>#VALUE!</v>
      </c>
      <c r="R438" t="e">
        <f t="shared" ca="1" si="207"/>
        <v>#VALUE!</v>
      </c>
      <c r="S438" t="e">
        <f t="shared" ca="1" si="208"/>
        <v>#VALUE!</v>
      </c>
      <c r="T438" t="e">
        <f t="shared" ca="1" si="209"/>
        <v>#VALUE!</v>
      </c>
      <c r="U438" t="e">
        <f t="shared" ca="1" si="230"/>
        <v>#VALUE!</v>
      </c>
      <c r="V438" t="e">
        <f t="shared" ca="1" si="231"/>
        <v>#VALUE!</v>
      </c>
      <c r="W438" t="e">
        <f t="shared" ca="1" si="210"/>
        <v>#VALUE!</v>
      </c>
      <c r="X438" t="e">
        <f t="shared" ca="1" si="211"/>
        <v>#VALUE!</v>
      </c>
      <c r="Y438" t="e">
        <f t="shared" ca="1" si="212"/>
        <v>#VALUE!</v>
      </c>
      <c r="Z438" t="e">
        <f t="shared" ca="1" si="213"/>
        <v>#VALUE!</v>
      </c>
      <c r="AA438" t="e">
        <f t="shared" ca="1" si="214"/>
        <v>#VALUE!</v>
      </c>
      <c r="AB438" t="e">
        <f t="shared" ca="1" si="215"/>
        <v>#VALUE!</v>
      </c>
      <c r="AC438" t="e">
        <f t="shared" ca="1" si="216"/>
        <v>#VALUE!</v>
      </c>
      <c r="AD438" t="e">
        <f t="shared" ca="1" si="217"/>
        <v>#VALUE!</v>
      </c>
      <c r="AE438" t="e">
        <f t="shared" ca="1" si="218"/>
        <v>#VALUE!</v>
      </c>
      <c r="AF438" t="e">
        <f t="shared" ca="1" si="219"/>
        <v>#VALUE!</v>
      </c>
      <c r="AG438" t="e">
        <f t="shared" ca="1" si="220"/>
        <v>#VALUE!</v>
      </c>
      <c r="AH438" t="e">
        <f ca="1">IF(V32="Supercritical",L438,IF(V32="Subcritical",W438,IF(AND(V438=1,AG438=1),IF(T438&gt;=AE438,L438,W438),IF(V438=1,L438,IF(AG438=1,W438,MAX($D$16,POWER((ABS(K438)^2)/($I$5*MAX(F438,0.1)^2),1/3)))))))</f>
        <v>#VALUE!</v>
      </c>
      <c r="AI438" t="e">
        <f t="shared" ca="1" si="221"/>
        <v>#VALUE!</v>
      </c>
      <c r="AJ438" t="e">
        <f t="shared" ca="1" si="222"/>
        <v>#VALUE!</v>
      </c>
      <c r="AM438">
        <v>0</v>
      </c>
      <c r="AN438">
        <v>0</v>
      </c>
      <c r="AO438">
        <f t="shared" si="223"/>
        <v>0</v>
      </c>
      <c r="AP438">
        <f t="shared" si="232"/>
        <v>0</v>
      </c>
      <c r="AQ438" t="e">
        <f t="shared" ca="1" si="224"/>
        <v>#VALUE!</v>
      </c>
      <c r="AR438" t="e">
        <f t="shared" ca="1" si="225"/>
        <v>#VALUE!</v>
      </c>
      <c r="AS438" t="e">
        <f t="shared" ca="1" si="226"/>
        <v>#VALUE!</v>
      </c>
    </row>
    <row r="439" spans="1:45" x14ac:dyDescent="0.35">
      <c r="A439">
        <v>290</v>
      </c>
      <c r="B439">
        <v>288.89499999999998</v>
      </c>
      <c r="C439">
        <v>616304.43400000001</v>
      </c>
      <c r="D439">
        <v>3097662.4989999998</v>
      </c>
      <c r="E439">
        <v>632.41750000000002</v>
      </c>
      <c r="F439">
        <v>5.2</v>
      </c>
      <c r="G439">
        <v>0</v>
      </c>
      <c r="H439" t="s">
        <v>191</v>
      </c>
      <c r="I439">
        <v>2.7E-2</v>
      </c>
      <c r="J439">
        <f t="shared" si="227"/>
        <v>1</v>
      </c>
      <c r="K439">
        <f t="shared" si="228"/>
        <v>51</v>
      </c>
      <c r="L439" t="e">
        <f t="shared" ca="1" si="229"/>
        <v>#VALUE!</v>
      </c>
      <c r="M439" t="e">
        <f t="shared" ca="1" si="202"/>
        <v>#VALUE!</v>
      </c>
      <c r="N439" t="e">
        <f t="shared" ca="1" si="203"/>
        <v>#VALUE!</v>
      </c>
      <c r="O439" t="e">
        <f t="shared" ca="1" si="204"/>
        <v>#VALUE!</v>
      </c>
      <c r="P439" t="e">
        <f t="shared" ca="1" si="205"/>
        <v>#VALUE!</v>
      </c>
      <c r="Q439" t="e">
        <f t="shared" ca="1" si="206"/>
        <v>#VALUE!</v>
      </c>
      <c r="R439" t="e">
        <f t="shared" ca="1" si="207"/>
        <v>#VALUE!</v>
      </c>
      <c r="S439" t="e">
        <f t="shared" ca="1" si="208"/>
        <v>#VALUE!</v>
      </c>
      <c r="T439" t="e">
        <f t="shared" ca="1" si="209"/>
        <v>#VALUE!</v>
      </c>
      <c r="U439" t="e">
        <f t="shared" ca="1" si="230"/>
        <v>#VALUE!</v>
      </c>
      <c r="V439" t="e">
        <f t="shared" ca="1" si="231"/>
        <v>#VALUE!</v>
      </c>
      <c r="W439" t="e">
        <f t="shared" ca="1" si="210"/>
        <v>#VALUE!</v>
      </c>
      <c r="X439" t="e">
        <f t="shared" ca="1" si="211"/>
        <v>#VALUE!</v>
      </c>
      <c r="Y439" t="e">
        <f t="shared" ca="1" si="212"/>
        <v>#VALUE!</v>
      </c>
      <c r="Z439" t="e">
        <f t="shared" ca="1" si="213"/>
        <v>#VALUE!</v>
      </c>
      <c r="AA439" t="e">
        <f t="shared" ca="1" si="214"/>
        <v>#VALUE!</v>
      </c>
      <c r="AB439" t="e">
        <f t="shared" ca="1" si="215"/>
        <v>#VALUE!</v>
      </c>
      <c r="AC439" t="e">
        <f t="shared" ca="1" si="216"/>
        <v>#VALUE!</v>
      </c>
      <c r="AD439" t="e">
        <f t="shared" ca="1" si="217"/>
        <v>#VALUE!</v>
      </c>
      <c r="AE439" t="e">
        <f t="shared" ca="1" si="218"/>
        <v>#VALUE!</v>
      </c>
      <c r="AF439" t="e">
        <f t="shared" ca="1" si="219"/>
        <v>#VALUE!</v>
      </c>
      <c r="AG439" t="e">
        <f t="shared" ca="1" si="220"/>
        <v>#VALUE!</v>
      </c>
      <c r="AH439" t="e">
        <f ca="1">IF(V32="Supercritical",L439,IF(V32="Subcritical",W439,IF(AND(V439=1,AG439=1),IF(T439&gt;=AE439,L439,W439),IF(V439=1,L439,IF(AG439=1,W439,MAX($D$16,POWER((ABS(K439)^2)/($I$5*MAX(F439,0.1)^2),1/3)))))))</f>
        <v>#VALUE!</v>
      </c>
      <c r="AI439" t="e">
        <f t="shared" ca="1" si="221"/>
        <v>#VALUE!</v>
      </c>
      <c r="AJ439" t="e">
        <f t="shared" ca="1" si="222"/>
        <v>#VALUE!</v>
      </c>
      <c r="AM439">
        <v>0</v>
      </c>
      <c r="AN439">
        <v>0</v>
      </c>
      <c r="AO439">
        <f t="shared" si="223"/>
        <v>0</v>
      </c>
      <c r="AP439">
        <f t="shared" si="232"/>
        <v>0</v>
      </c>
      <c r="AQ439" t="e">
        <f t="shared" ca="1" si="224"/>
        <v>#VALUE!</v>
      </c>
      <c r="AR439" t="e">
        <f t="shared" ca="1" si="225"/>
        <v>#VALUE!</v>
      </c>
      <c r="AS439" t="e">
        <f t="shared" ca="1" si="226"/>
        <v>#VALUE!</v>
      </c>
    </row>
    <row r="440" spans="1:45" x14ac:dyDescent="0.35">
      <c r="A440">
        <v>291</v>
      </c>
      <c r="B440">
        <v>289.89499999999998</v>
      </c>
      <c r="C440">
        <v>616303.96</v>
      </c>
      <c r="D440">
        <v>3097661.6179999998</v>
      </c>
      <c r="E440">
        <v>632.41700000000003</v>
      </c>
      <c r="F440">
        <v>5.2</v>
      </c>
      <c r="G440">
        <v>0</v>
      </c>
      <c r="H440" t="s">
        <v>191</v>
      </c>
      <c r="I440">
        <v>7.8E-2</v>
      </c>
      <c r="J440">
        <f t="shared" si="227"/>
        <v>1</v>
      </c>
      <c r="K440">
        <f t="shared" si="228"/>
        <v>51</v>
      </c>
      <c r="L440" t="e">
        <f t="shared" ca="1" si="229"/>
        <v>#VALUE!</v>
      </c>
      <c r="M440" t="e">
        <f t="shared" ca="1" si="202"/>
        <v>#VALUE!</v>
      </c>
      <c r="N440" t="e">
        <f t="shared" ca="1" si="203"/>
        <v>#VALUE!</v>
      </c>
      <c r="O440" t="e">
        <f t="shared" ca="1" si="204"/>
        <v>#VALUE!</v>
      </c>
      <c r="P440" t="e">
        <f t="shared" ca="1" si="205"/>
        <v>#VALUE!</v>
      </c>
      <c r="Q440" t="e">
        <f t="shared" ca="1" si="206"/>
        <v>#VALUE!</v>
      </c>
      <c r="R440" t="e">
        <f t="shared" ca="1" si="207"/>
        <v>#VALUE!</v>
      </c>
      <c r="S440" t="e">
        <f t="shared" ca="1" si="208"/>
        <v>#VALUE!</v>
      </c>
      <c r="T440" t="e">
        <f t="shared" ca="1" si="209"/>
        <v>#VALUE!</v>
      </c>
      <c r="U440" t="e">
        <f t="shared" ca="1" si="230"/>
        <v>#VALUE!</v>
      </c>
      <c r="V440" t="e">
        <f t="shared" ca="1" si="231"/>
        <v>#VALUE!</v>
      </c>
      <c r="W440" t="e">
        <f t="shared" ca="1" si="210"/>
        <v>#VALUE!</v>
      </c>
      <c r="X440" t="e">
        <f t="shared" ca="1" si="211"/>
        <v>#VALUE!</v>
      </c>
      <c r="Y440" t="e">
        <f t="shared" ca="1" si="212"/>
        <v>#VALUE!</v>
      </c>
      <c r="Z440" t="e">
        <f t="shared" ca="1" si="213"/>
        <v>#VALUE!</v>
      </c>
      <c r="AA440" t="e">
        <f t="shared" ca="1" si="214"/>
        <v>#VALUE!</v>
      </c>
      <c r="AB440" t="e">
        <f t="shared" ca="1" si="215"/>
        <v>#VALUE!</v>
      </c>
      <c r="AC440" t="e">
        <f t="shared" ca="1" si="216"/>
        <v>#VALUE!</v>
      </c>
      <c r="AD440" t="e">
        <f t="shared" ca="1" si="217"/>
        <v>#VALUE!</v>
      </c>
      <c r="AE440" t="e">
        <f t="shared" ca="1" si="218"/>
        <v>#VALUE!</v>
      </c>
      <c r="AF440" t="e">
        <f t="shared" ca="1" si="219"/>
        <v>#VALUE!</v>
      </c>
      <c r="AG440" t="e">
        <f t="shared" ca="1" si="220"/>
        <v>#VALUE!</v>
      </c>
      <c r="AH440" t="e">
        <f ca="1">IF(V32="Supercritical",L440,IF(V32="Subcritical",W440,IF(AND(V440=1,AG440=1),IF(T440&gt;=AE440,L440,W440),IF(V440=1,L440,IF(AG440=1,W440,MAX($D$16,POWER((ABS(K440)^2)/($I$5*MAX(F440,0.1)^2),1/3)))))))</f>
        <v>#VALUE!</v>
      </c>
      <c r="AI440" t="e">
        <f t="shared" ca="1" si="221"/>
        <v>#VALUE!</v>
      </c>
      <c r="AJ440" t="e">
        <f t="shared" ca="1" si="222"/>
        <v>#VALUE!</v>
      </c>
      <c r="AM440">
        <v>0</v>
      </c>
      <c r="AN440">
        <v>0</v>
      </c>
      <c r="AO440">
        <f t="shared" si="223"/>
        <v>0</v>
      </c>
      <c r="AP440">
        <f t="shared" si="232"/>
        <v>0</v>
      </c>
      <c r="AQ440" t="e">
        <f t="shared" ca="1" si="224"/>
        <v>#VALUE!</v>
      </c>
      <c r="AR440" t="e">
        <f t="shared" ca="1" si="225"/>
        <v>#VALUE!</v>
      </c>
      <c r="AS440" t="e">
        <f t="shared" ca="1" si="226"/>
        <v>#VALUE!</v>
      </c>
    </row>
    <row r="441" spans="1:45" x14ac:dyDescent="0.35">
      <c r="A441">
        <v>292</v>
      </c>
      <c r="B441">
        <v>290.89499999999998</v>
      </c>
      <c r="C441">
        <v>616303.48499999999</v>
      </c>
      <c r="D441">
        <v>3097660.7379999999</v>
      </c>
      <c r="E441">
        <v>632.41650000000004</v>
      </c>
      <c r="F441">
        <v>5.2</v>
      </c>
      <c r="G441">
        <v>0</v>
      </c>
      <c r="H441" t="s">
        <v>191</v>
      </c>
      <c r="I441">
        <v>7.8E-2</v>
      </c>
      <c r="J441">
        <f t="shared" si="227"/>
        <v>1</v>
      </c>
      <c r="K441">
        <f t="shared" si="228"/>
        <v>51</v>
      </c>
      <c r="L441" t="e">
        <f t="shared" ca="1" si="229"/>
        <v>#VALUE!</v>
      </c>
      <c r="M441" t="e">
        <f t="shared" ca="1" si="202"/>
        <v>#VALUE!</v>
      </c>
      <c r="N441" t="e">
        <f t="shared" ca="1" si="203"/>
        <v>#VALUE!</v>
      </c>
      <c r="O441" t="e">
        <f t="shared" ca="1" si="204"/>
        <v>#VALUE!</v>
      </c>
      <c r="P441" t="e">
        <f t="shared" ca="1" si="205"/>
        <v>#VALUE!</v>
      </c>
      <c r="Q441" t="e">
        <f t="shared" ca="1" si="206"/>
        <v>#VALUE!</v>
      </c>
      <c r="R441" t="e">
        <f t="shared" ca="1" si="207"/>
        <v>#VALUE!</v>
      </c>
      <c r="S441" t="e">
        <f t="shared" ca="1" si="208"/>
        <v>#VALUE!</v>
      </c>
      <c r="T441" t="e">
        <f t="shared" ca="1" si="209"/>
        <v>#VALUE!</v>
      </c>
      <c r="U441" t="e">
        <f t="shared" ca="1" si="230"/>
        <v>#VALUE!</v>
      </c>
      <c r="V441" t="e">
        <f t="shared" ca="1" si="231"/>
        <v>#VALUE!</v>
      </c>
      <c r="W441" t="e">
        <f t="shared" ca="1" si="210"/>
        <v>#VALUE!</v>
      </c>
      <c r="X441" t="e">
        <f t="shared" ca="1" si="211"/>
        <v>#VALUE!</v>
      </c>
      <c r="Y441" t="e">
        <f t="shared" ca="1" si="212"/>
        <v>#VALUE!</v>
      </c>
      <c r="Z441" t="e">
        <f t="shared" ca="1" si="213"/>
        <v>#VALUE!</v>
      </c>
      <c r="AA441" t="e">
        <f t="shared" ca="1" si="214"/>
        <v>#VALUE!</v>
      </c>
      <c r="AB441" t="e">
        <f t="shared" ca="1" si="215"/>
        <v>#VALUE!</v>
      </c>
      <c r="AC441" t="e">
        <f t="shared" ca="1" si="216"/>
        <v>#VALUE!</v>
      </c>
      <c r="AD441" t="e">
        <f t="shared" ca="1" si="217"/>
        <v>#VALUE!</v>
      </c>
      <c r="AE441" t="e">
        <f t="shared" ca="1" si="218"/>
        <v>#VALUE!</v>
      </c>
      <c r="AF441" t="e">
        <f t="shared" ca="1" si="219"/>
        <v>#VALUE!</v>
      </c>
      <c r="AG441" t="e">
        <f t="shared" ca="1" si="220"/>
        <v>#VALUE!</v>
      </c>
      <c r="AH441" t="e">
        <f ca="1">IF(V32="Supercritical",L441,IF(V32="Subcritical",W441,IF(AND(V441=1,AG441=1),IF(T441&gt;=AE441,L441,W441),IF(V441=1,L441,IF(AG441=1,W441,MAX($D$16,POWER((ABS(K441)^2)/($I$5*MAX(F441,0.1)^2),1/3)))))))</f>
        <v>#VALUE!</v>
      </c>
      <c r="AI441" t="e">
        <f t="shared" ca="1" si="221"/>
        <v>#VALUE!</v>
      </c>
      <c r="AJ441" t="e">
        <f t="shared" ca="1" si="222"/>
        <v>#VALUE!</v>
      </c>
      <c r="AM441">
        <v>0</v>
      </c>
      <c r="AN441">
        <v>0</v>
      </c>
      <c r="AO441">
        <f t="shared" si="223"/>
        <v>0</v>
      </c>
      <c r="AP441">
        <f t="shared" si="232"/>
        <v>0</v>
      </c>
      <c r="AQ441" t="e">
        <f t="shared" ca="1" si="224"/>
        <v>#VALUE!</v>
      </c>
      <c r="AR441" t="e">
        <f t="shared" ca="1" si="225"/>
        <v>#VALUE!</v>
      </c>
      <c r="AS441" t="e">
        <f t="shared" ca="1" si="226"/>
        <v>#VALUE!</v>
      </c>
    </row>
    <row r="442" spans="1:45" x14ac:dyDescent="0.35">
      <c r="A442">
        <v>293</v>
      </c>
      <c r="B442">
        <v>291.89600000000002</v>
      </c>
      <c r="C442">
        <v>616303.01100000006</v>
      </c>
      <c r="D442">
        <v>3097659.8569999998</v>
      </c>
      <c r="E442">
        <v>632.41600000000005</v>
      </c>
      <c r="F442">
        <v>5.2</v>
      </c>
      <c r="G442">
        <v>0</v>
      </c>
      <c r="H442" t="s">
        <v>191</v>
      </c>
      <c r="I442">
        <v>2.7E-2</v>
      </c>
      <c r="J442">
        <f t="shared" si="227"/>
        <v>1.0010000000000332</v>
      </c>
      <c r="K442">
        <f t="shared" si="228"/>
        <v>51</v>
      </c>
      <c r="L442" t="e">
        <f t="shared" ca="1" si="229"/>
        <v>#VALUE!</v>
      </c>
      <c r="M442" t="e">
        <f t="shared" ca="1" si="202"/>
        <v>#VALUE!</v>
      </c>
      <c r="N442" t="e">
        <f t="shared" ca="1" si="203"/>
        <v>#VALUE!</v>
      </c>
      <c r="O442" t="e">
        <f t="shared" ca="1" si="204"/>
        <v>#VALUE!</v>
      </c>
      <c r="P442" t="e">
        <f t="shared" ca="1" si="205"/>
        <v>#VALUE!</v>
      </c>
      <c r="Q442" t="e">
        <f t="shared" ca="1" si="206"/>
        <v>#VALUE!</v>
      </c>
      <c r="R442" t="e">
        <f t="shared" ca="1" si="207"/>
        <v>#VALUE!</v>
      </c>
      <c r="S442" t="e">
        <f t="shared" ca="1" si="208"/>
        <v>#VALUE!</v>
      </c>
      <c r="T442" t="e">
        <f t="shared" ca="1" si="209"/>
        <v>#VALUE!</v>
      </c>
      <c r="U442" t="e">
        <f t="shared" ca="1" si="230"/>
        <v>#VALUE!</v>
      </c>
      <c r="V442" t="e">
        <f t="shared" ca="1" si="231"/>
        <v>#VALUE!</v>
      </c>
      <c r="W442" t="e">
        <f t="shared" ca="1" si="210"/>
        <v>#VALUE!</v>
      </c>
      <c r="X442" t="e">
        <f t="shared" ca="1" si="211"/>
        <v>#VALUE!</v>
      </c>
      <c r="Y442" t="e">
        <f t="shared" ca="1" si="212"/>
        <v>#VALUE!</v>
      </c>
      <c r="Z442" t="e">
        <f t="shared" ca="1" si="213"/>
        <v>#VALUE!</v>
      </c>
      <c r="AA442" t="e">
        <f t="shared" ca="1" si="214"/>
        <v>#VALUE!</v>
      </c>
      <c r="AB442" t="e">
        <f t="shared" ca="1" si="215"/>
        <v>#VALUE!</v>
      </c>
      <c r="AC442" t="e">
        <f t="shared" ca="1" si="216"/>
        <v>#VALUE!</v>
      </c>
      <c r="AD442" t="e">
        <f t="shared" ca="1" si="217"/>
        <v>#VALUE!</v>
      </c>
      <c r="AE442" t="e">
        <f t="shared" ca="1" si="218"/>
        <v>#VALUE!</v>
      </c>
      <c r="AF442" t="e">
        <f t="shared" ca="1" si="219"/>
        <v>#VALUE!</v>
      </c>
      <c r="AG442" t="e">
        <f t="shared" ca="1" si="220"/>
        <v>#VALUE!</v>
      </c>
      <c r="AH442" t="e">
        <f ca="1">IF(V32="Supercritical",L442,IF(V32="Subcritical",W442,IF(AND(V442=1,AG442=1),IF(T442&gt;=AE442,L442,W442),IF(V442=1,L442,IF(AG442=1,W442,MAX($D$16,POWER((ABS(K442)^2)/($I$5*MAX(F442,0.1)^2),1/3)))))))</f>
        <v>#VALUE!</v>
      </c>
      <c r="AI442" t="e">
        <f t="shared" ca="1" si="221"/>
        <v>#VALUE!</v>
      </c>
      <c r="AJ442" t="e">
        <f t="shared" ca="1" si="222"/>
        <v>#VALUE!</v>
      </c>
      <c r="AM442">
        <v>0</v>
      </c>
      <c r="AN442">
        <v>0</v>
      </c>
      <c r="AO442">
        <f t="shared" si="223"/>
        <v>0</v>
      </c>
      <c r="AP442">
        <f t="shared" si="232"/>
        <v>0</v>
      </c>
      <c r="AQ442" t="e">
        <f t="shared" ca="1" si="224"/>
        <v>#VALUE!</v>
      </c>
      <c r="AR442" t="e">
        <f t="shared" ca="1" si="225"/>
        <v>#VALUE!</v>
      </c>
      <c r="AS442" t="e">
        <f t="shared" ca="1" si="226"/>
        <v>#VALUE!</v>
      </c>
    </row>
    <row r="443" spans="1:45" x14ac:dyDescent="0.35">
      <c r="A443">
        <v>294</v>
      </c>
      <c r="B443">
        <v>292.89499999999998</v>
      </c>
      <c r="C443">
        <v>616302.53700000001</v>
      </c>
      <c r="D443">
        <v>3097658.977</v>
      </c>
      <c r="E443">
        <v>632.41549999999995</v>
      </c>
      <c r="F443">
        <v>5.2</v>
      </c>
      <c r="G443">
        <v>0</v>
      </c>
      <c r="H443" t="s">
        <v>191</v>
      </c>
      <c r="I443">
        <v>0</v>
      </c>
      <c r="J443">
        <f t="shared" si="227"/>
        <v>0.9989999999999668</v>
      </c>
      <c r="K443">
        <f t="shared" si="228"/>
        <v>51</v>
      </c>
      <c r="L443" t="e">
        <f t="shared" ca="1" si="229"/>
        <v>#VALUE!</v>
      </c>
      <c r="M443" t="e">
        <f t="shared" ca="1" si="202"/>
        <v>#VALUE!</v>
      </c>
      <c r="N443" t="e">
        <f t="shared" ca="1" si="203"/>
        <v>#VALUE!</v>
      </c>
      <c r="O443" t="e">
        <f t="shared" ca="1" si="204"/>
        <v>#VALUE!</v>
      </c>
      <c r="P443" t="e">
        <f t="shared" ca="1" si="205"/>
        <v>#VALUE!</v>
      </c>
      <c r="Q443" t="e">
        <f t="shared" ca="1" si="206"/>
        <v>#VALUE!</v>
      </c>
      <c r="R443" t="e">
        <f t="shared" ca="1" si="207"/>
        <v>#VALUE!</v>
      </c>
      <c r="S443" t="e">
        <f t="shared" ca="1" si="208"/>
        <v>#VALUE!</v>
      </c>
      <c r="T443" t="e">
        <f t="shared" ca="1" si="209"/>
        <v>#VALUE!</v>
      </c>
      <c r="U443" t="e">
        <f t="shared" ca="1" si="230"/>
        <v>#VALUE!</v>
      </c>
      <c r="V443" t="e">
        <f t="shared" ca="1" si="231"/>
        <v>#VALUE!</v>
      </c>
      <c r="W443" t="e">
        <f t="shared" ca="1" si="210"/>
        <v>#VALUE!</v>
      </c>
      <c r="X443" t="e">
        <f t="shared" ca="1" si="211"/>
        <v>#VALUE!</v>
      </c>
      <c r="Y443" t="e">
        <f t="shared" ca="1" si="212"/>
        <v>#VALUE!</v>
      </c>
      <c r="Z443" t="e">
        <f t="shared" ca="1" si="213"/>
        <v>#VALUE!</v>
      </c>
      <c r="AA443" t="e">
        <f t="shared" ca="1" si="214"/>
        <v>#VALUE!</v>
      </c>
      <c r="AB443" t="e">
        <f t="shared" ca="1" si="215"/>
        <v>#VALUE!</v>
      </c>
      <c r="AC443" t="e">
        <f t="shared" ca="1" si="216"/>
        <v>#VALUE!</v>
      </c>
      <c r="AD443" t="e">
        <f t="shared" ca="1" si="217"/>
        <v>#VALUE!</v>
      </c>
      <c r="AE443" t="e">
        <f t="shared" ca="1" si="218"/>
        <v>#VALUE!</v>
      </c>
      <c r="AF443" t="e">
        <f t="shared" ca="1" si="219"/>
        <v>#VALUE!</v>
      </c>
      <c r="AG443" t="e">
        <f t="shared" ca="1" si="220"/>
        <v>#VALUE!</v>
      </c>
      <c r="AH443" t="e">
        <f ca="1">IF(V32="Supercritical",L443,IF(V32="Subcritical",W443,IF(AND(V443=1,AG443=1),IF(T443&gt;=AE443,L443,W443),IF(V443=1,L443,IF(AG443=1,W443,MAX($D$16,POWER((ABS(K443)^2)/($I$5*MAX(F443,0.1)^2),1/3)))))))</f>
        <v>#VALUE!</v>
      </c>
      <c r="AI443" t="e">
        <f t="shared" ca="1" si="221"/>
        <v>#VALUE!</v>
      </c>
      <c r="AJ443" t="e">
        <f t="shared" ca="1" si="222"/>
        <v>#VALUE!</v>
      </c>
      <c r="AM443">
        <v>0</v>
      </c>
      <c r="AN443">
        <v>0</v>
      </c>
      <c r="AO443">
        <f t="shared" si="223"/>
        <v>0</v>
      </c>
      <c r="AP443">
        <f t="shared" si="232"/>
        <v>0</v>
      </c>
      <c r="AQ443" t="e">
        <f t="shared" ca="1" si="224"/>
        <v>#VALUE!</v>
      </c>
      <c r="AR443" t="e">
        <f t="shared" ca="1" si="225"/>
        <v>#VALUE!</v>
      </c>
      <c r="AS443" t="e">
        <f t="shared" ca="1" si="226"/>
        <v>#VALUE!</v>
      </c>
    </row>
    <row r="444" spans="1:45" x14ac:dyDescent="0.35">
      <c r="A444">
        <v>295</v>
      </c>
      <c r="B444">
        <v>293.89499999999998</v>
      </c>
      <c r="C444">
        <v>616302.06299999997</v>
      </c>
      <c r="D444">
        <v>3097658.0970000001</v>
      </c>
      <c r="E444">
        <v>632.41499999999996</v>
      </c>
      <c r="F444">
        <v>5.2</v>
      </c>
      <c r="G444">
        <v>0</v>
      </c>
      <c r="H444" t="s">
        <v>191</v>
      </c>
      <c r="I444">
        <v>2.3E-2</v>
      </c>
      <c r="J444">
        <f t="shared" si="227"/>
        <v>1</v>
      </c>
      <c r="K444">
        <f t="shared" si="228"/>
        <v>51</v>
      </c>
      <c r="L444" t="e">
        <f t="shared" ca="1" si="229"/>
        <v>#VALUE!</v>
      </c>
      <c r="M444" t="e">
        <f t="shared" ca="1" si="202"/>
        <v>#VALUE!</v>
      </c>
      <c r="N444" t="e">
        <f t="shared" ca="1" si="203"/>
        <v>#VALUE!</v>
      </c>
      <c r="O444" t="e">
        <f t="shared" ca="1" si="204"/>
        <v>#VALUE!</v>
      </c>
      <c r="P444" t="e">
        <f t="shared" ca="1" si="205"/>
        <v>#VALUE!</v>
      </c>
      <c r="Q444" t="e">
        <f t="shared" ca="1" si="206"/>
        <v>#VALUE!</v>
      </c>
      <c r="R444" t="e">
        <f t="shared" ca="1" si="207"/>
        <v>#VALUE!</v>
      </c>
      <c r="S444" t="e">
        <f t="shared" ca="1" si="208"/>
        <v>#VALUE!</v>
      </c>
      <c r="T444" t="e">
        <f t="shared" ca="1" si="209"/>
        <v>#VALUE!</v>
      </c>
      <c r="U444" t="e">
        <f t="shared" ca="1" si="230"/>
        <v>#VALUE!</v>
      </c>
      <c r="V444" t="e">
        <f t="shared" ca="1" si="231"/>
        <v>#VALUE!</v>
      </c>
      <c r="W444" t="e">
        <f t="shared" ca="1" si="210"/>
        <v>#VALUE!</v>
      </c>
      <c r="X444" t="e">
        <f t="shared" ca="1" si="211"/>
        <v>#VALUE!</v>
      </c>
      <c r="Y444" t="e">
        <f t="shared" ca="1" si="212"/>
        <v>#VALUE!</v>
      </c>
      <c r="Z444" t="e">
        <f t="shared" ca="1" si="213"/>
        <v>#VALUE!</v>
      </c>
      <c r="AA444" t="e">
        <f t="shared" ca="1" si="214"/>
        <v>#VALUE!</v>
      </c>
      <c r="AB444" t="e">
        <f t="shared" ca="1" si="215"/>
        <v>#VALUE!</v>
      </c>
      <c r="AC444" t="e">
        <f t="shared" ca="1" si="216"/>
        <v>#VALUE!</v>
      </c>
      <c r="AD444" t="e">
        <f t="shared" ca="1" si="217"/>
        <v>#VALUE!</v>
      </c>
      <c r="AE444" t="e">
        <f t="shared" ca="1" si="218"/>
        <v>#VALUE!</v>
      </c>
      <c r="AF444" t="e">
        <f t="shared" ca="1" si="219"/>
        <v>#VALUE!</v>
      </c>
      <c r="AG444" t="e">
        <f t="shared" ca="1" si="220"/>
        <v>#VALUE!</v>
      </c>
      <c r="AH444" t="e">
        <f ca="1">IF(V32="Supercritical",L444,IF(V32="Subcritical",W444,IF(AND(V444=1,AG444=1),IF(T444&gt;=AE444,L444,W444),IF(V444=1,L444,IF(AG444=1,W444,MAX($D$16,POWER((ABS(K444)^2)/($I$5*MAX(F444,0.1)^2),1/3)))))))</f>
        <v>#VALUE!</v>
      </c>
      <c r="AI444" t="e">
        <f t="shared" ca="1" si="221"/>
        <v>#VALUE!</v>
      </c>
      <c r="AJ444" t="e">
        <f t="shared" ca="1" si="222"/>
        <v>#VALUE!</v>
      </c>
      <c r="AM444">
        <v>0</v>
      </c>
      <c r="AN444">
        <v>0</v>
      </c>
      <c r="AO444">
        <f t="shared" si="223"/>
        <v>0</v>
      </c>
      <c r="AP444">
        <f t="shared" si="232"/>
        <v>0</v>
      </c>
      <c r="AQ444" t="e">
        <f t="shared" ca="1" si="224"/>
        <v>#VALUE!</v>
      </c>
      <c r="AR444" t="e">
        <f t="shared" ca="1" si="225"/>
        <v>#VALUE!</v>
      </c>
      <c r="AS444" t="e">
        <f t="shared" ca="1" si="226"/>
        <v>#VALUE!</v>
      </c>
    </row>
    <row r="445" spans="1:45" x14ac:dyDescent="0.35">
      <c r="A445">
        <v>296</v>
      </c>
      <c r="B445">
        <v>294.89600000000002</v>
      </c>
      <c r="C445">
        <v>616301.58799999999</v>
      </c>
      <c r="D445">
        <v>3097657.216</v>
      </c>
      <c r="E445">
        <v>632.41449999999998</v>
      </c>
      <c r="F445">
        <v>5.2</v>
      </c>
      <c r="G445">
        <v>0</v>
      </c>
      <c r="H445" t="s">
        <v>191</v>
      </c>
      <c r="I445">
        <v>2.3E-2</v>
      </c>
      <c r="J445">
        <f t="shared" si="227"/>
        <v>1.0010000000000332</v>
      </c>
      <c r="K445">
        <f t="shared" si="228"/>
        <v>51</v>
      </c>
      <c r="L445" t="e">
        <f t="shared" ca="1" si="229"/>
        <v>#VALUE!</v>
      </c>
      <c r="M445" t="e">
        <f t="shared" ca="1" si="202"/>
        <v>#VALUE!</v>
      </c>
      <c r="N445" t="e">
        <f t="shared" ca="1" si="203"/>
        <v>#VALUE!</v>
      </c>
      <c r="O445" t="e">
        <f t="shared" ca="1" si="204"/>
        <v>#VALUE!</v>
      </c>
      <c r="P445" t="e">
        <f t="shared" ca="1" si="205"/>
        <v>#VALUE!</v>
      </c>
      <c r="Q445" t="e">
        <f t="shared" ca="1" si="206"/>
        <v>#VALUE!</v>
      </c>
      <c r="R445" t="e">
        <f t="shared" ca="1" si="207"/>
        <v>#VALUE!</v>
      </c>
      <c r="S445" t="e">
        <f t="shared" ca="1" si="208"/>
        <v>#VALUE!</v>
      </c>
      <c r="T445" t="e">
        <f t="shared" ca="1" si="209"/>
        <v>#VALUE!</v>
      </c>
      <c r="U445" t="e">
        <f t="shared" ca="1" si="230"/>
        <v>#VALUE!</v>
      </c>
      <c r="V445" t="e">
        <f t="shared" ca="1" si="231"/>
        <v>#VALUE!</v>
      </c>
      <c r="W445" t="e">
        <f t="shared" ca="1" si="210"/>
        <v>#VALUE!</v>
      </c>
      <c r="X445" t="e">
        <f t="shared" ca="1" si="211"/>
        <v>#VALUE!</v>
      </c>
      <c r="Y445" t="e">
        <f t="shared" ca="1" si="212"/>
        <v>#VALUE!</v>
      </c>
      <c r="Z445" t="e">
        <f t="shared" ca="1" si="213"/>
        <v>#VALUE!</v>
      </c>
      <c r="AA445" t="e">
        <f t="shared" ca="1" si="214"/>
        <v>#VALUE!</v>
      </c>
      <c r="AB445" t="e">
        <f t="shared" ca="1" si="215"/>
        <v>#VALUE!</v>
      </c>
      <c r="AC445" t="e">
        <f t="shared" ca="1" si="216"/>
        <v>#VALUE!</v>
      </c>
      <c r="AD445" t="e">
        <f t="shared" ca="1" si="217"/>
        <v>#VALUE!</v>
      </c>
      <c r="AE445" t="e">
        <f t="shared" ca="1" si="218"/>
        <v>#VALUE!</v>
      </c>
      <c r="AF445" t="e">
        <f t="shared" ca="1" si="219"/>
        <v>#VALUE!</v>
      </c>
      <c r="AG445" t="e">
        <f t="shared" ca="1" si="220"/>
        <v>#VALUE!</v>
      </c>
      <c r="AH445" t="e">
        <f ca="1">IF(V32="Supercritical",L445,IF(V32="Subcritical",W445,IF(AND(V445=1,AG445=1),IF(T445&gt;=AE445,L445,W445),IF(V445=1,L445,IF(AG445=1,W445,MAX($D$16,POWER((ABS(K445)^2)/($I$5*MAX(F445,0.1)^2),1/3)))))))</f>
        <v>#VALUE!</v>
      </c>
      <c r="AI445" t="e">
        <f t="shared" ca="1" si="221"/>
        <v>#VALUE!</v>
      </c>
      <c r="AJ445" t="e">
        <f t="shared" ca="1" si="222"/>
        <v>#VALUE!</v>
      </c>
      <c r="AM445">
        <v>0</v>
      </c>
      <c r="AN445">
        <v>0</v>
      </c>
      <c r="AO445">
        <f t="shared" si="223"/>
        <v>0</v>
      </c>
      <c r="AP445">
        <f t="shared" si="232"/>
        <v>0</v>
      </c>
      <c r="AQ445" t="e">
        <f t="shared" ca="1" si="224"/>
        <v>#VALUE!</v>
      </c>
      <c r="AR445" t="e">
        <f t="shared" ca="1" si="225"/>
        <v>#VALUE!</v>
      </c>
      <c r="AS445" t="e">
        <f t="shared" ca="1" si="226"/>
        <v>#VALUE!</v>
      </c>
    </row>
    <row r="446" spans="1:45" x14ac:dyDescent="0.35">
      <c r="A446">
        <v>297</v>
      </c>
      <c r="B446">
        <v>295.89499999999998</v>
      </c>
      <c r="C446">
        <v>616301.11399999994</v>
      </c>
      <c r="D446">
        <v>3097656.3360000001</v>
      </c>
      <c r="E446">
        <v>632.41399999999999</v>
      </c>
      <c r="F446">
        <v>5.2</v>
      </c>
      <c r="G446">
        <v>0</v>
      </c>
      <c r="H446" t="s">
        <v>191</v>
      </c>
      <c r="I446">
        <v>2.7E-2</v>
      </c>
      <c r="J446">
        <f t="shared" si="227"/>
        <v>0.9989999999999668</v>
      </c>
      <c r="K446">
        <f t="shared" si="228"/>
        <v>51</v>
      </c>
      <c r="L446" t="e">
        <f t="shared" ca="1" si="229"/>
        <v>#VALUE!</v>
      </c>
      <c r="M446" t="e">
        <f t="shared" ca="1" si="202"/>
        <v>#VALUE!</v>
      </c>
      <c r="N446" t="e">
        <f t="shared" ca="1" si="203"/>
        <v>#VALUE!</v>
      </c>
      <c r="O446" t="e">
        <f t="shared" ca="1" si="204"/>
        <v>#VALUE!</v>
      </c>
      <c r="P446" t="e">
        <f t="shared" ca="1" si="205"/>
        <v>#VALUE!</v>
      </c>
      <c r="Q446" t="e">
        <f t="shared" ca="1" si="206"/>
        <v>#VALUE!</v>
      </c>
      <c r="R446" t="e">
        <f t="shared" ca="1" si="207"/>
        <v>#VALUE!</v>
      </c>
      <c r="S446" t="e">
        <f t="shared" ca="1" si="208"/>
        <v>#VALUE!</v>
      </c>
      <c r="T446" t="e">
        <f t="shared" ca="1" si="209"/>
        <v>#VALUE!</v>
      </c>
      <c r="U446" t="e">
        <f t="shared" ca="1" si="230"/>
        <v>#VALUE!</v>
      </c>
      <c r="V446" t="e">
        <f t="shared" ca="1" si="231"/>
        <v>#VALUE!</v>
      </c>
      <c r="W446" t="e">
        <f t="shared" ca="1" si="210"/>
        <v>#VALUE!</v>
      </c>
      <c r="X446" t="e">
        <f t="shared" ca="1" si="211"/>
        <v>#VALUE!</v>
      </c>
      <c r="Y446" t="e">
        <f t="shared" ca="1" si="212"/>
        <v>#VALUE!</v>
      </c>
      <c r="Z446" t="e">
        <f t="shared" ca="1" si="213"/>
        <v>#VALUE!</v>
      </c>
      <c r="AA446" t="e">
        <f t="shared" ca="1" si="214"/>
        <v>#VALUE!</v>
      </c>
      <c r="AB446" t="e">
        <f t="shared" ca="1" si="215"/>
        <v>#VALUE!</v>
      </c>
      <c r="AC446" t="e">
        <f t="shared" ca="1" si="216"/>
        <v>#VALUE!</v>
      </c>
      <c r="AD446" t="e">
        <f t="shared" ca="1" si="217"/>
        <v>#VALUE!</v>
      </c>
      <c r="AE446" t="e">
        <f t="shared" ca="1" si="218"/>
        <v>#VALUE!</v>
      </c>
      <c r="AF446" t="e">
        <f t="shared" ca="1" si="219"/>
        <v>#VALUE!</v>
      </c>
      <c r="AG446" t="e">
        <f t="shared" ca="1" si="220"/>
        <v>#VALUE!</v>
      </c>
      <c r="AH446" t="e">
        <f ca="1">IF(V32="Supercritical",L446,IF(V32="Subcritical",W446,IF(AND(V446=1,AG446=1),IF(T446&gt;=AE446,L446,W446),IF(V446=1,L446,IF(AG446=1,W446,MAX($D$16,POWER((ABS(K446)^2)/($I$5*MAX(F446,0.1)^2),1/3)))))))</f>
        <v>#VALUE!</v>
      </c>
      <c r="AI446" t="e">
        <f t="shared" ca="1" si="221"/>
        <v>#VALUE!</v>
      </c>
      <c r="AJ446" t="e">
        <f t="shared" ca="1" si="222"/>
        <v>#VALUE!</v>
      </c>
      <c r="AM446">
        <v>0</v>
      </c>
      <c r="AN446">
        <v>0</v>
      </c>
      <c r="AO446">
        <f t="shared" si="223"/>
        <v>0</v>
      </c>
      <c r="AP446">
        <f t="shared" si="232"/>
        <v>0</v>
      </c>
      <c r="AQ446" t="e">
        <f t="shared" ca="1" si="224"/>
        <v>#VALUE!</v>
      </c>
      <c r="AR446" t="e">
        <f t="shared" ca="1" si="225"/>
        <v>#VALUE!</v>
      </c>
      <c r="AS446" t="e">
        <f t="shared" ca="1" si="226"/>
        <v>#VALUE!</v>
      </c>
    </row>
    <row r="447" spans="1:45" x14ac:dyDescent="0.35">
      <c r="A447">
        <v>298</v>
      </c>
      <c r="B447">
        <v>296.89600000000002</v>
      </c>
      <c r="C447">
        <v>616300.64</v>
      </c>
      <c r="D447">
        <v>3097655.4550000001</v>
      </c>
      <c r="E447">
        <v>632.4135</v>
      </c>
      <c r="F447">
        <v>5.2</v>
      </c>
      <c r="G447">
        <v>0</v>
      </c>
      <c r="H447" t="s">
        <v>191</v>
      </c>
      <c r="I447">
        <v>2.7E-2</v>
      </c>
      <c r="J447">
        <f t="shared" si="227"/>
        <v>1.0010000000000332</v>
      </c>
      <c r="K447">
        <f t="shared" si="228"/>
        <v>51</v>
      </c>
      <c r="L447" t="e">
        <f t="shared" ca="1" si="229"/>
        <v>#VALUE!</v>
      </c>
      <c r="M447" t="e">
        <f t="shared" ca="1" si="202"/>
        <v>#VALUE!</v>
      </c>
      <c r="N447" t="e">
        <f t="shared" ca="1" si="203"/>
        <v>#VALUE!</v>
      </c>
      <c r="O447" t="e">
        <f t="shared" ca="1" si="204"/>
        <v>#VALUE!</v>
      </c>
      <c r="P447" t="e">
        <f t="shared" ca="1" si="205"/>
        <v>#VALUE!</v>
      </c>
      <c r="Q447" t="e">
        <f t="shared" ca="1" si="206"/>
        <v>#VALUE!</v>
      </c>
      <c r="R447" t="e">
        <f t="shared" ca="1" si="207"/>
        <v>#VALUE!</v>
      </c>
      <c r="S447" t="e">
        <f t="shared" ca="1" si="208"/>
        <v>#VALUE!</v>
      </c>
      <c r="T447" t="e">
        <f t="shared" ca="1" si="209"/>
        <v>#VALUE!</v>
      </c>
      <c r="U447" t="e">
        <f t="shared" ca="1" si="230"/>
        <v>#VALUE!</v>
      </c>
      <c r="V447" t="e">
        <f t="shared" ca="1" si="231"/>
        <v>#VALUE!</v>
      </c>
      <c r="W447" t="e">
        <f t="shared" ca="1" si="210"/>
        <v>#VALUE!</v>
      </c>
      <c r="X447" t="e">
        <f t="shared" ca="1" si="211"/>
        <v>#VALUE!</v>
      </c>
      <c r="Y447" t="e">
        <f t="shared" ca="1" si="212"/>
        <v>#VALUE!</v>
      </c>
      <c r="Z447" t="e">
        <f t="shared" ca="1" si="213"/>
        <v>#VALUE!</v>
      </c>
      <c r="AA447" t="e">
        <f t="shared" ca="1" si="214"/>
        <v>#VALUE!</v>
      </c>
      <c r="AB447" t="e">
        <f t="shared" ca="1" si="215"/>
        <v>#VALUE!</v>
      </c>
      <c r="AC447" t="e">
        <f t="shared" ca="1" si="216"/>
        <v>#VALUE!</v>
      </c>
      <c r="AD447" t="e">
        <f t="shared" ca="1" si="217"/>
        <v>#VALUE!</v>
      </c>
      <c r="AE447" t="e">
        <f t="shared" ca="1" si="218"/>
        <v>#VALUE!</v>
      </c>
      <c r="AF447" t="e">
        <f t="shared" ca="1" si="219"/>
        <v>#VALUE!</v>
      </c>
      <c r="AG447" t="e">
        <f t="shared" ca="1" si="220"/>
        <v>#VALUE!</v>
      </c>
      <c r="AH447" t="e">
        <f ca="1">IF(V32="Supercritical",L447,IF(V32="Subcritical",W447,IF(AND(V447=1,AG447=1),IF(T447&gt;=AE447,L447,W447),IF(V447=1,L447,IF(AG447=1,W447,MAX($D$16,POWER((ABS(K447)^2)/($I$5*MAX(F447,0.1)^2),1/3)))))))</f>
        <v>#VALUE!</v>
      </c>
      <c r="AI447" t="e">
        <f t="shared" ca="1" si="221"/>
        <v>#VALUE!</v>
      </c>
      <c r="AJ447" t="e">
        <f t="shared" ca="1" si="222"/>
        <v>#VALUE!</v>
      </c>
      <c r="AM447">
        <v>0</v>
      </c>
      <c r="AN447">
        <v>0</v>
      </c>
      <c r="AO447">
        <f t="shared" si="223"/>
        <v>0</v>
      </c>
      <c r="AP447">
        <f t="shared" si="232"/>
        <v>0</v>
      </c>
      <c r="AQ447" t="e">
        <f t="shared" ca="1" si="224"/>
        <v>#VALUE!</v>
      </c>
      <c r="AR447" t="e">
        <f t="shared" ca="1" si="225"/>
        <v>#VALUE!</v>
      </c>
      <c r="AS447" t="e">
        <f t="shared" ca="1" si="226"/>
        <v>#VALUE!</v>
      </c>
    </row>
    <row r="448" spans="1:45" x14ac:dyDescent="0.35">
      <c r="A448">
        <v>299</v>
      </c>
      <c r="B448">
        <v>297.89499999999998</v>
      </c>
      <c r="C448">
        <v>616300.16599999997</v>
      </c>
      <c r="D448">
        <v>3097654.5750000002</v>
      </c>
      <c r="E448">
        <v>632.41300000000001</v>
      </c>
      <c r="F448">
        <v>5.2</v>
      </c>
      <c r="G448">
        <v>0</v>
      </c>
      <c r="H448" t="s">
        <v>191</v>
      </c>
      <c r="I448">
        <v>0</v>
      </c>
      <c r="J448">
        <f t="shared" si="227"/>
        <v>0.9989999999999668</v>
      </c>
      <c r="K448">
        <f t="shared" si="228"/>
        <v>51</v>
      </c>
      <c r="L448" t="e">
        <f t="shared" ca="1" si="229"/>
        <v>#VALUE!</v>
      </c>
      <c r="M448" t="e">
        <f t="shared" ca="1" si="202"/>
        <v>#VALUE!</v>
      </c>
      <c r="N448" t="e">
        <f t="shared" ca="1" si="203"/>
        <v>#VALUE!</v>
      </c>
      <c r="O448" t="e">
        <f t="shared" ca="1" si="204"/>
        <v>#VALUE!</v>
      </c>
      <c r="P448" t="e">
        <f t="shared" ca="1" si="205"/>
        <v>#VALUE!</v>
      </c>
      <c r="Q448" t="e">
        <f t="shared" ca="1" si="206"/>
        <v>#VALUE!</v>
      </c>
      <c r="R448" t="e">
        <f t="shared" ca="1" si="207"/>
        <v>#VALUE!</v>
      </c>
      <c r="S448" t="e">
        <f t="shared" ca="1" si="208"/>
        <v>#VALUE!</v>
      </c>
      <c r="T448" t="e">
        <f t="shared" ca="1" si="209"/>
        <v>#VALUE!</v>
      </c>
      <c r="U448" t="e">
        <f t="shared" ca="1" si="230"/>
        <v>#VALUE!</v>
      </c>
      <c r="V448" t="e">
        <f t="shared" ca="1" si="231"/>
        <v>#VALUE!</v>
      </c>
      <c r="W448" t="e">
        <f t="shared" ca="1" si="210"/>
        <v>#VALUE!</v>
      </c>
      <c r="X448" t="e">
        <f t="shared" ca="1" si="211"/>
        <v>#VALUE!</v>
      </c>
      <c r="Y448" t="e">
        <f t="shared" ca="1" si="212"/>
        <v>#VALUE!</v>
      </c>
      <c r="Z448" t="e">
        <f t="shared" ca="1" si="213"/>
        <v>#VALUE!</v>
      </c>
      <c r="AA448" t="e">
        <f t="shared" ca="1" si="214"/>
        <v>#VALUE!</v>
      </c>
      <c r="AB448" t="e">
        <f t="shared" ca="1" si="215"/>
        <v>#VALUE!</v>
      </c>
      <c r="AC448" t="e">
        <f t="shared" ca="1" si="216"/>
        <v>#VALUE!</v>
      </c>
      <c r="AD448" t="e">
        <f t="shared" ca="1" si="217"/>
        <v>#VALUE!</v>
      </c>
      <c r="AE448" t="e">
        <f t="shared" ca="1" si="218"/>
        <v>#VALUE!</v>
      </c>
      <c r="AF448" t="e">
        <f t="shared" ca="1" si="219"/>
        <v>#VALUE!</v>
      </c>
      <c r="AG448" t="e">
        <f t="shared" ca="1" si="220"/>
        <v>#VALUE!</v>
      </c>
      <c r="AH448" t="e">
        <f ca="1">IF(V32="Supercritical",L448,IF(V32="Subcritical",W448,IF(AND(V448=1,AG448=1),IF(T448&gt;=AE448,L448,W448),IF(V448=1,L448,IF(AG448=1,W448,MAX($D$16,POWER((ABS(K448)^2)/($I$5*MAX(F448,0.1)^2),1/3)))))))</f>
        <v>#VALUE!</v>
      </c>
      <c r="AI448" t="e">
        <f t="shared" ca="1" si="221"/>
        <v>#VALUE!</v>
      </c>
      <c r="AJ448" t="e">
        <f t="shared" ca="1" si="222"/>
        <v>#VALUE!</v>
      </c>
      <c r="AM448">
        <v>0</v>
      </c>
      <c r="AN448">
        <v>0</v>
      </c>
      <c r="AO448">
        <f t="shared" si="223"/>
        <v>0</v>
      </c>
      <c r="AP448">
        <f t="shared" si="232"/>
        <v>0</v>
      </c>
      <c r="AQ448" t="e">
        <f t="shared" ca="1" si="224"/>
        <v>#VALUE!</v>
      </c>
      <c r="AR448" t="e">
        <f t="shared" ca="1" si="225"/>
        <v>#VALUE!</v>
      </c>
      <c r="AS448" t="e">
        <f t="shared" ca="1" si="226"/>
        <v>#VALUE!</v>
      </c>
    </row>
    <row r="449" spans="1:45" x14ac:dyDescent="0.35">
      <c r="A449">
        <v>300</v>
      </c>
      <c r="B449">
        <v>298.89499999999998</v>
      </c>
      <c r="C449">
        <v>616299.69200000004</v>
      </c>
      <c r="D449">
        <v>3097653.6949999998</v>
      </c>
      <c r="E449">
        <v>632.41250000000002</v>
      </c>
      <c r="F449">
        <v>5.2</v>
      </c>
      <c r="G449">
        <v>0</v>
      </c>
      <c r="H449" t="s">
        <v>191</v>
      </c>
      <c r="I449">
        <v>2.3E-2</v>
      </c>
      <c r="J449">
        <f t="shared" si="227"/>
        <v>1</v>
      </c>
      <c r="K449">
        <f t="shared" si="228"/>
        <v>51</v>
      </c>
      <c r="L449" t="e">
        <f t="shared" ca="1" si="229"/>
        <v>#VALUE!</v>
      </c>
      <c r="M449" t="e">
        <f t="shared" ca="1" si="202"/>
        <v>#VALUE!</v>
      </c>
      <c r="N449" t="e">
        <f t="shared" ca="1" si="203"/>
        <v>#VALUE!</v>
      </c>
      <c r="O449" t="e">
        <f t="shared" ca="1" si="204"/>
        <v>#VALUE!</v>
      </c>
      <c r="P449" t="e">
        <f t="shared" ca="1" si="205"/>
        <v>#VALUE!</v>
      </c>
      <c r="Q449" t="e">
        <f t="shared" ca="1" si="206"/>
        <v>#VALUE!</v>
      </c>
      <c r="R449" t="e">
        <f t="shared" ca="1" si="207"/>
        <v>#VALUE!</v>
      </c>
      <c r="S449" t="e">
        <f t="shared" ca="1" si="208"/>
        <v>#VALUE!</v>
      </c>
      <c r="T449" t="e">
        <f t="shared" ca="1" si="209"/>
        <v>#VALUE!</v>
      </c>
      <c r="U449" t="e">
        <f t="shared" ca="1" si="230"/>
        <v>#VALUE!</v>
      </c>
      <c r="V449" t="e">
        <f t="shared" ca="1" si="231"/>
        <v>#VALUE!</v>
      </c>
      <c r="W449" t="e">
        <f t="shared" ca="1" si="210"/>
        <v>#VALUE!</v>
      </c>
      <c r="X449" t="e">
        <f t="shared" ca="1" si="211"/>
        <v>#VALUE!</v>
      </c>
      <c r="Y449" t="e">
        <f t="shared" ca="1" si="212"/>
        <v>#VALUE!</v>
      </c>
      <c r="Z449" t="e">
        <f t="shared" ca="1" si="213"/>
        <v>#VALUE!</v>
      </c>
      <c r="AA449" t="e">
        <f t="shared" ca="1" si="214"/>
        <v>#VALUE!</v>
      </c>
      <c r="AB449" t="e">
        <f t="shared" ca="1" si="215"/>
        <v>#VALUE!</v>
      </c>
      <c r="AC449" t="e">
        <f t="shared" ca="1" si="216"/>
        <v>#VALUE!</v>
      </c>
      <c r="AD449" t="e">
        <f t="shared" ca="1" si="217"/>
        <v>#VALUE!</v>
      </c>
      <c r="AE449" t="e">
        <f t="shared" ca="1" si="218"/>
        <v>#VALUE!</v>
      </c>
      <c r="AF449" t="e">
        <f t="shared" ca="1" si="219"/>
        <v>#VALUE!</v>
      </c>
      <c r="AG449" t="e">
        <f t="shared" ca="1" si="220"/>
        <v>#VALUE!</v>
      </c>
      <c r="AH449" t="e">
        <f ca="1">IF(V32="Supercritical",L449,IF(V32="Subcritical",W449,IF(AND(V449=1,AG449=1),IF(T449&gt;=AE449,L449,W449),IF(V449=1,L449,IF(AG449=1,W449,MAX($D$16,POWER((ABS(K449)^2)/($I$5*MAX(F449,0.1)^2),1/3)))))))</f>
        <v>#VALUE!</v>
      </c>
      <c r="AI449" t="e">
        <f t="shared" ca="1" si="221"/>
        <v>#VALUE!</v>
      </c>
      <c r="AJ449" t="e">
        <f t="shared" ca="1" si="222"/>
        <v>#VALUE!</v>
      </c>
      <c r="AM449">
        <v>0</v>
      </c>
      <c r="AN449">
        <v>0</v>
      </c>
      <c r="AO449">
        <f t="shared" si="223"/>
        <v>0</v>
      </c>
      <c r="AP449">
        <f t="shared" si="232"/>
        <v>0</v>
      </c>
      <c r="AQ449" t="e">
        <f t="shared" ca="1" si="224"/>
        <v>#VALUE!</v>
      </c>
      <c r="AR449" t="e">
        <f t="shared" ca="1" si="225"/>
        <v>#VALUE!</v>
      </c>
      <c r="AS449" t="e">
        <f t="shared" ca="1" si="226"/>
        <v>#VALUE!</v>
      </c>
    </row>
    <row r="450" spans="1:45" x14ac:dyDescent="0.35">
      <c r="A450">
        <v>301</v>
      </c>
      <c r="B450">
        <v>299.89600000000002</v>
      </c>
      <c r="C450">
        <v>616299.21699999995</v>
      </c>
      <c r="D450">
        <v>3097652.8139999998</v>
      </c>
      <c r="E450">
        <v>632.41200000000003</v>
      </c>
      <c r="F450">
        <v>5.2</v>
      </c>
      <c r="G450">
        <v>0</v>
      </c>
      <c r="H450" t="s">
        <v>191</v>
      </c>
      <c r="I450">
        <v>2.3E-2</v>
      </c>
      <c r="J450">
        <f t="shared" si="227"/>
        <v>1.0010000000000332</v>
      </c>
      <c r="K450">
        <f t="shared" si="228"/>
        <v>51</v>
      </c>
      <c r="L450" t="e">
        <f t="shared" ca="1" si="229"/>
        <v>#VALUE!</v>
      </c>
      <c r="M450" t="e">
        <f t="shared" ca="1" si="202"/>
        <v>#VALUE!</v>
      </c>
      <c r="N450" t="e">
        <f t="shared" ca="1" si="203"/>
        <v>#VALUE!</v>
      </c>
      <c r="O450" t="e">
        <f t="shared" ca="1" si="204"/>
        <v>#VALUE!</v>
      </c>
      <c r="P450" t="e">
        <f t="shared" ca="1" si="205"/>
        <v>#VALUE!</v>
      </c>
      <c r="Q450" t="e">
        <f t="shared" ca="1" si="206"/>
        <v>#VALUE!</v>
      </c>
      <c r="R450" t="e">
        <f t="shared" ca="1" si="207"/>
        <v>#VALUE!</v>
      </c>
      <c r="S450" t="e">
        <f t="shared" ca="1" si="208"/>
        <v>#VALUE!</v>
      </c>
      <c r="T450" t="e">
        <f t="shared" ca="1" si="209"/>
        <v>#VALUE!</v>
      </c>
      <c r="U450" t="e">
        <f t="shared" ca="1" si="230"/>
        <v>#VALUE!</v>
      </c>
      <c r="V450" t="e">
        <f t="shared" ca="1" si="231"/>
        <v>#VALUE!</v>
      </c>
      <c r="W450" t="e">
        <f t="shared" ca="1" si="210"/>
        <v>#VALUE!</v>
      </c>
      <c r="X450" t="e">
        <f t="shared" ca="1" si="211"/>
        <v>#VALUE!</v>
      </c>
      <c r="Y450" t="e">
        <f t="shared" ca="1" si="212"/>
        <v>#VALUE!</v>
      </c>
      <c r="Z450" t="e">
        <f t="shared" ca="1" si="213"/>
        <v>#VALUE!</v>
      </c>
      <c r="AA450" t="e">
        <f t="shared" ca="1" si="214"/>
        <v>#VALUE!</v>
      </c>
      <c r="AB450" t="e">
        <f t="shared" ca="1" si="215"/>
        <v>#VALUE!</v>
      </c>
      <c r="AC450" t="e">
        <f t="shared" ca="1" si="216"/>
        <v>#VALUE!</v>
      </c>
      <c r="AD450" t="e">
        <f t="shared" ca="1" si="217"/>
        <v>#VALUE!</v>
      </c>
      <c r="AE450" t="e">
        <f t="shared" ca="1" si="218"/>
        <v>#VALUE!</v>
      </c>
      <c r="AF450" t="e">
        <f t="shared" ca="1" si="219"/>
        <v>#VALUE!</v>
      </c>
      <c r="AG450" t="e">
        <f t="shared" ca="1" si="220"/>
        <v>#VALUE!</v>
      </c>
      <c r="AH450" t="e">
        <f ca="1">IF(V32="Supercritical",L450,IF(V32="Subcritical",W450,IF(AND(V450=1,AG450=1),IF(T450&gt;=AE450,L450,W450),IF(V450=1,L450,IF(AG450=1,W450,MAX($D$16,POWER((ABS(K450)^2)/($I$5*MAX(F450,0.1)^2),1/3)))))))</f>
        <v>#VALUE!</v>
      </c>
      <c r="AI450" t="e">
        <f t="shared" ca="1" si="221"/>
        <v>#VALUE!</v>
      </c>
      <c r="AJ450" t="e">
        <f t="shared" ca="1" si="222"/>
        <v>#VALUE!</v>
      </c>
      <c r="AM450">
        <v>0</v>
      </c>
      <c r="AN450">
        <v>0</v>
      </c>
      <c r="AO450">
        <f t="shared" si="223"/>
        <v>0</v>
      </c>
      <c r="AP450">
        <f t="shared" si="232"/>
        <v>0</v>
      </c>
      <c r="AQ450" t="e">
        <f t="shared" ca="1" si="224"/>
        <v>#VALUE!</v>
      </c>
      <c r="AR450" t="e">
        <f t="shared" ca="1" si="225"/>
        <v>#VALUE!</v>
      </c>
      <c r="AS450" t="e">
        <f t="shared" ca="1" si="226"/>
        <v>#VALUE!</v>
      </c>
    </row>
    <row r="451" spans="1:45" x14ac:dyDescent="0.35">
      <c r="A451">
        <v>302</v>
      </c>
      <c r="B451">
        <v>300.89499999999998</v>
      </c>
      <c r="C451">
        <v>616298.74300000002</v>
      </c>
      <c r="D451">
        <v>3097651.9339999999</v>
      </c>
      <c r="E451">
        <v>632.41150000000005</v>
      </c>
      <c r="F451">
        <v>5.2</v>
      </c>
      <c r="G451">
        <v>0</v>
      </c>
      <c r="H451" t="s">
        <v>191</v>
      </c>
      <c r="I451">
        <v>2.7E-2</v>
      </c>
      <c r="J451">
        <f t="shared" si="227"/>
        <v>0.9989999999999668</v>
      </c>
      <c r="K451">
        <f t="shared" si="228"/>
        <v>51</v>
      </c>
      <c r="L451" t="e">
        <f t="shared" ca="1" si="229"/>
        <v>#VALUE!</v>
      </c>
      <c r="M451" t="e">
        <f t="shared" ca="1" si="202"/>
        <v>#VALUE!</v>
      </c>
      <c r="N451" t="e">
        <f t="shared" ca="1" si="203"/>
        <v>#VALUE!</v>
      </c>
      <c r="O451" t="e">
        <f t="shared" ca="1" si="204"/>
        <v>#VALUE!</v>
      </c>
      <c r="P451" t="e">
        <f t="shared" ca="1" si="205"/>
        <v>#VALUE!</v>
      </c>
      <c r="Q451" t="e">
        <f t="shared" ca="1" si="206"/>
        <v>#VALUE!</v>
      </c>
      <c r="R451" t="e">
        <f t="shared" ca="1" si="207"/>
        <v>#VALUE!</v>
      </c>
      <c r="S451" t="e">
        <f t="shared" ca="1" si="208"/>
        <v>#VALUE!</v>
      </c>
      <c r="T451" t="e">
        <f t="shared" ca="1" si="209"/>
        <v>#VALUE!</v>
      </c>
      <c r="U451" t="e">
        <f t="shared" ca="1" si="230"/>
        <v>#VALUE!</v>
      </c>
      <c r="V451" t="e">
        <f t="shared" ca="1" si="231"/>
        <v>#VALUE!</v>
      </c>
      <c r="W451" t="e">
        <f t="shared" ca="1" si="210"/>
        <v>#VALUE!</v>
      </c>
      <c r="X451" t="e">
        <f t="shared" ca="1" si="211"/>
        <v>#VALUE!</v>
      </c>
      <c r="Y451" t="e">
        <f t="shared" ca="1" si="212"/>
        <v>#VALUE!</v>
      </c>
      <c r="Z451" t="e">
        <f t="shared" ca="1" si="213"/>
        <v>#VALUE!</v>
      </c>
      <c r="AA451" t="e">
        <f t="shared" ca="1" si="214"/>
        <v>#VALUE!</v>
      </c>
      <c r="AB451" t="e">
        <f t="shared" ca="1" si="215"/>
        <v>#VALUE!</v>
      </c>
      <c r="AC451" t="e">
        <f t="shared" ca="1" si="216"/>
        <v>#VALUE!</v>
      </c>
      <c r="AD451" t="e">
        <f t="shared" ca="1" si="217"/>
        <v>#VALUE!</v>
      </c>
      <c r="AE451" t="e">
        <f t="shared" ca="1" si="218"/>
        <v>#VALUE!</v>
      </c>
      <c r="AF451" t="e">
        <f t="shared" ca="1" si="219"/>
        <v>#VALUE!</v>
      </c>
      <c r="AG451" t="e">
        <f t="shared" ca="1" si="220"/>
        <v>#VALUE!</v>
      </c>
      <c r="AH451" t="e">
        <f ca="1">IF(V32="Supercritical",L451,IF(V32="Subcritical",W451,IF(AND(V451=1,AG451=1),IF(T451&gt;=AE451,L451,W451),IF(V451=1,L451,IF(AG451=1,W451,MAX($D$16,POWER((ABS(K451)^2)/($I$5*MAX(F451,0.1)^2),1/3)))))))</f>
        <v>#VALUE!</v>
      </c>
      <c r="AI451" t="e">
        <f t="shared" ca="1" si="221"/>
        <v>#VALUE!</v>
      </c>
      <c r="AJ451" t="e">
        <f t="shared" ca="1" si="222"/>
        <v>#VALUE!</v>
      </c>
      <c r="AM451">
        <v>0</v>
      </c>
      <c r="AN451">
        <v>0</v>
      </c>
      <c r="AO451">
        <f t="shared" si="223"/>
        <v>0</v>
      </c>
      <c r="AP451">
        <f t="shared" si="232"/>
        <v>0</v>
      </c>
      <c r="AQ451" t="e">
        <f t="shared" ca="1" si="224"/>
        <v>#VALUE!</v>
      </c>
      <c r="AR451" t="e">
        <f t="shared" ca="1" si="225"/>
        <v>#VALUE!</v>
      </c>
      <c r="AS451" t="e">
        <f t="shared" ca="1" si="226"/>
        <v>#VALUE!</v>
      </c>
    </row>
    <row r="452" spans="1:45" x14ac:dyDescent="0.35">
      <c r="A452">
        <v>303</v>
      </c>
      <c r="B452">
        <v>301.89600000000002</v>
      </c>
      <c r="C452">
        <v>616298.26899999997</v>
      </c>
      <c r="D452">
        <v>3097651.0529999998</v>
      </c>
      <c r="E452">
        <v>632.41099999999994</v>
      </c>
      <c r="F452">
        <v>5.2</v>
      </c>
      <c r="G452">
        <v>0</v>
      </c>
      <c r="H452" t="s">
        <v>191</v>
      </c>
      <c r="I452">
        <v>2.7E-2</v>
      </c>
      <c r="J452">
        <f t="shared" si="227"/>
        <v>1.0010000000000332</v>
      </c>
      <c r="K452">
        <f t="shared" si="228"/>
        <v>51</v>
      </c>
      <c r="L452" t="e">
        <f t="shared" ca="1" si="229"/>
        <v>#VALUE!</v>
      </c>
      <c r="M452" t="e">
        <f t="shared" ca="1" si="202"/>
        <v>#VALUE!</v>
      </c>
      <c r="N452" t="e">
        <f t="shared" ca="1" si="203"/>
        <v>#VALUE!</v>
      </c>
      <c r="O452" t="e">
        <f t="shared" ca="1" si="204"/>
        <v>#VALUE!</v>
      </c>
      <c r="P452" t="e">
        <f t="shared" ca="1" si="205"/>
        <v>#VALUE!</v>
      </c>
      <c r="Q452" t="e">
        <f t="shared" ca="1" si="206"/>
        <v>#VALUE!</v>
      </c>
      <c r="R452" t="e">
        <f t="shared" ca="1" si="207"/>
        <v>#VALUE!</v>
      </c>
      <c r="S452" t="e">
        <f t="shared" ca="1" si="208"/>
        <v>#VALUE!</v>
      </c>
      <c r="T452" t="e">
        <f t="shared" ca="1" si="209"/>
        <v>#VALUE!</v>
      </c>
      <c r="U452" t="e">
        <f t="shared" ca="1" si="230"/>
        <v>#VALUE!</v>
      </c>
      <c r="V452" t="e">
        <f t="shared" ca="1" si="231"/>
        <v>#VALUE!</v>
      </c>
      <c r="W452" t="e">
        <f t="shared" ca="1" si="210"/>
        <v>#VALUE!</v>
      </c>
      <c r="X452" t="e">
        <f t="shared" ca="1" si="211"/>
        <v>#VALUE!</v>
      </c>
      <c r="Y452" t="e">
        <f t="shared" ca="1" si="212"/>
        <v>#VALUE!</v>
      </c>
      <c r="Z452" t="e">
        <f t="shared" ca="1" si="213"/>
        <v>#VALUE!</v>
      </c>
      <c r="AA452" t="e">
        <f t="shared" ca="1" si="214"/>
        <v>#VALUE!</v>
      </c>
      <c r="AB452" t="e">
        <f t="shared" ca="1" si="215"/>
        <v>#VALUE!</v>
      </c>
      <c r="AC452" t="e">
        <f t="shared" ca="1" si="216"/>
        <v>#VALUE!</v>
      </c>
      <c r="AD452" t="e">
        <f t="shared" ca="1" si="217"/>
        <v>#VALUE!</v>
      </c>
      <c r="AE452" t="e">
        <f t="shared" ca="1" si="218"/>
        <v>#VALUE!</v>
      </c>
      <c r="AF452" t="e">
        <f t="shared" ca="1" si="219"/>
        <v>#VALUE!</v>
      </c>
      <c r="AG452" t="e">
        <f t="shared" ca="1" si="220"/>
        <v>#VALUE!</v>
      </c>
      <c r="AH452" t="e">
        <f ca="1">IF(V32="Supercritical",L452,IF(V32="Subcritical",W452,IF(AND(V452=1,AG452=1),IF(T452&gt;=AE452,L452,W452),IF(V452=1,L452,IF(AG452=1,W452,MAX($D$16,POWER((ABS(K452)^2)/($I$5*MAX(F452,0.1)^2),1/3)))))))</f>
        <v>#VALUE!</v>
      </c>
      <c r="AI452" t="e">
        <f t="shared" ca="1" si="221"/>
        <v>#VALUE!</v>
      </c>
      <c r="AJ452" t="e">
        <f t="shared" ca="1" si="222"/>
        <v>#VALUE!</v>
      </c>
      <c r="AM452">
        <v>0</v>
      </c>
      <c r="AN452">
        <v>0</v>
      </c>
      <c r="AO452">
        <f t="shared" si="223"/>
        <v>0</v>
      </c>
      <c r="AP452">
        <f t="shared" si="232"/>
        <v>0</v>
      </c>
      <c r="AQ452" t="e">
        <f t="shared" ca="1" si="224"/>
        <v>#VALUE!</v>
      </c>
      <c r="AR452" t="e">
        <f t="shared" ca="1" si="225"/>
        <v>#VALUE!</v>
      </c>
      <c r="AS452" t="e">
        <f t="shared" ca="1" si="226"/>
        <v>#VALUE!</v>
      </c>
    </row>
    <row r="453" spans="1:45" x14ac:dyDescent="0.35">
      <c r="A453">
        <v>304</v>
      </c>
      <c r="B453">
        <v>302.89499999999998</v>
      </c>
      <c r="C453">
        <v>616297.79500000004</v>
      </c>
      <c r="D453">
        <v>3097650.173</v>
      </c>
      <c r="E453">
        <v>632.41049999999996</v>
      </c>
      <c r="F453">
        <v>5.2</v>
      </c>
      <c r="G453">
        <v>0</v>
      </c>
      <c r="H453" t="s">
        <v>191</v>
      </c>
      <c r="I453">
        <v>0.05</v>
      </c>
      <c r="J453">
        <f t="shared" si="227"/>
        <v>0.9989999999999668</v>
      </c>
      <c r="K453">
        <f t="shared" si="228"/>
        <v>51</v>
      </c>
      <c r="L453" t="e">
        <f t="shared" ca="1" si="229"/>
        <v>#VALUE!</v>
      </c>
      <c r="M453" t="e">
        <f t="shared" ca="1" si="202"/>
        <v>#VALUE!</v>
      </c>
      <c r="N453" t="e">
        <f t="shared" ca="1" si="203"/>
        <v>#VALUE!</v>
      </c>
      <c r="O453" t="e">
        <f t="shared" ca="1" si="204"/>
        <v>#VALUE!</v>
      </c>
      <c r="P453" t="e">
        <f t="shared" ca="1" si="205"/>
        <v>#VALUE!</v>
      </c>
      <c r="Q453" t="e">
        <f t="shared" ca="1" si="206"/>
        <v>#VALUE!</v>
      </c>
      <c r="R453" t="e">
        <f t="shared" ca="1" si="207"/>
        <v>#VALUE!</v>
      </c>
      <c r="S453" t="e">
        <f t="shared" ca="1" si="208"/>
        <v>#VALUE!</v>
      </c>
      <c r="T453" t="e">
        <f t="shared" ca="1" si="209"/>
        <v>#VALUE!</v>
      </c>
      <c r="U453" t="e">
        <f t="shared" ca="1" si="230"/>
        <v>#VALUE!</v>
      </c>
      <c r="V453" t="e">
        <f t="shared" ca="1" si="231"/>
        <v>#VALUE!</v>
      </c>
      <c r="W453" t="e">
        <f t="shared" ca="1" si="210"/>
        <v>#VALUE!</v>
      </c>
      <c r="X453" t="e">
        <f t="shared" ca="1" si="211"/>
        <v>#VALUE!</v>
      </c>
      <c r="Y453" t="e">
        <f t="shared" ca="1" si="212"/>
        <v>#VALUE!</v>
      </c>
      <c r="Z453" t="e">
        <f t="shared" ca="1" si="213"/>
        <v>#VALUE!</v>
      </c>
      <c r="AA453" t="e">
        <f t="shared" ca="1" si="214"/>
        <v>#VALUE!</v>
      </c>
      <c r="AB453" t="e">
        <f t="shared" ca="1" si="215"/>
        <v>#VALUE!</v>
      </c>
      <c r="AC453" t="e">
        <f t="shared" ca="1" si="216"/>
        <v>#VALUE!</v>
      </c>
      <c r="AD453" t="e">
        <f t="shared" ca="1" si="217"/>
        <v>#VALUE!</v>
      </c>
      <c r="AE453" t="e">
        <f t="shared" ca="1" si="218"/>
        <v>#VALUE!</v>
      </c>
      <c r="AF453" t="e">
        <f t="shared" ca="1" si="219"/>
        <v>#VALUE!</v>
      </c>
      <c r="AG453" t="e">
        <f t="shared" ca="1" si="220"/>
        <v>#VALUE!</v>
      </c>
      <c r="AH453" t="e">
        <f ca="1">IF(V32="Supercritical",L453,IF(V32="Subcritical",W453,IF(AND(V453=1,AG453=1),IF(T453&gt;=AE453,L453,W453),IF(V453=1,L453,IF(AG453=1,W453,MAX($D$16,POWER((ABS(K453)^2)/($I$5*MAX(F453,0.1)^2),1/3)))))))</f>
        <v>#VALUE!</v>
      </c>
      <c r="AI453" t="e">
        <f t="shared" ca="1" si="221"/>
        <v>#VALUE!</v>
      </c>
      <c r="AJ453" t="e">
        <f t="shared" ca="1" si="222"/>
        <v>#VALUE!</v>
      </c>
      <c r="AM453">
        <v>0</v>
      </c>
      <c r="AN453">
        <v>0</v>
      </c>
      <c r="AO453">
        <f t="shared" si="223"/>
        <v>0</v>
      </c>
      <c r="AP453">
        <f t="shared" si="232"/>
        <v>0</v>
      </c>
      <c r="AQ453" t="e">
        <f t="shared" ca="1" si="224"/>
        <v>#VALUE!</v>
      </c>
      <c r="AR453" t="e">
        <f t="shared" ca="1" si="225"/>
        <v>#VALUE!</v>
      </c>
      <c r="AS453" t="e">
        <f t="shared" ca="1" si="226"/>
        <v>#VALUE!</v>
      </c>
    </row>
    <row r="454" spans="1:45" x14ac:dyDescent="0.35">
      <c r="A454">
        <v>305</v>
      </c>
      <c r="B454">
        <v>303.89499999999998</v>
      </c>
      <c r="C454">
        <v>616297.31999999995</v>
      </c>
      <c r="D454">
        <v>3097649.2930000001</v>
      </c>
      <c r="E454">
        <v>632.41</v>
      </c>
      <c r="F454">
        <v>5.2</v>
      </c>
      <c r="G454">
        <v>0</v>
      </c>
      <c r="H454" t="s">
        <v>191</v>
      </c>
      <c r="I454">
        <v>7.8E-2</v>
      </c>
      <c r="J454">
        <f t="shared" si="227"/>
        <v>1</v>
      </c>
      <c r="K454">
        <f t="shared" si="228"/>
        <v>51</v>
      </c>
      <c r="L454" t="e">
        <f t="shared" ca="1" si="229"/>
        <v>#VALUE!</v>
      </c>
      <c r="M454" t="e">
        <f t="shared" ca="1" si="202"/>
        <v>#VALUE!</v>
      </c>
      <c r="N454" t="e">
        <f t="shared" ca="1" si="203"/>
        <v>#VALUE!</v>
      </c>
      <c r="O454" t="e">
        <f t="shared" ca="1" si="204"/>
        <v>#VALUE!</v>
      </c>
      <c r="P454" t="e">
        <f t="shared" ca="1" si="205"/>
        <v>#VALUE!</v>
      </c>
      <c r="Q454" t="e">
        <f t="shared" ca="1" si="206"/>
        <v>#VALUE!</v>
      </c>
      <c r="R454" t="e">
        <f t="shared" ca="1" si="207"/>
        <v>#VALUE!</v>
      </c>
      <c r="S454" t="e">
        <f t="shared" ca="1" si="208"/>
        <v>#VALUE!</v>
      </c>
      <c r="T454" t="e">
        <f t="shared" ca="1" si="209"/>
        <v>#VALUE!</v>
      </c>
      <c r="U454" t="e">
        <f t="shared" ca="1" si="230"/>
        <v>#VALUE!</v>
      </c>
      <c r="V454" t="e">
        <f t="shared" ca="1" si="231"/>
        <v>#VALUE!</v>
      </c>
      <c r="W454" t="e">
        <f t="shared" ca="1" si="210"/>
        <v>#VALUE!</v>
      </c>
      <c r="X454" t="e">
        <f t="shared" ca="1" si="211"/>
        <v>#VALUE!</v>
      </c>
      <c r="Y454" t="e">
        <f t="shared" ca="1" si="212"/>
        <v>#VALUE!</v>
      </c>
      <c r="Z454" t="e">
        <f t="shared" ca="1" si="213"/>
        <v>#VALUE!</v>
      </c>
      <c r="AA454" t="e">
        <f t="shared" ca="1" si="214"/>
        <v>#VALUE!</v>
      </c>
      <c r="AB454" t="e">
        <f t="shared" ca="1" si="215"/>
        <v>#VALUE!</v>
      </c>
      <c r="AC454" t="e">
        <f t="shared" ca="1" si="216"/>
        <v>#VALUE!</v>
      </c>
      <c r="AD454" t="e">
        <f t="shared" ca="1" si="217"/>
        <v>#VALUE!</v>
      </c>
      <c r="AE454" t="e">
        <f t="shared" ca="1" si="218"/>
        <v>#VALUE!</v>
      </c>
      <c r="AF454" t="e">
        <f t="shared" ca="1" si="219"/>
        <v>#VALUE!</v>
      </c>
      <c r="AG454" t="e">
        <f t="shared" ca="1" si="220"/>
        <v>#VALUE!</v>
      </c>
      <c r="AH454" t="e">
        <f ca="1">IF(V32="Supercritical",L454,IF(V32="Subcritical",W454,IF(AND(V454=1,AG454=1),IF(T454&gt;=AE454,L454,W454),IF(V454=1,L454,IF(AG454=1,W454,MAX($D$16,POWER((ABS(K454)^2)/($I$5*MAX(F454,0.1)^2),1/3)))))))</f>
        <v>#VALUE!</v>
      </c>
      <c r="AI454" t="e">
        <f t="shared" ca="1" si="221"/>
        <v>#VALUE!</v>
      </c>
      <c r="AJ454" t="e">
        <f t="shared" ca="1" si="222"/>
        <v>#VALUE!</v>
      </c>
      <c r="AM454">
        <v>0</v>
      </c>
      <c r="AN454">
        <v>0</v>
      </c>
      <c r="AO454">
        <f t="shared" si="223"/>
        <v>0</v>
      </c>
      <c r="AP454">
        <f t="shared" si="232"/>
        <v>0</v>
      </c>
      <c r="AQ454" t="e">
        <f t="shared" ca="1" si="224"/>
        <v>#VALUE!</v>
      </c>
      <c r="AR454" t="e">
        <f t="shared" ca="1" si="225"/>
        <v>#VALUE!</v>
      </c>
      <c r="AS454" t="e">
        <f t="shared" ca="1" si="226"/>
        <v>#VALUE!</v>
      </c>
    </row>
    <row r="455" spans="1:45" x14ac:dyDescent="0.35">
      <c r="A455">
        <v>306</v>
      </c>
      <c r="B455">
        <v>304.89600000000002</v>
      </c>
      <c r="C455">
        <v>616296.84600000002</v>
      </c>
      <c r="D455">
        <v>3097648.412</v>
      </c>
      <c r="E455">
        <v>632.40949999999998</v>
      </c>
      <c r="F455">
        <v>5.2</v>
      </c>
      <c r="G455">
        <v>0</v>
      </c>
      <c r="H455" t="s">
        <v>191</v>
      </c>
      <c r="I455">
        <v>2.7E-2</v>
      </c>
      <c r="J455">
        <f t="shared" si="227"/>
        <v>1.0010000000000332</v>
      </c>
      <c r="K455">
        <f t="shared" si="228"/>
        <v>51</v>
      </c>
      <c r="L455" t="e">
        <f t="shared" ca="1" si="229"/>
        <v>#VALUE!</v>
      </c>
      <c r="M455" t="e">
        <f t="shared" ca="1" si="202"/>
        <v>#VALUE!</v>
      </c>
      <c r="N455" t="e">
        <f t="shared" ca="1" si="203"/>
        <v>#VALUE!</v>
      </c>
      <c r="O455" t="e">
        <f t="shared" ca="1" si="204"/>
        <v>#VALUE!</v>
      </c>
      <c r="P455" t="e">
        <f t="shared" ca="1" si="205"/>
        <v>#VALUE!</v>
      </c>
      <c r="Q455" t="e">
        <f t="shared" ca="1" si="206"/>
        <v>#VALUE!</v>
      </c>
      <c r="R455" t="e">
        <f t="shared" ca="1" si="207"/>
        <v>#VALUE!</v>
      </c>
      <c r="S455" t="e">
        <f t="shared" ca="1" si="208"/>
        <v>#VALUE!</v>
      </c>
      <c r="T455" t="e">
        <f t="shared" ca="1" si="209"/>
        <v>#VALUE!</v>
      </c>
      <c r="U455" t="e">
        <f t="shared" ca="1" si="230"/>
        <v>#VALUE!</v>
      </c>
      <c r="V455" t="e">
        <f t="shared" ca="1" si="231"/>
        <v>#VALUE!</v>
      </c>
      <c r="W455" t="e">
        <f t="shared" ca="1" si="210"/>
        <v>#VALUE!</v>
      </c>
      <c r="X455" t="e">
        <f t="shared" ca="1" si="211"/>
        <v>#VALUE!</v>
      </c>
      <c r="Y455" t="e">
        <f t="shared" ca="1" si="212"/>
        <v>#VALUE!</v>
      </c>
      <c r="Z455" t="e">
        <f t="shared" ca="1" si="213"/>
        <v>#VALUE!</v>
      </c>
      <c r="AA455" t="e">
        <f t="shared" ca="1" si="214"/>
        <v>#VALUE!</v>
      </c>
      <c r="AB455" t="e">
        <f t="shared" ca="1" si="215"/>
        <v>#VALUE!</v>
      </c>
      <c r="AC455" t="e">
        <f t="shared" ca="1" si="216"/>
        <v>#VALUE!</v>
      </c>
      <c r="AD455" t="e">
        <f t="shared" ca="1" si="217"/>
        <v>#VALUE!</v>
      </c>
      <c r="AE455" t="e">
        <f t="shared" ca="1" si="218"/>
        <v>#VALUE!</v>
      </c>
      <c r="AF455" t="e">
        <f t="shared" ca="1" si="219"/>
        <v>#VALUE!</v>
      </c>
      <c r="AG455" t="e">
        <f t="shared" ca="1" si="220"/>
        <v>#VALUE!</v>
      </c>
      <c r="AH455" t="e">
        <f ca="1">IF(V32="Supercritical",L455,IF(V32="Subcritical",W455,IF(AND(V455=1,AG455=1),IF(T455&gt;=AE455,L455,W455),IF(V455=1,L455,IF(AG455=1,W455,MAX($D$16,POWER((ABS(K455)^2)/($I$5*MAX(F455,0.1)^2),1/3)))))))</f>
        <v>#VALUE!</v>
      </c>
      <c r="AI455" t="e">
        <f t="shared" ca="1" si="221"/>
        <v>#VALUE!</v>
      </c>
      <c r="AJ455" t="e">
        <f t="shared" ca="1" si="222"/>
        <v>#VALUE!</v>
      </c>
      <c r="AM455">
        <v>0</v>
      </c>
      <c r="AN455">
        <v>0</v>
      </c>
      <c r="AO455">
        <f t="shared" si="223"/>
        <v>0</v>
      </c>
      <c r="AP455">
        <f t="shared" si="232"/>
        <v>0</v>
      </c>
      <c r="AQ455" t="e">
        <f t="shared" ca="1" si="224"/>
        <v>#VALUE!</v>
      </c>
      <c r="AR455" t="e">
        <f t="shared" ca="1" si="225"/>
        <v>#VALUE!</v>
      </c>
      <c r="AS455" t="e">
        <f t="shared" ca="1" si="226"/>
        <v>#VALUE!</v>
      </c>
    </row>
    <row r="456" spans="1:45" x14ac:dyDescent="0.35">
      <c r="A456">
        <v>307</v>
      </c>
      <c r="B456">
        <v>305.89499999999998</v>
      </c>
      <c r="C456">
        <v>616296.37199999997</v>
      </c>
      <c r="D456">
        <v>3097647.5320000001</v>
      </c>
      <c r="E456">
        <v>632.40899999999999</v>
      </c>
      <c r="F456">
        <v>5.2</v>
      </c>
      <c r="G456">
        <v>0</v>
      </c>
      <c r="H456" t="s">
        <v>191</v>
      </c>
      <c r="I456">
        <v>2.7E-2</v>
      </c>
      <c r="J456">
        <f t="shared" si="227"/>
        <v>0.9989999999999668</v>
      </c>
      <c r="K456">
        <f t="shared" si="228"/>
        <v>51</v>
      </c>
      <c r="L456" t="e">
        <f t="shared" ca="1" si="229"/>
        <v>#VALUE!</v>
      </c>
      <c r="M456" t="e">
        <f t="shared" ca="1" si="202"/>
        <v>#VALUE!</v>
      </c>
      <c r="N456" t="e">
        <f t="shared" ca="1" si="203"/>
        <v>#VALUE!</v>
      </c>
      <c r="O456" t="e">
        <f t="shared" ca="1" si="204"/>
        <v>#VALUE!</v>
      </c>
      <c r="P456" t="e">
        <f t="shared" ca="1" si="205"/>
        <v>#VALUE!</v>
      </c>
      <c r="Q456" t="e">
        <f t="shared" ca="1" si="206"/>
        <v>#VALUE!</v>
      </c>
      <c r="R456" t="e">
        <f t="shared" ca="1" si="207"/>
        <v>#VALUE!</v>
      </c>
      <c r="S456" t="e">
        <f t="shared" ca="1" si="208"/>
        <v>#VALUE!</v>
      </c>
      <c r="T456" t="e">
        <f t="shared" ca="1" si="209"/>
        <v>#VALUE!</v>
      </c>
      <c r="U456" t="e">
        <f t="shared" ca="1" si="230"/>
        <v>#VALUE!</v>
      </c>
      <c r="V456" t="e">
        <f t="shared" ca="1" si="231"/>
        <v>#VALUE!</v>
      </c>
      <c r="W456" t="e">
        <f t="shared" ca="1" si="210"/>
        <v>#VALUE!</v>
      </c>
      <c r="X456" t="e">
        <f t="shared" ca="1" si="211"/>
        <v>#VALUE!</v>
      </c>
      <c r="Y456" t="e">
        <f t="shared" ca="1" si="212"/>
        <v>#VALUE!</v>
      </c>
      <c r="Z456" t="e">
        <f t="shared" ca="1" si="213"/>
        <v>#VALUE!</v>
      </c>
      <c r="AA456" t="e">
        <f t="shared" ca="1" si="214"/>
        <v>#VALUE!</v>
      </c>
      <c r="AB456" t="e">
        <f t="shared" ca="1" si="215"/>
        <v>#VALUE!</v>
      </c>
      <c r="AC456" t="e">
        <f t="shared" ca="1" si="216"/>
        <v>#VALUE!</v>
      </c>
      <c r="AD456" t="e">
        <f t="shared" ca="1" si="217"/>
        <v>#VALUE!</v>
      </c>
      <c r="AE456" t="e">
        <f t="shared" ca="1" si="218"/>
        <v>#VALUE!</v>
      </c>
      <c r="AF456" t="e">
        <f t="shared" ca="1" si="219"/>
        <v>#VALUE!</v>
      </c>
      <c r="AG456" t="e">
        <f t="shared" ca="1" si="220"/>
        <v>#VALUE!</v>
      </c>
      <c r="AH456" t="e">
        <f ca="1">IF(V32="Supercritical",L456,IF(V32="Subcritical",W456,IF(AND(V456=1,AG456=1),IF(T456&gt;=AE456,L456,W456),IF(V456=1,L456,IF(AG456=1,W456,MAX($D$16,POWER((ABS(K456)^2)/($I$5*MAX(F456,0.1)^2),1/3)))))))</f>
        <v>#VALUE!</v>
      </c>
      <c r="AI456" t="e">
        <f t="shared" ca="1" si="221"/>
        <v>#VALUE!</v>
      </c>
      <c r="AJ456" t="e">
        <f t="shared" ca="1" si="222"/>
        <v>#VALUE!</v>
      </c>
      <c r="AM456">
        <v>0</v>
      </c>
      <c r="AN456">
        <v>0</v>
      </c>
      <c r="AO456">
        <f t="shared" si="223"/>
        <v>0</v>
      </c>
      <c r="AP456">
        <f t="shared" si="232"/>
        <v>0</v>
      </c>
      <c r="AQ456" t="e">
        <f t="shared" ca="1" si="224"/>
        <v>#VALUE!</v>
      </c>
      <c r="AR456" t="e">
        <f t="shared" ca="1" si="225"/>
        <v>#VALUE!</v>
      </c>
      <c r="AS456" t="e">
        <f t="shared" ca="1" si="226"/>
        <v>#VALUE!</v>
      </c>
    </row>
    <row r="457" spans="1:45" x14ac:dyDescent="0.35">
      <c r="A457">
        <v>308</v>
      </c>
      <c r="B457">
        <v>306.89600000000002</v>
      </c>
      <c r="C457">
        <v>616295.89800000004</v>
      </c>
      <c r="D457">
        <v>3097646.6510000001</v>
      </c>
      <c r="E457">
        <v>632.4085</v>
      </c>
      <c r="F457">
        <v>5.2</v>
      </c>
      <c r="G457">
        <v>0</v>
      </c>
      <c r="H457" t="s">
        <v>191</v>
      </c>
      <c r="I457">
        <v>7.8E-2</v>
      </c>
      <c r="J457">
        <f t="shared" si="227"/>
        <v>1.0010000000000332</v>
      </c>
      <c r="K457">
        <f t="shared" si="228"/>
        <v>51</v>
      </c>
      <c r="L457" t="e">
        <f t="shared" ca="1" si="229"/>
        <v>#VALUE!</v>
      </c>
      <c r="M457" t="e">
        <f t="shared" ca="1" si="202"/>
        <v>#VALUE!</v>
      </c>
      <c r="N457" t="e">
        <f t="shared" ca="1" si="203"/>
        <v>#VALUE!</v>
      </c>
      <c r="O457" t="e">
        <f t="shared" ca="1" si="204"/>
        <v>#VALUE!</v>
      </c>
      <c r="P457" t="e">
        <f t="shared" ca="1" si="205"/>
        <v>#VALUE!</v>
      </c>
      <c r="Q457" t="e">
        <f t="shared" ca="1" si="206"/>
        <v>#VALUE!</v>
      </c>
      <c r="R457" t="e">
        <f t="shared" ca="1" si="207"/>
        <v>#VALUE!</v>
      </c>
      <c r="S457" t="e">
        <f t="shared" ca="1" si="208"/>
        <v>#VALUE!</v>
      </c>
      <c r="T457" t="e">
        <f t="shared" ca="1" si="209"/>
        <v>#VALUE!</v>
      </c>
      <c r="U457" t="e">
        <f t="shared" ca="1" si="230"/>
        <v>#VALUE!</v>
      </c>
      <c r="V457" t="e">
        <f t="shared" ca="1" si="231"/>
        <v>#VALUE!</v>
      </c>
      <c r="W457" t="e">
        <f t="shared" ca="1" si="210"/>
        <v>#VALUE!</v>
      </c>
      <c r="X457" t="e">
        <f t="shared" ca="1" si="211"/>
        <v>#VALUE!</v>
      </c>
      <c r="Y457" t="e">
        <f t="shared" ca="1" si="212"/>
        <v>#VALUE!</v>
      </c>
      <c r="Z457" t="e">
        <f t="shared" ca="1" si="213"/>
        <v>#VALUE!</v>
      </c>
      <c r="AA457" t="e">
        <f t="shared" ca="1" si="214"/>
        <v>#VALUE!</v>
      </c>
      <c r="AB457" t="e">
        <f t="shared" ca="1" si="215"/>
        <v>#VALUE!</v>
      </c>
      <c r="AC457" t="e">
        <f t="shared" ca="1" si="216"/>
        <v>#VALUE!</v>
      </c>
      <c r="AD457" t="e">
        <f t="shared" ca="1" si="217"/>
        <v>#VALUE!</v>
      </c>
      <c r="AE457" t="e">
        <f t="shared" ca="1" si="218"/>
        <v>#VALUE!</v>
      </c>
      <c r="AF457" t="e">
        <f t="shared" ca="1" si="219"/>
        <v>#VALUE!</v>
      </c>
      <c r="AG457" t="e">
        <f t="shared" ca="1" si="220"/>
        <v>#VALUE!</v>
      </c>
      <c r="AH457" t="e">
        <f ca="1">IF(V32="Supercritical",L457,IF(V32="Subcritical",W457,IF(AND(V457=1,AG457=1),IF(T457&gt;=AE457,L457,W457),IF(V457=1,L457,IF(AG457=1,W457,MAX($D$16,POWER((ABS(K457)^2)/($I$5*MAX(F457,0.1)^2),1/3)))))))</f>
        <v>#VALUE!</v>
      </c>
      <c r="AI457" t="e">
        <f t="shared" ca="1" si="221"/>
        <v>#VALUE!</v>
      </c>
      <c r="AJ457" t="e">
        <f t="shared" ca="1" si="222"/>
        <v>#VALUE!</v>
      </c>
      <c r="AM457">
        <v>0</v>
      </c>
      <c r="AN457">
        <v>0</v>
      </c>
      <c r="AO457">
        <f t="shared" si="223"/>
        <v>0</v>
      </c>
      <c r="AP457">
        <f t="shared" si="232"/>
        <v>0</v>
      </c>
      <c r="AQ457" t="e">
        <f t="shared" ca="1" si="224"/>
        <v>#VALUE!</v>
      </c>
      <c r="AR457" t="e">
        <f t="shared" ca="1" si="225"/>
        <v>#VALUE!</v>
      </c>
      <c r="AS457" t="e">
        <f t="shared" ca="1" si="226"/>
        <v>#VALUE!</v>
      </c>
    </row>
    <row r="458" spans="1:45" x14ac:dyDescent="0.35">
      <c r="A458">
        <v>309</v>
      </c>
      <c r="B458">
        <v>307.89600000000002</v>
      </c>
      <c r="C458">
        <v>616295.42299999995</v>
      </c>
      <c r="D458">
        <v>3097645.7710000002</v>
      </c>
      <c r="E458">
        <v>632.40800000000002</v>
      </c>
      <c r="F458">
        <v>5.2</v>
      </c>
      <c r="G458">
        <v>0</v>
      </c>
      <c r="H458" t="s">
        <v>191</v>
      </c>
      <c r="I458">
        <v>0.05</v>
      </c>
      <c r="J458">
        <f t="shared" si="227"/>
        <v>1</v>
      </c>
      <c r="K458">
        <f t="shared" si="228"/>
        <v>51</v>
      </c>
      <c r="L458" t="e">
        <f t="shared" ca="1" si="229"/>
        <v>#VALUE!</v>
      </c>
      <c r="M458" t="e">
        <f t="shared" ca="1" si="202"/>
        <v>#VALUE!</v>
      </c>
      <c r="N458" t="e">
        <f t="shared" ca="1" si="203"/>
        <v>#VALUE!</v>
      </c>
      <c r="O458" t="e">
        <f t="shared" ca="1" si="204"/>
        <v>#VALUE!</v>
      </c>
      <c r="P458" t="e">
        <f t="shared" ca="1" si="205"/>
        <v>#VALUE!</v>
      </c>
      <c r="Q458" t="e">
        <f t="shared" ca="1" si="206"/>
        <v>#VALUE!</v>
      </c>
      <c r="R458" t="e">
        <f t="shared" ca="1" si="207"/>
        <v>#VALUE!</v>
      </c>
      <c r="S458" t="e">
        <f t="shared" ca="1" si="208"/>
        <v>#VALUE!</v>
      </c>
      <c r="T458" t="e">
        <f t="shared" ca="1" si="209"/>
        <v>#VALUE!</v>
      </c>
      <c r="U458" t="e">
        <f t="shared" ca="1" si="230"/>
        <v>#VALUE!</v>
      </c>
      <c r="V458" t="e">
        <f t="shared" ca="1" si="231"/>
        <v>#VALUE!</v>
      </c>
      <c r="W458" t="e">
        <f t="shared" ca="1" si="210"/>
        <v>#VALUE!</v>
      </c>
      <c r="X458" t="e">
        <f t="shared" ca="1" si="211"/>
        <v>#VALUE!</v>
      </c>
      <c r="Y458" t="e">
        <f t="shared" ca="1" si="212"/>
        <v>#VALUE!</v>
      </c>
      <c r="Z458" t="e">
        <f t="shared" ca="1" si="213"/>
        <v>#VALUE!</v>
      </c>
      <c r="AA458" t="e">
        <f t="shared" ca="1" si="214"/>
        <v>#VALUE!</v>
      </c>
      <c r="AB458" t="e">
        <f t="shared" ca="1" si="215"/>
        <v>#VALUE!</v>
      </c>
      <c r="AC458" t="e">
        <f t="shared" ca="1" si="216"/>
        <v>#VALUE!</v>
      </c>
      <c r="AD458" t="e">
        <f t="shared" ca="1" si="217"/>
        <v>#VALUE!</v>
      </c>
      <c r="AE458" t="e">
        <f t="shared" ca="1" si="218"/>
        <v>#VALUE!</v>
      </c>
      <c r="AF458" t="e">
        <f t="shared" ca="1" si="219"/>
        <v>#VALUE!</v>
      </c>
      <c r="AG458" t="e">
        <f t="shared" ca="1" si="220"/>
        <v>#VALUE!</v>
      </c>
      <c r="AH458" t="e">
        <f ca="1">IF(V32="Supercritical",L458,IF(V32="Subcritical",W458,IF(AND(V458=1,AG458=1),IF(T458&gt;=AE458,L458,W458),IF(V458=1,L458,IF(AG458=1,W458,MAX($D$16,POWER((ABS(K458)^2)/($I$5*MAX(F458,0.1)^2),1/3)))))))</f>
        <v>#VALUE!</v>
      </c>
      <c r="AI458" t="e">
        <f t="shared" ca="1" si="221"/>
        <v>#VALUE!</v>
      </c>
      <c r="AJ458" t="e">
        <f t="shared" ca="1" si="222"/>
        <v>#VALUE!</v>
      </c>
      <c r="AM458">
        <v>0</v>
      </c>
      <c r="AN458">
        <v>0</v>
      </c>
      <c r="AO458">
        <f t="shared" si="223"/>
        <v>0</v>
      </c>
      <c r="AP458">
        <f t="shared" si="232"/>
        <v>0</v>
      </c>
      <c r="AQ458" t="e">
        <f t="shared" ca="1" si="224"/>
        <v>#VALUE!</v>
      </c>
      <c r="AR458" t="e">
        <f t="shared" ca="1" si="225"/>
        <v>#VALUE!</v>
      </c>
      <c r="AS458" t="e">
        <f t="shared" ca="1" si="226"/>
        <v>#VALUE!</v>
      </c>
    </row>
    <row r="459" spans="1:45" x14ac:dyDescent="0.35">
      <c r="A459">
        <v>310</v>
      </c>
      <c r="B459">
        <v>308.89499999999998</v>
      </c>
      <c r="C459">
        <v>616294.94900000002</v>
      </c>
      <c r="D459">
        <v>3097644.8909999998</v>
      </c>
      <c r="E459">
        <v>632.40750000000003</v>
      </c>
      <c r="F459">
        <v>5.2</v>
      </c>
      <c r="G459">
        <v>0</v>
      </c>
      <c r="H459" t="s">
        <v>191</v>
      </c>
      <c r="I459">
        <v>2.7E-2</v>
      </c>
      <c r="J459">
        <f t="shared" si="227"/>
        <v>0.9989999999999668</v>
      </c>
      <c r="K459">
        <f t="shared" si="228"/>
        <v>51</v>
      </c>
      <c r="L459" t="e">
        <f t="shared" ca="1" si="229"/>
        <v>#VALUE!</v>
      </c>
      <c r="M459" t="e">
        <f t="shared" ca="1" si="202"/>
        <v>#VALUE!</v>
      </c>
      <c r="N459" t="e">
        <f t="shared" ca="1" si="203"/>
        <v>#VALUE!</v>
      </c>
      <c r="O459" t="e">
        <f t="shared" ca="1" si="204"/>
        <v>#VALUE!</v>
      </c>
      <c r="P459" t="e">
        <f t="shared" ca="1" si="205"/>
        <v>#VALUE!</v>
      </c>
      <c r="Q459" t="e">
        <f t="shared" ca="1" si="206"/>
        <v>#VALUE!</v>
      </c>
      <c r="R459" t="e">
        <f t="shared" ca="1" si="207"/>
        <v>#VALUE!</v>
      </c>
      <c r="S459" t="e">
        <f t="shared" ca="1" si="208"/>
        <v>#VALUE!</v>
      </c>
      <c r="T459" t="e">
        <f t="shared" ca="1" si="209"/>
        <v>#VALUE!</v>
      </c>
      <c r="U459" t="e">
        <f t="shared" ca="1" si="230"/>
        <v>#VALUE!</v>
      </c>
      <c r="V459" t="e">
        <f t="shared" ca="1" si="231"/>
        <v>#VALUE!</v>
      </c>
      <c r="W459" t="e">
        <f t="shared" ca="1" si="210"/>
        <v>#VALUE!</v>
      </c>
      <c r="X459" t="e">
        <f t="shared" ca="1" si="211"/>
        <v>#VALUE!</v>
      </c>
      <c r="Y459" t="e">
        <f t="shared" ca="1" si="212"/>
        <v>#VALUE!</v>
      </c>
      <c r="Z459" t="e">
        <f t="shared" ca="1" si="213"/>
        <v>#VALUE!</v>
      </c>
      <c r="AA459" t="e">
        <f t="shared" ca="1" si="214"/>
        <v>#VALUE!</v>
      </c>
      <c r="AB459" t="e">
        <f t="shared" ca="1" si="215"/>
        <v>#VALUE!</v>
      </c>
      <c r="AC459" t="e">
        <f t="shared" ca="1" si="216"/>
        <v>#VALUE!</v>
      </c>
      <c r="AD459" t="e">
        <f t="shared" ca="1" si="217"/>
        <v>#VALUE!</v>
      </c>
      <c r="AE459" t="e">
        <f t="shared" ca="1" si="218"/>
        <v>#VALUE!</v>
      </c>
      <c r="AF459" t="e">
        <f t="shared" ca="1" si="219"/>
        <v>#VALUE!</v>
      </c>
      <c r="AG459" t="e">
        <f t="shared" ca="1" si="220"/>
        <v>#VALUE!</v>
      </c>
      <c r="AH459" t="e">
        <f ca="1">IF(V32="Supercritical",L459,IF(V32="Subcritical",W459,IF(AND(V459=1,AG459=1),IF(T459&gt;=AE459,L459,W459),IF(V459=1,L459,IF(AG459=1,W459,MAX($D$16,POWER((ABS(K459)^2)/($I$5*MAX(F459,0.1)^2),1/3)))))))</f>
        <v>#VALUE!</v>
      </c>
      <c r="AI459" t="e">
        <f t="shared" ca="1" si="221"/>
        <v>#VALUE!</v>
      </c>
      <c r="AJ459" t="e">
        <f t="shared" ca="1" si="222"/>
        <v>#VALUE!</v>
      </c>
      <c r="AM459">
        <v>0</v>
      </c>
      <c r="AN459">
        <v>0</v>
      </c>
      <c r="AO459">
        <f t="shared" si="223"/>
        <v>0</v>
      </c>
      <c r="AP459">
        <f t="shared" si="232"/>
        <v>0</v>
      </c>
      <c r="AQ459" t="e">
        <f t="shared" ca="1" si="224"/>
        <v>#VALUE!</v>
      </c>
      <c r="AR459" t="e">
        <f t="shared" ca="1" si="225"/>
        <v>#VALUE!</v>
      </c>
      <c r="AS459" t="e">
        <f t="shared" ca="1" si="226"/>
        <v>#VALUE!</v>
      </c>
    </row>
    <row r="460" spans="1:45" x14ac:dyDescent="0.35">
      <c r="A460">
        <v>311</v>
      </c>
      <c r="B460">
        <v>309.89600000000002</v>
      </c>
      <c r="C460">
        <v>616294.47499999998</v>
      </c>
      <c r="D460">
        <v>3097644.01</v>
      </c>
      <c r="E460">
        <v>632.40700000000004</v>
      </c>
      <c r="F460">
        <v>5.2</v>
      </c>
      <c r="G460">
        <v>0</v>
      </c>
      <c r="H460" t="s">
        <v>191</v>
      </c>
      <c r="I460">
        <v>2.7E-2</v>
      </c>
      <c r="J460">
        <f t="shared" si="227"/>
        <v>1.0010000000000332</v>
      </c>
      <c r="K460">
        <f t="shared" si="228"/>
        <v>51</v>
      </c>
      <c r="L460" t="e">
        <f t="shared" ca="1" si="229"/>
        <v>#VALUE!</v>
      </c>
      <c r="M460" t="e">
        <f t="shared" ca="1" si="202"/>
        <v>#VALUE!</v>
      </c>
      <c r="N460" t="e">
        <f t="shared" ca="1" si="203"/>
        <v>#VALUE!</v>
      </c>
      <c r="O460" t="e">
        <f t="shared" ca="1" si="204"/>
        <v>#VALUE!</v>
      </c>
      <c r="P460" t="e">
        <f t="shared" ca="1" si="205"/>
        <v>#VALUE!</v>
      </c>
      <c r="Q460" t="e">
        <f t="shared" ca="1" si="206"/>
        <v>#VALUE!</v>
      </c>
      <c r="R460" t="e">
        <f t="shared" ca="1" si="207"/>
        <v>#VALUE!</v>
      </c>
      <c r="S460" t="e">
        <f t="shared" ca="1" si="208"/>
        <v>#VALUE!</v>
      </c>
      <c r="T460" t="e">
        <f t="shared" ca="1" si="209"/>
        <v>#VALUE!</v>
      </c>
      <c r="U460" t="e">
        <f t="shared" ca="1" si="230"/>
        <v>#VALUE!</v>
      </c>
      <c r="V460" t="e">
        <f t="shared" ca="1" si="231"/>
        <v>#VALUE!</v>
      </c>
      <c r="W460" t="e">
        <f t="shared" ca="1" si="210"/>
        <v>#VALUE!</v>
      </c>
      <c r="X460" t="e">
        <f t="shared" ca="1" si="211"/>
        <v>#VALUE!</v>
      </c>
      <c r="Y460" t="e">
        <f t="shared" ca="1" si="212"/>
        <v>#VALUE!</v>
      </c>
      <c r="Z460" t="e">
        <f t="shared" ca="1" si="213"/>
        <v>#VALUE!</v>
      </c>
      <c r="AA460" t="e">
        <f t="shared" ca="1" si="214"/>
        <v>#VALUE!</v>
      </c>
      <c r="AB460" t="e">
        <f t="shared" ca="1" si="215"/>
        <v>#VALUE!</v>
      </c>
      <c r="AC460" t="e">
        <f t="shared" ca="1" si="216"/>
        <v>#VALUE!</v>
      </c>
      <c r="AD460" t="e">
        <f t="shared" ca="1" si="217"/>
        <v>#VALUE!</v>
      </c>
      <c r="AE460" t="e">
        <f t="shared" ca="1" si="218"/>
        <v>#VALUE!</v>
      </c>
      <c r="AF460" t="e">
        <f t="shared" ca="1" si="219"/>
        <v>#VALUE!</v>
      </c>
      <c r="AG460" t="e">
        <f t="shared" ca="1" si="220"/>
        <v>#VALUE!</v>
      </c>
      <c r="AH460" t="e">
        <f ca="1">IF(V32="Supercritical",L460,IF(V32="Subcritical",W460,IF(AND(V460=1,AG460=1),IF(T460&gt;=AE460,L460,W460),IF(V460=1,L460,IF(AG460=1,W460,MAX($D$16,POWER((ABS(K460)^2)/($I$5*MAX(F460,0.1)^2),1/3)))))))</f>
        <v>#VALUE!</v>
      </c>
      <c r="AI460" t="e">
        <f t="shared" ca="1" si="221"/>
        <v>#VALUE!</v>
      </c>
      <c r="AJ460" t="e">
        <f t="shared" ca="1" si="222"/>
        <v>#VALUE!</v>
      </c>
      <c r="AM460">
        <v>0</v>
      </c>
      <c r="AN460">
        <v>0</v>
      </c>
      <c r="AO460">
        <f t="shared" si="223"/>
        <v>0</v>
      </c>
      <c r="AP460">
        <f t="shared" si="232"/>
        <v>0</v>
      </c>
      <c r="AQ460" t="e">
        <f t="shared" ca="1" si="224"/>
        <v>#VALUE!</v>
      </c>
      <c r="AR460" t="e">
        <f t="shared" ca="1" si="225"/>
        <v>#VALUE!</v>
      </c>
      <c r="AS460" t="e">
        <f t="shared" ca="1" si="226"/>
        <v>#VALUE!</v>
      </c>
    </row>
    <row r="461" spans="1:45" x14ac:dyDescent="0.35">
      <c r="A461">
        <v>312</v>
      </c>
      <c r="B461">
        <v>310.89499999999998</v>
      </c>
      <c r="C461">
        <v>616294.00100000005</v>
      </c>
      <c r="D461">
        <v>3097643.13</v>
      </c>
      <c r="E461">
        <v>632.40650000000005</v>
      </c>
      <c r="F461">
        <v>5.2</v>
      </c>
      <c r="G461">
        <v>0</v>
      </c>
      <c r="H461" t="s">
        <v>191</v>
      </c>
      <c r="I461">
        <v>2.7E-2</v>
      </c>
      <c r="J461">
        <f t="shared" si="227"/>
        <v>0.9989999999999668</v>
      </c>
      <c r="K461">
        <f t="shared" si="228"/>
        <v>51</v>
      </c>
      <c r="L461" t="e">
        <f t="shared" ca="1" si="229"/>
        <v>#VALUE!</v>
      </c>
      <c r="M461" t="e">
        <f t="shared" ca="1" si="202"/>
        <v>#VALUE!</v>
      </c>
      <c r="N461" t="e">
        <f t="shared" ca="1" si="203"/>
        <v>#VALUE!</v>
      </c>
      <c r="O461" t="e">
        <f t="shared" ca="1" si="204"/>
        <v>#VALUE!</v>
      </c>
      <c r="P461" t="e">
        <f t="shared" ca="1" si="205"/>
        <v>#VALUE!</v>
      </c>
      <c r="Q461" t="e">
        <f t="shared" ca="1" si="206"/>
        <v>#VALUE!</v>
      </c>
      <c r="R461" t="e">
        <f t="shared" ca="1" si="207"/>
        <v>#VALUE!</v>
      </c>
      <c r="S461" t="e">
        <f t="shared" ca="1" si="208"/>
        <v>#VALUE!</v>
      </c>
      <c r="T461" t="e">
        <f t="shared" ca="1" si="209"/>
        <v>#VALUE!</v>
      </c>
      <c r="U461" t="e">
        <f t="shared" ca="1" si="230"/>
        <v>#VALUE!</v>
      </c>
      <c r="V461" t="e">
        <f t="shared" ca="1" si="231"/>
        <v>#VALUE!</v>
      </c>
      <c r="W461" t="e">
        <f t="shared" ca="1" si="210"/>
        <v>#VALUE!</v>
      </c>
      <c r="X461" t="e">
        <f t="shared" ca="1" si="211"/>
        <v>#VALUE!</v>
      </c>
      <c r="Y461" t="e">
        <f t="shared" ca="1" si="212"/>
        <v>#VALUE!</v>
      </c>
      <c r="Z461" t="e">
        <f t="shared" ca="1" si="213"/>
        <v>#VALUE!</v>
      </c>
      <c r="AA461" t="e">
        <f t="shared" ca="1" si="214"/>
        <v>#VALUE!</v>
      </c>
      <c r="AB461" t="e">
        <f t="shared" ca="1" si="215"/>
        <v>#VALUE!</v>
      </c>
      <c r="AC461" t="e">
        <f t="shared" ca="1" si="216"/>
        <v>#VALUE!</v>
      </c>
      <c r="AD461" t="e">
        <f t="shared" ca="1" si="217"/>
        <v>#VALUE!</v>
      </c>
      <c r="AE461" t="e">
        <f t="shared" ca="1" si="218"/>
        <v>#VALUE!</v>
      </c>
      <c r="AF461" t="e">
        <f t="shared" ca="1" si="219"/>
        <v>#VALUE!</v>
      </c>
      <c r="AG461" t="e">
        <f t="shared" ca="1" si="220"/>
        <v>#VALUE!</v>
      </c>
      <c r="AH461" t="e">
        <f ca="1">IF(V32="Supercritical",L461,IF(V32="Subcritical",W461,IF(AND(V461=1,AG461=1),IF(T461&gt;=AE461,L461,W461),IF(V461=1,L461,IF(AG461=1,W461,MAX($D$16,POWER((ABS(K461)^2)/($I$5*MAX(F461,0.1)^2),1/3)))))))</f>
        <v>#VALUE!</v>
      </c>
      <c r="AI461" t="e">
        <f t="shared" ca="1" si="221"/>
        <v>#VALUE!</v>
      </c>
      <c r="AJ461" t="e">
        <f t="shared" ca="1" si="222"/>
        <v>#VALUE!</v>
      </c>
      <c r="AM461">
        <v>0</v>
      </c>
      <c r="AN461">
        <v>0</v>
      </c>
      <c r="AO461">
        <f t="shared" si="223"/>
        <v>0</v>
      </c>
      <c r="AP461">
        <f t="shared" si="232"/>
        <v>0</v>
      </c>
      <c r="AQ461" t="e">
        <f t="shared" ca="1" si="224"/>
        <v>#VALUE!</v>
      </c>
      <c r="AR461" t="e">
        <f t="shared" ca="1" si="225"/>
        <v>#VALUE!</v>
      </c>
      <c r="AS461" t="e">
        <f t="shared" ca="1" si="226"/>
        <v>#VALUE!</v>
      </c>
    </row>
    <row r="462" spans="1:45" x14ac:dyDescent="0.35">
      <c r="A462">
        <v>313</v>
      </c>
      <c r="B462">
        <v>311.89600000000002</v>
      </c>
      <c r="C462">
        <v>616293.527</v>
      </c>
      <c r="D462">
        <v>3097642.2489999998</v>
      </c>
      <c r="E462">
        <v>632.40599999999995</v>
      </c>
      <c r="F462">
        <v>5.2</v>
      </c>
      <c r="G462">
        <v>0</v>
      </c>
      <c r="H462" t="s">
        <v>191</v>
      </c>
      <c r="I462">
        <v>7.8E-2</v>
      </c>
      <c r="J462">
        <f t="shared" si="227"/>
        <v>1.0010000000000332</v>
      </c>
      <c r="K462">
        <f t="shared" si="228"/>
        <v>51</v>
      </c>
      <c r="L462" t="e">
        <f t="shared" ca="1" si="229"/>
        <v>#VALUE!</v>
      </c>
      <c r="M462" t="e">
        <f t="shared" ca="1" si="202"/>
        <v>#VALUE!</v>
      </c>
      <c r="N462" t="e">
        <f t="shared" ca="1" si="203"/>
        <v>#VALUE!</v>
      </c>
      <c r="O462" t="e">
        <f t="shared" ca="1" si="204"/>
        <v>#VALUE!</v>
      </c>
      <c r="P462" t="e">
        <f t="shared" ca="1" si="205"/>
        <v>#VALUE!</v>
      </c>
      <c r="Q462" t="e">
        <f t="shared" ca="1" si="206"/>
        <v>#VALUE!</v>
      </c>
      <c r="R462" t="e">
        <f t="shared" ca="1" si="207"/>
        <v>#VALUE!</v>
      </c>
      <c r="S462" t="e">
        <f t="shared" ca="1" si="208"/>
        <v>#VALUE!</v>
      </c>
      <c r="T462" t="e">
        <f t="shared" ca="1" si="209"/>
        <v>#VALUE!</v>
      </c>
      <c r="U462" t="e">
        <f t="shared" ca="1" si="230"/>
        <v>#VALUE!</v>
      </c>
      <c r="V462" t="e">
        <f t="shared" ca="1" si="231"/>
        <v>#VALUE!</v>
      </c>
      <c r="W462" t="e">
        <f t="shared" ca="1" si="210"/>
        <v>#VALUE!</v>
      </c>
      <c r="X462" t="e">
        <f t="shared" ca="1" si="211"/>
        <v>#VALUE!</v>
      </c>
      <c r="Y462" t="e">
        <f t="shared" ca="1" si="212"/>
        <v>#VALUE!</v>
      </c>
      <c r="Z462" t="e">
        <f t="shared" ca="1" si="213"/>
        <v>#VALUE!</v>
      </c>
      <c r="AA462" t="e">
        <f t="shared" ca="1" si="214"/>
        <v>#VALUE!</v>
      </c>
      <c r="AB462" t="e">
        <f t="shared" ca="1" si="215"/>
        <v>#VALUE!</v>
      </c>
      <c r="AC462" t="e">
        <f t="shared" ca="1" si="216"/>
        <v>#VALUE!</v>
      </c>
      <c r="AD462" t="e">
        <f t="shared" ca="1" si="217"/>
        <v>#VALUE!</v>
      </c>
      <c r="AE462" t="e">
        <f t="shared" ca="1" si="218"/>
        <v>#VALUE!</v>
      </c>
      <c r="AF462" t="e">
        <f t="shared" ca="1" si="219"/>
        <v>#VALUE!</v>
      </c>
      <c r="AG462" t="e">
        <f t="shared" ca="1" si="220"/>
        <v>#VALUE!</v>
      </c>
      <c r="AH462" t="e">
        <f ca="1">IF(V32="Supercritical",L462,IF(V32="Subcritical",W462,IF(AND(V462=1,AG462=1),IF(T462&gt;=AE462,L462,W462),IF(V462=1,L462,IF(AG462=1,W462,MAX($D$16,POWER((ABS(K462)^2)/($I$5*MAX(F462,0.1)^2),1/3)))))))</f>
        <v>#VALUE!</v>
      </c>
      <c r="AI462" t="e">
        <f t="shared" ca="1" si="221"/>
        <v>#VALUE!</v>
      </c>
      <c r="AJ462" t="e">
        <f t="shared" ca="1" si="222"/>
        <v>#VALUE!</v>
      </c>
      <c r="AM462">
        <v>0</v>
      </c>
      <c r="AN462">
        <v>0</v>
      </c>
      <c r="AO462">
        <f t="shared" si="223"/>
        <v>0</v>
      </c>
      <c r="AP462">
        <f t="shared" si="232"/>
        <v>0</v>
      </c>
      <c r="AQ462" t="e">
        <f t="shared" ca="1" si="224"/>
        <v>#VALUE!</v>
      </c>
      <c r="AR462" t="e">
        <f t="shared" ca="1" si="225"/>
        <v>#VALUE!</v>
      </c>
      <c r="AS462" t="e">
        <f t="shared" ca="1" si="226"/>
        <v>#VALUE!</v>
      </c>
    </row>
    <row r="463" spans="1:45" x14ac:dyDescent="0.35">
      <c r="A463">
        <v>314</v>
      </c>
      <c r="B463">
        <v>312.89600000000002</v>
      </c>
      <c r="C463">
        <v>616293.05200000003</v>
      </c>
      <c r="D463">
        <v>3097641.3689999999</v>
      </c>
      <c r="E463">
        <v>632.40549999999996</v>
      </c>
      <c r="F463">
        <v>5.2</v>
      </c>
      <c r="G463">
        <v>0</v>
      </c>
      <c r="H463" t="s">
        <v>191</v>
      </c>
      <c r="I463">
        <v>0.05</v>
      </c>
      <c r="J463">
        <f t="shared" si="227"/>
        <v>1</v>
      </c>
      <c r="K463">
        <f t="shared" si="228"/>
        <v>51</v>
      </c>
      <c r="L463" t="e">
        <f t="shared" ca="1" si="229"/>
        <v>#VALUE!</v>
      </c>
      <c r="M463" t="e">
        <f t="shared" ca="1" si="202"/>
        <v>#VALUE!</v>
      </c>
      <c r="N463" t="e">
        <f t="shared" ca="1" si="203"/>
        <v>#VALUE!</v>
      </c>
      <c r="O463" t="e">
        <f t="shared" ca="1" si="204"/>
        <v>#VALUE!</v>
      </c>
      <c r="P463" t="e">
        <f t="shared" ca="1" si="205"/>
        <v>#VALUE!</v>
      </c>
      <c r="Q463" t="e">
        <f t="shared" ca="1" si="206"/>
        <v>#VALUE!</v>
      </c>
      <c r="R463" t="e">
        <f t="shared" ca="1" si="207"/>
        <v>#VALUE!</v>
      </c>
      <c r="S463" t="e">
        <f t="shared" ca="1" si="208"/>
        <v>#VALUE!</v>
      </c>
      <c r="T463" t="e">
        <f t="shared" ca="1" si="209"/>
        <v>#VALUE!</v>
      </c>
      <c r="U463" t="e">
        <f t="shared" ca="1" si="230"/>
        <v>#VALUE!</v>
      </c>
      <c r="V463" t="e">
        <f t="shared" ca="1" si="231"/>
        <v>#VALUE!</v>
      </c>
      <c r="W463" t="e">
        <f t="shared" ca="1" si="210"/>
        <v>#VALUE!</v>
      </c>
      <c r="X463" t="e">
        <f t="shared" ca="1" si="211"/>
        <v>#VALUE!</v>
      </c>
      <c r="Y463" t="e">
        <f t="shared" ca="1" si="212"/>
        <v>#VALUE!</v>
      </c>
      <c r="Z463" t="e">
        <f t="shared" ca="1" si="213"/>
        <v>#VALUE!</v>
      </c>
      <c r="AA463" t="e">
        <f t="shared" ca="1" si="214"/>
        <v>#VALUE!</v>
      </c>
      <c r="AB463" t="e">
        <f t="shared" ca="1" si="215"/>
        <v>#VALUE!</v>
      </c>
      <c r="AC463" t="e">
        <f t="shared" ca="1" si="216"/>
        <v>#VALUE!</v>
      </c>
      <c r="AD463" t="e">
        <f t="shared" ca="1" si="217"/>
        <v>#VALUE!</v>
      </c>
      <c r="AE463" t="e">
        <f t="shared" ca="1" si="218"/>
        <v>#VALUE!</v>
      </c>
      <c r="AF463" t="e">
        <f t="shared" ca="1" si="219"/>
        <v>#VALUE!</v>
      </c>
      <c r="AG463" t="e">
        <f t="shared" ca="1" si="220"/>
        <v>#VALUE!</v>
      </c>
      <c r="AH463" t="e">
        <f ca="1">IF(V32="Supercritical",L463,IF(V32="Subcritical",W463,IF(AND(V463=1,AG463=1),IF(T463&gt;=AE463,L463,W463),IF(V463=1,L463,IF(AG463=1,W463,MAX($D$16,POWER((ABS(K463)^2)/($I$5*MAX(F463,0.1)^2),1/3)))))))</f>
        <v>#VALUE!</v>
      </c>
      <c r="AI463" t="e">
        <f t="shared" ca="1" si="221"/>
        <v>#VALUE!</v>
      </c>
      <c r="AJ463" t="e">
        <f t="shared" ca="1" si="222"/>
        <v>#VALUE!</v>
      </c>
      <c r="AM463">
        <v>0</v>
      </c>
      <c r="AN463">
        <v>0</v>
      </c>
      <c r="AO463">
        <f t="shared" si="223"/>
        <v>0</v>
      </c>
      <c r="AP463">
        <f t="shared" si="232"/>
        <v>0</v>
      </c>
      <c r="AQ463" t="e">
        <f t="shared" ca="1" si="224"/>
        <v>#VALUE!</v>
      </c>
      <c r="AR463" t="e">
        <f t="shared" ca="1" si="225"/>
        <v>#VALUE!</v>
      </c>
      <c r="AS463" t="e">
        <f t="shared" ca="1" si="226"/>
        <v>#VALUE!</v>
      </c>
    </row>
    <row r="464" spans="1:45" x14ac:dyDescent="0.35">
      <c r="A464">
        <v>315</v>
      </c>
      <c r="B464">
        <v>313.89499999999998</v>
      </c>
      <c r="C464">
        <v>616292.57799999998</v>
      </c>
      <c r="D464">
        <v>3097640.4890000001</v>
      </c>
      <c r="E464">
        <v>632.40499999999997</v>
      </c>
      <c r="F464">
        <v>5.2</v>
      </c>
      <c r="G464">
        <v>0</v>
      </c>
      <c r="H464" t="s">
        <v>191</v>
      </c>
      <c r="I464">
        <v>2.7E-2</v>
      </c>
      <c r="J464">
        <f t="shared" si="227"/>
        <v>0.9989999999999668</v>
      </c>
      <c r="K464">
        <f t="shared" si="228"/>
        <v>51</v>
      </c>
      <c r="L464" t="e">
        <f t="shared" ca="1" si="229"/>
        <v>#VALUE!</v>
      </c>
      <c r="M464" t="e">
        <f t="shared" ca="1" si="202"/>
        <v>#VALUE!</v>
      </c>
      <c r="N464" t="e">
        <f t="shared" ca="1" si="203"/>
        <v>#VALUE!</v>
      </c>
      <c r="O464" t="e">
        <f t="shared" ca="1" si="204"/>
        <v>#VALUE!</v>
      </c>
      <c r="P464" t="e">
        <f t="shared" ca="1" si="205"/>
        <v>#VALUE!</v>
      </c>
      <c r="Q464" t="e">
        <f t="shared" ca="1" si="206"/>
        <v>#VALUE!</v>
      </c>
      <c r="R464" t="e">
        <f t="shared" ca="1" si="207"/>
        <v>#VALUE!</v>
      </c>
      <c r="S464" t="e">
        <f t="shared" ca="1" si="208"/>
        <v>#VALUE!</v>
      </c>
      <c r="T464" t="e">
        <f t="shared" ca="1" si="209"/>
        <v>#VALUE!</v>
      </c>
      <c r="U464" t="e">
        <f t="shared" ca="1" si="230"/>
        <v>#VALUE!</v>
      </c>
      <c r="V464" t="e">
        <f t="shared" ca="1" si="231"/>
        <v>#VALUE!</v>
      </c>
      <c r="W464" t="e">
        <f t="shared" ca="1" si="210"/>
        <v>#VALUE!</v>
      </c>
      <c r="X464" t="e">
        <f t="shared" ca="1" si="211"/>
        <v>#VALUE!</v>
      </c>
      <c r="Y464" t="e">
        <f t="shared" ca="1" si="212"/>
        <v>#VALUE!</v>
      </c>
      <c r="Z464" t="e">
        <f t="shared" ca="1" si="213"/>
        <v>#VALUE!</v>
      </c>
      <c r="AA464" t="e">
        <f t="shared" ca="1" si="214"/>
        <v>#VALUE!</v>
      </c>
      <c r="AB464" t="e">
        <f t="shared" ca="1" si="215"/>
        <v>#VALUE!</v>
      </c>
      <c r="AC464" t="e">
        <f t="shared" ca="1" si="216"/>
        <v>#VALUE!</v>
      </c>
      <c r="AD464" t="e">
        <f t="shared" ca="1" si="217"/>
        <v>#VALUE!</v>
      </c>
      <c r="AE464" t="e">
        <f t="shared" ca="1" si="218"/>
        <v>#VALUE!</v>
      </c>
      <c r="AF464" t="e">
        <f t="shared" ca="1" si="219"/>
        <v>#VALUE!</v>
      </c>
      <c r="AG464" t="e">
        <f t="shared" ca="1" si="220"/>
        <v>#VALUE!</v>
      </c>
      <c r="AH464" t="e">
        <f ca="1">IF(V32="Supercritical",L464,IF(V32="Subcritical",W464,IF(AND(V464=1,AG464=1),IF(T464&gt;=AE464,L464,W464),IF(V464=1,L464,IF(AG464=1,W464,MAX($D$16,POWER((ABS(K464)^2)/($I$5*MAX(F464,0.1)^2),1/3)))))))</f>
        <v>#VALUE!</v>
      </c>
      <c r="AI464" t="e">
        <f t="shared" ca="1" si="221"/>
        <v>#VALUE!</v>
      </c>
      <c r="AJ464" t="e">
        <f t="shared" ca="1" si="222"/>
        <v>#VALUE!</v>
      </c>
      <c r="AM464">
        <v>0</v>
      </c>
      <c r="AN464">
        <v>0</v>
      </c>
      <c r="AO464">
        <f t="shared" si="223"/>
        <v>0</v>
      </c>
      <c r="AP464">
        <f t="shared" si="232"/>
        <v>0</v>
      </c>
      <c r="AQ464" t="e">
        <f t="shared" ca="1" si="224"/>
        <v>#VALUE!</v>
      </c>
      <c r="AR464" t="e">
        <f t="shared" ca="1" si="225"/>
        <v>#VALUE!</v>
      </c>
      <c r="AS464" t="e">
        <f t="shared" ca="1" si="226"/>
        <v>#VALUE!</v>
      </c>
    </row>
    <row r="465" spans="1:45" x14ac:dyDescent="0.35">
      <c r="A465">
        <v>316</v>
      </c>
      <c r="B465">
        <v>314.89499999999998</v>
      </c>
      <c r="C465">
        <v>616292.10400000005</v>
      </c>
      <c r="D465">
        <v>3097639.608</v>
      </c>
      <c r="E465">
        <v>632.40449999999998</v>
      </c>
      <c r="F465">
        <v>5.2</v>
      </c>
      <c r="G465">
        <v>0</v>
      </c>
      <c r="H465" t="s">
        <v>191</v>
      </c>
      <c r="I465">
        <v>2.7E-2</v>
      </c>
      <c r="J465">
        <f t="shared" si="227"/>
        <v>1</v>
      </c>
      <c r="K465">
        <f t="shared" si="228"/>
        <v>51</v>
      </c>
      <c r="L465" t="e">
        <f t="shared" ca="1" si="229"/>
        <v>#VALUE!</v>
      </c>
      <c r="M465" t="e">
        <f t="shared" ca="1" si="202"/>
        <v>#VALUE!</v>
      </c>
      <c r="N465" t="e">
        <f t="shared" ca="1" si="203"/>
        <v>#VALUE!</v>
      </c>
      <c r="O465" t="e">
        <f t="shared" ca="1" si="204"/>
        <v>#VALUE!</v>
      </c>
      <c r="P465" t="e">
        <f t="shared" ca="1" si="205"/>
        <v>#VALUE!</v>
      </c>
      <c r="Q465" t="e">
        <f t="shared" ca="1" si="206"/>
        <v>#VALUE!</v>
      </c>
      <c r="R465" t="e">
        <f t="shared" ca="1" si="207"/>
        <v>#VALUE!</v>
      </c>
      <c r="S465" t="e">
        <f t="shared" ca="1" si="208"/>
        <v>#VALUE!</v>
      </c>
      <c r="T465" t="e">
        <f t="shared" ca="1" si="209"/>
        <v>#VALUE!</v>
      </c>
      <c r="U465" t="e">
        <f t="shared" ca="1" si="230"/>
        <v>#VALUE!</v>
      </c>
      <c r="V465" t="e">
        <f t="shared" ca="1" si="231"/>
        <v>#VALUE!</v>
      </c>
      <c r="W465" t="e">
        <f t="shared" ca="1" si="210"/>
        <v>#VALUE!</v>
      </c>
      <c r="X465" t="e">
        <f t="shared" ca="1" si="211"/>
        <v>#VALUE!</v>
      </c>
      <c r="Y465" t="e">
        <f t="shared" ca="1" si="212"/>
        <v>#VALUE!</v>
      </c>
      <c r="Z465" t="e">
        <f t="shared" ca="1" si="213"/>
        <v>#VALUE!</v>
      </c>
      <c r="AA465" t="e">
        <f t="shared" ca="1" si="214"/>
        <v>#VALUE!</v>
      </c>
      <c r="AB465" t="e">
        <f t="shared" ca="1" si="215"/>
        <v>#VALUE!</v>
      </c>
      <c r="AC465" t="e">
        <f t="shared" ca="1" si="216"/>
        <v>#VALUE!</v>
      </c>
      <c r="AD465" t="e">
        <f t="shared" ca="1" si="217"/>
        <v>#VALUE!</v>
      </c>
      <c r="AE465" t="e">
        <f t="shared" ca="1" si="218"/>
        <v>#VALUE!</v>
      </c>
      <c r="AF465" t="e">
        <f t="shared" ca="1" si="219"/>
        <v>#VALUE!</v>
      </c>
      <c r="AG465" t="e">
        <f t="shared" ca="1" si="220"/>
        <v>#VALUE!</v>
      </c>
      <c r="AH465" t="e">
        <f ca="1">IF(V32="Supercritical",L465,IF(V32="Subcritical",W465,IF(AND(V465=1,AG465=1),IF(T465&gt;=AE465,L465,W465),IF(V465=1,L465,IF(AG465=1,W465,MAX($D$16,POWER((ABS(K465)^2)/($I$5*MAX(F465,0.1)^2),1/3)))))))</f>
        <v>#VALUE!</v>
      </c>
      <c r="AI465" t="e">
        <f t="shared" ca="1" si="221"/>
        <v>#VALUE!</v>
      </c>
      <c r="AJ465" t="e">
        <f t="shared" ca="1" si="222"/>
        <v>#VALUE!</v>
      </c>
      <c r="AM465">
        <v>0</v>
      </c>
      <c r="AN465">
        <v>0</v>
      </c>
      <c r="AO465">
        <f t="shared" si="223"/>
        <v>0</v>
      </c>
      <c r="AP465">
        <f t="shared" si="232"/>
        <v>0</v>
      </c>
      <c r="AQ465" t="e">
        <f t="shared" ca="1" si="224"/>
        <v>#VALUE!</v>
      </c>
      <c r="AR465" t="e">
        <f t="shared" ca="1" si="225"/>
        <v>#VALUE!</v>
      </c>
      <c r="AS465" t="e">
        <f t="shared" ca="1" si="226"/>
        <v>#VALUE!</v>
      </c>
    </row>
    <row r="466" spans="1:45" x14ac:dyDescent="0.35">
      <c r="A466">
        <v>317</v>
      </c>
      <c r="B466">
        <v>315.89499999999998</v>
      </c>
      <c r="C466">
        <v>616291.63</v>
      </c>
      <c r="D466">
        <v>3097638.7280000001</v>
      </c>
      <c r="E466">
        <v>632.404</v>
      </c>
      <c r="F466">
        <v>5.2</v>
      </c>
      <c r="G466">
        <v>0</v>
      </c>
      <c r="H466" t="s">
        <v>191</v>
      </c>
      <c r="I466">
        <v>2.3E-2</v>
      </c>
      <c r="J466">
        <f t="shared" si="227"/>
        <v>1</v>
      </c>
      <c r="K466">
        <f t="shared" si="228"/>
        <v>51</v>
      </c>
      <c r="L466" t="e">
        <f t="shared" ca="1" si="229"/>
        <v>#VALUE!</v>
      </c>
      <c r="M466" t="e">
        <f t="shared" ca="1" si="202"/>
        <v>#VALUE!</v>
      </c>
      <c r="N466" t="e">
        <f t="shared" ca="1" si="203"/>
        <v>#VALUE!</v>
      </c>
      <c r="O466" t="e">
        <f t="shared" ca="1" si="204"/>
        <v>#VALUE!</v>
      </c>
      <c r="P466" t="e">
        <f t="shared" ca="1" si="205"/>
        <v>#VALUE!</v>
      </c>
      <c r="Q466" t="e">
        <f t="shared" ca="1" si="206"/>
        <v>#VALUE!</v>
      </c>
      <c r="R466" t="e">
        <f t="shared" ca="1" si="207"/>
        <v>#VALUE!</v>
      </c>
      <c r="S466" t="e">
        <f t="shared" ca="1" si="208"/>
        <v>#VALUE!</v>
      </c>
      <c r="T466" t="e">
        <f t="shared" ca="1" si="209"/>
        <v>#VALUE!</v>
      </c>
      <c r="U466" t="e">
        <f t="shared" ca="1" si="230"/>
        <v>#VALUE!</v>
      </c>
      <c r="V466" t="e">
        <f t="shared" ca="1" si="231"/>
        <v>#VALUE!</v>
      </c>
      <c r="W466" t="e">
        <f t="shared" ca="1" si="210"/>
        <v>#VALUE!</v>
      </c>
      <c r="X466" t="e">
        <f t="shared" ca="1" si="211"/>
        <v>#VALUE!</v>
      </c>
      <c r="Y466" t="e">
        <f t="shared" ca="1" si="212"/>
        <v>#VALUE!</v>
      </c>
      <c r="Z466" t="e">
        <f t="shared" ca="1" si="213"/>
        <v>#VALUE!</v>
      </c>
      <c r="AA466" t="e">
        <f t="shared" ca="1" si="214"/>
        <v>#VALUE!</v>
      </c>
      <c r="AB466" t="e">
        <f t="shared" ca="1" si="215"/>
        <v>#VALUE!</v>
      </c>
      <c r="AC466" t="e">
        <f t="shared" ca="1" si="216"/>
        <v>#VALUE!</v>
      </c>
      <c r="AD466" t="e">
        <f t="shared" ca="1" si="217"/>
        <v>#VALUE!</v>
      </c>
      <c r="AE466" t="e">
        <f t="shared" ca="1" si="218"/>
        <v>#VALUE!</v>
      </c>
      <c r="AF466" t="e">
        <f t="shared" ca="1" si="219"/>
        <v>#VALUE!</v>
      </c>
      <c r="AG466" t="e">
        <f t="shared" ca="1" si="220"/>
        <v>#VALUE!</v>
      </c>
      <c r="AH466" t="e">
        <f ca="1">IF(V32="Supercritical",L466,IF(V32="Subcritical",W466,IF(AND(V466=1,AG466=1),IF(T466&gt;=AE466,L466,W466),IF(V466=1,L466,IF(AG466=1,W466,MAX($D$16,POWER((ABS(K466)^2)/($I$5*MAX(F466,0.1)^2),1/3)))))))</f>
        <v>#VALUE!</v>
      </c>
      <c r="AI466" t="e">
        <f t="shared" ca="1" si="221"/>
        <v>#VALUE!</v>
      </c>
      <c r="AJ466" t="e">
        <f t="shared" ca="1" si="222"/>
        <v>#VALUE!</v>
      </c>
      <c r="AM466">
        <v>0</v>
      </c>
      <c r="AN466">
        <v>0</v>
      </c>
      <c r="AO466">
        <f t="shared" si="223"/>
        <v>0</v>
      </c>
      <c r="AP466">
        <f t="shared" si="232"/>
        <v>0</v>
      </c>
      <c r="AQ466" t="e">
        <f t="shared" ca="1" si="224"/>
        <v>#VALUE!</v>
      </c>
      <c r="AR466" t="e">
        <f t="shared" ca="1" si="225"/>
        <v>#VALUE!</v>
      </c>
      <c r="AS466" t="e">
        <f t="shared" ca="1" si="226"/>
        <v>#VALUE!</v>
      </c>
    </row>
    <row r="467" spans="1:45" x14ac:dyDescent="0.35">
      <c r="A467">
        <v>318</v>
      </c>
      <c r="B467">
        <v>316.89600000000002</v>
      </c>
      <c r="C467">
        <v>616291.15500000003</v>
      </c>
      <c r="D467">
        <v>3097637.8470000001</v>
      </c>
      <c r="E467">
        <v>632.40350000000001</v>
      </c>
      <c r="F467">
        <v>5.2</v>
      </c>
      <c r="G467">
        <v>0</v>
      </c>
      <c r="H467" t="s">
        <v>191</v>
      </c>
      <c r="I467">
        <v>2.3E-2</v>
      </c>
      <c r="J467">
        <f t="shared" si="227"/>
        <v>1.0010000000000332</v>
      </c>
      <c r="K467">
        <f t="shared" si="228"/>
        <v>51</v>
      </c>
      <c r="L467" t="e">
        <f t="shared" ca="1" si="229"/>
        <v>#VALUE!</v>
      </c>
      <c r="M467" t="e">
        <f t="shared" ca="1" si="202"/>
        <v>#VALUE!</v>
      </c>
      <c r="N467" t="e">
        <f t="shared" ca="1" si="203"/>
        <v>#VALUE!</v>
      </c>
      <c r="O467" t="e">
        <f t="shared" ca="1" si="204"/>
        <v>#VALUE!</v>
      </c>
      <c r="P467" t="e">
        <f t="shared" ca="1" si="205"/>
        <v>#VALUE!</v>
      </c>
      <c r="Q467" t="e">
        <f t="shared" ca="1" si="206"/>
        <v>#VALUE!</v>
      </c>
      <c r="R467" t="e">
        <f t="shared" ca="1" si="207"/>
        <v>#VALUE!</v>
      </c>
      <c r="S467" t="e">
        <f t="shared" ca="1" si="208"/>
        <v>#VALUE!</v>
      </c>
      <c r="T467" t="e">
        <f t="shared" ca="1" si="209"/>
        <v>#VALUE!</v>
      </c>
      <c r="U467" t="e">
        <f t="shared" ca="1" si="230"/>
        <v>#VALUE!</v>
      </c>
      <c r="V467" t="e">
        <f t="shared" ca="1" si="231"/>
        <v>#VALUE!</v>
      </c>
      <c r="W467" t="e">
        <f t="shared" ca="1" si="210"/>
        <v>#VALUE!</v>
      </c>
      <c r="X467" t="e">
        <f t="shared" ca="1" si="211"/>
        <v>#VALUE!</v>
      </c>
      <c r="Y467" t="e">
        <f t="shared" ca="1" si="212"/>
        <v>#VALUE!</v>
      </c>
      <c r="Z467" t="e">
        <f t="shared" ca="1" si="213"/>
        <v>#VALUE!</v>
      </c>
      <c r="AA467" t="e">
        <f t="shared" ca="1" si="214"/>
        <v>#VALUE!</v>
      </c>
      <c r="AB467" t="e">
        <f t="shared" ca="1" si="215"/>
        <v>#VALUE!</v>
      </c>
      <c r="AC467" t="e">
        <f t="shared" ca="1" si="216"/>
        <v>#VALUE!</v>
      </c>
      <c r="AD467" t="e">
        <f t="shared" ca="1" si="217"/>
        <v>#VALUE!</v>
      </c>
      <c r="AE467" t="e">
        <f t="shared" ca="1" si="218"/>
        <v>#VALUE!</v>
      </c>
      <c r="AF467" t="e">
        <f t="shared" ca="1" si="219"/>
        <v>#VALUE!</v>
      </c>
      <c r="AG467" t="e">
        <f t="shared" ca="1" si="220"/>
        <v>#VALUE!</v>
      </c>
      <c r="AH467" t="e">
        <f ca="1">IF(V32="Supercritical",L467,IF(V32="Subcritical",W467,IF(AND(V467=1,AG467=1),IF(T467&gt;=AE467,L467,W467),IF(V467=1,L467,IF(AG467=1,W467,MAX($D$16,POWER((ABS(K467)^2)/($I$5*MAX(F467,0.1)^2),1/3)))))))</f>
        <v>#VALUE!</v>
      </c>
      <c r="AI467" t="e">
        <f t="shared" ca="1" si="221"/>
        <v>#VALUE!</v>
      </c>
      <c r="AJ467" t="e">
        <f t="shared" ca="1" si="222"/>
        <v>#VALUE!</v>
      </c>
      <c r="AM467">
        <v>0</v>
      </c>
      <c r="AN467">
        <v>0</v>
      </c>
      <c r="AO467">
        <f t="shared" si="223"/>
        <v>0</v>
      </c>
      <c r="AP467">
        <f t="shared" si="232"/>
        <v>0</v>
      </c>
      <c r="AQ467" t="e">
        <f t="shared" ca="1" si="224"/>
        <v>#VALUE!</v>
      </c>
      <c r="AR467" t="e">
        <f t="shared" ca="1" si="225"/>
        <v>#VALUE!</v>
      </c>
      <c r="AS467" t="e">
        <f t="shared" ca="1" si="226"/>
        <v>#VALUE!</v>
      </c>
    </row>
    <row r="468" spans="1:45" x14ac:dyDescent="0.35">
      <c r="A468">
        <v>319</v>
      </c>
      <c r="B468">
        <v>317.89499999999998</v>
      </c>
      <c r="C468">
        <v>616290.68099999998</v>
      </c>
      <c r="D468">
        <v>3097636.9670000002</v>
      </c>
      <c r="E468">
        <v>632.40300000000002</v>
      </c>
      <c r="F468">
        <v>5.2</v>
      </c>
      <c r="G468">
        <v>0</v>
      </c>
      <c r="H468" t="s">
        <v>191</v>
      </c>
      <c r="I468">
        <v>0</v>
      </c>
      <c r="J468">
        <f t="shared" si="227"/>
        <v>0.9989999999999668</v>
      </c>
      <c r="K468">
        <f t="shared" si="228"/>
        <v>51</v>
      </c>
      <c r="L468" t="e">
        <f t="shared" ca="1" si="229"/>
        <v>#VALUE!</v>
      </c>
      <c r="M468" t="e">
        <f t="shared" ca="1" si="202"/>
        <v>#VALUE!</v>
      </c>
      <c r="N468" t="e">
        <f t="shared" ca="1" si="203"/>
        <v>#VALUE!</v>
      </c>
      <c r="O468" t="e">
        <f t="shared" ca="1" si="204"/>
        <v>#VALUE!</v>
      </c>
      <c r="P468" t="e">
        <f t="shared" ca="1" si="205"/>
        <v>#VALUE!</v>
      </c>
      <c r="Q468" t="e">
        <f t="shared" ca="1" si="206"/>
        <v>#VALUE!</v>
      </c>
      <c r="R468" t="e">
        <f t="shared" ca="1" si="207"/>
        <v>#VALUE!</v>
      </c>
      <c r="S468" t="e">
        <f t="shared" ca="1" si="208"/>
        <v>#VALUE!</v>
      </c>
      <c r="T468" t="e">
        <f t="shared" ca="1" si="209"/>
        <v>#VALUE!</v>
      </c>
      <c r="U468" t="e">
        <f t="shared" ca="1" si="230"/>
        <v>#VALUE!</v>
      </c>
      <c r="V468" t="e">
        <f t="shared" ca="1" si="231"/>
        <v>#VALUE!</v>
      </c>
      <c r="W468" t="e">
        <f t="shared" ca="1" si="210"/>
        <v>#VALUE!</v>
      </c>
      <c r="X468" t="e">
        <f t="shared" ca="1" si="211"/>
        <v>#VALUE!</v>
      </c>
      <c r="Y468" t="e">
        <f t="shared" ca="1" si="212"/>
        <v>#VALUE!</v>
      </c>
      <c r="Z468" t="e">
        <f t="shared" ca="1" si="213"/>
        <v>#VALUE!</v>
      </c>
      <c r="AA468" t="e">
        <f t="shared" ca="1" si="214"/>
        <v>#VALUE!</v>
      </c>
      <c r="AB468" t="e">
        <f t="shared" ca="1" si="215"/>
        <v>#VALUE!</v>
      </c>
      <c r="AC468" t="e">
        <f t="shared" ca="1" si="216"/>
        <v>#VALUE!</v>
      </c>
      <c r="AD468" t="e">
        <f t="shared" ca="1" si="217"/>
        <v>#VALUE!</v>
      </c>
      <c r="AE468" t="e">
        <f t="shared" ca="1" si="218"/>
        <v>#VALUE!</v>
      </c>
      <c r="AF468" t="e">
        <f t="shared" ca="1" si="219"/>
        <v>#VALUE!</v>
      </c>
      <c r="AG468" t="e">
        <f t="shared" ca="1" si="220"/>
        <v>#VALUE!</v>
      </c>
      <c r="AH468" t="e">
        <f ca="1">IF(V32="Supercritical",L468,IF(V32="Subcritical",W468,IF(AND(V468=1,AG468=1),IF(T468&gt;=AE468,L468,W468),IF(V468=1,L468,IF(AG468=1,W468,MAX($D$16,POWER((ABS(K468)^2)/($I$5*MAX(F468,0.1)^2),1/3)))))))</f>
        <v>#VALUE!</v>
      </c>
      <c r="AI468" t="e">
        <f t="shared" ca="1" si="221"/>
        <v>#VALUE!</v>
      </c>
      <c r="AJ468" t="e">
        <f t="shared" ca="1" si="222"/>
        <v>#VALUE!</v>
      </c>
      <c r="AM468">
        <v>0</v>
      </c>
      <c r="AN468">
        <v>0</v>
      </c>
      <c r="AO468">
        <f t="shared" si="223"/>
        <v>0</v>
      </c>
      <c r="AP468">
        <f t="shared" si="232"/>
        <v>0</v>
      </c>
      <c r="AQ468" t="e">
        <f t="shared" ca="1" si="224"/>
        <v>#VALUE!</v>
      </c>
      <c r="AR468" t="e">
        <f t="shared" ca="1" si="225"/>
        <v>#VALUE!</v>
      </c>
      <c r="AS468" t="e">
        <f t="shared" ca="1" si="226"/>
        <v>#VALUE!</v>
      </c>
    </row>
    <row r="469" spans="1:45" x14ac:dyDescent="0.35">
      <c r="A469">
        <v>320</v>
      </c>
      <c r="B469">
        <v>318.89499999999998</v>
      </c>
      <c r="C469">
        <v>616290.20700000005</v>
      </c>
      <c r="D469">
        <v>3097636.0869999998</v>
      </c>
      <c r="E469">
        <v>632.40250000000003</v>
      </c>
      <c r="F469">
        <v>5.2</v>
      </c>
      <c r="G469">
        <v>0</v>
      </c>
      <c r="H469" t="s">
        <v>191</v>
      </c>
      <c r="I469">
        <v>2.7E-2</v>
      </c>
      <c r="J469">
        <f t="shared" si="227"/>
        <v>1</v>
      </c>
      <c r="K469">
        <f t="shared" si="228"/>
        <v>51</v>
      </c>
      <c r="L469" t="e">
        <f t="shared" ca="1" si="229"/>
        <v>#VALUE!</v>
      </c>
      <c r="M469" t="e">
        <f t="shared" ca="1" si="202"/>
        <v>#VALUE!</v>
      </c>
      <c r="N469" t="e">
        <f t="shared" ca="1" si="203"/>
        <v>#VALUE!</v>
      </c>
      <c r="O469" t="e">
        <f t="shared" ca="1" si="204"/>
        <v>#VALUE!</v>
      </c>
      <c r="P469" t="e">
        <f t="shared" ca="1" si="205"/>
        <v>#VALUE!</v>
      </c>
      <c r="Q469" t="e">
        <f t="shared" ca="1" si="206"/>
        <v>#VALUE!</v>
      </c>
      <c r="R469" t="e">
        <f t="shared" ca="1" si="207"/>
        <v>#VALUE!</v>
      </c>
      <c r="S469" t="e">
        <f t="shared" ca="1" si="208"/>
        <v>#VALUE!</v>
      </c>
      <c r="T469" t="e">
        <f t="shared" ca="1" si="209"/>
        <v>#VALUE!</v>
      </c>
      <c r="U469" t="e">
        <f t="shared" ca="1" si="230"/>
        <v>#VALUE!</v>
      </c>
      <c r="V469" t="e">
        <f t="shared" ca="1" si="231"/>
        <v>#VALUE!</v>
      </c>
      <c r="W469" t="e">
        <f t="shared" ca="1" si="210"/>
        <v>#VALUE!</v>
      </c>
      <c r="X469" t="e">
        <f t="shared" ca="1" si="211"/>
        <v>#VALUE!</v>
      </c>
      <c r="Y469" t="e">
        <f t="shared" ca="1" si="212"/>
        <v>#VALUE!</v>
      </c>
      <c r="Z469" t="e">
        <f t="shared" ca="1" si="213"/>
        <v>#VALUE!</v>
      </c>
      <c r="AA469" t="e">
        <f t="shared" ca="1" si="214"/>
        <v>#VALUE!</v>
      </c>
      <c r="AB469" t="e">
        <f t="shared" ca="1" si="215"/>
        <v>#VALUE!</v>
      </c>
      <c r="AC469" t="e">
        <f t="shared" ca="1" si="216"/>
        <v>#VALUE!</v>
      </c>
      <c r="AD469" t="e">
        <f t="shared" ca="1" si="217"/>
        <v>#VALUE!</v>
      </c>
      <c r="AE469" t="e">
        <f t="shared" ca="1" si="218"/>
        <v>#VALUE!</v>
      </c>
      <c r="AF469" t="e">
        <f t="shared" ca="1" si="219"/>
        <v>#VALUE!</v>
      </c>
      <c r="AG469" t="e">
        <f t="shared" ca="1" si="220"/>
        <v>#VALUE!</v>
      </c>
      <c r="AH469" t="e">
        <f ca="1">IF(V32="Supercritical",L469,IF(V32="Subcritical",W469,IF(AND(V469=1,AG469=1),IF(T469&gt;=AE469,L469,W469),IF(V469=1,L469,IF(AG469=1,W469,MAX($D$16,POWER((ABS(K469)^2)/($I$5*MAX(F469,0.1)^2),1/3)))))))</f>
        <v>#VALUE!</v>
      </c>
      <c r="AI469" t="e">
        <f t="shared" ca="1" si="221"/>
        <v>#VALUE!</v>
      </c>
      <c r="AJ469" t="e">
        <f t="shared" ca="1" si="222"/>
        <v>#VALUE!</v>
      </c>
      <c r="AM469">
        <v>0</v>
      </c>
      <c r="AN469">
        <v>0</v>
      </c>
      <c r="AO469">
        <f t="shared" si="223"/>
        <v>0</v>
      </c>
      <c r="AP469">
        <f t="shared" si="232"/>
        <v>0</v>
      </c>
      <c r="AQ469" t="e">
        <f t="shared" ca="1" si="224"/>
        <v>#VALUE!</v>
      </c>
      <c r="AR469" t="e">
        <f t="shared" ca="1" si="225"/>
        <v>#VALUE!</v>
      </c>
      <c r="AS469" t="e">
        <f t="shared" ca="1" si="226"/>
        <v>#VALUE!</v>
      </c>
    </row>
    <row r="470" spans="1:45" x14ac:dyDescent="0.35">
      <c r="A470">
        <v>321</v>
      </c>
      <c r="B470">
        <v>319.89499999999998</v>
      </c>
      <c r="C470">
        <v>616289.73300000001</v>
      </c>
      <c r="D470">
        <v>3097635.2059999998</v>
      </c>
      <c r="E470">
        <v>632.40200000000004</v>
      </c>
      <c r="F470">
        <v>5.2</v>
      </c>
      <c r="G470">
        <v>0</v>
      </c>
      <c r="H470" t="s">
        <v>191</v>
      </c>
      <c r="I470">
        <v>7.8E-2</v>
      </c>
      <c r="J470">
        <f t="shared" si="227"/>
        <v>1</v>
      </c>
      <c r="K470">
        <f t="shared" si="228"/>
        <v>51</v>
      </c>
      <c r="L470" t="e">
        <f t="shared" ca="1" si="229"/>
        <v>#VALUE!</v>
      </c>
      <c r="M470" t="e">
        <f t="shared" ref="M470:M533" ca="1" si="233">((F470)+(G470)*(L470))*(L470)</f>
        <v>#VALUE!</v>
      </c>
      <c r="N470" t="e">
        <f t="shared" ref="N470:N533" ca="1" si="234">(((F470)+(G470)*(L470))*(L470))/MAX((F470)+2*(L470)*SQRT(1+(G470)^2),0.000001)</f>
        <v>#VALUE!</v>
      </c>
      <c r="O470" t="e">
        <f t="shared" ref="O470:O533" ca="1" si="235">ABS(K470)/MAX(((F470)+(G470)*(L470))*(L470),0.000001)</f>
        <v>#VALUE!</v>
      </c>
      <c r="P470" t="e">
        <f t="shared" ref="P470:P533" ca="1" si="236">E470+L470</f>
        <v>#VALUE!</v>
      </c>
      <c r="Q470" t="e">
        <f t="shared" ref="Q470:Q533" ca="1" si="237">P470+((ABS(K470)/MAX(((F470)+(G470)*(L470))*(L470),0.000001))^2)/(2*$I$5)</f>
        <v>#VALUE!</v>
      </c>
      <c r="R470" t="e">
        <f t="shared" ref="R470:R533" ca="1" si="238">((ABS(K470)*$D$6)/(MAX(((F470)+(G470)*(L470))*(L470),0.000001)*MAX(((((F470)+(G470)*(L470))*(L470))/MAX((F470)+2*(L470)*SQRT(1+(G470)^2),0.000001))^(2/3),0.000001)))^2</f>
        <v>#VALUE!</v>
      </c>
      <c r="S470" t="e">
        <f t="shared" ref="S470:S533" ca="1" si="239">ABS(ABS(K470)/MAX(((F470)+(G470)*(L470))*(L470),0.000001))/SQRT($I$5*MAX((((F470)+(G470)*(L470))*(L470))/MAX((F470)+2*(G470)*(L470),0.000001),0.000001))</f>
        <v>#VALUE!</v>
      </c>
      <c r="T470" t="e">
        <f t="shared" ref="T470:T533" ca="1" si="240">((F470)*(L470)^2)/2+(G470)*(L470)^3/3+(ABS(K470)^2)/($I$5*MAX(((F470)+(G470)*(L470))*(L470),0.000001))</f>
        <v>#VALUE!</v>
      </c>
      <c r="U470" t="e">
        <f t="shared" ca="1" si="230"/>
        <v>#VALUE!</v>
      </c>
      <c r="V470" t="e">
        <f t="shared" ca="1" si="231"/>
        <v>#VALUE!</v>
      </c>
      <c r="W470" t="e">
        <f t="shared" ref="W470:W533" ca="1" si="241">IF($D$20=0,W471,IF(AG471=0,W471,IF(W470=0,W471,IF(ABS(AF470)&gt;$D$19,MAX($D$16,W470+((AF470)*$D$18*IF((AD470)&lt;1,1,-1))),W470))))</f>
        <v>#VALUE!</v>
      </c>
      <c r="X470" t="e">
        <f t="shared" ref="X470:X533" ca="1" si="242">((F470)+(G470)*(W470))*(W470)</f>
        <v>#VALUE!</v>
      </c>
      <c r="Y470" t="e">
        <f t="shared" ref="Y470:Y533" ca="1" si="243">(((F470)+(G470)*(W470))*(W470))/MAX((F470)+2*(W470)*SQRT(1+(G470)^2),0.000001)</f>
        <v>#VALUE!</v>
      </c>
      <c r="Z470" t="e">
        <f t="shared" ref="Z470:Z533" ca="1" si="244">ABS(K470)/MAX(((F470)+(G470)*(W470))*(W470),0.000001)</f>
        <v>#VALUE!</v>
      </c>
      <c r="AA470" t="e">
        <f t="shared" ref="AA470:AA533" ca="1" si="245">E470+W470</f>
        <v>#VALUE!</v>
      </c>
      <c r="AB470" t="e">
        <f t="shared" ref="AB470:AB533" ca="1" si="246">AA470+((ABS(K470)/MAX(((F470)+(G470)*(W470))*(W470),0.000001))^2)/(2*$I$5)</f>
        <v>#VALUE!</v>
      </c>
      <c r="AC470" t="e">
        <f t="shared" ref="AC470:AC533" ca="1" si="247">((ABS(K470)*$D$6)/(MAX(((F470)+(G470)*(W470))*(W470),0.000001)*MAX(((((F470)+(G470)*(W470))*(W470))/MAX((F470)+2*(W470)*SQRT(1+(G470)^2),0.000001))^(2/3),0.000001)))^2</f>
        <v>#VALUE!</v>
      </c>
      <c r="AD470" t="e">
        <f t="shared" ref="AD470:AD533" ca="1" si="248">ABS(ABS(K470)/MAX(((F470)+(G470)*(W470))*(W470),0.000001))/SQRT($I$5*MAX((((F470)+(G470)*(W470))*(W470))/MAX((F470)+2*(G470)*(W470),0.000001),0.000001))</f>
        <v>#VALUE!</v>
      </c>
      <c r="AE470" t="e">
        <f t="shared" ref="AE470:AE533" ca="1" si="249">((F470)*(W470)^2)/2+(G470)*(W470)^3/3+(ABS(K470)^2)/($I$5*MAX(((F470)+(G470)*(W470))*(W470),0.000001))</f>
        <v>#VALUE!</v>
      </c>
      <c r="AF470" t="e">
        <f t="shared" ref="AF470:AF533" ca="1" si="250">AB471+(((AC470+AC471)/2)*J471)+(IF(Z470&gt;Z471,$D$8*((Z470^2-Z471^2)/(2*$I$5)),$D$9*((Z471^2-Z470^2)/(2*$I$5)))+($D$10*(ABS(I471)/90)*(MAX(Z470^2,Z471^2)/(2*$I$5))))-AB470</f>
        <v>#VALUE!</v>
      </c>
      <c r="AG470" t="e">
        <f t="shared" ref="AG470:AG533" ca="1" si="251">IF(ABS(AF470)&lt;$D$19,1,0)</f>
        <v>#VALUE!</v>
      </c>
      <c r="AH470" t="e">
        <f ca="1">IF(V32="Supercritical",L470,IF(V32="Subcritical",W470,IF(AND(V470=1,AG470=1),IF(T470&gt;=AE470,L470,W470),IF(V470=1,L470,IF(AG470=1,W470,MAX($D$16,POWER((ABS(K470)^2)/($I$5*MAX(F470,0.1)^2),1/3)))))))</f>
        <v>#VALUE!</v>
      </c>
      <c r="AI470" t="e">
        <f t="shared" ref="AI470:AI533" ca="1" si="252">E470+AH470</f>
        <v>#VALUE!</v>
      </c>
      <c r="AJ470" t="e">
        <f t="shared" ref="AJ470:AJ533" ca="1" si="253">AI470+((ABS(K470)/MAX(((F470)+(G470)*(AH470))*(AH470),0.000001))^2)/(2*$I$5)</f>
        <v>#VALUE!</v>
      </c>
      <c r="AM470">
        <v>0</v>
      </c>
      <c r="AN470">
        <v>0</v>
      </c>
      <c r="AO470">
        <f t="shared" ref="AO470:AO533" si="254">AM470+AN470</f>
        <v>0</v>
      </c>
      <c r="AP470">
        <f t="shared" si="232"/>
        <v>0</v>
      </c>
      <c r="AQ470" t="e">
        <f t="shared" ref="AQ470:AQ533" ca="1" si="255">ABS(ABS(K470)/MAX(((F470)+(G470)*(AH470))*(AH470),0.000001))/SQRT($I$5*MAX((((F470)+(G470)*(AH470))*(AH470))/MAX((F470)+2*(G470)*(AH470),0.000001),0.000001))</f>
        <v>#VALUE!</v>
      </c>
      <c r="AR470" t="e">
        <f t="shared" ref="AR470:AR533" ca="1" si="256">IF(AQ470&lt;1,"Subcritical","Supercritical")</f>
        <v>#VALUE!</v>
      </c>
      <c r="AS470" t="e">
        <f t="shared" ref="AS470:AS533" ca="1" si="257">((ABS(K470)*$D$6)/(MAX(((F470)+(G470)*(AH470))*(AH470),0.000001)*MAX(((((F470)+(G470)*(AH470))*(AH470))/MAX((F470)+2*(AH470)*SQRT(1+(G470)^2),0.000001))^(2/3),0.000001)))^2</f>
        <v>#VALUE!</v>
      </c>
    </row>
    <row r="471" spans="1:45" x14ac:dyDescent="0.35">
      <c r="A471">
        <v>322</v>
      </c>
      <c r="B471">
        <v>320.89499999999998</v>
      </c>
      <c r="C471">
        <v>616289.25800000003</v>
      </c>
      <c r="D471">
        <v>3097634.3259999999</v>
      </c>
      <c r="E471">
        <v>632.40150000000006</v>
      </c>
      <c r="F471">
        <v>5.2</v>
      </c>
      <c r="G471">
        <v>0</v>
      </c>
      <c r="H471" t="s">
        <v>191</v>
      </c>
      <c r="I471">
        <v>7.8E-2</v>
      </c>
      <c r="J471">
        <f t="shared" ref="J471:J534" si="258">B471-B470</f>
        <v>1</v>
      </c>
      <c r="K471">
        <f t="shared" ref="K471:K534" si="259">MAX(0,K470-AO470)</f>
        <v>51</v>
      </c>
      <c r="L471" t="e">
        <f t="shared" ref="L471:L534" ca="1" si="260">IF($D$20=0,L470,IF(V470=0,L470,IF(L471=0,L470,IF(ABS(U471)&gt;$D$19,MAX($D$16,L471+((U471)*$D$18*IF((S471)&lt;1,1,-1))),L471))))</f>
        <v>#VALUE!</v>
      </c>
      <c r="M471" t="e">
        <f t="shared" ca="1" si="233"/>
        <v>#VALUE!</v>
      </c>
      <c r="N471" t="e">
        <f t="shared" ca="1" si="234"/>
        <v>#VALUE!</v>
      </c>
      <c r="O471" t="e">
        <f t="shared" ca="1" si="235"/>
        <v>#VALUE!</v>
      </c>
      <c r="P471" t="e">
        <f t="shared" ca="1" si="236"/>
        <v>#VALUE!</v>
      </c>
      <c r="Q471" t="e">
        <f t="shared" ca="1" si="237"/>
        <v>#VALUE!</v>
      </c>
      <c r="R471" t="e">
        <f t="shared" ca="1" si="238"/>
        <v>#VALUE!</v>
      </c>
      <c r="S471" t="e">
        <f t="shared" ca="1" si="239"/>
        <v>#VALUE!</v>
      </c>
      <c r="T471" t="e">
        <f t="shared" ca="1" si="240"/>
        <v>#VALUE!</v>
      </c>
      <c r="U471" t="e">
        <f t="shared" ref="U471:U534" ca="1" si="261">Q470-(((R470+R471)/2)*J471)-(IF(O470&gt;O471,$D$8*((O470^2-O471^2)/(2*$I$5)),$D$9*((O471^2-O470^2)/(2*$I$5)))+($D$10*(ABS(I471)/90)*(MAX(O470^2,O471^2)/(2*$I$5))))-Q471</f>
        <v>#VALUE!</v>
      </c>
      <c r="V471" t="e">
        <f t="shared" ref="V471:V534" ca="1" si="262">IF(ABS(U471)&lt;$D$19,1,0)</f>
        <v>#VALUE!</v>
      </c>
      <c r="W471" t="e">
        <f t="shared" ca="1" si="241"/>
        <v>#VALUE!</v>
      </c>
      <c r="X471" t="e">
        <f t="shared" ca="1" si="242"/>
        <v>#VALUE!</v>
      </c>
      <c r="Y471" t="e">
        <f t="shared" ca="1" si="243"/>
        <v>#VALUE!</v>
      </c>
      <c r="Z471" t="e">
        <f t="shared" ca="1" si="244"/>
        <v>#VALUE!</v>
      </c>
      <c r="AA471" t="e">
        <f t="shared" ca="1" si="245"/>
        <v>#VALUE!</v>
      </c>
      <c r="AB471" t="e">
        <f t="shared" ca="1" si="246"/>
        <v>#VALUE!</v>
      </c>
      <c r="AC471" t="e">
        <f t="shared" ca="1" si="247"/>
        <v>#VALUE!</v>
      </c>
      <c r="AD471" t="e">
        <f t="shared" ca="1" si="248"/>
        <v>#VALUE!</v>
      </c>
      <c r="AE471" t="e">
        <f t="shared" ca="1" si="249"/>
        <v>#VALUE!</v>
      </c>
      <c r="AF471" t="e">
        <f t="shared" ca="1" si="250"/>
        <v>#VALUE!</v>
      </c>
      <c r="AG471" t="e">
        <f t="shared" ca="1" si="251"/>
        <v>#VALUE!</v>
      </c>
      <c r="AH471" t="e">
        <f ca="1">IF(V32="Supercritical",L471,IF(V32="Subcritical",W471,IF(AND(V471=1,AG471=1),IF(T471&gt;=AE471,L471,W471),IF(V471=1,L471,IF(AG471=1,W471,MAX($D$16,POWER((ABS(K471)^2)/($I$5*MAX(F471,0.1)^2),1/3)))))))</f>
        <v>#VALUE!</v>
      </c>
      <c r="AI471" t="e">
        <f t="shared" ca="1" si="252"/>
        <v>#VALUE!</v>
      </c>
      <c r="AJ471" t="e">
        <f t="shared" ca="1" si="253"/>
        <v>#VALUE!</v>
      </c>
      <c r="AM471">
        <v>0</v>
      </c>
      <c r="AN471">
        <v>0</v>
      </c>
      <c r="AO471">
        <f t="shared" si="254"/>
        <v>0</v>
      </c>
      <c r="AP471">
        <f t="shared" ref="AP471:AP534" si="263">AP470+AO471</f>
        <v>0</v>
      </c>
      <c r="AQ471" t="e">
        <f t="shared" ca="1" si="255"/>
        <v>#VALUE!</v>
      </c>
      <c r="AR471" t="e">
        <f t="shared" ca="1" si="256"/>
        <v>#VALUE!</v>
      </c>
      <c r="AS471" t="e">
        <f t="shared" ca="1" si="257"/>
        <v>#VALUE!</v>
      </c>
    </row>
    <row r="472" spans="1:45" x14ac:dyDescent="0.35">
      <c r="A472">
        <v>323</v>
      </c>
      <c r="B472">
        <v>321.89600000000002</v>
      </c>
      <c r="C472">
        <v>616288.78399999999</v>
      </c>
      <c r="D472">
        <v>3097633.4449999998</v>
      </c>
      <c r="E472">
        <v>632.40099999999995</v>
      </c>
      <c r="F472">
        <v>5.2</v>
      </c>
      <c r="G472">
        <v>0</v>
      </c>
      <c r="H472" t="s">
        <v>191</v>
      </c>
      <c r="I472">
        <v>2.7E-2</v>
      </c>
      <c r="J472">
        <f t="shared" si="258"/>
        <v>1.0010000000000332</v>
      </c>
      <c r="K472">
        <f t="shared" si="259"/>
        <v>51</v>
      </c>
      <c r="L472" t="e">
        <f t="shared" ca="1" si="260"/>
        <v>#VALUE!</v>
      </c>
      <c r="M472" t="e">
        <f t="shared" ca="1" si="233"/>
        <v>#VALUE!</v>
      </c>
      <c r="N472" t="e">
        <f t="shared" ca="1" si="234"/>
        <v>#VALUE!</v>
      </c>
      <c r="O472" t="e">
        <f t="shared" ca="1" si="235"/>
        <v>#VALUE!</v>
      </c>
      <c r="P472" t="e">
        <f t="shared" ca="1" si="236"/>
        <v>#VALUE!</v>
      </c>
      <c r="Q472" t="e">
        <f t="shared" ca="1" si="237"/>
        <v>#VALUE!</v>
      </c>
      <c r="R472" t="e">
        <f t="shared" ca="1" si="238"/>
        <v>#VALUE!</v>
      </c>
      <c r="S472" t="e">
        <f t="shared" ca="1" si="239"/>
        <v>#VALUE!</v>
      </c>
      <c r="T472" t="e">
        <f t="shared" ca="1" si="240"/>
        <v>#VALUE!</v>
      </c>
      <c r="U472" t="e">
        <f t="shared" ca="1" si="261"/>
        <v>#VALUE!</v>
      </c>
      <c r="V472" t="e">
        <f t="shared" ca="1" si="262"/>
        <v>#VALUE!</v>
      </c>
      <c r="W472" t="e">
        <f t="shared" ca="1" si="241"/>
        <v>#VALUE!</v>
      </c>
      <c r="X472" t="e">
        <f t="shared" ca="1" si="242"/>
        <v>#VALUE!</v>
      </c>
      <c r="Y472" t="e">
        <f t="shared" ca="1" si="243"/>
        <v>#VALUE!</v>
      </c>
      <c r="Z472" t="e">
        <f t="shared" ca="1" si="244"/>
        <v>#VALUE!</v>
      </c>
      <c r="AA472" t="e">
        <f t="shared" ca="1" si="245"/>
        <v>#VALUE!</v>
      </c>
      <c r="AB472" t="e">
        <f t="shared" ca="1" si="246"/>
        <v>#VALUE!</v>
      </c>
      <c r="AC472" t="e">
        <f t="shared" ca="1" si="247"/>
        <v>#VALUE!</v>
      </c>
      <c r="AD472" t="e">
        <f t="shared" ca="1" si="248"/>
        <v>#VALUE!</v>
      </c>
      <c r="AE472" t="e">
        <f t="shared" ca="1" si="249"/>
        <v>#VALUE!</v>
      </c>
      <c r="AF472" t="e">
        <f t="shared" ca="1" si="250"/>
        <v>#VALUE!</v>
      </c>
      <c r="AG472" t="e">
        <f t="shared" ca="1" si="251"/>
        <v>#VALUE!</v>
      </c>
      <c r="AH472" t="e">
        <f ca="1">IF(V32="Supercritical",L472,IF(V32="Subcritical",W472,IF(AND(V472=1,AG472=1),IF(T472&gt;=AE472,L472,W472),IF(V472=1,L472,IF(AG472=1,W472,MAX($D$16,POWER((ABS(K472)^2)/($I$5*MAX(F472,0.1)^2),1/3)))))))</f>
        <v>#VALUE!</v>
      </c>
      <c r="AI472" t="e">
        <f t="shared" ca="1" si="252"/>
        <v>#VALUE!</v>
      </c>
      <c r="AJ472" t="e">
        <f t="shared" ca="1" si="253"/>
        <v>#VALUE!</v>
      </c>
      <c r="AM472">
        <v>0</v>
      </c>
      <c r="AN472">
        <v>0</v>
      </c>
      <c r="AO472">
        <f t="shared" si="254"/>
        <v>0</v>
      </c>
      <c r="AP472">
        <f t="shared" si="263"/>
        <v>0</v>
      </c>
      <c r="AQ472" t="e">
        <f t="shared" ca="1" si="255"/>
        <v>#VALUE!</v>
      </c>
      <c r="AR472" t="e">
        <f t="shared" ca="1" si="256"/>
        <v>#VALUE!</v>
      </c>
      <c r="AS472" t="e">
        <f t="shared" ca="1" si="257"/>
        <v>#VALUE!</v>
      </c>
    </row>
    <row r="473" spans="1:45" x14ac:dyDescent="0.35">
      <c r="A473">
        <v>324</v>
      </c>
      <c r="B473">
        <v>322.89499999999998</v>
      </c>
      <c r="C473">
        <v>616288.31000000006</v>
      </c>
      <c r="D473">
        <v>3097632.5649999999</v>
      </c>
      <c r="E473">
        <v>632.40049999999997</v>
      </c>
      <c r="F473">
        <v>5.2</v>
      </c>
      <c r="G473">
        <v>0</v>
      </c>
      <c r="H473" t="s">
        <v>191</v>
      </c>
      <c r="I473">
        <v>0</v>
      </c>
      <c r="J473">
        <f t="shared" si="258"/>
        <v>0.9989999999999668</v>
      </c>
      <c r="K473">
        <f t="shared" si="259"/>
        <v>51</v>
      </c>
      <c r="L473" t="e">
        <f t="shared" ca="1" si="260"/>
        <v>#VALUE!</v>
      </c>
      <c r="M473" t="e">
        <f t="shared" ca="1" si="233"/>
        <v>#VALUE!</v>
      </c>
      <c r="N473" t="e">
        <f t="shared" ca="1" si="234"/>
        <v>#VALUE!</v>
      </c>
      <c r="O473" t="e">
        <f t="shared" ca="1" si="235"/>
        <v>#VALUE!</v>
      </c>
      <c r="P473" t="e">
        <f t="shared" ca="1" si="236"/>
        <v>#VALUE!</v>
      </c>
      <c r="Q473" t="e">
        <f t="shared" ca="1" si="237"/>
        <v>#VALUE!</v>
      </c>
      <c r="R473" t="e">
        <f t="shared" ca="1" si="238"/>
        <v>#VALUE!</v>
      </c>
      <c r="S473" t="e">
        <f t="shared" ca="1" si="239"/>
        <v>#VALUE!</v>
      </c>
      <c r="T473" t="e">
        <f t="shared" ca="1" si="240"/>
        <v>#VALUE!</v>
      </c>
      <c r="U473" t="e">
        <f t="shared" ca="1" si="261"/>
        <v>#VALUE!</v>
      </c>
      <c r="V473" t="e">
        <f t="shared" ca="1" si="262"/>
        <v>#VALUE!</v>
      </c>
      <c r="W473" t="e">
        <f t="shared" ca="1" si="241"/>
        <v>#VALUE!</v>
      </c>
      <c r="X473" t="e">
        <f t="shared" ca="1" si="242"/>
        <v>#VALUE!</v>
      </c>
      <c r="Y473" t="e">
        <f t="shared" ca="1" si="243"/>
        <v>#VALUE!</v>
      </c>
      <c r="Z473" t="e">
        <f t="shared" ca="1" si="244"/>
        <v>#VALUE!</v>
      </c>
      <c r="AA473" t="e">
        <f t="shared" ca="1" si="245"/>
        <v>#VALUE!</v>
      </c>
      <c r="AB473" t="e">
        <f t="shared" ca="1" si="246"/>
        <v>#VALUE!</v>
      </c>
      <c r="AC473" t="e">
        <f t="shared" ca="1" si="247"/>
        <v>#VALUE!</v>
      </c>
      <c r="AD473" t="e">
        <f t="shared" ca="1" si="248"/>
        <v>#VALUE!</v>
      </c>
      <c r="AE473" t="e">
        <f t="shared" ca="1" si="249"/>
        <v>#VALUE!</v>
      </c>
      <c r="AF473" t="e">
        <f t="shared" ca="1" si="250"/>
        <v>#VALUE!</v>
      </c>
      <c r="AG473" t="e">
        <f t="shared" ca="1" si="251"/>
        <v>#VALUE!</v>
      </c>
      <c r="AH473" t="e">
        <f ca="1">IF(V32="Supercritical",L473,IF(V32="Subcritical",W473,IF(AND(V473=1,AG473=1),IF(T473&gt;=AE473,L473,W473),IF(V473=1,L473,IF(AG473=1,W473,MAX($D$16,POWER((ABS(K473)^2)/($I$5*MAX(F473,0.1)^2),1/3)))))))</f>
        <v>#VALUE!</v>
      </c>
      <c r="AI473" t="e">
        <f t="shared" ca="1" si="252"/>
        <v>#VALUE!</v>
      </c>
      <c r="AJ473" t="e">
        <f t="shared" ca="1" si="253"/>
        <v>#VALUE!</v>
      </c>
      <c r="AM473">
        <v>0</v>
      </c>
      <c r="AN473">
        <v>0</v>
      </c>
      <c r="AO473">
        <f t="shared" si="254"/>
        <v>0</v>
      </c>
      <c r="AP473">
        <f t="shared" si="263"/>
        <v>0</v>
      </c>
      <c r="AQ473" t="e">
        <f t="shared" ca="1" si="255"/>
        <v>#VALUE!</v>
      </c>
      <c r="AR473" t="e">
        <f t="shared" ca="1" si="256"/>
        <v>#VALUE!</v>
      </c>
      <c r="AS473" t="e">
        <f t="shared" ca="1" si="257"/>
        <v>#VALUE!</v>
      </c>
    </row>
    <row r="474" spans="1:45" x14ac:dyDescent="0.35">
      <c r="A474">
        <v>325</v>
      </c>
      <c r="B474">
        <v>323.89499999999998</v>
      </c>
      <c r="C474">
        <v>616287.83600000001</v>
      </c>
      <c r="D474">
        <v>3097631.6850000001</v>
      </c>
      <c r="E474">
        <v>632.4</v>
      </c>
      <c r="F474">
        <v>5.2</v>
      </c>
      <c r="G474">
        <v>0</v>
      </c>
      <c r="H474" t="s">
        <v>191</v>
      </c>
      <c r="I474">
        <v>2.7E-2</v>
      </c>
      <c r="J474">
        <f t="shared" si="258"/>
        <v>1</v>
      </c>
      <c r="K474">
        <f t="shared" si="259"/>
        <v>51</v>
      </c>
      <c r="L474" t="e">
        <f t="shared" ca="1" si="260"/>
        <v>#VALUE!</v>
      </c>
      <c r="M474" t="e">
        <f t="shared" ca="1" si="233"/>
        <v>#VALUE!</v>
      </c>
      <c r="N474" t="e">
        <f t="shared" ca="1" si="234"/>
        <v>#VALUE!</v>
      </c>
      <c r="O474" t="e">
        <f t="shared" ca="1" si="235"/>
        <v>#VALUE!</v>
      </c>
      <c r="P474" t="e">
        <f t="shared" ca="1" si="236"/>
        <v>#VALUE!</v>
      </c>
      <c r="Q474" t="e">
        <f t="shared" ca="1" si="237"/>
        <v>#VALUE!</v>
      </c>
      <c r="R474" t="e">
        <f t="shared" ca="1" si="238"/>
        <v>#VALUE!</v>
      </c>
      <c r="S474" t="e">
        <f t="shared" ca="1" si="239"/>
        <v>#VALUE!</v>
      </c>
      <c r="T474" t="e">
        <f t="shared" ca="1" si="240"/>
        <v>#VALUE!</v>
      </c>
      <c r="U474" t="e">
        <f t="shared" ca="1" si="261"/>
        <v>#VALUE!</v>
      </c>
      <c r="V474" t="e">
        <f t="shared" ca="1" si="262"/>
        <v>#VALUE!</v>
      </c>
      <c r="W474" t="e">
        <f t="shared" ca="1" si="241"/>
        <v>#VALUE!</v>
      </c>
      <c r="X474" t="e">
        <f t="shared" ca="1" si="242"/>
        <v>#VALUE!</v>
      </c>
      <c r="Y474" t="e">
        <f t="shared" ca="1" si="243"/>
        <v>#VALUE!</v>
      </c>
      <c r="Z474" t="e">
        <f t="shared" ca="1" si="244"/>
        <v>#VALUE!</v>
      </c>
      <c r="AA474" t="e">
        <f t="shared" ca="1" si="245"/>
        <v>#VALUE!</v>
      </c>
      <c r="AB474" t="e">
        <f t="shared" ca="1" si="246"/>
        <v>#VALUE!</v>
      </c>
      <c r="AC474" t="e">
        <f t="shared" ca="1" si="247"/>
        <v>#VALUE!</v>
      </c>
      <c r="AD474" t="e">
        <f t="shared" ca="1" si="248"/>
        <v>#VALUE!</v>
      </c>
      <c r="AE474" t="e">
        <f t="shared" ca="1" si="249"/>
        <v>#VALUE!</v>
      </c>
      <c r="AF474" t="e">
        <f t="shared" ca="1" si="250"/>
        <v>#VALUE!</v>
      </c>
      <c r="AG474" t="e">
        <f t="shared" ca="1" si="251"/>
        <v>#VALUE!</v>
      </c>
      <c r="AH474" t="e">
        <f ca="1">IF(V32="Supercritical",L474,IF(V32="Subcritical",W474,IF(AND(V474=1,AG474=1),IF(T474&gt;=AE474,L474,W474),IF(V474=1,L474,IF(AG474=1,W474,MAX($D$16,POWER((ABS(K474)^2)/($I$5*MAX(F474,0.1)^2),1/3)))))))</f>
        <v>#VALUE!</v>
      </c>
      <c r="AI474" t="e">
        <f t="shared" ca="1" si="252"/>
        <v>#VALUE!</v>
      </c>
      <c r="AJ474" t="e">
        <f t="shared" ca="1" si="253"/>
        <v>#VALUE!</v>
      </c>
      <c r="AM474">
        <v>0</v>
      </c>
      <c r="AN474">
        <v>0</v>
      </c>
      <c r="AO474">
        <f t="shared" si="254"/>
        <v>0</v>
      </c>
      <c r="AP474">
        <f t="shared" si="263"/>
        <v>0</v>
      </c>
      <c r="AQ474" t="e">
        <f t="shared" ca="1" si="255"/>
        <v>#VALUE!</v>
      </c>
      <c r="AR474" t="e">
        <f t="shared" ca="1" si="256"/>
        <v>#VALUE!</v>
      </c>
      <c r="AS474" t="e">
        <f t="shared" ca="1" si="257"/>
        <v>#VALUE!</v>
      </c>
    </row>
    <row r="475" spans="1:45" x14ac:dyDescent="0.35">
      <c r="A475">
        <v>326</v>
      </c>
      <c r="B475">
        <v>324.89499999999998</v>
      </c>
      <c r="C475">
        <v>616287.36199999996</v>
      </c>
      <c r="D475">
        <v>3097630.804</v>
      </c>
      <c r="E475">
        <v>632.39949999999999</v>
      </c>
      <c r="F475">
        <v>5.2</v>
      </c>
      <c r="G475">
        <v>0</v>
      </c>
      <c r="H475" t="s">
        <v>191</v>
      </c>
      <c r="I475">
        <v>7.8E-2</v>
      </c>
      <c r="J475">
        <f t="shared" si="258"/>
        <v>1</v>
      </c>
      <c r="K475">
        <f t="shared" si="259"/>
        <v>51</v>
      </c>
      <c r="L475" t="e">
        <f t="shared" ca="1" si="260"/>
        <v>#VALUE!</v>
      </c>
      <c r="M475" t="e">
        <f t="shared" ca="1" si="233"/>
        <v>#VALUE!</v>
      </c>
      <c r="N475" t="e">
        <f t="shared" ca="1" si="234"/>
        <v>#VALUE!</v>
      </c>
      <c r="O475" t="e">
        <f t="shared" ca="1" si="235"/>
        <v>#VALUE!</v>
      </c>
      <c r="P475" t="e">
        <f t="shared" ca="1" si="236"/>
        <v>#VALUE!</v>
      </c>
      <c r="Q475" t="e">
        <f t="shared" ca="1" si="237"/>
        <v>#VALUE!</v>
      </c>
      <c r="R475" t="e">
        <f t="shared" ca="1" si="238"/>
        <v>#VALUE!</v>
      </c>
      <c r="S475" t="e">
        <f t="shared" ca="1" si="239"/>
        <v>#VALUE!</v>
      </c>
      <c r="T475" t="e">
        <f t="shared" ca="1" si="240"/>
        <v>#VALUE!</v>
      </c>
      <c r="U475" t="e">
        <f t="shared" ca="1" si="261"/>
        <v>#VALUE!</v>
      </c>
      <c r="V475" t="e">
        <f t="shared" ca="1" si="262"/>
        <v>#VALUE!</v>
      </c>
      <c r="W475" t="e">
        <f t="shared" ca="1" si="241"/>
        <v>#VALUE!</v>
      </c>
      <c r="X475" t="e">
        <f t="shared" ca="1" si="242"/>
        <v>#VALUE!</v>
      </c>
      <c r="Y475" t="e">
        <f t="shared" ca="1" si="243"/>
        <v>#VALUE!</v>
      </c>
      <c r="Z475" t="e">
        <f t="shared" ca="1" si="244"/>
        <v>#VALUE!</v>
      </c>
      <c r="AA475" t="e">
        <f t="shared" ca="1" si="245"/>
        <v>#VALUE!</v>
      </c>
      <c r="AB475" t="e">
        <f t="shared" ca="1" si="246"/>
        <v>#VALUE!</v>
      </c>
      <c r="AC475" t="e">
        <f t="shared" ca="1" si="247"/>
        <v>#VALUE!</v>
      </c>
      <c r="AD475" t="e">
        <f t="shared" ca="1" si="248"/>
        <v>#VALUE!</v>
      </c>
      <c r="AE475" t="e">
        <f t="shared" ca="1" si="249"/>
        <v>#VALUE!</v>
      </c>
      <c r="AF475" t="e">
        <f t="shared" ca="1" si="250"/>
        <v>#VALUE!</v>
      </c>
      <c r="AG475" t="e">
        <f t="shared" ca="1" si="251"/>
        <v>#VALUE!</v>
      </c>
      <c r="AH475" t="e">
        <f ca="1">IF(V32="Supercritical",L475,IF(V32="Subcritical",W475,IF(AND(V475=1,AG475=1),IF(T475&gt;=AE475,L475,W475),IF(V475=1,L475,IF(AG475=1,W475,MAX($D$16,POWER((ABS(K475)^2)/($I$5*MAX(F475,0.1)^2),1/3)))))))</f>
        <v>#VALUE!</v>
      </c>
      <c r="AI475" t="e">
        <f t="shared" ca="1" si="252"/>
        <v>#VALUE!</v>
      </c>
      <c r="AJ475" t="e">
        <f t="shared" ca="1" si="253"/>
        <v>#VALUE!</v>
      </c>
      <c r="AM475">
        <v>0</v>
      </c>
      <c r="AN475">
        <v>0</v>
      </c>
      <c r="AO475">
        <f t="shared" si="254"/>
        <v>0</v>
      </c>
      <c r="AP475">
        <f t="shared" si="263"/>
        <v>0</v>
      </c>
      <c r="AQ475" t="e">
        <f t="shared" ca="1" si="255"/>
        <v>#VALUE!</v>
      </c>
      <c r="AR475" t="e">
        <f t="shared" ca="1" si="256"/>
        <v>#VALUE!</v>
      </c>
      <c r="AS475" t="e">
        <f t="shared" ca="1" si="257"/>
        <v>#VALUE!</v>
      </c>
    </row>
    <row r="476" spans="1:45" x14ac:dyDescent="0.35">
      <c r="A476">
        <v>327</v>
      </c>
      <c r="B476">
        <v>325.89499999999998</v>
      </c>
      <c r="C476">
        <v>616286.88699999999</v>
      </c>
      <c r="D476">
        <v>3097629.9240000001</v>
      </c>
      <c r="E476">
        <v>632.399</v>
      </c>
      <c r="F476">
        <v>5.2</v>
      </c>
      <c r="G476">
        <v>0</v>
      </c>
      <c r="H476" t="s">
        <v>191</v>
      </c>
      <c r="I476">
        <v>7.8E-2</v>
      </c>
      <c r="J476">
        <f t="shared" si="258"/>
        <v>1</v>
      </c>
      <c r="K476">
        <f t="shared" si="259"/>
        <v>51</v>
      </c>
      <c r="L476" t="e">
        <f t="shared" ca="1" si="260"/>
        <v>#VALUE!</v>
      </c>
      <c r="M476" t="e">
        <f t="shared" ca="1" si="233"/>
        <v>#VALUE!</v>
      </c>
      <c r="N476" t="e">
        <f t="shared" ca="1" si="234"/>
        <v>#VALUE!</v>
      </c>
      <c r="O476" t="e">
        <f t="shared" ca="1" si="235"/>
        <v>#VALUE!</v>
      </c>
      <c r="P476" t="e">
        <f t="shared" ca="1" si="236"/>
        <v>#VALUE!</v>
      </c>
      <c r="Q476" t="e">
        <f t="shared" ca="1" si="237"/>
        <v>#VALUE!</v>
      </c>
      <c r="R476" t="e">
        <f t="shared" ca="1" si="238"/>
        <v>#VALUE!</v>
      </c>
      <c r="S476" t="e">
        <f t="shared" ca="1" si="239"/>
        <v>#VALUE!</v>
      </c>
      <c r="T476" t="e">
        <f t="shared" ca="1" si="240"/>
        <v>#VALUE!</v>
      </c>
      <c r="U476" t="e">
        <f t="shared" ca="1" si="261"/>
        <v>#VALUE!</v>
      </c>
      <c r="V476" t="e">
        <f t="shared" ca="1" si="262"/>
        <v>#VALUE!</v>
      </c>
      <c r="W476" t="e">
        <f t="shared" ca="1" si="241"/>
        <v>#VALUE!</v>
      </c>
      <c r="X476" t="e">
        <f t="shared" ca="1" si="242"/>
        <v>#VALUE!</v>
      </c>
      <c r="Y476" t="e">
        <f t="shared" ca="1" si="243"/>
        <v>#VALUE!</v>
      </c>
      <c r="Z476" t="e">
        <f t="shared" ca="1" si="244"/>
        <v>#VALUE!</v>
      </c>
      <c r="AA476" t="e">
        <f t="shared" ca="1" si="245"/>
        <v>#VALUE!</v>
      </c>
      <c r="AB476" t="e">
        <f t="shared" ca="1" si="246"/>
        <v>#VALUE!</v>
      </c>
      <c r="AC476" t="e">
        <f t="shared" ca="1" si="247"/>
        <v>#VALUE!</v>
      </c>
      <c r="AD476" t="e">
        <f t="shared" ca="1" si="248"/>
        <v>#VALUE!</v>
      </c>
      <c r="AE476" t="e">
        <f t="shared" ca="1" si="249"/>
        <v>#VALUE!</v>
      </c>
      <c r="AF476" t="e">
        <f t="shared" ca="1" si="250"/>
        <v>#VALUE!</v>
      </c>
      <c r="AG476" t="e">
        <f t="shared" ca="1" si="251"/>
        <v>#VALUE!</v>
      </c>
      <c r="AH476" t="e">
        <f ca="1">IF(V32="Supercritical",L476,IF(V32="Subcritical",W476,IF(AND(V476=1,AG476=1),IF(T476&gt;=AE476,L476,W476),IF(V476=1,L476,IF(AG476=1,W476,MAX($D$16,POWER((ABS(K476)^2)/($I$5*MAX(F476,0.1)^2),1/3)))))))</f>
        <v>#VALUE!</v>
      </c>
      <c r="AI476" t="e">
        <f t="shared" ca="1" si="252"/>
        <v>#VALUE!</v>
      </c>
      <c r="AJ476" t="e">
        <f t="shared" ca="1" si="253"/>
        <v>#VALUE!</v>
      </c>
      <c r="AM476">
        <v>0</v>
      </c>
      <c r="AN476">
        <v>0</v>
      </c>
      <c r="AO476">
        <f t="shared" si="254"/>
        <v>0</v>
      </c>
      <c r="AP476">
        <f t="shared" si="263"/>
        <v>0</v>
      </c>
      <c r="AQ476" t="e">
        <f t="shared" ca="1" si="255"/>
        <v>#VALUE!</v>
      </c>
      <c r="AR476" t="e">
        <f t="shared" ca="1" si="256"/>
        <v>#VALUE!</v>
      </c>
      <c r="AS476" t="e">
        <f t="shared" ca="1" si="257"/>
        <v>#VALUE!</v>
      </c>
    </row>
    <row r="477" spans="1:45" x14ac:dyDescent="0.35">
      <c r="A477">
        <v>328</v>
      </c>
      <c r="B477">
        <v>326.89600000000002</v>
      </c>
      <c r="C477">
        <v>616286.41299999994</v>
      </c>
      <c r="D477">
        <v>3097629.0430000001</v>
      </c>
      <c r="E477">
        <v>632.39850000000001</v>
      </c>
      <c r="F477">
        <v>5.2</v>
      </c>
      <c r="G477">
        <v>0</v>
      </c>
      <c r="H477" t="s">
        <v>191</v>
      </c>
      <c r="I477">
        <v>2.7E-2</v>
      </c>
      <c r="J477">
        <f t="shared" si="258"/>
        <v>1.0010000000000332</v>
      </c>
      <c r="K477">
        <f t="shared" si="259"/>
        <v>51</v>
      </c>
      <c r="L477" t="e">
        <f t="shared" ca="1" si="260"/>
        <v>#VALUE!</v>
      </c>
      <c r="M477" t="e">
        <f t="shared" ca="1" si="233"/>
        <v>#VALUE!</v>
      </c>
      <c r="N477" t="e">
        <f t="shared" ca="1" si="234"/>
        <v>#VALUE!</v>
      </c>
      <c r="O477" t="e">
        <f t="shared" ca="1" si="235"/>
        <v>#VALUE!</v>
      </c>
      <c r="P477" t="e">
        <f t="shared" ca="1" si="236"/>
        <v>#VALUE!</v>
      </c>
      <c r="Q477" t="e">
        <f t="shared" ca="1" si="237"/>
        <v>#VALUE!</v>
      </c>
      <c r="R477" t="e">
        <f t="shared" ca="1" si="238"/>
        <v>#VALUE!</v>
      </c>
      <c r="S477" t="e">
        <f t="shared" ca="1" si="239"/>
        <v>#VALUE!</v>
      </c>
      <c r="T477" t="e">
        <f t="shared" ca="1" si="240"/>
        <v>#VALUE!</v>
      </c>
      <c r="U477" t="e">
        <f t="shared" ca="1" si="261"/>
        <v>#VALUE!</v>
      </c>
      <c r="V477" t="e">
        <f t="shared" ca="1" si="262"/>
        <v>#VALUE!</v>
      </c>
      <c r="W477" t="e">
        <f t="shared" ca="1" si="241"/>
        <v>#VALUE!</v>
      </c>
      <c r="X477" t="e">
        <f t="shared" ca="1" si="242"/>
        <v>#VALUE!</v>
      </c>
      <c r="Y477" t="e">
        <f t="shared" ca="1" si="243"/>
        <v>#VALUE!</v>
      </c>
      <c r="Z477" t="e">
        <f t="shared" ca="1" si="244"/>
        <v>#VALUE!</v>
      </c>
      <c r="AA477" t="e">
        <f t="shared" ca="1" si="245"/>
        <v>#VALUE!</v>
      </c>
      <c r="AB477" t="e">
        <f t="shared" ca="1" si="246"/>
        <v>#VALUE!</v>
      </c>
      <c r="AC477" t="e">
        <f t="shared" ca="1" si="247"/>
        <v>#VALUE!</v>
      </c>
      <c r="AD477" t="e">
        <f t="shared" ca="1" si="248"/>
        <v>#VALUE!</v>
      </c>
      <c r="AE477" t="e">
        <f t="shared" ca="1" si="249"/>
        <v>#VALUE!</v>
      </c>
      <c r="AF477" t="e">
        <f t="shared" ca="1" si="250"/>
        <v>#VALUE!</v>
      </c>
      <c r="AG477" t="e">
        <f t="shared" ca="1" si="251"/>
        <v>#VALUE!</v>
      </c>
      <c r="AH477" t="e">
        <f ca="1">IF(V32="Supercritical",L477,IF(V32="Subcritical",W477,IF(AND(V477=1,AG477=1),IF(T477&gt;=AE477,L477,W477),IF(V477=1,L477,IF(AG477=1,W477,MAX($D$16,POWER((ABS(K477)^2)/($I$5*MAX(F477,0.1)^2),1/3)))))))</f>
        <v>#VALUE!</v>
      </c>
      <c r="AI477" t="e">
        <f t="shared" ca="1" si="252"/>
        <v>#VALUE!</v>
      </c>
      <c r="AJ477" t="e">
        <f t="shared" ca="1" si="253"/>
        <v>#VALUE!</v>
      </c>
      <c r="AM477">
        <v>0</v>
      </c>
      <c r="AN477">
        <v>0</v>
      </c>
      <c r="AO477">
        <f t="shared" si="254"/>
        <v>0</v>
      </c>
      <c r="AP477">
        <f t="shared" si="263"/>
        <v>0</v>
      </c>
      <c r="AQ477" t="e">
        <f t="shared" ca="1" si="255"/>
        <v>#VALUE!</v>
      </c>
      <c r="AR477" t="e">
        <f t="shared" ca="1" si="256"/>
        <v>#VALUE!</v>
      </c>
      <c r="AS477" t="e">
        <f t="shared" ca="1" si="257"/>
        <v>#VALUE!</v>
      </c>
    </row>
    <row r="478" spans="1:45" x14ac:dyDescent="0.35">
      <c r="A478">
        <v>329</v>
      </c>
      <c r="B478">
        <v>327.89499999999998</v>
      </c>
      <c r="C478">
        <v>616285.93900000001</v>
      </c>
      <c r="D478">
        <v>3097628.1630000002</v>
      </c>
      <c r="E478">
        <v>632.39800000000002</v>
      </c>
      <c r="F478">
        <v>5.2</v>
      </c>
      <c r="G478">
        <v>0</v>
      </c>
      <c r="H478" t="s">
        <v>191</v>
      </c>
      <c r="I478">
        <v>0</v>
      </c>
      <c r="J478">
        <f t="shared" si="258"/>
        <v>0.9989999999999668</v>
      </c>
      <c r="K478">
        <f t="shared" si="259"/>
        <v>51</v>
      </c>
      <c r="L478" t="e">
        <f t="shared" ca="1" si="260"/>
        <v>#VALUE!</v>
      </c>
      <c r="M478" t="e">
        <f t="shared" ca="1" si="233"/>
        <v>#VALUE!</v>
      </c>
      <c r="N478" t="e">
        <f t="shared" ca="1" si="234"/>
        <v>#VALUE!</v>
      </c>
      <c r="O478" t="e">
        <f t="shared" ca="1" si="235"/>
        <v>#VALUE!</v>
      </c>
      <c r="P478" t="e">
        <f t="shared" ca="1" si="236"/>
        <v>#VALUE!</v>
      </c>
      <c r="Q478" t="e">
        <f t="shared" ca="1" si="237"/>
        <v>#VALUE!</v>
      </c>
      <c r="R478" t="e">
        <f t="shared" ca="1" si="238"/>
        <v>#VALUE!</v>
      </c>
      <c r="S478" t="e">
        <f t="shared" ca="1" si="239"/>
        <v>#VALUE!</v>
      </c>
      <c r="T478" t="e">
        <f t="shared" ca="1" si="240"/>
        <v>#VALUE!</v>
      </c>
      <c r="U478" t="e">
        <f t="shared" ca="1" si="261"/>
        <v>#VALUE!</v>
      </c>
      <c r="V478" t="e">
        <f t="shared" ca="1" si="262"/>
        <v>#VALUE!</v>
      </c>
      <c r="W478" t="e">
        <f t="shared" ca="1" si="241"/>
        <v>#VALUE!</v>
      </c>
      <c r="X478" t="e">
        <f t="shared" ca="1" si="242"/>
        <v>#VALUE!</v>
      </c>
      <c r="Y478" t="e">
        <f t="shared" ca="1" si="243"/>
        <v>#VALUE!</v>
      </c>
      <c r="Z478" t="e">
        <f t="shared" ca="1" si="244"/>
        <v>#VALUE!</v>
      </c>
      <c r="AA478" t="e">
        <f t="shared" ca="1" si="245"/>
        <v>#VALUE!</v>
      </c>
      <c r="AB478" t="e">
        <f t="shared" ca="1" si="246"/>
        <v>#VALUE!</v>
      </c>
      <c r="AC478" t="e">
        <f t="shared" ca="1" si="247"/>
        <v>#VALUE!</v>
      </c>
      <c r="AD478" t="e">
        <f t="shared" ca="1" si="248"/>
        <v>#VALUE!</v>
      </c>
      <c r="AE478" t="e">
        <f t="shared" ca="1" si="249"/>
        <v>#VALUE!</v>
      </c>
      <c r="AF478" t="e">
        <f t="shared" ca="1" si="250"/>
        <v>#VALUE!</v>
      </c>
      <c r="AG478" t="e">
        <f t="shared" ca="1" si="251"/>
        <v>#VALUE!</v>
      </c>
      <c r="AH478" t="e">
        <f ca="1">IF(V32="Supercritical",L478,IF(V32="Subcritical",W478,IF(AND(V478=1,AG478=1),IF(T478&gt;=AE478,L478,W478),IF(V478=1,L478,IF(AG478=1,W478,MAX($D$16,POWER((ABS(K478)^2)/($I$5*MAX(F478,0.1)^2),1/3)))))))</f>
        <v>#VALUE!</v>
      </c>
      <c r="AI478" t="e">
        <f t="shared" ca="1" si="252"/>
        <v>#VALUE!</v>
      </c>
      <c r="AJ478" t="e">
        <f t="shared" ca="1" si="253"/>
        <v>#VALUE!</v>
      </c>
      <c r="AM478">
        <v>0</v>
      </c>
      <c r="AN478">
        <v>0</v>
      </c>
      <c r="AO478">
        <f t="shared" si="254"/>
        <v>0</v>
      </c>
      <c r="AP478">
        <f t="shared" si="263"/>
        <v>0</v>
      </c>
      <c r="AQ478" t="e">
        <f t="shared" ca="1" si="255"/>
        <v>#VALUE!</v>
      </c>
      <c r="AR478" t="e">
        <f t="shared" ca="1" si="256"/>
        <v>#VALUE!</v>
      </c>
      <c r="AS478" t="e">
        <f t="shared" ca="1" si="257"/>
        <v>#VALUE!</v>
      </c>
    </row>
    <row r="479" spans="1:45" x14ac:dyDescent="0.35">
      <c r="A479">
        <v>330</v>
      </c>
      <c r="B479">
        <v>328.89499999999998</v>
      </c>
      <c r="C479">
        <v>616285.46499999997</v>
      </c>
      <c r="D479">
        <v>3097627.2829999998</v>
      </c>
      <c r="E479">
        <v>632.39750000000004</v>
      </c>
      <c r="F479">
        <v>5.2</v>
      </c>
      <c r="G479">
        <v>0</v>
      </c>
      <c r="H479" t="s">
        <v>191</v>
      </c>
      <c r="I479">
        <v>2.3E-2</v>
      </c>
      <c r="J479">
        <f t="shared" si="258"/>
        <v>1</v>
      </c>
      <c r="K479">
        <f t="shared" si="259"/>
        <v>51</v>
      </c>
      <c r="L479" t="e">
        <f t="shared" ca="1" si="260"/>
        <v>#VALUE!</v>
      </c>
      <c r="M479" t="e">
        <f t="shared" ca="1" si="233"/>
        <v>#VALUE!</v>
      </c>
      <c r="N479" t="e">
        <f t="shared" ca="1" si="234"/>
        <v>#VALUE!</v>
      </c>
      <c r="O479" t="e">
        <f t="shared" ca="1" si="235"/>
        <v>#VALUE!</v>
      </c>
      <c r="P479" t="e">
        <f t="shared" ca="1" si="236"/>
        <v>#VALUE!</v>
      </c>
      <c r="Q479" t="e">
        <f t="shared" ca="1" si="237"/>
        <v>#VALUE!</v>
      </c>
      <c r="R479" t="e">
        <f t="shared" ca="1" si="238"/>
        <v>#VALUE!</v>
      </c>
      <c r="S479" t="e">
        <f t="shared" ca="1" si="239"/>
        <v>#VALUE!</v>
      </c>
      <c r="T479" t="e">
        <f t="shared" ca="1" si="240"/>
        <v>#VALUE!</v>
      </c>
      <c r="U479" t="e">
        <f t="shared" ca="1" si="261"/>
        <v>#VALUE!</v>
      </c>
      <c r="V479" t="e">
        <f t="shared" ca="1" si="262"/>
        <v>#VALUE!</v>
      </c>
      <c r="W479" t="e">
        <f t="shared" ca="1" si="241"/>
        <v>#VALUE!</v>
      </c>
      <c r="X479" t="e">
        <f t="shared" ca="1" si="242"/>
        <v>#VALUE!</v>
      </c>
      <c r="Y479" t="e">
        <f t="shared" ca="1" si="243"/>
        <v>#VALUE!</v>
      </c>
      <c r="Z479" t="e">
        <f t="shared" ca="1" si="244"/>
        <v>#VALUE!</v>
      </c>
      <c r="AA479" t="e">
        <f t="shared" ca="1" si="245"/>
        <v>#VALUE!</v>
      </c>
      <c r="AB479" t="e">
        <f t="shared" ca="1" si="246"/>
        <v>#VALUE!</v>
      </c>
      <c r="AC479" t="e">
        <f t="shared" ca="1" si="247"/>
        <v>#VALUE!</v>
      </c>
      <c r="AD479" t="e">
        <f t="shared" ca="1" si="248"/>
        <v>#VALUE!</v>
      </c>
      <c r="AE479" t="e">
        <f t="shared" ca="1" si="249"/>
        <v>#VALUE!</v>
      </c>
      <c r="AF479" t="e">
        <f t="shared" ca="1" si="250"/>
        <v>#VALUE!</v>
      </c>
      <c r="AG479" t="e">
        <f t="shared" ca="1" si="251"/>
        <v>#VALUE!</v>
      </c>
      <c r="AH479" t="e">
        <f ca="1">IF(V32="Supercritical",L479,IF(V32="Subcritical",W479,IF(AND(V479=1,AG479=1),IF(T479&gt;=AE479,L479,W479),IF(V479=1,L479,IF(AG479=1,W479,MAX($D$16,POWER((ABS(K479)^2)/($I$5*MAX(F479,0.1)^2),1/3)))))))</f>
        <v>#VALUE!</v>
      </c>
      <c r="AI479" t="e">
        <f t="shared" ca="1" si="252"/>
        <v>#VALUE!</v>
      </c>
      <c r="AJ479" t="e">
        <f t="shared" ca="1" si="253"/>
        <v>#VALUE!</v>
      </c>
      <c r="AM479">
        <v>0</v>
      </c>
      <c r="AN479">
        <v>0</v>
      </c>
      <c r="AO479">
        <f t="shared" si="254"/>
        <v>0</v>
      </c>
      <c r="AP479">
        <f t="shared" si="263"/>
        <v>0</v>
      </c>
      <c r="AQ479" t="e">
        <f t="shared" ca="1" si="255"/>
        <v>#VALUE!</v>
      </c>
      <c r="AR479" t="e">
        <f t="shared" ca="1" si="256"/>
        <v>#VALUE!</v>
      </c>
      <c r="AS479" t="e">
        <f t="shared" ca="1" si="257"/>
        <v>#VALUE!</v>
      </c>
    </row>
    <row r="480" spans="1:45" x14ac:dyDescent="0.35">
      <c r="A480">
        <v>331</v>
      </c>
      <c r="B480">
        <v>329.89600000000002</v>
      </c>
      <c r="C480">
        <v>616284.99</v>
      </c>
      <c r="D480">
        <v>3097626.4019999998</v>
      </c>
      <c r="E480">
        <v>632.39700000000005</v>
      </c>
      <c r="F480">
        <v>5.2</v>
      </c>
      <c r="G480">
        <v>0</v>
      </c>
      <c r="H480" t="s">
        <v>191</v>
      </c>
      <c r="I480">
        <v>2.3E-2</v>
      </c>
      <c r="J480">
        <f t="shared" si="258"/>
        <v>1.0010000000000332</v>
      </c>
      <c r="K480">
        <f t="shared" si="259"/>
        <v>51</v>
      </c>
      <c r="L480" t="e">
        <f t="shared" ca="1" si="260"/>
        <v>#VALUE!</v>
      </c>
      <c r="M480" t="e">
        <f t="shared" ca="1" si="233"/>
        <v>#VALUE!</v>
      </c>
      <c r="N480" t="e">
        <f t="shared" ca="1" si="234"/>
        <v>#VALUE!</v>
      </c>
      <c r="O480" t="e">
        <f t="shared" ca="1" si="235"/>
        <v>#VALUE!</v>
      </c>
      <c r="P480" t="e">
        <f t="shared" ca="1" si="236"/>
        <v>#VALUE!</v>
      </c>
      <c r="Q480" t="e">
        <f t="shared" ca="1" si="237"/>
        <v>#VALUE!</v>
      </c>
      <c r="R480" t="e">
        <f t="shared" ca="1" si="238"/>
        <v>#VALUE!</v>
      </c>
      <c r="S480" t="e">
        <f t="shared" ca="1" si="239"/>
        <v>#VALUE!</v>
      </c>
      <c r="T480" t="e">
        <f t="shared" ca="1" si="240"/>
        <v>#VALUE!</v>
      </c>
      <c r="U480" t="e">
        <f t="shared" ca="1" si="261"/>
        <v>#VALUE!</v>
      </c>
      <c r="V480" t="e">
        <f t="shared" ca="1" si="262"/>
        <v>#VALUE!</v>
      </c>
      <c r="W480" t="e">
        <f t="shared" ca="1" si="241"/>
        <v>#VALUE!</v>
      </c>
      <c r="X480" t="e">
        <f t="shared" ca="1" si="242"/>
        <v>#VALUE!</v>
      </c>
      <c r="Y480" t="e">
        <f t="shared" ca="1" si="243"/>
        <v>#VALUE!</v>
      </c>
      <c r="Z480" t="e">
        <f t="shared" ca="1" si="244"/>
        <v>#VALUE!</v>
      </c>
      <c r="AA480" t="e">
        <f t="shared" ca="1" si="245"/>
        <v>#VALUE!</v>
      </c>
      <c r="AB480" t="e">
        <f t="shared" ca="1" si="246"/>
        <v>#VALUE!</v>
      </c>
      <c r="AC480" t="e">
        <f t="shared" ca="1" si="247"/>
        <v>#VALUE!</v>
      </c>
      <c r="AD480" t="e">
        <f t="shared" ca="1" si="248"/>
        <v>#VALUE!</v>
      </c>
      <c r="AE480" t="e">
        <f t="shared" ca="1" si="249"/>
        <v>#VALUE!</v>
      </c>
      <c r="AF480" t="e">
        <f t="shared" ca="1" si="250"/>
        <v>#VALUE!</v>
      </c>
      <c r="AG480" t="e">
        <f t="shared" ca="1" si="251"/>
        <v>#VALUE!</v>
      </c>
      <c r="AH480" t="e">
        <f ca="1">IF(V32="Supercritical",L480,IF(V32="Subcritical",W480,IF(AND(V480=1,AG480=1),IF(T480&gt;=AE480,L480,W480),IF(V480=1,L480,IF(AG480=1,W480,MAX($D$16,POWER((ABS(K480)^2)/($I$5*MAX(F480,0.1)^2),1/3)))))))</f>
        <v>#VALUE!</v>
      </c>
      <c r="AI480" t="e">
        <f t="shared" ca="1" si="252"/>
        <v>#VALUE!</v>
      </c>
      <c r="AJ480" t="e">
        <f t="shared" ca="1" si="253"/>
        <v>#VALUE!</v>
      </c>
      <c r="AM480">
        <v>0</v>
      </c>
      <c r="AN480">
        <v>0</v>
      </c>
      <c r="AO480">
        <f t="shared" si="254"/>
        <v>0</v>
      </c>
      <c r="AP480">
        <f t="shared" si="263"/>
        <v>0</v>
      </c>
      <c r="AQ480" t="e">
        <f t="shared" ca="1" si="255"/>
        <v>#VALUE!</v>
      </c>
      <c r="AR480" t="e">
        <f t="shared" ca="1" si="256"/>
        <v>#VALUE!</v>
      </c>
      <c r="AS480" t="e">
        <f t="shared" ca="1" si="257"/>
        <v>#VALUE!</v>
      </c>
    </row>
    <row r="481" spans="1:45" x14ac:dyDescent="0.35">
      <c r="A481">
        <v>332</v>
      </c>
      <c r="B481">
        <v>330.89499999999998</v>
      </c>
      <c r="C481">
        <v>616284.51599999995</v>
      </c>
      <c r="D481">
        <v>3097625.5219999999</v>
      </c>
      <c r="E481">
        <v>632.39649999999995</v>
      </c>
      <c r="F481">
        <v>5.2</v>
      </c>
      <c r="G481">
        <v>0</v>
      </c>
      <c r="H481" t="s">
        <v>191</v>
      </c>
      <c r="I481">
        <v>2.7E-2</v>
      </c>
      <c r="J481">
        <f t="shared" si="258"/>
        <v>0.9989999999999668</v>
      </c>
      <c r="K481">
        <f t="shared" si="259"/>
        <v>51</v>
      </c>
      <c r="L481" t="e">
        <f t="shared" ca="1" si="260"/>
        <v>#VALUE!</v>
      </c>
      <c r="M481" t="e">
        <f t="shared" ca="1" si="233"/>
        <v>#VALUE!</v>
      </c>
      <c r="N481" t="e">
        <f t="shared" ca="1" si="234"/>
        <v>#VALUE!</v>
      </c>
      <c r="O481" t="e">
        <f t="shared" ca="1" si="235"/>
        <v>#VALUE!</v>
      </c>
      <c r="P481" t="e">
        <f t="shared" ca="1" si="236"/>
        <v>#VALUE!</v>
      </c>
      <c r="Q481" t="e">
        <f t="shared" ca="1" si="237"/>
        <v>#VALUE!</v>
      </c>
      <c r="R481" t="e">
        <f t="shared" ca="1" si="238"/>
        <v>#VALUE!</v>
      </c>
      <c r="S481" t="e">
        <f t="shared" ca="1" si="239"/>
        <v>#VALUE!</v>
      </c>
      <c r="T481" t="e">
        <f t="shared" ca="1" si="240"/>
        <v>#VALUE!</v>
      </c>
      <c r="U481" t="e">
        <f t="shared" ca="1" si="261"/>
        <v>#VALUE!</v>
      </c>
      <c r="V481" t="e">
        <f t="shared" ca="1" si="262"/>
        <v>#VALUE!</v>
      </c>
      <c r="W481" t="e">
        <f t="shared" ca="1" si="241"/>
        <v>#VALUE!</v>
      </c>
      <c r="X481" t="e">
        <f t="shared" ca="1" si="242"/>
        <v>#VALUE!</v>
      </c>
      <c r="Y481" t="e">
        <f t="shared" ca="1" si="243"/>
        <v>#VALUE!</v>
      </c>
      <c r="Z481" t="e">
        <f t="shared" ca="1" si="244"/>
        <v>#VALUE!</v>
      </c>
      <c r="AA481" t="e">
        <f t="shared" ca="1" si="245"/>
        <v>#VALUE!</v>
      </c>
      <c r="AB481" t="e">
        <f t="shared" ca="1" si="246"/>
        <v>#VALUE!</v>
      </c>
      <c r="AC481" t="e">
        <f t="shared" ca="1" si="247"/>
        <v>#VALUE!</v>
      </c>
      <c r="AD481" t="e">
        <f t="shared" ca="1" si="248"/>
        <v>#VALUE!</v>
      </c>
      <c r="AE481" t="e">
        <f t="shared" ca="1" si="249"/>
        <v>#VALUE!</v>
      </c>
      <c r="AF481" t="e">
        <f t="shared" ca="1" si="250"/>
        <v>#VALUE!</v>
      </c>
      <c r="AG481" t="e">
        <f t="shared" ca="1" si="251"/>
        <v>#VALUE!</v>
      </c>
      <c r="AH481" t="e">
        <f ca="1">IF(V32="Supercritical",L481,IF(V32="Subcritical",W481,IF(AND(V481=1,AG481=1),IF(T481&gt;=AE481,L481,W481),IF(V481=1,L481,IF(AG481=1,W481,MAX($D$16,POWER((ABS(K481)^2)/($I$5*MAX(F481,0.1)^2),1/3)))))))</f>
        <v>#VALUE!</v>
      </c>
      <c r="AI481" t="e">
        <f t="shared" ca="1" si="252"/>
        <v>#VALUE!</v>
      </c>
      <c r="AJ481" t="e">
        <f t="shared" ca="1" si="253"/>
        <v>#VALUE!</v>
      </c>
      <c r="AM481">
        <v>0</v>
      </c>
      <c r="AN481">
        <v>0</v>
      </c>
      <c r="AO481">
        <f t="shared" si="254"/>
        <v>0</v>
      </c>
      <c r="AP481">
        <f t="shared" si="263"/>
        <v>0</v>
      </c>
      <c r="AQ481" t="e">
        <f t="shared" ca="1" si="255"/>
        <v>#VALUE!</v>
      </c>
      <c r="AR481" t="e">
        <f t="shared" ca="1" si="256"/>
        <v>#VALUE!</v>
      </c>
      <c r="AS481" t="e">
        <f t="shared" ca="1" si="257"/>
        <v>#VALUE!</v>
      </c>
    </row>
    <row r="482" spans="1:45" x14ac:dyDescent="0.35">
      <c r="A482">
        <v>333</v>
      </c>
      <c r="B482">
        <v>331.89600000000002</v>
      </c>
      <c r="C482">
        <v>616284.04200000002</v>
      </c>
      <c r="D482">
        <v>3097624.6409999998</v>
      </c>
      <c r="E482">
        <v>632.39599999999996</v>
      </c>
      <c r="F482">
        <v>5.2</v>
      </c>
      <c r="G482">
        <v>0</v>
      </c>
      <c r="H482" t="s">
        <v>191</v>
      </c>
      <c r="I482">
        <v>2.7E-2</v>
      </c>
      <c r="J482">
        <f t="shared" si="258"/>
        <v>1.0010000000000332</v>
      </c>
      <c r="K482">
        <f t="shared" si="259"/>
        <v>51</v>
      </c>
      <c r="L482" t="e">
        <f t="shared" ca="1" si="260"/>
        <v>#VALUE!</v>
      </c>
      <c r="M482" t="e">
        <f t="shared" ca="1" si="233"/>
        <v>#VALUE!</v>
      </c>
      <c r="N482" t="e">
        <f t="shared" ca="1" si="234"/>
        <v>#VALUE!</v>
      </c>
      <c r="O482" t="e">
        <f t="shared" ca="1" si="235"/>
        <v>#VALUE!</v>
      </c>
      <c r="P482" t="e">
        <f t="shared" ca="1" si="236"/>
        <v>#VALUE!</v>
      </c>
      <c r="Q482" t="e">
        <f t="shared" ca="1" si="237"/>
        <v>#VALUE!</v>
      </c>
      <c r="R482" t="e">
        <f t="shared" ca="1" si="238"/>
        <v>#VALUE!</v>
      </c>
      <c r="S482" t="e">
        <f t="shared" ca="1" si="239"/>
        <v>#VALUE!</v>
      </c>
      <c r="T482" t="e">
        <f t="shared" ca="1" si="240"/>
        <v>#VALUE!</v>
      </c>
      <c r="U482" t="e">
        <f t="shared" ca="1" si="261"/>
        <v>#VALUE!</v>
      </c>
      <c r="V482" t="e">
        <f t="shared" ca="1" si="262"/>
        <v>#VALUE!</v>
      </c>
      <c r="W482" t="e">
        <f t="shared" ca="1" si="241"/>
        <v>#VALUE!</v>
      </c>
      <c r="X482" t="e">
        <f t="shared" ca="1" si="242"/>
        <v>#VALUE!</v>
      </c>
      <c r="Y482" t="e">
        <f t="shared" ca="1" si="243"/>
        <v>#VALUE!</v>
      </c>
      <c r="Z482" t="e">
        <f t="shared" ca="1" si="244"/>
        <v>#VALUE!</v>
      </c>
      <c r="AA482" t="e">
        <f t="shared" ca="1" si="245"/>
        <v>#VALUE!</v>
      </c>
      <c r="AB482" t="e">
        <f t="shared" ca="1" si="246"/>
        <v>#VALUE!</v>
      </c>
      <c r="AC482" t="e">
        <f t="shared" ca="1" si="247"/>
        <v>#VALUE!</v>
      </c>
      <c r="AD482" t="e">
        <f t="shared" ca="1" si="248"/>
        <v>#VALUE!</v>
      </c>
      <c r="AE482" t="e">
        <f t="shared" ca="1" si="249"/>
        <v>#VALUE!</v>
      </c>
      <c r="AF482" t="e">
        <f t="shared" ca="1" si="250"/>
        <v>#VALUE!</v>
      </c>
      <c r="AG482" t="e">
        <f t="shared" ca="1" si="251"/>
        <v>#VALUE!</v>
      </c>
      <c r="AH482" t="e">
        <f ca="1">IF(V32="Supercritical",L482,IF(V32="Subcritical",W482,IF(AND(V482=1,AG482=1),IF(T482&gt;=AE482,L482,W482),IF(V482=1,L482,IF(AG482=1,W482,MAX($D$16,POWER((ABS(K482)^2)/($I$5*MAX(F482,0.1)^2),1/3)))))))</f>
        <v>#VALUE!</v>
      </c>
      <c r="AI482" t="e">
        <f t="shared" ca="1" si="252"/>
        <v>#VALUE!</v>
      </c>
      <c r="AJ482" t="e">
        <f t="shared" ca="1" si="253"/>
        <v>#VALUE!</v>
      </c>
      <c r="AM482">
        <v>0</v>
      </c>
      <c r="AN482">
        <v>0</v>
      </c>
      <c r="AO482">
        <f t="shared" si="254"/>
        <v>0</v>
      </c>
      <c r="AP482">
        <f t="shared" si="263"/>
        <v>0</v>
      </c>
      <c r="AQ482" t="e">
        <f t="shared" ca="1" si="255"/>
        <v>#VALUE!</v>
      </c>
      <c r="AR482" t="e">
        <f t="shared" ca="1" si="256"/>
        <v>#VALUE!</v>
      </c>
      <c r="AS482" t="e">
        <f t="shared" ca="1" si="257"/>
        <v>#VALUE!</v>
      </c>
    </row>
    <row r="483" spans="1:45" x14ac:dyDescent="0.35">
      <c r="A483">
        <v>334</v>
      </c>
      <c r="B483">
        <v>332.89499999999998</v>
      </c>
      <c r="C483">
        <v>616283.56799999997</v>
      </c>
      <c r="D483">
        <v>3097623.7609999999</v>
      </c>
      <c r="E483">
        <v>632.39549999999997</v>
      </c>
      <c r="F483">
        <v>5.2</v>
      </c>
      <c r="G483">
        <v>0</v>
      </c>
      <c r="H483" t="s">
        <v>191</v>
      </c>
      <c r="I483">
        <v>0.05</v>
      </c>
      <c r="J483">
        <f t="shared" si="258"/>
        <v>0.9989999999999668</v>
      </c>
      <c r="K483">
        <f t="shared" si="259"/>
        <v>51</v>
      </c>
      <c r="L483" t="e">
        <f t="shared" ca="1" si="260"/>
        <v>#VALUE!</v>
      </c>
      <c r="M483" t="e">
        <f t="shared" ca="1" si="233"/>
        <v>#VALUE!</v>
      </c>
      <c r="N483" t="e">
        <f t="shared" ca="1" si="234"/>
        <v>#VALUE!</v>
      </c>
      <c r="O483" t="e">
        <f t="shared" ca="1" si="235"/>
        <v>#VALUE!</v>
      </c>
      <c r="P483" t="e">
        <f t="shared" ca="1" si="236"/>
        <v>#VALUE!</v>
      </c>
      <c r="Q483" t="e">
        <f t="shared" ca="1" si="237"/>
        <v>#VALUE!</v>
      </c>
      <c r="R483" t="e">
        <f t="shared" ca="1" si="238"/>
        <v>#VALUE!</v>
      </c>
      <c r="S483" t="e">
        <f t="shared" ca="1" si="239"/>
        <v>#VALUE!</v>
      </c>
      <c r="T483" t="e">
        <f t="shared" ca="1" si="240"/>
        <v>#VALUE!</v>
      </c>
      <c r="U483" t="e">
        <f t="shared" ca="1" si="261"/>
        <v>#VALUE!</v>
      </c>
      <c r="V483" t="e">
        <f t="shared" ca="1" si="262"/>
        <v>#VALUE!</v>
      </c>
      <c r="W483" t="e">
        <f t="shared" ca="1" si="241"/>
        <v>#VALUE!</v>
      </c>
      <c r="X483" t="e">
        <f t="shared" ca="1" si="242"/>
        <v>#VALUE!</v>
      </c>
      <c r="Y483" t="e">
        <f t="shared" ca="1" si="243"/>
        <v>#VALUE!</v>
      </c>
      <c r="Z483" t="e">
        <f t="shared" ca="1" si="244"/>
        <v>#VALUE!</v>
      </c>
      <c r="AA483" t="e">
        <f t="shared" ca="1" si="245"/>
        <v>#VALUE!</v>
      </c>
      <c r="AB483" t="e">
        <f t="shared" ca="1" si="246"/>
        <v>#VALUE!</v>
      </c>
      <c r="AC483" t="e">
        <f t="shared" ca="1" si="247"/>
        <v>#VALUE!</v>
      </c>
      <c r="AD483" t="e">
        <f t="shared" ca="1" si="248"/>
        <v>#VALUE!</v>
      </c>
      <c r="AE483" t="e">
        <f t="shared" ca="1" si="249"/>
        <v>#VALUE!</v>
      </c>
      <c r="AF483" t="e">
        <f t="shared" ca="1" si="250"/>
        <v>#VALUE!</v>
      </c>
      <c r="AG483" t="e">
        <f t="shared" ca="1" si="251"/>
        <v>#VALUE!</v>
      </c>
      <c r="AH483" t="e">
        <f ca="1">IF(V32="Supercritical",L483,IF(V32="Subcritical",W483,IF(AND(V483=1,AG483=1),IF(T483&gt;=AE483,L483,W483),IF(V483=1,L483,IF(AG483=1,W483,MAX($D$16,POWER((ABS(K483)^2)/($I$5*MAX(F483,0.1)^2),1/3)))))))</f>
        <v>#VALUE!</v>
      </c>
      <c r="AI483" t="e">
        <f t="shared" ca="1" si="252"/>
        <v>#VALUE!</v>
      </c>
      <c r="AJ483" t="e">
        <f t="shared" ca="1" si="253"/>
        <v>#VALUE!</v>
      </c>
      <c r="AM483">
        <v>0</v>
      </c>
      <c r="AN483">
        <v>0</v>
      </c>
      <c r="AO483">
        <f t="shared" si="254"/>
        <v>0</v>
      </c>
      <c r="AP483">
        <f t="shared" si="263"/>
        <v>0</v>
      </c>
      <c r="AQ483" t="e">
        <f t="shared" ca="1" si="255"/>
        <v>#VALUE!</v>
      </c>
      <c r="AR483" t="e">
        <f t="shared" ca="1" si="256"/>
        <v>#VALUE!</v>
      </c>
      <c r="AS483" t="e">
        <f t="shared" ca="1" si="257"/>
        <v>#VALUE!</v>
      </c>
    </row>
    <row r="484" spans="1:45" x14ac:dyDescent="0.35">
      <c r="A484">
        <v>335</v>
      </c>
      <c r="B484">
        <v>333.89499999999998</v>
      </c>
      <c r="C484">
        <v>616283.09299999999</v>
      </c>
      <c r="D484">
        <v>3097622.8810000001</v>
      </c>
      <c r="E484">
        <v>632.39499999999998</v>
      </c>
      <c r="F484">
        <v>5.2</v>
      </c>
      <c r="G484">
        <v>0</v>
      </c>
      <c r="H484" t="s">
        <v>191</v>
      </c>
      <c r="I484">
        <v>7.8E-2</v>
      </c>
      <c r="J484">
        <f t="shared" si="258"/>
        <v>1</v>
      </c>
      <c r="K484">
        <f t="shared" si="259"/>
        <v>51</v>
      </c>
      <c r="L484" t="e">
        <f t="shared" ca="1" si="260"/>
        <v>#VALUE!</v>
      </c>
      <c r="M484" t="e">
        <f t="shared" ca="1" si="233"/>
        <v>#VALUE!</v>
      </c>
      <c r="N484" t="e">
        <f t="shared" ca="1" si="234"/>
        <v>#VALUE!</v>
      </c>
      <c r="O484" t="e">
        <f t="shared" ca="1" si="235"/>
        <v>#VALUE!</v>
      </c>
      <c r="P484" t="e">
        <f t="shared" ca="1" si="236"/>
        <v>#VALUE!</v>
      </c>
      <c r="Q484" t="e">
        <f t="shared" ca="1" si="237"/>
        <v>#VALUE!</v>
      </c>
      <c r="R484" t="e">
        <f t="shared" ca="1" si="238"/>
        <v>#VALUE!</v>
      </c>
      <c r="S484" t="e">
        <f t="shared" ca="1" si="239"/>
        <v>#VALUE!</v>
      </c>
      <c r="T484" t="e">
        <f t="shared" ca="1" si="240"/>
        <v>#VALUE!</v>
      </c>
      <c r="U484" t="e">
        <f t="shared" ca="1" si="261"/>
        <v>#VALUE!</v>
      </c>
      <c r="V484" t="e">
        <f t="shared" ca="1" si="262"/>
        <v>#VALUE!</v>
      </c>
      <c r="W484" t="e">
        <f t="shared" ca="1" si="241"/>
        <v>#VALUE!</v>
      </c>
      <c r="X484" t="e">
        <f t="shared" ca="1" si="242"/>
        <v>#VALUE!</v>
      </c>
      <c r="Y484" t="e">
        <f t="shared" ca="1" si="243"/>
        <v>#VALUE!</v>
      </c>
      <c r="Z484" t="e">
        <f t="shared" ca="1" si="244"/>
        <v>#VALUE!</v>
      </c>
      <c r="AA484" t="e">
        <f t="shared" ca="1" si="245"/>
        <v>#VALUE!</v>
      </c>
      <c r="AB484" t="e">
        <f t="shared" ca="1" si="246"/>
        <v>#VALUE!</v>
      </c>
      <c r="AC484" t="e">
        <f t="shared" ca="1" si="247"/>
        <v>#VALUE!</v>
      </c>
      <c r="AD484" t="e">
        <f t="shared" ca="1" si="248"/>
        <v>#VALUE!</v>
      </c>
      <c r="AE484" t="e">
        <f t="shared" ca="1" si="249"/>
        <v>#VALUE!</v>
      </c>
      <c r="AF484" t="e">
        <f t="shared" ca="1" si="250"/>
        <v>#VALUE!</v>
      </c>
      <c r="AG484" t="e">
        <f t="shared" ca="1" si="251"/>
        <v>#VALUE!</v>
      </c>
      <c r="AH484" t="e">
        <f ca="1">IF(V32="Supercritical",L484,IF(V32="Subcritical",W484,IF(AND(V484=1,AG484=1),IF(T484&gt;=AE484,L484,W484),IF(V484=1,L484,IF(AG484=1,W484,MAX($D$16,POWER((ABS(K484)^2)/($I$5*MAX(F484,0.1)^2),1/3)))))))</f>
        <v>#VALUE!</v>
      </c>
      <c r="AI484" t="e">
        <f t="shared" ca="1" si="252"/>
        <v>#VALUE!</v>
      </c>
      <c r="AJ484" t="e">
        <f t="shared" ca="1" si="253"/>
        <v>#VALUE!</v>
      </c>
      <c r="AM484">
        <v>0</v>
      </c>
      <c r="AN484">
        <v>0</v>
      </c>
      <c r="AO484">
        <f t="shared" si="254"/>
        <v>0</v>
      </c>
      <c r="AP484">
        <f t="shared" si="263"/>
        <v>0</v>
      </c>
      <c r="AQ484" t="e">
        <f t="shared" ca="1" si="255"/>
        <v>#VALUE!</v>
      </c>
      <c r="AR484" t="e">
        <f t="shared" ca="1" si="256"/>
        <v>#VALUE!</v>
      </c>
      <c r="AS484" t="e">
        <f t="shared" ca="1" si="257"/>
        <v>#VALUE!</v>
      </c>
    </row>
    <row r="485" spans="1:45" x14ac:dyDescent="0.35">
      <c r="A485">
        <v>336</v>
      </c>
      <c r="B485">
        <v>334.89600000000002</v>
      </c>
      <c r="C485">
        <v>616282.61899999995</v>
      </c>
      <c r="D485">
        <v>3097622</v>
      </c>
      <c r="E485">
        <v>632.39449999999999</v>
      </c>
      <c r="F485">
        <v>5.2</v>
      </c>
      <c r="G485">
        <v>0</v>
      </c>
      <c r="H485" t="s">
        <v>191</v>
      </c>
      <c r="I485">
        <v>2.7E-2</v>
      </c>
      <c r="J485">
        <f t="shared" si="258"/>
        <v>1.0010000000000332</v>
      </c>
      <c r="K485">
        <f t="shared" si="259"/>
        <v>51</v>
      </c>
      <c r="L485" t="e">
        <f t="shared" ca="1" si="260"/>
        <v>#VALUE!</v>
      </c>
      <c r="M485" t="e">
        <f t="shared" ca="1" si="233"/>
        <v>#VALUE!</v>
      </c>
      <c r="N485" t="e">
        <f t="shared" ca="1" si="234"/>
        <v>#VALUE!</v>
      </c>
      <c r="O485" t="e">
        <f t="shared" ca="1" si="235"/>
        <v>#VALUE!</v>
      </c>
      <c r="P485" t="e">
        <f t="shared" ca="1" si="236"/>
        <v>#VALUE!</v>
      </c>
      <c r="Q485" t="e">
        <f t="shared" ca="1" si="237"/>
        <v>#VALUE!</v>
      </c>
      <c r="R485" t="e">
        <f t="shared" ca="1" si="238"/>
        <v>#VALUE!</v>
      </c>
      <c r="S485" t="e">
        <f t="shared" ca="1" si="239"/>
        <v>#VALUE!</v>
      </c>
      <c r="T485" t="e">
        <f t="shared" ca="1" si="240"/>
        <v>#VALUE!</v>
      </c>
      <c r="U485" t="e">
        <f t="shared" ca="1" si="261"/>
        <v>#VALUE!</v>
      </c>
      <c r="V485" t="e">
        <f t="shared" ca="1" si="262"/>
        <v>#VALUE!</v>
      </c>
      <c r="W485" t="e">
        <f t="shared" ca="1" si="241"/>
        <v>#VALUE!</v>
      </c>
      <c r="X485" t="e">
        <f t="shared" ca="1" si="242"/>
        <v>#VALUE!</v>
      </c>
      <c r="Y485" t="e">
        <f t="shared" ca="1" si="243"/>
        <v>#VALUE!</v>
      </c>
      <c r="Z485" t="e">
        <f t="shared" ca="1" si="244"/>
        <v>#VALUE!</v>
      </c>
      <c r="AA485" t="e">
        <f t="shared" ca="1" si="245"/>
        <v>#VALUE!</v>
      </c>
      <c r="AB485" t="e">
        <f t="shared" ca="1" si="246"/>
        <v>#VALUE!</v>
      </c>
      <c r="AC485" t="e">
        <f t="shared" ca="1" si="247"/>
        <v>#VALUE!</v>
      </c>
      <c r="AD485" t="e">
        <f t="shared" ca="1" si="248"/>
        <v>#VALUE!</v>
      </c>
      <c r="AE485" t="e">
        <f t="shared" ca="1" si="249"/>
        <v>#VALUE!</v>
      </c>
      <c r="AF485" t="e">
        <f t="shared" ca="1" si="250"/>
        <v>#VALUE!</v>
      </c>
      <c r="AG485" t="e">
        <f t="shared" ca="1" si="251"/>
        <v>#VALUE!</v>
      </c>
      <c r="AH485" t="e">
        <f ca="1">IF(V32="Supercritical",L485,IF(V32="Subcritical",W485,IF(AND(V485=1,AG485=1),IF(T485&gt;=AE485,L485,W485),IF(V485=1,L485,IF(AG485=1,W485,MAX($D$16,POWER((ABS(K485)^2)/($I$5*MAX(F485,0.1)^2),1/3)))))))</f>
        <v>#VALUE!</v>
      </c>
      <c r="AI485" t="e">
        <f t="shared" ca="1" si="252"/>
        <v>#VALUE!</v>
      </c>
      <c r="AJ485" t="e">
        <f t="shared" ca="1" si="253"/>
        <v>#VALUE!</v>
      </c>
      <c r="AM485">
        <v>0</v>
      </c>
      <c r="AN485">
        <v>0</v>
      </c>
      <c r="AO485">
        <f t="shared" si="254"/>
        <v>0</v>
      </c>
      <c r="AP485">
        <f t="shared" si="263"/>
        <v>0</v>
      </c>
      <c r="AQ485" t="e">
        <f t="shared" ca="1" si="255"/>
        <v>#VALUE!</v>
      </c>
      <c r="AR485" t="e">
        <f t="shared" ca="1" si="256"/>
        <v>#VALUE!</v>
      </c>
      <c r="AS485" t="e">
        <f t="shared" ca="1" si="257"/>
        <v>#VALUE!</v>
      </c>
    </row>
    <row r="486" spans="1:45" x14ac:dyDescent="0.35">
      <c r="A486">
        <v>337</v>
      </c>
      <c r="B486">
        <v>335.89499999999998</v>
      </c>
      <c r="C486">
        <v>616282.14500000002</v>
      </c>
      <c r="D486">
        <v>3097621.12</v>
      </c>
      <c r="E486">
        <v>632.39400000000001</v>
      </c>
      <c r="F486">
        <v>5.2</v>
      </c>
      <c r="G486">
        <v>0</v>
      </c>
      <c r="H486" t="s">
        <v>191</v>
      </c>
      <c r="I486">
        <v>2.7E-2</v>
      </c>
      <c r="J486">
        <f t="shared" si="258"/>
        <v>0.9989999999999668</v>
      </c>
      <c r="K486">
        <f t="shared" si="259"/>
        <v>51</v>
      </c>
      <c r="L486" t="e">
        <f t="shared" ca="1" si="260"/>
        <v>#VALUE!</v>
      </c>
      <c r="M486" t="e">
        <f t="shared" ca="1" si="233"/>
        <v>#VALUE!</v>
      </c>
      <c r="N486" t="e">
        <f t="shared" ca="1" si="234"/>
        <v>#VALUE!</v>
      </c>
      <c r="O486" t="e">
        <f t="shared" ca="1" si="235"/>
        <v>#VALUE!</v>
      </c>
      <c r="P486" t="e">
        <f t="shared" ca="1" si="236"/>
        <v>#VALUE!</v>
      </c>
      <c r="Q486" t="e">
        <f t="shared" ca="1" si="237"/>
        <v>#VALUE!</v>
      </c>
      <c r="R486" t="e">
        <f t="shared" ca="1" si="238"/>
        <v>#VALUE!</v>
      </c>
      <c r="S486" t="e">
        <f t="shared" ca="1" si="239"/>
        <v>#VALUE!</v>
      </c>
      <c r="T486" t="e">
        <f t="shared" ca="1" si="240"/>
        <v>#VALUE!</v>
      </c>
      <c r="U486" t="e">
        <f t="shared" ca="1" si="261"/>
        <v>#VALUE!</v>
      </c>
      <c r="V486" t="e">
        <f t="shared" ca="1" si="262"/>
        <v>#VALUE!</v>
      </c>
      <c r="W486" t="e">
        <f t="shared" ca="1" si="241"/>
        <v>#VALUE!</v>
      </c>
      <c r="X486" t="e">
        <f t="shared" ca="1" si="242"/>
        <v>#VALUE!</v>
      </c>
      <c r="Y486" t="e">
        <f t="shared" ca="1" si="243"/>
        <v>#VALUE!</v>
      </c>
      <c r="Z486" t="e">
        <f t="shared" ca="1" si="244"/>
        <v>#VALUE!</v>
      </c>
      <c r="AA486" t="e">
        <f t="shared" ca="1" si="245"/>
        <v>#VALUE!</v>
      </c>
      <c r="AB486" t="e">
        <f t="shared" ca="1" si="246"/>
        <v>#VALUE!</v>
      </c>
      <c r="AC486" t="e">
        <f t="shared" ca="1" si="247"/>
        <v>#VALUE!</v>
      </c>
      <c r="AD486" t="e">
        <f t="shared" ca="1" si="248"/>
        <v>#VALUE!</v>
      </c>
      <c r="AE486" t="e">
        <f t="shared" ca="1" si="249"/>
        <v>#VALUE!</v>
      </c>
      <c r="AF486" t="e">
        <f t="shared" ca="1" si="250"/>
        <v>#VALUE!</v>
      </c>
      <c r="AG486" t="e">
        <f t="shared" ca="1" si="251"/>
        <v>#VALUE!</v>
      </c>
      <c r="AH486" t="e">
        <f ca="1">IF(V32="Supercritical",L486,IF(V32="Subcritical",W486,IF(AND(V486=1,AG486=1),IF(T486&gt;=AE486,L486,W486),IF(V486=1,L486,IF(AG486=1,W486,MAX($D$16,POWER((ABS(K486)^2)/($I$5*MAX(F486,0.1)^2),1/3)))))))</f>
        <v>#VALUE!</v>
      </c>
      <c r="AI486" t="e">
        <f t="shared" ca="1" si="252"/>
        <v>#VALUE!</v>
      </c>
      <c r="AJ486" t="e">
        <f t="shared" ca="1" si="253"/>
        <v>#VALUE!</v>
      </c>
      <c r="AM486">
        <v>0</v>
      </c>
      <c r="AN486">
        <v>0</v>
      </c>
      <c r="AO486">
        <f t="shared" si="254"/>
        <v>0</v>
      </c>
      <c r="AP486">
        <f t="shared" si="263"/>
        <v>0</v>
      </c>
      <c r="AQ486" t="e">
        <f t="shared" ca="1" si="255"/>
        <v>#VALUE!</v>
      </c>
      <c r="AR486" t="e">
        <f t="shared" ca="1" si="256"/>
        <v>#VALUE!</v>
      </c>
      <c r="AS486" t="e">
        <f t="shared" ca="1" si="257"/>
        <v>#VALUE!</v>
      </c>
    </row>
    <row r="487" spans="1:45" x14ac:dyDescent="0.35">
      <c r="A487">
        <v>338</v>
      </c>
      <c r="B487">
        <v>336.89600000000002</v>
      </c>
      <c r="C487">
        <v>616281.67099999997</v>
      </c>
      <c r="D487">
        <v>3097620.2390000001</v>
      </c>
      <c r="E487">
        <v>632.39350000000002</v>
      </c>
      <c r="F487">
        <v>5.2</v>
      </c>
      <c r="G487">
        <v>0</v>
      </c>
      <c r="H487" t="s">
        <v>191</v>
      </c>
      <c r="I487">
        <v>2.7E-2</v>
      </c>
      <c r="J487">
        <f t="shared" si="258"/>
        <v>1.0010000000000332</v>
      </c>
      <c r="K487">
        <f t="shared" si="259"/>
        <v>51</v>
      </c>
      <c r="L487" t="e">
        <f t="shared" ca="1" si="260"/>
        <v>#VALUE!</v>
      </c>
      <c r="M487" t="e">
        <f t="shared" ca="1" si="233"/>
        <v>#VALUE!</v>
      </c>
      <c r="N487" t="e">
        <f t="shared" ca="1" si="234"/>
        <v>#VALUE!</v>
      </c>
      <c r="O487" t="e">
        <f t="shared" ca="1" si="235"/>
        <v>#VALUE!</v>
      </c>
      <c r="P487" t="e">
        <f t="shared" ca="1" si="236"/>
        <v>#VALUE!</v>
      </c>
      <c r="Q487" t="e">
        <f t="shared" ca="1" si="237"/>
        <v>#VALUE!</v>
      </c>
      <c r="R487" t="e">
        <f t="shared" ca="1" si="238"/>
        <v>#VALUE!</v>
      </c>
      <c r="S487" t="e">
        <f t="shared" ca="1" si="239"/>
        <v>#VALUE!</v>
      </c>
      <c r="T487" t="e">
        <f t="shared" ca="1" si="240"/>
        <v>#VALUE!</v>
      </c>
      <c r="U487" t="e">
        <f t="shared" ca="1" si="261"/>
        <v>#VALUE!</v>
      </c>
      <c r="V487" t="e">
        <f t="shared" ca="1" si="262"/>
        <v>#VALUE!</v>
      </c>
      <c r="W487" t="e">
        <f t="shared" ca="1" si="241"/>
        <v>#VALUE!</v>
      </c>
      <c r="X487" t="e">
        <f t="shared" ca="1" si="242"/>
        <v>#VALUE!</v>
      </c>
      <c r="Y487" t="e">
        <f t="shared" ca="1" si="243"/>
        <v>#VALUE!</v>
      </c>
      <c r="Z487" t="e">
        <f t="shared" ca="1" si="244"/>
        <v>#VALUE!</v>
      </c>
      <c r="AA487" t="e">
        <f t="shared" ca="1" si="245"/>
        <v>#VALUE!</v>
      </c>
      <c r="AB487" t="e">
        <f t="shared" ca="1" si="246"/>
        <v>#VALUE!</v>
      </c>
      <c r="AC487" t="e">
        <f t="shared" ca="1" si="247"/>
        <v>#VALUE!</v>
      </c>
      <c r="AD487" t="e">
        <f t="shared" ca="1" si="248"/>
        <v>#VALUE!</v>
      </c>
      <c r="AE487" t="e">
        <f t="shared" ca="1" si="249"/>
        <v>#VALUE!</v>
      </c>
      <c r="AF487" t="e">
        <f t="shared" ca="1" si="250"/>
        <v>#VALUE!</v>
      </c>
      <c r="AG487" t="e">
        <f t="shared" ca="1" si="251"/>
        <v>#VALUE!</v>
      </c>
      <c r="AH487" t="e">
        <f ca="1">IF(V32="Supercritical",L487,IF(V32="Subcritical",W487,IF(AND(V487=1,AG487=1),IF(T487&gt;=AE487,L487,W487),IF(V487=1,L487,IF(AG487=1,W487,MAX($D$16,POWER((ABS(K487)^2)/($I$5*MAX(F487,0.1)^2),1/3)))))))</f>
        <v>#VALUE!</v>
      </c>
      <c r="AI487" t="e">
        <f t="shared" ca="1" si="252"/>
        <v>#VALUE!</v>
      </c>
      <c r="AJ487" t="e">
        <f t="shared" ca="1" si="253"/>
        <v>#VALUE!</v>
      </c>
      <c r="AM487">
        <v>0</v>
      </c>
      <c r="AN487">
        <v>0</v>
      </c>
      <c r="AO487">
        <f t="shared" si="254"/>
        <v>0</v>
      </c>
      <c r="AP487">
        <f t="shared" si="263"/>
        <v>0</v>
      </c>
      <c r="AQ487" t="e">
        <f t="shared" ca="1" si="255"/>
        <v>#VALUE!</v>
      </c>
      <c r="AR487" t="e">
        <f t="shared" ca="1" si="256"/>
        <v>#VALUE!</v>
      </c>
      <c r="AS487" t="e">
        <f t="shared" ca="1" si="257"/>
        <v>#VALUE!</v>
      </c>
    </row>
    <row r="488" spans="1:45" x14ac:dyDescent="0.35">
      <c r="A488">
        <v>339</v>
      </c>
      <c r="B488">
        <v>337.89499999999998</v>
      </c>
      <c r="C488">
        <v>616281.19700000004</v>
      </c>
      <c r="D488">
        <v>3097619.3590000002</v>
      </c>
      <c r="E488">
        <v>632.39300000000003</v>
      </c>
      <c r="F488">
        <v>5.2</v>
      </c>
      <c r="G488">
        <v>0</v>
      </c>
      <c r="H488" t="s">
        <v>191</v>
      </c>
      <c r="I488">
        <v>0.05</v>
      </c>
      <c r="J488">
        <f t="shared" si="258"/>
        <v>0.9989999999999668</v>
      </c>
      <c r="K488">
        <f t="shared" si="259"/>
        <v>51</v>
      </c>
      <c r="L488" t="e">
        <f t="shared" ca="1" si="260"/>
        <v>#VALUE!</v>
      </c>
      <c r="M488" t="e">
        <f t="shared" ca="1" si="233"/>
        <v>#VALUE!</v>
      </c>
      <c r="N488" t="e">
        <f t="shared" ca="1" si="234"/>
        <v>#VALUE!</v>
      </c>
      <c r="O488" t="e">
        <f t="shared" ca="1" si="235"/>
        <v>#VALUE!</v>
      </c>
      <c r="P488" t="e">
        <f t="shared" ca="1" si="236"/>
        <v>#VALUE!</v>
      </c>
      <c r="Q488" t="e">
        <f t="shared" ca="1" si="237"/>
        <v>#VALUE!</v>
      </c>
      <c r="R488" t="e">
        <f t="shared" ca="1" si="238"/>
        <v>#VALUE!</v>
      </c>
      <c r="S488" t="e">
        <f t="shared" ca="1" si="239"/>
        <v>#VALUE!</v>
      </c>
      <c r="T488" t="e">
        <f t="shared" ca="1" si="240"/>
        <v>#VALUE!</v>
      </c>
      <c r="U488" t="e">
        <f t="shared" ca="1" si="261"/>
        <v>#VALUE!</v>
      </c>
      <c r="V488" t="e">
        <f t="shared" ca="1" si="262"/>
        <v>#VALUE!</v>
      </c>
      <c r="W488" t="e">
        <f t="shared" ca="1" si="241"/>
        <v>#VALUE!</v>
      </c>
      <c r="X488" t="e">
        <f t="shared" ca="1" si="242"/>
        <v>#VALUE!</v>
      </c>
      <c r="Y488" t="e">
        <f t="shared" ca="1" si="243"/>
        <v>#VALUE!</v>
      </c>
      <c r="Z488" t="e">
        <f t="shared" ca="1" si="244"/>
        <v>#VALUE!</v>
      </c>
      <c r="AA488" t="e">
        <f t="shared" ca="1" si="245"/>
        <v>#VALUE!</v>
      </c>
      <c r="AB488" t="e">
        <f t="shared" ca="1" si="246"/>
        <v>#VALUE!</v>
      </c>
      <c r="AC488" t="e">
        <f t="shared" ca="1" si="247"/>
        <v>#VALUE!</v>
      </c>
      <c r="AD488" t="e">
        <f t="shared" ca="1" si="248"/>
        <v>#VALUE!</v>
      </c>
      <c r="AE488" t="e">
        <f t="shared" ca="1" si="249"/>
        <v>#VALUE!</v>
      </c>
      <c r="AF488" t="e">
        <f t="shared" ca="1" si="250"/>
        <v>#VALUE!</v>
      </c>
      <c r="AG488" t="e">
        <f t="shared" ca="1" si="251"/>
        <v>#VALUE!</v>
      </c>
      <c r="AH488" t="e">
        <f ca="1">IF(V32="Supercritical",L488,IF(V32="Subcritical",W488,IF(AND(V488=1,AG488=1),IF(T488&gt;=AE488,L488,W488),IF(V488=1,L488,IF(AG488=1,W488,MAX($D$16,POWER((ABS(K488)^2)/($I$5*MAX(F488,0.1)^2),1/3)))))))</f>
        <v>#VALUE!</v>
      </c>
      <c r="AI488" t="e">
        <f t="shared" ca="1" si="252"/>
        <v>#VALUE!</v>
      </c>
      <c r="AJ488" t="e">
        <f t="shared" ca="1" si="253"/>
        <v>#VALUE!</v>
      </c>
      <c r="AM488">
        <v>0</v>
      </c>
      <c r="AN488">
        <v>0</v>
      </c>
      <c r="AO488">
        <f t="shared" si="254"/>
        <v>0</v>
      </c>
      <c r="AP488">
        <f t="shared" si="263"/>
        <v>0</v>
      </c>
      <c r="AQ488" t="e">
        <f t="shared" ca="1" si="255"/>
        <v>#VALUE!</v>
      </c>
      <c r="AR488" t="e">
        <f t="shared" ca="1" si="256"/>
        <v>#VALUE!</v>
      </c>
      <c r="AS488" t="e">
        <f t="shared" ca="1" si="257"/>
        <v>#VALUE!</v>
      </c>
    </row>
    <row r="489" spans="1:45" x14ac:dyDescent="0.35">
      <c r="A489">
        <v>340</v>
      </c>
      <c r="B489">
        <v>338.89499999999998</v>
      </c>
      <c r="C489">
        <v>616280.72199999995</v>
      </c>
      <c r="D489">
        <v>3097618.4789999998</v>
      </c>
      <c r="E489">
        <v>632.39250000000004</v>
      </c>
      <c r="F489">
        <v>5.2</v>
      </c>
      <c r="G489">
        <v>0</v>
      </c>
      <c r="H489" t="s">
        <v>191</v>
      </c>
      <c r="I489">
        <v>7.8E-2</v>
      </c>
      <c r="J489">
        <f t="shared" si="258"/>
        <v>1</v>
      </c>
      <c r="K489">
        <f t="shared" si="259"/>
        <v>51</v>
      </c>
      <c r="L489" t="e">
        <f t="shared" ca="1" si="260"/>
        <v>#VALUE!</v>
      </c>
      <c r="M489" t="e">
        <f t="shared" ca="1" si="233"/>
        <v>#VALUE!</v>
      </c>
      <c r="N489" t="e">
        <f t="shared" ca="1" si="234"/>
        <v>#VALUE!</v>
      </c>
      <c r="O489" t="e">
        <f t="shared" ca="1" si="235"/>
        <v>#VALUE!</v>
      </c>
      <c r="P489" t="e">
        <f t="shared" ca="1" si="236"/>
        <v>#VALUE!</v>
      </c>
      <c r="Q489" t="e">
        <f t="shared" ca="1" si="237"/>
        <v>#VALUE!</v>
      </c>
      <c r="R489" t="e">
        <f t="shared" ca="1" si="238"/>
        <v>#VALUE!</v>
      </c>
      <c r="S489" t="e">
        <f t="shared" ca="1" si="239"/>
        <v>#VALUE!</v>
      </c>
      <c r="T489" t="e">
        <f t="shared" ca="1" si="240"/>
        <v>#VALUE!</v>
      </c>
      <c r="U489" t="e">
        <f t="shared" ca="1" si="261"/>
        <v>#VALUE!</v>
      </c>
      <c r="V489" t="e">
        <f t="shared" ca="1" si="262"/>
        <v>#VALUE!</v>
      </c>
      <c r="W489" t="e">
        <f t="shared" ca="1" si="241"/>
        <v>#VALUE!</v>
      </c>
      <c r="X489" t="e">
        <f t="shared" ca="1" si="242"/>
        <v>#VALUE!</v>
      </c>
      <c r="Y489" t="e">
        <f t="shared" ca="1" si="243"/>
        <v>#VALUE!</v>
      </c>
      <c r="Z489" t="e">
        <f t="shared" ca="1" si="244"/>
        <v>#VALUE!</v>
      </c>
      <c r="AA489" t="e">
        <f t="shared" ca="1" si="245"/>
        <v>#VALUE!</v>
      </c>
      <c r="AB489" t="e">
        <f t="shared" ca="1" si="246"/>
        <v>#VALUE!</v>
      </c>
      <c r="AC489" t="e">
        <f t="shared" ca="1" si="247"/>
        <v>#VALUE!</v>
      </c>
      <c r="AD489" t="e">
        <f t="shared" ca="1" si="248"/>
        <v>#VALUE!</v>
      </c>
      <c r="AE489" t="e">
        <f t="shared" ca="1" si="249"/>
        <v>#VALUE!</v>
      </c>
      <c r="AF489" t="e">
        <f t="shared" ca="1" si="250"/>
        <v>#VALUE!</v>
      </c>
      <c r="AG489" t="e">
        <f t="shared" ca="1" si="251"/>
        <v>#VALUE!</v>
      </c>
      <c r="AH489" t="e">
        <f ca="1">IF(V32="Supercritical",L489,IF(V32="Subcritical",W489,IF(AND(V489=1,AG489=1),IF(T489&gt;=AE489,L489,W489),IF(V489=1,L489,IF(AG489=1,W489,MAX($D$16,POWER((ABS(K489)^2)/($I$5*MAX(F489,0.1)^2),1/3)))))))</f>
        <v>#VALUE!</v>
      </c>
      <c r="AI489" t="e">
        <f t="shared" ca="1" si="252"/>
        <v>#VALUE!</v>
      </c>
      <c r="AJ489" t="e">
        <f t="shared" ca="1" si="253"/>
        <v>#VALUE!</v>
      </c>
      <c r="AM489">
        <v>0</v>
      </c>
      <c r="AN489">
        <v>0</v>
      </c>
      <c r="AO489">
        <f t="shared" si="254"/>
        <v>0</v>
      </c>
      <c r="AP489">
        <f t="shared" si="263"/>
        <v>0</v>
      </c>
      <c r="AQ489" t="e">
        <f t="shared" ca="1" si="255"/>
        <v>#VALUE!</v>
      </c>
      <c r="AR489" t="e">
        <f t="shared" ca="1" si="256"/>
        <v>#VALUE!</v>
      </c>
      <c r="AS489" t="e">
        <f t="shared" ca="1" si="257"/>
        <v>#VALUE!</v>
      </c>
    </row>
    <row r="490" spans="1:45" x14ac:dyDescent="0.35">
      <c r="A490">
        <v>341</v>
      </c>
      <c r="B490">
        <v>339.89600000000002</v>
      </c>
      <c r="C490">
        <v>616280.24800000002</v>
      </c>
      <c r="D490">
        <v>3097617.5980000002</v>
      </c>
      <c r="E490">
        <v>632.39200000000005</v>
      </c>
      <c r="F490">
        <v>5.2</v>
      </c>
      <c r="G490">
        <v>0</v>
      </c>
      <c r="H490" t="s">
        <v>191</v>
      </c>
      <c r="I490">
        <v>2.7E-2</v>
      </c>
      <c r="J490">
        <f t="shared" si="258"/>
        <v>1.0010000000000332</v>
      </c>
      <c r="K490">
        <f t="shared" si="259"/>
        <v>51</v>
      </c>
      <c r="L490" t="e">
        <f t="shared" ca="1" si="260"/>
        <v>#VALUE!</v>
      </c>
      <c r="M490" t="e">
        <f t="shared" ca="1" si="233"/>
        <v>#VALUE!</v>
      </c>
      <c r="N490" t="e">
        <f t="shared" ca="1" si="234"/>
        <v>#VALUE!</v>
      </c>
      <c r="O490" t="e">
        <f t="shared" ca="1" si="235"/>
        <v>#VALUE!</v>
      </c>
      <c r="P490" t="e">
        <f t="shared" ca="1" si="236"/>
        <v>#VALUE!</v>
      </c>
      <c r="Q490" t="e">
        <f t="shared" ca="1" si="237"/>
        <v>#VALUE!</v>
      </c>
      <c r="R490" t="e">
        <f t="shared" ca="1" si="238"/>
        <v>#VALUE!</v>
      </c>
      <c r="S490" t="e">
        <f t="shared" ca="1" si="239"/>
        <v>#VALUE!</v>
      </c>
      <c r="T490" t="e">
        <f t="shared" ca="1" si="240"/>
        <v>#VALUE!</v>
      </c>
      <c r="U490" t="e">
        <f t="shared" ca="1" si="261"/>
        <v>#VALUE!</v>
      </c>
      <c r="V490" t="e">
        <f t="shared" ca="1" si="262"/>
        <v>#VALUE!</v>
      </c>
      <c r="W490" t="e">
        <f t="shared" ca="1" si="241"/>
        <v>#VALUE!</v>
      </c>
      <c r="X490" t="e">
        <f t="shared" ca="1" si="242"/>
        <v>#VALUE!</v>
      </c>
      <c r="Y490" t="e">
        <f t="shared" ca="1" si="243"/>
        <v>#VALUE!</v>
      </c>
      <c r="Z490" t="e">
        <f t="shared" ca="1" si="244"/>
        <v>#VALUE!</v>
      </c>
      <c r="AA490" t="e">
        <f t="shared" ca="1" si="245"/>
        <v>#VALUE!</v>
      </c>
      <c r="AB490" t="e">
        <f t="shared" ca="1" si="246"/>
        <v>#VALUE!</v>
      </c>
      <c r="AC490" t="e">
        <f t="shared" ca="1" si="247"/>
        <v>#VALUE!</v>
      </c>
      <c r="AD490" t="e">
        <f t="shared" ca="1" si="248"/>
        <v>#VALUE!</v>
      </c>
      <c r="AE490" t="e">
        <f t="shared" ca="1" si="249"/>
        <v>#VALUE!</v>
      </c>
      <c r="AF490" t="e">
        <f t="shared" ca="1" si="250"/>
        <v>#VALUE!</v>
      </c>
      <c r="AG490" t="e">
        <f t="shared" ca="1" si="251"/>
        <v>#VALUE!</v>
      </c>
      <c r="AH490" t="e">
        <f ca="1">IF(V32="Supercritical",L490,IF(V32="Subcritical",W490,IF(AND(V490=1,AG490=1),IF(T490&gt;=AE490,L490,W490),IF(V490=1,L490,IF(AG490=1,W490,MAX($D$16,POWER((ABS(K490)^2)/($I$5*MAX(F490,0.1)^2),1/3)))))))</f>
        <v>#VALUE!</v>
      </c>
      <c r="AI490" t="e">
        <f t="shared" ca="1" si="252"/>
        <v>#VALUE!</v>
      </c>
      <c r="AJ490" t="e">
        <f t="shared" ca="1" si="253"/>
        <v>#VALUE!</v>
      </c>
      <c r="AM490">
        <v>0</v>
      </c>
      <c r="AN490">
        <v>0</v>
      </c>
      <c r="AO490">
        <f t="shared" si="254"/>
        <v>0</v>
      </c>
      <c r="AP490">
        <f t="shared" si="263"/>
        <v>0</v>
      </c>
      <c r="AQ490" t="e">
        <f t="shared" ca="1" si="255"/>
        <v>#VALUE!</v>
      </c>
      <c r="AR490" t="e">
        <f t="shared" ca="1" si="256"/>
        <v>#VALUE!</v>
      </c>
      <c r="AS490" t="e">
        <f t="shared" ca="1" si="257"/>
        <v>#VALUE!</v>
      </c>
    </row>
    <row r="491" spans="1:45" x14ac:dyDescent="0.35">
      <c r="A491">
        <v>342</v>
      </c>
      <c r="B491">
        <v>340.89499999999998</v>
      </c>
      <c r="C491">
        <v>616279.77399999998</v>
      </c>
      <c r="D491">
        <v>3097616.7179999999</v>
      </c>
      <c r="E491">
        <v>632.39149999999995</v>
      </c>
      <c r="F491">
        <v>5.2</v>
      </c>
      <c r="G491">
        <v>0</v>
      </c>
      <c r="H491" t="s">
        <v>191</v>
      </c>
      <c r="I491">
        <v>2.7E-2</v>
      </c>
      <c r="J491">
        <f t="shared" si="258"/>
        <v>0.9989999999999668</v>
      </c>
      <c r="K491">
        <f t="shared" si="259"/>
        <v>51</v>
      </c>
      <c r="L491" t="e">
        <f t="shared" ca="1" si="260"/>
        <v>#VALUE!</v>
      </c>
      <c r="M491" t="e">
        <f t="shared" ca="1" si="233"/>
        <v>#VALUE!</v>
      </c>
      <c r="N491" t="e">
        <f t="shared" ca="1" si="234"/>
        <v>#VALUE!</v>
      </c>
      <c r="O491" t="e">
        <f t="shared" ca="1" si="235"/>
        <v>#VALUE!</v>
      </c>
      <c r="P491" t="e">
        <f t="shared" ca="1" si="236"/>
        <v>#VALUE!</v>
      </c>
      <c r="Q491" t="e">
        <f t="shared" ca="1" si="237"/>
        <v>#VALUE!</v>
      </c>
      <c r="R491" t="e">
        <f t="shared" ca="1" si="238"/>
        <v>#VALUE!</v>
      </c>
      <c r="S491" t="e">
        <f t="shared" ca="1" si="239"/>
        <v>#VALUE!</v>
      </c>
      <c r="T491" t="e">
        <f t="shared" ca="1" si="240"/>
        <v>#VALUE!</v>
      </c>
      <c r="U491" t="e">
        <f t="shared" ca="1" si="261"/>
        <v>#VALUE!</v>
      </c>
      <c r="V491" t="e">
        <f t="shared" ca="1" si="262"/>
        <v>#VALUE!</v>
      </c>
      <c r="W491" t="e">
        <f t="shared" ca="1" si="241"/>
        <v>#VALUE!</v>
      </c>
      <c r="X491" t="e">
        <f t="shared" ca="1" si="242"/>
        <v>#VALUE!</v>
      </c>
      <c r="Y491" t="e">
        <f t="shared" ca="1" si="243"/>
        <v>#VALUE!</v>
      </c>
      <c r="Z491" t="e">
        <f t="shared" ca="1" si="244"/>
        <v>#VALUE!</v>
      </c>
      <c r="AA491" t="e">
        <f t="shared" ca="1" si="245"/>
        <v>#VALUE!</v>
      </c>
      <c r="AB491" t="e">
        <f t="shared" ca="1" si="246"/>
        <v>#VALUE!</v>
      </c>
      <c r="AC491" t="e">
        <f t="shared" ca="1" si="247"/>
        <v>#VALUE!</v>
      </c>
      <c r="AD491" t="e">
        <f t="shared" ca="1" si="248"/>
        <v>#VALUE!</v>
      </c>
      <c r="AE491" t="e">
        <f t="shared" ca="1" si="249"/>
        <v>#VALUE!</v>
      </c>
      <c r="AF491" t="e">
        <f t="shared" ca="1" si="250"/>
        <v>#VALUE!</v>
      </c>
      <c r="AG491" t="e">
        <f t="shared" ca="1" si="251"/>
        <v>#VALUE!</v>
      </c>
      <c r="AH491" t="e">
        <f ca="1">IF(V32="Supercritical",L491,IF(V32="Subcritical",W491,IF(AND(V491=1,AG491=1),IF(T491&gt;=AE491,L491,W491),IF(V491=1,L491,IF(AG491=1,W491,MAX($D$16,POWER((ABS(K491)^2)/($I$5*MAX(F491,0.1)^2),1/3)))))))</f>
        <v>#VALUE!</v>
      </c>
      <c r="AI491" t="e">
        <f t="shared" ca="1" si="252"/>
        <v>#VALUE!</v>
      </c>
      <c r="AJ491" t="e">
        <f t="shared" ca="1" si="253"/>
        <v>#VALUE!</v>
      </c>
      <c r="AM491">
        <v>0</v>
      </c>
      <c r="AN491">
        <v>0</v>
      </c>
      <c r="AO491">
        <f t="shared" si="254"/>
        <v>0</v>
      </c>
      <c r="AP491">
        <f t="shared" si="263"/>
        <v>0</v>
      </c>
      <c r="AQ491" t="e">
        <f t="shared" ca="1" si="255"/>
        <v>#VALUE!</v>
      </c>
      <c r="AR491" t="e">
        <f t="shared" ca="1" si="256"/>
        <v>#VALUE!</v>
      </c>
      <c r="AS491" t="e">
        <f t="shared" ca="1" si="257"/>
        <v>#VALUE!</v>
      </c>
    </row>
    <row r="492" spans="1:45" x14ac:dyDescent="0.35">
      <c r="A492">
        <v>343</v>
      </c>
      <c r="B492">
        <v>341.89600000000002</v>
      </c>
      <c r="C492">
        <v>616279.30000000005</v>
      </c>
      <c r="D492">
        <v>3097615.8369999998</v>
      </c>
      <c r="E492">
        <v>632.39099999999996</v>
      </c>
      <c r="F492">
        <v>5.2</v>
      </c>
      <c r="G492">
        <v>0</v>
      </c>
      <c r="H492" t="s">
        <v>191</v>
      </c>
      <c r="I492">
        <v>7.8E-2</v>
      </c>
      <c r="J492">
        <f t="shared" si="258"/>
        <v>1.0010000000000332</v>
      </c>
      <c r="K492">
        <f t="shared" si="259"/>
        <v>51</v>
      </c>
      <c r="L492" t="e">
        <f t="shared" ca="1" si="260"/>
        <v>#VALUE!</v>
      </c>
      <c r="M492" t="e">
        <f t="shared" ca="1" si="233"/>
        <v>#VALUE!</v>
      </c>
      <c r="N492" t="e">
        <f t="shared" ca="1" si="234"/>
        <v>#VALUE!</v>
      </c>
      <c r="O492" t="e">
        <f t="shared" ca="1" si="235"/>
        <v>#VALUE!</v>
      </c>
      <c r="P492" t="e">
        <f t="shared" ca="1" si="236"/>
        <v>#VALUE!</v>
      </c>
      <c r="Q492" t="e">
        <f t="shared" ca="1" si="237"/>
        <v>#VALUE!</v>
      </c>
      <c r="R492" t="e">
        <f t="shared" ca="1" si="238"/>
        <v>#VALUE!</v>
      </c>
      <c r="S492" t="e">
        <f t="shared" ca="1" si="239"/>
        <v>#VALUE!</v>
      </c>
      <c r="T492" t="e">
        <f t="shared" ca="1" si="240"/>
        <v>#VALUE!</v>
      </c>
      <c r="U492" t="e">
        <f t="shared" ca="1" si="261"/>
        <v>#VALUE!</v>
      </c>
      <c r="V492" t="e">
        <f t="shared" ca="1" si="262"/>
        <v>#VALUE!</v>
      </c>
      <c r="W492" t="e">
        <f t="shared" ca="1" si="241"/>
        <v>#VALUE!</v>
      </c>
      <c r="X492" t="e">
        <f t="shared" ca="1" si="242"/>
        <v>#VALUE!</v>
      </c>
      <c r="Y492" t="e">
        <f t="shared" ca="1" si="243"/>
        <v>#VALUE!</v>
      </c>
      <c r="Z492" t="e">
        <f t="shared" ca="1" si="244"/>
        <v>#VALUE!</v>
      </c>
      <c r="AA492" t="e">
        <f t="shared" ca="1" si="245"/>
        <v>#VALUE!</v>
      </c>
      <c r="AB492" t="e">
        <f t="shared" ca="1" si="246"/>
        <v>#VALUE!</v>
      </c>
      <c r="AC492" t="e">
        <f t="shared" ca="1" si="247"/>
        <v>#VALUE!</v>
      </c>
      <c r="AD492" t="e">
        <f t="shared" ca="1" si="248"/>
        <v>#VALUE!</v>
      </c>
      <c r="AE492" t="e">
        <f t="shared" ca="1" si="249"/>
        <v>#VALUE!</v>
      </c>
      <c r="AF492" t="e">
        <f t="shared" ca="1" si="250"/>
        <v>#VALUE!</v>
      </c>
      <c r="AG492" t="e">
        <f t="shared" ca="1" si="251"/>
        <v>#VALUE!</v>
      </c>
      <c r="AH492" t="e">
        <f ca="1">IF(V32="Supercritical",L492,IF(V32="Subcritical",W492,IF(AND(V492=1,AG492=1),IF(T492&gt;=AE492,L492,W492),IF(V492=1,L492,IF(AG492=1,W492,MAX($D$16,POWER((ABS(K492)^2)/($I$5*MAX(F492,0.1)^2),1/3)))))))</f>
        <v>#VALUE!</v>
      </c>
      <c r="AI492" t="e">
        <f t="shared" ca="1" si="252"/>
        <v>#VALUE!</v>
      </c>
      <c r="AJ492" t="e">
        <f t="shared" ca="1" si="253"/>
        <v>#VALUE!</v>
      </c>
      <c r="AM492">
        <v>0</v>
      </c>
      <c r="AN492">
        <v>0</v>
      </c>
      <c r="AO492">
        <f t="shared" si="254"/>
        <v>0</v>
      </c>
      <c r="AP492">
        <f t="shared" si="263"/>
        <v>0</v>
      </c>
      <c r="AQ492" t="e">
        <f t="shared" ca="1" si="255"/>
        <v>#VALUE!</v>
      </c>
      <c r="AR492" t="e">
        <f t="shared" ca="1" si="256"/>
        <v>#VALUE!</v>
      </c>
      <c r="AS492" t="e">
        <f t="shared" ca="1" si="257"/>
        <v>#VALUE!</v>
      </c>
    </row>
    <row r="493" spans="1:45" x14ac:dyDescent="0.35">
      <c r="A493">
        <v>344</v>
      </c>
      <c r="B493">
        <v>342.89600000000002</v>
      </c>
      <c r="C493">
        <v>616278.82499999995</v>
      </c>
      <c r="D493">
        <v>3097614.9569999999</v>
      </c>
      <c r="E493">
        <v>632.39049999999997</v>
      </c>
      <c r="F493">
        <v>5.2</v>
      </c>
      <c r="G493">
        <v>0</v>
      </c>
      <c r="H493" t="s">
        <v>191</v>
      </c>
      <c r="I493">
        <v>0.05</v>
      </c>
      <c r="J493">
        <f t="shared" si="258"/>
        <v>1</v>
      </c>
      <c r="K493">
        <f t="shared" si="259"/>
        <v>51</v>
      </c>
      <c r="L493" t="e">
        <f t="shared" ca="1" si="260"/>
        <v>#VALUE!</v>
      </c>
      <c r="M493" t="e">
        <f t="shared" ca="1" si="233"/>
        <v>#VALUE!</v>
      </c>
      <c r="N493" t="e">
        <f t="shared" ca="1" si="234"/>
        <v>#VALUE!</v>
      </c>
      <c r="O493" t="e">
        <f t="shared" ca="1" si="235"/>
        <v>#VALUE!</v>
      </c>
      <c r="P493" t="e">
        <f t="shared" ca="1" si="236"/>
        <v>#VALUE!</v>
      </c>
      <c r="Q493" t="e">
        <f t="shared" ca="1" si="237"/>
        <v>#VALUE!</v>
      </c>
      <c r="R493" t="e">
        <f t="shared" ca="1" si="238"/>
        <v>#VALUE!</v>
      </c>
      <c r="S493" t="e">
        <f t="shared" ca="1" si="239"/>
        <v>#VALUE!</v>
      </c>
      <c r="T493" t="e">
        <f t="shared" ca="1" si="240"/>
        <v>#VALUE!</v>
      </c>
      <c r="U493" t="e">
        <f t="shared" ca="1" si="261"/>
        <v>#VALUE!</v>
      </c>
      <c r="V493" t="e">
        <f t="shared" ca="1" si="262"/>
        <v>#VALUE!</v>
      </c>
      <c r="W493" t="e">
        <f t="shared" ca="1" si="241"/>
        <v>#VALUE!</v>
      </c>
      <c r="X493" t="e">
        <f t="shared" ca="1" si="242"/>
        <v>#VALUE!</v>
      </c>
      <c r="Y493" t="e">
        <f t="shared" ca="1" si="243"/>
        <v>#VALUE!</v>
      </c>
      <c r="Z493" t="e">
        <f t="shared" ca="1" si="244"/>
        <v>#VALUE!</v>
      </c>
      <c r="AA493" t="e">
        <f t="shared" ca="1" si="245"/>
        <v>#VALUE!</v>
      </c>
      <c r="AB493" t="e">
        <f t="shared" ca="1" si="246"/>
        <v>#VALUE!</v>
      </c>
      <c r="AC493" t="e">
        <f t="shared" ca="1" si="247"/>
        <v>#VALUE!</v>
      </c>
      <c r="AD493" t="e">
        <f t="shared" ca="1" si="248"/>
        <v>#VALUE!</v>
      </c>
      <c r="AE493" t="e">
        <f t="shared" ca="1" si="249"/>
        <v>#VALUE!</v>
      </c>
      <c r="AF493" t="e">
        <f t="shared" ca="1" si="250"/>
        <v>#VALUE!</v>
      </c>
      <c r="AG493" t="e">
        <f t="shared" ca="1" si="251"/>
        <v>#VALUE!</v>
      </c>
      <c r="AH493" t="e">
        <f ca="1">IF(V32="Supercritical",L493,IF(V32="Subcritical",W493,IF(AND(V493=1,AG493=1),IF(T493&gt;=AE493,L493,W493),IF(V493=1,L493,IF(AG493=1,W493,MAX($D$16,POWER((ABS(K493)^2)/($I$5*MAX(F493,0.1)^2),1/3)))))))</f>
        <v>#VALUE!</v>
      </c>
      <c r="AI493" t="e">
        <f t="shared" ca="1" si="252"/>
        <v>#VALUE!</v>
      </c>
      <c r="AJ493" t="e">
        <f t="shared" ca="1" si="253"/>
        <v>#VALUE!</v>
      </c>
      <c r="AM493">
        <v>0</v>
      </c>
      <c r="AN493">
        <v>0</v>
      </c>
      <c r="AO493">
        <f t="shared" si="254"/>
        <v>0</v>
      </c>
      <c r="AP493">
        <f t="shared" si="263"/>
        <v>0</v>
      </c>
      <c r="AQ493" t="e">
        <f t="shared" ca="1" si="255"/>
        <v>#VALUE!</v>
      </c>
      <c r="AR493" t="e">
        <f t="shared" ca="1" si="256"/>
        <v>#VALUE!</v>
      </c>
      <c r="AS493" t="e">
        <f t="shared" ca="1" si="257"/>
        <v>#VALUE!</v>
      </c>
    </row>
    <row r="494" spans="1:45" x14ac:dyDescent="0.35">
      <c r="A494">
        <v>345</v>
      </c>
      <c r="B494">
        <v>343.89499999999998</v>
      </c>
      <c r="C494">
        <v>616278.35100000002</v>
      </c>
      <c r="D494">
        <v>3097614.077</v>
      </c>
      <c r="E494">
        <v>632.39</v>
      </c>
      <c r="F494">
        <v>5.2</v>
      </c>
      <c r="G494">
        <v>0</v>
      </c>
      <c r="H494" t="s">
        <v>191</v>
      </c>
      <c r="I494">
        <v>2.7E-2</v>
      </c>
      <c r="J494">
        <f t="shared" si="258"/>
        <v>0.9989999999999668</v>
      </c>
      <c r="K494">
        <f t="shared" si="259"/>
        <v>51</v>
      </c>
      <c r="L494" t="e">
        <f t="shared" ca="1" si="260"/>
        <v>#VALUE!</v>
      </c>
      <c r="M494" t="e">
        <f t="shared" ca="1" si="233"/>
        <v>#VALUE!</v>
      </c>
      <c r="N494" t="e">
        <f t="shared" ca="1" si="234"/>
        <v>#VALUE!</v>
      </c>
      <c r="O494" t="e">
        <f t="shared" ca="1" si="235"/>
        <v>#VALUE!</v>
      </c>
      <c r="P494" t="e">
        <f t="shared" ca="1" si="236"/>
        <v>#VALUE!</v>
      </c>
      <c r="Q494" t="e">
        <f t="shared" ca="1" si="237"/>
        <v>#VALUE!</v>
      </c>
      <c r="R494" t="e">
        <f t="shared" ca="1" si="238"/>
        <v>#VALUE!</v>
      </c>
      <c r="S494" t="e">
        <f t="shared" ca="1" si="239"/>
        <v>#VALUE!</v>
      </c>
      <c r="T494" t="e">
        <f t="shared" ca="1" si="240"/>
        <v>#VALUE!</v>
      </c>
      <c r="U494" t="e">
        <f t="shared" ca="1" si="261"/>
        <v>#VALUE!</v>
      </c>
      <c r="V494" t="e">
        <f t="shared" ca="1" si="262"/>
        <v>#VALUE!</v>
      </c>
      <c r="W494" t="e">
        <f t="shared" ca="1" si="241"/>
        <v>#VALUE!</v>
      </c>
      <c r="X494" t="e">
        <f t="shared" ca="1" si="242"/>
        <v>#VALUE!</v>
      </c>
      <c r="Y494" t="e">
        <f t="shared" ca="1" si="243"/>
        <v>#VALUE!</v>
      </c>
      <c r="Z494" t="e">
        <f t="shared" ca="1" si="244"/>
        <v>#VALUE!</v>
      </c>
      <c r="AA494" t="e">
        <f t="shared" ca="1" si="245"/>
        <v>#VALUE!</v>
      </c>
      <c r="AB494" t="e">
        <f t="shared" ca="1" si="246"/>
        <v>#VALUE!</v>
      </c>
      <c r="AC494" t="e">
        <f t="shared" ca="1" si="247"/>
        <v>#VALUE!</v>
      </c>
      <c r="AD494" t="e">
        <f t="shared" ca="1" si="248"/>
        <v>#VALUE!</v>
      </c>
      <c r="AE494" t="e">
        <f t="shared" ca="1" si="249"/>
        <v>#VALUE!</v>
      </c>
      <c r="AF494" t="e">
        <f t="shared" ca="1" si="250"/>
        <v>#VALUE!</v>
      </c>
      <c r="AG494" t="e">
        <f t="shared" ca="1" si="251"/>
        <v>#VALUE!</v>
      </c>
      <c r="AH494" t="e">
        <f ca="1">IF(V32="Supercritical",L494,IF(V32="Subcritical",W494,IF(AND(V494=1,AG494=1),IF(T494&gt;=AE494,L494,W494),IF(V494=1,L494,IF(AG494=1,W494,MAX($D$16,POWER((ABS(K494)^2)/($I$5*MAX(F494,0.1)^2),1/3)))))))</f>
        <v>#VALUE!</v>
      </c>
      <c r="AI494" t="e">
        <f t="shared" ca="1" si="252"/>
        <v>#VALUE!</v>
      </c>
      <c r="AJ494" t="e">
        <f t="shared" ca="1" si="253"/>
        <v>#VALUE!</v>
      </c>
      <c r="AM494">
        <v>0</v>
      </c>
      <c r="AN494">
        <v>0</v>
      </c>
      <c r="AO494">
        <f t="shared" si="254"/>
        <v>0</v>
      </c>
      <c r="AP494">
        <f t="shared" si="263"/>
        <v>0</v>
      </c>
      <c r="AQ494" t="e">
        <f t="shared" ca="1" si="255"/>
        <v>#VALUE!</v>
      </c>
      <c r="AR494" t="e">
        <f t="shared" ca="1" si="256"/>
        <v>#VALUE!</v>
      </c>
      <c r="AS494" t="e">
        <f t="shared" ca="1" si="257"/>
        <v>#VALUE!</v>
      </c>
    </row>
    <row r="495" spans="1:45" x14ac:dyDescent="0.35">
      <c r="A495">
        <v>346</v>
      </c>
      <c r="B495">
        <v>344.89499999999998</v>
      </c>
      <c r="C495">
        <v>616277.87699999998</v>
      </c>
      <c r="D495">
        <v>3097613.196</v>
      </c>
      <c r="E495">
        <v>632.3895</v>
      </c>
      <c r="F495">
        <v>5.2</v>
      </c>
      <c r="G495">
        <v>0</v>
      </c>
      <c r="H495" t="s">
        <v>191</v>
      </c>
      <c r="I495">
        <v>2.7E-2</v>
      </c>
      <c r="J495">
        <f t="shared" si="258"/>
        <v>1</v>
      </c>
      <c r="K495">
        <f t="shared" si="259"/>
        <v>51</v>
      </c>
      <c r="L495" t="e">
        <f t="shared" ca="1" si="260"/>
        <v>#VALUE!</v>
      </c>
      <c r="M495" t="e">
        <f t="shared" ca="1" si="233"/>
        <v>#VALUE!</v>
      </c>
      <c r="N495" t="e">
        <f t="shared" ca="1" si="234"/>
        <v>#VALUE!</v>
      </c>
      <c r="O495" t="e">
        <f t="shared" ca="1" si="235"/>
        <v>#VALUE!</v>
      </c>
      <c r="P495" t="e">
        <f t="shared" ca="1" si="236"/>
        <v>#VALUE!</v>
      </c>
      <c r="Q495" t="e">
        <f t="shared" ca="1" si="237"/>
        <v>#VALUE!</v>
      </c>
      <c r="R495" t="e">
        <f t="shared" ca="1" si="238"/>
        <v>#VALUE!</v>
      </c>
      <c r="S495" t="e">
        <f t="shared" ca="1" si="239"/>
        <v>#VALUE!</v>
      </c>
      <c r="T495" t="e">
        <f t="shared" ca="1" si="240"/>
        <v>#VALUE!</v>
      </c>
      <c r="U495" t="e">
        <f t="shared" ca="1" si="261"/>
        <v>#VALUE!</v>
      </c>
      <c r="V495" t="e">
        <f t="shared" ca="1" si="262"/>
        <v>#VALUE!</v>
      </c>
      <c r="W495" t="e">
        <f t="shared" ca="1" si="241"/>
        <v>#VALUE!</v>
      </c>
      <c r="X495" t="e">
        <f t="shared" ca="1" si="242"/>
        <v>#VALUE!</v>
      </c>
      <c r="Y495" t="e">
        <f t="shared" ca="1" si="243"/>
        <v>#VALUE!</v>
      </c>
      <c r="Z495" t="e">
        <f t="shared" ca="1" si="244"/>
        <v>#VALUE!</v>
      </c>
      <c r="AA495" t="e">
        <f t="shared" ca="1" si="245"/>
        <v>#VALUE!</v>
      </c>
      <c r="AB495" t="e">
        <f t="shared" ca="1" si="246"/>
        <v>#VALUE!</v>
      </c>
      <c r="AC495" t="e">
        <f t="shared" ca="1" si="247"/>
        <v>#VALUE!</v>
      </c>
      <c r="AD495" t="e">
        <f t="shared" ca="1" si="248"/>
        <v>#VALUE!</v>
      </c>
      <c r="AE495" t="e">
        <f t="shared" ca="1" si="249"/>
        <v>#VALUE!</v>
      </c>
      <c r="AF495" t="e">
        <f t="shared" ca="1" si="250"/>
        <v>#VALUE!</v>
      </c>
      <c r="AG495" t="e">
        <f t="shared" ca="1" si="251"/>
        <v>#VALUE!</v>
      </c>
      <c r="AH495" t="e">
        <f ca="1">IF(V32="Supercritical",L495,IF(V32="Subcritical",W495,IF(AND(V495=1,AG495=1),IF(T495&gt;=AE495,L495,W495),IF(V495=1,L495,IF(AG495=1,W495,MAX($D$16,POWER((ABS(K495)^2)/($I$5*MAX(F495,0.1)^2),1/3)))))))</f>
        <v>#VALUE!</v>
      </c>
      <c r="AI495" t="e">
        <f t="shared" ca="1" si="252"/>
        <v>#VALUE!</v>
      </c>
      <c r="AJ495" t="e">
        <f t="shared" ca="1" si="253"/>
        <v>#VALUE!</v>
      </c>
      <c r="AM495">
        <v>0</v>
      </c>
      <c r="AN495">
        <v>0</v>
      </c>
      <c r="AO495">
        <f t="shared" si="254"/>
        <v>0</v>
      </c>
      <c r="AP495">
        <f t="shared" si="263"/>
        <v>0</v>
      </c>
      <c r="AQ495" t="e">
        <f t="shared" ca="1" si="255"/>
        <v>#VALUE!</v>
      </c>
      <c r="AR495" t="e">
        <f t="shared" ca="1" si="256"/>
        <v>#VALUE!</v>
      </c>
      <c r="AS495" t="e">
        <f t="shared" ca="1" si="257"/>
        <v>#VALUE!</v>
      </c>
    </row>
    <row r="496" spans="1:45" x14ac:dyDescent="0.35">
      <c r="A496">
        <v>347</v>
      </c>
      <c r="B496">
        <v>345.89499999999998</v>
      </c>
      <c r="C496">
        <v>616277.40300000005</v>
      </c>
      <c r="D496">
        <v>3097612.3160000001</v>
      </c>
      <c r="E496">
        <v>632.38900000000001</v>
      </c>
      <c r="F496">
        <v>5.2</v>
      </c>
      <c r="G496">
        <v>0</v>
      </c>
      <c r="H496" t="s">
        <v>191</v>
      </c>
      <c r="I496">
        <v>2.3E-2</v>
      </c>
      <c r="J496">
        <f t="shared" si="258"/>
        <v>1</v>
      </c>
      <c r="K496">
        <f t="shared" si="259"/>
        <v>51</v>
      </c>
      <c r="L496" t="e">
        <f t="shared" ca="1" si="260"/>
        <v>#VALUE!</v>
      </c>
      <c r="M496" t="e">
        <f t="shared" ca="1" si="233"/>
        <v>#VALUE!</v>
      </c>
      <c r="N496" t="e">
        <f t="shared" ca="1" si="234"/>
        <v>#VALUE!</v>
      </c>
      <c r="O496" t="e">
        <f t="shared" ca="1" si="235"/>
        <v>#VALUE!</v>
      </c>
      <c r="P496" t="e">
        <f t="shared" ca="1" si="236"/>
        <v>#VALUE!</v>
      </c>
      <c r="Q496" t="e">
        <f t="shared" ca="1" si="237"/>
        <v>#VALUE!</v>
      </c>
      <c r="R496" t="e">
        <f t="shared" ca="1" si="238"/>
        <v>#VALUE!</v>
      </c>
      <c r="S496" t="e">
        <f t="shared" ca="1" si="239"/>
        <v>#VALUE!</v>
      </c>
      <c r="T496" t="e">
        <f t="shared" ca="1" si="240"/>
        <v>#VALUE!</v>
      </c>
      <c r="U496" t="e">
        <f t="shared" ca="1" si="261"/>
        <v>#VALUE!</v>
      </c>
      <c r="V496" t="e">
        <f t="shared" ca="1" si="262"/>
        <v>#VALUE!</v>
      </c>
      <c r="W496" t="e">
        <f t="shared" ca="1" si="241"/>
        <v>#VALUE!</v>
      </c>
      <c r="X496" t="e">
        <f t="shared" ca="1" si="242"/>
        <v>#VALUE!</v>
      </c>
      <c r="Y496" t="e">
        <f t="shared" ca="1" si="243"/>
        <v>#VALUE!</v>
      </c>
      <c r="Z496" t="e">
        <f t="shared" ca="1" si="244"/>
        <v>#VALUE!</v>
      </c>
      <c r="AA496" t="e">
        <f t="shared" ca="1" si="245"/>
        <v>#VALUE!</v>
      </c>
      <c r="AB496" t="e">
        <f t="shared" ca="1" si="246"/>
        <v>#VALUE!</v>
      </c>
      <c r="AC496" t="e">
        <f t="shared" ca="1" si="247"/>
        <v>#VALUE!</v>
      </c>
      <c r="AD496" t="e">
        <f t="shared" ca="1" si="248"/>
        <v>#VALUE!</v>
      </c>
      <c r="AE496" t="e">
        <f t="shared" ca="1" si="249"/>
        <v>#VALUE!</v>
      </c>
      <c r="AF496" t="e">
        <f t="shared" ca="1" si="250"/>
        <v>#VALUE!</v>
      </c>
      <c r="AG496" t="e">
        <f t="shared" ca="1" si="251"/>
        <v>#VALUE!</v>
      </c>
      <c r="AH496" t="e">
        <f ca="1">IF(V32="Supercritical",L496,IF(V32="Subcritical",W496,IF(AND(V496=1,AG496=1),IF(T496&gt;=AE496,L496,W496),IF(V496=1,L496,IF(AG496=1,W496,MAX($D$16,POWER((ABS(K496)^2)/($I$5*MAX(F496,0.1)^2),1/3)))))))</f>
        <v>#VALUE!</v>
      </c>
      <c r="AI496" t="e">
        <f t="shared" ca="1" si="252"/>
        <v>#VALUE!</v>
      </c>
      <c r="AJ496" t="e">
        <f t="shared" ca="1" si="253"/>
        <v>#VALUE!</v>
      </c>
      <c r="AM496">
        <v>0</v>
      </c>
      <c r="AN496">
        <v>0</v>
      </c>
      <c r="AO496">
        <f t="shared" si="254"/>
        <v>0</v>
      </c>
      <c r="AP496">
        <f t="shared" si="263"/>
        <v>0</v>
      </c>
      <c r="AQ496" t="e">
        <f t="shared" ca="1" si="255"/>
        <v>#VALUE!</v>
      </c>
      <c r="AR496" t="e">
        <f t="shared" ca="1" si="256"/>
        <v>#VALUE!</v>
      </c>
      <c r="AS496" t="e">
        <f t="shared" ca="1" si="257"/>
        <v>#VALUE!</v>
      </c>
    </row>
    <row r="497" spans="1:45" x14ac:dyDescent="0.35">
      <c r="A497">
        <v>348</v>
      </c>
      <c r="B497">
        <v>346.89600000000002</v>
      </c>
      <c r="C497">
        <v>616276.92799999996</v>
      </c>
      <c r="D497">
        <v>3097611.4350000001</v>
      </c>
      <c r="E497">
        <v>632.38850000000002</v>
      </c>
      <c r="F497">
        <v>5.2</v>
      </c>
      <c r="G497">
        <v>0</v>
      </c>
      <c r="H497" t="s">
        <v>191</v>
      </c>
      <c r="I497">
        <v>2.3E-2</v>
      </c>
      <c r="J497">
        <f t="shared" si="258"/>
        <v>1.0010000000000332</v>
      </c>
      <c r="K497">
        <f t="shared" si="259"/>
        <v>51</v>
      </c>
      <c r="L497" t="e">
        <f t="shared" ca="1" si="260"/>
        <v>#VALUE!</v>
      </c>
      <c r="M497" t="e">
        <f t="shared" ca="1" si="233"/>
        <v>#VALUE!</v>
      </c>
      <c r="N497" t="e">
        <f t="shared" ca="1" si="234"/>
        <v>#VALUE!</v>
      </c>
      <c r="O497" t="e">
        <f t="shared" ca="1" si="235"/>
        <v>#VALUE!</v>
      </c>
      <c r="P497" t="e">
        <f t="shared" ca="1" si="236"/>
        <v>#VALUE!</v>
      </c>
      <c r="Q497" t="e">
        <f t="shared" ca="1" si="237"/>
        <v>#VALUE!</v>
      </c>
      <c r="R497" t="e">
        <f t="shared" ca="1" si="238"/>
        <v>#VALUE!</v>
      </c>
      <c r="S497" t="e">
        <f t="shared" ca="1" si="239"/>
        <v>#VALUE!</v>
      </c>
      <c r="T497" t="e">
        <f t="shared" ca="1" si="240"/>
        <v>#VALUE!</v>
      </c>
      <c r="U497" t="e">
        <f t="shared" ca="1" si="261"/>
        <v>#VALUE!</v>
      </c>
      <c r="V497" t="e">
        <f t="shared" ca="1" si="262"/>
        <v>#VALUE!</v>
      </c>
      <c r="W497" t="e">
        <f t="shared" ca="1" si="241"/>
        <v>#VALUE!</v>
      </c>
      <c r="X497" t="e">
        <f t="shared" ca="1" si="242"/>
        <v>#VALUE!</v>
      </c>
      <c r="Y497" t="e">
        <f t="shared" ca="1" si="243"/>
        <v>#VALUE!</v>
      </c>
      <c r="Z497" t="e">
        <f t="shared" ca="1" si="244"/>
        <v>#VALUE!</v>
      </c>
      <c r="AA497" t="e">
        <f t="shared" ca="1" si="245"/>
        <v>#VALUE!</v>
      </c>
      <c r="AB497" t="e">
        <f t="shared" ca="1" si="246"/>
        <v>#VALUE!</v>
      </c>
      <c r="AC497" t="e">
        <f t="shared" ca="1" si="247"/>
        <v>#VALUE!</v>
      </c>
      <c r="AD497" t="e">
        <f t="shared" ca="1" si="248"/>
        <v>#VALUE!</v>
      </c>
      <c r="AE497" t="e">
        <f t="shared" ca="1" si="249"/>
        <v>#VALUE!</v>
      </c>
      <c r="AF497" t="e">
        <f t="shared" ca="1" si="250"/>
        <v>#VALUE!</v>
      </c>
      <c r="AG497" t="e">
        <f t="shared" ca="1" si="251"/>
        <v>#VALUE!</v>
      </c>
      <c r="AH497" t="e">
        <f ca="1">IF(V32="Supercritical",L497,IF(V32="Subcritical",W497,IF(AND(V497=1,AG497=1),IF(T497&gt;=AE497,L497,W497),IF(V497=1,L497,IF(AG497=1,W497,MAX($D$16,POWER((ABS(K497)^2)/($I$5*MAX(F497,0.1)^2),1/3)))))))</f>
        <v>#VALUE!</v>
      </c>
      <c r="AI497" t="e">
        <f t="shared" ca="1" si="252"/>
        <v>#VALUE!</v>
      </c>
      <c r="AJ497" t="e">
        <f t="shared" ca="1" si="253"/>
        <v>#VALUE!</v>
      </c>
      <c r="AM497">
        <v>0</v>
      </c>
      <c r="AN497">
        <v>0</v>
      </c>
      <c r="AO497">
        <f t="shared" si="254"/>
        <v>0</v>
      </c>
      <c r="AP497">
        <f t="shared" si="263"/>
        <v>0</v>
      </c>
      <c r="AQ497" t="e">
        <f t="shared" ca="1" si="255"/>
        <v>#VALUE!</v>
      </c>
      <c r="AR497" t="e">
        <f t="shared" ca="1" si="256"/>
        <v>#VALUE!</v>
      </c>
      <c r="AS497" t="e">
        <f t="shared" ca="1" si="257"/>
        <v>#VALUE!</v>
      </c>
    </row>
    <row r="498" spans="1:45" x14ac:dyDescent="0.35">
      <c r="A498">
        <v>349</v>
      </c>
      <c r="B498">
        <v>347.89499999999998</v>
      </c>
      <c r="C498">
        <v>616276.45400000003</v>
      </c>
      <c r="D498">
        <v>3097610.5550000002</v>
      </c>
      <c r="E498">
        <v>632.38800000000003</v>
      </c>
      <c r="F498">
        <v>5.2</v>
      </c>
      <c r="G498">
        <v>0</v>
      </c>
      <c r="H498" t="s">
        <v>191</v>
      </c>
      <c r="I498">
        <v>0</v>
      </c>
      <c r="J498">
        <f t="shared" si="258"/>
        <v>0.9989999999999668</v>
      </c>
      <c r="K498">
        <f t="shared" si="259"/>
        <v>51</v>
      </c>
      <c r="L498" t="e">
        <f t="shared" ca="1" si="260"/>
        <v>#VALUE!</v>
      </c>
      <c r="M498" t="e">
        <f t="shared" ca="1" si="233"/>
        <v>#VALUE!</v>
      </c>
      <c r="N498" t="e">
        <f t="shared" ca="1" si="234"/>
        <v>#VALUE!</v>
      </c>
      <c r="O498" t="e">
        <f t="shared" ca="1" si="235"/>
        <v>#VALUE!</v>
      </c>
      <c r="P498" t="e">
        <f t="shared" ca="1" si="236"/>
        <v>#VALUE!</v>
      </c>
      <c r="Q498" t="e">
        <f t="shared" ca="1" si="237"/>
        <v>#VALUE!</v>
      </c>
      <c r="R498" t="e">
        <f t="shared" ca="1" si="238"/>
        <v>#VALUE!</v>
      </c>
      <c r="S498" t="e">
        <f t="shared" ca="1" si="239"/>
        <v>#VALUE!</v>
      </c>
      <c r="T498" t="e">
        <f t="shared" ca="1" si="240"/>
        <v>#VALUE!</v>
      </c>
      <c r="U498" t="e">
        <f t="shared" ca="1" si="261"/>
        <v>#VALUE!</v>
      </c>
      <c r="V498" t="e">
        <f t="shared" ca="1" si="262"/>
        <v>#VALUE!</v>
      </c>
      <c r="W498" t="e">
        <f t="shared" ca="1" si="241"/>
        <v>#VALUE!</v>
      </c>
      <c r="X498" t="e">
        <f t="shared" ca="1" si="242"/>
        <v>#VALUE!</v>
      </c>
      <c r="Y498" t="e">
        <f t="shared" ca="1" si="243"/>
        <v>#VALUE!</v>
      </c>
      <c r="Z498" t="e">
        <f t="shared" ca="1" si="244"/>
        <v>#VALUE!</v>
      </c>
      <c r="AA498" t="e">
        <f t="shared" ca="1" si="245"/>
        <v>#VALUE!</v>
      </c>
      <c r="AB498" t="e">
        <f t="shared" ca="1" si="246"/>
        <v>#VALUE!</v>
      </c>
      <c r="AC498" t="e">
        <f t="shared" ca="1" si="247"/>
        <v>#VALUE!</v>
      </c>
      <c r="AD498" t="e">
        <f t="shared" ca="1" si="248"/>
        <v>#VALUE!</v>
      </c>
      <c r="AE498" t="e">
        <f t="shared" ca="1" si="249"/>
        <v>#VALUE!</v>
      </c>
      <c r="AF498" t="e">
        <f t="shared" ca="1" si="250"/>
        <v>#VALUE!</v>
      </c>
      <c r="AG498" t="e">
        <f t="shared" ca="1" si="251"/>
        <v>#VALUE!</v>
      </c>
      <c r="AH498" t="e">
        <f ca="1">IF(V32="Supercritical",L498,IF(V32="Subcritical",W498,IF(AND(V498=1,AG498=1),IF(T498&gt;=AE498,L498,W498),IF(V498=1,L498,IF(AG498=1,W498,MAX($D$16,POWER((ABS(K498)^2)/($I$5*MAX(F498,0.1)^2),1/3)))))))</f>
        <v>#VALUE!</v>
      </c>
      <c r="AI498" t="e">
        <f t="shared" ca="1" si="252"/>
        <v>#VALUE!</v>
      </c>
      <c r="AJ498" t="e">
        <f t="shared" ca="1" si="253"/>
        <v>#VALUE!</v>
      </c>
      <c r="AM498">
        <v>0</v>
      </c>
      <c r="AN498">
        <v>0</v>
      </c>
      <c r="AO498">
        <f t="shared" si="254"/>
        <v>0</v>
      </c>
      <c r="AP498">
        <f t="shared" si="263"/>
        <v>0</v>
      </c>
      <c r="AQ498" t="e">
        <f t="shared" ca="1" si="255"/>
        <v>#VALUE!</v>
      </c>
      <c r="AR498" t="e">
        <f t="shared" ca="1" si="256"/>
        <v>#VALUE!</v>
      </c>
      <c r="AS498" t="e">
        <f t="shared" ca="1" si="257"/>
        <v>#VALUE!</v>
      </c>
    </row>
    <row r="499" spans="1:45" x14ac:dyDescent="0.35">
      <c r="A499">
        <v>350</v>
      </c>
      <c r="B499">
        <v>348.89499999999998</v>
      </c>
      <c r="C499">
        <v>616275.98</v>
      </c>
      <c r="D499">
        <v>3097609.6749999998</v>
      </c>
      <c r="E499">
        <v>632.38750000000005</v>
      </c>
      <c r="F499">
        <v>5.2</v>
      </c>
      <c r="G499">
        <v>0</v>
      </c>
      <c r="H499" t="s">
        <v>191</v>
      </c>
      <c r="I499">
        <v>2.7E-2</v>
      </c>
      <c r="J499">
        <f t="shared" si="258"/>
        <v>1</v>
      </c>
      <c r="K499">
        <f t="shared" si="259"/>
        <v>51</v>
      </c>
      <c r="L499" t="e">
        <f t="shared" ca="1" si="260"/>
        <v>#VALUE!</v>
      </c>
      <c r="M499" t="e">
        <f t="shared" ca="1" si="233"/>
        <v>#VALUE!</v>
      </c>
      <c r="N499" t="e">
        <f t="shared" ca="1" si="234"/>
        <v>#VALUE!</v>
      </c>
      <c r="O499" t="e">
        <f t="shared" ca="1" si="235"/>
        <v>#VALUE!</v>
      </c>
      <c r="P499" t="e">
        <f t="shared" ca="1" si="236"/>
        <v>#VALUE!</v>
      </c>
      <c r="Q499" t="e">
        <f t="shared" ca="1" si="237"/>
        <v>#VALUE!</v>
      </c>
      <c r="R499" t="e">
        <f t="shared" ca="1" si="238"/>
        <v>#VALUE!</v>
      </c>
      <c r="S499" t="e">
        <f t="shared" ca="1" si="239"/>
        <v>#VALUE!</v>
      </c>
      <c r="T499" t="e">
        <f t="shared" ca="1" si="240"/>
        <v>#VALUE!</v>
      </c>
      <c r="U499" t="e">
        <f t="shared" ca="1" si="261"/>
        <v>#VALUE!</v>
      </c>
      <c r="V499" t="e">
        <f t="shared" ca="1" si="262"/>
        <v>#VALUE!</v>
      </c>
      <c r="W499" t="e">
        <f t="shared" ca="1" si="241"/>
        <v>#VALUE!</v>
      </c>
      <c r="X499" t="e">
        <f t="shared" ca="1" si="242"/>
        <v>#VALUE!</v>
      </c>
      <c r="Y499" t="e">
        <f t="shared" ca="1" si="243"/>
        <v>#VALUE!</v>
      </c>
      <c r="Z499" t="e">
        <f t="shared" ca="1" si="244"/>
        <v>#VALUE!</v>
      </c>
      <c r="AA499" t="e">
        <f t="shared" ca="1" si="245"/>
        <v>#VALUE!</v>
      </c>
      <c r="AB499" t="e">
        <f t="shared" ca="1" si="246"/>
        <v>#VALUE!</v>
      </c>
      <c r="AC499" t="e">
        <f t="shared" ca="1" si="247"/>
        <v>#VALUE!</v>
      </c>
      <c r="AD499" t="e">
        <f t="shared" ca="1" si="248"/>
        <v>#VALUE!</v>
      </c>
      <c r="AE499" t="e">
        <f t="shared" ca="1" si="249"/>
        <v>#VALUE!</v>
      </c>
      <c r="AF499" t="e">
        <f t="shared" ca="1" si="250"/>
        <v>#VALUE!</v>
      </c>
      <c r="AG499" t="e">
        <f t="shared" ca="1" si="251"/>
        <v>#VALUE!</v>
      </c>
      <c r="AH499" t="e">
        <f ca="1">IF(V32="Supercritical",L499,IF(V32="Subcritical",W499,IF(AND(V499=1,AG499=1),IF(T499&gt;=AE499,L499,W499),IF(V499=1,L499,IF(AG499=1,W499,MAX($D$16,POWER((ABS(K499)^2)/($I$5*MAX(F499,0.1)^2),1/3)))))))</f>
        <v>#VALUE!</v>
      </c>
      <c r="AI499" t="e">
        <f t="shared" ca="1" si="252"/>
        <v>#VALUE!</v>
      </c>
      <c r="AJ499" t="e">
        <f t="shared" ca="1" si="253"/>
        <v>#VALUE!</v>
      </c>
      <c r="AM499">
        <v>0</v>
      </c>
      <c r="AN499">
        <v>0</v>
      </c>
      <c r="AO499">
        <f t="shared" si="254"/>
        <v>0</v>
      </c>
      <c r="AP499">
        <f t="shared" si="263"/>
        <v>0</v>
      </c>
      <c r="AQ499" t="e">
        <f t="shared" ca="1" si="255"/>
        <v>#VALUE!</v>
      </c>
      <c r="AR499" t="e">
        <f t="shared" ca="1" si="256"/>
        <v>#VALUE!</v>
      </c>
      <c r="AS499" t="e">
        <f t="shared" ca="1" si="257"/>
        <v>#VALUE!</v>
      </c>
    </row>
    <row r="500" spans="1:45" x14ac:dyDescent="0.35">
      <c r="A500">
        <v>351</v>
      </c>
      <c r="B500">
        <v>349.89499999999998</v>
      </c>
      <c r="C500">
        <v>616275.50600000005</v>
      </c>
      <c r="D500">
        <v>3097608.7940000002</v>
      </c>
      <c r="E500">
        <v>632.38699999999994</v>
      </c>
      <c r="F500">
        <v>5.2</v>
      </c>
      <c r="G500">
        <v>0</v>
      </c>
      <c r="H500" t="s">
        <v>191</v>
      </c>
      <c r="I500">
        <v>2.7E-2</v>
      </c>
      <c r="J500">
        <f t="shared" si="258"/>
        <v>1</v>
      </c>
      <c r="K500">
        <f t="shared" si="259"/>
        <v>51</v>
      </c>
      <c r="L500" t="e">
        <f t="shared" ca="1" si="260"/>
        <v>#VALUE!</v>
      </c>
      <c r="M500" t="e">
        <f t="shared" ca="1" si="233"/>
        <v>#VALUE!</v>
      </c>
      <c r="N500" t="e">
        <f t="shared" ca="1" si="234"/>
        <v>#VALUE!</v>
      </c>
      <c r="O500" t="e">
        <f t="shared" ca="1" si="235"/>
        <v>#VALUE!</v>
      </c>
      <c r="P500" t="e">
        <f t="shared" ca="1" si="236"/>
        <v>#VALUE!</v>
      </c>
      <c r="Q500" t="e">
        <f t="shared" ca="1" si="237"/>
        <v>#VALUE!</v>
      </c>
      <c r="R500" t="e">
        <f t="shared" ca="1" si="238"/>
        <v>#VALUE!</v>
      </c>
      <c r="S500" t="e">
        <f t="shared" ca="1" si="239"/>
        <v>#VALUE!</v>
      </c>
      <c r="T500" t="e">
        <f t="shared" ca="1" si="240"/>
        <v>#VALUE!</v>
      </c>
      <c r="U500" t="e">
        <f t="shared" ca="1" si="261"/>
        <v>#VALUE!</v>
      </c>
      <c r="V500" t="e">
        <f t="shared" ca="1" si="262"/>
        <v>#VALUE!</v>
      </c>
      <c r="W500" t="e">
        <f t="shared" ca="1" si="241"/>
        <v>#VALUE!</v>
      </c>
      <c r="X500" t="e">
        <f t="shared" ca="1" si="242"/>
        <v>#VALUE!</v>
      </c>
      <c r="Y500" t="e">
        <f t="shared" ca="1" si="243"/>
        <v>#VALUE!</v>
      </c>
      <c r="Z500" t="e">
        <f t="shared" ca="1" si="244"/>
        <v>#VALUE!</v>
      </c>
      <c r="AA500" t="e">
        <f t="shared" ca="1" si="245"/>
        <v>#VALUE!</v>
      </c>
      <c r="AB500" t="e">
        <f t="shared" ca="1" si="246"/>
        <v>#VALUE!</v>
      </c>
      <c r="AC500" t="e">
        <f t="shared" ca="1" si="247"/>
        <v>#VALUE!</v>
      </c>
      <c r="AD500" t="e">
        <f t="shared" ca="1" si="248"/>
        <v>#VALUE!</v>
      </c>
      <c r="AE500" t="e">
        <f t="shared" ca="1" si="249"/>
        <v>#VALUE!</v>
      </c>
      <c r="AF500" t="e">
        <f t="shared" ca="1" si="250"/>
        <v>#VALUE!</v>
      </c>
      <c r="AG500" t="e">
        <f t="shared" ca="1" si="251"/>
        <v>#VALUE!</v>
      </c>
      <c r="AH500" t="e">
        <f ca="1">IF(V32="Supercritical",L500,IF(V32="Subcritical",W500,IF(AND(V500=1,AG500=1),IF(T500&gt;=AE500,L500,W500),IF(V500=1,L500,IF(AG500=1,W500,MAX($D$16,POWER((ABS(K500)^2)/($I$5*MAX(F500,0.1)^2),1/3)))))))</f>
        <v>#VALUE!</v>
      </c>
      <c r="AI500" t="e">
        <f t="shared" ca="1" si="252"/>
        <v>#VALUE!</v>
      </c>
      <c r="AJ500" t="e">
        <f t="shared" ca="1" si="253"/>
        <v>#VALUE!</v>
      </c>
      <c r="AM500">
        <v>0</v>
      </c>
      <c r="AN500">
        <v>0</v>
      </c>
      <c r="AO500">
        <f t="shared" si="254"/>
        <v>0</v>
      </c>
      <c r="AP500">
        <f t="shared" si="263"/>
        <v>0</v>
      </c>
      <c r="AQ500" t="e">
        <f t="shared" ca="1" si="255"/>
        <v>#VALUE!</v>
      </c>
      <c r="AR500" t="e">
        <f t="shared" ca="1" si="256"/>
        <v>#VALUE!</v>
      </c>
      <c r="AS500" t="e">
        <f t="shared" ca="1" si="257"/>
        <v>#VALUE!</v>
      </c>
    </row>
    <row r="501" spans="1:45" x14ac:dyDescent="0.35">
      <c r="A501">
        <v>352</v>
      </c>
      <c r="B501">
        <v>350.89499999999998</v>
      </c>
      <c r="C501">
        <v>616275.03200000001</v>
      </c>
      <c r="D501">
        <v>3097607.9139999999</v>
      </c>
      <c r="E501">
        <v>632.38649999999996</v>
      </c>
      <c r="F501">
        <v>5.2</v>
      </c>
      <c r="G501">
        <v>0</v>
      </c>
      <c r="H501" t="s">
        <v>191</v>
      </c>
      <c r="I501">
        <v>2.3E-2</v>
      </c>
      <c r="J501">
        <f t="shared" si="258"/>
        <v>1</v>
      </c>
      <c r="K501">
        <f t="shared" si="259"/>
        <v>51</v>
      </c>
      <c r="L501" t="e">
        <f t="shared" ca="1" si="260"/>
        <v>#VALUE!</v>
      </c>
      <c r="M501" t="e">
        <f t="shared" ca="1" si="233"/>
        <v>#VALUE!</v>
      </c>
      <c r="N501" t="e">
        <f t="shared" ca="1" si="234"/>
        <v>#VALUE!</v>
      </c>
      <c r="O501" t="e">
        <f t="shared" ca="1" si="235"/>
        <v>#VALUE!</v>
      </c>
      <c r="P501" t="e">
        <f t="shared" ca="1" si="236"/>
        <v>#VALUE!</v>
      </c>
      <c r="Q501" t="e">
        <f t="shared" ca="1" si="237"/>
        <v>#VALUE!</v>
      </c>
      <c r="R501" t="e">
        <f t="shared" ca="1" si="238"/>
        <v>#VALUE!</v>
      </c>
      <c r="S501" t="e">
        <f t="shared" ca="1" si="239"/>
        <v>#VALUE!</v>
      </c>
      <c r="T501" t="e">
        <f t="shared" ca="1" si="240"/>
        <v>#VALUE!</v>
      </c>
      <c r="U501" t="e">
        <f t="shared" ca="1" si="261"/>
        <v>#VALUE!</v>
      </c>
      <c r="V501" t="e">
        <f t="shared" ca="1" si="262"/>
        <v>#VALUE!</v>
      </c>
      <c r="W501" t="e">
        <f t="shared" ca="1" si="241"/>
        <v>#VALUE!</v>
      </c>
      <c r="X501" t="e">
        <f t="shared" ca="1" si="242"/>
        <v>#VALUE!</v>
      </c>
      <c r="Y501" t="e">
        <f t="shared" ca="1" si="243"/>
        <v>#VALUE!</v>
      </c>
      <c r="Z501" t="e">
        <f t="shared" ca="1" si="244"/>
        <v>#VALUE!</v>
      </c>
      <c r="AA501" t="e">
        <f t="shared" ca="1" si="245"/>
        <v>#VALUE!</v>
      </c>
      <c r="AB501" t="e">
        <f t="shared" ca="1" si="246"/>
        <v>#VALUE!</v>
      </c>
      <c r="AC501" t="e">
        <f t="shared" ca="1" si="247"/>
        <v>#VALUE!</v>
      </c>
      <c r="AD501" t="e">
        <f t="shared" ca="1" si="248"/>
        <v>#VALUE!</v>
      </c>
      <c r="AE501" t="e">
        <f t="shared" ca="1" si="249"/>
        <v>#VALUE!</v>
      </c>
      <c r="AF501" t="e">
        <f t="shared" ca="1" si="250"/>
        <v>#VALUE!</v>
      </c>
      <c r="AG501" t="e">
        <f t="shared" ca="1" si="251"/>
        <v>#VALUE!</v>
      </c>
      <c r="AH501" t="e">
        <f ca="1">IF(V32="Supercritical",L501,IF(V32="Subcritical",W501,IF(AND(V501=1,AG501=1),IF(T501&gt;=AE501,L501,W501),IF(V501=1,L501,IF(AG501=1,W501,MAX($D$16,POWER((ABS(K501)^2)/($I$5*MAX(F501,0.1)^2),1/3)))))))</f>
        <v>#VALUE!</v>
      </c>
      <c r="AI501" t="e">
        <f t="shared" ca="1" si="252"/>
        <v>#VALUE!</v>
      </c>
      <c r="AJ501" t="e">
        <f t="shared" ca="1" si="253"/>
        <v>#VALUE!</v>
      </c>
      <c r="AM501">
        <v>0</v>
      </c>
      <c r="AN501">
        <v>0</v>
      </c>
      <c r="AO501">
        <f t="shared" si="254"/>
        <v>0</v>
      </c>
      <c r="AP501">
        <f t="shared" si="263"/>
        <v>0</v>
      </c>
      <c r="AQ501" t="e">
        <f t="shared" ca="1" si="255"/>
        <v>#VALUE!</v>
      </c>
      <c r="AR501" t="e">
        <f t="shared" ca="1" si="256"/>
        <v>#VALUE!</v>
      </c>
      <c r="AS501" t="e">
        <f t="shared" ca="1" si="257"/>
        <v>#VALUE!</v>
      </c>
    </row>
    <row r="502" spans="1:45" x14ac:dyDescent="0.35">
      <c r="A502">
        <v>353</v>
      </c>
      <c r="B502">
        <v>351.89600000000002</v>
      </c>
      <c r="C502">
        <v>616274.55700000003</v>
      </c>
      <c r="D502">
        <v>3097607.0329999998</v>
      </c>
      <c r="E502">
        <v>632.38599999999997</v>
      </c>
      <c r="F502">
        <v>5.2</v>
      </c>
      <c r="G502">
        <v>0</v>
      </c>
      <c r="H502" t="s">
        <v>191</v>
      </c>
      <c r="I502">
        <v>2.3E-2</v>
      </c>
      <c r="J502">
        <f t="shared" si="258"/>
        <v>1.0010000000000332</v>
      </c>
      <c r="K502">
        <f t="shared" si="259"/>
        <v>51</v>
      </c>
      <c r="L502" t="e">
        <f t="shared" ca="1" si="260"/>
        <v>#VALUE!</v>
      </c>
      <c r="M502" t="e">
        <f t="shared" ca="1" si="233"/>
        <v>#VALUE!</v>
      </c>
      <c r="N502" t="e">
        <f t="shared" ca="1" si="234"/>
        <v>#VALUE!</v>
      </c>
      <c r="O502" t="e">
        <f t="shared" ca="1" si="235"/>
        <v>#VALUE!</v>
      </c>
      <c r="P502" t="e">
        <f t="shared" ca="1" si="236"/>
        <v>#VALUE!</v>
      </c>
      <c r="Q502" t="e">
        <f t="shared" ca="1" si="237"/>
        <v>#VALUE!</v>
      </c>
      <c r="R502" t="e">
        <f t="shared" ca="1" si="238"/>
        <v>#VALUE!</v>
      </c>
      <c r="S502" t="e">
        <f t="shared" ca="1" si="239"/>
        <v>#VALUE!</v>
      </c>
      <c r="T502" t="e">
        <f t="shared" ca="1" si="240"/>
        <v>#VALUE!</v>
      </c>
      <c r="U502" t="e">
        <f t="shared" ca="1" si="261"/>
        <v>#VALUE!</v>
      </c>
      <c r="V502" t="e">
        <f t="shared" ca="1" si="262"/>
        <v>#VALUE!</v>
      </c>
      <c r="W502" t="e">
        <f t="shared" ca="1" si="241"/>
        <v>#VALUE!</v>
      </c>
      <c r="X502" t="e">
        <f t="shared" ca="1" si="242"/>
        <v>#VALUE!</v>
      </c>
      <c r="Y502" t="e">
        <f t="shared" ca="1" si="243"/>
        <v>#VALUE!</v>
      </c>
      <c r="Z502" t="e">
        <f t="shared" ca="1" si="244"/>
        <v>#VALUE!</v>
      </c>
      <c r="AA502" t="e">
        <f t="shared" ca="1" si="245"/>
        <v>#VALUE!</v>
      </c>
      <c r="AB502" t="e">
        <f t="shared" ca="1" si="246"/>
        <v>#VALUE!</v>
      </c>
      <c r="AC502" t="e">
        <f t="shared" ca="1" si="247"/>
        <v>#VALUE!</v>
      </c>
      <c r="AD502" t="e">
        <f t="shared" ca="1" si="248"/>
        <v>#VALUE!</v>
      </c>
      <c r="AE502" t="e">
        <f t="shared" ca="1" si="249"/>
        <v>#VALUE!</v>
      </c>
      <c r="AF502" t="e">
        <f t="shared" ca="1" si="250"/>
        <v>#VALUE!</v>
      </c>
      <c r="AG502" t="e">
        <f t="shared" ca="1" si="251"/>
        <v>#VALUE!</v>
      </c>
      <c r="AH502" t="e">
        <f ca="1">IF(V32="Supercritical",L502,IF(V32="Subcritical",W502,IF(AND(V502=1,AG502=1),IF(T502&gt;=AE502,L502,W502),IF(V502=1,L502,IF(AG502=1,W502,MAX($D$16,POWER((ABS(K502)^2)/($I$5*MAX(F502,0.1)^2),1/3)))))))</f>
        <v>#VALUE!</v>
      </c>
      <c r="AI502" t="e">
        <f t="shared" ca="1" si="252"/>
        <v>#VALUE!</v>
      </c>
      <c r="AJ502" t="e">
        <f t="shared" ca="1" si="253"/>
        <v>#VALUE!</v>
      </c>
      <c r="AM502">
        <v>0</v>
      </c>
      <c r="AN502">
        <v>0</v>
      </c>
      <c r="AO502">
        <f t="shared" si="254"/>
        <v>0</v>
      </c>
      <c r="AP502">
        <f t="shared" si="263"/>
        <v>0</v>
      </c>
      <c r="AQ502" t="e">
        <f t="shared" ca="1" si="255"/>
        <v>#VALUE!</v>
      </c>
      <c r="AR502" t="e">
        <f t="shared" ca="1" si="256"/>
        <v>#VALUE!</v>
      </c>
      <c r="AS502" t="e">
        <f t="shared" ca="1" si="257"/>
        <v>#VALUE!</v>
      </c>
    </row>
    <row r="503" spans="1:45" x14ac:dyDescent="0.35">
      <c r="A503">
        <v>354</v>
      </c>
      <c r="B503">
        <v>352.89499999999998</v>
      </c>
      <c r="C503">
        <v>616274.08299999998</v>
      </c>
      <c r="D503">
        <v>3097606.1529999999</v>
      </c>
      <c r="E503">
        <v>632.38549999999998</v>
      </c>
      <c r="F503">
        <v>5.2</v>
      </c>
      <c r="G503">
        <v>0</v>
      </c>
      <c r="H503" t="s">
        <v>191</v>
      </c>
      <c r="I503">
        <v>0</v>
      </c>
      <c r="J503">
        <f t="shared" si="258"/>
        <v>0.9989999999999668</v>
      </c>
      <c r="K503">
        <f t="shared" si="259"/>
        <v>51</v>
      </c>
      <c r="L503" t="e">
        <f t="shared" ca="1" si="260"/>
        <v>#VALUE!</v>
      </c>
      <c r="M503" t="e">
        <f t="shared" ca="1" si="233"/>
        <v>#VALUE!</v>
      </c>
      <c r="N503" t="e">
        <f t="shared" ca="1" si="234"/>
        <v>#VALUE!</v>
      </c>
      <c r="O503" t="e">
        <f t="shared" ca="1" si="235"/>
        <v>#VALUE!</v>
      </c>
      <c r="P503" t="e">
        <f t="shared" ca="1" si="236"/>
        <v>#VALUE!</v>
      </c>
      <c r="Q503" t="e">
        <f t="shared" ca="1" si="237"/>
        <v>#VALUE!</v>
      </c>
      <c r="R503" t="e">
        <f t="shared" ca="1" si="238"/>
        <v>#VALUE!</v>
      </c>
      <c r="S503" t="e">
        <f t="shared" ca="1" si="239"/>
        <v>#VALUE!</v>
      </c>
      <c r="T503" t="e">
        <f t="shared" ca="1" si="240"/>
        <v>#VALUE!</v>
      </c>
      <c r="U503" t="e">
        <f t="shared" ca="1" si="261"/>
        <v>#VALUE!</v>
      </c>
      <c r="V503" t="e">
        <f t="shared" ca="1" si="262"/>
        <v>#VALUE!</v>
      </c>
      <c r="W503" t="e">
        <f t="shared" ca="1" si="241"/>
        <v>#VALUE!</v>
      </c>
      <c r="X503" t="e">
        <f t="shared" ca="1" si="242"/>
        <v>#VALUE!</v>
      </c>
      <c r="Y503" t="e">
        <f t="shared" ca="1" si="243"/>
        <v>#VALUE!</v>
      </c>
      <c r="Z503" t="e">
        <f t="shared" ca="1" si="244"/>
        <v>#VALUE!</v>
      </c>
      <c r="AA503" t="e">
        <f t="shared" ca="1" si="245"/>
        <v>#VALUE!</v>
      </c>
      <c r="AB503" t="e">
        <f t="shared" ca="1" si="246"/>
        <v>#VALUE!</v>
      </c>
      <c r="AC503" t="e">
        <f t="shared" ca="1" si="247"/>
        <v>#VALUE!</v>
      </c>
      <c r="AD503" t="e">
        <f t="shared" ca="1" si="248"/>
        <v>#VALUE!</v>
      </c>
      <c r="AE503" t="e">
        <f t="shared" ca="1" si="249"/>
        <v>#VALUE!</v>
      </c>
      <c r="AF503" t="e">
        <f t="shared" ca="1" si="250"/>
        <v>#VALUE!</v>
      </c>
      <c r="AG503" t="e">
        <f t="shared" ca="1" si="251"/>
        <v>#VALUE!</v>
      </c>
      <c r="AH503" t="e">
        <f ca="1">IF(V32="Supercritical",L503,IF(V32="Subcritical",W503,IF(AND(V503=1,AG503=1),IF(T503&gt;=AE503,L503,W503),IF(V503=1,L503,IF(AG503=1,W503,MAX($D$16,POWER((ABS(K503)^2)/($I$5*MAX(F503,0.1)^2),1/3)))))))</f>
        <v>#VALUE!</v>
      </c>
      <c r="AI503" t="e">
        <f t="shared" ca="1" si="252"/>
        <v>#VALUE!</v>
      </c>
      <c r="AJ503" t="e">
        <f t="shared" ca="1" si="253"/>
        <v>#VALUE!</v>
      </c>
      <c r="AM503">
        <v>0</v>
      </c>
      <c r="AN503">
        <v>0</v>
      </c>
      <c r="AO503">
        <f t="shared" si="254"/>
        <v>0</v>
      </c>
      <c r="AP503">
        <f t="shared" si="263"/>
        <v>0</v>
      </c>
      <c r="AQ503" t="e">
        <f t="shared" ca="1" si="255"/>
        <v>#VALUE!</v>
      </c>
      <c r="AR503" t="e">
        <f t="shared" ca="1" si="256"/>
        <v>#VALUE!</v>
      </c>
      <c r="AS503" t="e">
        <f t="shared" ca="1" si="257"/>
        <v>#VALUE!</v>
      </c>
    </row>
    <row r="504" spans="1:45" x14ac:dyDescent="0.35">
      <c r="A504">
        <v>355</v>
      </c>
      <c r="B504">
        <v>353.89499999999998</v>
      </c>
      <c r="C504">
        <v>616273.60900000005</v>
      </c>
      <c r="D504">
        <v>3097605.273</v>
      </c>
      <c r="E504">
        <v>632.38499999999999</v>
      </c>
      <c r="F504">
        <v>5.2</v>
      </c>
      <c r="G504">
        <v>0</v>
      </c>
      <c r="H504" t="s">
        <v>191</v>
      </c>
      <c r="I504">
        <v>2.7E-2</v>
      </c>
      <c r="J504">
        <f t="shared" si="258"/>
        <v>1</v>
      </c>
      <c r="K504">
        <f t="shared" si="259"/>
        <v>51</v>
      </c>
      <c r="L504" t="e">
        <f t="shared" ca="1" si="260"/>
        <v>#VALUE!</v>
      </c>
      <c r="M504" t="e">
        <f t="shared" ca="1" si="233"/>
        <v>#VALUE!</v>
      </c>
      <c r="N504" t="e">
        <f t="shared" ca="1" si="234"/>
        <v>#VALUE!</v>
      </c>
      <c r="O504" t="e">
        <f t="shared" ca="1" si="235"/>
        <v>#VALUE!</v>
      </c>
      <c r="P504" t="e">
        <f t="shared" ca="1" si="236"/>
        <v>#VALUE!</v>
      </c>
      <c r="Q504" t="e">
        <f t="shared" ca="1" si="237"/>
        <v>#VALUE!</v>
      </c>
      <c r="R504" t="e">
        <f t="shared" ca="1" si="238"/>
        <v>#VALUE!</v>
      </c>
      <c r="S504" t="e">
        <f t="shared" ca="1" si="239"/>
        <v>#VALUE!</v>
      </c>
      <c r="T504" t="e">
        <f t="shared" ca="1" si="240"/>
        <v>#VALUE!</v>
      </c>
      <c r="U504" t="e">
        <f t="shared" ca="1" si="261"/>
        <v>#VALUE!</v>
      </c>
      <c r="V504" t="e">
        <f t="shared" ca="1" si="262"/>
        <v>#VALUE!</v>
      </c>
      <c r="W504" t="e">
        <f t="shared" ca="1" si="241"/>
        <v>#VALUE!</v>
      </c>
      <c r="X504" t="e">
        <f t="shared" ca="1" si="242"/>
        <v>#VALUE!</v>
      </c>
      <c r="Y504" t="e">
        <f t="shared" ca="1" si="243"/>
        <v>#VALUE!</v>
      </c>
      <c r="Z504" t="e">
        <f t="shared" ca="1" si="244"/>
        <v>#VALUE!</v>
      </c>
      <c r="AA504" t="e">
        <f t="shared" ca="1" si="245"/>
        <v>#VALUE!</v>
      </c>
      <c r="AB504" t="e">
        <f t="shared" ca="1" si="246"/>
        <v>#VALUE!</v>
      </c>
      <c r="AC504" t="e">
        <f t="shared" ca="1" si="247"/>
        <v>#VALUE!</v>
      </c>
      <c r="AD504" t="e">
        <f t="shared" ca="1" si="248"/>
        <v>#VALUE!</v>
      </c>
      <c r="AE504" t="e">
        <f t="shared" ca="1" si="249"/>
        <v>#VALUE!</v>
      </c>
      <c r="AF504" t="e">
        <f t="shared" ca="1" si="250"/>
        <v>#VALUE!</v>
      </c>
      <c r="AG504" t="e">
        <f t="shared" ca="1" si="251"/>
        <v>#VALUE!</v>
      </c>
      <c r="AH504" t="e">
        <f ca="1">IF(V32="Supercritical",L504,IF(V32="Subcritical",W504,IF(AND(V504=1,AG504=1),IF(T504&gt;=AE504,L504,W504),IF(V504=1,L504,IF(AG504=1,W504,MAX($D$16,POWER((ABS(K504)^2)/($I$5*MAX(F504,0.1)^2),1/3)))))))</f>
        <v>#VALUE!</v>
      </c>
      <c r="AI504" t="e">
        <f t="shared" ca="1" si="252"/>
        <v>#VALUE!</v>
      </c>
      <c r="AJ504" t="e">
        <f t="shared" ca="1" si="253"/>
        <v>#VALUE!</v>
      </c>
      <c r="AM504">
        <v>0</v>
      </c>
      <c r="AN504">
        <v>0</v>
      </c>
      <c r="AO504">
        <f t="shared" si="254"/>
        <v>0</v>
      </c>
      <c r="AP504">
        <f t="shared" si="263"/>
        <v>0</v>
      </c>
      <c r="AQ504" t="e">
        <f t="shared" ca="1" si="255"/>
        <v>#VALUE!</v>
      </c>
      <c r="AR504" t="e">
        <f t="shared" ca="1" si="256"/>
        <v>#VALUE!</v>
      </c>
      <c r="AS504" t="e">
        <f t="shared" ca="1" si="257"/>
        <v>#VALUE!</v>
      </c>
    </row>
    <row r="505" spans="1:45" x14ac:dyDescent="0.35">
      <c r="A505">
        <v>356</v>
      </c>
      <c r="B505">
        <v>354.89499999999998</v>
      </c>
      <c r="C505">
        <v>616273.13500000001</v>
      </c>
      <c r="D505">
        <v>3097604.392</v>
      </c>
      <c r="E505">
        <v>632.3845</v>
      </c>
      <c r="F505">
        <v>5.2</v>
      </c>
      <c r="G505">
        <v>0</v>
      </c>
      <c r="H505" t="s">
        <v>191</v>
      </c>
      <c r="I505">
        <v>7.8E-2</v>
      </c>
      <c r="J505">
        <f t="shared" si="258"/>
        <v>1</v>
      </c>
      <c r="K505">
        <f t="shared" si="259"/>
        <v>51</v>
      </c>
      <c r="L505" t="e">
        <f t="shared" ca="1" si="260"/>
        <v>#VALUE!</v>
      </c>
      <c r="M505" t="e">
        <f t="shared" ca="1" si="233"/>
        <v>#VALUE!</v>
      </c>
      <c r="N505" t="e">
        <f t="shared" ca="1" si="234"/>
        <v>#VALUE!</v>
      </c>
      <c r="O505" t="e">
        <f t="shared" ca="1" si="235"/>
        <v>#VALUE!</v>
      </c>
      <c r="P505" t="e">
        <f t="shared" ca="1" si="236"/>
        <v>#VALUE!</v>
      </c>
      <c r="Q505" t="e">
        <f t="shared" ca="1" si="237"/>
        <v>#VALUE!</v>
      </c>
      <c r="R505" t="e">
        <f t="shared" ca="1" si="238"/>
        <v>#VALUE!</v>
      </c>
      <c r="S505" t="e">
        <f t="shared" ca="1" si="239"/>
        <v>#VALUE!</v>
      </c>
      <c r="T505" t="e">
        <f t="shared" ca="1" si="240"/>
        <v>#VALUE!</v>
      </c>
      <c r="U505" t="e">
        <f t="shared" ca="1" si="261"/>
        <v>#VALUE!</v>
      </c>
      <c r="V505" t="e">
        <f t="shared" ca="1" si="262"/>
        <v>#VALUE!</v>
      </c>
      <c r="W505" t="e">
        <f t="shared" ca="1" si="241"/>
        <v>#VALUE!</v>
      </c>
      <c r="X505" t="e">
        <f t="shared" ca="1" si="242"/>
        <v>#VALUE!</v>
      </c>
      <c r="Y505" t="e">
        <f t="shared" ca="1" si="243"/>
        <v>#VALUE!</v>
      </c>
      <c r="Z505" t="e">
        <f t="shared" ca="1" si="244"/>
        <v>#VALUE!</v>
      </c>
      <c r="AA505" t="e">
        <f t="shared" ca="1" si="245"/>
        <v>#VALUE!</v>
      </c>
      <c r="AB505" t="e">
        <f t="shared" ca="1" si="246"/>
        <v>#VALUE!</v>
      </c>
      <c r="AC505" t="e">
        <f t="shared" ca="1" si="247"/>
        <v>#VALUE!</v>
      </c>
      <c r="AD505" t="e">
        <f t="shared" ca="1" si="248"/>
        <v>#VALUE!</v>
      </c>
      <c r="AE505" t="e">
        <f t="shared" ca="1" si="249"/>
        <v>#VALUE!</v>
      </c>
      <c r="AF505" t="e">
        <f t="shared" ca="1" si="250"/>
        <v>#VALUE!</v>
      </c>
      <c r="AG505" t="e">
        <f t="shared" ca="1" si="251"/>
        <v>#VALUE!</v>
      </c>
      <c r="AH505" t="e">
        <f ca="1">IF(V32="Supercritical",L505,IF(V32="Subcritical",W505,IF(AND(V505=1,AG505=1),IF(T505&gt;=AE505,L505,W505),IF(V505=1,L505,IF(AG505=1,W505,MAX($D$16,POWER((ABS(K505)^2)/($I$5*MAX(F505,0.1)^2),1/3)))))))</f>
        <v>#VALUE!</v>
      </c>
      <c r="AI505" t="e">
        <f t="shared" ca="1" si="252"/>
        <v>#VALUE!</v>
      </c>
      <c r="AJ505" t="e">
        <f t="shared" ca="1" si="253"/>
        <v>#VALUE!</v>
      </c>
      <c r="AM505">
        <v>0</v>
      </c>
      <c r="AN505">
        <v>0</v>
      </c>
      <c r="AO505">
        <f t="shared" si="254"/>
        <v>0</v>
      </c>
      <c r="AP505">
        <f t="shared" si="263"/>
        <v>0</v>
      </c>
      <c r="AQ505" t="e">
        <f t="shared" ca="1" si="255"/>
        <v>#VALUE!</v>
      </c>
      <c r="AR505" t="e">
        <f t="shared" ca="1" si="256"/>
        <v>#VALUE!</v>
      </c>
      <c r="AS505" t="e">
        <f t="shared" ca="1" si="257"/>
        <v>#VALUE!</v>
      </c>
    </row>
    <row r="506" spans="1:45" x14ac:dyDescent="0.35">
      <c r="A506">
        <v>357</v>
      </c>
      <c r="B506">
        <v>355.89499999999998</v>
      </c>
      <c r="C506">
        <v>616272.66</v>
      </c>
      <c r="D506">
        <v>3097603.5120000001</v>
      </c>
      <c r="E506">
        <v>632.38400000000001</v>
      </c>
      <c r="F506">
        <v>5.2</v>
      </c>
      <c r="G506">
        <v>0</v>
      </c>
      <c r="H506" t="s">
        <v>191</v>
      </c>
      <c r="I506">
        <v>7.8E-2</v>
      </c>
      <c r="J506">
        <f t="shared" si="258"/>
        <v>1</v>
      </c>
      <c r="K506">
        <f t="shared" si="259"/>
        <v>51</v>
      </c>
      <c r="L506" t="e">
        <f t="shared" ca="1" si="260"/>
        <v>#VALUE!</v>
      </c>
      <c r="M506" t="e">
        <f t="shared" ca="1" si="233"/>
        <v>#VALUE!</v>
      </c>
      <c r="N506" t="e">
        <f t="shared" ca="1" si="234"/>
        <v>#VALUE!</v>
      </c>
      <c r="O506" t="e">
        <f t="shared" ca="1" si="235"/>
        <v>#VALUE!</v>
      </c>
      <c r="P506" t="e">
        <f t="shared" ca="1" si="236"/>
        <v>#VALUE!</v>
      </c>
      <c r="Q506" t="e">
        <f t="shared" ca="1" si="237"/>
        <v>#VALUE!</v>
      </c>
      <c r="R506" t="e">
        <f t="shared" ca="1" si="238"/>
        <v>#VALUE!</v>
      </c>
      <c r="S506" t="e">
        <f t="shared" ca="1" si="239"/>
        <v>#VALUE!</v>
      </c>
      <c r="T506" t="e">
        <f t="shared" ca="1" si="240"/>
        <v>#VALUE!</v>
      </c>
      <c r="U506" t="e">
        <f t="shared" ca="1" si="261"/>
        <v>#VALUE!</v>
      </c>
      <c r="V506" t="e">
        <f t="shared" ca="1" si="262"/>
        <v>#VALUE!</v>
      </c>
      <c r="W506" t="e">
        <f t="shared" ca="1" si="241"/>
        <v>#VALUE!</v>
      </c>
      <c r="X506" t="e">
        <f t="shared" ca="1" si="242"/>
        <v>#VALUE!</v>
      </c>
      <c r="Y506" t="e">
        <f t="shared" ca="1" si="243"/>
        <v>#VALUE!</v>
      </c>
      <c r="Z506" t="e">
        <f t="shared" ca="1" si="244"/>
        <v>#VALUE!</v>
      </c>
      <c r="AA506" t="e">
        <f t="shared" ca="1" si="245"/>
        <v>#VALUE!</v>
      </c>
      <c r="AB506" t="e">
        <f t="shared" ca="1" si="246"/>
        <v>#VALUE!</v>
      </c>
      <c r="AC506" t="e">
        <f t="shared" ca="1" si="247"/>
        <v>#VALUE!</v>
      </c>
      <c r="AD506" t="e">
        <f t="shared" ca="1" si="248"/>
        <v>#VALUE!</v>
      </c>
      <c r="AE506" t="e">
        <f t="shared" ca="1" si="249"/>
        <v>#VALUE!</v>
      </c>
      <c r="AF506" t="e">
        <f t="shared" ca="1" si="250"/>
        <v>#VALUE!</v>
      </c>
      <c r="AG506" t="e">
        <f t="shared" ca="1" si="251"/>
        <v>#VALUE!</v>
      </c>
      <c r="AH506" t="e">
        <f ca="1">IF(V32="Supercritical",L506,IF(V32="Subcritical",W506,IF(AND(V506=1,AG506=1),IF(T506&gt;=AE506,L506,W506),IF(V506=1,L506,IF(AG506=1,W506,MAX($D$16,POWER((ABS(K506)^2)/($I$5*MAX(F506,0.1)^2),1/3)))))))</f>
        <v>#VALUE!</v>
      </c>
      <c r="AI506" t="e">
        <f t="shared" ca="1" si="252"/>
        <v>#VALUE!</v>
      </c>
      <c r="AJ506" t="e">
        <f t="shared" ca="1" si="253"/>
        <v>#VALUE!</v>
      </c>
      <c r="AM506">
        <v>0</v>
      </c>
      <c r="AN506">
        <v>0</v>
      </c>
      <c r="AO506">
        <f t="shared" si="254"/>
        <v>0</v>
      </c>
      <c r="AP506">
        <f t="shared" si="263"/>
        <v>0</v>
      </c>
      <c r="AQ506" t="e">
        <f t="shared" ca="1" si="255"/>
        <v>#VALUE!</v>
      </c>
      <c r="AR506" t="e">
        <f t="shared" ca="1" si="256"/>
        <v>#VALUE!</v>
      </c>
      <c r="AS506" t="e">
        <f t="shared" ca="1" si="257"/>
        <v>#VALUE!</v>
      </c>
    </row>
    <row r="507" spans="1:45" x14ac:dyDescent="0.35">
      <c r="A507">
        <v>358</v>
      </c>
      <c r="B507">
        <v>356.89600000000002</v>
      </c>
      <c r="C507">
        <v>616272.18599999999</v>
      </c>
      <c r="D507">
        <v>3097602.6310000001</v>
      </c>
      <c r="E507">
        <v>632.38350000000003</v>
      </c>
      <c r="F507">
        <v>5.2</v>
      </c>
      <c r="G507">
        <v>0</v>
      </c>
      <c r="H507" t="s">
        <v>191</v>
      </c>
      <c r="I507">
        <v>2.7E-2</v>
      </c>
      <c r="J507">
        <f t="shared" si="258"/>
        <v>1.0010000000000332</v>
      </c>
      <c r="K507">
        <f t="shared" si="259"/>
        <v>51</v>
      </c>
      <c r="L507" t="e">
        <f t="shared" ca="1" si="260"/>
        <v>#VALUE!</v>
      </c>
      <c r="M507" t="e">
        <f t="shared" ca="1" si="233"/>
        <v>#VALUE!</v>
      </c>
      <c r="N507" t="e">
        <f t="shared" ca="1" si="234"/>
        <v>#VALUE!</v>
      </c>
      <c r="O507" t="e">
        <f t="shared" ca="1" si="235"/>
        <v>#VALUE!</v>
      </c>
      <c r="P507" t="e">
        <f t="shared" ca="1" si="236"/>
        <v>#VALUE!</v>
      </c>
      <c r="Q507" t="e">
        <f t="shared" ca="1" si="237"/>
        <v>#VALUE!</v>
      </c>
      <c r="R507" t="e">
        <f t="shared" ca="1" si="238"/>
        <v>#VALUE!</v>
      </c>
      <c r="S507" t="e">
        <f t="shared" ca="1" si="239"/>
        <v>#VALUE!</v>
      </c>
      <c r="T507" t="e">
        <f t="shared" ca="1" si="240"/>
        <v>#VALUE!</v>
      </c>
      <c r="U507" t="e">
        <f t="shared" ca="1" si="261"/>
        <v>#VALUE!</v>
      </c>
      <c r="V507" t="e">
        <f t="shared" ca="1" si="262"/>
        <v>#VALUE!</v>
      </c>
      <c r="W507" t="e">
        <f t="shared" ca="1" si="241"/>
        <v>#VALUE!</v>
      </c>
      <c r="X507" t="e">
        <f t="shared" ca="1" si="242"/>
        <v>#VALUE!</v>
      </c>
      <c r="Y507" t="e">
        <f t="shared" ca="1" si="243"/>
        <v>#VALUE!</v>
      </c>
      <c r="Z507" t="e">
        <f t="shared" ca="1" si="244"/>
        <v>#VALUE!</v>
      </c>
      <c r="AA507" t="e">
        <f t="shared" ca="1" si="245"/>
        <v>#VALUE!</v>
      </c>
      <c r="AB507" t="e">
        <f t="shared" ca="1" si="246"/>
        <v>#VALUE!</v>
      </c>
      <c r="AC507" t="e">
        <f t="shared" ca="1" si="247"/>
        <v>#VALUE!</v>
      </c>
      <c r="AD507" t="e">
        <f t="shared" ca="1" si="248"/>
        <v>#VALUE!</v>
      </c>
      <c r="AE507" t="e">
        <f t="shared" ca="1" si="249"/>
        <v>#VALUE!</v>
      </c>
      <c r="AF507" t="e">
        <f t="shared" ca="1" si="250"/>
        <v>#VALUE!</v>
      </c>
      <c r="AG507" t="e">
        <f t="shared" ca="1" si="251"/>
        <v>#VALUE!</v>
      </c>
      <c r="AH507" t="e">
        <f ca="1">IF(V32="Supercritical",L507,IF(V32="Subcritical",W507,IF(AND(V507=1,AG507=1),IF(T507&gt;=AE507,L507,W507),IF(V507=1,L507,IF(AG507=1,W507,MAX($D$16,POWER((ABS(K507)^2)/($I$5*MAX(F507,0.1)^2),1/3)))))))</f>
        <v>#VALUE!</v>
      </c>
      <c r="AI507" t="e">
        <f t="shared" ca="1" si="252"/>
        <v>#VALUE!</v>
      </c>
      <c r="AJ507" t="e">
        <f t="shared" ca="1" si="253"/>
        <v>#VALUE!</v>
      </c>
      <c r="AM507">
        <v>0</v>
      </c>
      <c r="AN507">
        <v>0</v>
      </c>
      <c r="AO507">
        <f t="shared" si="254"/>
        <v>0</v>
      </c>
      <c r="AP507">
        <f t="shared" si="263"/>
        <v>0</v>
      </c>
      <c r="AQ507" t="e">
        <f t="shared" ca="1" si="255"/>
        <v>#VALUE!</v>
      </c>
      <c r="AR507" t="e">
        <f t="shared" ca="1" si="256"/>
        <v>#VALUE!</v>
      </c>
      <c r="AS507" t="e">
        <f t="shared" ca="1" si="257"/>
        <v>#VALUE!</v>
      </c>
    </row>
    <row r="508" spans="1:45" x14ac:dyDescent="0.35">
      <c r="A508">
        <v>359</v>
      </c>
      <c r="B508">
        <v>357.89499999999998</v>
      </c>
      <c r="C508">
        <v>616271.71200000006</v>
      </c>
      <c r="D508">
        <v>3097601.7510000002</v>
      </c>
      <c r="E508">
        <v>632.38300000000004</v>
      </c>
      <c r="F508">
        <v>5.2</v>
      </c>
      <c r="G508">
        <v>0</v>
      </c>
      <c r="H508" t="s">
        <v>191</v>
      </c>
      <c r="I508">
        <v>0</v>
      </c>
      <c r="J508">
        <f t="shared" si="258"/>
        <v>0.9989999999999668</v>
      </c>
      <c r="K508">
        <f t="shared" si="259"/>
        <v>51</v>
      </c>
      <c r="L508" t="e">
        <f t="shared" ca="1" si="260"/>
        <v>#VALUE!</v>
      </c>
      <c r="M508" t="e">
        <f t="shared" ca="1" si="233"/>
        <v>#VALUE!</v>
      </c>
      <c r="N508" t="e">
        <f t="shared" ca="1" si="234"/>
        <v>#VALUE!</v>
      </c>
      <c r="O508" t="e">
        <f t="shared" ca="1" si="235"/>
        <v>#VALUE!</v>
      </c>
      <c r="P508" t="e">
        <f t="shared" ca="1" si="236"/>
        <v>#VALUE!</v>
      </c>
      <c r="Q508" t="e">
        <f t="shared" ca="1" si="237"/>
        <v>#VALUE!</v>
      </c>
      <c r="R508" t="e">
        <f t="shared" ca="1" si="238"/>
        <v>#VALUE!</v>
      </c>
      <c r="S508" t="e">
        <f t="shared" ca="1" si="239"/>
        <v>#VALUE!</v>
      </c>
      <c r="T508" t="e">
        <f t="shared" ca="1" si="240"/>
        <v>#VALUE!</v>
      </c>
      <c r="U508" t="e">
        <f t="shared" ca="1" si="261"/>
        <v>#VALUE!</v>
      </c>
      <c r="V508" t="e">
        <f t="shared" ca="1" si="262"/>
        <v>#VALUE!</v>
      </c>
      <c r="W508" t="e">
        <f t="shared" ca="1" si="241"/>
        <v>#VALUE!</v>
      </c>
      <c r="X508" t="e">
        <f t="shared" ca="1" si="242"/>
        <v>#VALUE!</v>
      </c>
      <c r="Y508" t="e">
        <f t="shared" ca="1" si="243"/>
        <v>#VALUE!</v>
      </c>
      <c r="Z508" t="e">
        <f t="shared" ca="1" si="244"/>
        <v>#VALUE!</v>
      </c>
      <c r="AA508" t="e">
        <f t="shared" ca="1" si="245"/>
        <v>#VALUE!</v>
      </c>
      <c r="AB508" t="e">
        <f t="shared" ca="1" si="246"/>
        <v>#VALUE!</v>
      </c>
      <c r="AC508" t="e">
        <f t="shared" ca="1" si="247"/>
        <v>#VALUE!</v>
      </c>
      <c r="AD508" t="e">
        <f t="shared" ca="1" si="248"/>
        <v>#VALUE!</v>
      </c>
      <c r="AE508" t="e">
        <f t="shared" ca="1" si="249"/>
        <v>#VALUE!</v>
      </c>
      <c r="AF508" t="e">
        <f t="shared" ca="1" si="250"/>
        <v>#VALUE!</v>
      </c>
      <c r="AG508" t="e">
        <f t="shared" ca="1" si="251"/>
        <v>#VALUE!</v>
      </c>
      <c r="AH508" t="e">
        <f ca="1">IF(V32="Supercritical",L508,IF(V32="Subcritical",W508,IF(AND(V508=1,AG508=1),IF(T508&gt;=AE508,L508,W508),IF(V508=1,L508,IF(AG508=1,W508,MAX($D$16,POWER((ABS(K508)^2)/($I$5*MAX(F508,0.1)^2),1/3)))))))</f>
        <v>#VALUE!</v>
      </c>
      <c r="AI508" t="e">
        <f t="shared" ca="1" si="252"/>
        <v>#VALUE!</v>
      </c>
      <c r="AJ508" t="e">
        <f t="shared" ca="1" si="253"/>
        <v>#VALUE!</v>
      </c>
      <c r="AM508">
        <v>0</v>
      </c>
      <c r="AN508">
        <v>0</v>
      </c>
      <c r="AO508">
        <f t="shared" si="254"/>
        <v>0</v>
      </c>
      <c r="AP508">
        <f t="shared" si="263"/>
        <v>0</v>
      </c>
      <c r="AQ508" t="e">
        <f t="shared" ca="1" si="255"/>
        <v>#VALUE!</v>
      </c>
      <c r="AR508" t="e">
        <f t="shared" ca="1" si="256"/>
        <v>#VALUE!</v>
      </c>
      <c r="AS508" t="e">
        <f t="shared" ca="1" si="257"/>
        <v>#VALUE!</v>
      </c>
    </row>
    <row r="509" spans="1:45" x14ac:dyDescent="0.35">
      <c r="A509">
        <v>360</v>
      </c>
      <c r="B509">
        <v>358.89499999999998</v>
      </c>
      <c r="C509">
        <v>616271.23800000001</v>
      </c>
      <c r="D509">
        <v>3097600.8709999998</v>
      </c>
      <c r="E509">
        <v>632.38250000000005</v>
      </c>
      <c r="F509">
        <v>5.2</v>
      </c>
      <c r="G509">
        <v>0</v>
      </c>
      <c r="H509" t="s">
        <v>191</v>
      </c>
      <c r="I509">
        <v>2.3E-2</v>
      </c>
      <c r="J509">
        <f t="shared" si="258"/>
        <v>1</v>
      </c>
      <c r="K509">
        <f t="shared" si="259"/>
        <v>51</v>
      </c>
      <c r="L509" t="e">
        <f t="shared" ca="1" si="260"/>
        <v>#VALUE!</v>
      </c>
      <c r="M509" t="e">
        <f t="shared" ca="1" si="233"/>
        <v>#VALUE!</v>
      </c>
      <c r="N509" t="e">
        <f t="shared" ca="1" si="234"/>
        <v>#VALUE!</v>
      </c>
      <c r="O509" t="e">
        <f t="shared" ca="1" si="235"/>
        <v>#VALUE!</v>
      </c>
      <c r="P509" t="e">
        <f t="shared" ca="1" si="236"/>
        <v>#VALUE!</v>
      </c>
      <c r="Q509" t="e">
        <f t="shared" ca="1" si="237"/>
        <v>#VALUE!</v>
      </c>
      <c r="R509" t="e">
        <f t="shared" ca="1" si="238"/>
        <v>#VALUE!</v>
      </c>
      <c r="S509" t="e">
        <f t="shared" ca="1" si="239"/>
        <v>#VALUE!</v>
      </c>
      <c r="T509" t="e">
        <f t="shared" ca="1" si="240"/>
        <v>#VALUE!</v>
      </c>
      <c r="U509" t="e">
        <f t="shared" ca="1" si="261"/>
        <v>#VALUE!</v>
      </c>
      <c r="V509" t="e">
        <f t="shared" ca="1" si="262"/>
        <v>#VALUE!</v>
      </c>
      <c r="W509" t="e">
        <f t="shared" ca="1" si="241"/>
        <v>#VALUE!</v>
      </c>
      <c r="X509" t="e">
        <f t="shared" ca="1" si="242"/>
        <v>#VALUE!</v>
      </c>
      <c r="Y509" t="e">
        <f t="shared" ca="1" si="243"/>
        <v>#VALUE!</v>
      </c>
      <c r="Z509" t="e">
        <f t="shared" ca="1" si="244"/>
        <v>#VALUE!</v>
      </c>
      <c r="AA509" t="e">
        <f t="shared" ca="1" si="245"/>
        <v>#VALUE!</v>
      </c>
      <c r="AB509" t="e">
        <f t="shared" ca="1" si="246"/>
        <v>#VALUE!</v>
      </c>
      <c r="AC509" t="e">
        <f t="shared" ca="1" si="247"/>
        <v>#VALUE!</v>
      </c>
      <c r="AD509" t="e">
        <f t="shared" ca="1" si="248"/>
        <v>#VALUE!</v>
      </c>
      <c r="AE509" t="e">
        <f t="shared" ca="1" si="249"/>
        <v>#VALUE!</v>
      </c>
      <c r="AF509" t="e">
        <f t="shared" ca="1" si="250"/>
        <v>#VALUE!</v>
      </c>
      <c r="AG509" t="e">
        <f t="shared" ca="1" si="251"/>
        <v>#VALUE!</v>
      </c>
      <c r="AH509" t="e">
        <f ca="1">IF(V32="Supercritical",L509,IF(V32="Subcritical",W509,IF(AND(V509=1,AG509=1),IF(T509&gt;=AE509,L509,W509),IF(V509=1,L509,IF(AG509=1,W509,MAX($D$16,POWER((ABS(K509)^2)/($I$5*MAX(F509,0.1)^2),1/3)))))))</f>
        <v>#VALUE!</v>
      </c>
      <c r="AI509" t="e">
        <f t="shared" ca="1" si="252"/>
        <v>#VALUE!</v>
      </c>
      <c r="AJ509" t="e">
        <f t="shared" ca="1" si="253"/>
        <v>#VALUE!</v>
      </c>
      <c r="AM509">
        <v>0</v>
      </c>
      <c r="AN509">
        <v>0</v>
      </c>
      <c r="AO509">
        <f t="shared" si="254"/>
        <v>0</v>
      </c>
      <c r="AP509">
        <f t="shared" si="263"/>
        <v>0</v>
      </c>
      <c r="AQ509" t="e">
        <f t="shared" ca="1" si="255"/>
        <v>#VALUE!</v>
      </c>
      <c r="AR509" t="e">
        <f t="shared" ca="1" si="256"/>
        <v>#VALUE!</v>
      </c>
      <c r="AS509" t="e">
        <f t="shared" ca="1" si="257"/>
        <v>#VALUE!</v>
      </c>
    </row>
    <row r="510" spans="1:45" x14ac:dyDescent="0.35">
      <c r="A510">
        <v>361</v>
      </c>
      <c r="B510">
        <v>359.89600000000002</v>
      </c>
      <c r="C510">
        <v>616270.76300000004</v>
      </c>
      <c r="D510">
        <v>3097599.99</v>
      </c>
      <c r="E510">
        <v>632.38199999999995</v>
      </c>
      <c r="F510">
        <v>5.2</v>
      </c>
      <c r="G510">
        <v>0</v>
      </c>
      <c r="H510" t="s">
        <v>191</v>
      </c>
      <c r="I510">
        <v>2.3E-2</v>
      </c>
      <c r="J510">
        <f t="shared" si="258"/>
        <v>1.0010000000000332</v>
      </c>
      <c r="K510">
        <f t="shared" si="259"/>
        <v>51</v>
      </c>
      <c r="L510" t="e">
        <f t="shared" ca="1" si="260"/>
        <v>#VALUE!</v>
      </c>
      <c r="M510" t="e">
        <f t="shared" ca="1" si="233"/>
        <v>#VALUE!</v>
      </c>
      <c r="N510" t="e">
        <f t="shared" ca="1" si="234"/>
        <v>#VALUE!</v>
      </c>
      <c r="O510" t="e">
        <f t="shared" ca="1" si="235"/>
        <v>#VALUE!</v>
      </c>
      <c r="P510" t="e">
        <f t="shared" ca="1" si="236"/>
        <v>#VALUE!</v>
      </c>
      <c r="Q510" t="e">
        <f t="shared" ca="1" si="237"/>
        <v>#VALUE!</v>
      </c>
      <c r="R510" t="e">
        <f t="shared" ca="1" si="238"/>
        <v>#VALUE!</v>
      </c>
      <c r="S510" t="e">
        <f t="shared" ca="1" si="239"/>
        <v>#VALUE!</v>
      </c>
      <c r="T510" t="e">
        <f t="shared" ca="1" si="240"/>
        <v>#VALUE!</v>
      </c>
      <c r="U510" t="e">
        <f t="shared" ca="1" si="261"/>
        <v>#VALUE!</v>
      </c>
      <c r="V510" t="e">
        <f t="shared" ca="1" si="262"/>
        <v>#VALUE!</v>
      </c>
      <c r="W510" t="e">
        <f t="shared" ca="1" si="241"/>
        <v>#VALUE!</v>
      </c>
      <c r="X510" t="e">
        <f t="shared" ca="1" si="242"/>
        <v>#VALUE!</v>
      </c>
      <c r="Y510" t="e">
        <f t="shared" ca="1" si="243"/>
        <v>#VALUE!</v>
      </c>
      <c r="Z510" t="e">
        <f t="shared" ca="1" si="244"/>
        <v>#VALUE!</v>
      </c>
      <c r="AA510" t="e">
        <f t="shared" ca="1" si="245"/>
        <v>#VALUE!</v>
      </c>
      <c r="AB510" t="e">
        <f t="shared" ca="1" si="246"/>
        <v>#VALUE!</v>
      </c>
      <c r="AC510" t="e">
        <f t="shared" ca="1" si="247"/>
        <v>#VALUE!</v>
      </c>
      <c r="AD510" t="e">
        <f t="shared" ca="1" si="248"/>
        <v>#VALUE!</v>
      </c>
      <c r="AE510" t="e">
        <f t="shared" ca="1" si="249"/>
        <v>#VALUE!</v>
      </c>
      <c r="AF510" t="e">
        <f t="shared" ca="1" si="250"/>
        <v>#VALUE!</v>
      </c>
      <c r="AG510" t="e">
        <f t="shared" ca="1" si="251"/>
        <v>#VALUE!</v>
      </c>
      <c r="AH510" t="e">
        <f ca="1">IF(V32="Supercritical",L510,IF(V32="Subcritical",W510,IF(AND(V510=1,AG510=1),IF(T510&gt;=AE510,L510,W510),IF(V510=1,L510,IF(AG510=1,W510,MAX($D$16,POWER((ABS(K510)^2)/($I$5*MAX(F510,0.1)^2),1/3)))))))</f>
        <v>#VALUE!</v>
      </c>
      <c r="AI510" t="e">
        <f t="shared" ca="1" si="252"/>
        <v>#VALUE!</v>
      </c>
      <c r="AJ510" t="e">
        <f t="shared" ca="1" si="253"/>
        <v>#VALUE!</v>
      </c>
      <c r="AM510">
        <v>0</v>
      </c>
      <c r="AN510">
        <v>0</v>
      </c>
      <c r="AO510">
        <f t="shared" si="254"/>
        <v>0</v>
      </c>
      <c r="AP510">
        <f t="shared" si="263"/>
        <v>0</v>
      </c>
      <c r="AQ510" t="e">
        <f t="shared" ca="1" si="255"/>
        <v>#VALUE!</v>
      </c>
      <c r="AR510" t="e">
        <f t="shared" ca="1" si="256"/>
        <v>#VALUE!</v>
      </c>
      <c r="AS510" t="e">
        <f t="shared" ca="1" si="257"/>
        <v>#VALUE!</v>
      </c>
    </row>
    <row r="511" spans="1:45" x14ac:dyDescent="0.35">
      <c r="A511">
        <v>362</v>
      </c>
      <c r="B511">
        <v>360.89499999999998</v>
      </c>
      <c r="C511">
        <v>616270.28899999999</v>
      </c>
      <c r="D511">
        <v>3097599.11</v>
      </c>
      <c r="E511">
        <v>632.38149999999996</v>
      </c>
      <c r="F511">
        <v>5.2</v>
      </c>
      <c r="G511">
        <v>0</v>
      </c>
      <c r="H511" t="s">
        <v>191</v>
      </c>
      <c r="I511">
        <v>2.7E-2</v>
      </c>
      <c r="J511">
        <f t="shared" si="258"/>
        <v>0.9989999999999668</v>
      </c>
      <c r="K511">
        <f t="shared" si="259"/>
        <v>51</v>
      </c>
      <c r="L511" t="e">
        <f t="shared" ca="1" si="260"/>
        <v>#VALUE!</v>
      </c>
      <c r="M511" t="e">
        <f t="shared" ca="1" si="233"/>
        <v>#VALUE!</v>
      </c>
      <c r="N511" t="e">
        <f t="shared" ca="1" si="234"/>
        <v>#VALUE!</v>
      </c>
      <c r="O511" t="e">
        <f t="shared" ca="1" si="235"/>
        <v>#VALUE!</v>
      </c>
      <c r="P511" t="e">
        <f t="shared" ca="1" si="236"/>
        <v>#VALUE!</v>
      </c>
      <c r="Q511" t="e">
        <f t="shared" ca="1" si="237"/>
        <v>#VALUE!</v>
      </c>
      <c r="R511" t="e">
        <f t="shared" ca="1" si="238"/>
        <v>#VALUE!</v>
      </c>
      <c r="S511" t="e">
        <f t="shared" ca="1" si="239"/>
        <v>#VALUE!</v>
      </c>
      <c r="T511" t="e">
        <f t="shared" ca="1" si="240"/>
        <v>#VALUE!</v>
      </c>
      <c r="U511" t="e">
        <f t="shared" ca="1" si="261"/>
        <v>#VALUE!</v>
      </c>
      <c r="V511" t="e">
        <f t="shared" ca="1" si="262"/>
        <v>#VALUE!</v>
      </c>
      <c r="W511" t="e">
        <f t="shared" ca="1" si="241"/>
        <v>#VALUE!</v>
      </c>
      <c r="X511" t="e">
        <f t="shared" ca="1" si="242"/>
        <v>#VALUE!</v>
      </c>
      <c r="Y511" t="e">
        <f t="shared" ca="1" si="243"/>
        <v>#VALUE!</v>
      </c>
      <c r="Z511" t="e">
        <f t="shared" ca="1" si="244"/>
        <v>#VALUE!</v>
      </c>
      <c r="AA511" t="e">
        <f t="shared" ca="1" si="245"/>
        <v>#VALUE!</v>
      </c>
      <c r="AB511" t="e">
        <f t="shared" ca="1" si="246"/>
        <v>#VALUE!</v>
      </c>
      <c r="AC511" t="e">
        <f t="shared" ca="1" si="247"/>
        <v>#VALUE!</v>
      </c>
      <c r="AD511" t="e">
        <f t="shared" ca="1" si="248"/>
        <v>#VALUE!</v>
      </c>
      <c r="AE511" t="e">
        <f t="shared" ca="1" si="249"/>
        <v>#VALUE!</v>
      </c>
      <c r="AF511" t="e">
        <f t="shared" ca="1" si="250"/>
        <v>#VALUE!</v>
      </c>
      <c r="AG511" t="e">
        <f t="shared" ca="1" si="251"/>
        <v>#VALUE!</v>
      </c>
      <c r="AH511" t="e">
        <f ca="1">IF(V32="Supercritical",L511,IF(V32="Subcritical",W511,IF(AND(V511=1,AG511=1),IF(T511&gt;=AE511,L511,W511),IF(V511=1,L511,IF(AG511=1,W511,MAX($D$16,POWER((ABS(K511)^2)/($I$5*MAX(F511,0.1)^2),1/3)))))))</f>
        <v>#VALUE!</v>
      </c>
      <c r="AI511" t="e">
        <f t="shared" ca="1" si="252"/>
        <v>#VALUE!</v>
      </c>
      <c r="AJ511" t="e">
        <f t="shared" ca="1" si="253"/>
        <v>#VALUE!</v>
      </c>
      <c r="AM511">
        <v>0</v>
      </c>
      <c r="AN511">
        <v>0</v>
      </c>
      <c r="AO511">
        <f t="shared" si="254"/>
        <v>0</v>
      </c>
      <c r="AP511">
        <f t="shared" si="263"/>
        <v>0</v>
      </c>
      <c r="AQ511" t="e">
        <f t="shared" ca="1" si="255"/>
        <v>#VALUE!</v>
      </c>
      <c r="AR511" t="e">
        <f t="shared" ca="1" si="256"/>
        <v>#VALUE!</v>
      </c>
      <c r="AS511" t="e">
        <f t="shared" ca="1" si="257"/>
        <v>#VALUE!</v>
      </c>
    </row>
    <row r="512" spans="1:45" x14ac:dyDescent="0.35">
      <c r="A512">
        <v>363</v>
      </c>
      <c r="B512">
        <v>361.89600000000002</v>
      </c>
      <c r="C512">
        <v>616269.81499999994</v>
      </c>
      <c r="D512">
        <v>3097598.2289999998</v>
      </c>
      <c r="E512">
        <v>632.38099999999997</v>
      </c>
      <c r="F512">
        <v>5.2</v>
      </c>
      <c r="G512">
        <v>0</v>
      </c>
      <c r="H512" t="s">
        <v>191</v>
      </c>
      <c r="I512">
        <v>2.7E-2</v>
      </c>
      <c r="J512">
        <f t="shared" si="258"/>
        <v>1.0010000000000332</v>
      </c>
      <c r="K512">
        <f t="shared" si="259"/>
        <v>51</v>
      </c>
      <c r="L512" t="e">
        <f t="shared" ca="1" si="260"/>
        <v>#VALUE!</v>
      </c>
      <c r="M512" t="e">
        <f t="shared" ca="1" si="233"/>
        <v>#VALUE!</v>
      </c>
      <c r="N512" t="e">
        <f t="shared" ca="1" si="234"/>
        <v>#VALUE!</v>
      </c>
      <c r="O512" t="e">
        <f t="shared" ca="1" si="235"/>
        <v>#VALUE!</v>
      </c>
      <c r="P512" t="e">
        <f t="shared" ca="1" si="236"/>
        <v>#VALUE!</v>
      </c>
      <c r="Q512" t="e">
        <f t="shared" ca="1" si="237"/>
        <v>#VALUE!</v>
      </c>
      <c r="R512" t="e">
        <f t="shared" ca="1" si="238"/>
        <v>#VALUE!</v>
      </c>
      <c r="S512" t="e">
        <f t="shared" ca="1" si="239"/>
        <v>#VALUE!</v>
      </c>
      <c r="T512" t="e">
        <f t="shared" ca="1" si="240"/>
        <v>#VALUE!</v>
      </c>
      <c r="U512" t="e">
        <f t="shared" ca="1" si="261"/>
        <v>#VALUE!</v>
      </c>
      <c r="V512" t="e">
        <f t="shared" ca="1" si="262"/>
        <v>#VALUE!</v>
      </c>
      <c r="W512" t="e">
        <f t="shared" ca="1" si="241"/>
        <v>#VALUE!</v>
      </c>
      <c r="X512" t="e">
        <f t="shared" ca="1" si="242"/>
        <v>#VALUE!</v>
      </c>
      <c r="Y512" t="e">
        <f t="shared" ca="1" si="243"/>
        <v>#VALUE!</v>
      </c>
      <c r="Z512" t="e">
        <f t="shared" ca="1" si="244"/>
        <v>#VALUE!</v>
      </c>
      <c r="AA512" t="e">
        <f t="shared" ca="1" si="245"/>
        <v>#VALUE!</v>
      </c>
      <c r="AB512" t="e">
        <f t="shared" ca="1" si="246"/>
        <v>#VALUE!</v>
      </c>
      <c r="AC512" t="e">
        <f t="shared" ca="1" si="247"/>
        <v>#VALUE!</v>
      </c>
      <c r="AD512" t="e">
        <f t="shared" ca="1" si="248"/>
        <v>#VALUE!</v>
      </c>
      <c r="AE512" t="e">
        <f t="shared" ca="1" si="249"/>
        <v>#VALUE!</v>
      </c>
      <c r="AF512" t="e">
        <f t="shared" ca="1" si="250"/>
        <v>#VALUE!</v>
      </c>
      <c r="AG512" t="e">
        <f t="shared" ca="1" si="251"/>
        <v>#VALUE!</v>
      </c>
      <c r="AH512" t="e">
        <f ca="1">IF(V32="Supercritical",L512,IF(V32="Subcritical",W512,IF(AND(V512=1,AG512=1),IF(T512&gt;=AE512,L512,W512),IF(V512=1,L512,IF(AG512=1,W512,MAX($D$16,POWER((ABS(K512)^2)/($I$5*MAX(F512,0.1)^2),1/3)))))))</f>
        <v>#VALUE!</v>
      </c>
      <c r="AI512" t="e">
        <f t="shared" ca="1" si="252"/>
        <v>#VALUE!</v>
      </c>
      <c r="AJ512" t="e">
        <f t="shared" ca="1" si="253"/>
        <v>#VALUE!</v>
      </c>
      <c r="AM512">
        <v>0</v>
      </c>
      <c r="AN512">
        <v>0</v>
      </c>
      <c r="AO512">
        <f t="shared" si="254"/>
        <v>0</v>
      </c>
      <c r="AP512">
        <f t="shared" si="263"/>
        <v>0</v>
      </c>
      <c r="AQ512" t="e">
        <f t="shared" ca="1" si="255"/>
        <v>#VALUE!</v>
      </c>
      <c r="AR512" t="e">
        <f t="shared" ca="1" si="256"/>
        <v>#VALUE!</v>
      </c>
      <c r="AS512" t="e">
        <f t="shared" ca="1" si="257"/>
        <v>#VALUE!</v>
      </c>
    </row>
    <row r="513" spans="1:45" x14ac:dyDescent="0.35">
      <c r="A513">
        <v>364</v>
      </c>
      <c r="B513">
        <v>362.89499999999998</v>
      </c>
      <c r="C513">
        <v>616269.34100000001</v>
      </c>
      <c r="D513">
        <v>3097597.3489999999</v>
      </c>
      <c r="E513">
        <v>632.38049999999998</v>
      </c>
      <c r="F513">
        <v>5.2</v>
      </c>
      <c r="G513">
        <v>0</v>
      </c>
      <c r="H513" t="s">
        <v>191</v>
      </c>
      <c r="I513">
        <v>0</v>
      </c>
      <c r="J513">
        <f t="shared" si="258"/>
        <v>0.9989999999999668</v>
      </c>
      <c r="K513">
        <f t="shared" si="259"/>
        <v>51</v>
      </c>
      <c r="L513" t="e">
        <f t="shared" ca="1" si="260"/>
        <v>#VALUE!</v>
      </c>
      <c r="M513" t="e">
        <f t="shared" ca="1" si="233"/>
        <v>#VALUE!</v>
      </c>
      <c r="N513" t="e">
        <f t="shared" ca="1" si="234"/>
        <v>#VALUE!</v>
      </c>
      <c r="O513" t="e">
        <f t="shared" ca="1" si="235"/>
        <v>#VALUE!</v>
      </c>
      <c r="P513" t="e">
        <f t="shared" ca="1" si="236"/>
        <v>#VALUE!</v>
      </c>
      <c r="Q513" t="e">
        <f t="shared" ca="1" si="237"/>
        <v>#VALUE!</v>
      </c>
      <c r="R513" t="e">
        <f t="shared" ca="1" si="238"/>
        <v>#VALUE!</v>
      </c>
      <c r="S513" t="e">
        <f t="shared" ca="1" si="239"/>
        <v>#VALUE!</v>
      </c>
      <c r="T513" t="e">
        <f t="shared" ca="1" si="240"/>
        <v>#VALUE!</v>
      </c>
      <c r="U513" t="e">
        <f t="shared" ca="1" si="261"/>
        <v>#VALUE!</v>
      </c>
      <c r="V513" t="e">
        <f t="shared" ca="1" si="262"/>
        <v>#VALUE!</v>
      </c>
      <c r="W513" t="e">
        <f t="shared" ca="1" si="241"/>
        <v>#VALUE!</v>
      </c>
      <c r="X513" t="e">
        <f t="shared" ca="1" si="242"/>
        <v>#VALUE!</v>
      </c>
      <c r="Y513" t="e">
        <f t="shared" ca="1" si="243"/>
        <v>#VALUE!</v>
      </c>
      <c r="Z513" t="e">
        <f t="shared" ca="1" si="244"/>
        <v>#VALUE!</v>
      </c>
      <c r="AA513" t="e">
        <f t="shared" ca="1" si="245"/>
        <v>#VALUE!</v>
      </c>
      <c r="AB513" t="e">
        <f t="shared" ca="1" si="246"/>
        <v>#VALUE!</v>
      </c>
      <c r="AC513" t="e">
        <f t="shared" ca="1" si="247"/>
        <v>#VALUE!</v>
      </c>
      <c r="AD513" t="e">
        <f t="shared" ca="1" si="248"/>
        <v>#VALUE!</v>
      </c>
      <c r="AE513" t="e">
        <f t="shared" ca="1" si="249"/>
        <v>#VALUE!</v>
      </c>
      <c r="AF513" t="e">
        <f t="shared" ca="1" si="250"/>
        <v>#VALUE!</v>
      </c>
      <c r="AG513" t="e">
        <f t="shared" ca="1" si="251"/>
        <v>#VALUE!</v>
      </c>
      <c r="AH513" t="e">
        <f ca="1">IF(V32="Supercritical",L513,IF(V32="Subcritical",W513,IF(AND(V513=1,AG513=1),IF(T513&gt;=AE513,L513,W513),IF(V513=1,L513,IF(AG513=1,W513,MAX($D$16,POWER((ABS(K513)^2)/($I$5*MAX(F513,0.1)^2),1/3)))))))</f>
        <v>#VALUE!</v>
      </c>
      <c r="AI513" t="e">
        <f t="shared" ca="1" si="252"/>
        <v>#VALUE!</v>
      </c>
      <c r="AJ513" t="e">
        <f t="shared" ca="1" si="253"/>
        <v>#VALUE!</v>
      </c>
      <c r="AM513">
        <v>0</v>
      </c>
      <c r="AN513">
        <v>0</v>
      </c>
      <c r="AO513">
        <f t="shared" si="254"/>
        <v>0</v>
      </c>
      <c r="AP513">
        <f t="shared" si="263"/>
        <v>0</v>
      </c>
      <c r="AQ513" t="e">
        <f t="shared" ca="1" si="255"/>
        <v>#VALUE!</v>
      </c>
      <c r="AR513" t="e">
        <f t="shared" ca="1" si="256"/>
        <v>#VALUE!</v>
      </c>
      <c r="AS513" t="e">
        <f t="shared" ca="1" si="257"/>
        <v>#VALUE!</v>
      </c>
    </row>
    <row r="514" spans="1:45" x14ac:dyDescent="0.35">
      <c r="A514">
        <v>365</v>
      </c>
      <c r="B514">
        <v>363.89499999999998</v>
      </c>
      <c r="C514">
        <v>616268.86699999997</v>
      </c>
      <c r="D514">
        <v>3097596.469</v>
      </c>
      <c r="E514">
        <v>632.38</v>
      </c>
      <c r="F514">
        <v>5.2</v>
      </c>
      <c r="G514">
        <v>0</v>
      </c>
      <c r="H514" t="s">
        <v>191</v>
      </c>
      <c r="I514">
        <v>2.3E-2</v>
      </c>
      <c r="J514">
        <f t="shared" si="258"/>
        <v>1</v>
      </c>
      <c r="K514">
        <f t="shared" si="259"/>
        <v>51</v>
      </c>
      <c r="L514" t="e">
        <f t="shared" ca="1" si="260"/>
        <v>#VALUE!</v>
      </c>
      <c r="M514" t="e">
        <f t="shared" ca="1" si="233"/>
        <v>#VALUE!</v>
      </c>
      <c r="N514" t="e">
        <f t="shared" ca="1" si="234"/>
        <v>#VALUE!</v>
      </c>
      <c r="O514" t="e">
        <f t="shared" ca="1" si="235"/>
        <v>#VALUE!</v>
      </c>
      <c r="P514" t="e">
        <f t="shared" ca="1" si="236"/>
        <v>#VALUE!</v>
      </c>
      <c r="Q514" t="e">
        <f t="shared" ca="1" si="237"/>
        <v>#VALUE!</v>
      </c>
      <c r="R514" t="e">
        <f t="shared" ca="1" si="238"/>
        <v>#VALUE!</v>
      </c>
      <c r="S514" t="e">
        <f t="shared" ca="1" si="239"/>
        <v>#VALUE!</v>
      </c>
      <c r="T514" t="e">
        <f t="shared" ca="1" si="240"/>
        <v>#VALUE!</v>
      </c>
      <c r="U514" t="e">
        <f t="shared" ca="1" si="261"/>
        <v>#VALUE!</v>
      </c>
      <c r="V514" t="e">
        <f t="shared" ca="1" si="262"/>
        <v>#VALUE!</v>
      </c>
      <c r="W514" t="e">
        <f t="shared" ca="1" si="241"/>
        <v>#VALUE!</v>
      </c>
      <c r="X514" t="e">
        <f t="shared" ca="1" si="242"/>
        <v>#VALUE!</v>
      </c>
      <c r="Y514" t="e">
        <f t="shared" ca="1" si="243"/>
        <v>#VALUE!</v>
      </c>
      <c r="Z514" t="e">
        <f t="shared" ca="1" si="244"/>
        <v>#VALUE!</v>
      </c>
      <c r="AA514" t="e">
        <f t="shared" ca="1" si="245"/>
        <v>#VALUE!</v>
      </c>
      <c r="AB514" t="e">
        <f t="shared" ca="1" si="246"/>
        <v>#VALUE!</v>
      </c>
      <c r="AC514" t="e">
        <f t="shared" ca="1" si="247"/>
        <v>#VALUE!</v>
      </c>
      <c r="AD514" t="e">
        <f t="shared" ca="1" si="248"/>
        <v>#VALUE!</v>
      </c>
      <c r="AE514" t="e">
        <f t="shared" ca="1" si="249"/>
        <v>#VALUE!</v>
      </c>
      <c r="AF514" t="e">
        <f t="shared" ca="1" si="250"/>
        <v>#VALUE!</v>
      </c>
      <c r="AG514" t="e">
        <f t="shared" ca="1" si="251"/>
        <v>#VALUE!</v>
      </c>
      <c r="AH514" t="e">
        <f ca="1">IF(V32="Supercritical",L514,IF(V32="Subcritical",W514,IF(AND(V514=1,AG514=1),IF(T514&gt;=AE514,L514,W514),IF(V514=1,L514,IF(AG514=1,W514,MAX($D$16,POWER((ABS(K514)^2)/($I$5*MAX(F514,0.1)^2),1/3)))))))</f>
        <v>#VALUE!</v>
      </c>
      <c r="AI514" t="e">
        <f t="shared" ca="1" si="252"/>
        <v>#VALUE!</v>
      </c>
      <c r="AJ514" t="e">
        <f t="shared" ca="1" si="253"/>
        <v>#VALUE!</v>
      </c>
      <c r="AM514">
        <v>0</v>
      </c>
      <c r="AN514">
        <v>0</v>
      </c>
      <c r="AO514">
        <f t="shared" si="254"/>
        <v>0</v>
      </c>
      <c r="AP514">
        <f t="shared" si="263"/>
        <v>0</v>
      </c>
      <c r="AQ514" t="e">
        <f t="shared" ca="1" si="255"/>
        <v>#VALUE!</v>
      </c>
      <c r="AR514" t="e">
        <f t="shared" ca="1" si="256"/>
        <v>#VALUE!</v>
      </c>
      <c r="AS514" t="e">
        <f t="shared" ca="1" si="257"/>
        <v>#VALUE!</v>
      </c>
    </row>
    <row r="515" spans="1:45" x14ac:dyDescent="0.35">
      <c r="A515">
        <v>366</v>
      </c>
      <c r="B515">
        <v>364.89600000000002</v>
      </c>
      <c r="C515">
        <v>616268.39199999999</v>
      </c>
      <c r="D515">
        <v>3097595.588</v>
      </c>
      <c r="E515">
        <v>632.37950000000001</v>
      </c>
      <c r="F515">
        <v>5.2</v>
      </c>
      <c r="G515">
        <v>0</v>
      </c>
      <c r="H515" t="s">
        <v>191</v>
      </c>
      <c r="I515">
        <v>2.3E-2</v>
      </c>
      <c r="J515">
        <f t="shared" si="258"/>
        <v>1.0010000000000332</v>
      </c>
      <c r="K515">
        <f t="shared" si="259"/>
        <v>51</v>
      </c>
      <c r="L515" t="e">
        <f t="shared" ca="1" si="260"/>
        <v>#VALUE!</v>
      </c>
      <c r="M515" t="e">
        <f t="shared" ca="1" si="233"/>
        <v>#VALUE!</v>
      </c>
      <c r="N515" t="e">
        <f t="shared" ca="1" si="234"/>
        <v>#VALUE!</v>
      </c>
      <c r="O515" t="e">
        <f t="shared" ca="1" si="235"/>
        <v>#VALUE!</v>
      </c>
      <c r="P515" t="e">
        <f t="shared" ca="1" si="236"/>
        <v>#VALUE!</v>
      </c>
      <c r="Q515" t="e">
        <f t="shared" ca="1" si="237"/>
        <v>#VALUE!</v>
      </c>
      <c r="R515" t="e">
        <f t="shared" ca="1" si="238"/>
        <v>#VALUE!</v>
      </c>
      <c r="S515" t="e">
        <f t="shared" ca="1" si="239"/>
        <v>#VALUE!</v>
      </c>
      <c r="T515" t="e">
        <f t="shared" ca="1" si="240"/>
        <v>#VALUE!</v>
      </c>
      <c r="U515" t="e">
        <f t="shared" ca="1" si="261"/>
        <v>#VALUE!</v>
      </c>
      <c r="V515" t="e">
        <f t="shared" ca="1" si="262"/>
        <v>#VALUE!</v>
      </c>
      <c r="W515" t="e">
        <f t="shared" ca="1" si="241"/>
        <v>#VALUE!</v>
      </c>
      <c r="X515" t="e">
        <f t="shared" ca="1" si="242"/>
        <v>#VALUE!</v>
      </c>
      <c r="Y515" t="e">
        <f t="shared" ca="1" si="243"/>
        <v>#VALUE!</v>
      </c>
      <c r="Z515" t="e">
        <f t="shared" ca="1" si="244"/>
        <v>#VALUE!</v>
      </c>
      <c r="AA515" t="e">
        <f t="shared" ca="1" si="245"/>
        <v>#VALUE!</v>
      </c>
      <c r="AB515" t="e">
        <f t="shared" ca="1" si="246"/>
        <v>#VALUE!</v>
      </c>
      <c r="AC515" t="e">
        <f t="shared" ca="1" si="247"/>
        <v>#VALUE!</v>
      </c>
      <c r="AD515" t="e">
        <f t="shared" ca="1" si="248"/>
        <v>#VALUE!</v>
      </c>
      <c r="AE515" t="e">
        <f t="shared" ca="1" si="249"/>
        <v>#VALUE!</v>
      </c>
      <c r="AF515" t="e">
        <f t="shared" ca="1" si="250"/>
        <v>#VALUE!</v>
      </c>
      <c r="AG515" t="e">
        <f t="shared" ca="1" si="251"/>
        <v>#VALUE!</v>
      </c>
      <c r="AH515" t="e">
        <f ca="1">IF(V32="Supercritical",L515,IF(V32="Subcritical",W515,IF(AND(V515=1,AG515=1),IF(T515&gt;=AE515,L515,W515),IF(V515=1,L515,IF(AG515=1,W515,MAX($D$16,POWER((ABS(K515)^2)/($I$5*MAX(F515,0.1)^2),1/3)))))))</f>
        <v>#VALUE!</v>
      </c>
      <c r="AI515" t="e">
        <f t="shared" ca="1" si="252"/>
        <v>#VALUE!</v>
      </c>
      <c r="AJ515" t="e">
        <f t="shared" ca="1" si="253"/>
        <v>#VALUE!</v>
      </c>
      <c r="AM515">
        <v>0</v>
      </c>
      <c r="AN515">
        <v>0</v>
      </c>
      <c r="AO515">
        <f t="shared" si="254"/>
        <v>0</v>
      </c>
      <c r="AP515">
        <f t="shared" si="263"/>
        <v>0</v>
      </c>
      <c r="AQ515" t="e">
        <f t="shared" ca="1" si="255"/>
        <v>#VALUE!</v>
      </c>
      <c r="AR515" t="e">
        <f t="shared" ca="1" si="256"/>
        <v>#VALUE!</v>
      </c>
      <c r="AS515" t="e">
        <f t="shared" ca="1" si="257"/>
        <v>#VALUE!</v>
      </c>
    </row>
    <row r="516" spans="1:45" x14ac:dyDescent="0.35">
      <c r="A516">
        <v>367</v>
      </c>
      <c r="B516">
        <v>365.89499999999998</v>
      </c>
      <c r="C516">
        <v>616267.91799999995</v>
      </c>
      <c r="D516">
        <v>3097594.7080000001</v>
      </c>
      <c r="E516">
        <v>632.37900000000002</v>
      </c>
      <c r="F516">
        <v>5.2</v>
      </c>
      <c r="G516">
        <v>0</v>
      </c>
      <c r="H516" t="s">
        <v>191</v>
      </c>
      <c r="I516">
        <v>2.7E-2</v>
      </c>
      <c r="J516">
        <f t="shared" si="258"/>
        <v>0.9989999999999668</v>
      </c>
      <c r="K516">
        <f t="shared" si="259"/>
        <v>51</v>
      </c>
      <c r="L516" t="e">
        <f t="shared" ca="1" si="260"/>
        <v>#VALUE!</v>
      </c>
      <c r="M516" t="e">
        <f t="shared" ca="1" si="233"/>
        <v>#VALUE!</v>
      </c>
      <c r="N516" t="e">
        <f t="shared" ca="1" si="234"/>
        <v>#VALUE!</v>
      </c>
      <c r="O516" t="e">
        <f t="shared" ca="1" si="235"/>
        <v>#VALUE!</v>
      </c>
      <c r="P516" t="e">
        <f t="shared" ca="1" si="236"/>
        <v>#VALUE!</v>
      </c>
      <c r="Q516" t="e">
        <f t="shared" ca="1" si="237"/>
        <v>#VALUE!</v>
      </c>
      <c r="R516" t="e">
        <f t="shared" ca="1" si="238"/>
        <v>#VALUE!</v>
      </c>
      <c r="S516" t="e">
        <f t="shared" ca="1" si="239"/>
        <v>#VALUE!</v>
      </c>
      <c r="T516" t="e">
        <f t="shared" ca="1" si="240"/>
        <v>#VALUE!</v>
      </c>
      <c r="U516" t="e">
        <f t="shared" ca="1" si="261"/>
        <v>#VALUE!</v>
      </c>
      <c r="V516" t="e">
        <f t="shared" ca="1" si="262"/>
        <v>#VALUE!</v>
      </c>
      <c r="W516" t="e">
        <f t="shared" ca="1" si="241"/>
        <v>#VALUE!</v>
      </c>
      <c r="X516" t="e">
        <f t="shared" ca="1" si="242"/>
        <v>#VALUE!</v>
      </c>
      <c r="Y516" t="e">
        <f t="shared" ca="1" si="243"/>
        <v>#VALUE!</v>
      </c>
      <c r="Z516" t="e">
        <f t="shared" ca="1" si="244"/>
        <v>#VALUE!</v>
      </c>
      <c r="AA516" t="e">
        <f t="shared" ca="1" si="245"/>
        <v>#VALUE!</v>
      </c>
      <c r="AB516" t="e">
        <f t="shared" ca="1" si="246"/>
        <v>#VALUE!</v>
      </c>
      <c r="AC516" t="e">
        <f t="shared" ca="1" si="247"/>
        <v>#VALUE!</v>
      </c>
      <c r="AD516" t="e">
        <f t="shared" ca="1" si="248"/>
        <v>#VALUE!</v>
      </c>
      <c r="AE516" t="e">
        <f t="shared" ca="1" si="249"/>
        <v>#VALUE!</v>
      </c>
      <c r="AF516" t="e">
        <f t="shared" ca="1" si="250"/>
        <v>#VALUE!</v>
      </c>
      <c r="AG516" t="e">
        <f t="shared" ca="1" si="251"/>
        <v>#VALUE!</v>
      </c>
      <c r="AH516" t="e">
        <f ca="1">IF(V32="Supercritical",L516,IF(V32="Subcritical",W516,IF(AND(V516=1,AG516=1),IF(T516&gt;=AE516,L516,W516),IF(V516=1,L516,IF(AG516=1,W516,MAX($D$16,POWER((ABS(K516)^2)/($I$5*MAX(F516,0.1)^2),1/3)))))))</f>
        <v>#VALUE!</v>
      </c>
      <c r="AI516" t="e">
        <f t="shared" ca="1" si="252"/>
        <v>#VALUE!</v>
      </c>
      <c r="AJ516" t="e">
        <f t="shared" ca="1" si="253"/>
        <v>#VALUE!</v>
      </c>
      <c r="AM516">
        <v>0</v>
      </c>
      <c r="AN516">
        <v>0</v>
      </c>
      <c r="AO516">
        <f t="shared" si="254"/>
        <v>0</v>
      </c>
      <c r="AP516">
        <f t="shared" si="263"/>
        <v>0</v>
      </c>
      <c r="AQ516" t="e">
        <f t="shared" ca="1" si="255"/>
        <v>#VALUE!</v>
      </c>
      <c r="AR516" t="e">
        <f t="shared" ca="1" si="256"/>
        <v>#VALUE!</v>
      </c>
      <c r="AS516" t="e">
        <f t="shared" ca="1" si="257"/>
        <v>#VALUE!</v>
      </c>
    </row>
    <row r="517" spans="1:45" x14ac:dyDescent="0.35">
      <c r="A517">
        <v>368</v>
      </c>
      <c r="B517">
        <v>366.89600000000002</v>
      </c>
      <c r="C517">
        <v>616267.44400000002</v>
      </c>
      <c r="D517">
        <v>3097593.827</v>
      </c>
      <c r="E517">
        <v>632.37850000000003</v>
      </c>
      <c r="F517">
        <v>5.2</v>
      </c>
      <c r="G517">
        <v>0</v>
      </c>
      <c r="H517" t="s">
        <v>191</v>
      </c>
      <c r="I517">
        <v>2.7E-2</v>
      </c>
      <c r="J517">
        <f t="shared" si="258"/>
        <v>1.0010000000000332</v>
      </c>
      <c r="K517">
        <f t="shared" si="259"/>
        <v>51</v>
      </c>
      <c r="L517" t="e">
        <f t="shared" ca="1" si="260"/>
        <v>#VALUE!</v>
      </c>
      <c r="M517" t="e">
        <f t="shared" ca="1" si="233"/>
        <v>#VALUE!</v>
      </c>
      <c r="N517" t="e">
        <f t="shared" ca="1" si="234"/>
        <v>#VALUE!</v>
      </c>
      <c r="O517" t="e">
        <f t="shared" ca="1" si="235"/>
        <v>#VALUE!</v>
      </c>
      <c r="P517" t="e">
        <f t="shared" ca="1" si="236"/>
        <v>#VALUE!</v>
      </c>
      <c r="Q517" t="e">
        <f t="shared" ca="1" si="237"/>
        <v>#VALUE!</v>
      </c>
      <c r="R517" t="e">
        <f t="shared" ca="1" si="238"/>
        <v>#VALUE!</v>
      </c>
      <c r="S517" t="e">
        <f t="shared" ca="1" si="239"/>
        <v>#VALUE!</v>
      </c>
      <c r="T517" t="e">
        <f t="shared" ca="1" si="240"/>
        <v>#VALUE!</v>
      </c>
      <c r="U517" t="e">
        <f t="shared" ca="1" si="261"/>
        <v>#VALUE!</v>
      </c>
      <c r="V517" t="e">
        <f t="shared" ca="1" si="262"/>
        <v>#VALUE!</v>
      </c>
      <c r="W517" t="e">
        <f t="shared" ca="1" si="241"/>
        <v>#VALUE!</v>
      </c>
      <c r="X517" t="e">
        <f t="shared" ca="1" si="242"/>
        <v>#VALUE!</v>
      </c>
      <c r="Y517" t="e">
        <f t="shared" ca="1" si="243"/>
        <v>#VALUE!</v>
      </c>
      <c r="Z517" t="e">
        <f t="shared" ca="1" si="244"/>
        <v>#VALUE!</v>
      </c>
      <c r="AA517" t="e">
        <f t="shared" ca="1" si="245"/>
        <v>#VALUE!</v>
      </c>
      <c r="AB517" t="e">
        <f t="shared" ca="1" si="246"/>
        <v>#VALUE!</v>
      </c>
      <c r="AC517" t="e">
        <f t="shared" ca="1" si="247"/>
        <v>#VALUE!</v>
      </c>
      <c r="AD517" t="e">
        <f t="shared" ca="1" si="248"/>
        <v>#VALUE!</v>
      </c>
      <c r="AE517" t="e">
        <f t="shared" ca="1" si="249"/>
        <v>#VALUE!</v>
      </c>
      <c r="AF517" t="e">
        <f t="shared" ca="1" si="250"/>
        <v>#VALUE!</v>
      </c>
      <c r="AG517" t="e">
        <f t="shared" ca="1" si="251"/>
        <v>#VALUE!</v>
      </c>
      <c r="AH517" t="e">
        <f ca="1">IF(V32="Supercritical",L517,IF(V32="Subcritical",W517,IF(AND(V517=1,AG517=1),IF(T517&gt;=AE517,L517,W517),IF(V517=1,L517,IF(AG517=1,W517,MAX($D$16,POWER((ABS(K517)^2)/($I$5*MAX(F517,0.1)^2),1/3)))))))</f>
        <v>#VALUE!</v>
      </c>
      <c r="AI517" t="e">
        <f t="shared" ca="1" si="252"/>
        <v>#VALUE!</v>
      </c>
      <c r="AJ517" t="e">
        <f t="shared" ca="1" si="253"/>
        <v>#VALUE!</v>
      </c>
      <c r="AM517">
        <v>0</v>
      </c>
      <c r="AN517">
        <v>0</v>
      </c>
      <c r="AO517">
        <f t="shared" si="254"/>
        <v>0</v>
      </c>
      <c r="AP517">
        <f t="shared" si="263"/>
        <v>0</v>
      </c>
      <c r="AQ517" t="e">
        <f t="shared" ca="1" si="255"/>
        <v>#VALUE!</v>
      </c>
      <c r="AR517" t="e">
        <f t="shared" ca="1" si="256"/>
        <v>#VALUE!</v>
      </c>
      <c r="AS517" t="e">
        <f t="shared" ca="1" si="257"/>
        <v>#VALUE!</v>
      </c>
    </row>
    <row r="518" spans="1:45" x14ac:dyDescent="0.35">
      <c r="A518">
        <v>369</v>
      </c>
      <c r="B518">
        <v>367.89499999999998</v>
      </c>
      <c r="C518">
        <v>616266.97</v>
      </c>
      <c r="D518">
        <v>3097592.9470000002</v>
      </c>
      <c r="E518">
        <v>632.37800000000004</v>
      </c>
      <c r="F518">
        <v>5.2</v>
      </c>
      <c r="G518">
        <v>0</v>
      </c>
      <c r="H518" t="s">
        <v>191</v>
      </c>
      <c r="I518">
        <v>0.05</v>
      </c>
      <c r="J518">
        <f t="shared" si="258"/>
        <v>0.9989999999999668</v>
      </c>
      <c r="K518">
        <f t="shared" si="259"/>
        <v>51</v>
      </c>
      <c r="L518" t="e">
        <f t="shared" ca="1" si="260"/>
        <v>#VALUE!</v>
      </c>
      <c r="M518" t="e">
        <f t="shared" ca="1" si="233"/>
        <v>#VALUE!</v>
      </c>
      <c r="N518" t="e">
        <f t="shared" ca="1" si="234"/>
        <v>#VALUE!</v>
      </c>
      <c r="O518" t="e">
        <f t="shared" ca="1" si="235"/>
        <v>#VALUE!</v>
      </c>
      <c r="P518" t="e">
        <f t="shared" ca="1" si="236"/>
        <v>#VALUE!</v>
      </c>
      <c r="Q518" t="e">
        <f t="shared" ca="1" si="237"/>
        <v>#VALUE!</v>
      </c>
      <c r="R518" t="e">
        <f t="shared" ca="1" si="238"/>
        <v>#VALUE!</v>
      </c>
      <c r="S518" t="e">
        <f t="shared" ca="1" si="239"/>
        <v>#VALUE!</v>
      </c>
      <c r="T518" t="e">
        <f t="shared" ca="1" si="240"/>
        <v>#VALUE!</v>
      </c>
      <c r="U518" t="e">
        <f t="shared" ca="1" si="261"/>
        <v>#VALUE!</v>
      </c>
      <c r="V518" t="e">
        <f t="shared" ca="1" si="262"/>
        <v>#VALUE!</v>
      </c>
      <c r="W518" t="e">
        <f t="shared" ca="1" si="241"/>
        <v>#VALUE!</v>
      </c>
      <c r="X518" t="e">
        <f t="shared" ca="1" si="242"/>
        <v>#VALUE!</v>
      </c>
      <c r="Y518" t="e">
        <f t="shared" ca="1" si="243"/>
        <v>#VALUE!</v>
      </c>
      <c r="Z518" t="e">
        <f t="shared" ca="1" si="244"/>
        <v>#VALUE!</v>
      </c>
      <c r="AA518" t="e">
        <f t="shared" ca="1" si="245"/>
        <v>#VALUE!</v>
      </c>
      <c r="AB518" t="e">
        <f t="shared" ca="1" si="246"/>
        <v>#VALUE!</v>
      </c>
      <c r="AC518" t="e">
        <f t="shared" ca="1" si="247"/>
        <v>#VALUE!</v>
      </c>
      <c r="AD518" t="e">
        <f t="shared" ca="1" si="248"/>
        <v>#VALUE!</v>
      </c>
      <c r="AE518" t="e">
        <f t="shared" ca="1" si="249"/>
        <v>#VALUE!</v>
      </c>
      <c r="AF518" t="e">
        <f t="shared" ca="1" si="250"/>
        <v>#VALUE!</v>
      </c>
      <c r="AG518" t="e">
        <f t="shared" ca="1" si="251"/>
        <v>#VALUE!</v>
      </c>
      <c r="AH518" t="e">
        <f ca="1">IF(V32="Supercritical",L518,IF(V32="Subcritical",W518,IF(AND(V518=1,AG518=1),IF(T518&gt;=AE518,L518,W518),IF(V518=1,L518,IF(AG518=1,W518,MAX($D$16,POWER((ABS(K518)^2)/($I$5*MAX(F518,0.1)^2),1/3)))))))</f>
        <v>#VALUE!</v>
      </c>
      <c r="AI518" t="e">
        <f t="shared" ca="1" si="252"/>
        <v>#VALUE!</v>
      </c>
      <c r="AJ518" t="e">
        <f t="shared" ca="1" si="253"/>
        <v>#VALUE!</v>
      </c>
      <c r="AM518">
        <v>0</v>
      </c>
      <c r="AN518">
        <v>0</v>
      </c>
      <c r="AO518">
        <f t="shared" si="254"/>
        <v>0</v>
      </c>
      <c r="AP518">
        <f t="shared" si="263"/>
        <v>0</v>
      </c>
      <c r="AQ518" t="e">
        <f t="shared" ca="1" si="255"/>
        <v>#VALUE!</v>
      </c>
      <c r="AR518" t="e">
        <f t="shared" ca="1" si="256"/>
        <v>#VALUE!</v>
      </c>
      <c r="AS518" t="e">
        <f t="shared" ca="1" si="257"/>
        <v>#VALUE!</v>
      </c>
    </row>
    <row r="519" spans="1:45" x14ac:dyDescent="0.35">
      <c r="A519">
        <v>370</v>
      </c>
      <c r="B519">
        <v>368.89499999999998</v>
      </c>
      <c r="C519">
        <v>616266.495</v>
      </c>
      <c r="D519">
        <v>3097592.0669999998</v>
      </c>
      <c r="E519">
        <v>632.37750000000005</v>
      </c>
      <c r="F519">
        <v>5.2</v>
      </c>
      <c r="G519">
        <v>0</v>
      </c>
      <c r="H519" t="s">
        <v>191</v>
      </c>
      <c r="I519">
        <v>7.8E-2</v>
      </c>
      <c r="J519">
        <f t="shared" si="258"/>
        <v>1</v>
      </c>
      <c r="K519">
        <f t="shared" si="259"/>
        <v>51</v>
      </c>
      <c r="L519" t="e">
        <f t="shared" ca="1" si="260"/>
        <v>#VALUE!</v>
      </c>
      <c r="M519" t="e">
        <f t="shared" ca="1" si="233"/>
        <v>#VALUE!</v>
      </c>
      <c r="N519" t="e">
        <f t="shared" ca="1" si="234"/>
        <v>#VALUE!</v>
      </c>
      <c r="O519" t="e">
        <f t="shared" ca="1" si="235"/>
        <v>#VALUE!</v>
      </c>
      <c r="P519" t="e">
        <f t="shared" ca="1" si="236"/>
        <v>#VALUE!</v>
      </c>
      <c r="Q519" t="e">
        <f t="shared" ca="1" si="237"/>
        <v>#VALUE!</v>
      </c>
      <c r="R519" t="e">
        <f t="shared" ca="1" si="238"/>
        <v>#VALUE!</v>
      </c>
      <c r="S519" t="e">
        <f t="shared" ca="1" si="239"/>
        <v>#VALUE!</v>
      </c>
      <c r="T519" t="e">
        <f t="shared" ca="1" si="240"/>
        <v>#VALUE!</v>
      </c>
      <c r="U519" t="e">
        <f t="shared" ca="1" si="261"/>
        <v>#VALUE!</v>
      </c>
      <c r="V519" t="e">
        <f t="shared" ca="1" si="262"/>
        <v>#VALUE!</v>
      </c>
      <c r="W519" t="e">
        <f t="shared" ca="1" si="241"/>
        <v>#VALUE!</v>
      </c>
      <c r="X519" t="e">
        <f t="shared" ca="1" si="242"/>
        <v>#VALUE!</v>
      </c>
      <c r="Y519" t="e">
        <f t="shared" ca="1" si="243"/>
        <v>#VALUE!</v>
      </c>
      <c r="Z519" t="e">
        <f t="shared" ca="1" si="244"/>
        <v>#VALUE!</v>
      </c>
      <c r="AA519" t="e">
        <f t="shared" ca="1" si="245"/>
        <v>#VALUE!</v>
      </c>
      <c r="AB519" t="e">
        <f t="shared" ca="1" si="246"/>
        <v>#VALUE!</v>
      </c>
      <c r="AC519" t="e">
        <f t="shared" ca="1" si="247"/>
        <v>#VALUE!</v>
      </c>
      <c r="AD519" t="e">
        <f t="shared" ca="1" si="248"/>
        <v>#VALUE!</v>
      </c>
      <c r="AE519" t="e">
        <f t="shared" ca="1" si="249"/>
        <v>#VALUE!</v>
      </c>
      <c r="AF519" t="e">
        <f t="shared" ca="1" si="250"/>
        <v>#VALUE!</v>
      </c>
      <c r="AG519" t="e">
        <f t="shared" ca="1" si="251"/>
        <v>#VALUE!</v>
      </c>
      <c r="AH519" t="e">
        <f ca="1">IF(V32="Supercritical",L519,IF(V32="Subcritical",W519,IF(AND(V519=1,AG519=1),IF(T519&gt;=AE519,L519,W519),IF(V519=1,L519,IF(AG519=1,W519,MAX($D$16,POWER((ABS(K519)^2)/($I$5*MAX(F519,0.1)^2),1/3)))))))</f>
        <v>#VALUE!</v>
      </c>
      <c r="AI519" t="e">
        <f t="shared" ca="1" si="252"/>
        <v>#VALUE!</v>
      </c>
      <c r="AJ519" t="e">
        <f t="shared" ca="1" si="253"/>
        <v>#VALUE!</v>
      </c>
      <c r="AM519">
        <v>0</v>
      </c>
      <c r="AN519">
        <v>0</v>
      </c>
      <c r="AO519">
        <f t="shared" si="254"/>
        <v>0</v>
      </c>
      <c r="AP519">
        <f t="shared" si="263"/>
        <v>0</v>
      </c>
      <c r="AQ519" t="e">
        <f t="shared" ca="1" si="255"/>
        <v>#VALUE!</v>
      </c>
      <c r="AR519" t="e">
        <f t="shared" ca="1" si="256"/>
        <v>#VALUE!</v>
      </c>
      <c r="AS519" t="e">
        <f t="shared" ca="1" si="257"/>
        <v>#VALUE!</v>
      </c>
    </row>
    <row r="520" spans="1:45" x14ac:dyDescent="0.35">
      <c r="A520">
        <v>371</v>
      </c>
      <c r="B520">
        <v>369.89600000000002</v>
      </c>
      <c r="C520">
        <v>616266.02099999995</v>
      </c>
      <c r="D520">
        <v>3097591.1860000002</v>
      </c>
      <c r="E520">
        <v>632.37699999999995</v>
      </c>
      <c r="F520">
        <v>5.2</v>
      </c>
      <c r="G520">
        <v>0</v>
      </c>
      <c r="H520" t="s">
        <v>191</v>
      </c>
      <c r="I520">
        <v>2.7E-2</v>
      </c>
      <c r="J520">
        <f t="shared" si="258"/>
        <v>1.0010000000000332</v>
      </c>
      <c r="K520">
        <f t="shared" si="259"/>
        <v>51</v>
      </c>
      <c r="L520" t="e">
        <f t="shared" ca="1" si="260"/>
        <v>#VALUE!</v>
      </c>
      <c r="M520" t="e">
        <f t="shared" ca="1" si="233"/>
        <v>#VALUE!</v>
      </c>
      <c r="N520" t="e">
        <f t="shared" ca="1" si="234"/>
        <v>#VALUE!</v>
      </c>
      <c r="O520" t="e">
        <f t="shared" ca="1" si="235"/>
        <v>#VALUE!</v>
      </c>
      <c r="P520" t="e">
        <f t="shared" ca="1" si="236"/>
        <v>#VALUE!</v>
      </c>
      <c r="Q520" t="e">
        <f t="shared" ca="1" si="237"/>
        <v>#VALUE!</v>
      </c>
      <c r="R520" t="e">
        <f t="shared" ca="1" si="238"/>
        <v>#VALUE!</v>
      </c>
      <c r="S520" t="e">
        <f t="shared" ca="1" si="239"/>
        <v>#VALUE!</v>
      </c>
      <c r="T520" t="e">
        <f t="shared" ca="1" si="240"/>
        <v>#VALUE!</v>
      </c>
      <c r="U520" t="e">
        <f t="shared" ca="1" si="261"/>
        <v>#VALUE!</v>
      </c>
      <c r="V520" t="e">
        <f t="shared" ca="1" si="262"/>
        <v>#VALUE!</v>
      </c>
      <c r="W520" t="e">
        <f t="shared" ca="1" si="241"/>
        <v>#VALUE!</v>
      </c>
      <c r="X520" t="e">
        <f t="shared" ca="1" si="242"/>
        <v>#VALUE!</v>
      </c>
      <c r="Y520" t="e">
        <f t="shared" ca="1" si="243"/>
        <v>#VALUE!</v>
      </c>
      <c r="Z520" t="e">
        <f t="shared" ca="1" si="244"/>
        <v>#VALUE!</v>
      </c>
      <c r="AA520" t="e">
        <f t="shared" ca="1" si="245"/>
        <v>#VALUE!</v>
      </c>
      <c r="AB520" t="e">
        <f t="shared" ca="1" si="246"/>
        <v>#VALUE!</v>
      </c>
      <c r="AC520" t="e">
        <f t="shared" ca="1" si="247"/>
        <v>#VALUE!</v>
      </c>
      <c r="AD520" t="e">
        <f t="shared" ca="1" si="248"/>
        <v>#VALUE!</v>
      </c>
      <c r="AE520" t="e">
        <f t="shared" ca="1" si="249"/>
        <v>#VALUE!</v>
      </c>
      <c r="AF520" t="e">
        <f t="shared" ca="1" si="250"/>
        <v>#VALUE!</v>
      </c>
      <c r="AG520" t="e">
        <f t="shared" ca="1" si="251"/>
        <v>#VALUE!</v>
      </c>
      <c r="AH520" t="e">
        <f ca="1">IF(V32="Supercritical",L520,IF(V32="Subcritical",W520,IF(AND(V520=1,AG520=1),IF(T520&gt;=AE520,L520,W520),IF(V520=1,L520,IF(AG520=1,W520,MAX($D$16,POWER((ABS(K520)^2)/($I$5*MAX(F520,0.1)^2),1/3)))))))</f>
        <v>#VALUE!</v>
      </c>
      <c r="AI520" t="e">
        <f t="shared" ca="1" si="252"/>
        <v>#VALUE!</v>
      </c>
      <c r="AJ520" t="e">
        <f t="shared" ca="1" si="253"/>
        <v>#VALUE!</v>
      </c>
      <c r="AM520">
        <v>0</v>
      </c>
      <c r="AN520">
        <v>0</v>
      </c>
      <c r="AO520">
        <f t="shared" si="254"/>
        <v>0</v>
      </c>
      <c r="AP520">
        <f t="shared" si="263"/>
        <v>0</v>
      </c>
      <c r="AQ520" t="e">
        <f t="shared" ca="1" si="255"/>
        <v>#VALUE!</v>
      </c>
      <c r="AR520" t="e">
        <f t="shared" ca="1" si="256"/>
        <v>#VALUE!</v>
      </c>
      <c r="AS520" t="e">
        <f t="shared" ca="1" si="257"/>
        <v>#VALUE!</v>
      </c>
    </row>
    <row r="521" spans="1:45" x14ac:dyDescent="0.35">
      <c r="A521">
        <v>372</v>
      </c>
      <c r="B521">
        <v>370.89499999999998</v>
      </c>
      <c r="C521">
        <v>616265.54700000002</v>
      </c>
      <c r="D521">
        <v>3097590.3059999999</v>
      </c>
      <c r="E521">
        <v>632.37649999999996</v>
      </c>
      <c r="F521">
        <v>5.2</v>
      </c>
      <c r="G521">
        <v>0</v>
      </c>
      <c r="H521" t="s">
        <v>191</v>
      </c>
      <c r="I521">
        <v>2.7E-2</v>
      </c>
      <c r="J521">
        <f t="shared" si="258"/>
        <v>0.9989999999999668</v>
      </c>
      <c r="K521">
        <f t="shared" si="259"/>
        <v>51</v>
      </c>
      <c r="L521" t="e">
        <f t="shared" ca="1" si="260"/>
        <v>#VALUE!</v>
      </c>
      <c r="M521" t="e">
        <f t="shared" ca="1" si="233"/>
        <v>#VALUE!</v>
      </c>
      <c r="N521" t="e">
        <f t="shared" ca="1" si="234"/>
        <v>#VALUE!</v>
      </c>
      <c r="O521" t="e">
        <f t="shared" ca="1" si="235"/>
        <v>#VALUE!</v>
      </c>
      <c r="P521" t="e">
        <f t="shared" ca="1" si="236"/>
        <v>#VALUE!</v>
      </c>
      <c r="Q521" t="e">
        <f t="shared" ca="1" si="237"/>
        <v>#VALUE!</v>
      </c>
      <c r="R521" t="e">
        <f t="shared" ca="1" si="238"/>
        <v>#VALUE!</v>
      </c>
      <c r="S521" t="e">
        <f t="shared" ca="1" si="239"/>
        <v>#VALUE!</v>
      </c>
      <c r="T521" t="e">
        <f t="shared" ca="1" si="240"/>
        <v>#VALUE!</v>
      </c>
      <c r="U521" t="e">
        <f t="shared" ca="1" si="261"/>
        <v>#VALUE!</v>
      </c>
      <c r="V521" t="e">
        <f t="shared" ca="1" si="262"/>
        <v>#VALUE!</v>
      </c>
      <c r="W521" t="e">
        <f t="shared" ca="1" si="241"/>
        <v>#VALUE!</v>
      </c>
      <c r="X521" t="e">
        <f t="shared" ca="1" si="242"/>
        <v>#VALUE!</v>
      </c>
      <c r="Y521" t="e">
        <f t="shared" ca="1" si="243"/>
        <v>#VALUE!</v>
      </c>
      <c r="Z521" t="e">
        <f t="shared" ca="1" si="244"/>
        <v>#VALUE!</v>
      </c>
      <c r="AA521" t="e">
        <f t="shared" ca="1" si="245"/>
        <v>#VALUE!</v>
      </c>
      <c r="AB521" t="e">
        <f t="shared" ca="1" si="246"/>
        <v>#VALUE!</v>
      </c>
      <c r="AC521" t="e">
        <f t="shared" ca="1" si="247"/>
        <v>#VALUE!</v>
      </c>
      <c r="AD521" t="e">
        <f t="shared" ca="1" si="248"/>
        <v>#VALUE!</v>
      </c>
      <c r="AE521" t="e">
        <f t="shared" ca="1" si="249"/>
        <v>#VALUE!</v>
      </c>
      <c r="AF521" t="e">
        <f t="shared" ca="1" si="250"/>
        <v>#VALUE!</v>
      </c>
      <c r="AG521" t="e">
        <f t="shared" ca="1" si="251"/>
        <v>#VALUE!</v>
      </c>
      <c r="AH521" t="e">
        <f ca="1">IF(V32="Supercritical",L521,IF(V32="Subcritical",W521,IF(AND(V521=1,AG521=1),IF(T521&gt;=AE521,L521,W521),IF(V521=1,L521,IF(AG521=1,W521,MAX($D$16,POWER((ABS(K521)^2)/($I$5*MAX(F521,0.1)^2),1/3)))))))</f>
        <v>#VALUE!</v>
      </c>
      <c r="AI521" t="e">
        <f t="shared" ca="1" si="252"/>
        <v>#VALUE!</v>
      </c>
      <c r="AJ521" t="e">
        <f t="shared" ca="1" si="253"/>
        <v>#VALUE!</v>
      </c>
      <c r="AM521">
        <v>0</v>
      </c>
      <c r="AN521">
        <v>0</v>
      </c>
      <c r="AO521">
        <f t="shared" si="254"/>
        <v>0</v>
      </c>
      <c r="AP521">
        <f t="shared" si="263"/>
        <v>0</v>
      </c>
      <c r="AQ521" t="e">
        <f t="shared" ca="1" si="255"/>
        <v>#VALUE!</v>
      </c>
      <c r="AR521" t="e">
        <f t="shared" ca="1" si="256"/>
        <v>#VALUE!</v>
      </c>
      <c r="AS521" t="e">
        <f t="shared" ca="1" si="257"/>
        <v>#VALUE!</v>
      </c>
    </row>
    <row r="522" spans="1:45" x14ac:dyDescent="0.35">
      <c r="A522">
        <v>373</v>
      </c>
      <c r="B522">
        <v>371.89600000000002</v>
      </c>
      <c r="C522">
        <v>616265.07299999997</v>
      </c>
      <c r="D522">
        <v>3097589.4249999998</v>
      </c>
      <c r="E522">
        <v>632.37599999999998</v>
      </c>
      <c r="F522">
        <v>5.2</v>
      </c>
      <c r="G522">
        <v>0</v>
      </c>
      <c r="H522" t="s">
        <v>191</v>
      </c>
      <c r="I522">
        <v>7.8E-2</v>
      </c>
      <c r="J522">
        <f t="shared" si="258"/>
        <v>1.0010000000000332</v>
      </c>
      <c r="K522">
        <f t="shared" si="259"/>
        <v>51</v>
      </c>
      <c r="L522" t="e">
        <f t="shared" ca="1" si="260"/>
        <v>#VALUE!</v>
      </c>
      <c r="M522" t="e">
        <f t="shared" ca="1" si="233"/>
        <v>#VALUE!</v>
      </c>
      <c r="N522" t="e">
        <f t="shared" ca="1" si="234"/>
        <v>#VALUE!</v>
      </c>
      <c r="O522" t="e">
        <f t="shared" ca="1" si="235"/>
        <v>#VALUE!</v>
      </c>
      <c r="P522" t="e">
        <f t="shared" ca="1" si="236"/>
        <v>#VALUE!</v>
      </c>
      <c r="Q522" t="e">
        <f t="shared" ca="1" si="237"/>
        <v>#VALUE!</v>
      </c>
      <c r="R522" t="e">
        <f t="shared" ca="1" si="238"/>
        <v>#VALUE!</v>
      </c>
      <c r="S522" t="e">
        <f t="shared" ca="1" si="239"/>
        <v>#VALUE!</v>
      </c>
      <c r="T522" t="e">
        <f t="shared" ca="1" si="240"/>
        <v>#VALUE!</v>
      </c>
      <c r="U522" t="e">
        <f t="shared" ca="1" si="261"/>
        <v>#VALUE!</v>
      </c>
      <c r="V522" t="e">
        <f t="shared" ca="1" si="262"/>
        <v>#VALUE!</v>
      </c>
      <c r="W522" t="e">
        <f t="shared" ca="1" si="241"/>
        <v>#VALUE!</v>
      </c>
      <c r="X522" t="e">
        <f t="shared" ca="1" si="242"/>
        <v>#VALUE!</v>
      </c>
      <c r="Y522" t="e">
        <f t="shared" ca="1" si="243"/>
        <v>#VALUE!</v>
      </c>
      <c r="Z522" t="e">
        <f t="shared" ca="1" si="244"/>
        <v>#VALUE!</v>
      </c>
      <c r="AA522" t="e">
        <f t="shared" ca="1" si="245"/>
        <v>#VALUE!</v>
      </c>
      <c r="AB522" t="e">
        <f t="shared" ca="1" si="246"/>
        <v>#VALUE!</v>
      </c>
      <c r="AC522" t="e">
        <f t="shared" ca="1" si="247"/>
        <v>#VALUE!</v>
      </c>
      <c r="AD522" t="e">
        <f t="shared" ca="1" si="248"/>
        <v>#VALUE!</v>
      </c>
      <c r="AE522" t="e">
        <f t="shared" ca="1" si="249"/>
        <v>#VALUE!</v>
      </c>
      <c r="AF522" t="e">
        <f t="shared" ca="1" si="250"/>
        <v>#VALUE!</v>
      </c>
      <c r="AG522" t="e">
        <f t="shared" ca="1" si="251"/>
        <v>#VALUE!</v>
      </c>
      <c r="AH522" t="e">
        <f ca="1">IF(V32="Supercritical",L522,IF(V32="Subcritical",W522,IF(AND(V522=1,AG522=1),IF(T522&gt;=AE522,L522,W522),IF(V522=1,L522,IF(AG522=1,W522,MAX($D$16,POWER((ABS(K522)^2)/($I$5*MAX(F522,0.1)^2),1/3)))))))</f>
        <v>#VALUE!</v>
      </c>
      <c r="AI522" t="e">
        <f t="shared" ca="1" si="252"/>
        <v>#VALUE!</v>
      </c>
      <c r="AJ522" t="e">
        <f t="shared" ca="1" si="253"/>
        <v>#VALUE!</v>
      </c>
      <c r="AM522">
        <v>0</v>
      </c>
      <c r="AN522">
        <v>0</v>
      </c>
      <c r="AO522">
        <f t="shared" si="254"/>
        <v>0</v>
      </c>
      <c r="AP522">
        <f t="shared" si="263"/>
        <v>0</v>
      </c>
      <c r="AQ522" t="e">
        <f t="shared" ca="1" si="255"/>
        <v>#VALUE!</v>
      </c>
      <c r="AR522" t="e">
        <f t="shared" ca="1" si="256"/>
        <v>#VALUE!</v>
      </c>
      <c r="AS522" t="e">
        <f t="shared" ca="1" si="257"/>
        <v>#VALUE!</v>
      </c>
    </row>
    <row r="523" spans="1:45" x14ac:dyDescent="0.35">
      <c r="A523">
        <v>374</v>
      </c>
      <c r="B523">
        <v>372.89600000000002</v>
      </c>
      <c r="C523">
        <v>616264.598</v>
      </c>
      <c r="D523">
        <v>3097588.5449999999</v>
      </c>
      <c r="E523">
        <v>632.37549999999999</v>
      </c>
      <c r="F523">
        <v>5.2</v>
      </c>
      <c r="G523">
        <v>0</v>
      </c>
      <c r="H523" t="s">
        <v>191</v>
      </c>
      <c r="I523">
        <v>0.05</v>
      </c>
      <c r="J523">
        <f t="shared" si="258"/>
        <v>1</v>
      </c>
      <c r="K523">
        <f t="shared" si="259"/>
        <v>51</v>
      </c>
      <c r="L523" t="e">
        <f t="shared" ca="1" si="260"/>
        <v>#VALUE!</v>
      </c>
      <c r="M523" t="e">
        <f t="shared" ca="1" si="233"/>
        <v>#VALUE!</v>
      </c>
      <c r="N523" t="e">
        <f t="shared" ca="1" si="234"/>
        <v>#VALUE!</v>
      </c>
      <c r="O523" t="e">
        <f t="shared" ca="1" si="235"/>
        <v>#VALUE!</v>
      </c>
      <c r="P523" t="e">
        <f t="shared" ca="1" si="236"/>
        <v>#VALUE!</v>
      </c>
      <c r="Q523" t="e">
        <f t="shared" ca="1" si="237"/>
        <v>#VALUE!</v>
      </c>
      <c r="R523" t="e">
        <f t="shared" ca="1" si="238"/>
        <v>#VALUE!</v>
      </c>
      <c r="S523" t="e">
        <f t="shared" ca="1" si="239"/>
        <v>#VALUE!</v>
      </c>
      <c r="T523" t="e">
        <f t="shared" ca="1" si="240"/>
        <v>#VALUE!</v>
      </c>
      <c r="U523" t="e">
        <f t="shared" ca="1" si="261"/>
        <v>#VALUE!</v>
      </c>
      <c r="V523" t="e">
        <f t="shared" ca="1" si="262"/>
        <v>#VALUE!</v>
      </c>
      <c r="W523" t="e">
        <f t="shared" ca="1" si="241"/>
        <v>#VALUE!</v>
      </c>
      <c r="X523" t="e">
        <f t="shared" ca="1" si="242"/>
        <v>#VALUE!</v>
      </c>
      <c r="Y523" t="e">
        <f t="shared" ca="1" si="243"/>
        <v>#VALUE!</v>
      </c>
      <c r="Z523" t="e">
        <f t="shared" ca="1" si="244"/>
        <v>#VALUE!</v>
      </c>
      <c r="AA523" t="e">
        <f t="shared" ca="1" si="245"/>
        <v>#VALUE!</v>
      </c>
      <c r="AB523" t="e">
        <f t="shared" ca="1" si="246"/>
        <v>#VALUE!</v>
      </c>
      <c r="AC523" t="e">
        <f t="shared" ca="1" si="247"/>
        <v>#VALUE!</v>
      </c>
      <c r="AD523" t="e">
        <f t="shared" ca="1" si="248"/>
        <v>#VALUE!</v>
      </c>
      <c r="AE523" t="e">
        <f t="shared" ca="1" si="249"/>
        <v>#VALUE!</v>
      </c>
      <c r="AF523" t="e">
        <f t="shared" ca="1" si="250"/>
        <v>#VALUE!</v>
      </c>
      <c r="AG523" t="e">
        <f t="shared" ca="1" si="251"/>
        <v>#VALUE!</v>
      </c>
      <c r="AH523" t="e">
        <f ca="1">IF(V32="Supercritical",L523,IF(V32="Subcritical",W523,IF(AND(V523=1,AG523=1),IF(T523&gt;=AE523,L523,W523),IF(V523=1,L523,IF(AG523=1,W523,MAX($D$16,POWER((ABS(K523)^2)/($I$5*MAX(F523,0.1)^2),1/3)))))))</f>
        <v>#VALUE!</v>
      </c>
      <c r="AI523" t="e">
        <f t="shared" ca="1" si="252"/>
        <v>#VALUE!</v>
      </c>
      <c r="AJ523" t="e">
        <f t="shared" ca="1" si="253"/>
        <v>#VALUE!</v>
      </c>
      <c r="AM523">
        <v>0</v>
      </c>
      <c r="AN523">
        <v>0</v>
      </c>
      <c r="AO523">
        <f t="shared" si="254"/>
        <v>0</v>
      </c>
      <c r="AP523">
        <f t="shared" si="263"/>
        <v>0</v>
      </c>
      <c r="AQ523" t="e">
        <f t="shared" ca="1" si="255"/>
        <v>#VALUE!</v>
      </c>
      <c r="AR523" t="e">
        <f t="shared" ca="1" si="256"/>
        <v>#VALUE!</v>
      </c>
      <c r="AS523" t="e">
        <f t="shared" ca="1" si="257"/>
        <v>#VALUE!</v>
      </c>
    </row>
    <row r="524" spans="1:45" x14ac:dyDescent="0.35">
      <c r="A524">
        <v>375</v>
      </c>
      <c r="B524">
        <v>373.89499999999998</v>
      </c>
      <c r="C524">
        <v>616264.12399999995</v>
      </c>
      <c r="D524">
        <v>3097587.665</v>
      </c>
      <c r="E524">
        <v>632.375</v>
      </c>
      <c r="F524">
        <v>5.2</v>
      </c>
      <c r="G524">
        <v>0</v>
      </c>
      <c r="H524" t="s">
        <v>191</v>
      </c>
      <c r="I524">
        <v>2.7E-2</v>
      </c>
      <c r="J524">
        <f t="shared" si="258"/>
        <v>0.9989999999999668</v>
      </c>
      <c r="K524">
        <f t="shared" si="259"/>
        <v>51</v>
      </c>
      <c r="L524" t="e">
        <f t="shared" ca="1" si="260"/>
        <v>#VALUE!</v>
      </c>
      <c r="M524" t="e">
        <f t="shared" ca="1" si="233"/>
        <v>#VALUE!</v>
      </c>
      <c r="N524" t="e">
        <f t="shared" ca="1" si="234"/>
        <v>#VALUE!</v>
      </c>
      <c r="O524" t="e">
        <f t="shared" ca="1" si="235"/>
        <v>#VALUE!</v>
      </c>
      <c r="P524" t="e">
        <f t="shared" ca="1" si="236"/>
        <v>#VALUE!</v>
      </c>
      <c r="Q524" t="e">
        <f t="shared" ca="1" si="237"/>
        <v>#VALUE!</v>
      </c>
      <c r="R524" t="e">
        <f t="shared" ca="1" si="238"/>
        <v>#VALUE!</v>
      </c>
      <c r="S524" t="e">
        <f t="shared" ca="1" si="239"/>
        <v>#VALUE!</v>
      </c>
      <c r="T524" t="e">
        <f t="shared" ca="1" si="240"/>
        <v>#VALUE!</v>
      </c>
      <c r="U524" t="e">
        <f t="shared" ca="1" si="261"/>
        <v>#VALUE!</v>
      </c>
      <c r="V524" t="e">
        <f t="shared" ca="1" si="262"/>
        <v>#VALUE!</v>
      </c>
      <c r="W524" t="e">
        <f t="shared" ca="1" si="241"/>
        <v>#VALUE!</v>
      </c>
      <c r="X524" t="e">
        <f t="shared" ca="1" si="242"/>
        <v>#VALUE!</v>
      </c>
      <c r="Y524" t="e">
        <f t="shared" ca="1" si="243"/>
        <v>#VALUE!</v>
      </c>
      <c r="Z524" t="e">
        <f t="shared" ca="1" si="244"/>
        <v>#VALUE!</v>
      </c>
      <c r="AA524" t="e">
        <f t="shared" ca="1" si="245"/>
        <v>#VALUE!</v>
      </c>
      <c r="AB524" t="e">
        <f t="shared" ca="1" si="246"/>
        <v>#VALUE!</v>
      </c>
      <c r="AC524" t="e">
        <f t="shared" ca="1" si="247"/>
        <v>#VALUE!</v>
      </c>
      <c r="AD524" t="e">
        <f t="shared" ca="1" si="248"/>
        <v>#VALUE!</v>
      </c>
      <c r="AE524" t="e">
        <f t="shared" ca="1" si="249"/>
        <v>#VALUE!</v>
      </c>
      <c r="AF524" t="e">
        <f t="shared" ca="1" si="250"/>
        <v>#VALUE!</v>
      </c>
      <c r="AG524" t="e">
        <f t="shared" ca="1" si="251"/>
        <v>#VALUE!</v>
      </c>
      <c r="AH524" t="e">
        <f ca="1">IF(V32="Supercritical",L524,IF(V32="Subcritical",W524,IF(AND(V524=1,AG524=1),IF(T524&gt;=AE524,L524,W524),IF(V524=1,L524,IF(AG524=1,W524,MAX($D$16,POWER((ABS(K524)^2)/($I$5*MAX(F524,0.1)^2),1/3)))))))</f>
        <v>#VALUE!</v>
      </c>
      <c r="AI524" t="e">
        <f t="shared" ca="1" si="252"/>
        <v>#VALUE!</v>
      </c>
      <c r="AJ524" t="e">
        <f t="shared" ca="1" si="253"/>
        <v>#VALUE!</v>
      </c>
      <c r="AM524">
        <v>0</v>
      </c>
      <c r="AN524">
        <v>0</v>
      </c>
      <c r="AO524">
        <f t="shared" si="254"/>
        <v>0</v>
      </c>
      <c r="AP524">
        <f t="shared" si="263"/>
        <v>0</v>
      </c>
      <c r="AQ524" t="e">
        <f t="shared" ca="1" si="255"/>
        <v>#VALUE!</v>
      </c>
      <c r="AR524" t="e">
        <f t="shared" ca="1" si="256"/>
        <v>#VALUE!</v>
      </c>
      <c r="AS524" t="e">
        <f t="shared" ca="1" si="257"/>
        <v>#VALUE!</v>
      </c>
    </row>
    <row r="525" spans="1:45" x14ac:dyDescent="0.35">
      <c r="A525">
        <v>376</v>
      </c>
      <c r="B525">
        <v>374.89600000000002</v>
      </c>
      <c r="C525">
        <v>616263.65</v>
      </c>
      <c r="D525">
        <v>3097586.784</v>
      </c>
      <c r="E525">
        <v>632.37450000000001</v>
      </c>
      <c r="F525">
        <v>5.2</v>
      </c>
      <c r="G525">
        <v>0</v>
      </c>
      <c r="H525" t="s">
        <v>191</v>
      </c>
      <c r="I525">
        <v>2.7E-2</v>
      </c>
      <c r="J525">
        <f t="shared" si="258"/>
        <v>1.0010000000000332</v>
      </c>
      <c r="K525">
        <f t="shared" si="259"/>
        <v>51</v>
      </c>
      <c r="L525" t="e">
        <f t="shared" ca="1" si="260"/>
        <v>#VALUE!</v>
      </c>
      <c r="M525" t="e">
        <f t="shared" ca="1" si="233"/>
        <v>#VALUE!</v>
      </c>
      <c r="N525" t="e">
        <f t="shared" ca="1" si="234"/>
        <v>#VALUE!</v>
      </c>
      <c r="O525" t="e">
        <f t="shared" ca="1" si="235"/>
        <v>#VALUE!</v>
      </c>
      <c r="P525" t="e">
        <f t="shared" ca="1" si="236"/>
        <v>#VALUE!</v>
      </c>
      <c r="Q525" t="e">
        <f t="shared" ca="1" si="237"/>
        <v>#VALUE!</v>
      </c>
      <c r="R525" t="e">
        <f t="shared" ca="1" si="238"/>
        <v>#VALUE!</v>
      </c>
      <c r="S525" t="e">
        <f t="shared" ca="1" si="239"/>
        <v>#VALUE!</v>
      </c>
      <c r="T525" t="e">
        <f t="shared" ca="1" si="240"/>
        <v>#VALUE!</v>
      </c>
      <c r="U525" t="e">
        <f t="shared" ca="1" si="261"/>
        <v>#VALUE!</v>
      </c>
      <c r="V525" t="e">
        <f t="shared" ca="1" si="262"/>
        <v>#VALUE!</v>
      </c>
      <c r="W525" t="e">
        <f t="shared" ca="1" si="241"/>
        <v>#VALUE!</v>
      </c>
      <c r="X525" t="e">
        <f t="shared" ca="1" si="242"/>
        <v>#VALUE!</v>
      </c>
      <c r="Y525" t="e">
        <f t="shared" ca="1" si="243"/>
        <v>#VALUE!</v>
      </c>
      <c r="Z525" t="e">
        <f t="shared" ca="1" si="244"/>
        <v>#VALUE!</v>
      </c>
      <c r="AA525" t="e">
        <f t="shared" ca="1" si="245"/>
        <v>#VALUE!</v>
      </c>
      <c r="AB525" t="e">
        <f t="shared" ca="1" si="246"/>
        <v>#VALUE!</v>
      </c>
      <c r="AC525" t="e">
        <f t="shared" ca="1" si="247"/>
        <v>#VALUE!</v>
      </c>
      <c r="AD525" t="e">
        <f t="shared" ca="1" si="248"/>
        <v>#VALUE!</v>
      </c>
      <c r="AE525" t="e">
        <f t="shared" ca="1" si="249"/>
        <v>#VALUE!</v>
      </c>
      <c r="AF525" t="e">
        <f t="shared" ca="1" si="250"/>
        <v>#VALUE!</v>
      </c>
      <c r="AG525" t="e">
        <f t="shared" ca="1" si="251"/>
        <v>#VALUE!</v>
      </c>
      <c r="AH525" t="e">
        <f ca="1">IF(V32="Supercritical",L525,IF(V32="Subcritical",W525,IF(AND(V525=1,AG525=1),IF(T525&gt;=AE525,L525,W525),IF(V525=1,L525,IF(AG525=1,W525,MAX($D$16,POWER((ABS(K525)^2)/($I$5*MAX(F525,0.1)^2),1/3)))))))</f>
        <v>#VALUE!</v>
      </c>
      <c r="AI525" t="e">
        <f t="shared" ca="1" si="252"/>
        <v>#VALUE!</v>
      </c>
      <c r="AJ525" t="e">
        <f t="shared" ca="1" si="253"/>
        <v>#VALUE!</v>
      </c>
      <c r="AM525">
        <v>0</v>
      </c>
      <c r="AN525">
        <v>0</v>
      </c>
      <c r="AO525">
        <f t="shared" si="254"/>
        <v>0</v>
      </c>
      <c r="AP525">
        <f t="shared" si="263"/>
        <v>0</v>
      </c>
      <c r="AQ525" t="e">
        <f t="shared" ca="1" si="255"/>
        <v>#VALUE!</v>
      </c>
      <c r="AR525" t="e">
        <f t="shared" ca="1" si="256"/>
        <v>#VALUE!</v>
      </c>
      <c r="AS525" t="e">
        <f t="shared" ca="1" si="257"/>
        <v>#VALUE!</v>
      </c>
    </row>
    <row r="526" spans="1:45" x14ac:dyDescent="0.35">
      <c r="A526">
        <v>377</v>
      </c>
      <c r="B526">
        <v>375.89499999999998</v>
      </c>
      <c r="C526">
        <v>616263.17599999998</v>
      </c>
      <c r="D526">
        <v>3097585.9040000001</v>
      </c>
      <c r="E526">
        <v>632.37400000000002</v>
      </c>
      <c r="F526">
        <v>5.2</v>
      </c>
      <c r="G526">
        <v>0</v>
      </c>
      <c r="H526" t="s">
        <v>191</v>
      </c>
      <c r="I526">
        <v>2.7E-2</v>
      </c>
      <c r="J526">
        <f t="shared" si="258"/>
        <v>0.9989999999999668</v>
      </c>
      <c r="K526">
        <f t="shared" si="259"/>
        <v>51</v>
      </c>
      <c r="L526" t="e">
        <f t="shared" ca="1" si="260"/>
        <v>#VALUE!</v>
      </c>
      <c r="M526" t="e">
        <f t="shared" ca="1" si="233"/>
        <v>#VALUE!</v>
      </c>
      <c r="N526" t="e">
        <f t="shared" ca="1" si="234"/>
        <v>#VALUE!</v>
      </c>
      <c r="O526" t="e">
        <f t="shared" ca="1" si="235"/>
        <v>#VALUE!</v>
      </c>
      <c r="P526" t="e">
        <f t="shared" ca="1" si="236"/>
        <v>#VALUE!</v>
      </c>
      <c r="Q526" t="e">
        <f t="shared" ca="1" si="237"/>
        <v>#VALUE!</v>
      </c>
      <c r="R526" t="e">
        <f t="shared" ca="1" si="238"/>
        <v>#VALUE!</v>
      </c>
      <c r="S526" t="e">
        <f t="shared" ca="1" si="239"/>
        <v>#VALUE!</v>
      </c>
      <c r="T526" t="e">
        <f t="shared" ca="1" si="240"/>
        <v>#VALUE!</v>
      </c>
      <c r="U526" t="e">
        <f t="shared" ca="1" si="261"/>
        <v>#VALUE!</v>
      </c>
      <c r="V526" t="e">
        <f t="shared" ca="1" si="262"/>
        <v>#VALUE!</v>
      </c>
      <c r="W526" t="e">
        <f t="shared" ca="1" si="241"/>
        <v>#VALUE!</v>
      </c>
      <c r="X526" t="e">
        <f t="shared" ca="1" si="242"/>
        <v>#VALUE!</v>
      </c>
      <c r="Y526" t="e">
        <f t="shared" ca="1" si="243"/>
        <v>#VALUE!</v>
      </c>
      <c r="Z526" t="e">
        <f t="shared" ca="1" si="244"/>
        <v>#VALUE!</v>
      </c>
      <c r="AA526" t="e">
        <f t="shared" ca="1" si="245"/>
        <v>#VALUE!</v>
      </c>
      <c r="AB526" t="e">
        <f t="shared" ca="1" si="246"/>
        <v>#VALUE!</v>
      </c>
      <c r="AC526" t="e">
        <f t="shared" ca="1" si="247"/>
        <v>#VALUE!</v>
      </c>
      <c r="AD526" t="e">
        <f t="shared" ca="1" si="248"/>
        <v>#VALUE!</v>
      </c>
      <c r="AE526" t="e">
        <f t="shared" ca="1" si="249"/>
        <v>#VALUE!</v>
      </c>
      <c r="AF526" t="e">
        <f t="shared" ca="1" si="250"/>
        <v>#VALUE!</v>
      </c>
      <c r="AG526" t="e">
        <f t="shared" ca="1" si="251"/>
        <v>#VALUE!</v>
      </c>
      <c r="AH526" t="e">
        <f ca="1">IF(V32="Supercritical",L526,IF(V32="Subcritical",W526,IF(AND(V526=1,AG526=1),IF(T526&gt;=AE526,L526,W526),IF(V526=1,L526,IF(AG526=1,W526,MAX($D$16,POWER((ABS(K526)^2)/($I$5*MAX(F526,0.1)^2),1/3)))))))</f>
        <v>#VALUE!</v>
      </c>
      <c r="AI526" t="e">
        <f t="shared" ca="1" si="252"/>
        <v>#VALUE!</v>
      </c>
      <c r="AJ526" t="e">
        <f t="shared" ca="1" si="253"/>
        <v>#VALUE!</v>
      </c>
      <c r="AM526">
        <v>0</v>
      </c>
      <c r="AN526">
        <v>0</v>
      </c>
      <c r="AO526">
        <f t="shared" si="254"/>
        <v>0</v>
      </c>
      <c r="AP526">
        <f t="shared" si="263"/>
        <v>0</v>
      </c>
      <c r="AQ526" t="e">
        <f t="shared" ca="1" si="255"/>
        <v>#VALUE!</v>
      </c>
      <c r="AR526" t="e">
        <f t="shared" ca="1" si="256"/>
        <v>#VALUE!</v>
      </c>
      <c r="AS526" t="e">
        <f t="shared" ca="1" si="257"/>
        <v>#VALUE!</v>
      </c>
    </row>
    <row r="527" spans="1:45" x14ac:dyDescent="0.35">
      <c r="A527">
        <v>378</v>
      </c>
      <c r="B527">
        <v>376.89499999999998</v>
      </c>
      <c r="C527">
        <v>616262.70200000005</v>
      </c>
      <c r="D527">
        <v>3097585.023</v>
      </c>
      <c r="E527">
        <v>632.37350000000004</v>
      </c>
      <c r="F527">
        <v>5.2</v>
      </c>
      <c r="G527">
        <v>0</v>
      </c>
      <c r="H527" t="s">
        <v>191</v>
      </c>
      <c r="I527">
        <v>7.8E-2</v>
      </c>
      <c r="J527">
        <f t="shared" si="258"/>
        <v>1</v>
      </c>
      <c r="K527">
        <f t="shared" si="259"/>
        <v>51</v>
      </c>
      <c r="L527" t="e">
        <f t="shared" ca="1" si="260"/>
        <v>#VALUE!</v>
      </c>
      <c r="M527" t="e">
        <f t="shared" ca="1" si="233"/>
        <v>#VALUE!</v>
      </c>
      <c r="N527" t="e">
        <f t="shared" ca="1" si="234"/>
        <v>#VALUE!</v>
      </c>
      <c r="O527" t="e">
        <f t="shared" ca="1" si="235"/>
        <v>#VALUE!</v>
      </c>
      <c r="P527" t="e">
        <f t="shared" ca="1" si="236"/>
        <v>#VALUE!</v>
      </c>
      <c r="Q527" t="e">
        <f t="shared" ca="1" si="237"/>
        <v>#VALUE!</v>
      </c>
      <c r="R527" t="e">
        <f t="shared" ca="1" si="238"/>
        <v>#VALUE!</v>
      </c>
      <c r="S527" t="e">
        <f t="shared" ca="1" si="239"/>
        <v>#VALUE!</v>
      </c>
      <c r="T527" t="e">
        <f t="shared" ca="1" si="240"/>
        <v>#VALUE!</v>
      </c>
      <c r="U527" t="e">
        <f t="shared" ca="1" si="261"/>
        <v>#VALUE!</v>
      </c>
      <c r="V527" t="e">
        <f t="shared" ca="1" si="262"/>
        <v>#VALUE!</v>
      </c>
      <c r="W527" t="e">
        <f t="shared" ca="1" si="241"/>
        <v>#VALUE!</v>
      </c>
      <c r="X527" t="e">
        <f t="shared" ca="1" si="242"/>
        <v>#VALUE!</v>
      </c>
      <c r="Y527" t="e">
        <f t="shared" ca="1" si="243"/>
        <v>#VALUE!</v>
      </c>
      <c r="Z527" t="e">
        <f t="shared" ca="1" si="244"/>
        <v>#VALUE!</v>
      </c>
      <c r="AA527" t="e">
        <f t="shared" ca="1" si="245"/>
        <v>#VALUE!</v>
      </c>
      <c r="AB527" t="e">
        <f t="shared" ca="1" si="246"/>
        <v>#VALUE!</v>
      </c>
      <c r="AC527" t="e">
        <f t="shared" ca="1" si="247"/>
        <v>#VALUE!</v>
      </c>
      <c r="AD527" t="e">
        <f t="shared" ca="1" si="248"/>
        <v>#VALUE!</v>
      </c>
      <c r="AE527" t="e">
        <f t="shared" ca="1" si="249"/>
        <v>#VALUE!</v>
      </c>
      <c r="AF527" t="e">
        <f t="shared" ca="1" si="250"/>
        <v>#VALUE!</v>
      </c>
      <c r="AG527" t="e">
        <f t="shared" ca="1" si="251"/>
        <v>#VALUE!</v>
      </c>
      <c r="AH527" t="e">
        <f ca="1">IF(V32="Supercritical",L527,IF(V32="Subcritical",W527,IF(AND(V527=1,AG527=1),IF(T527&gt;=AE527,L527,W527),IF(V527=1,L527,IF(AG527=1,W527,MAX($D$16,POWER((ABS(K527)^2)/($I$5*MAX(F527,0.1)^2),1/3)))))))</f>
        <v>#VALUE!</v>
      </c>
      <c r="AI527" t="e">
        <f t="shared" ca="1" si="252"/>
        <v>#VALUE!</v>
      </c>
      <c r="AJ527" t="e">
        <f t="shared" ca="1" si="253"/>
        <v>#VALUE!</v>
      </c>
      <c r="AM527">
        <v>0</v>
      </c>
      <c r="AN527">
        <v>0</v>
      </c>
      <c r="AO527">
        <f t="shared" si="254"/>
        <v>0</v>
      </c>
      <c r="AP527">
        <f t="shared" si="263"/>
        <v>0</v>
      </c>
      <c r="AQ527" t="e">
        <f t="shared" ca="1" si="255"/>
        <v>#VALUE!</v>
      </c>
      <c r="AR527" t="e">
        <f t="shared" ca="1" si="256"/>
        <v>#VALUE!</v>
      </c>
      <c r="AS527" t="e">
        <f t="shared" ca="1" si="257"/>
        <v>#VALUE!</v>
      </c>
    </row>
    <row r="528" spans="1:45" x14ac:dyDescent="0.35">
      <c r="A528">
        <v>379</v>
      </c>
      <c r="B528">
        <v>377.89499999999998</v>
      </c>
      <c r="C528">
        <v>616262.22699999996</v>
      </c>
      <c r="D528">
        <v>3097584.1430000002</v>
      </c>
      <c r="E528">
        <v>632.37300000000005</v>
      </c>
      <c r="F528">
        <v>5.2</v>
      </c>
      <c r="G528">
        <v>0</v>
      </c>
      <c r="H528" t="s">
        <v>191</v>
      </c>
      <c r="I528">
        <v>0.05</v>
      </c>
      <c r="J528">
        <f t="shared" si="258"/>
        <v>1</v>
      </c>
      <c r="K528">
        <f t="shared" si="259"/>
        <v>51</v>
      </c>
      <c r="L528" t="e">
        <f t="shared" ca="1" si="260"/>
        <v>#VALUE!</v>
      </c>
      <c r="M528" t="e">
        <f t="shared" ca="1" si="233"/>
        <v>#VALUE!</v>
      </c>
      <c r="N528" t="e">
        <f t="shared" ca="1" si="234"/>
        <v>#VALUE!</v>
      </c>
      <c r="O528" t="e">
        <f t="shared" ca="1" si="235"/>
        <v>#VALUE!</v>
      </c>
      <c r="P528" t="e">
        <f t="shared" ca="1" si="236"/>
        <v>#VALUE!</v>
      </c>
      <c r="Q528" t="e">
        <f t="shared" ca="1" si="237"/>
        <v>#VALUE!</v>
      </c>
      <c r="R528" t="e">
        <f t="shared" ca="1" si="238"/>
        <v>#VALUE!</v>
      </c>
      <c r="S528" t="e">
        <f t="shared" ca="1" si="239"/>
        <v>#VALUE!</v>
      </c>
      <c r="T528" t="e">
        <f t="shared" ca="1" si="240"/>
        <v>#VALUE!</v>
      </c>
      <c r="U528" t="e">
        <f t="shared" ca="1" si="261"/>
        <v>#VALUE!</v>
      </c>
      <c r="V528" t="e">
        <f t="shared" ca="1" si="262"/>
        <v>#VALUE!</v>
      </c>
      <c r="W528" t="e">
        <f t="shared" ca="1" si="241"/>
        <v>#VALUE!</v>
      </c>
      <c r="X528" t="e">
        <f t="shared" ca="1" si="242"/>
        <v>#VALUE!</v>
      </c>
      <c r="Y528" t="e">
        <f t="shared" ca="1" si="243"/>
        <v>#VALUE!</v>
      </c>
      <c r="Z528" t="e">
        <f t="shared" ca="1" si="244"/>
        <v>#VALUE!</v>
      </c>
      <c r="AA528" t="e">
        <f t="shared" ca="1" si="245"/>
        <v>#VALUE!</v>
      </c>
      <c r="AB528" t="e">
        <f t="shared" ca="1" si="246"/>
        <v>#VALUE!</v>
      </c>
      <c r="AC528" t="e">
        <f t="shared" ca="1" si="247"/>
        <v>#VALUE!</v>
      </c>
      <c r="AD528" t="e">
        <f t="shared" ca="1" si="248"/>
        <v>#VALUE!</v>
      </c>
      <c r="AE528" t="e">
        <f t="shared" ca="1" si="249"/>
        <v>#VALUE!</v>
      </c>
      <c r="AF528" t="e">
        <f t="shared" ca="1" si="250"/>
        <v>#VALUE!</v>
      </c>
      <c r="AG528" t="e">
        <f t="shared" ca="1" si="251"/>
        <v>#VALUE!</v>
      </c>
      <c r="AH528" t="e">
        <f ca="1">IF(V32="Supercritical",L528,IF(V32="Subcritical",W528,IF(AND(V528=1,AG528=1),IF(T528&gt;=AE528,L528,W528),IF(V528=1,L528,IF(AG528=1,W528,MAX($D$16,POWER((ABS(K528)^2)/($I$5*MAX(F528,0.1)^2),1/3)))))))</f>
        <v>#VALUE!</v>
      </c>
      <c r="AI528" t="e">
        <f t="shared" ca="1" si="252"/>
        <v>#VALUE!</v>
      </c>
      <c r="AJ528" t="e">
        <f t="shared" ca="1" si="253"/>
        <v>#VALUE!</v>
      </c>
      <c r="AM528">
        <v>0</v>
      </c>
      <c r="AN528">
        <v>0</v>
      </c>
      <c r="AO528">
        <f t="shared" si="254"/>
        <v>0</v>
      </c>
      <c r="AP528">
        <f t="shared" si="263"/>
        <v>0</v>
      </c>
      <c r="AQ528" t="e">
        <f t="shared" ca="1" si="255"/>
        <v>#VALUE!</v>
      </c>
      <c r="AR528" t="e">
        <f t="shared" ca="1" si="256"/>
        <v>#VALUE!</v>
      </c>
      <c r="AS528" t="e">
        <f t="shared" ca="1" si="257"/>
        <v>#VALUE!</v>
      </c>
    </row>
    <row r="529" spans="1:45" x14ac:dyDescent="0.35">
      <c r="A529">
        <v>380</v>
      </c>
      <c r="B529">
        <v>378.89499999999998</v>
      </c>
      <c r="C529">
        <v>616261.75300000003</v>
      </c>
      <c r="D529">
        <v>3097583.2629999998</v>
      </c>
      <c r="E529">
        <v>632.37249999999995</v>
      </c>
      <c r="F529">
        <v>5.2</v>
      </c>
      <c r="G529">
        <v>0</v>
      </c>
      <c r="H529" t="s">
        <v>191</v>
      </c>
      <c r="I529">
        <v>2.7E-2</v>
      </c>
      <c r="J529">
        <f t="shared" si="258"/>
        <v>1</v>
      </c>
      <c r="K529">
        <f t="shared" si="259"/>
        <v>51</v>
      </c>
      <c r="L529" t="e">
        <f t="shared" ca="1" si="260"/>
        <v>#VALUE!</v>
      </c>
      <c r="M529" t="e">
        <f t="shared" ca="1" si="233"/>
        <v>#VALUE!</v>
      </c>
      <c r="N529" t="e">
        <f t="shared" ca="1" si="234"/>
        <v>#VALUE!</v>
      </c>
      <c r="O529" t="e">
        <f t="shared" ca="1" si="235"/>
        <v>#VALUE!</v>
      </c>
      <c r="P529" t="e">
        <f t="shared" ca="1" si="236"/>
        <v>#VALUE!</v>
      </c>
      <c r="Q529" t="e">
        <f t="shared" ca="1" si="237"/>
        <v>#VALUE!</v>
      </c>
      <c r="R529" t="e">
        <f t="shared" ca="1" si="238"/>
        <v>#VALUE!</v>
      </c>
      <c r="S529" t="e">
        <f t="shared" ca="1" si="239"/>
        <v>#VALUE!</v>
      </c>
      <c r="T529" t="e">
        <f t="shared" ca="1" si="240"/>
        <v>#VALUE!</v>
      </c>
      <c r="U529" t="e">
        <f t="shared" ca="1" si="261"/>
        <v>#VALUE!</v>
      </c>
      <c r="V529" t="e">
        <f t="shared" ca="1" si="262"/>
        <v>#VALUE!</v>
      </c>
      <c r="W529" t="e">
        <f t="shared" ca="1" si="241"/>
        <v>#VALUE!</v>
      </c>
      <c r="X529" t="e">
        <f t="shared" ca="1" si="242"/>
        <v>#VALUE!</v>
      </c>
      <c r="Y529" t="e">
        <f t="shared" ca="1" si="243"/>
        <v>#VALUE!</v>
      </c>
      <c r="Z529" t="e">
        <f t="shared" ca="1" si="244"/>
        <v>#VALUE!</v>
      </c>
      <c r="AA529" t="e">
        <f t="shared" ca="1" si="245"/>
        <v>#VALUE!</v>
      </c>
      <c r="AB529" t="e">
        <f t="shared" ca="1" si="246"/>
        <v>#VALUE!</v>
      </c>
      <c r="AC529" t="e">
        <f t="shared" ca="1" si="247"/>
        <v>#VALUE!</v>
      </c>
      <c r="AD529" t="e">
        <f t="shared" ca="1" si="248"/>
        <v>#VALUE!</v>
      </c>
      <c r="AE529" t="e">
        <f t="shared" ca="1" si="249"/>
        <v>#VALUE!</v>
      </c>
      <c r="AF529" t="e">
        <f t="shared" ca="1" si="250"/>
        <v>#VALUE!</v>
      </c>
      <c r="AG529" t="e">
        <f t="shared" ca="1" si="251"/>
        <v>#VALUE!</v>
      </c>
      <c r="AH529" t="e">
        <f ca="1">IF(V32="Supercritical",L529,IF(V32="Subcritical",W529,IF(AND(V529=1,AG529=1),IF(T529&gt;=AE529,L529,W529),IF(V529=1,L529,IF(AG529=1,W529,MAX($D$16,POWER((ABS(K529)^2)/($I$5*MAX(F529,0.1)^2),1/3)))))))</f>
        <v>#VALUE!</v>
      </c>
      <c r="AI529" t="e">
        <f t="shared" ca="1" si="252"/>
        <v>#VALUE!</v>
      </c>
      <c r="AJ529" t="e">
        <f t="shared" ca="1" si="253"/>
        <v>#VALUE!</v>
      </c>
      <c r="AM529">
        <v>0</v>
      </c>
      <c r="AN529">
        <v>0</v>
      </c>
      <c r="AO529">
        <f t="shared" si="254"/>
        <v>0</v>
      </c>
      <c r="AP529">
        <f t="shared" si="263"/>
        <v>0</v>
      </c>
      <c r="AQ529" t="e">
        <f t="shared" ca="1" si="255"/>
        <v>#VALUE!</v>
      </c>
      <c r="AR529" t="e">
        <f t="shared" ca="1" si="256"/>
        <v>#VALUE!</v>
      </c>
      <c r="AS529" t="e">
        <f t="shared" ca="1" si="257"/>
        <v>#VALUE!</v>
      </c>
    </row>
    <row r="530" spans="1:45" x14ac:dyDescent="0.35">
      <c r="A530">
        <v>381</v>
      </c>
      <c r="B530">
        <v>379.89499999999998</v>
      </c>
      <c r="C530">
        <v>616261.27899999998</v>
      </c>
      <c r="D530">
        <v>3097582.3820000002</v>
      </c>
      <c r="E530">
        <v>632.37199999999996</v>
      </c>
      <c r="F530">
        <v>5.2</v>
      </c>
      <c r="G530">
        <v>0</v>
      </c>
      <c r="H530" t="s">
        <v>191</v>
      </c>
      <c r="I530">
        <v>2.7E-2</v>
      </c>
      <c r="J530">
        <f t="shared" si="258"/>
        <v>1</v>
      </c>
      <c r="K530">
        <f t="shared" si="259"/>
        <v>51</v>
      </c>
      <c r="L530" t="e">
        <f t="shared" ca="1" si="260"/>
        <v>#VALUE!</v>
      </c>
      <c r="M530" t="e">
        <f t="shared" ca="1" si="233"/>
        <v>#VALUE!</v>
      </c>
      <c r="N530" t="e">
        <f t="shared" ca="1" si="234"/>
        <v>#VALUE!</v>
      </c>
      <c r="O530" t="e">
        <f t="shared" ca="1" si="235"/>
        <v>#VALUE!</v>
      </c>
      <c r="P530" t="e">
        <f t="shared" ca="1" si="236"/>
        <v>#VALUE!</v>
      </c>
      <c r="Q530" t="e">
        <f t="shared" ca="1" si="237"/>
        <v>#VALUE!</v>
      </c>
      <c r="R530" t="e">
        <f t="shared" ca="1" si="238"/>
        <v>#VALUE!</v>
      </c>
      <c r="S530" t="e">
        <f t="shared" ca="1" si="239"/>
        <v>#VALUE!</v>
      </c>
      <c r="T530" t="e">
        <f t="shared" ca="1" si="240"/>
        <v>#VALUE!</v>
      </c>
      <c r="U530" t="e">
        <f t="shared" ca="1" si="261"/>
        <v>#VALUE!</v>
      </c>
      <c r="V530" t="e">
        <f t="shared" ca="1" si="262"/>
        <v>#VALUE!</v>
      </c>
      <c r="W530" t="e">
        <f t="shared" ca="1" si="241"/>
        <v>#VALUE!</v>
      </c>
      <c r="X530" t="e">
        <f t="shared" ca="1" si="242"/>
        <v>#VALUE!</v>
      </c>
      <c r="Y530" t="e">
        <f t="shared" ca="1" si="243"/>
        <v>#VALUE!</v>
      </c>
      <c r="Z530" t="e">
        <f t="shared" ca="1" si="244"/>
        <v>#VALUE!</v>
      </c>
      <c r="AA530" t="e">
        <f t="shared" ca="1" si="245"/>
        <v>#VALUE!</v>
      </c>
      <c r="AB530" t="e">
        <f t="shared" ca="1" si="246"/>
        <v>#VALUE!</v>
      </c>
      <c r="AC530" t="e">
        <f t="shared" ca="1" si="247"/>
        <v>#VALUE!</v>
      </c>
      <c r="AD530" t="e">
        <f t="shared" ca="1" si="248"/>
        <v>#VALUE!</v>
      </c>
      <c r="AE530" t="e">
        <f t="shared" ca="1" si="249"/>
        <v>#VALUE!</v>
      </c>
      <c r="AF530" t="e">
        <f t="shared" ca="1" si="250"/>
        <v>#VALUE!</v>
      </c>
      <c r="AG530" t="e">
        <f t="shared" ca="1" si="251"/>
        <v>#VALUE!</v>
      </c>
      <c r="AH530" t="e">
        <f ca="1">IF(V32="Supercritical",L530,IF(V32="Subcritical",W530,IF(AND(V530=1,AG530=1),IF(T530&gt;=AE530,L530,W530),IF(V530=1,L530,IF(AG530=1,W530,MAX($D$16,POWER((ABS(K530)^2)/($I$5*MAX(F530,0.1)^2),1/3)))))))</f>
        <v>#VALUE!</v>
      </c>
      <c r="AI530" t="e">
        <f t="shared" ca="1" si="252"/>
        <v>#VALUE!</v>
      </c>
      <c r="AJ530" t="e">
        <f t="shared" ca="1" si="253"/>
        <v>#VALUE!</v>
      </c>
      <c r="AM530">
        <v>0</v>
      </c>
      <c r="AN530">
        <v>0</v>
      </c>
      <c r="AO530">
        <f t="shared" si="254"/>
        <v>0</v>
      </c>
      <c r="AP530">
        <f t="shared" si="263"/>
        <v>0</v>
      </c>
      <c r="AQ530" t="e">
        <f t="shared" ca="1" si="255"/>
        <v>#VALUE!</v>
      </c>
      <c r="AR530" t="e">
        <f t="shared" ca="1" si="256"/>
        <v>#VALUE!</v>
      </c>
      <c r="AS530" t="e">
        <f t="shared" ca="1" si="257"/>
        <v>#VALUE!</v>
      </c>
    </row>
    <row r="531" spans="1:45" x14ac:dyDescent="0.35">
      <c r="A531">
        <v>382</v>
      </c>
      <c r="B531">
        <v>380.89499999999998</v>
      </c>
      <c r="C531">
        <v>616260.80500000005</v>
      </c>
      <c r="D531">
        <v>3097581.5019999999</v>
      </c>
      <c r="E531">
        <v>632.37149999999997</v>
      </c>
      <c r="F531">
        <v>5.2</v>
      </c>
      <c r="G531">
        <v>0</v>
      </c>
      <c r="H531" t="s">
        <v>191</v>
      </c>
      <c r="I531">
        <v>2.3E-2</v>
      </c>
      <c r="J531">
        <f t="shared" si="258"/>
        <v>1</v>
      </c>
      <c r="K531">
        <f t="shared" si="259"/>
        <v>51</v>
      </c>
      <c r="L531" t="e">
        <f t="shared" ca="1" si="260"/>
        <v>#VALUE!</v>
      </c>
      <c r="M531" t="e">
        <f t="shared" ca="1" si="233"/>
        <v>#VALUE!</v>
      </c>
      <c r="N531" t="e">
        <f t="shared" ca="1" si="234"/>
        <v>#VALUE!</v>
      </c>
      <c r="O531" t="e">
        <f t="shared" ca="1" si="235"/>
        <v>#VALUE!</v>
      </c>
      <c r="P531" t="e">
        <f t="shared" ca="1" si="236"/>
        <v>#VALUE!</v>
      </c>
      <c r="Q531" t="e">
        <f t="shared" ca="1" si="237"/>
        <v>#VALUE!</v>
      </c>
      <c r="R531" t="e">
        <f t="shared" ca="1" si="238"/>
        <v>#VALUE!</v>
      </c>
      <c r="S531" t="e">
        <f t="shared" ca="1" si="239"/>
        <v>#VALUE!</v>
      </c>
      <c r="T531" t="e">
        <f t="shared" ca="1" si="240"/>
        <v>#VALUE!</v>
      </c>
      <c r="U531" t="e">
        <f t="shared" ca="1" si="261"/>
        <v>#VALUE!</v>
      </c>
      <c r="V531" t="e">
        <f t="shared" ca="1" si="262"/>
        <v>#VALUE!</v>
      </c>
      <c r="W531" t="e">
        <f t="shared" ca="1" si="241"/>
        <v>#VALUE!</v>
      </c>
      <c r="X531" t="e">
        <f t="shared" ca="1" si="242"/>
        <v>#VALUE!</v>
      </c>
      <c r="Y531" t="e">
        <f t="shared" ca="1" si="243"/>
        <v>#VALUE!</v>
      </c>
      <c r="Z531" t="e">
        <f t="shared" ca="1" si="244"/>
        <v>#VALUE!</v>
      </c>
      <c r="AA531" t="e">
        <f t="shared" ca="1" si="245"/>
        <v>#VALUE!</v>
      </c>
      <c r="AB531" t="e">
        <f t="shared" ca="1" si="246"/>
        <v>#VALUE!</v>
      </c>
      <c r="AC531" t="e">
        <f t="shared" ca="1" si="247"/>
        <v>#VALUE!</v>
      </c>
      <c r="AD531" t="e">
        <f t="shared" ca="1" si="248"/>
        <v>#VALUE!</v>
      </c>
      <c r="AE531" t="e">
        <f t="shared" ca="1" si="249"/>
        <v>#VALUE!</v>
      </c>
      <c r="AF531" t="e">
        <f t="shared" ca="1" si="250"/>
        <v>#VALUE!</v>
      </c>
      <c r="AG531" t="e">
        <f t="shared" ca="1" si="251"/>
        <v>#VALUE!</v>
      </c>
      <c r="AH531" t="e">
        <f ca="1">IF(V32="Supercritical",L531,IF(V32="Subcritical",W531,IF(AND(V531=1,AG531=1),IF(T531&gt;=AE531,L531,W531),IF(V531=1,L531,IF(AG531=1,W531,MAX($D$16,POWER((ABS(K531)^2)/($I$5*MAX(F531,0.1)^2),1/3)))))))</f>
        <v>#VALUE!</v>
      </c>
      <c r="AI531" t="e">
        <f t="shared" ca="1" si="252"/>
        <v>#VALUE!</v>
      </c>
      <c r="AJ531" t="e">
        <f t="shared" ca="1" si="253"/>
        <v>#VALUE!</v>
      </c>
      <c r="AM531">
        <v>0</v>
      </c>
      <c r="AN531">
        <v>0</v>
      </c>
      <c r="AO531">
        <f t="shared" si="254"/>
        <v>0</v>
      </c>
      <c r="AP531">
        <f t="shared" si="263"/>
        <v>0</v>
      </c>
      <c r="AQ531" t="e">
        <f t="shared" ca="1" si="255"/>
        <v>#VALUE!</v>
      </c>
      <c r="AR531" t="e">
        <f t="shared" ca="1" si="256"/>
        <v>#VALUE!</v>
      </c>
      <c r="AS531" t="e">
        <f t="shared" ca="1" si="257"/>
        <v>#VALUE!</v>
      </c>
    </row>
    <row r="532" spans="1:45" x14ac:dyDescent="0.35">
      <c r="A532">
        <v>383</v>
      </c>
      <c r="B532">
        <v>381.89600000000002</v>
      </c>
      <c r="C532">
        <v>616260.32999999996</v>
      </c>
      <c r="D532">
        <v>3097580.6209999998</v>
      </c>
      <c r="E532">
        <v>632.37099999999998</v>
      </c>
      <c r="F532">
        <v>5.2</v>
      </c>
      <c r="G532">
        <v>0</v>
      </c>
      <c r="H532" t="s">
        <v>191</v>
      </c>
      <c r="I532">
        <v>2.3E-2</v>
      </c>
      <c r="J532">
        <f t="shared" si="258"/>
        <v>1.0010000000000332</v>
      </c>
      <c r="K532">
        <f t="shared" si="259"/>
        <v>51</v>
      </c>
      <c r="L532" t="e">
        <f t="shared" ca="1" si="260"/>
        <v>#VALUE!</v>
      </c>
      <c r="M532" t="e">
        <f t="shared" ca="1" si="233"/>
        <v>#VALUE!</v>
      </c>
      <c r="N532" t="e">
        <f t="shared" ca="1" si="234"/>
        <v>#VALUE!</v>
      </c>
      <c r="O532" t="e">
        <f t="shared" ca="1" si="235"/>
        <v>#VALUE!</v>
      </c>
      <c r="P532" t="e">
        <f t="shared" ca="1" si="236"/>
        <v>#VALUE!</v>
      </c>
      <c r="Q532" t="e">
        <f t="shared" ca="1" si="237"/>
        <v>#VALUE!</v>
      </c>
      <c r="R532" t="e">
        <f t="shared" ca="1" si="238"/>
        <v>#VALUE!</v>
      </c>
      <c r="S532" t="e">
        <f t="shared" ca="1" si="239"/>
        <v>#VALUE!</v>
      </c>
      <c r="T532" t="e">
        <f t="shared" ca="1" si="240"/>
        <v>#VALUE!</v>
      </c>
      <c r="U532" t="e">
        <f t="shared" ca="1" si="261"/>
        <v>#VALUE!</v>
      </c>
      <c r="V532" t="e">
        <f t="shared" ca="1" si="262"/>
        <v>#VALUE!</v>
      </c>
      <c r="W532" t="e">
        <f t="shared" ca="1" si="241"/>
        <v>#VALUE!</v>
      </c>
      <c r="X532" t="e">
        <f t="shared" ca="1" si="242"/>
        <v>#VALUE!</v>
      </c>
      <c r="Y532" t="e">
        <f t="shared" ca="1" si="243"/>
        <v>#VALUE!</v>
      </c>
      <c r="Z532" t="e">
        <f t="shared" ca="1" si="244"/>
        <v>#VALUE!</v>
      </c>
      <c r="AA532" t="e">
        <f t="shared" ca="1" si="245"/>
        <v>#VALUE!</v>
      </c>
      <c r="AB532" t="e">
        <f t="shared" ca="1" si="246"/>
        <v>#VALUE!</v>
      </c>
      <c r="AC532" t="e">
        <f t="shared" ca="1" si="247"/>
        <v>#VALUE!</v>
      </c>
      <c r="AD532" t="e">
        <f t="shared" ca="1" si="248"/>
        <v>#VALUE!</v>
      </c>
      <c r="AE532" t="e">
        <f t="shared" ca="1" si="249"/>
        <v>#VALUE!</v>
      </c>
      <c r="AF532" t="e">
        <f t="shared" ca="1" si="250"/>
        <v>#VALUE!</v>
      </c>
      <c r="AG532" t="e">
        <f t="shared" ca="1" si="251"/>
        <v>#VALUE!</v>
      </c>
      <c r="AH532" t="e">
        <f ca="1">IF(V32="Supercritical",L532,IF(V32="Subcritical",W532,IF(AND(V532=1,AG532=1),IF(T532&gt;=AE532,L532,W532),IF(V532=1,L532,IF(AG532=1,W532,MAX($D$16,POWER((ABS(K532)^2)/($I$5*MAX(F532,0.1)^2),1/3)))))))</f>
        <v>#VALUE!</v>
      </c>
      <c r="AI532" t="e">
        <f t="shared" ca="1" si="252"/>
        <v>#VALUE!</v>
      </c>
      <c r="AJ532" t="e">
        <f t="shared" ca="1" si="253"/>
        <v>#VALUE!</v>
      </c>
      <c r="AM532">
        <v>0</v>
      </c>
      <c r="AN532">
        <v>0</v>
      </c>
      <c r="AO532">
        <f t="shared" si="254"/>
        <v>0</v>
      </c>
      <c r="AP532">
        <f t="shared" si="263"/>
        <v>0</v>
      </c>
      <c r="AQ532" t="e">
        <f t="shared" ca="1" si="255"/>
        <v>#VALUE!</v>
      </c>
      <c r="AR532" t="e">
        <f t="shared" ca="1" si="256"/>
        <v>#VALUE!</v>
      </c>
      <c r="AS532" t="e">
        <f t="shared" ca="1" si="257"/>
        <v>#VALUE!</v>
      </c>
    </row>
    <row r="533" spans="1:45" x14ac:dyDescent="0.35">
      <c r="A533">
        <v>384</v>
      </c>
      <c r="B533">
        <v>382.89499999999998</v>
      </c>
      <c r="C533">
        <v>616259.85600000003</v>
      </c>
      <c r="D533">
        <v>3097579.7409999999</v>
      </c>
      <c r="E533">
        <v>632.37049999999999</v>
      </c>
      <c r="F533">
        <v>5.2</v>
      </c>
      <c r="G533">
        <v>0</v>
      </c>
      <c r="H533" t="s">
        <v>191</v>
      </c>
      <c r="I533">
        <v>0</v>
      </c>
      <c r="J533">
        <f t="shared" si="258"/>
        <v>0.9989999999999668</v>
      </c>
      <c r="K533">
        <f t="shared" si="259"/>
        <v>51</v>
      </c>
      <c r="L533" t="e">
        <f t="shared" ca="1" si="260"/>
        <v>#VALUE!</v>
      </c>
      <c r="M533" t="e">
        <f t="shared" ca="1" si="233"/>
        <v>#VALUE!</v>
      </c>
      <c r="N533" t="e">
        <f t="shared" ca="1" si="234"/>
        <v>#VALUE!</v>
      </c>
      <c r="O533" t="e">
        <f t="shared" ca="1" si="235"/>
        <v>#VALUE!</v>
      </c>
      <c r="P533" t="e">
        <f t="shared" ca="1" si="236"/>
        <v>#VALUE!</v>
      </c>
      <c r="Q533" t="e">
        <f t="shared" ca="1" si="237"/>
        <v>#VALUE!</v>
      </c>
      <c r="R533" t="e">
        <f t="shared" ca="1" si="238"/>
        <v>#VALUE!</v>
      </c>
      <c r="S533" t="e">
        <f t="shared" ca="1" si="239"/>
        <v>#VALUE!</v>
      </c>
      <c r="T533" t="e">
        <f t="shared" ca="1" si="240"/>
        <v>#VALUE!</v>
      </c>
      <c r="U533" t="e">
        <f t="shared" ca="1" si="261"/>
        <v>#VALUE!</v>
      </c>
      <c r="V533" t="e">
        <f t="shared" ca="1" si="262"/>
        <v>#VALUE!</v>
      </c>
      <c r="W533" t="e">
        <f t="shared" ca="1" si="241"/>
        <v>#VALUE!</v>
      </c>
      <c r="X533" t="e">
        <f t="shared" ca="1" si="242"/>
        <v>#VALUE!</v>
      </c>
      <c r="Y533" t="e">
        <f t="shared" ca="1" si="243"/>
        <v>#VALUE!</v>
      </c>
      <c r="Z533" t="e">
        <f t="shared" ca="1" si="244"/>
        <v>#VALUE!</v>
      </c>
      <c r="AA533" t="e">
        <f t="shared" ca="1" si="245"/>
        <v>#VALUE!</v>
      </c>
      <c r="AB533" t="e">
        <f t="shared" ca="1" si="246"/>
        <v>#VALUE!</v>
      </c>
      <c r="AC533" t="e">
        <f t="shared" ca="1" si="247"/>
        <v>#VALUE!</v>
      </c>
      <c r="AD533" t="e">
        <f t="shared" ca="1" si="248"/>
        <v>#VALUE!</v>
      </c>
      <c r="AE533" t="e">
        <f t="shared" ca="1" si="249"/>
        <v>#VALUE!</v>
      </c>
      <c r="AF533" t="e">
        <f t="shared" ca="1" si="250"/>
        <v>#VALUE!</v>
      </c>
      <c r="AG533" t="e">
        <f t="shared" ca="1" si="251"/>
        <v>#VALUE!</v>
      </c>
      <c r="AH533" t="e">
        <f ca="1">IF(V32="Supercritical",L533,IF(V32="Subcritical",W533,IF(AND(V533=1,AG533=1),IF(T533&gt;=AE533,L533,W533),IF(V533=1,L533,IF(AG533=1,W533,MAX($D$16,POWER((ABS(K533)^2)/($I$5*MAX(F533,0.1)^2),1/3)))))))</f>
        <v>#VALUE!</v>
      </c>
      <c r="AI533" t="e">
        <f t="shared" ca="1" si="252"/>
        <v>#VALUE!</v>
      </c>
      <c r="AJ533" t="e">
        <f t="shared" ca="1" si="253"/>
        <v>#VALUE!</v>
      </c>
      <c r="AM533">
        <v>0</v>
      </c>
      <c r="AN533">
        <v>0</v>
      </c>
      <c r="AO533">
        <f t="shared" si="254"/>
        <v>0</v>
      </c>
      <c r="AP533">
        <f t="shared" si="263"/>
        <v>0</v>
      </c>
      <c r="AQ533" t="e">
        <f t="shared" ca="1" si="255"/>
        <v>#VALUE!</v>
      </c>
      <c r="AR533" t="e">
        <f t="shared" ca="1" si="256"/>
        <v>#VALUE!</v>
      </c>
      <c r="AS533" t="e">
        <f t="shared" ca="1" si="257"/>
        <v>#VALUE!</v>
      </c>
    </row>
    <row r="534" spans="1:45" x14ac:dyDescent="0.35">
      <c r="A534">
        <v>385</v>
      </c>
      <c r="B534">
        <v>383.89499999999998</v>
      </c>
      <c r="C534">
        <v>616259.38199999998</v>
      </c>
      <c r="D534">
        <v>3097578.861</v>
      </c>
      <c r="E534">
        <v>632.37</v>
      </c>
      <c r="F534">
        <v>5.2</v>
      </c>
      <c r="G534">
        <v>0</v>
      </c>
      <c r="H534" t="s">
        <v>191</v>
      </c>
      <c r="I534">
        <v>2.7E-2</v>
      </c>
      <c r="J534">
        <f t="shared" si="258"/>
        <v>1</v>
      </c>
      <c r="K534">
        <f t="shared" si="259"/>
        <v>51</v>
      </c>
      <c r="L534" t="e">
        <f t="shared" ca="1" si="260"/>
        <v>#VALUE!</v>
      </c>
      <c r="M534" t="e">
        <f t="shared" ref="M534:M597" ca="1" si="264">((F534)+(G534)*(L534))*(L534)</f>
        <v>#VALUE!</v>
      </c>
      <c r="N534" t="e">
        <f t="shared" ref="N534:N597" ca="1" si="265">(((F534)+(G534)*(L534))*(L534))/MAX((F534)+2*(L534)*SQRT(1+(G534)^2),0.000001)</f>
        <v>#VALUE!</v>
      </c>
      <c r="O534" t="e">
        <f t="shared" ref="O534:O597" ca="1" si="266">ABS(K534)/MAX(((F534)+(G534)*(L534))*(L534),0.000001)</f>
        <v>#VALUE!</v>
      </c>
      <c r="P534" t="e">
        <f t="shared" ref="P534:P597" ca="1" si="267">E534+L534</f>
        <v>#VALUE!</v>
      </c>
      <c r="Q534" t="e">
        <f t="shared" ref="Q534:Q597" ca="1" si="268">P534+((ABS(K534)/MAX(((F534)+(G534)*(L534))*(L534),0.000001))^2)/(2*$I$5)</f>
        <v>#VALUE!</v>
      </c>
      <c r="R534" t="e">
        <f t="shared" ref="R534:R597" ca="1" si="269">((ABS(K534)*$D$6)/(MAX(((F534)+(G534)*(L534))*(L534),0.000001)*MAX(((((F534)+(G534)*(L534))*(L534))/MAX((F534)+2*(L534)*SQRT(1+(G534)^2),0.000001))^(2/3),0.000001)))^2</f>
        <v>#VALUE!</v>
      </c>
      <c r="S534" t="e">
        <f t="shared" ref="S534:S597" ca="1" si="270">ABS(ABS(K534)/MAX(((F534)+(G534)*(L534))*(L534),0.000001))/SQRT($I$5*MAX((((F534)+(G534)*(L534))*(L534))/MAX((F534)+2*(G534)*(L534),0.000001),0.000001))</f>
        <v>#VALUE!</v>
      </c>
      <c r="T534" t="e">
        <f t="shared" ref="T534:T597" ca="1" si="271">((F534)*(L534)^2)/2+(G534)*(L534)^3/3+(ABS(K534)^2)/($I$5*MAX(((F534)+(G534)*(L534))*(L534),0.000001))</f>
        <v>#VALUE!</v>
      </c>
      <c r="U534" t="e">
        <f t="shared" ca="1" si="261"/>
        <v>#VALUE!</v>
      </c>
      <c r="V534" t="e">
        <f t="shared" ca="1" si="262"/>
        <v>#VALUE!</v>
      </c>
      <c r="W534" t="e">
        <f t="shared" ref="W534:W597" ca="1" si="272">IF($D$20=0,W535,IF(AG535=0,W535,IF(W534=0,W535,IF(ABS(AF534)&gt;$D$19,MAX($D$16,W534+((AF534)*$D$18*IF((AD534)&lt;1,1,-1))),W534))))</f>
        <v>#VALUE!</v>
      </c>
      <c r="X534" t="e">
        <f t="shared" ref="X534:X597" ca="1" si="273">((F534)+(G534)*(W534))*(W534)</f>
        <v>#VALUE!</v>
      </c>
      <c r="Y534" t="e">
        <f t="shared" ref="Y534:Y597" ca="1" si="274">(((F534)+(G534)*(W534))*(W534))/MAX((F534)+2*(W534)*SQRT(1+(G534)^2),0.000001)</f>
        <v>#VALUE!</v>
      </c>
      <c r="Z534" t="e">
        <f t="shared" ref="Z534:Z597" ca="1" si="275">ABS(K534)/MAX(((F534)+(G534)*(W534))*(W534),0.000001)</f>
        <v>#VALUE!</v>
      </c>
      <c r="AA534" t="e">
        <f t="shared" ref="AA534:AA597" ca="1" si="276">E534+W534</f>
        <v>#VALUE!</v>
      </c>
      <c r="AB534" t="e">
        <f t="shared" ref="AB534:AB597" ca="1" si="277">AA534+((ABS(K534)/MAX(((F534)+(G534)*(W534))*(W534),0.000001))^2)/(2*$I$5)</f>
        <v>#VALUE!</v>
      </c>
      <c r="AC534" t="e">
        <f t="shared" ref="AC534:AC597" ca="1" si="278">((ABS(K534)*$D$6)/(MAX(((F534)+(G534)*(W534))*(W534),0.000001)*MAX(((((F534)+(G534)*(W534))*(W534))/MAX((F534)+2*(W534)*SQRT(1+(G534)^2),0.000001))^(2/3),0.000001)))^2</f>
        <v>#VALUE!</v>
      </c>
      <c r="AD534" t="e">
        <f t="shared" ref="AD534:AD597" ca="1" si="279">ABS(ABS(K534)/MAX(((F534)+(G534)*(W534))*(W534),0.000001))/SQRT($I$5*MAX((((F534)+(G534)*(W534))*(W534))/MAX((F534)+2*(G534)*(W534),0.000001),0.000001))</f>
        <v>#VALUE!</v>
      </c>
      <c r="AE534" t="e">
        <f t="shared" ref="AE534:AE597" ca="1" si="280">((F534)*(W534)^2)/2+(G534)*(W534)^3/3+(ABS(K534)^2)/($I$5*MAX(((F534)+(G534)*(W534))*(W534),0.000001))</f>
        <v>#VALUE!</v>
      </c>
      <c r="AF534" t="e">
        <f t="shared" ref="AF534:AF597" ca="1" si="281">AB535+(((AC534+AC535)/2)*J535)+(IF(Z534&gt;Z535,$D$8*((Z534^2-Z535^2)/(2*$I$5)),$D$9*((Z535^2-Z534^2)/(2*$I$5)))+($D$10*(ABS(I535)/90)*(MAX(Z534^2,Z535^2)/(2*$I$5))))-AB534</f>
        <v>#VALUE!</v>
      </c>
      <c r="AG534" t="e">
        <f t="shared" ref="AG534:AG597" ca="1" si="282">IF(ABS(AF534)&lt;$D$19,1,0)</f>
        <v>#VALUE!</v>
      </c>
      <c r="AH534" t="e">
        <f ca="1">IF(V32="Supercritical",L534,IF(V32="Subcritical",W534,IF(AND(V534=1,AG534=1),IF(T534&gt;=AE534,L534,W534),IF(V534=1,L534,IF(AG534=1,W534,MAX($D$16,POWER((ABS(K534)^2)/($I$5*MAX(F534,0.1)^2),1/3)))))))</f>
        <v>#VALUE!</v>
      </c>
      <c r="AI534" t="e">
        <f t="shared" ref="AI534:AI597" ca="1" si="283">E534+AH534</f>
        <v>#VALUE!</v>
      </c>
      <c r="AJ534" t="e">
        <f t="shared" ref="AJ534:AJ597" ca="1" si="284">AI534+((ABS(K534)/MAX(((F534)+(G534)*(AH534))*(AH534),0.000001))^2)/(2*$I$5)</f>
        <v>#VALUE!</v>
      </c>
      <c r="AM534">
        <v>0</v>
      </c>
      <c r="AN534">
        <v>0</v>
      </c>
      <c r="AO534">
        <f t="shared" ref="AO534:AO597" si="285">AM534+AN534</f>
        <v>0</v>
      </c>
      <c r="AP534">
        <f t="shared" si="263"/>
        <v>0</v>
      </c>
      <c r="AQ534" t="e">
        <f t="shared" ref="AQ534:AQ597" ca="1" si="286">ABS(ABS(K534)/MAX(((F534)+(G534)*(AH534))*(AH534),0.000001))/SQRT($I$5*MAX((((F534)+(G534)*(AH534))*(AH534))/MAX((F534)+2*(G534)*(AH534),0.000001),0.000001))</f>
        <v>#VALUE!</v>
      </c>
      <c r="AR534" t="e">
        <f t="shared" ref="AR534:AR597" ca="1" si="287">IF(AQ534&lt;1,"Subcritical","Supercritical")</f>
        <v>#VALUE!</v>
      </c>
      <c r="AS534" t="e">
        <f t="shared" ref="AS534:AS597" ca="1" si="288">((ABS(K534)*$D$6)/(MAX(((F534)+(G534)*(AH534))*(AH534),0.000001)*MAX(((((F534)+(G534)*(AH534))*(AH534))/MAX((F534)+2*(AH534)*SQRT(1+(G534)^2),0.000001))^(2/3),0.000001)))^2</f>
        <v>#VALUE!</v>
      </c>
    </row>
    <row r="535" spans="1:45" x14ac:dyDescent="0.35">
      <c r="A535">
        <v>386</v>
      </c>
      <c r="B535">
        <v>384.89499999999998</v>
      </c>
      <c r="C535">
        <v>616258.90800000005</v>
      </c>
      <c r="D535">
        <v>3097577.98</v>
      </c>
      <c r="E535">
        <v>632.36950000000002</v>
      </c>
      <c r="F535">
        <v>5.2</v>
      </c>
      <c r="G535">
        <v>0</v>
      </c>
      <c r="H535" t="s">
        <v>191</v>
      </c>
      <c r="I535">
        <v>7.8E-2</v>
      </c>
      <c r="J535">
        <f t="shared" ref="J535:J598" si="289">B535-B534</f>
        <v>1</v>
      </c>
      <c r="K535">
        <f t="shared" ref="K535:K598" si="290">MAX(0,K534-AO534)</f>
        <v>51</v>
      </c>
      <c r="L535" t="e">
        <f t="shared" ref="L535:L598" ca="1" si="291">IF($D$20=0,L534,IF(V534=0,L534,IF(L535=0,L534,IF(ABS(U535)&gt;$D$19,MAX($D$16,L535+((U535)*$D$18*IF((S535)&lt;1,1,-1))),L535))))</f>
        <v>#VALUE!</v>
      </c>
      <c r="M535" t="e">
        <f t="shared" ca="1" si="264"/>
        <v>#VALUE!</v>
      </c>
      <c r="N535" t="e">
        <f t="shared" ca="1" si="265"/>
        <v>#VALUE!</v>
      </c>
      <c r="O535" t="e">
        <f t="shared" ca="1" si="266"/>
        <v>#VALUE!</v>
      </c>
      <c r="P535" t="e">
        <f t="shared" ca="1" si="267"/>
        <v>#VALUE!</v>
      </c>
      <c r="Q535" t="e">
        <f t="shared" ca="1" si="268"/>
        <v>#VALUE!</v>
      </c>
      <c r="R535" t="e">
        <f t="shared" ca="1" si="269"/>
        <v>#VALUE!</v>
      </c>
      <c r="S535" t="e">
        <f t="shared" ca="1" si="270"/>
        <v>#VALUE!</v>
      </c>
      <c r="T535" t="e">
        <f t="shared" ca="1" si="271"/>
        <v>#VALUE!</v>
      </c>
      <c r="U535" t="e">
        <f t="shared" ref="U535:U598" ca="1" si="292">Q534-(((R534+R535)/2)*J535)-(IF(O534&gt;O535,$D$8*((O534^2-O535^2)/(2*$I$5)),$D$9*((O535^2-O534^2)/(2*$I$5)))+($D$10*(ABS(I535)/90)*(MAX(O534^2,O535^2)/(2*$I$5))))-Q535</f>
        <v>#VALUE!</v>
      </c>
      <c r="V535" t="e">
        <f t="shared" ref="V535:V598" ca="1" si="293">IF(ABS(U535)&lt;$D$19,1,0)</f>
        <v>#VALUE!</v>
      </c>
      <c r="W535" t="e">
        <f t="shared" ca="1" si="272"/>
        <v>#VALUE!</v>
      </c>
      <c r="X535" t="e">
        <f t="shared" ca="1" si="273"/>
        <v>#VALUE!</v>
      </c>
      <c r="Y535" t="e">
        <f t="shared" ca="1" si="274"/>
        <v>#VALUE!</v>
      </c>
      <c r="Z535" t="e">
        <f t="shared" ca="1" si="275"/>
        <v>#VALUE!</v>
      </c>
      <c r="AA535" t="e">
        <f t="shared" ca="1" si="276"/>
        <v>#VALUE!</v>
      </c>
      <c r="AB535" t="e">
        <f t="shared" ca="1" si="277"/>
        <v>#VALUE!</v>
      </c>
      <c r="AC535" t="e">
        <f t="shared" ca="1" si="278"/>
        <v>#VALUE!</v>
      </c>
      <c r="AD535" t="e">
        <f t="shared" ca="1" si="279"/>
        <v>#VALUE!</v>
      </c>
      <c r="AE535" t="e">
        <f t="shared" ca="1" si="280"/>
        <v>#VALUE!</v>
      </c>
      <c r="AF535" t="e">
        <f t="shared" ca="1" si="281"/>
        <v>#VALUE!</v>
      </c>
      <c r="AG535" t="e">
        <f t="shared" ca="1" si="282"/>
        <v>#VALUE!</v>
      </c>
      <c r="AH535" t="e">
        <f ca="1">IF(V32="Supercritical",L535,IF(V32="Subcritical",W535,IF(AND(V535=1,AG535=1),IF(T535&gt;=AE535,L535,W535),IF(V535=1,L535,IF(AG535=1,W535,MAX($D$16,POWER((ABS(K535)^2)/($I$5*MAX(F535,0.1)^2),1/3)))))))</f>
        <v>#VALUE!</v>
      </c>
      <c r="AI535" t="e">
        <f t="shared" ca="1" si="283"/>
        <v>#VALUE!</v>
      </c>
      <c r="AJ535" t="e">
        <f t="shared" ca="1" si="284"/>
        <v>#VALUE!</v>
      </c>
      <c r="AM535">
        <v>0</v>
      </c>
      <c r="AN535">
        <v>0</v>
      </c>
      <c r="AO535">
        <f t="shared" si="285"/>
        <v>0</v>
      </c>
      <c r="AP535">
        <f t="shared" ref="AP535:AP598" si="294">AP534+AO535</f>
        <v>0</v>
      </c>
      <c r="AQ535" t="e">
        <f t="shared" ca="1" si="286"/>
        <v>#VALUE!</v>
      </c>
      <c r="AR535" t="e">
        <f t="shared" ca="1" si="287"/>
        <v>#VALUE!</v>
      </c>
      <c r="AS535" t="e">
        <f t="shared" ca="1" si="288"/>
        <v>#VALUE!</v>
      </c>
    </row>
    <row r="536" spans="1:45" x14ac:dyDescent="0.35">
      <c r="A536">
        <v>387</v>
      </c>
      <c r="B536">
        <v>385.89499999999998</v>
      </c>
      <c r="C536">
        <v>616258.43299999996</v>
      </c>
      <c r="D536">
        <v>3097577.1</v>
      </c>
      <c r="E536">
        <v>632.36900000000003</v>
      </c>
      <c r="F536">
        <v>5.2</v>
      </c>
      <c r="G536">
        <v>0</v>
      </c>
      <c r="H536" t="s">
        <v>191</v>
      </c>
      <c r="I536">
        <v>7.8E-2</v>
      </c>
      <c r="J536">
        <f t="shared" si="289"/>
        <v>1</v>
      </c>
      <c r="K536">
        <f t="shared" si="290"/>
        <v>51</v>
      </c>
      <c r="L536" t="e">
        <f t="shared" ca="1" si="291"/>
        <v>#VALUE!</v>
      </c>
      <c r="M536" t="e">
        <f t="shared" ca="1" si="264"/>
        <v>#VALUE!</v>
      </c>
      <c r="N536" t="e">
        <f t="shared" ca="1" si="265"/>
        <v>#VALUE!</v>
      </c>
      <c r="O536" t="e">
        <f t="shared" ca="1" si="266"/>
        <v>#VALUE!</v>
      </c>
      <c r="P536" t="e">
        <f t="shared" ca="1" si="267"/>
        <v>#VALUE!</v>
      </c>
      <c r="Q536" t="e">
        <f t="shared" ca="1" si="268"/>
        <v>#VALUE!</v>
      </c>
      <c r="R536" t="e">
        <f t="shared" ca="1" si="269"/>
        <v>#VALUE!</v>
      </c>
      <c r="S536" t="e">
        <f t="shared" ca="1" si="270"/>
        <v>#VALUE!</v>
      </c>
      <c r="T536" t="e">
        <f t="shared" ca="1" si="271"/>
        <v>#VALUE!</v>
      </c>
      <c r="U536" t="e">
        <f t="shared" ca="1" si="292"/>
        <v>#VALUE!</v>
      </c>
      <c r="V536" t="e">
        <f t="shared" ca="1" si="293"/>
        <v>#VALUE!</v>
      </c>
      <c r="W536" t="e">
        <f t="shared" ca="1" si="272"/>
        <v>#VALUE!</v>
      </c>
      <c r="X536" t="e">
        <f t="shared" ca="1" si="273"/>
        <v>#VALUE!</v>
      </c>
      <c r="Y536" t="e">
        <f t="shared" ca="1" si="274"/>
        <v>#VALUE!</v>
      </c>
      <c r="Z536" t="e">
        <f t="shared" ca="1" si="275"/>
        <v>#VALUE!</v>
      </c>
      <c r="AA536" t="e">
        <f t="shared" ca="1" si="276"/>
        <v>#VALUE!</v>
      </c>
      <c r="AB536" t="e">
        <f t="shared" ca="1" si="277"/>
        <v>#VALUE!</v>
      </c>
      <c r="AC536" t="e">
        <f t="shared" ca="1" si="278"/>
        <v>#VALUE!</v>
      </c>
      <c r="AD536" t="e">
        <f t="shared" ca="1" si="279"/>
        <v>#VALUE!</v>
      </c>
      <c r="AE536" t="e">
        <f t="shared" ca="1" si="280"/>
        <v>#VALUE!</v>
      </c>
      <c r="AF536" t="e">
        <f t="shared" ca="1" si="281"/>
        <v>#VALUE!</v>
      </c>
      <c r="AG536" t="e">
        <f t="shared" ca="1" si="282"/>
        <v>#VALUE!</v>
      </c>
      <c r="AH536" t="e">
        <f ca="1">IF(V32="Supercritical",L536,IF(V32="Subcritical",W536,IF(AND(V536=1,AG536=1),IF(T536&gt;=AE536,L536,W536),IF(V536=1,L536,IF(AG536=1,W536,MAX($D$16,POWER((ABS(K536)^2)/($I$5*MAX(F536,0.1)^2),1/3)))))))</f>
        <v>#VALUE!</v>
      </c>
      <c r="AI536" t="e">
        <f t="shared" ca="1" si="283"/>
        <v>#VALUE!</v>
      </c>
      <c r="AJ536" t="e">
        <f t="shared" ca="1" si="284"/>
        <v>#VALUE!</v>
      </c>
      <c r="AM536">
        <v>0</v>
      </c>
      <c r="AN536">
        <v>0</v>
      </c>
      <c r="AO536">
        <f t="shared" si="285"/>
        <v>0</v>
      </c>
      <c r="AP536">
        <f t="shared" si="294"/>
        <v>0</v>
      </c>
      <c r="AQ536" t="e">
        <f t="shared" ca="1" si="286"/>
        <v>#VALUE!</v>
      </c>
      <c r="AR536" t="e">
        <f t="shared" ca="1" si="287"/>
        <v>#VALUE!</v>
      </c>
      <c r="AS536" t="e">
        <f t="shared" ca="1" si="288"/>
        <v>#VALUE!</v>
      </c>
    </row>
    <row r="537" spans="1:45" x14ac:dyDescent="0.35">
      <c r="A537">
        <v>388</v>
      </c>
      <c r="B537">
        <v>386.89600000000002</v>
      </c>
      <c r="C537">
        <v>616257.95900000003</v>
      </c>
      <c r="D537">
        <v>3097576.219</v>
      </c>
      <c r="E537">
        <v>632.36850000000004</v>
      </c>
      <c r="F537">
        <v>5.2</v>
      </c>
      <c r="G537">
        <v>0</v>
      </c>
      <c r="H537" t="s">
        <v>191</v>
      </c>
      <c r="I537">
        <v>2.7E-2</v>
      </c>
      <c r="J537">
        <f t="shared" si="289"/>
        <v>1.0010000000000332</v>
      </c>
      <c r="K537">
        <f t="shared" si="290"/>
        <v>51</v>
      </c>
      <c r="L537" t="e">
        <f t="shared" ca="1" si="291"/>
        <v>#VALUE!</v>
      </c>
      <c r="M537" t="e">
        <f t="shared" ca="1" si="264"/>
        <v>#VALUE!</v>
      </c>
      <c r="N537" t="e">
        <f t="shared" ca="1" si="265"/>
        <v>#VALUE!</v>
      </c>
      <c r="O537" t="e">
        <f t="shared" ca="1" si="266"/>
        <v>#VALUE!</v>
      </c>
      <c r="P537" t="e">
        <f t="shared" ca="1" si="267"/>
        <v>#VALUE!</v>
      </c>
      <c r="Q537" t="e">
        <f t="shared" ca="1" si="268"/>
        <v>#VALUE!</v>
      </c>
      <c r="R537" t="e">
        <f t="shared" ca="1" si="269"/>
        <v>#VALUE!</v>
      </c>
      <c r="S537" t="e">
        <f t="shared" ca="1" si="270"/>
        <v>#VALUE!</v>
      </c>
      <c r="T537" t="e">
        <f t="shared" ca="1" si="271"/>
        <v>#VALUE!</v>
      </c>
      <c r="U537" t="e">
        <f t="shared" ca="1" si="292"/>
        <v>#VALUE!</v>
      </c>
      <c r="V537" t="e">
        <f t="shared" ca="1" si="293"/>
        <v>#VALUE!</v>
      </c>
      <c r="W537" t="e">
        <f t="shared" ca="1" si="272"/>
        <v>#VALUE!</v>
      </c>
      <c r="X537" t="e">
        <f t="shared" ca="1" si="273"/>
        <v>#VALUE!</v>
      </c>
      <c r="Y537" t="e">
        <f t="shared" ca="1" si="274"/>
        <v>#VALUE!</v>
      </c>
      <c r="Z537" t="e">
        <f t="shared" ca="1" si="275"/>
        <v>#VALUE!</v>
      </c>
      <c r="AA537" t="e">
        <f t="shared" ca="1" si="276"/>
        <v>#VALUE!</v>
      </c>
      <c r="AB537" t="e">
        <f t="shared" ca="1" si="277"/>
        <v>#VALUE!</v>
      </c>
      <c r="AC537" t="e">
        <f t="shared" ca="1" si="278"/>
        <v>#VALUE!</v>
      </c>
      <c r="AD537" t="e">
        <f t="shared" ca="1" si="279"/>
        <v>#VALUE!</v>
      </c>
      <c r="AE537" t="e">
        <f t="shared" ca="1" si="280"/>
        <v>#VALUE!</v>
      </c>
      <c r="AF537" t="e">
        <f t="shared" ca="1" si="281"/>
        <v>#VALUE!</v>
      </c>
      <c r="AG537" t="e">
        <f t="shared" ca="1" si="282"/>
        <v>#VALUE!</v>
      </c>
      <c r="AH537" t="e">
        <f ca="1">IF(V32="Supercritical",L537,IF(V32="Subcritical",W537,IF(AND(V537=1,AG537=1),IF(T537&gt;=AE537,L537,W537),IF(V537=1,L537,IF(AG537=1,W537,MAX($D$16,POWER((ABS(K537)^2)/($I$5*MAX(F537,0.1)^2),1/3)))))))</f>
        <v>#VALUE!</v>
      </c>
      <c r="AI537" t="e">
        <f t="shared" ca="1" si="283"/>
        <v>#VALUE!</v>
      </c>
      <c r="AJ537" t="e">
        <f t="shared" ca="1" si="284"/>
        <v>#VALUE!</v>
      </c>
      <c r="AM537">
        <v>0</v>
      </c>
      <c r="AN537">
        <v>0</v>
      </c>
      <c r="AO537">
        <f t="shared" si="285"/>
        <v>0</v>
      </c>
      <c r="AP537">
        <f t="shared" si="294"/>
        <v>0</v>
      </c>
      <c r="AQ537" t="e">
        <f t="shared" ca="1" si="286"/>
        <v>#VALUE!</v>
      </c>
      <c r="AR537" t="e">
        <f t="shared" ca="1" si="287"/>
        <v>#VALUE!</v>
      </c>
      <c r="AS537" t="e">
        <f t="shared" ca="1" si="288"/>
        <v>#VALUE!</v>
      </c>
    </row>
    <row r="538" spans="1:45" x14ac:dyDescent="0.35">
      <c r="A538">
        <v>389</v>
      </c>
      <c r="B538">
        <v>387.89499999999998</v>
      </c>
      <c r="C538">
        <v>616257.48499999999</v>
      </c>
      <c r="D538">
        <v>3097575.3390000002</v>
      </c>
      <c r="E538">
        <v>632.36800000000005</v>
      </c>
      <c r="F538">
        <v>5.2</v>
      </c>
      <c r="G538">
        <v>0</v>
      </c>
      <c r="H538" t="s">
        <v>191</v>
      </c>
      <c r="I538">
        <v>0</v>
      </c>
      <c r="J538">
        <f t="shared" si="289"/>
        <v>0.9989999999999668</v>
      </c>
      <c r="K538">
        <f t="shared" si="290"/>
        <v>51</v>
      </c>
      <c r="L538" t="e">
        <f t="shared" ca="1" si="291"/>
        <v>#VALUE!</v>
      </c>
      <c r="M538" t="e">
        <f t="shared" ca="1" si="264"/>
        <v>#VALUE!</v>
      </c>
      <c r="N538" t="e">
        <f t="shared" ca="1" si="265"/>
        <v>#VALUE!</v>
      </c>
      <c r="O538" t="e">
        <f t="shared" ca="1" si="266"/>
        <v>#VALUE!</v>
      </c>
      <c r="P538" t="e">
        <f t="shared" ca="1" si="267"/>
        <v>#VALUE!</v>
      </c>
      <c r="Q538" t="e">
        <f t="shared" ca="1" si="268"/>
        <v>#VALUE!</v>
      </c>
      <c r="R538" t="e">
        <f t="shared" ca="1" si="269"/>
        <v>#VALUE!</v>
      </c>
      <c r="S538" t="e">
        <f t="shared" ca="1" si="270"/>
        <v>#VALUE!</v>
      </c>
      <c r="T538" t="e">
        <f t="shared" ca="1" si="271"/>
        <v>#VALUE!</v>
      </c>
      <c r="U538" t="e">
        <f t="shared" ca="1" si="292"/>
        <v>#VALUE!</v>
      </c>
      <c r="V538" t="e">
        <f t="shared" ca="1" si="293"/>
        <v>#VALUE!</v>
      </c>
      <c r="W538" t="e">
        <f t="shared" ca="1" si="272"/>
        <v>#VALUE!</v>
      </c>
      <c r="X538" t="e">
        <f t="shared" ca="1" si="273"/>
        <v>#VALUE!</v>
      </c>
      <c r="Y538" t="e">
        <f t="shared" ca="1" si="274"/>
        <v>#VALUE!</v>
      </c>
      <c r="Z538" t="e">
        <f t="shared" ca="1" si="275"/>
        <v>#VALUE!</v>
      </c>
      <c r="AA538" t="e">
        <f t="shared" ca="1" si="276"/>
        <v>#VALUE!</v>
      </c>
      <c r="AB538" t="e">
        <f t="shared" ca="1" si="277"/>
        <v>#VALUE!</v>
      </c>
      <c r="AC538" t="e">
        <f t="shared" ca="1" si="278"/>
        <v>#VALUE!</v>
      </c>
      <c r="AD538" t="e">
        <f t="shared" ca="1" si="279"/>
        <v>#VALUE!</v>
      </c>
      <c r="AE538" t="e">
        <f t="shared" ca="1" si="280"/>
        <v>#VALUE!</v>
      </c>
      <c r="AF538" t="e">
        <f t="shared" ca="1" si="281"/>
        <v>#VALUE!</v>
      </c>
      <c r="AG538" t="e">
        <f t="shared" ca="1" si="282"/>
        <v>#VALUE!</v>
      </c>
      <c r="AH538" t="e">
        <f ca="1">IF(V32="Supercritical",L538,IF(V32="Subcritical",W538,IF(AND(V538=1,AG538=1),IF(T538&gt;=AE538,L538,W538),IF(V538=1,L538,IF(AG538=1,W538,MAX($D$16,POWER((ABS(K538)^2)/($I$5*MAX(F538,0.1)^2),1/3)))))))</f>
        <v>#VALUE!</v>
      </c>
      <c r="AI538" t="e">
        <f t="shared" ca="1" si="283"/>
        <v>#VALUE!</v>
      </c>
      <c r="AJ538" t="e">
        <f t="shared" ca="1" si="284"/>
        <v>#VALUE!</v>
      </c>
      <c r="AM538">
        <v>0</v>
      </c>
      <c r="AN538">
        <v>0</v>
      </c>
      <c r="AO538">
        <f t="shared" si="285"/>
        <v>0</v>
      </c>
      <c r="AP538">
        <f t="shared" si="294"/>
        <v>0</v>
      </c>
      <c r="AQ538" t="e">
        <f t="shared" ca="1" si="286"/>
        <v>#VALUE!</v>
      </c>
      <c r="AR538" t="e">
        <f t="shared" ca="1" si="287"/>
        <v>#VALUE!</v>
      </c>
      <c r="AS538" t="e">
        <f t="shared" ca="1" si="288"/>
        <v>#VALUE!</v>
      </c>
    </row>
    <row r="539" spans="1:45" x14ac:dyDescent="0.35">
      <c r="A539">
        <v>390</v>
      </c>
      <c r="B539">
        <v>388.89499999999998</v>
      </c>
      <c r="C539">
        <v>616257.01100000006</v>
      </c>
      <c r="D539">
        <v>3097574.4589999998</v>
      </c>
      <c r="E539">
        <v>632.36749999999995</v>
      </c>
      <c r="F539">
        <v>5.2</v>
      </c>
      <c r="G539">
        <v>0</v>
      </c>
      <c r="H539" t="s">
        <v>191</v>
      </c>
      <c r="I539">
        <v>2.7E-2</v>
      </c>
      <c r="J539">
        <f t="shared" si="289"/>
        <v>1</v>
      </c>
      <c r="K539">
        <f t="shared" si="290"/>
        <v>51</v>
      </c>
      <c r="L539" t="e">
        <f t="shared" ca="1" si="291"/>
        <v>#VALUE!</v>
      </c>
      <c r="M539" t="e">
        <f t="shared" ca="1" si="264"/>
        <v>#VALUE!</v>
      </c>
      <c r="N539" t="e">
        <f t="shared" ca="1" si="265"/>
        <v>#VALUE!</v>
      </c>
      <c r="O539" t="e">
        <f t="shared" ca="1" si="266"/>
        <v>#VALUE!</v>
      </c>
      <c r="P539" t="e">
        <f t="shared" ca="1" si="267"/>
        <v>#VALUE!</v>
      </c>
      <c r="Q539" t="e">
        <f t="shared" ca="1" si="268"/>
        <v>#VALUE!</v>
      </c>
      <c r="R539" t="e">
        <f t="shared" ca="1" si="269"/>
        <v>#VALUE!</v>
      </c>
      <c r="S539" t="e">
        <f t="shared" ca="1" si="270"/>
        <v>#VALUE!</v>
      </c>
      <c r="T539" t="e">
        <f t="shared" ca="1" si="271"/>
        <v>#VALUE!</v>
      </c>
      <c r="U539" t="e">
        <f t="shared" ca="1" si="292"/>
        <v>#VALUE!</v>
      </c>
      <c r="V539" t="e">
        <f t="shared" ca="1" si="293"/>
        <v>#VALUE!</v>
      </c>
      <c r="W539" t="e">
        <f t="shared" ca="1" si="272"/>
        <v>#VALUE!</v>
      </c>
      <c r="X539" t="e">
        <f t="shared" ca="1" si="273"/>
        <v>#VALUE!</v>
      </c>
      <c r="Y539" t="e">
        <f t="shared" ca="1" si="274"/>
        <v>#VALUE!</v>
      </c>
      <c r="Z539" t="e">
        <f t="shared" ca="1" si="275"/>
        <v>#VALUE!</v>
      </c>
      <c r="AA539" t="e">
        <f t="shared" ca="1" si="276"/>
        <v>#VALUE!</v>
      </c>
      <c r="AB539" t="e">
        <f t="shared" ca="1" si="277"/>
        <v>#VALUE!</v>
      </c>
      <c r="AC539" t="e">
        <f t="shared" ca="1" si="278"/>
        <v>#VALUE!</v>
      </c>
      <c r="AD539" t="e">
        <f t="shared" ca="1" si="279"/>
        <v>#VALUE!</v>
      </c>
      <c r="AE539" t="e">
        <f t="shared" ca="1" si="280"/>
        <v>#VALUE!</v>
      </c>
      <c r="AF539" t="e">
        <f t="shared" ca="1" si="281"/>
        <v>#VALUE!</v>
      </c>
      <c r="AG539" t="e">
        <f t="shared" ca="1" si="282"/>
        <v>#VALUE!</v>
      </c>
      <c r="AH539" t="e">
        <f ca="1">IF(V32="Supercritical",L539,IF(V32="Subcritical",W539,IF(AND(V539=1,AG539=1),IF(T539&gt;=AE539,L539,W539),IF(V539=1,L539,IF(AG539=1,W539,MAX($D$16,POWER((ABS(K539)^2)/($I$5*MAX(F539,0.1)^2),1/3)))))))</f>
        <v>#VALUE!</v>
      </c>
      <c r="AI539" t="e">
        <f t="shared" ca="1" si="283"/>
        <v>#VALUE!</v>
      </c>
      <c r="AJ539" t="e">
        <f t="shared" ca="1" si="284"/>
        <v>#VALUE!</v>
      </c>
      <c r="AM539">
        <v>0</v>
      </c>
      <c r="AN539">
        <v>0</v>
      </c>
      <c r="AO539">
        <f t="shared" si="285"/>
        <v>0</v>
      </c>
      <c r="AP539">
        <f t="shared" si="294"/>
        <v>0</v>
      </c>
      <c r="AQ539" t="e">
        <f t="shared" ca="1" si="286"/>
        <v>#VALUE!</v>
      </c>
      <c r="AR539" t="e">
        <f t="shared" ca="1" si="287"/>
        <v>#VALUE!</v>
      </c>
      <c r="AS539" t="e">
        <f t="shared" ca="1" si="288"/>
        <v>#VALUE!</v>
      </c>
    </row>
    <row r="540" spans="1:45" x14ac:dyDescent="0.35">
      <c r="A540">
        <v>391</v>
      </c>
      <c r="B540">
        <v>389.89499999999998</v>
      </c>
      <c r="C540">
        <v>616256.53700000001</v>
      </c>
      <c r="D540">
        <v>3097573.5780000002</v>
      </c>
      <c r="E540">
        <v>632.36699999999996</v>
      </c>
      <c r="F540">
        <v>5.2</v>
      </c>
      <c r="G540">
        <v>0</v>
      </c>
      <c r="H540" t="s">
        <v>191</v>
      </c>
      <c r="I540">
        <v>7.8E-2</v>
      </c>
      <c r="J540">
        <f t="shared" si="289"/>
        <v>1</v>
      </c>
      <c r="K540">
        <f t="shared" si="290"/>
        <v>51</v>
      </c>
      <c r="L540" t="e">
        <f t="shared" ca="1" si="291"/>
        <v>#VALUE!</v>
      </c>
      <c r="M540" t="e">
        <f t="shared" ca="1" si="264"/>
        <v>#VALUE!</v>
      </c>
      <c r="N540" t="e">
        <f t="shared" ca="1" si="265"/>
        <v>#VALUE!</v>
      </c>
      <c r="O540" t="e">
        <f t="shared" ca="1" si="266"/>
        <v>#VALUE!</v>
      </c>
      <c r="P540" t="e">
        <f t="shared" ca="1" si="267"/>
        <v>#VALUE!</v>
      </c>
      <c r="Q540" t="e">
        <f t="shared" ca="1" si="268"/>
        <v>#VALUE!</v>
      </c>
      <c r="R540" t="e">
        <f t="shared" ca="1" si="269"/>
        <v>#VALUE!</v>
      </c>
      <c r="S540" t="e">
        <f t="shared" ca="1" si="270"/>
        <v>#VALUE!</v>
      </c>
      <c r="T540" t="e">
        <f t="shared" ca="1" si="271"/>
        <v>#VALUE!</v>
      </c>
      <c r="U540" t="e">
        <f t="shared" ca="1" si="292"/>
        <v>#VALUE!</v>
      </c>
      <c r="V540" t="e">
        <f t="shared" ca="1" si="293"/>
        <v>#VALUE!</v>
      </c>
      <c r="W540" t="e">
        <f t="shared" ca="1" si="272"/>
        <v>#VALUE!</v>
      </c>
      <c r="X540" t="e">
        <f t="shared" ca="1" si="273"/>
        <v>#VALUE!</v>
      </c>
      <c r="Y540" t="e">
        <f t="shared" ca="1" si="274"/>
        <v>#VALUE!</v>
      </c>
      <c r="Z540" t="e">
        <f t="shared" ca="1" si="275"/>
        <v>#VALUE!</v>
      </c>
      <c r="AA540" t="e">
        <f t="shared" ca="1" si="276"/>
        <v>#VALUE!</v>
      </c>
      <c r="AB540" t="e">
        <f t="shared" ca="1" si="277"/>
        <v>#VALUE!</v>
      </c>
      <c r="AC540" t="e">
        <f t="shared" ca="1" si="278"/>
        <v>#VALUE!</v>
      </c>
      <c r="AD540" t="e">
        <f t="shared" ca="1" si="279"/>
        <v>#VALUE!</v>
      </c>
      <c r="AE540" t="e">
        <f t="shared" ca="1" si="280"/>
        <v>#VALUE!</v>
      </c>
      <c r="AF540" t="e">
        <f t="shared" ca="1" si="281"/>
        <v>#VALUE!</v>
      </c>
      <c r="AG540" t="e">
        <f t="shared" ca="1" si="282"/>
        <v>#VALUE!</v>
      </c>
      <c r="AH540" t="e">
        <f ca="1">IF(V32="Supercritical",L540,IF(V32="Subcritical",W540,IF(AND(V540=1,AG540=1),IF(T540&gt;=AE540,L540,W540),IF(V540=1,L540,IF(AG540=1,W540,MAX($D$16,POWER((ABS(K540)^2)/($I$5*MAX(F540,0.1)^2),1/3)))))))</f>
        <v>#VALUE!</v>
      </c>
      <c r="AI540" t="e">
        <f t="shared" ca="1" si="283"/>
        <v>#VALUE!</v>
      </c>
      <c r="AJ540" t="e">
        <f t="shared" ca="1" si="284"/>
        <v>#VALUE!</v>
      </c>
      <c r="AM540">
        <v>0</v>
      </c>
      <c r="AN540">
        <v>0</v>
      </c>
      <c r="AO540">
        <f t="shared" si="285"/>
        <v>0</v>
      </c>
      <c r="AP540">
        <f t="shared" si="294"/>
        <v>0</v>
      </c>
      <c r="AQ540" t="e">
        <f t="shared" ca="1" si="286"/>
        <v>#VALUE!</v>
      </c>
      <c r="AR540" t="e">
        <f t="shared" ca="1" si="287"/>
        <v>#VALUE!</v>
      </c>
      <c r="AS540" t="e">
        <f t="shared" ca="1" si="288"/>
        <v>#VALUE!</v>
      </c>
    </row>
    <row r="541" spans="1:45" x14ac:dyDescent="0.35">
      <c r="A541">
        <v>392</v>
      </c>
      <c r="B541">
        <v>390.89499999999998</v>
      </c>
      <c r="C541">
        <v>616256.06200000003</v>
      </c>
      <c r="D541">
        <v>3097572.6979999999</v>
      </c>
      <c r="E541">
        <v>632.36649999999997</v>
      </c>
      <c r="F541">
        <v>5.2</v>
      </c>
      <c r="G541">
        <v>0</v>
      </c>
      <c r="H541" t="s">
        <v>191</v>
      </c>
      <c r="I541">
        <v>7.8E-2</v>
      </c>
      <c r="J541">
        <f t="shared" si="289"/>
        <v>1</v>
      </c>
      <c r="K541">
        <f t="shared" si="290"/>
        <v>51</v>
      </c>
      <c r="L541" t="e">
        <f t="shared" ca="1" si="291"/>
        <v>#VALUE!</v>
      </c>
      <c r="M541" t="e">
        <f t="shared" ca="1" si="264"/>
        <v>#VALUE!</v>
      </c>
      <c r="N541" t="e">
        <f t="shared" ca="1" si="265"/>
        <v>#VALUE!</v>
      </c>
      <c r="O541" t="e">
        <f t="shared" ca="1" si="266"/>
        <v>#VALUE!</v>
      </c>
      <c r="P541" t="e">
        <f t="shared" ca="1" si="267"/>
        <v>#VALUE!</v>
      </c>
      <c r="Q541" t="e">
        <f t="shared" ca="1" si="268"/>
        <v>#VALUE!</v>
      </c>
      <c r="R541" t="e">
        <f t="shared" ca="1" si="269"/>
        <v>#VALUE!</v>
      </c>
      <c r="S541" t="e">
        <f t="shared" ca="1" si="270"/>
        <v>#VALUE!</v>
      </c>
      <c r="T541" t="e">
        <f t="shared" ca="1" si="271"/>
        <v>#VALUE!</v>
      </c>
      <c r="U541" t="e">
        <f t="shared" ca="1" si="292"/>
        <v>#VALUE!</v>
      </c>
      <c r="V541" t="e">
        <f t="shared" ca="1" si="293"/>
        <v>#VALUE!</v>
      </c>
      <c r="W541" t="e">
        <f t="shared" ca="1" si="272"/>
        <v>#VALUE!</v>
      </c>
      <c r="X541" t="e">
        <f t="shared" ca="1" si="273"/>
        <v>#VALUE!</v>
      </c>
      <c r="Y541" t="e">
        <f t="shared" ca="1" si="274"/>
        <v>#VALUE!</v>
      </c>
      <c r="Z541" t="e">
        <f t="shared" ca="1" si="275"/>
        <v>#VALUE!</v>
      </c>
      <c r="AA541" t="e">
        <f t="shared" ca="1" si="276"/>
        <v>#VALUE!</v>
      </c>
      <c r="AB541" t="e">
        <f t="shared" ca="1" si="277"/>
        <v>#VALUE!</v>
      </c>
      <c r="AC541" t="e">
        <f t="shared" ca="1" si="278"/>
        <v>#VALUE!</v>
      </c>
      <c r="AD541" t="e">
        <f t="shared" ca="1" si="279"/>
        <v>#VALUE!</v>
      </c>
      <c r="AE541" t="e">
        <f t="shared" ca="1" si="280"/>
        <v>#VALUE!</v>
      </c>
      <c r="AF541" t="e">
        <f t="shared" ca="1" si="281"/>
        <v>#VALUE!</v>
      </c>
      <c r="AG541" t="e">
        <f t="shared" ca="1" si="282"/>
        <v>#VALUE!</v>
      </c>
      <c r="AH541" t="e">
        <f ca="1">IF(V32="Supercritical",L541,IF(V32="Subcritical",W541,IF(AND(V541=1,AG541=1),IF(T541&gt;=AE541,L541,W541),IF(V541=1,L541,IF(AG541=1,W541,MAX($D$16,POWER((ABS(K541)^2)/($I$5*MAX(F541,0.1)^2),1/3)))))))</f>
        <v>#VALUE!</v>
      </c>
      <c r="AI541" t="e">
        <f t="shared" ca="1" si="283"/>
        <v>#VALUE!</v>
      </c>
      <c r="AJ541" t="e">
        <f t="shared" ca="1" si="284"/>
        <v>#VALUE!</v>
      </c>
      <c r="AM541">
        <v>0</v>
      </c>
      <c r="AN541">
        <v>0</v>
      </c>
      <c r="AO541">
        <f t="shared" si="285"/>
        <v>0</v>
      </c>
      <c r="AP541">
        <f t="shared" si="294"/>
        <v>0</v>
      </c>
      <c r="AQ541" t="e">
        <f t="shared" ca="1" si="286"/>
        <v>#VALUE!</v>
      </c>
      <c r="AR541" t="e">
        <f t="shared" ca="1" si="287"/>
        <v>#VALUE!</v>
      </c>
      <c r="AS541" t="e">
        <f t="shared" ca="1" si="288"/>
        <v>#VALUE!</v>
      </c>
    </row>
    <row r="542" spans="1:45" x14ac:dyDescent="0.35">
      <c r="A542">
        <v>393</v>
      </c>
      <c r="B542">
        <v>391.89600000000002</v>
      </c>
      <c r="C542">
        <v>616255.58799999999</v>
      </c>
      <c r="D542">
        <v>3097571.8169999998</v>
      </c>
      <c r="E542">
        <v>632.36599999999999</v>
      </c>
      <c r="F542">
        <v>5.2</v>
      </c>
      <c r="G542">
        <v>0</v>
      </c>
      <c r="H542" t="s">
        <v>191</v>
      </c>
      <c r="I542">
        <v>2.7E-2</v>
      </c>
      <c r="J542">
        <f t="shared" si="289"/>
        <v>1.0010000000000332</v>
      </c>
      <c r="K542">
        <f t="shared" si="290"/>
        <v>51</v>
      </c>
      <c r="L542" t="e">
        <f t="shared" ca="1" si="291"/>
        <v>#VALUE!</v>
      </c>
      <c r="M542" t="e">
        <f t="shared" ca="1" si="264"/>
        <v>#VALUE!</v>
      </c>
      <c r="N542" t="e">
        <f t="shared" ca="1" si="265"/>
        <v>#VALUE!</v>
      </c>
      <c r="O542" t="e">
        <f t="shared" ca="1" si="266"/>
        <v>#VALUE!</v>
      </c>
      <c r="P542" t="e">
        <f t="shared" ca="1" si="267"/>
        <v>#VALUE!</v>
      </c>
      <c r="Q542" t="e">
        <f t="shared" ca="1" si="268"/>
        <v>#VALUE!</v>
      </c>
      <c r="R542" t="e">
        <f t="shared" ca="1" si="269"/>
        <v>#VALUE!</v>
      </c>
      <c r="S542" t="e">
        <f t="shared" ca="1" si="270"/>
        <v>#VALUE!</v>
      </c>
      <c r="T542" t="e">
        <f t="shared" ca="1" si="271"/>
        <v>#VALUE!</v>
      </c>
      <c r="U542" t="e">
        <f t="shared" ca="1" si="292"/>
        <v>#VALUE!</v>
      </c>
      <c r="V542" t="e">
        <f t="shared" ca="1" si="293"/>
        <v>#VALUE!</v>
      </c>
      <c r="W542" t="e">
        <f t="shared" ca="1" si="272"/>
        <v>#VALUE!</v>
      </c>
      <c r="X542" t="e">
        <f t="shared" ca="1" si="273"/>
        <v>#VALUE!</v>
      </c>
      <c r="Y542" t="e">
        <f t="shared" ca="1" si="274"/>
        <v>#VALUE!</v>
      </c>
      <c r="Z542" t="e">
        <f t="shared" ca="1" si="275"/>
        <v>#VALUE!</v>
      </c>
      <c r="AA542" t="e">
        <f t="shared" ca="1" si="276"/>
        <v>#VALUE!</v>
      </c>
      <c r="AB542" t="e">
        <f t="shared" ca="1" si="277"/>
        <v>#VALUE!</v>
      </c>
      <c r="AC542" t="e">
        <f t="shared" ca="1" si="278"/>
        <v>#VALUE!</v>
      </c>
      <c r="AD542" t="e">
        <f t="shared" ca="1" si="279"/>
        <v>#VALUE!</v>
      </c>
      <c r="AE542" t="e">
        <f t="shared" ca="1" si="280"/>
        <v>#VALUE!</v>
      </c>
      <c r="AF542" t="e">
        <f t="shared" ca="1" si="281"/>
        <v>#VALUE!</v>
      </c>
      <c r="AG542" t="e">
        <f t="shared" ca="1" si="282"/>
        <v>#VALUE!</v>
      </c>
      <c r="AH542" t="e">
        <f ca="1">IF(V32="Supercritical",L542,IF(V32="Subcritical",W542,IF(AND(V542=1,AG542=1),IF(T542&gt;=AE542,L542,W542),IF(V542=1,L542,IF(AG542=1,W542,MAX($D$16,POWER((ABS(K542)^2)/($I$5*MAX(F542,0.1)^2),1/3)))))))</f>
        <v>#VALUE!</v>
      </c>
      <c r="AI542" t="e">
        <f t="shared" ca="1" si="283"/>
        <v>#VALUE!</v>
      </c>
      <c r="AJ542" t="e">
        <f t="shared" ca="1" si="284"/>
        <v>#VALUE!</v>
      </c>
      <c r="AM542">
        <v>0</v>
      </c>
      <c r="AN542">
        <v>0</v>
      </c>
      <c r="AO542">
        <f t="shared" si="285"/>
        <v>0</v>
      </c>
      <c r="AP542">
        <f t="shared" si="294"/>
        <v>0</v>
      </c>
      <c r="AQ542" t="e">
        <f t="shared" ca="1" si="286"/>
        <v>#VALUE!</v>
      </c>
      <c r="AR542" t="e">
        <f t="shared" ca="1" si="287"/>
        <v>#VALUE!</v>
      </c>
      <c r="AS542" t="e">
        <f t="shared" ca="1" si="288"/>
        <v>#VALUE!</v>
      </c>
    </row>
    <row r="543" spans="1:45" x14ac:dyDescent="0.35">
      <c r="A543">
        <v>394</v>
      </c>
      <c r="B543">
        <v>392.89499999999998</v>
      </c>
      <c r="C543">
        <v>616255.11399999994</v>
      </c>
      <c r="D543">
        <v>3097570.9369999999</v>
      </c>
      <c r="E543">
        <v>632.3655</v>
      </c>
      <c r="F543">
        <v>5.2</v>
      </c>
      <c r="G543">
        <v>0</v>
      </c>
      <c r="H543" t="s">
        <v>191</v>
      </c>
      <c r="I543">
        <v>0</v>
      </c>
      <c r="J543">
        <f t="shared" si="289"/>
        <v>0.9989999999999668</v>
      </c>
      <c r="K543">
        <f t="shared" si="290"/>
        <v>51</v>
      </c>
      <c r="L543" t="e">
        <f t="shared" ca="1" si="291"/>
        <v>#VALUE!</v>
      </c>
      <c r="M543" t="e">
        <f t="shared" ca="1" si="264"/>
        <v>#VALUE!</v>
      </c>
      <c r="N543" t="e">
        <f t="shared" ca="1" si="265"/>
        <v>#VALUE!</v>
      </c>
      <c r="O543" t="e">
        <f t="shared" ca="1" si="266"/>
        <v>#VALUE!</v>
      </c>
      <c r="P543" t="e">
        <f t="shared" ca="1" si="267"/>
        <v>#VALUE!</v>
      </c>
      <c r="Q543" t="e">
        <f t="shared" ca="1" si="268"/>
        <v>#VALUE!</v>
      </c>
      <c r="R543" t="e">
        <f t="shared" ca="1" si="269"/>
        <v>#VALUE!</v>
      </c>
      <c r="S543" t="e">
        <f t="shared" ca="1" si="270"/>
        <v>#VALUE!</v>
      </c>
      <c r="T543" t="e">
        <f t="shared" ca="1" si="271"/>
        <v>#VALUE!</v>
      </c>
      <c r="U543" t="e">
        <f t="shared" ca="1" si="292"/>
        <v>#VALUE!</v>
      </c>
      <c r="V543" t="e">
        <f t="shared" ca="1" si="293"/>
        <v>#VALUE!</v>
      </c>
      <c r="W543" t="e">
        <f t="shared" ca="1" si="272"/>
        <v>#VALUE!</v>
      </c>
      <c r="X543" t="e">
        <f t="shared" ca="1" si="273"/>
        <v>#VALUE!</v>
      </c>
      <c r="Y543" t="e">
        <f t="shared" ca="1" si="274"/>
        <v>#VALUE!</v>
      </c>
      <c r="Z543" t="e">
        <f t="shared" ca="1" si="275"/>
        <v>#VALUE!</v>
      </c>
      <c r="AA543" t="e">
        <f t="shared" ca="1" si="276"/>
        <v>#VALUE!</v>
      </c>
      <c r="AB543" t="e">
        <f t="shared" ca="1" si="277"/>
        <v>#VALUE!</v>
      </c>
      <c r="AC543" t="e">
        <f t="shared" ca="1" si="278"/>
        <v>#VALUE!</v>
      </c>
      <c r="AD543" t="e">
        <f t="shared" ca="1" si="279"/>
        <v>#VALUE!</v>
      </c>
      <c r="AE543" t="e">
        <f t="shared" ca="1" si="280"/>
        <v>#VALUE!</v>
      </c>
      <c r="AF543" t="e">
        <f t="shared" ca="1" si="281"/>
        <v>#VALUE!</v>
      </c>
      <c r="AG543" t="e">
        <f t="shared" ca="1" si="282"/>
        <v>#VALUE!</v>
      </c>
      <c r="AH543" t="e">
        <f ca="1">IF(V32="Supercritical",L543,IF(V32="Subcritical",W543,IF(AND(V543=1,AG543=1),IF(T543&gt;=AE543,L543,W543),IF(V543=1,L543,IF(AG543=1,W543,MAX($D$16,POWER((ABS(K543)^2)/($I$5*MAX(F543,0.1)^2),1/3)))))))</f>
        <v>#VALUE!</v>
      </c>
      <c r="AI543" t="e">
        <f t="shared" ca="1" si="283"/>
        <v>#VALUE!</v>
      </c>
      <c r="AJ543" t="e">
        <f t="shared" ca="1" si="284"/>
        <v>#VALUE!</v>
      </c>
      <c r="AM543">
        <v>0</v>
      </c>
      <c r="AN543">
        <v>0</v>
      </c>
      <c r="AO543">
        <f t="shared" si="285"/>
        <v>0</v>
      </c>
      <c r="AP543">
        <f t="shared" si="294"/>
        <v>0</v>
      </c>
      <c r="AQ543" t="e">
        <f t="shared" ca="1" si="286"/>
        <v>#VALUE!</v>
      </c>
      <c r="AR543" t="e">
        <f t="shared" ca="1" si="287"/>
        <v>#VALUE!</v>
      </c>
      <c r="AS543" t="e">
        <f t="shared" ca="1" si="288"/>
        <v>#VALUE!</v>
      </c>
    </row>
    <row r="544" spans="1:45" x14ac:dyDescent="0.35">
      <c r="A544">
        <v>395</v>
      </c>
      <c r="B544">
        <v>393.89499999999998</v>
      </c>
      <c r="C544">
        <v>616254.64</v>
      </c>
      <c r="D544">
        <v>3097570.057</v>
      </c>
      <c r="E544">
        <v>632.36500000000001</v>
      </c>
      <c r="F544">
        <v>5.2</v>
      </c>
      <c r="G544">
        <v>0</v>
      </c>
      <c r="H544" t="s">
        <v>191</v>
      </c>
      <c r="I544">
        <v>2.3E-2</v>
      </c>
      <c r="J544">
        <f t="shared" si="289"/>
        <v>1</v>
      </c>
      <c r="K544">
        <f t="shared" si="290"/>
        <v>51</v>
      </c>
      <c r="L544" t="e">
        <f t="shared" ca="1" si="291"/>
        <v>#VALUE!</v>
      </c>
      <c r="M544" t="e">
        <f t="shared" ca="1" si="264"/>
        <v>#VALUE!</v>
      </c>
      <c r="N544" t="e">
        <f t="shared" ca="1" si="265"/>
        <v>#VALUE!</v>
      </c>
      <c r="O544" t="e">
        <f t="shared" ca="1" si="266"/>
        <v>#VALUE!</v>
      </c>
      <c r="P544" t="e">
        <f t="shared" ca="1" si="267"/>
        <v>#VALUE!</v>
      </c>
      <c r="Q544" t="e">
        <f t="shared" ca="1" si="268"/>
        <v>#VALUE!</v>
      </c>
      <c r="R544" t="e">
        <f t="shared" ca="1" si="269"/>
        <v>#VALUE!</v>
      </c>
      <c r="S544" t="e">
        <f t="shared" ca="1" si="270"/>
        <v>#VALUE!</v>
      </c>
      <c r="T544" t="e">
        <f t="shared" ca="1" si="271"/>
        <v>#VALUE!</v>
      </c>
      <c r="U544" t="e">
        <f t="shared" ca="1" si="292"/>
        <v>#VALUE!</v>
      </c>
      <c r="V544" t="e">
        <f t="shared" ca="1" si="293"/>
        <v>#VALUE!</v>
      </c>
      <c r="W544" t="e">
        <f t="shared" ca="1" si="272"/>
        <v>#VALUE!</v>
      </c>
      <c r="X544" t="e">
        <f t="shared" ca="1" si="273"/>
        <v>#VALUE!</v>
      </c>
      <c r="Y544" t="e">
        <f t="shared" ca="1" si="274"/>
        <v>#VALUE!</v>
      </c>
      <c r="Z544" t="e">
        <f t="shared" ca="1" si="275"/>
        <v>#VALUE!</v>
      </c>
      <c r="AA544" t="e">
        <f t="shared" ca="1" si="276"/>
        <v>#VALUE!</v>
      </c>
      <c r="AB544" t="e">
        <f t="shared" ca="1" si="277"/>
        <v>#VALUE!</v>
      </c>
      <c r="AC544" t="e">
        <f t="shared" ca="1" si="278"/>
        <v>#VALUE!</v>
      </c>
      <c r="AD544" t="e">
        <f t="shared" ca="1" si="279"/>
        <v>#VALUE!</v>
      </c>
      <c r="AE544" t="e">
        <f t="shared" ca="1" si="280"/>
        <v>#VALUE!</v>
      </c>
      <c r="AF544" t="e">
        <f t="shared" ca="1" si="281"/>
        <v>#VALUE!</v>
      </c>
      <c r="AG544" t="e">
        <f t="shared" ca="1" si="282"/>
        <v>#VALUE!</v>
      </c>
      <c r="AH544" t="e">
        <f ca="1">IF(V32="Supercritical",L544,IF(V32="Subcritical",W544,IF(AND(V544=1,AG544=1),IF(T544&gt;=AE544,L544,W544),IF(V544=1,L544,IF(AG544=1,W544,MAX($D$16,POWER((ABS(K544)^2)/($I$5*MAX(F544,0.1)^2),1/3)))))))</f>
        <v>#VALUE!</v>
      </c>
      <c r="AI544" t="e">
        <f t="shared" ca="1" si="283"/>
        <v>#VALUE!</v>
      </c>
      <c r="AJ544" t="e">
        <f t="shared" ca="1" si="284"/>
        <v>#VALUE!</v>
      </c>
      <c r="AM544">
        <v>0</v>
      </c>
      <c r="AN544">
        <v>0</v>
      </c>
      <c r="AO544">
        <f t="shared" si="285"/>
        <v>0</v>
      </c>
      <c r="AP544">
        <f t="shared" si="294"/>
        <v>0</v>
      </c>
      <c r="AQ544" t="e">
        <f t="shared" ca="1" si="286"/>
        <v>#VALUE!</v>
      </c>
      <c r="AR544" t="e">
        <f t="shared" ca="1" si="287"/>
        <v>#VALUE!</v>
      </c>
      <c r="AS544" t="e">
        <f t="shared" ca="1" si="288"/>
        <v>#VALUE!</v>
      </c>
    </row>
    <row r="545" spans="1:45" x14ac:dyDescent="0.35">
      <c r="A545">
        <v>396</v>
      </c>
      <c r="B545">
        <v>394.89600000000002</v>
      </c>
      <c r="C545">
        <v>616254.16500000004</v>
      </c>
      <c r="D545">
        <v>3097569.176</v>
      </c>
      <c r="E545">
        <v>632.36450000000002</v>
      </c>
      <c r="F545">
        <v>5.2</v>
      </c>
      <c r="G545">
        <v>0</v>
      </c>
      <c r="H545" t="s">
        <v>191</v>
      </c>
      <c r="I545">
        <v>2.3E-2</v>
      </c>
      <c r="J545">
        <f t="shared" si="289"/>
        <v>1.0010000000000332</v>
      </c>
      <c r="K545">
        <f t="shared" si="290"/>
        <v>51</v>
      </c>
      <c r="L545" t="e">
        <f t="shared" ca="1" si="291"/>
        <v>#VALUE!</v>
      </c>
      <c r="M545" t="e">
        <f t="shared" ca="1" si="264"/>
        <v>#VALUE!</v>
      </c>
      <c r="N545" t="e">
        <f t="shared" ca="1" si="265"/>
        <v>#VALUE!</v>
      </c>
      <c r="O545" t="e">
        <f t="shared" ca="1" si="266"/>
        <v>#VALUE!</v>
      </c>
      <c r="P545" t="e">
        <f t="shared" ca="1" si="267"/>
        <v>#VALUE!</v>
      </c>
      <c r="Q545" t="e">
        <f t="shared" ca="1" si="268"/>
        <v>#VALUE!</v>
      </c>
      <c r="R545" t="e">
        <f t="shared" ca="1" si="269"/>
        <v>#VALUE!</v>
      </c>
      <c r="S545" t="e">
        <f t="shared" ca="1" si="270"/>
        <v>#VALUE!</v>
      </c>
      <c r="T545" t="e">
        <f t="shared" ca="1" si="271"/>
        <v>#VALUE!</v>
      </c>
      <c r="U545" t="e">
        <f t="shared" ca="1" si="292"/>
        <v>#VALUE!</v>
      </c>
      <c r="V545" t="e">
        <f t="shared" ca="1" si="293"/>
        <v>#VALUE!</v>
      </c>
      <c r="W545" t="e">
        <f t="shared" ca="1" si="272"/>
        <v>#VALUE!</v>
      </c>
      <c r="X545" t="e">
        <f t="shared" ca="1" si="273"/>
        <v>#VALUE!</v>
      </c>
      <c r="Y545" t="e">
        <f t="shared" ca="1" si="274"/>
        <v>#VALUE!</v>
      </c>
      <c r="Z545" t="e">
        <f t="shared" ca="1" si="275"/>
        <v>#VALUE!</v>
      </c>
      <c r="AA545" t="e">
        <f t="shared" ca="1" si="276"/>
        <v>#VALUE!</v>
      </c>
      <c r="AB545" t="e">
        <f t="shared" ca="1" si="277"/>
        <v>#VALUE!</v>
      </c>
      <c r="AC545" t="e">
        <f t="shared" ca="1" si="278"/>
        <v>#VALUE!</v>
      </c>
      <c r="AD545" t="e">
        <f t="shared" ca="1" si="279"/>
        <v>#VALUE!</v>
      </c>
      <c r="AE545" t="e">
        <f t="shared" ca="1" si="280"/>
        <v>#VALUE!</v>
      </c>
      <c r="AF545" t="e">
        <f t="shared" ca="1" si="281"/>
        <v>#VALUE!</v>
      </c>
      <c r="AG545" t="e">
        <f t="shared" ca="1" si="282"/>
        <v>#VALUE!</v>
      </c>
      <c r="AH545" t="e">
        <f ca="1">IF(V32="Supercritical",L545,IF(V32="Subcritical",W545,IF(AND(V545=1,AG545=1),IF(T545&gt;=AE545,L545,W545),IF(V545=1,L545,IF(AG545=1,W545,MAX($D$16,POWER((ABS(K545)^2)/($I$5*MAX(F545,0.1)^2),1/3)))))))</f>
        <v>#VALUE!</v>
      </c>
      <c r="AI545" t="e">
        <f t="shared" ca="1" si="283"/>
        <v>#VALUE!</v>
      </c>
      <c r="AJ545" t="e">
        <f t="shared" ca="1" si="284"/>
        <v>#VALUE!</v>
      </c>
      <c r="AM545">
        <v>0</v>
      </c>
      <c r="AN545">
        <v>0</v>
      </c>
      <c r="AO545">
        <f t="shared" si="285"/>
        <v>0</v>
      </c>
      <c r="AP545">
        <f t="shared" si="294"/>
        <v>0</v>
      </c>
      <c r="AQ545" t="e">
        <f t="shared" ca="1" si="286"/>
        <v>#VALUE!</v>
      </c>
      <c r="AR545" t="e">
        <f t="shared" ca="1" si="287"/>
        <v>#VALUE!</v>
      </c>
      <c r="AS545" t="e">
        <f t="shared" ca="1" si="288"/>
        <v>#VALUE!</v>
      </c>
    </row>
    <row r="546" spans="1:45" x14ac:dyDescent="0.35">
      <c r="A546">
        <v>397</v>
      </c>
      <c r="B546">
        <v>395.89499999999998</v>
      </c>
      <c r="C546">
        <v>616253.69099999999</v>
      </c>
      <c r="D546">
        <v>3097568.2960000001</v>
      </c>
      <c r="E546">
        <v>632.36400000000003</v>
      </c>
      <c r="F546">
        <v>5.2</v>
      </c>
      <c r="G546">
        <v>0</v>
      </c>
      <c r="H546" t="s">
        <v>191</v>
      </c>
      <c r="I546">
        <v>2.7E-2</v>
      </c>
      <c r="J546">
        <f t="shared" si="289"/>
        <v>0.9989999999999668</v>
      </c>
      <c r="K546">
        <f t="shared" si="290"/>
        <v>51</v>
      </c>
      <c r="L546" t="e">
        <f t="shared" ca="1" si="291"/>
        <v>#VALUE!</v>
      </c>
      <c r="M546" t="e">
        <f t="shared" ca="1" si="264"/>
        <v>#VALUE!</v>
      </c>
      <c r="N546" t="e">
        <f t="shared" ca="1" si="265"/>
        <v>#VALUE!</v>
      </c>
      <c r="O546" t="e">
        <f t="shared" ca="1" si="266"/>
        <v>#VALUE!</v>
      </c>
      <c r="P546" t="e">
        <f t="shared" ca="1" si="267"/>
        <v>#VALUE!</v>
      </c>
      <c r="Q546" t="e">
        <f t="shared" ca="1" si="268"/>
        <v>#VALUE!</v>
      </c>
      <c r="R546" t="e">
        <f t="shared" ca="1" si="269"/>
        <v>#VALUE!</v>
      </c>
      <c r="S546" t="e">
        <f t="shared" ca="1" si="270"/>
        <v>#VALUE!</v>
      </c>
      <c r="T546" t="e">
        <f t="shared" ca="1" si="271"/>
        <v>#VALUE!</v>
      </c>
      <c r="U546" t="e">
        <f t="shared" ca="1" si="292"/>
        <v>#VALUE!</v>
      </c>
      <c r="V546" t="e">
        <f t="shared" ca="1" si="293"/>
        <v>#VALUE!</v>
      </c>
      <c r="W546" t="e">
        <f t="shared" ca="1" si="272"/>
        <v>#VALUE!</v>
      </c>
      <c r="X546" t="e">
        <f t="shared" ca="1" si="273"/>
        <v>#VALUE!</v>
      </c>
      <c r="Y546" t="e">
        <f t="shared" ca="1" si="274"/>
        <v>#VALUE!</v>
      </c>
      <c r="Z546" t="e">
        <f t="shared" ca="1" si="275"/>
        <v>#VALUE!</v>
      </c>
      <c r="AA546" t="e">
        <f t="shared" ca="1" si="276"/>
        <v>#VALUE!</v>
      </c>
      <c r="AB546" t="e">
        <f t="shared" ca="1" si="277"/>
        <v>#VALUE!</v>
      </c>
      <c r="AC546" t="e">
        <f t="shared" ca="1" si="278"/>
        <v>#VALUE!</v>
      </c>
      <c r="AD546" t="e">
        <f t="shared" ca="1" si="279"/>
        <v>#VALUE!</v>
      </c>
      <c r="AE546" t="e">
        <f t="shared" ca="1" si="280"/>
        <v>#VALUE!</v>
      </c>
      <c r="AF546" t="e">
        <f t="shared" ca="1" si="281"/>
        <v>#VALUE!</v>
      </c>
      <c r="AG546" t="e">
        <f t="shared" ca="1" si="282"/>
        <v>#VALUE!</v>
      </c>
      <c r="AH546" t="e">
        <f ca="1">IF(V32="Supercritical",L546,IF(V32="Subcritical",W546,IF(AND(V546=1,AG546=1),IF(T546&gt;=AE546,L546,W546),IF(V546=1,L546,IF(AG546=1,W546,MAX($D$16,POWER((ABS(K546)^2)/($I$5*MAX(F546,0.1)^2),1/3)))))))</f>
        <v>#VALUE!</v>
      </c>
      <c r="AI546" t="e">
        <f t="shared" ca="1" si="283"/>
        <v>#VALUE!</v>
      </c>
      <c r="AJ546" t="e">
        <f t="shared" ca="1" si="284"/>
        <v>#VALUE!</v>
      </c>
      <c r="AM546">
        <v>0</v>
      </c>
      <c r="AN546">
        <v>0</v>
      </c>
      <c r="AO546">
        <f t="shared" si="285"/>
        <v>0</v>
      </c>
      <c r="AP546">
        <f t="shared" si="294"/>
        <v>0</v>
      </c>
      <c r="AQ546" t="e">
        <f t="shared" ca="1" si="286"/>
        <v>#VALUE!</v>
      </c>
      <c r="AR546" t="e">
        <f t="shared" ca="1" si="287"/>
        <v>#VALUE!</v>
      </c>
      <c r="AS546" t="e">
        <f t="shared" ca="1" si="288"/>
        <v>#VALUE!</v>
      </c>
    </row>
    <row r="547" spans="1:45" x14ac:dyDescent="0.35">
      <c r="A547">
        <v>398</v>
      </c>
      <c r="B547">
        <v>396.89600000000002</v>
      </c>
      <c r="C547">
        <v>616253.21699999995</v>
      </c>
      <c r="D547">
        <v>3097567.415</v>
      </c>
      <c r="E547">
        <v>632.36350000000004</v>
      </c>
      <c r="F547">
        <v>5.2</v>
      </c>
      <c r="G547">
        <v>0</v>
      </c>
      <c r="H547" t="s">
        <v>191</v>
      </c>
      <c r="I547">
        <v>2.7E-2</v>
      </c>
      <c r="J547">
        <f t="shared" si="289"/>
        <v>1.0010000000000332</v>
      </c>
      <c r="K547">
        <f t="shared" si="290"/>
        <v>51</v>
      </c>
      <c r="L547" t="e">
        <f t="shared" ca="1" si="291"/>
        <v>#VALUE!</v>
      </c>
      <c r="M547" t="e">
        <f t="shared" ca="1" si="264"/>
        <v>#VALUE!</v>
      </c>
      <c r="N547" t="e">
        <f t="shared" ca="1" si="265"/>
        <v>#VALUE!</v>
      </c>
      <c r="O547" t="e">
        <f t="shared" ca="1" si="266"/>
        <v>#VALUE!</v>
      </c>
      <c r="P547" t="e">
        <f t="shared" ca="1" si="267"/>
        <v>#VALUE!</v>
      </c>
      <c r="Q547" t="e">
        <f t="shared" ca="1" si="268"/>
        <v>#VALUE!</v>
      </c>
      <c r="R547" t="e">
        <f t="shared" ca="1" si="269"/>
        <v>#VALUE!</v>
      </c>
      <c r="S547" t="e">
        <f t="shared" ca="1" si="270"/>
        <v>#VALUE!</v>
      </c>
      <c r="T547" t="e">
        <f t="shared" ca="1" si="271"/>
        <v>#VALUE!</v>
      </c>
      <c r="U547" t="e">
        <f t="shared" ca="1" si="292"/>
        <v>#VALUE!</v>
      </c>
      <c r="V547" t="e">
        <f t="shared" ca="1" si="293"/>
        <v>#VALUE!</v>
      </c>
      <c r="W547" t="e">
        <f t="shared" ca="1" si="272"/>
        <v>#VALUE!</v>
      </c>
      <c r="X547" t="e">
        <f t="shared" ca="1" si="273"/>
        <v>#VALUE!</v>
      </c>
      <c r="Y547" t="e">
        <f t="shared" ca="1" si="274"/>
        <v>#VALUE!</v>
      </c>
      <c r="Z547" t="e">
        <f t="shared" ca="1" si="275"/>
        <v>#VALUE!</v>
      </c>
      <c r="AA547" t="e">
        <f t="shared" ca="1" si="276"/>
        <v>#VALUE!</v>
      </c>
      <c r="AB547" t="e">
        <f t="shared" ca="1" si="277"/>
        <v>#VALUE!</v>
      </c>
      <c r="AC547" t="e">
        <f t="shared" ca="1" si="278"/>
        <v>#VALUE!</v>
      </c>
      <c r="AD547" t="e">
        <f t="shared" ca="1" si="279"/>
        <v>#VALUE!</v>
      </c>
      <c r="AE547" t="e">
        <f t="shared" ca="1" si="280"/>
        <v>#VALUE!</v>
      </c>
      <c r="AF547" t="e">
        <f t="shared" ca="1" si="281"/>
        <v>#VALUE!</v>
      </c>
      <c r="AG547" t="e">
        <f t="shared" ca="1" si="282"/>
        <v>#VALUE!</v>
      </c>
      <c r="AH547" t="e">
        <f ca="1">IF(V32="Supercritical",L547,IF(V32="Subcritical",W547,IF(AND(V547=1,AG547=1),IF(T547&gt;=AE547,L547,W547),IF(V547=1,L547,IF(AG547=1,W547,MAX($D$16,POWER((ABS(K547)^2)/($I$5*MAX(F547,0.1)^2),1/3)))))))</f>
        <v>#VALUE!</v>
      </c>
      <c r="AI547" t="e">
        <f t="shared" ca="1" si="283"/>
        <v>#VALUE!</v>
      </c>
      <c r="AJ547" t="e">
        <f t="shared" ca="1" si="284"/>
        <v>#VALUE!</v>
      </c>
      <c r="AM547">
        <v>0</v>
      </c>
      <c r="AN547">
        <v>0</v>
      </c>
      <c r="AO547">
        <f t="shared" si="285"/>
        <v>0</v>
      </c>
      <c r="AP547">
        <f t="shared" si="294"/>
        <v>0</v>
      </c>
      <c r="AQ547" t="e">
        <f t="shared" ca="1" si="286"/>
        <v>#VALUE!</v>
      </c>
      <c r="AR547" t="e">
        <f t="shared" ca="1" si="287"/>
        <v>#VALUE!</v>
      </c>
      <c r="AS547" t="e">
        <f t="shared" ca="1" si="288"/>
        <v>#VALUE!</v>
      </c>
    </row>
    <row r="548" spans="1:45" x14ac:dyDescent="0.35">
      <c r="A548">
        <v>399</v>
      </c>
      <c r="B548">
        <v>397.89499999999998</v>
      </c>
      <c r="C548">
        <v>616252.74300000002</v>
      </c>
      <c r="D548">
        <v>3097566.5350000001</v>
      </c>
      <c r="E548">
        <v>632.36300000000006</v>
      </c>
      <c r="F548">
        <v>5.2</v>
      </c>
      <c r="G548">
        <v>0</v>
      </c>
      <c r="H548" t="s">
        <v>191</v>
      </c>
      <c r="I548">
        <v>0.05</v>
      </c>
      <c r="J548">
        <f t="shared" si="289"/>
        <v>0.9989999999999668</v>
      </c>
      <c r="K548">
        <f t="shared" si="290"/>
        <v>51</v>
      </c>
      <c r="L548" t="e">
        <f t="shared" ca="1" si="291"/>
        <v>#VALUE!</v>
      </c>
      <c r="M548" t="e">
        <f t="shared" ca="1" si="264"/>
        <v>#VALUE!</v>
      </c>
      <c r="N548" t="e">
        <f t="shared" ca="1" si="265"/>
        <v>#VALUE!</v>
      </c>
      <c r="O548" t="e">
        <f t="shared" ca="1" si="266"/>
        <v>#VALUE!</v>
      </c>
      <c r="P548" t="e">
        <f t="shared" ca="1" si="267"/>
        <v>#VALUE!</v>
      </c>
      <c r="Q548" t="e">
        <f t="shared" ca="1" si="268"/>
        <v>#VALUE!</v>
      </c>
      <c r="R548" t="e">
        <f t="shared" ca="1" si="269"/>
        <v>#VALUE!</v>
      </c>
      <c r="S548" t="e">
        <f t="shared" ca="1" si="270"/>
        <v>#VALUE!</v>
      </c>
      <c r="T548" t="e">
        <f t="shared" ca="1" si="271"/>
        <v>#VALUE!</v>
      </c>
      <c r="U548" t="e">
        <f t="shared" ca="1" si="292"/>
        <v>#VALUE!</v>
      </c>
      <c r="V548" t="e">
        <f t="shared" ca="1" si="293"/>
        <v>#VALUE!</v>
      </c>
      <c r="W548" t="e">
        <f t="shared" ca="1" si="272"/>
        <v>#VALUE!</v>
      </c>
      <c r="X548" t="e">
        <f t="shared" ca="1" si="273"/>
        <v>#VALUE!</v>
      </c>
      <c r="Y548" t="e">
        <f t="shared" ca="1" si="274"/>
        <v>#VALUE!</v>
      </c>
      <c r="Z548" t="e">
        <f t="shared" ca="1" si="275"/>
        <v>#VALUE!</v>
      </c>
      <c r="AA548" t="e">
        <f t="shared" ca="1" si="276"/>
        <v>#VALUE!</v>
      </c>
      <c r="AB548" t="e">
        <f t="shared" ca="1" si="277"/>
        <v>#VALUE!</v>
      </c>
      <c r="AC548" t="e">
        <f t="shared" ca="1" si="278"/>
        <v>#VALUE!</v>
      </c>
      <c r="AD548" t="e">
        <f t="shared" ca="1" si="279"/>
        <v>#VALUE!</v>
      </c>
      <c r="AE548" t="e">
        <f t="shared" ca="1" si="280"/>
        <v>#VALUE!</v>
      </c>
      <c r="AF548" t="e">
        <f t="shared" ca="1" si="281"/>
        <v>#VALUE!</v>
      </c>
      <c r="AG548" t="e">
        <f t="shared" ca="1" si="282"/>
        <v>#VALUE!</v>
      </c>
      <c r="AH548" t="e">
        <f ca="1">IF(V32="Supercritical",L548,IF(V32="Subcritical",W548,IF(AND(V548=1,AG548=1),IF(T548&gt;=AE548,L548,W548),IF(V548=1,L548,IF(AG548=1,W548,MAX($D$16,POWER((ABS(K548)^2)/($I$5*MAX(F548,0.1)^2),1/3)))))))</f>
        <v>#VALUE!</v>
      </c>
      <c r="AI548" t="e">
        <f t="shared" ca="1" si="283"/>
        <v>#VALUE!</v>
      </c>
      <c r="AJ548" t="e">
        <f t="shared" ca="1" si="284"/>
        <v>#VALUE!</v>
      </c>
      <c r="AM548">
        <v>0</v>
      </c>
      <c r="AN548">
        <v>0</v>
      </c>
      <c r="AO548">
        <f t="shared" si="285"/>
        <v>0</v>
      </c>
      <c r="AP548">
        <f t="shared" si="294"/>
        <v>0</v>
      </c>
      <c r="AQ548" t="e">
        <f t="shared" ca="1" si="286"/>
        <v>#VALUE!</v>
      </c>
      <c r="AR548" t="e">
        <f t="shared" ca="1" si="287"/>
        <v>#VALUE!</v>
      </c>
      <c r="AS548" t="e">
        <f t="shared" ca="1" si="288"/>
        <v>#VALUE!</v>
      </c>
    </row>
    <row r="549" spans="1:45" x14ac:dyDescent="0.35">
      <c r="A549">
        <v>400</v>
      </c>
      <c r="B549">
        <v>398.89499999999998</v>
      </c>
      <c r="C549">
        <v>616252.26800000004</v>
      </c>
      <c r="D549">
        <v>3097565.6549999998</v>
      </c>
      <c r="E549">
        <v>632.36249999999995</v>
      </c>
      <c r="F549">
        <v>5.2</v>
      </c>
      <c r="G549">
        <v>0</v>
      </c>
      <c r="H549" t="s">
        <v>191</v>
      </c>
      <c r="I549">
        <v>7.8E-2</v>
      </c>
      <c r="J549">
        <f t="shared" si="289"/>
        <v>1</v>
      </c>
      <c r="K549">
        <f t="shared" si="290"/>
        <v>51</v>
      </c>
      <c r="L549" t="e">
        <f t="shared" ca="1" si="291"/>
        <v>#VALUE!</v>
      </c>
      <c r="M549" t="e">
        <f t="shared" ca="1" si="264"/>
        <v>#VALUE!</v>
      </c>
      <c r="N549" t="e">
        <f t="shared" ca="1" si="265"/>
        <v>#VALUE!</v>
      </c>
      <c r="O549" t="e">
        <f t="shared" ca="1" si="266"/>
        <v>#VALUE!</v>
      </c>
      <c r="P549" t="e">
        <f t="shared" ca="1" si="267"/>
        <v>#VALUE!</v>
      </c>
      <c r="Q549" t="e">
        <f t="shared" ca="1" si="268"/>
        <v>#VALUE!</v>
      </c>
      <c r="R549" t="e">
        <f t="shared" ca="1" si="269"/>
        <v>#VALUE!</v>
      </c>
      <c r="S549" t="e">
        <f t="shared" ca="1" si="270"/>
        <v>#VALUE!</v>
      </c>
      <c r="T549" t="e">
        <f t="shared" ca="1" si="271"/>
        <v>#VALUE!</v>
      </c>
      <c r="U549" t="e">
        <f t="shared" ca="1" si="292"/>
        <v>#VALUE!</v>
      </c>
      <c r="V549" t="e">
        <f t="shared" ca="1" si="293"/>
        <v>#VALUE!</v>
      </c>
      <c r="W549" t="e">
        <f t="shared" ca="1" si="272"/>
        <v>#VALUE!</v>
      </c>
      <c r="X549" t="e">
        <f t="shared" ca="1" si="273"/>
        <v>#VALUE!</v>
      </c>
      <c r="Y549" t="e">
        <f t="shared" ca="1" si="274"/>
        <v>#VALUE!</v>
      </c>
      <c r="Z549" t="e">
        <f t="shared" ca="1" si="275"/>
        <v>#VALUE!</v>
      </c>
      <c r="AA549" t="e">
        <f t="shared" ca="1" si="276"/>
        <v>#VALUE!</v>
      </c>
      <c r="AB549" t="e">
        <f t="shared" ca="1" si="277"/>
        <v>#VALUE!</v>
      </c>
      <c r="AC549" t="e">
        <f t="shared" ca="1" si="278"/>
        <v>#VALUE!</v>
      </c>
      <c r="AD549" t="e">
        <f t="shared" ca="1" si="279"/>
        <v>#VALUE!</v>
      </c>
      <c r="AE549" t="e">
        <f t="shared" ca="1" si="280"/>
        <v>#VALUE!</v>
      </c>
      <c r="AF549" t="e">
        <f t="shared" ca="1" si="281"/>
        <v>#VALUE!</v>
      </c>
      <c r="AG549" t="e">
        <f t="shared" ca="1" si="282"/>
        <v>#VALUE!</v>
      </c>
      <c r="AH549" t="e">
        <f ca="1">IF(V32="Supercritical",L549,IF(V32="Subcritical",W549,IF(AND(V549=1,AG549=1),IF(T549&gt;=AE549,L549,W549),IF(V549=1,L549,IF(AG549=1,W549,MAX($D$16,POWER((ABS(K549)^2)/($I$5*MAX(F549,0.1)^2),1/3)))))))</f>
        <v>#VALUE!</v>
      </c>
      <c r="AI549" t="e">
        <f t="shared" ca="1" si="283"/>
        <v>#VALUE!</v>
      </c>
      <c r="AJ549" t="e">
        <f t="shared" ca="1" si="284"/>
        <v>#VALUE!</v>
      </c>
      <c r="AM549">
        <v>0</v>
      </c>
      <c r="AN549">
        <v>0</v>
      </c>
      <c r="AO549">
        <f t="shared" si="285"/>
        <v>0</v>
      </c>
      <c r="AP549">
        <f t="shared" si="294"/>
        <v>0</v>
      </c>
      <c r="AQ549" t="e">
        <f t="shared" ca="1" si="286"/>
        <v>#VALUE!</v>
      </c>
      <c r="AR549" t="e">
        <f t="shared" ca="1" si="287"/>
        <v>#VALUE!</v>
      </c>
      <c r="AS549" t="e">
        <f t="shared" ca="1" si="288"/>
        <v>#VALUE!</v>
      </c>
    </row>
    <row r="550" spans="1:45" x14ac:dyDescent="0.35">
      <c r="A550">
        <v>401</v>
      </c>
      <c r="B550">
        <v>399.89600000000002</v>
      </c>
      <c r="C550">
        <v>616251.79399999999</v>
      </c>
      <c r="D550">
        <v>3097564.7740000002</v>
      </c>
      <c r="E550">
        <v>632.36199999999997</v>
      </c>
      <c r="F550">
        <v>5.2</v>
      </c>
      <c r="G550">
        <v>0</v>
      </c>
      <c r="H550" t="s">
        <v>191</v>
      </c>
      <c r="I550">
        <v>2.7E-2</v>
      </c>
      <c r="J550">
        <f t="shared" si="289"/>
        <v>1.0010000000000332</v>
      </c>
      <c r="K550">
        <f t="shared" si="290"/>
        <v>51</v>
      </c>
      <c r="L550" t="e">
        <f t="shared" ca="1" si="291"/>
        <v>#VALUE!</v>
      </c>
      <c r="M550" t="e">
        <f t="shared" ca="1" si="264"/>
        <v>#VALUE!</v>
      </c>
      <c r="N550" t="e">
        <f t="shared" ca="1" si="265"/>
        <v>#VALUE!</v>
      </c>
      <c r="O550" t="e">
        <f t="shared" ca="1" si="266"/>
        <v>#VALUE!</v>
      </c>
      <c r="P550" t="e">
        <f t="shared" ca="1" si="267"/>
        <v>#VALUE!</v>
      </c>
      <c r="Q550" t="e">
        <f t="shared" ca="1" si="268"/>
        <v>#VALUE!</v>
      </c>
      <c r="R550" t="e">
        <f t="shared" ca="1" si="269"/>
        <v>#VALUE!</v>
      </c>
      <c r="S550" t="e">
        <f t="shared" ca="1" si="270"/>
        <v>#VALUE!</v>
      </c>
      <c r="T550" t="e">
        <f t="shared" ca="1" si="271"/>
        <v>#VALUE!</v>
      </c>
      <c r="U550" t="e">
        <f t="shared" ca="1" si="292"/>
        <v>#VALUE!</v>
      </c>
      <c r="V550" t="e">
        <f t="shared" ca="1" si="293"/>
        <v>#VALUE!</v>
      </c>
      <c r="W550" t="e">
        <f t="shared" ca="1" si="272"/>
        <v>#VALUE!</v>
      </c>
      <c r="X550" t="e">
        <f t="shared" ca="1" si="273"/>
        <v>#VALUE!</v>
      </c>
      <c r="Y550" t="e">
        <f t="shared" ca="1" si="274"/>
        <v>#VALUE!</v>
      </c>
      <c r="Z550" t="e">
        <f t="shared" ca="1" si="275"/>
        <v>#VALUE!</v>
      </c>
      <c r="AA550" t="e">
        <f t="shared" ca="1" si="276"/>
        <v>#VALUE!</v>
      </c>
      <c r="AB550" t="e">
        <f t="shared" ca="1" si="277"/>
        <v>#VALUE!</v>
      </c>
      <c r="AC550" t="e">
        <f t="shared" ca="1" si="278"/>
        <v>#VALUE!</v>
      </c>
      <c r="AD550" t="e">
        <f t="shared" ca="1" si="279"/>
        <v>#VALUE!</v>
      </c>
      <c r="AE550" t="e">
        <f t="shared" ca="1" si="280"/>
        <v>#VALUE!</v>
      </c>
      <c r="AF550" t="e">
        <f t="shared" ca="1" si="281"/>
        <v>#VALUE!</v>
      </c>
      <c r="AG550" t="e">
        <f t="shared" ca="1" si="282"/>
        <v>#VALUE!</v>
      </c>
      <c r="AH550" t="e">
        <f ca="1">IF(V32="Supercritical",L550,IF(V32="Subcritical",W550,IF(AND(V550=1,AG550=1),IF(T550&gt;=AE550,L550,W550),IF(V550=1,L550,IF(AG550=1,W550,MAX($D$16,POWER((ABS(K550)^2)/($I$5*MAX(F550,0.1)^2),1/3)))))))</f>
        <v>#VALUE!</v>
      </c>
      <c r="AI550" t="e">
        <f t="shared" ca="1" si="283"/>
        <v>#VALUE!</v>
      </c>
      <c r="AJ550" t="e">
        <f t="shared" ca="1" si="284"/>
        <v>#VALUE!</v>
      </c>
      <c r="AM550">
        <v>0</v>
      </c>
      <c r="AN550">
        <v>0</v>
      </c>
      <c r="AO550">
        <f t="shared" si="285"/>
        <v>0</v>
      </c>
      <c r="AP550">
        <f t="shared" si="294"/>
        <v>0</v>
      </c>
      <c r="AQ550" t="e">
        <f t="shared" ca="1" si="286"/>
        <v>#VALUE!</v>
      </c>
      <c r="AR550" t="e">
        <f t="shared" ca="1" si="287"/>
        <v>#VALUE!</v>
      </c>
      <c r="AS550" t="e">
        <f t="shared" ca="1" si="288"/>
        <v>#VALUE!</v>
      </c>
    </row>
    <row r="551" spans="1:45" x14ac:dyDescent="0.35">
      <c r="A551">
        <v>402</v>
      </c>
      <c r="B551">
        <v>400.89499999999998</v>
      </c>
      <c r="C551">
        <v>616251.31999999995</v>
      </c>
      <c r="D551">
        <v>3097563.8939999999</v>
      </c>
      <c r="E551">
        <v>632.36149999999998</v>
      </c>
      <c r="F551">
        <v>5.2</v>
      </c>
      <c r="G551">
        <v>0</v>
      </c>
      <c r="H551" t="s">
        <v>191</v>
      </c>
      <c r="I551">
        <v>2.7E-2</v>
      </c>
      <c r="J551">
        <f t="shared" si="289"/>
        <v>0.9989999999999668</v>
      </c>
      <c r="K551">
        <f t="shared" si="290"/>
        <v>51</v>
      </c>
      <c r="L551" t="e">
        <f t="shared" ca="1" si="291"/>
        <v>#VALUE!</v>
      </c>
      <c r="M551" t="e">
        <f t="shared" ca="1" si="264"/>
        <v>#VALUE!</v>
      </c>
      <c r="N551" t="e">
        <f t="shared" ca="1" si="265"/>
        <v>#VALUE!</v>
      </c>
      <c r="O551" t="e">
        <f t="shared" ca="1" si="266"/>
        <v>#VALUE!</v>
      </c>
      <c r="P551" t="e">
        <f t="shared" ca="1" si="267"/>
        <v>#VALUE!</v>
      </c>
      <c r="Q551" t="e">
        <f t="shared" ca="1" si="268"/>
        <v>#VALUE!</v>
      </c>
      <c r="R551" t="e">
        <f t="shared" ca="1" si="269"/>
        <v>#VALUE!</v>
      </c>
      <c r="S551" t="e">
        <f t="shared" ca="1" si="270"/>
        <v>#VALUE!</v>
      </c>
      <c r="T551" t="e">
        <f t="shared" ca="1" si="271"/>
        <v>#VALUE!</v>
      </c>
      <c r="U551" t="e">
        <f t="shared" ca="1" si="292"/>
        <v>#VALUE!</v>
      </c>
      <c r="V551" t="e">
        <f t="shared" ca="1" si="293"/>
        <v>#VALUE!</v>
      </c>
      <c r="W551" t="e">
        <f t="shared" ca="1" si="272"/>
        <v>#VALUE!</v>
      </c>
      <c r="X551" t="e">
        <f t="shared" ca="1" si="273"/>
        <v>#VALUE!</v>
      </c>
      <c r="Y551" t="e">
        <f t="shared" ca="1" si="274"/>
        <v>#VALUE!</v>
      </c>
      <c r="Z551" t="e">
        <f t="shared" ca="1" si="275"/>
        <v>#VALUE!</v>
      </c>
      <c r="AA551" t="e">
        <f t="shared" ca="1" si="276"/>
        <v>#VALUE!</v>
      </c>
      <c r="AB551" t="e">
        <f t="shared" ca="1" si="277"/>
        <v>#VALUE!</v>
      </c>
      <c r="AC551" t="e">
        <f t="shared" ca="1" si="278"/>
        <v>#VALUE!</v>
      </c>
      <c r="AD551" t="e">
        <f t="shared" ca="1" si="279"/>
        <v>#VALUE!</v>
      </c>
      <c r="AE551" t="e">
        <f t="shared" ca="1" si="280"/>
        <v>#VALUE!</v>
      </c>
      <c r="AF551" t="e">
        <f t="shared" ca="1" si="281"/>
        <v>#VALUE!</v>
      </c>
      <c r="AG551" t="e">
        <f t="shared" ca="1" si="282"/>
        <v>#VALUE!</v>
      </c>
      <c r="AH551" t="e">
        <f ca="1">IF(V32="Supercritical",L551,IF(V32="Subcritical",W551,IF(AND(V551=1,AG551=1),IF(T551&gt;=AE551,L551,W551),IF(V551=1,L551,IF(AG551=1,W551,MAX($D$16,POWER((ABS(K551)^2)/($I$5*MAX(F551,0.1)^2),1/3)))))))</f>
        <v>#VALUE!</v>
      </c>
      <c r="AI551" t="e">
        <f t="shared" ca="1" si="283"/>
        <v>#VALUE!</v>
      </c>
      <c r="AJ551" t="e">
        <f t="shared" ca="1" si="284"/>
        <v>#VALUE!</v>
      </c>
      <c r="AM551">
        <v>0</v>
      </c>
      <c r="AN551">
        <v>0</v>
      </c>
      <c r="AO551">
        <f t="shared" si="285"/>
        <v>0</v>
      </c>
      <c r="AP551">
        <f t="shared" si="294"/>
        <v>0</v>
      </c>
      <c r="AQ551" t="e">
        <f t="shared" ca="1" si="286"/>
        <v>#VALUE!</v>
      </c>
      <c r="AR551" t="e">
        <f t="shared" ca="1" si="287"/>
        <v>#VALUE!</v>
      </c>
      <c r="AS551" t="e">
        <f t="shared" ca="1" si="288"/>
        <v>#VALUE!</v>
      </c>
    </row>
    <row r="552" spans="1:45" x14ac:dyDescent="0.35">
      <c r="A552">
        <v>403</v>
      </c>
      <c r="B552">
        <v>401.89600000000002</v>
      </c>
      <c r="C552">
        <v>616250.84600000002</v>
      </c>
      <c r="D552">
        <v>3097563.0129999998</v>
      </c>
      <c r="E552">
        <v>632.36099999999999</v>
      </c>
      <c r="F552">
        <v>5.2</v>
      </c>
      <c r="G552">
        <v>0</v>
      </c>
      <c r="H552" t="s">
        <v>191</v>
      </c>
      <c r="I552">
        <v>2.7E-2</v>
      </c>
      <c r="J552">
        <f t="shared" si="289"/>
        <v>1.0010000000000332</v>
      </c>
      <c r="K552">
        <f t="shared" si="290"/>
        <v>51</v>
      </c>
      <c r="L552" t="e">
        <f t="shared" ca="1" si="291"/>
        <v>#VALUE!</v>
      </c>
      <c r="M552" t="e">
        <f t="shared" ca="1" si="264"/>
        <v>#VALUE!</v>
      </c>
      <c r="N552" t="e">
        <f t="shared" ca="1" si="265"/>
        <v>#VALUE!</v>
      </c>
      <c r="O552" t="e">
        <f t="shared" ca="1" si="266"/>
        <v>#VALUE!</v>
      </c>
      <c r="P552" t="e">
        <f t="shared" ca="1" si="267"/>
        <v>#VALUE!</v>
      </c>
      <c r="Q552" t="e">
        <f t="shared" ca="1" si="268"/>
        <v>#VALUE!</v>
      </c>
      <c r="R552" t="e">
        <f t="shared" ca="1" si="269"/>
        <v>#VALUE!</v>
      </c>
      <c r="S552" t="e">
        <f t="shared" ca="1" si="270"/>
        <v>#VALUE!</v>
      </c>
      <c r="T552" t="e">
        <f t="shared" ca="1" si="271"/>
        <v>#VALUE!</v>
      </c>
      <c r="U552" t="e">
        <f t="shared" ca="1" si="292"/>
        <v>#VALUE!</v>
      </c>
      <c r="V552" t="e">
        <f t="shared" ca="1" si="293"/>
        <v>#VALUE!</v>
      </c>
      <c r="W552" t="e">
        <f t="shared" ca="1" si="272"/>
        <v>#VALUE!</v>
      </c>
      <c r="X552" t="e">
        <f t="shared" ca="1" si="273"/>
        <v>#VALUE!</v>
      </c>
      <c r="Y552" t="e">
        <f t="shared" ca="1" si="274"/>
        <v>#VALUE!</v>
      </c>
      <c r="Z552" t="e">
        <f t="shared" ca="1" si="275"/>
        <v>#VALUE!</v>
      </c>
      <c r="AA552" t="e">
        <f t="shared" ca="1" si="276"/>
        <v>#VALUE!</v>
      </c>
      <c r="AB552" t="e">
        <f t="shared" ca="1" si="277"/>
        <v>#VALUE!</v>
      </c>
      <c r="AC552" t="e">
        <f t="shared" ca="1" si="278"/>
        <v>#VALUE!</v>
      </c>
      <c r="AD552" t="e">
        <f t="shared" ca="1" si="279"/>
        <v>#VALUE!</v>
      </c>
      <c r="AE552" t="e">
        <f t="shared" ca="1" si="280"/>
        <v>#VALUE!</v>
      </c>
      <c r="AF552" t="e">
        <f t="shared" ca="1" si="281"/>
        <v>#VALUE!</v>
      </c>
      <c r="AG552" t="e">
        <f t="shared" ca="1" si="282"/>
        <v>#VALUE!</v>
      </c>
      <c r="AH552" t="e">
        <f ca="1">IF(V32="Supercritical",L552,IF(V32="Subcritical",W552,IF(AND(V552=1,AG552=1),IF(T552&gt;=AE552,L552,W552),IF(V552=1,L552,IF(AG552=1,W552,MAX($D$16,POWER((ABS(K552)^2)/($I$5*MAX(F552,0.1)^2),1/3)))))))</f>
        <v>#VALUE!</v>
      </c>
      <c r="AI552" t="e">
        <f t="shared" ca="1" si="283"/>
        <v>#VALUE!</v>
      </c>
      <c r="AJ552" t="e">
        <f t="shared" ca="1" si="284"/>
        <v>#VALUE!</v>
      </c>
      <c r="AM552">
        <v>0</v>
      </c>
      <c r="AN552">
        <v>0</v>
      </c>
      <c r="AO552">
        <f t="shared" si="285"/>
        <v>0</v>
      </c>
      <c r="AP552">
        <f t="shared" si="294"/>
        <v>0</v>
      </c>
      <c r="AQ552" t="e">
        <f t="shared" ca="1" si="286"/>
        <v>#VALUE!</v>
      </c>
      <c r="AR552" t="e">
        <f t="shared" ca="1" si="287"/>
        <v>#VALUE!</v>
      </c>
      <c r="AS552" t="e">
        <f t="shared" ca="1" si="288"/>
        <v>#VALUE!</v>
      </c>
    </row>
    <row r="553" spans="1:45" x14ac:dyDescent="0.35">
      <c r="A553">
        <v>404</v>
      </c>
      <c r="B553">
        <v>402.89499999999998</v>
      </c>
      <c r="C553">
        <v>616250.37199999997</v>
      </c>
      <c r="D553">
        <v>3097562.1329999999</v>
      </c>
      <c r="E553">
        <v>632.3605</v>
      </c>
      <c r="F553">
        <v>5.2</v>
      </c>
      <c r="G553">
        <v>0</v>
      </c>
      <c r="H553" t="s">
        <v>191</v>
      </c>
      <c r="I553">
        <v>0.05</v>
      </c>
      <c r="J553">
        <f t="shared" si="289"/>
        <v>0.9989999999999668</v>
      </c>
      <c r="K553">
        <f t="shared" si="290"/>
        <v>51</v>
      </c>
      <c r="L553" t="e">
        <f t="shared" ca="1" si="291"/>
        <v>#VALUE!</v>
      </c>
      <c r="M553" t="e">
        <f t="shared" ca="1" si="264"/>
        <v>#VALUE!</v>
      </c>
      <c r="N553" t="e">
        <f t="shared" ca="1" si="265"/>
        <v>#VALUE!</v>
      </c>
      <c r="O553" t="e">
        <f t="shared" ca="1" si="266"/>
        <v>#VALUE!</v>
      </c>
      <c r="P553" t="e">
        <f t="shared" ca="1" si="267"/>
        <v>#VALUE!</v>
      </c>
      <c r="Q553" t="e">
        <f t="shared" ca="1" si="268"/>
        <v>#VALUE!</v>
      </c>
      <c r="R553" t="e">
        <f t="shared" ca="1" si="269"/>
        <v>#VALUE!</v>
      </c>
      <c r="S553" t="e">
        <f t="shared" ca="1" si="270"/>
        <v>#VALUE!</v>
      </c>
      <c r="T553" t="e">
        <f t="shared" ca="1" si="271"/>
        <v>#VALUE!</v>
      </c>
      <c r="U553" t="e">
        <f t="shared" ca="1" si="292"/>
        <v>#VALUE!</v>
      </c>
      <c r="V553" t="e">
        <f t="shared" ca="1" si="293"/>
        <v>#VALUE!</v>
      </c>
      <c r="W553" t="e">
        <f t="shared" ca="1" si="272"/>
        <v>#VALUE!</v>
      </c>
      <c r="X553" t="e">
        <f t="shared" ca="1" si="273"/>
        <v>#VALUE!</v>
      </c>
      <c r="Y553" t="e">
        <f t="shared" ca="1" si="274"/>
        <v>#VALUE!</v>
      </c>
      <c r="Z553" t="e">
        <f t="shared" ca="1" si="275"/>
        <v>#VALUE!</v>
      </c>
      <c r="AA553" t="e">
        <f t="shared" ca="1" si="276"/>
        <v>#VALUE!</v>
      </c>
      <c r="AB553" t="e">
        <f t="shared" ca="1" si="277"/>
        <v>#VALUE!</v>
      </c>
      <c r="AC553" t="e">
        <f t="shared" ca="1" si="278"/>
        <v>#VALUE!</v>
      </c>
      <c r="AD553" t="e">
        <f t="shared" ca="1" si="279"/>
        <v>#VALUE!</v>
      </c>
      <c r="AE553" t="e">
        <f t="shared" ca="1" si="280"/>
        <v>#VALUE!</v>
      </c>
      <c r="AF553" t="e">
        <f t="shared" ca="1" si="281"/>
        <v>#VALUE!</v>
      </c>
      <c r="AG553" t="e">
        <f t="shared" ca="1" si="282"/>
        <v>#VALUE!</v>
      </c>
      <c r="AH553" t="e">
        <f ca="1">IF(V32="Supercritical",L553,IF(V32="Subcritical",W553,IF(AND(V553=1,AG553=1),IF(T553&gt;=AE553,L553,W553),IF(V553=1,L553,IF(AG553=1,W553,MAX($D$16,POWER((ABS(K553)^2)/($I$5*MAX(F553,0.1)^2),1/3)))))))</f>
        <v>#VALUE!</v>
      </c>
      <c r="AI553" t="e">
        <f t="shared" ca="1" si="283"/>
        <v>#VALUE!</v>
      </c>
      <c r="AJ553" t="e">
        <f t="shared" ca="1" si="284"/>
        <v>#VALUE!</v>
      </c>
      <c r="AM553">
        <v>0</v>
      </c>
      <c r="AN553">
        <v>0</v>
      </c>
      <c r="AO553">
        <f t="shared" si="285"/>
        <v>0</v>
      </c>
      <c r="AP553">
        <f t="shared" si="294"/>
        <v>0</v>
      </c>
      <c r="AQ553" t="e">
        <f t="shared" ca="1" si="286"/>
        <v>#VALUE!</v>
      </c>
      <c r="AR553" t="e">
        <f t="shared" ca="1" si="287"/>
        <v>#VALUE!</v>
      </c>
      <c r="AS553" t="e">
        <f t="shared" ca="1" si="288"/>
        <v>#VALUE!</v>
      </c>
    </row>
    <row r="554" spans="1:45" x14ac:dyDescent="0.35">
      <c r="A554">
        <v>405</v>
      </c>
      <c r="B554">
        <v>403.89499999999998</v>
      </c>
      <c r="C554">
        <v>616249.897</v>
      </c>
      <c r="D554">
        <v>3097561.253</v>
      </c>
      <c r="E554">
        <v>632.36</v>
      </c>
      <c r="F554">
        <v>5.2</v>
      </c>
      <c r="G554">
        <v>0</v>
      </c>
      <c r="H554" t="s">
        <v>191</v>
      </c>
      <c r="I554">
        <v>7.8E-2</v>
      </c>
      <c r="J554">
        <f t="shared" si="289"/>
        <v>1</v>
      </c>
      <c r="K554">
        <f t="shared" si="290"/>
        <v>51</v>
      </c>
      <c r="L554" t="e">
        <f t="shared" ca="1" si="291"/>
        <v>#VALUE!</v>
      </c>
      <c r="M554" t="e">
        <f t="shared" ca="1" si="264"/>
        <v>#VALUE!</v>
      </c>
      <c r="N554" t="e">
        <f t="shared" ca="1" si="265"/>
        <v>#VALUE!</v>
      </c>
      <c r="O554" t="e">
        <f t="shared" ca="1" si="266"/>
        <v>#VALUE!</v>
      </c>
      <c r="P554" t="e">
        <f t="shared" ca="1" si="267"/>
        <v>#VALUE!</v>
      </c>
      <c r="Q554" t="e">
        <f t="shared" ca="1" si="268"/>
        <v>#VALUE!</v>
      </c>
      <c r="R554" t="e">
        <f t="shared" ca="1" si="269"/>
        <v>#VALUE!</v>
      </c>
      <c r="S554" t="e">
        <f t="shared" ca="1" si="270"/>
        <v>#VALUE!</v>
      </c>
      <c r="T554" t="e">
        <f t="shared" ca="1" si="271"/>
        <v>#VALUE!</v>
      </c>
      <c r="U554" t="e">
        <f t="shared" ca="1" si="292"/>
        <v>#VALUE!</v>
      </c>
      <c r="V554" t="e">
        <f t="shared" ca="1" si="293"/>
        <v>#VALUE!</v>
      </c>
      <c r="W554" t="e">
        <f t="shared" ca="1" si="272"/>
        <v>#VALUE!</v>
      </c>
      <c r="X554" t="e">
        <f t="shared" ca="1" si="273"/>
        <v>#VALUE!</v>
      </c>
      <c r="Y554" t="e">
        <f t="shared" ca="1" si="274"/>
        <v>#VALUE!</v>
      </c>
      <c r="Z554" t="e">
        <f t="shared" ca="1" si="275"/>
        <v>#VALUE!</v>
      </c>
      <c r="AA554" t="e">
        <f t="shared" ca="1" si="276"/>
        <v>#VALUE!</v>
      </c>
      <c r="AB554" t="e">
        <f t="shared" ca="1" si="277"/>
        <v>#VALUE!</v>
      </c>
      <c r="AC554" t="e">
        <f t="shared" ca="1" si="278"/>
        <v>#VALUE!</v>
      </c>
      <c r="AD554" t="e">
        <f t="shared" ca="1" si="279"/>
        <v>#VALUE!</v>
      </c>
      <c r="AE554" t="e">
        <f t="shared" ca="1" si="280"/>
        <v>#VALUE!</v>
      </c>
      <c r="AF554" t="e">
        <f t="shared" ca="1" si="281"/>
        <v>#VALUE!</v>
      </c>
      <c r="AG554" t="e">
        <f t="shared" ca="1" si="282"/>
        <v>#VALUE!</v>
      </c>
      <c r="AH554" t="e">
        <f ca="1">IF(V32="Supercritical",L554,IF(V32="Subcritical",W554,IF(AND(V554=1,AG554=1),IF(T554&gt;=AE554,L554,W554),IF(V554=1,L554,IF(AG554=1,W554,MAX($D$16,POWER((ABS(K554)^2)/($I$5*MAX(F554,0.1)^2),1/3)))))))</f>
        <v>#VALUE!</v>
      </c>
      <c r="AI554" t="e">
        <f t="shared" ca="1" si="283"/>
        <v>#VALUE!</v>
      </c>
      <c r="AJ554" t="e">
        <f t="shared" ca="1" si="284"/>
        <v>#VALUE!</v>
      </c>
      <c r="AM554">
        <v>0</v>
      </c>
      <c r="AN554">
        <v>0</v>
      </c>
      <c r="AO554">
        <f t="shared" si="285"/>
        <v>0</v>
      </c>
      <c r="AP554">
        <f t="shared" si="294"/>
        <v>0</v>
      </c>
      <c r="AQ554" t="e">
        <f t="shared" ca="1" si="286"/>
        <v>#VALUE!</v>
      </c>
      <c r="AR554" t="e">
        <f t="shared" ca="1" si="287"/>
        <v>#VALUE!</v>
      </c>
      <c r="AS554" t="e">
        <f t="shared" ca="1" si="288"/>
        <v>#VALUE!</v>
      </c>
    </row>
    <row r="555" spans="1:45" x14ac:dyDescent="0.35">
      <c r="A555">
        <v>406</v>
      </c>
      <c r="B555">
        <v>404.89600000000002</v>
      </c>
      <c r="C555">
        <v>616249.42299999995</v>
      </c>
      <c r="D555">
        <v>3097560.372</v>
      </c>
      <c r="E555">
        <v>632.35950000000003</v>
      </c>
      <c r="F555">
        <v>5.2</v>
      </c>
      <c r="G555">
        <v>0</v>
      </c>
      <c r="H555" t="s">
        <v>191</v>
      </c>
      <c r="I555">
        <v>2.7E-2</v>
      </c>
      <c r="J555">
        <f t="shared" si="289"/>
        <v>1.0010000000000332</v>
      </c>
      <c r="K555">
        <f t="shared" si="290"/>
        <v>51</v>
      </c>
      <c r="L555" t="e">
        <f t="shared" ca="1" si="291"/>
        <v>#VALUE!</v>
      </c>
      <c r="M555" t="e">
        <f t="shared" ca="1" si="264"/>
        <v>#VALUE!</v>
      </c>
      <c r="N555" t="e">
        <f t="shared" ca="1" si="265"/>
        <v>#VALUE!</v>
      </c>
      <c r="O555" t="e">
        <f t="shared" ca="1" si="266"/>
        <v>#VALUE!</v>
      </c>
      <c r="P555" t="e">
        <f t="shared" ca="1" si="267"/>
        <v>#VALUE!</v>
      </c>
      <c r="Q555" t="e">
        <f t="shared" ca="1" si="268"/>
        <v>#VALUE!</v>
      </c>
      <c r="R555" t="e">
        <f t="shared" ca="1" si="269"/>
        <v>#VALUE!</v>
      </c>
      <c r="S555" t="e">
        <f t="shared" ca="1" si="270"/>
        <v>#VALUE!</v>
      </c>
      <c r="T555" t="e">
        <f t="shared" ca="1" si="271"/>
        <v>#VALUE!</v>
      </c>
      <c r="U555" t="e">
        <f t="shared" ca="1" si="292"/>
        <v>#VALUE!</v>
      </c>
      <c r="V555" t="e">
        <f t="shared" ca="1" si="293"/>
        <v>#VALUE!</v>
      </c>
      <c r="W555" t="e">
        <f t="shared" ca="1" si="272"/>
        <v>#VALUE!</v>
      </c>
      <c r="X555" t="e">
        <f t="shared" ca="1" si="273"/>
        <v>#VALUE!</v>
      </c>
      <c r="Y555" t="e">
        <f t="shared" ca="1" si="274"/>
        <v>#VALUE!</v>
      </c>
      <c r="Z555" t="e">
        <f t="shared" ca="1" si="275"/>
        <v>#VALUE!</v>
      </c>
      <c r="AA555" t="e">
        <f t="shared" ca="1" si="276"/>
        <v>#VALUE!</v>
      </c>
      <c r="AB555" t="e">
        <f t="shared" ca="1" si="277"/>
        <v>#VALUE!</v>
      </c>
      <c r="AC555" t="e">
        <f t="shared" ca="1" si="278"/>
        <v>#VALUE!</v>
      </c>
      <c r="AD555" t="e">
        <f t="shared" ca="1" si="279"/>
        <v>#VALUE!</v>
      </c>
      <c r="AE555" t="e">
        <f t="shared" ca="1" si="280"/>
        <v>#VALUE!</v>
      </c>
      <c r="AF555" t="e">
        <f t="shared" ca="1" si="281"/>
        <v>#VALUE!</v>
      </c>
      <c r="AG555" t="e">
        <f t="shared" ca="1" si="282"/>
        <v>#VALUE!</v>
      </c>
      <c r="AH555" t="e">
        <f ca="1">IF(V32="Supercritical",L555,IF(V32="Subcritical",W555,IF(AND(V555=1,AG555=1),IF(T555&gt;=AE555,L555,W555),IF(V555=1,L555,IF(AG555=1,W555,MAX($D$16,POWER((ABS(K555)^2)/($I$5*MAX(F555,0.1)^2),1/3)))))))</f>
        <v>#VALUE!</v>
      </c>
      <c r="AI555" t="e">
        <f t="shared" ca="1" si="283"/>
        <v>#VALUE!</v>
      </c>
      <c r="AJ555" t="e">
        <f t="shared" ca="1" si="284"/>
        <v>#VALUE!</v>
      </c>
      <c r="AM555">
        <v>0</v>
      </c>
      <c r="AN555">
        <v>0</v>
      </c>
      <c r="AO555">
        <f t="shared" si="285"/>
        <v>0</v>
      </c>
      <c r="AP555">
        <f t="shared" si="294"/>
        <v>0</v>
      </c>
      <c r="AQ555" t="e">
        <f t="shared" ca="1" si="286"/>
        <v>#VALUE!</v>
      </c>
      <c r="AR555" t="e">
        <f t="shared" ca="1" si="287"/>
        <v>#VALUE!</v>
      </c>
      <c r="AS555" t="e">
        <f t="shared" ca="1" si="288"/>
        <v>#VALUE!</v>
      </c>
    </row>
    <row r="556" spans="1:45" x14ac:dyDescent="0.35">
      <c r="A556">
        <v>407</v>
      </c>
      <c r="B556">
        <v>405.89499999999998</v>
      </c>
      <c r="C556">
        <v>616248.94900000002</v>
      </c>
      <c r="D556">
        <v>3097559.4920000001</v>
      </c>
      <c r="E556">
        <v>632.35900000000004</v>
      </c>
      <c r="F556">
        <v>5.2</v>
      </c>
      <c r="G556">
        <v>0</v>
      </c>
      <c r="H556" t="s">
        <v>191</v>
      </c>
      <c r="I556">
        <v>2.7E-2</v>
      </c>
      <c r="J556">
        <f t="shared" si="289"/>
        <v>0.9989999999999668</v>
      </c>
      <c r="K556">
        <f t="shared" si="290"/>
        <v>51</v>
      </c>
      <c r="L556" t="e">
        <f t="shared" ca="1" si="291"/>
        <v>#VALUE!</v>
      </c>
      <c r="M556" t="e">
        <f t="shared" ca="1" si="264"/>
        <v>#VALUE!</v>
      </c>
      <c r="N556" t="e">
        <f t="shared" ca="1" si="265"/>
        <v>#VALUE!</v>
      </c>
      <c r="O556" t="e">
        <f t="shared" ca="1" si="266"/>
        <v>#VALUE!</v>
      </c>
      <c r="P556" t="e">
        <f t="shared" ca="1" si="267"/>
        <v>#VALUE!</v>
      </c>
      <c r="Q556" t="e">
        <f t="shared" ca="1" si="268"/>
        <v>#VALUE!</v>
      </c>
      <c r="R556" t="e">
        <f t="shared" ca="1" si="269"/>
        <v>#VALUE!</v>
      </c>
      <c r="S556" t="e">
        <f t="shared" ca="1" si="270"/>
        <v>#VALUE!</v>
      </c>
      <c r="T556" t="e">
        <f t="shared" ca="1" si="271"/>
        <v>#VALUE!</v>
      </c>
      <c r="U556" t="e">
        <f t="shared" ca="1" si="292"/>
        <v>#VALUE!</v>
      </c>
      <c r="V556" t="e">
        <f t="shared" ca="1" si="293"/>
        <v>#VALUE!</v>
      </c>
      <c r="W556" t="e">
        <f t="shared" ca="1" si="272"/>
        <v>#VALUE!</v>
      </c>
      <c r="X556" t="e">
        <f t="shared" ca="1" si="273"/>
        <v>#VALUE!</v>
      </c>
      <c r="Y556" t="e">
        <f t="shared" ca="1" si="274"/>
        <v>#VALUE!</v>
      </c>
      <c r="Z556" t="e">
        <f t="shared" ca="1" si="275"/>
        <v>#VALUE!</v>
      </c>
      <c r="AA556" t="e">
        <f t="shared" ca="1" si="276"/>
        <v>#VALUE!</v>
      </c>
      <c r="AB556" t="e">
        <f t="shared" ca="1" si="277"/>
        <v>#VALUE!</v>
      </c>
      <c r="AC556" t="e">
        <f t="shared" ca="1" si="278"/>
        <v>#VALUE!</v>
      </c>
      <c r="AD556" t="e">
        <f t="shared" ca="1" si="279"/>
        <v>#VALUE!</v>
      </c>
      <c r="AE556" t="e">
        <f t="shared" ca="1" si="280"/>
        <v>#VALUE!</v>
      </c>
      <c r="AF556" t="e">
        <f t="shared" ca="1" si="281"/>
        <v>#VALUE!</v>
      </c>
      <c r="AG556" t="e">
        <f t="shared" ca="1" si="282"/>
        <v>#VALUE!</v>
      </c>
      <c r="AH556" t="e">
        <f ca="1">IF(V32="Supercritical",L556,IF(V32="Subcritical",W556,IF(AND(V556=1,AG556=1),IF(T556&gt;=AE556,L556,W556),IF(V556=1,L556,IF(AG556=1,W556,MAX($D$16,POWER((ABS(K556)^2)/($I$5*MAX(F556,0.1)^2),1/3)))))))</f>
        <v>#VALUE!</v>
      </c>
      <c r="AI556" t="e">
        <f t="shared" ca="1" si="283"/>
        <v>#VALUE!</v>
      </c>
      <c r="AJ556" t="e">
        <f t="shared" ca="1" si="284"/>
        <v>#VALUE!</v>
      </c>
      <c r="AM556">
        <v>0</v>
      </c>
      <c r="AN556">
        <v>0</v>
      </c>
      <c r="AO556">
        <f t="shared" si="285"/>
        <v>0</v>
      </c>
      <c r="AP556">
        <f t="shared" si="294"/>
        <v>0</v>
      </c>
      <c r="AQ556" t="e">
        <f t="shared" ca="1" si="286"/>
        <v>#VALUE!</v>
      </c>
      <c r="AR556" t="e">
        <f t="shared" ca="1" si="287"/>
        <v>#VALUE!</v>
      </c>
      <c r="AS556" t="e">
        <f t="shared" ca="1" si="288"/>
        <v>#VALUE!</v>
      </c>
    </row>
    <row r="557" spans="1:45" x14ac:dyDescent="0.35">
      <c r="A557">
        <v>408</v>
      </c>
      <c r="B557">
        <v>406.89600000000002</v>
      </c>
      <c r="C557">
        <v>616248.47499999998</v>
      </c>
      <c r="D557">
        <v>3097558.611</v>
      </c>
      <c r="E557">
        <v>632.35850000000005</v>
      </c>
      <c r="F557">
        <v>5.2</v>
      </c>
      <c r="G557">
        <v>0</v>
      </c>
      <c r="H557" t="s">
        <v>191</v>
      </c>
      <c r="I557">
        <v>7.8E-2</v>
      </c>
      <c r="J557">
        <f t="shared" si="289"/>
        <v>1.0010000000000332</v>
      </c>
      <c r="K557">
        <f t="shared" si="290"/>
        <v>51</v>
      </c>
      <c r="L557" t="e">
        <f t="shared" ca="1" si="291"/>
        <v>#VALUE!</v>
      </c>
      <c r="M557" t="e">
        <f t="shared" ca="1" si="264"/>
        <v>#VALUE!</v>
      </c>
      <c r="N557" t="e">
        <f t="shared" ca="1" si="265"/>
        <v>#VALUE!</v>
      </c>
      <c r="O557" t="e">
        <f t="shared" ca="1" si="266"/>
        <v>#VALUE!</v>
      </c>
      <c r="P557" t="e">
        <f t="shared" ca="1" si="267"/>
        <v>#VALUE!</v>
      </c>
      <c r="Q557" t="e">
        <f t="shared" ca="1" si="268"/>
        <v>#VALUE!</v>
      </c>
      <c r="R557" t="e">
        <f t="shared" ca="1" si="269"/>
        <v>#VALUE!</v>
      </c>
      <c r="S557" t="e">
        <f t="shared" ca="1" si="270"/>
        <v>#VALUE!</v>
      </c>
      <c r="T557" t="e">
        <f t="shared" ca="1" si="271"/>
        <v>#VALUE!</v>
      </c>
      <c r="U557" t="e">
        <f t="shared" ca="1" si="292"/>
        <v>#VALUE!</v>
      </c>
      <c r="V557" t="e">
        <f t="shared" ca="1" si="293"/>
        <v>#VALUE!</v>
      </c>
      <c r="W557" t="e">
        <f t="shared" ca="1" si="272"/>
        <v>#VALUE!</v>
      </c>
      <c r="X557" t="e">
        <f t="shared" ca="1" si="273"/>
        <v>#VALUE!</v>
      </c>
      <c r="Y557" t="e">
        <f t="shared" ca="1" si="274"/>
        <v>#VALUE!</v>
      </c>
      <c r="Z557" t="e">
        <f t="shared" ca="1" si="275"/>
        <v>#VALUE!</v>
      </c>
      <c r="AA557" t="e">
        <f t="shared" ca="1" si="276"/>
        <v>#VALUE!</v>
      </c>
      <c r="AB557" t="e">
        <f t="shared" ca="1" si="277"/>
        <v>#VALUE!</v>
      </c>
      <c r="AC557" t="e">
        <f t="shared" ca="1" si="278"/>
        <v>#VALUE!</v>
      </c>
      <c r="AD557" t="e">
        <f t="shared" ca="1" si="279"/>
        <v>#VALUE!</v>
      </c>
      <c r="AE557" t="e">
        <f t="shared" ca="1" si="280"/>
        <v>#VALUE!</v>
      </c>
      <c r="AF557" t="e">
        <f t="shared" ca="1" si="281"/>
        <v>#VALUE!</v>
      </c>
      <c r="AG557" t="e">
        <f t="shared" ca="1" si="282"/>
        <v>#VALUE!</v>
      </c>
      <c r="AH557" t="e">
        <f ca="1">IF(V32="Supercritical",L557,IF(V32="Subcritical",W557,IF(AND(V557=1,AG557=1),IF(T557&gt;=AE557,L557,W557),IF(V557=1,L557,IF(AG557=1,W557,MAX($D$16,POWER((ABS(K557)^2)/($I$5*MAX(F557,0.1)^2),1/3)))))))</f>
        <v>#VALUE!</v>
      </c>
      <c r="AI557" t="e">
        <f t="shared" ca="1" si="283"/>
        <v>#VALUE!</v>
      </c>
      <c r="AJ557" t="e">
        <f t="shared" ca="1" si="284"/>
        <v>#VALUE!</v>
      </c>
      <c r="AM557">
        <v>0</v>
      </c>
      <c r="AN557">
        <v>0</v>
      </c>
      <c r="AO557">
        <f t="shared" si="285"/>
        <v>0</v>
      </c>
      <c r="AP557">
        <f t="shared" si="294"/>
        <v>0</v>
      </c>
      <c r="AQ557" t="e">
        <f t="shared" ca="1" si="286"/>
        <v>#VALUE!</v>
      </c>
      <c r="AR557" t="e">
        <f t="shared" ca="1" si="287"/>
        <v>#VALUE!</v>
      </c>
      <c r="AS557" t="e">
        <f t="shared" ca="1" si="288"/>
        <v>#VALUE!</v>
      </c>
    </row>
    <row r="558" spans="1:45" x14ac:dyDescent="0.35">
      <c r="A558">
        <v>409</v>
      </c>
      <c r="B558">
        <v>407.89600000000002</v>
      </c>
      <c r="C558">
        <v>616248</v>
      </c>
      <c r="D558">
        <v>3097557.7310000001</v>
      </c>
      <c r="E558">
        <v>632.35799999999995</v>
      </c>
      <c r="F558">
        <v>5.2</v>
      </c>
      <c r="G558">
        <v>0</v>
      </c>
      <c r="H558" t="s">
        <v>191</v>
      </c>
      <c r="I558">
        <v>0.05</v>
      </c>
      <c r="J558">
        <f t="shared" si="289"/>
        <v>1</v>
      </c>
      <c r="K558">
        <f t="shared" si="290"/>
        <v>51</v>
      </c>
      <c r="L558" t="e">
        <f t="shared" ca="1" si="291"/>
        <v>#VALUE!</v>
      </c>
      <c r="M558" t="e">
        <f t="shared" ca="1" si="264"/>
        <v>#VALUE!</v>
      </c>
      <c r="N558" t="e">
        <f t="shared" ca="1" si="265"/>
        <v>#VALUE!</v>
      </c>
      <c r="O558" t="e">
        <f t="shared" ca="1" si="266"/>
        <v>#VALUE!</v>
      </c>
      <c r="P558" t="e">
        <f t="shared" ca="1" si="267"/>
        <v>#VALUE!</v>
      </c>
      <c r="Q558" t="e">
        <f t="shared" ca="1" si="268"/>
        <v>#VALUE!</v>
      </c>
      <c r="R558" t="e">
        <f t="shared" ca="1" si="269"/>
        <v>#VALUE!</v>
      </c>
      <c r="S558" t="e">
        <f t="shared" ca="1" si="270"/>
        <v>#VALUE!</v>
      </c>
      <c r="T558" t="e">
        <f t="shared" ca="1" si="271"/>
        <v>#VALUE!</v>
      </c>
      <c r="U558" t="e">
        <f t="shared" ca="1" si="292"/>
        <v>#VALUE!</v>
      </c>
      <c r="V558" t="e">
        <f t="shared" ca="1" si="293"/>
        <v>#VALUE!</v>
      </c>
      <c r="W558" t="e">
        <f t="shared" ca="1" si="272"/>
        <v>#VALUE!</v>
      </c>
      <c r="X558" t="e">
        <f t="shared" ca="1" si="273"/>
        <v>#VALUE!</v>
      </c>
      <c r="Y558" t="e">
        <f t="shared" ca="1" si="274"/>
        <v>#VALUE!</v>
      </c>
      <c r="Z558" t="e">
        <f t="shared" ca="1" si="275"/>
        <v>#VALUE!</v>
      </c>
      <c r="AA558" t="e">
        <f t="shared" ca="1" si="276"/>
        <v>#VALUE!</v>
      </c>
      <c r="AB558" t="e">
        <f t="shared" ca="1" si="277"/>
        <v>#VALUE!</v>
      </c>
      <c r="AC558" t="e">
        <f t="shared" ca="1" si="278"/>
        <v>#VALUE!</v>
      </c>
      <c r="AD558" t="e">
        <f t="shared" ca="1" si="279"/>
        <v>#VALUE!</v>
      </c>
      <c r="AE558" t="e">
        <f t="shared" ca="1" si="280"/>
        <v>#VALUE!</v>
      </c>
      <c r="AF558" t="e">
        <f t="shared" ca="1" si="281"/>
        <v>#VALUE!</v>
      </c>
      <c r="AG558" t="e">
        <f t="shared" ca="1" si="282"/>
        <v>#VALUE!</v>
      </c>
      <c r="AH558" t="e">
        <f ca="1">IF(V32="Supercritical",L558,IF(V32="Subcritical",W558,IF(AND(V558=1,AG558=1),IF(T558&gt;=AE558,L558,W558),IF(V558=1,L558,IF(AG558=1,W558,MAX($D$16,POWER((ABS(K558)^2)/($I$5*MAX(F558,0.1)^2),1/3)))))))</f>
        <v>#VALUE!</v>
      </c>
      <c r="AI558" t="e">
        <f t="shared" ca="1" si="283"/>
        <v>#VALUE!</v>
      </c>
      <c r="AJ558" t="e">
        <f t="shared" ca="1" si="284"/>
        <v>#VALUE!</v>
      </c>
      <c r="AM558">
        <v>0</v>
      </c>
      <c r="AN558">
        <v>0</v>
      </c>
      <c r="AO558">
        <f t="shared" si="285"/>
        <v>0</v>
      </c>
      <c r="AP558">
        <f t="shared" si="294"/>
        <v>0</v>
      </c>
      <c r="AQ558" t="e">
        <f t="shared" ca="1" si="286"/>
        <v>#VALUE!</v>
      </c>
      <c r="AR558" t="e">
        <f t="shared" ca="1" si="287"/>
        <v>#VALUE!</v>
      </c>
      <c r="AS558" t="e">
        <f t="shared" ca="1" si="288"/>
        <v>#VALUE!</v>
      </c>
    </row>
    <row r="559" spans="1:45" x14ac:dyDescent="0.35">
      <c r="A559">
        <v>410</v>
      </c>
      <c r="B559">
        <v>408.89499999999998</v>
      </c>
      <c r="C559">
        <v>616247.52599999995</v>
      </c>
      <c r="D559">
        <v>3097556.8509999998</v>
      </c>
      <c r="E559">
        <v>632.35749999999996</v>
      </c>
      <c r="F559">
        <v>5.2</v>
      </c>
      <c r="G559">
        <v>0</v>
      </c>
      <c r="H559" t="s">
        <v>191</v>
      </c>
      <c r="I559">
        <v>2.7E-2</v>
      </c>
      <c r="J559">
        <f t="shared" si="289"/>
        <v>0.9989999999999668</v>
      </c>
      <c r="K559">
        <f t="shared" si="290"/>
        <v>51</v>
      </c>
      <c r="L559" t="e">
        <f t="shared" ca="1" si="291"/>
        <v>#VALUE!</v>
      </c>
      <c r="M559" t="e">
        <f t="shared" ca="1" si="264"/>
        <v>#VALUE!</v>
      </c>
      <c r="N559" t="e">
        <f t="shared" ca="1" si="265"/>
        <v>#VALUE!</v>
      </c>
      <c r="O559" t="e">
        <f t="shared" ca="1" si="266"/>
        <v>#VALUE!</v>
      </c>
      <c r="P559" t="e">
        <f t="shared" ca="1" si="267"/>
        <v>#VALUE!</v>
      </c>
      <c r="Q559" t="e">
        <f t="shared" ca="1" si="268"/>
        <v>#VALUE!</v>
      </c>
      <c r="R559" t="e">
        <f t="shared" ca="1" si="269"/>
        <v>#VALUE!</v>
      </c>
      <c r="S559" t="e">
        <f t="shared" ca="1" si="270"/>
        <v>#VALUE!</v>
      </c>
      <c r="T559" t="e">
        <f t="shared" ca="1" si="271"/>
        <v>#VALUE!</v>
      </c>
      <c r="U559" t="e">
        <f t="shared" ca="1" si="292"/>
        <v>#VALUE!</v>
      </c>
      <c r="V559" t="e">
        <f t="shared" ca="1" si="293"/>
        <v>#VALUE!</v>
      </c>
      <c r="W559" t="e">
        <f t="shared" ca="1" si="272"/>
        <v>#VALUE!</v>
      </c>
      <c r="X559" t="e">
        <f t="shared" ca="1" si="273"/>
        <v>#VALUE!</v>
      </c>
      <c r="Y559" t="e">
        <f t="shared" ca="1" si="274"/>
        <v>#VALUE!</v>
      </c>
      <c r="Z559" t="e">
        <f t="shared" ca="1" si="275"/>
        <v>#VALUE!</v>
      </c>
      <c r="AA559" t="e">
        <f t="shared" ca="1" si="276"/>
        <v>#VALUE!</v>
      </c>
      <c r="AB559" t="e">
        <f t="shared" ca="1" si="277"/>
        <v>#VALUE!</v>
      </c>
      <c r="AC559" t="e">
        <f t="shared" ca="1" si="278"/>
        <v>#VALUE!</v>
      </c>
      <c r="AD559" t="e">
        <f t="shared" ca="1" si="279"/>
        <v>#VALUE!</v>
      </c>
      <c r="AE559" t="e">
        <f t="shared" ca="1" si="280"/>
        <v>#VALUE!</v>
      </c>
      <c r="AF559" t="e">
        <f t="shared" ca="1" si="281"/>
        <v>#VALUE!</v>
      </c>
      <c r="AG559" t="e">
        <f t="shared" ca="1" si="282"/>
        <v>#VALUE!</v>
      </c>
      <c r="AH559" t="e">
        <f ca="1">IF(V32="Supercritical",L559,IF(V32="Subcritical",W559,IF(AND(V559=1,AG559=1),IF(T559&gt;=AE559,L559,W559),IF(V559=1,L559,IF(AG559=1,W559,MAX($D$16,POWER((ABS(K559)^2)/($I$5*MAX(F559,0.1)^2),1/3)))))))</f>
        <v>#VALUE!</v>
      </c>
      <c r="AI559" t="e">
        <f t="shared" ca="1" si="283"/>
        <v>#VALUE!</v>
      </c>
      <c r="AJ559" t="e">
        <f t="shared" ca="1" si="284"/>
        <v>#VALUE!</v>
      </c>
      <c r="AM559">
        <v>0</v>
      </c>
      <c r="AN559">
        <v>0</v>
      </c>
      <c r="AO559">
        <f t="shared" si="285"/>
        <v>0</v>
      </c>
      <c r="AP559">
        <f t="shared" si="294"/>
        <v>0</v>
      </c>
      <c r="AQ559" t="e">
        <f t="shared" ca="1" si="286"/>
        <v>#VALUE!</v>
      </c>
      <c r="AR559" t="e">
        <f t="shared" ca="1" si="287"/>
        <v>#VALUE!</v>
      </c>
      <c r="AS559" t="e">
        <f t="shared" ca="1" si="288"/>
        <v>#VALUE!</v>
      </c>
    </row>
    <row r="560" spans="1:45" x14ac:dyDescent="0.35">
      <c r="A560">
        <v>411</v>
      </c>
      <c r="B560">
        <v>409.89499999999998</v>
      </c>
      <c r="C560">
        <v>616247.05200000003</v>
      </c>
      <c r="D560">
        <v>3097555.97</v>
      </c>
      <c r="E560">
        <v>632.35699999999997</v>
      </c>
      <c r="F560">
        <v>5.2</v>
      </c>
      <c r="G560">
        <v>0</v>
      </c>
      <c r="H560" t="s">
        <v>191</v>
      </c>
      <c r="I560">
        <v>2.7E-2</v>
      </c>
      <c r="J560">
        <f t="shared" si="289"/>
        <v>1</v>
      </c>
      <c r="K560">
        <f t="shared" si="290"/>
        <v>51</v>
      </c>
      <c r="L560" t="e">
        <f t="shared" ca="1" si="291"/>
        <v>#VALUE!</v>
      </c>
      <c r="M560" t="e">
        <f t="shared" ca="1" si="264"/>
        <v>#VALUE!</v>
      </c>
      <c r="N560" t="e">
        <f t="shared" ca="1" si="265"/>
        <v>#VALUE!</v>
      </c>
      <c r="O560" t="e">
        <f t="shared" ca="1" si="266"/>
        <v>#VALUE!</v>
      </c>
      <c r="P560" t="e">
        <f t="shared" ca="1" si="267"/>
        <v>#VALUE!</v>
      </c>
      <c r="Q560" t="e">
        <f t="shared" ca="1" si="268"/>
        <v>#VALUE!</v>
      </c>
      <c r="R560" t="e">
        <f t="shared" ca="1" si="269"/>
        <v>#VALUE!</v>
      </c>
      <c r="S560" t="e">
        <f t="shared" ca="1" si="270"/>
        <v>#VALUE!</v>
      </c>
      <c r="T560" t="e">
        <f t="shared" ca="1" si="271"/>
        <v>#VALUE!</v>
      </c>
      <c r="U560" t="e">
        <f t="shared" ca="1" si="292"/>
        <v>#VALUE!</v>
      </c>
      <c r="V560" t="e">
        <f t="shared" ca="1" si="293"/>
        <v>#VALUE!</v>
      </c>
      <c r="W560" t="e">
        <f t="shared" ca="1" si="272"/>
        <v>#VALUE!</v>
      </c>
      <c r="X560" t="e">
        <f t="shared" ca="1" si="273"/>
        <v>#VALUE!</v>
      </c>
      <c r="Y560" t="e">
        <f t="shared" ca="1" si="274"/>
        <v>#VALUE!</v>
      </c>
      <c r="Z560" t="e">
        <f t="shared" ca="1" si="275"/>
        <v>#VALUE!</v>
      </c>
      <c r="AA560" t="e">
        <f t="shared" ca="1" si="276"/>
        <v>#VALUE!</v>
      </c>
      <c r="AB560" t="e">
        <f t="shared" ca="1" si="277"/>
        <v>#VALUE!</v>
      </c>
      <c r="AC560" t="e">
        <f t="shared" ca="1" si="278"/>
        <v>#VALUE!</v>
      </c>
      <c r="AD560" t="e">
        <f t="shared" ca="1" si="279"/>
        <v>#VALUE!</v>
      </c>
      <c r="AE560" t="e">
        <f t="shared" ca="1" si="280"/>
        <v>#VALUE!</v>
      </c>
      <c r="AF560" t="e">
        <f t="shared" ca="1" si="281"/>
        <v>#VALUE!</v>
      </c>
      <c r="AG560" t="e">
        <f t="shared" ca="1" si="282"/>
        <v>#VALUE!</v>
      </c>
      <c r="AH560" t="e">
        <f ca="1">IF(V32="Supercritical",L560,IF(V32="Subcritical",W560,IF(AND(V560=1,AG560=1),IF(T560&gt;=AE560,L560,W560),IF(V560=1,L560,IF(AG560=1,W560,MAX($D$16,POWER((ABS(K560)^2)/($I$5*MAX(F560,0.1)^2),1/3)))))))</f>
        <v>#VALUE!</v>
      </c>
      <c r="AI560" t="e">
        <f t="shared" ca="1" si="283"/>
        <v>#VALUE!</v>
      </c>
      <c r="AJ560" t="e">
        <f t="shared" ca="1" si="284"/>
        <v>#VALUE!</v>
      </c>
      <c r="AM560">
        <v>0</v>
      </c>
      <c r="AN560">
        <v>0</v>
      </c>
      <c r="AO560">
        <f t="shared" si="285"/>
        <v>0</v>
      </c>
      <c r="AP560">
        <f t="shared" si="294"/>
        <v>0</v>
      </c>
      <c r="AQ560" t="e">
        <f t="shared" ca="1" si="286"/>
        <v>#VALUE!</v>
      </c>
      <c r="AR560" t="e">
        <f t="shared" ca="1" si="287"/>
        <v>#VALUE!</v>
      </c>
      <c r="AS560" t="e">
        <f t="shared" ca="1" si="288"/>
        <v>#VALUE!</v>
      </c>
    </row>
    <row r="561" spans="1:45" x14ac:dyDescent="0.35">
      <c r="A561">
        <v>412</v>
      </c>
      <c r="B561">
        <v>410.89499999999998</v>
      </c>
      <c r="C561">
        <v>616246.57799999998</v>
      </c>
      <c r="D561">
        <v>3097555.09</v>
      </c>
      <c r="E561">
        <v>632.35649999999998</v>
      </c>
      <c r="F561">
        <v>5.2</v>
      </c>
      <c r="G561">
        <v>0</v>
      </c>
      <c r="H561" t="s">
        <v>191</v>
      </c>
      <c r="I561">
        <v>2.3E-2</v>
      </c>
      <c r="J561">
        <f t="shared" si="289"/>
        <v>1</v>
      </c>
      <c r="K561">
        <f t="shared" si="290"/>
        <v>51</v>
      </c>
      <c r="L561" t="e">
        <f t="shared" ca="1" si="291"/>
        <v>#VALUE!</v>
      </c>
      <c r="M561" t="e">
        <f t="shared" ca="1" si="264"/>
        <v>#VALUE!</v>
      </c>
      <c r="N561" t="e">
        <f t="shared" ca="1" si="265"/>
        <v>#VALUE!</v>
      </c>
      <c r="O561" t="e">
        <f t="shared" ca="1" si="266"/>
        <v>#VALUE!</v>
      </c>
      <c r="P561" t="e">
        <f t="shared" ca="1" si="267"/>
        <v>#VALUE!</v>
      </c>
      <c r="Q561" t="e">
        <f t="shared" ca="1" si="268"/>
        <v>#VALUE!</v>
      </c>
      <c r="R561" t="e">
        <f t="shared" ca="1" si="269"/>
        <v>#VALUE!</v>
      </c>
      <c r="S561" t="e">
        <f t="shared" ca="1" si="270"/>
        <v>#VALUE!</v>
      </c>
      <c r="T561" t="e">
        <f t="shared" ca="1" si="271"/>
        <v>#VALUE!</v>
      </c>
      <c r="U561" t="e">
        <f t="shared" ca="1" si="292"/>
        <v>#VALUE!</v>
      </c>
      <c r="V561" t="e">
        <f t="shared" ca="1" si="293"/>
        <v>#VALUE!</v>
      </c>
      <c r="W561" t="e">
        <f t="shared" ca="1" si="272"/>
        <v>#VALUE!</v>
      </c>
      <c r="X561" t="e">
        <f t="shared" ca="1" si="273"/>
        <v>#VALUE!</v>
      </c>
      <c r="Y561" t="e">
        <f t="shared" ca="1" si="274"/>
        <v>#VALUE!</v>
      </c>
      <c r="Z561" t="e">
        <f t="shared" ca="1" si="275"/>
        <v>#VALUE!</v>
      </c>
      <c r="AA561" t="e">
        <f t="shared" ca="1" si="276"/>
        <v>#VALUE!</v>
      </c>
      <c r="AB561" t="e">
        <f t="shared" ca="1" si="277"/>
        <v>#VALUE!</v>
      </c>
      <c r="AC561" t="e">
        <f t="shared" ca="1" si="278"/>
        <v>#VALUE!</v>
      </c>
      <c r="AD561" t="e">
        <f t="shared" ca="1" si="279"/>
        <v>#VALUE!</v>
      </c>
      <c r="AE561" t="e">
        <f t="shared" ca="1" si="280"/>
        <v>#VALUE!</v>
      </c>
      <c r="AF561" t="e">
        <f t="shared" ca="1" si="281"/>
        <v>#VALUE!</v>
      </c>
      <c r="AG561" t="e">
        <f t="shared" ca="1" si="282"/>
        <v>#VALUE!</v>
      </c>
      <c r="AH561" t="e">
        <f ca="1">IF(V32="Supercritical",L561,IF(V32="Subcritical",W561,IF(AND(V561=1,AG561=1),IF(T561&gt;=AE561,L561,W561),IF(V561=1,L561,IF(AG561=1,W561,MAX($D$16,POWER((ABS(K561)^2)/($I$5*MAX(F561,0.1)^2),1/3)))))))</f>
        <v>#VALUE!</v>
      </c>
      <c r="AI561" t="e">
        <f t="shared" ca="1" si="283"/>
        <v>#VALUE!</v>
      </c>
      <c r="AJ561" t="e">
        <f t="shared" ca="1" si="284"/>
        <v>#VALUE!</v>
      </c>
      <c r="AM561">
        <v>0</v>
      </c>
      <c r="AN561">
        <v>0</v>
      </c>
      <c r="AO561">
        <f t="shared" si="285"/>
        <v>0</v>
      </c>
      <c r="AP561">
        <f t="shared" si="294"/>
        <v>0</v>
      </c>
      <c r="AQ561" t="e">
        <f t="shared" ca="1" si="286"/>
        <v>#VALUE!</v>
      </c>
      <c r="AR561" t="e">
        <f t="shared" ca="1" si="287"/>
        <v>#VALUE!</v>
      </c>
      <c r="AS561" t="e">
        <f t="shared" ca="1" si="288"/>
        <v>#VALUE!</v>
      </c>
    </row>
    <row r="562" spans="1:45" x14ac:dyDescent="0.35">
      <c r="A562">
        <v>413</v>
      </c>
      <c r="B562">
        <v>411.89600000000002</v>
      </c>
      <c r="C562">
        <v>616246.103</v>
      </c>
      <c r="D562">
        <v>3097554.2089999998</v>
      </c>
      <c r="E562">
        <v>632.35599999999999</v>
      </c>
      <c r="F562">
        <v>5.2</v>
      </c>
      <c r="G562">
        <v>0</v>
      </c>
      <c r="H562" t="s">
        <v>191</v>
      </c>
      <c r="I562">
        <v>2.3E-2</v>
      </c>
      <c r="J562">
        <f t="shared" si="289"/>
        <v>1.0010000000000332</v>
      </c>
      <c r="K562">
        <f t="shared" si="290"/>
        <v>51</v>
      </c>
      <c r="L562" t="e">
        <f t="shared" ca="1" si="291"/>
        <v>#VALUE!</v>
      </c>
      <c r="M562" t="e">
        <f t="shared" ca="1" si="264"/>
        <v>#VALUE!</v>
      </c>
      <c r="N562" t="e">
        <f t="shared" ca="1" si="265"/>
        <v>#VALUE!</v>
      </c>
      <c r="O562" t="e">
        <f t="shared" ca="1" si="266"/>
        <v>#VALUE!</v>
      </c>
      <c r="P562" t="e">
        <f t="shared" ca="1" si="267"/>
        <v>#VALUE!</v>
      </c>
      <c r="Q562" t="e">
        <f t="shared" ca="1" si="268"/>
        <v>#VALUE!</v>
      </c>
      <c r="R562" t="e">
        <f t="shared" ca="1" si="269"/>
        <v>#VALUE!</v>
      </c>
      <c r="S562" t="e">
        <f t="shared" ca="1" si="270"/>
        <v>#VALUE!</v>
      </c>
      <c r="T562" t="e">
        <f t="shared" ca="1" si="271"/>
        <v>#VALUE!</v>
      </c>
      <c r="U562" t="e">
        <f t="shared" ca="1" si="292"/>
        <v>#VALUE!</v>
      </c>
      <c r="V562" t="e">
        <f t="shared" ca="1" si="293"/>
        <v>#VALUE!</v>
      </c>
      <c r="W562" t="e">
        <f t="shared" ca="1" si="272"/>
        <v>#VALUE!</v>
      </c>
      <c r="X562" t="e">
        <f t="shared" ca="1" si="273"/>
        <v>#VALUE!</v>
      </c>
      <c r="Y562" t="e">
        <f t="shared" ca="1" si="274"/>
        <v>#VALUE!</v>
      </c>
      <c r="Z562" t="e">
        <f t="shared" ca="1" si="275"/>
        <v>#VALUE!</v>
      </c>
      <c r="AA562" t="e">
        <f t="shared" ca="1" si="276"/>
        <v>#VALUE!</v>
      </c>
      <c r="AB562" t="e">
        <f t="shared" ca="1" si="277"/>
        <v>#VALUE!</v>
      </c>
      <c r="AC562" t="e">
        <f t="shared" ca="1" si="278"/>
        <v>#VALUE!</v>
      </c>
      <c r="AD562" t="e">
        <f t="shared" ca="1" si="279"/>
        <v>#VALUE!</v>
      </c>
      <c r="AE562" t="e">
        <f t="shared" ca="1" si="280"/>
        <v>#VALUE!</v>
      </c>
      <c r="AF562" t="e">
        <f t="shared" ca="1" si="281"/>
        <v>#VALUE!</v>
      </c>
      <c r="AG562" t="e">
        <f t="shared" ca="1" si="282"/>
        <v>#VALUE!</v>
      </c>
      <c r="AH562" t="e">
        <f ca="1">IF(V32="Supercritical",L562,IF(V32="Subcritical",W562,IF(AND(V562=1,AG562=1),IF(T562&gt;=AE562,L562,W562),IF(V562=1,L562,IF(AG562=1,W562,MAX($D$16,POWER((ABS(K562)^2)/($I$5*MAX(F562,0.1)^2),1/3)))))))</f>
        <v>#VALUE!</v>
      </c>
      <c r="AI562" t="e">
        <f t="shared" ca="1" si="283"/>
        <v>#VALUE!</v>
      </c>
      <c r="AJ562" t="e">
        <f t="shared" ca="1" si="284"/>
        <v>#VALUE!</v>
      </c>
      <c r="AM562">
        <v>0</v>
      </c>
      <c r="AN562">
        <v>0</v>
      </c>
      <c r="AO562">
        <f t="shared" si="285"/>
        <v>0</v>
      </c>
      <c r="AP562">
        <f t="shared" si="294"/>
        <v>0</v>
      </c>
      <c r="AQ562" t="e">
        <f t="shared" ca="1" si="286"/>
        <v>#VALUE!</v>
      </c>
      <c r="AR562" t="e">
        <f t="shared" ca="1" si="287"/>
        <v>#VALUE!</v>
      </c>
      <c r="AS562" t="e">
        <f t="shared" ca="1" si="288"/>
        <v>#VALUE!</v>
      </c>
    </row>
    <row r="563" spans="1:45" x14ac:dyDescent="0.35">
      <c r="A563">
        <v>414</v>
      </c>
      <c r="B563">
        <v>412.89499999999998</v>
      </c>
      <c r="C563">
        <v>616245.62899999996</v>
      </c>
      <c r="D563">
        <v>3097553.3289999999</v>
      </c>
      <c r="E563">
        <v>632.35550000000001</v>
      </c>
      <c r="F563">
        <v>5.2</v>
      </c>
      <c r="G563">
        <v>0</v>
      </c>
      <c r="H563" t="s">
        <v>191</v>
      </c>
      <c r="I563">
        <v>0</v>
      </c>
      <c r="J563">
        <f t="shared" si="289"/>
        <v>0.9989999999999668</v>
      </c>
      <c r="K563">
        <f t="shared" si="290"/>
        <v>51</v>
      </c>
      <c r="L563" t="e">
        <f t="shared" ca="1" si="291"/>
        <v>#VALUE!</v>
      </c>
      <c r="M563" t="e">
        <f t="shared" ca="1" si="264"/>
        <v>#VALUE!</v>
      </c>
      <c r="N563" t="e">
        <f t="shared" ca="1" si="265"/>
        <v>#VALUE!</v>
      </c>
      <c r="O563" t="e">
        <f t="shared" ca="1" si="266"/>
        <v>#VALUE!</v>
      </c>
      <c r="P563" t="e">
        <f t="shared" ca="1" si="267"/>
        <v>#VALUE!</v>
      </c>
      <c r="Q563" t="e">
        <f t="shared" ca="1" si="268"/>
        <v>#VALUE!</v>
      </c>
      <c r="R563" t="e">
        <f t="shared" ca="1" si="269"/>
        <v>#VALUE!</v>
      </c>
      <c r="S563" t="e">
        <f t="shared" ca="1" si="270"/>
        <v>#VALUE!</v>
      </c>
      <c r="T563" t="e">
        <f t="shared" ca="1" si="271"/>
        <v>#VALUE!</v>
      </c>
      <c r="U563" t="e">
        <f t="shared" ca="1" si="292"/>
        <v>#VALUE!</v>
      </c>
      <c r="V563" t="e">
        <f t="shared" ca="1" si="293"/>
        <v>#VALUE!</v>
      </c>
      <c r="W563" t="e">
        <f t="shared" ca="1" si="272"/>
        <v>#VALUE!</v>
      </c>
      <c r="X563" t="e">
        <f t="shared" ca="1" si="273"/>
        <v>#VALUE!</v>
      </c>
      <c r="Y563" t="e">
        <f t="shared" ca="1" si="274"/>
        <v>#VALUE!</v>
      </c>
      <c r="Z563" t="e">
        <f t="shared" ca="1" si="275"/>
        <v>#VALUE!</v>
      </c>
      <c r="AA563" t="e">
        <f t="shared" ca="1" si="276"/>
        <v>#VALUE!</v>
      </c>
      <c r="AB563" t="e">
        <f t="shared" ca="1" si="277"/>
        <v>#VALUE!</v>
      </c>
      <c r="AC563" t="e">
        <f t="shared" ca="1" si="278"/>
        <v>#VALUE!</v>
      </c>
      <c r="AD563" t="e">
        <f t="shared" ca="1" si="279"/>
        <v>#VALUE!</v>
      </c>
      <c r="AE563" t="e">
        <f t="shared" ca="1" si="280"/>
        <v>#VALUE!</v>
      </c>
      <c r="AF563" t="e">
        <f t="shared" ca="1" si="281"/>
        <v>#VALUE!</v>
      </c>
      <c r="AG563" t="e">
        <f t="shared" ca="1" si="282"/>
        <v>#VALUE!</v>
      </c>
      <c r="AH563" t="e">
        <f ca="1">IF(V32="Supercritical",L563,IF(V32="Subcritical",W563,IF(AND(V563=1,AG563=1),IF(T563&gt;=AE563,L563,W563),IF(V563=1,L563,IF(AG563=1,W563,MAX($D$16,POWER((ABS(K563)^2)/($I$5*MAX(F563,0.1)^2),1/3)))))))</f>
        <v>#VALUE!</v>
      </c>
      <c r="AI563" t="e">
        <f t="shared" ca="1" si="283"/>
        <v>#VALUE!</v>
      </c>
      <c r="AJ563" t="e">
        <f t="shared" ca="1" si="284"/>
        <v>#VALUE!</v>
      </c>
      <c r="AM563">
        <v>0</v>
      </c>
      <c r="AN563">
        <v>0</v>
      </c>
      <c r="AO563">
        <f t="shared" si="285"/>
        <v>0</v>
      </c>
      <c r="AP563">
        <f t="shared" si="294"/>
        <v>0</v>
      </c>
      <c r="AQ563" t="e">
        <f t="shared" ca="1" si="286"/>
        <v>#VALUE!</v>
      </c>
      <c r="AR563" t="e">
        <f t="shared" ca="1" si="287"/>
        <v>#VALUE!</v>
      </c>
      <c r="AS563" t="e">
        <f t="shared" ca="1" si="288"/>
        <v>#VALUE!</v>
      </c>
    </row>
    <row r="564" spans="1:45" x14ac:dyDescent="0.35">
      <c r="A564">
        <v>415</v>
      </c>
      <c r="B564">
        <v>413.89499999999998</v>
      </c>
      <c r="C564">
        <v>616245.15500000003</v>
      </c>
      <c r="D564">
        <v>3097552.449</v>
      </c>
      <c r="E564">
        <v>632.35500000000002</v>
      </c>
      <c r="F564">
        <v>5.2</v>
      </c>
      <c r="G564">
        <v>0</v>
      </c>
      <c r="H564" t="s">
        <v>191</v>
      </c>
      <c r="I564">
        <v>2.7E-2</v>
      </c>
      <c r="J564">
        <f t="shared" si="289"/>
        <v>1</v>
      </c>
      <c r="K564">
        <f t="shared" si="290"/>
        <v>51</v>
      </c>
      <c r="L564" t="e">
        <f t="shared" ca="1" si="291"/>
        <v>#VALUE!</v>
      </c>
      <c r="M564" t="e">
        <f t="shared" ca="1" si="264"/>
        <v>#VALUE!</v>
      </c>
      <c r="N564" t="e">
        <f t="shared" ca="1" si="265"/>
        <v>#VALUE!</v>
      </c>
      <c r="O564" t="e">
        <f t="shared" ca="1" si="266"/>
        <v>#VALUE!</v>
      </c>
      <c r="P564" t="e">
        <f t="shared" ca="1" si="267"/>
        <v>#VALUE!</v>
      </c>
      <c r="Q564" t="e">
        <f t="shared" ca="1" si="268"/>
        <v>#VALUE!</v>
      </c>
      <c r="R564" t="e">
        <f t="shared" ca="1" si="269"/>
        <v>#VALUE!</v>
      </c>
      <c r="S564" t="e">
        <f t="shared" ca="1" si="270"/>
        <v>#VALUE!</v>
      </c>
      <c r="T564" t="e">
        <f t="shared" ca="1" si="271"/>
        <v>#VALUE!</v>
      </c>
      <c r="U564" t="e">
        <f t="shared" ca="1" si="292"/>
        <v>#VALUE!</v>
      </c>
      <c r="V564" t="e">
        <f t="shared" ca="1" si="293"/>
        <v>#VALUE!</v>
      </c>
      <c r="W564" t="e">
        <f t="shared" ca="1" si="272"/>
        <v>#VALUE!</v>
      </c>
      <c r="X564" t="e">
        <f t="shared" ca="1" si="273"/>
        <v>#VALUE!</v>
      </c>
      <c r="Y564" t="e">
        <f t="shared" ca="1" si="274"/>
        <v>#VALUE!</v>
      </c>
      <c r="Z564" t="e">
        <f t="shared" ca="1" si="275"/>
        <v>#VALUE!</v>
      </c>
      <c r="AA564" t="e">
        <f t="shared" ca="1" si="276"/>
        <v>#VALUE!</v>
      </c>
      <c r="AB564" t="e">
        <f t="shared" ca="1" si="277"/>
        <v>#VALUE!</v>
      </c>
      <c r="AC564" t="e">
        <f t="shared" ca="1" si="278"/>
        <v>#VALUE!</v>
      </c>
      <c r="AD564" t="e">
        <f t="shared" ca="1" si="279"/>
        <v>#VALUE!</v>
      </c>
      <c r="AE564" t="e">
        <f t="shared" ca="1" si="280"/>
        <v>#VALUE!</v>
      </c>
      <c r="AF564" t="e">
        <f t="shared" ca="1" si="281"/>
        <v>#VALUE!</v>
      </c>
      <c r="AG564" t="e">
        <f t="shared" ca="1" si="282"/>
        <v>#VALUE!</v>
      </c>
      <c r="AH564" t="e">
        <f ca="1">IF(V32="Supercritical",L564,IF(V32="Subcritical",W564,IF(AND(V564=1,AG564=1),IF(T564&gt;=AE564,L564,W564),IF(V564=1,L564,IF(AG564=1,W564,MAX($D$16,POWER((ABS(K564)^2)/($I$5*MAX(F564,0.1)^2),1/3)))))))</f>
        <v>#VALUE!</v>
      </c>
      <c r="AI564" t="e">
        <f t="shared" ca="1" si="283"/>
        <v>#VALUE!</v>
      </c>
      <c r="AJ564" t="e">
        <f t="shared" ca="1" si="284"/>
        <v>#VALUE!</v>
      </c>
      <c r="AM564">
        <v>0</v>
      </c>
      <c r="AN564">
        <v>0</v>
      </c>
      <c r="AO564">
        <f t="shared" si="285"/>
        <v>0</v>
      </c>
      <c r="AP564">
        <f t="shared" si="294"/>
        <v>0</v>
      </c>
      <c r="AQ564" t="e">
        <f t="shared" ca="1" si="286"/>
        <v>#VALUE!</v>
      </c>
      <c r="AR564" t="e">
        <f t="shared" ca="1" si="287"/>
        <v>#VALUE!</v>
      </c>
      <c r="AS564" t="e">
        <f t="shared" ca="1" si="288"/>
        <v>#VALUE!</v>
      </c>
    </row>
    <row r="565" spans="1:45" x14ac:dyDescent="0.35">
      <c r="A565">
        <v>416</v>
      </c>
      <c r="B565">
        <v>414.89499999999998</v>
      </c>
      <c r="C565">
        <v>616244.68099999998</v>
      </c>
      <c r="D565">
        <v>3097551.568</v>
      </c>
      <c r="E565">
        <v>632.35450000000003</v>
      </c>
      <c r="F565">
        <v>5.2</v>
      </c>
      <c r="G565">
        <v>0</v>
      </c>
      <c r="H565" t="s">
        <v>191</v>
      </c>
      <c r="I565">
        <v>2.7E-2</v>
      </c>
      <c r="J565">
        <f t="shared" si="289"/>
        <v>1</v>
      </c>
      <c r="K565">
        <f t="shared" si="290"/>
        <v>51</v>
      </c>
      <c r="L565" t="e">
        <f t="shared" ca="1" si="291"/>
        <v>#VALUE!</v>
      </c>
      <c r="M565" t="e">
        <f t="shared" ca="1" si="264"/>
        <v>#VALUE!</v>
      </c>
      <c r="N565" t="e">
        <f t="shared" ca="1" si="265"/>
        <v>#VALUE!</v>
      </c>
      <c r="O565" t="e">
        <f t="shared" ca="1" si="266"/>
        <v>#VALUE!</v>
      </c>
      <c r="P565" t="e">
        <f t="shared" ca="1" si="267"/>
        <v>#VALUE!</v>
      </c>
      <c r="Q565" t="e">
        <f t="shared" ca="1" si="268"/>
        <v>#VALUE!</v>
      </c>
      <c r="R565" t="e">
        <f t="shared" ca="1" si="269"/>
        <v>#VALUE!</v>
      </c>
      <c r="S565" t="e">
        <f t="shared" ca="1" si="270"/>
        <v>#VALUE!</v>
      </c>
      <c r="T565" t="e">
        <f t="shared" ca="1" si="271"/>
        <v>#VALUE!</v>
      </c>
      <c r="U565" t="e">
        <f t="shared" ca="1" si="292"/>
        <v>#VALUE!</v>
      </c>
      <c r="V565" t="e">
        <f t="shared" ca="1" si="293"/>
        <v>#VALUE!</v>
      </c>
      <c r="W565" t="e">
        <f t="shared" ca="1" si="272"/>
        <v>#VALUE!</v>
      </c>
      <c r="X565" t="e">
        <f t="shared" ca="1" si="273"/>
        <v>#VALUE!</v>
      </c>
      <c r="Y565" t="e">
        <f t="shared" ca="1" si="274"/>
        <v>#VALUE!</v>
      </c>
      <c r="Z565" t="e">
        <f t="shared" ca="1" si="275"/>
        <v>#VALUE!</v>
      </c>
      <c r="AA565" t="e">
        <f t="shared" ca="1" si="276"/>
        <v>#VALUE!</v>
      </c>
      <c r="AB565" t="e">
        <f t="shared" ca="1" si="277"/>
        <v>#VALUE!</v>
      </c>
      <c r="AC565" t="e">
        <f t="shared" ca="1" si="278"/>
        <v>#VALUE!</v>
      </c>
      <c r="AD565" t="e">
        <f t="shared" ca="1" si="279"/>
        <v>#VALUE!</v>
      </c>
      <c r="AE565" t="e">
        <f t="shared" ca="1" si="280"/>
        <v>#VALUE!</v>
      </c>
      <c r="AF565" t="e">
        <f t="shared" ca="1" si="281"/>
        <v>#VALUE!</v>
      </c>
      <c r="AG565" t="e">
        <f t="shared" ca="1" si="282"/>
        <v>#VALUE!</v>
      </c>
      <c r="AH565" t="e">
        <f ca="1">IF(V32="Supercritical",L565,IF(V32="Subcritical",W565,IF(AND(V565=1,AG565=1),IF(T565&gt;=AE565,L565,W565),IF(V565=1,L565,IF(AG565=1,W565,MAX($D$16,POWER((ABS(K565)^2)/($I$5*MAX(F565,0.1)^2),1/3)))))))</f>
        <v>#VALUE!</v>
      </c>
      <c r="AI565" t="e">
        <f t="shared" ca="1" si="283"/>
        <v>#VALUE!</v>
      </c>
      <c r="AJ565" t="e">
        <f t="shared" ca="1" si="284"/>
        <v>#VALUE!</v>
      </c>
      <c r="AM565">
        <v>0</v>
      </c>
      <c r="AN565">
        <v>0</v>
      </c>
      <c r="AO565">
        <f t="shared" si="285"/>
        <v>0</v>
      </c>
      <c r="AP565">
        <f t="shared" si="294"/>
        <v>0</v>
      </c>
      <c r="AQ565" t="e">
        <f t="shared" ca="1" si="286"/>
        <v>#VALUE!</v>
      </c>
      <c r="AR565" t="e">
        <f t="shared" ca="1" si="287"/>
        <v>#VALUE!</v>
      </c>
      <c r="AS565" t="e">
        <f t="shared" ca="1" si="288"/>
        <v>#VALUE!</v>
      </c>
    </row>
    <row r="566" spans="1:45" x14ac:dyDescent="0.35">
      <c r="A566">
        <v>417</v>
      </c>
      <c r="B566">
        <v>415.89499999999998</v>
      </c>
      <c r="C566">
        <v>616244.20700000005</v>
      </c>
      <c r="D566">
        <v>3097550.6880000001</v>
      </c>
      <c r="E566">
        <v>632.35400000000004</v>
      </c>
      <c r="F566">
        <v>5.2</v>
      </c>
      <c r="G566">
        <v>0</v>
      </c>
      <c r="H566" t="s">
        <v>191</v>
      </c>
      <c r="I566">
        <v>2.3E-2</v>
      </c>
      <c r="J566">
        <f t="shared" si="289"/>
        <v>1</v>
      </c>
      <c r="K566">
        <f t="shared" si="290"/>
        <v>51</v>
      </c>
      <c r="L566" t="e">
        <f t="shared" ca="1" si="291"/>
        <v>#VALUE!</v>
      </c>
      <c r="M566" t="e">
        <f t="shared" ca="1" si="264"/>
        <v>#VALUE!</v>
      </c>
      <c r="N566" t="e">
        <f t="shared" ca="1" si="265"/>
        <v>#VALUE!</v>
      </c>
      <c r="O566" t="e">
        <f t="shared" ca="1" si="266"/>
        <v>#VALUE!</v>
      </c>
      <c r="P566" t="e">
        <f t="shared" ca="1" si="267"/>
        <v>#VALUE!</v>
      </c>
      <c r="Q566" t="e">
        <f t="shared" ca="1" si="268"/>
        <v>#VALUE!</v>
      </c>
      <c r="R566" t="e">
        <f t="shared" ca="1" si="269"/>
        <v>#VALUE!</v>
      </c>
      <c r="S566" t="e">
        <f t="shared" ca="1" si="270"/>
        <v>#VALUE!</v>
      </c>
      <c r="T566" t="e">
        <f t="shared" ca="1" si="271"/>
        <v>#VALUE!</v>
      </c>
      <c r="U566" t="e">
        <f t="shared" ca="1" si="292"/>
        <v>#VALUE!</v>
      </c>
      <c r="V566" t="e">
        <f t="shared" ca="1" si="293"/>
        <v>#VALUE!</v>
      </c>
      <c r="W566" t="e">
        <f t="shared" ca="1" si="272"/>
        <v>#VALUE!</v>
      </c>
      <c r="X566" t="e">
        <f t="shared" ca="1" si="273"/>
        <v>#VALUE!</v>
      </c>
      <c r="Y566" t="e">
        <f t="shared" ca="1" si="274"/>
        <v>#VALUE!</v>
      </c>
      <c r="Z566" t="e">
        <f t="shared" ca="1" si="275"/>
        <v>#VALUE!</v>
      </c>
      <c r="AA566" t="e">
        <f t="shared" ca="1" si="276"/>
        <v>#VALUE!</v>
      </c>
      <c r="AB566" t="e">
        <f t="shared" ca="1" si="277"/>
        <v>#VALUE!</v>
      </c>
      <c r="AC566" t="e">
        <f t="shared" ca="1" si="278"/>
        <v>#VALUE!</v>
      </c>
      <c r="AD566" t="e">
        <f t="shared" ca="1" si="279"/>
        <v>#VALUE!</v>
      </c>
      <c r="AE566" t="e">
        <f t="shared" ca="1" si="280"/>
        <v>#VALUE!</v>
      </c>
      <c r="AF566" t="e">
        <f t="shared" ca="1" si="281"/>
        <v>#VALUE!</v>
      </c>
      <c r="AG566" t="e">
        <f t="shared" ca="1" si="282"/>
        <v>#VALUE!</v>
      </c>
      <c r="AH566" t="e">
        <f ca="1">IF(V32="Supercritical",L566,IF(V32="Subcritical",W566,IF(AND(V566=1,AG566=1),IF(T566&gt;=AE566,L566,W566),IF(V566=1,L566,IF(AG566=1,W566,MAX($D$16,POWER((ABS(K566)^2)/($I$5*MAX(F566,0.1)^2),1/3)))))))</f>
        <v>#VALUE!</v>
      </c>
      <c r="AI566" t="e">
        <f t="shared" ca="1" si="283"/>
        <v>#VALUE!</v>
      </c>
      <c r="AJ566" t="e">
        <f t="shared" ca="1" si="284"/>
        <v>#VALUE!</v>
      </c>
      <c r="AM566">
        <v>0</v>
      </c>
      <c r="AN566">
        <v>0</v>
      </c>
      <c r="AO566">
        <f t="shared" si="285"/>
        <v>0</v>
      </c>
      <c r="AP566">
        <f t="shared" si="294"/>
        <v>0</v>
      </c>
      <c r="AQ566" t="e">
        <f t="shared" ca="1" si="286"/>
        <v>#VALUE!</v>
      </c>
      <c r="AR566" t="e">
        <f t="shared" ca="1" si="287"/>
        <v>#VALUE!</v>
      </c>
      <c r="AS566" t="e">
        <f t="shared" ca="1" si="288"/>
        <v>#VALUE!</v>
      </c>
    </row>
    <row r="567" spans="1:45" x14ac:dyDescent="0.35">
      <c r="A567">
        <v>418</v>
      </c>
      <c r="B567">
        <v>416.89600000000002</v>
      </c>
      <c r="C567">
        <v>616243.73199999996</v>
      </c>
      <c r="D567">
        <v>3097549.807</v>
      </c>
      <c r="E567">
        <v>632.35350000000005</v>
      </c>
      <c r="F567">
        <v>5.2</v>
      </c>
      <c r="G567">
        <v>0</v>
      </c>
      <c r="H567" t="s">
        <v>191</v>
      </c>
      <c r="I567">
        <v>2.3E-2</v>
      </c>
      <c r="J567">
        <f t="shared" si="289"/>
        <v>1.0010000000000332</v>
      </c>
      <c r="K567">
        <f t="shared" si="290"/>
        <v>51</v>
      </c>
      <c r="L567" t="e">
        <f t="shared" ca="1" si="291"/>
        <v>#VALUE!</v>
      </c>
      <c r="M567" t="e">
        <f t="shared" ca="1" si="264"/>
        <v>#VALUE!</v>
      </c>
      <c r="N567" t="e">
        <f t="shared" ca="1" si="265"/>
        <v>#VALUE!</v>
      </c>
      <c r="O567" t="e">
        <f t="shared" ca="1" si="266"/>
        <v>#VALUE!</v>
      </c>
      <c r="P567" t="e">
        <f t="shared" ca="1" si="267"/>
        <v>#VALUE!</v>
      </c>
      <c r="Q567" t="e">
        <f t="shared" ca="1" si="268"/>
        <v>#VALUE!</v>
      </c>
      <c r="R567" t="e">
        <f t="shared" ca="1" si="269"/>
        <v>#VALUE!</v>
      </c>
      <c r="S567" t="e">
        <f t="shared" ca="1" si="270"/>
        <v>#VALUE!</v>
      </c>
      <c r="T567" t="e">
        <f t="shared" ca="1" si="271"/>
        <v>#VALUE!</v>
      </c>
      <c r="U567" t="e">
        <f t="shared" ca="1" si="292"/>
        <v>#VALUE!</v>
      </c>
      <c r="V567" t="e">
        <f t="shared" ca="1" si="293"/>
        <v>#VALUE!</v>
      </c>
      <c r="W567" t="e">
        <f t="shared" ca="1" si="272"/>
        <v>#VALUE!</v>
      </c>
      <c r="X567" t="e">
        <f t="shared" ca="1" si="273"/>
        <v>#VALUE!</v>
      </c>
      <c r="Y567" t="e">
        <f t="shared" ca="1" si="274"/>
        <v>#VALUE!</v>
      </c>
      <c r="Z567" t="e">
        <f t="shared" ca="1" si="275"/>
        <v>#VALUE!</v>
      </c>
      <c r="AA567" t="e">
        <f t="shared" ca="1" si="276"/>
        <v>#VALUE!</v>
      </c>
      <c r="AB567" t="e">
        <f t="shared" ca="1" si="277"/>
        <v>#VALUE!</v>
      </c>
      <c r="AC567" t="e">
        <f t="shared" ca="1" si="278"/>
        <v>#VALUE!</v>
      </c>
      <c r="AD567" t="e">
        <f t="shared" ca="1" si="279"/>
        <v>#VALUE!</v>
      </c>
      <c r="AE567" t="e">
        <f t="shared" ca="1" si="280"/>
        <v>#VALUE!</v>
      </c>
      <c r="AF567" t="e">
        <f t="shared" ca="1" si="281"/>
        <v>#VALUE!</v>
      </c>
      <c r="AG567" t="e">
        <f t="shared" ca="1" si="282"/>
        <v>#VALUE!</v>
      </c>
      <c r="AH567" t="e">
        <f ca="1">IF(V32="Supercritical",L567,IF(V32="Subcritical",W567,IF(AND(V567=1,AG567=1),IF(T567&gt;=AE567,L567,W567),IF(V567=1,L567,IF(AG567=1,W567,MAX($D$16,POWER((ABS(K567)^2)/($I$5*MAX(F567,0.1)^2),1/3)))))))</f>
        <v>#VALUE!</v>
      </c>
      <c r="AI567" t="e">
        <f t="shared" ca="1" si="283"/>
        <v>#VALUE!</v>
      </c>
      <c r="AJ567" t="e">
        <f t="shared" ca="1" si="284"/>
        <v>#VALUE!</v>
      </c>
      <c r="AM567">
        <v>0</v>
      </c>
      <c r="AN567">
        <v>0</v>
      </c>
      <c r="AO567">
        <f t="shared" si="285"/>
        <v>0</v>
      </c>
      <c r="AP567">
        <f t="shared" si="294"/>
        <v>0</v>
      </c>
      <c r="AQ567" t="e">
        <f t="shared" ca="1" si="286"/>
        <v>#VALUE!</v>
      </c>
      <c r="AR567" t="e">
        <f t="shared" ca="1" si="287"/>
        <v>#VALUE!</v>
      </c>
      <c r="AS567" t="e">
        <f t="shared" ca="1" si="288"/>
        <v>#VALUE!</v>
      </c>
    </row>
    <row r="568" spans="1:45" x14ac:dyDescent="0.35">
      <c r="A568">
        <v>419</v>
      </c>
      <c r="B568">
        <v>417.89499999999998</v>
      </c>
      <c r="C568">
        <v>616243.25800000003</v>
      </c>
      <c r="D568">
        <v>3097548.9270000001</v>
      </c>
      <c r="E568">
        <v>632.35299999999995</v>
      </c>
      <c r="F568">
        <v>5.2</v>
      </c>
      <c r="G568">
        <v>0</v>
      </c>
      <c r="H568" t="s">
        <v>191</v>
      </c>
      <c r="I568">
        <v>0</v>
      </c>
      <c r="J568">
        <f t="shared" si="289"/>
        <v>0.9989999999999668</v>
      </c>
      <c r="K568">
        <f t="shared" si="290"/>
        <v>51</v>
      </c>
      <c r="L568" t="e">
        <f t="shared" ca="1" si="291"/>
        <v>#VALUE!</v>
      </c>
      <c r="M568" t="e">
        <f t="shared" ca="1" si="264"/>
        <v>#VALUE!</v>
      </c>
      <c r="N568" t="e">
        <f t="shared" ca="1" si="265"/>
        <v>#VALUE!</v>
      </c>
      <c r="O568" t="e">
        <f t="shared" ca="1" si="266"/>
        <v>#VALUE!</v>
      </c>
      <c r="P568" t="e">
        <f t="shared" ca="1" si="267"/>
        <v>#VALUE!</v>
      </c>
      <c r="Q568" t="e">
        <f t="shared" ca="1" si="268"/>
        <v>#VALUE!</v>
      </c>
      <c r="R568" t="e">
        <f t="shared" ca="1" si="269"/>
        <v>#VALUE!</v>
      </c>
      <c r="S568" t="e">
        <f t="shared" ca="1" si="270"/>
        <v>#VALUE!</v>
      </c>
      <c r="T568" t="e">
        <f t="shared" ca="1" si="271"/>
        <v>#VALUE!</v>
      </c>
      <c r="U568" t="e">
        <f t="shared" ca="1" si="292"/>
        <v>#VALUE!</v>
      </c>
      <c r="V568" t="e">
        <f t="shared" ca="1" si="293"/>
        <v>#VALUE!</v>
      </c>
      <c r="W568" t="e">
        <f t="shared" ca="1" si="272"/>
        <v>#VALUE!</v>
      </c>
      <c r="X568" t="e">
        <f t="shared" ca="1" si="273"/>
        <v>#VALUE!</v>
      </c>
      <c r="Y568" t="e">
        <f t="shared" ca="1" si="274"/>
        <v>#VALUE!</v>
      </c>
      <c r="Z568" t="e">
        <f t="shared" ca="1" si="275"/>
        <v>#VALUE!</v>
      </c>
      <c r="AA568" t="e">
        <f t="shared" ca="1" si="276"/>
        <v>#VALUE!</v>
      </c>
      <c r="AB568" t="e">
        <f t="shared" ca="1" si="277"/>
        <v>#VALUE!</v>
      </c>
      <c r="AC568" t="e">
        <f t="shared" ca="1" si="278"/>
        <v>#VALUE!</v>
      </c>
      <c r="AD568" t="e">
        <f t="shared" ca="1" si="279"/>
        <v>#VALUE!</v>
      </c>
      <c r="AE568" t="e">
        <f t="shared" ca="1" si="280"/>
        <v>#VALUE!</v>
      </c>
      <c r="AF568" t="e">
        <f t="shared" ca="1" si="281"/>
        <v>#VALUE!</v>
      </c>
      <c r="AG568" t="e">
        <f t="shared" ca="1" si="282"/>
        <v>#VALUE!</v>
      </c>
      <c r="AH568" t="e">
        <f ca="1">IF(V32="Supercritical",L568,IF(V32="Subcritical",W568,IF(AND(V568=1,AG568=1),IF(T568&gt;=AE568,L568,W568),IF(V568=1,L568,IF(AG568=1,W568,MAX($D$16,POWER((ABS(K568)^2)/($I$5*MAX(F568,0.1)^2),1/3)))))))</f>
        <v>#VALUE!</v>
      </c>
      <c r="AI568" t="e">
        <f t="shared" ca="1" si="283"/>
        <v>#VALUE!</v>
      </c>
      <c r="AJ568" t="e">
        <f t="shared" ca="1" si="284"/>
        <v>#VALUE!</v>
      </c>
      <c r="AM568">
        <v>0</v>
      </c>
      <c r="AN568">
        <v>0</v>
      </c>
      <c r="AO568">
        <f t="shared" si="285"/>
        <v>0</v>
      </c>
      <c r="AP568">
        <f t="shared" si="294"/>
        <v>0</v>
      </c>
      <c r="AQ568" t="e">
        <f t="shared" ca="1" si="286"/>
        <v>#VALUE!</v>
      </c>
      <c r="AR568" t="e">
        <f t="shared" ca="1" si="287"/>
        <v>#VALUE!</v>
      </c>
      <c r="AS568" t="e">
        <f t="shared" ca="1" si="288"/>
        <v>#VALUE!</v>
      </c>
    </row>
    <row r="569" spans="1:45" x14ac:dyDescent="0.35">
      <c r="A569">
        <v>420</v>
      </c>
      <c r="B569">
        <v>418.89499999999998</v>
      </c>
      <c r="C569">
        <v>616242.78399999999</v>
      </c>
      <c r="D569">
        <v>3097548.0469999998</v>
      </c>
      <c r="E569">
        <v>632.35249999999996</v>
      </c>
      <c r="F569">
        <v>5.2</v>
      </c>
      <c r="G569">
        <v>0</v>
      </c>
      <c r="H569" t="s">
        <v>191</v>
      </c>
      <c r="I569">
        <v>2.7E-2</v>
      </c>
      <c r="J569">
        <f t="shared" si="289"/>
        <v>1</v>
      </c>
      <c r="K569">
        <f t="shared" si="290"/>
        <v>51</v>
      </c>
      <c r="L569" t="e">
        <f t="shared" ca="1" si="291"/>
        <v>#VALUE!</v>
      </c>
      <c r="M569" t="e">
        <f t="shared" ca="1" si="264"/>
        <v>#VALUE!</v>
      </c>
      <c r="N569" t="e">
        <f t="shared" ca="1" si="265"/>
        <v>#VALUE!</v>
      </c>
      <c r="O569" t="e">
        <f t="shared" ca="1" si="266"/>
        <v>#VALUE!</v>
      </c>
      <c r="P569" t="e">
        <f t="shared" ca="1" si="267"/>
        <v>#VALUE!</v>
      </c>
      <c r="Q569" t="e">
        <f t="shared" ca="1" si="268"/>
        <v>#VALUE!</v>
      </c>
      <c r="R569" t="e">
        <f t="shared" ca="1" si="269"/>
        <v>#VALUE!</v>
      </c>
      <c r="S569" t="e">
        <f t="shared" ca="1" si="270"/>
        <v>#VALUE!</v>
      </c>
      <c r="T569" t="e">
        <f t="shared" ca="1" si="271"/>
        <v>#VALUE!</v>
      </c>
      <c r="U569" t="e">
        <f t="shared" ca="1" si="292"/>
        <v>#VALUE!</v>
      </c>
      <c r="V569" t="e">
        <f t="shared" ca="1" si="293"/>
        <v>#VALUE!</v>
      </c>
      <c r="W569" t="e">
        <f t="shared" ca="1" si="272"/>
        <v>#VALUE!</v>
      </c>
      <c r="X569" t="e">
        <f t="shared" ca="1" si="273"/>
        <v>#VALUE!</v>
      </c>
      <c r="Y569" t="e">
        <f t="shared" ca="1" si="274"/>
        <v>#VALUE!</v>
      </c>
      <c r="Z569" t="e">
        <f t="shared" ca="1" si="275"/>
        <v>#VALUE!</v>
      </c>
      <c r="AA569" t="e">
        <f t="shared" ca="1" si="276"/>
        <v>#VALUE!</v>
      </c>
      <c r="AB569" t="e">
        <f t="shared" ca="1" si="277"/>
        <v>#VALUE!</v>
      </c>
      <c r="AC569" t="e">
        <f t="shared" ca="1" si="278"/>
        <v>#VALUE!</v>
      </c>
      <c r="AD569" t="e">
        <f t="shared" ca="1" si="279"/>
        <v>#VALUE!</v>
      </c>
      <c r="AE569" t="e">
        <f t="shared" ca="1" si="280"/>
        <v>#VALUE!</v>
      </c>
      <c r="AF569" t="e">
        <f t="shared" ca="1" si="281"/>
        <v>#VALUE!</v>
      </c>
      <c r="AG569" t="e">
        <f t="shared" ca="1" si="282"/>
        <v>#VALUE!</v>
      </c>
      <c r="AH569" t="e">
        <f ca="1">IF(V32="Supercritical",L569,IF(V32="Subcritical",W569,IF(AND(V569=1,AG569=1),IF(T569&gt;=AE569,L569,W569),IF(V569=1,L569,IF(AG569=1,W569,MAX($D$16,POWER((ABS(K569)^2)/($I$5*MAX(F569,0.1)^2),1/3)))))))</f>
        <v>#VALUE!</v>
      </c>
      <c r="AI569" t="e">
        <f t="shared" ca="1" si="283"/>
        <v>#VALUE!</v>
      </c>
      <c r="AJ569" t="e">
        <f t="shared" ca="1" si="284"/>
        <v>#VALUE!</v>
      </c>
      <c r="AM569">
        <v>0</v>
      </c>
      <c r="AN569">
        <v>0</v>
      </c>
      <c r="AO569">
        <f t="shared" si="285"/>
        <v>0</v>
      </c>
      <c r="AP569">
        <f t="shared" si="294"/>
        <v>0</v>
      </c>
      <c r="AQ569" t="e">
        <f t="shared" ca="1" si="286"/>
        <v>#VALUE!</v>
      </c>
      <c r="AR569" t="e">
        <f t="shared" ca="1" si="287"/>
        <v>#VALUE!</v>
      </c>
      <c r="AS569" t="e">
        <f t="shared" ca="1" si="288"/>
        <v>#VALUE!</v>
      </c>
    </row>
    <row r="570" spans="1:45" x14ac:dyDescent="0.35">
      <c r="A570">
        <v>421</v>
      </c>
      <c r="B570">
        <v>419.89499999999998</v>
      </c>
      <c r="C570">
        <v>616242.31000000006</v>
      </c>
      <c r="D570">
        <v>3097547.1660000002</v>
      </c>
      <c r="E570">
        <v>632.35199999999998</v>
      </c>
      <c r="F570">
        <v>5.2</v>
      </c>
      <c r="G570">
        <v>0</v>
      </c>
      <c r="H570" t="s">
        <v>191</v>
      </c>
      <c r="I570">
        <v>7.8E-2</v>
      </c>
      <c r="J570">
        <f t="shared" si="289"/>
        <v>1</v>
      </c>
      <c r="K570">
        <f t="shared" si="290"/>
        <v>51</v>
      </c>
      <c r="L570" t="e">
        <f t="shared" ca="1" si="291"/>
        <v>#VALUE!</v>
      </c>
      <c r="M570" t="e">
        <f t="shared" ca="1" si="264"/>
        <v>#VALUE!</v>
      </c>
      <c r="N570" t="e">
        <f t="shared" ca="1" si="265"/>
        <v>#VALUE!</v>
      </c>
      <c r="O570" t="e">
        <f t="shared" ca="1" si="266"/>
        <v>#VALUE!</v>
      </c>
      <c r="P570" t="e">
        <f t="shared" ca="1" si="267"/>
        <v>#VALUE!</v>
      </c>
      <c r="Q570" t="e">
        <f t="shared" ca="1" si="268"/>
        <v>#VALUE!</v>
      </c>
      <c r="R570" t="e">
        <f t="shared" ca="1" si="269"/>
        <v>#VALUE!</v>
      </c>
      <c r="S570" t="e">
        <f t="shared" ca="1" si="270"/>
        <v>#VALUE!</v>
      </c>
      <c r="T570" t="e">
        <f t="shared" ca="1" si="271"/>
        <v>#VALUE!</v>
      </c>
      <c r="U570" t="e">
        <f t="shared" ca="1" si="292"/>
        <v>#VALUE!</v>
      </c>
      <c r="V570" t="e">
        <f t="shared" ca="1" si="293"/>
        <v>#VALUE!</v>
      </c>
      <c r="W570" t="e">
        <f t="shared" ca="1" si="272"/>
        <v>#VALUE!</v>
      </c>
      <c r="X570" t="e">
        <f t="shared" ca="1" si="273"/>
        <v>#VALUE!</v>
      </c>
      <c r="Y570" t="e">
        <f t="shared" ca="1" si="274"/>
        <v>#VALUE!</v>
      </c>
      <c r="Z570" t="e">
        <f t="shared" ca="1" si="275"/>
        <v>#VALUE!</v>
      </c>
      <c r="AA570" t="e">
        <f t="shared" ca="1" si="276"/>
        <v>#VALUE!</v>
      </c>
      <c r="AB570" t="e">
        <f t="shared" ca="1" si="277"/>
        <v>#VALUE!</v>
      </c>
      <c r="AC570" t="e">
        <f t="shared" ca="1" si="278"/>
        <v>#VALUE!</v>
      </c>
      <c r="AD570" t="e">
        <f t="shared" ca="1" si="279"/>
        <v>#VALUE!</v>
      </c>
      <c r="AE570" t="e">
        <f t="shared" ca="1" si="280"/>
        <v>#VALUE!</v>
      </c>
      <c r="AF570" t="e">
        <f t="shared" ca="1" si="281"/>
        <v>#VALUE!</v>
      </c>
      <c r="AG570" t="e">
        <f t="shared" ca="1" si="282"/>
        <v>#VALUE!</v>
      </c>
      <c r="AH570" t="e">
        <f ca="1">IF(V32="Supercritical",L570,IF(V32="Subcritical",W570,IF(AND(V570=1,AG570=1),IF(T570&gt;=AE570,L570,W570),IF(V570=1,L570,IF(AG570=1,W570,MAX($D$16,POWER((ABS(K570)^2)/($I$5*MAX(F570,0.1)^2),1/3)))))))</f>
        <v>#VALUE!</v>
      </c>
      <c r="AI570" t="e">
        <f t="shared" ca="1" si="283"/>
        <v>#VALUE!</v>
      </c>
      <c r="AJ570" t="e">
        <f t="shared" ca="1" si="284"/>
        <v>#VALUE!</v>
      </c>
      <c r="AM570">
        <v>0</v>
      </c>
      <c r="AN570">
        <v>0</v>
      </c>
      <c r="AO570">
        <f t="shared" si="285"/>
        <v>0</v>
      </c>
      <c r="AP570">
        <f t="shared" si="294"/>
        <v>0</v>
      </c>
      <c r="AQ570" t="e">
        <f t="shared" ca="1" si="286"/>
        <v>#VALUE!</v>
      </c>
      <c r="AR570" t="e">
        <f t="shared" ca="1" si="287"/>
        <v>#VALUE!</v>
      </c>
      <c r="AS570" t="e">
        <f t="shared" ca="1" si="288"/>
        <v>#VALUE!</v>
      </c>
    </row>
    <row r="571" spans="1:45" x14ac:dyDescent="0.35">
      <c r="A571">
        <v>422</v>
      </c>
      <c r="B571">
        <v>420.89499999999998</v>
      </c>
      <c r="C571">
        <v>616241.83499999996</v>
      </c>
      <c r="D571">
        <v>3097546.2859999998</v>
      </c>
      <c r="E571">
        <v>632.35149999999999</v>
      </c>
      <c r="F571">
        <v>5.2</v>
      </c>
      <c r="G571">
        <v>0</v>
      </c>
      <c r="H571" t="s">
        <v>191</v>
      </c>
      <c r="I571">
        <v>7.8E-2</v>
      </c>
      <c r="J571">
        <f t="shared" si="289"/>
        <v>1</v>
      </c>
      <c r="K571">
        <f t="shared" si="290"/>
        <v>51</v>
      </c>
      <c r="L571" t="e">
        <f t="shared" ca="1" si="291"/>
        <v>#VALUE!</v>
      </c>
      <c r="M571" t="e">
        <f t="shared" ca="1" si="264"/>
        <v>#VALUE!</v>
      </c>
      <c r="N571" t="e">
        <f t="shared" ca="1" si="265"/>
        <v>#VALUE!</v>
      </c>
      <c r="O571" t="e">
        <f t="shared" ca="1" si="266"/>
        <v>#VALUE!</v>
      </c>
      <c r="P571" t="e">
        <f t="shared" ca="1" si="267"/>
        <v>#VALUE!</v>
      </c>
      <c r="Q571" t="e">
        <f t="shared" ca="1" si="268"/>
        <v>#VALUE!</v>
      </c>
      <c r="R571" t="e">
        <f t="shared" ca="1" si="269"/>
        <v>#VALUE!</v>
      </c>
      <c r="S571" t="e">
        <f t="shared" ca="1" si="270"/>
        <v>#VALUE!</v>
      </c>
      <c r="T571" t="e">
        <f t="shared" ca="1" si="271"/>
        <v>#VALUE!</v>
      </c>
      <c r="U571" t="e">
        <f t="shared" ca="1" si="292"/>
        <v>#VALUE!</v>
      </c>
      <c r="V571" t="e">
        <f t="shared" ca="1" si="293"/>
        <v>#VALUE!</v>
      </c>
      <c r="W571" t="e">
        <f t="shared" ca="1" si="272"/>
        <v>#VALUE!</v>
      </c>
      <c r="X571" t="e">
        <f t="shared" ca="1" si="273"/>
        <v>#VALUE!</v>
      </c>
      <c r="Y571" t="e">
        <f t="shared" ca="1" si="274"/>
        <v>#VALUE!</v>
      </c>
      <c r="Z571" t="e">
        <f t="shared" ca="1" si="275"/>
        <v>#VALUE!</v>
      </c>
      <c r="AA571" t="e">
        <f t="shared" ca="1" si="276"/>
        <v>#VALUE!</v>
      </c>
      <c r="AB571" t="e">
        <f t="shared" ca="1" si="277"/>
        <v>#VALUE!</v>
      </c>
      <c r="AC571" t="e">
        <f t="shared" ca="1" si="278"/>
        <v>#VALUE!</v>
      </c>
      <c r="AD571" t="e">
        <f t="shared" ca="1" si="279"/>
        <v>#VALUE!</v>
      </c>
      <c r="AE571" t="e">
        <f t="shared" ca="1" si="280"/>
        <v>#VALUE!</v>
      </c>
      <c r="AF571" t="e">
        <f t="shared" ca="1" si="281"/>
        <v>#VALUE!</v>
      </c>
      <c r="AG571" t="e">
        <f t="shared" ca="1" si="282"/>
        <v>#VALUE!</v>
      </c>
      <c r="AH571" t="e">
        <f ca="1">IF(V32="Supercritical",L571,IF(V32="Subcritical",W571,IF(AND(V571=1,AG571=1),IF(T571&gt;=AE571,L571,W571),IF(V571=1,L571,IF(AG571=1,W571,MAX($D$16,POWER((ABS(K571)^2)/($I$5*MAX(F571,0.1)^2),1/3)))))))</f>
        <v>#VALUE!</v>
      </c>
      <c r="AI571" t="e">
        <f t="shared" ca="1" si="283"/>
        <v>#VALUE!</v>
      </c>
      <c r="AJ571" t="e">
        <f t="shared" ca="1" si="284"/>
        <v>#VALUE!</v>
      </c>
      <c r="AM571">
        <v>0</v>
      </c>
      <c r="AN571">
        <v>0</v>
      </c>
      <c r="AO571">
        <f t="shared" si="285"/>
        <v>0</v>
      </c>
      <c r="AP571">
        <f t="shared" si="294"/>
        <v>0</v>
      </c>
      <c r="AQ571" t="e">
        <f t="shared" ca="1" si="286"/>
        <v>#VALUE!</v>
      </c>
      <c r="AR571" t="e">
        <f t="shared" ca="1" si="287"/>
        <v>#VALUE!</v>
      </c>
      <c r="AS571" t="e">
        <f t="shared" ca="1" si="288"/>
        <v>#VALUE!</v>
      </c>
    </row>
    <row r="572" spans="1:45" x14ac:dyDescent="0.35">
      <c r="A572">
        <v>423</v>
      </c>
      <c r="B572">
        <v>421.89600000000002</v>
      </c>
      <c r="C572">
        <v>616241.36100000003</v>
      </c>
      <c r="D572">
        <v>3097545.4049999998</v>
      </c>
      <c r="E572">
        <v>632.351</v>
      </c>
      <c r="F572">
        <v>5.2</v>
      </c>
      <c r="G572">
        <v>0</v>
      </c>
      <c r="H572" t="s">
        <v>191</v>
      </c>
      <c r="I572">
        <v>2.7E-2</v>
      </c>
      <c r="J572">
        <f t="shared" si="289"/>
        <v>1.0010000000000332</v>
      </c>
      <c r="K572">
        <f t="shared" si="290"/>
        <v>51</v>
      </c>
      <c r="L572" t="e">
        <f t="shared" ca="1" si="291"/>
        <v>#VALUE!</v>
      </c>
      <c r="M572" t="e">
        <f t="shared" ca="1" si="264"/>
        <v>#VALUE!</v>
      </c>
      <c r="N572" t="e">
        <f t="shared" ca="1" si="265"/>
        <v>#VALUE!</v>
      </c>
      <c r="O572" t="e">
        <f t="shared" ca="1" si="266"/>
        <v>#VALUE!</v>
      </c>
      <c r="P572" t="e">
        <f t="shared" ca="1" si="267"/>
        <v>#VALUE!</v>
      </c>
      <c r="Q572" t="e">
        <f t="shared" ca="1" si="268"/>
        <v>#VALUE!</v>
      </c>
      <c r="R572" t="e">
        <f t="shared" ca="1" si="269"/>
        <v>#VALUE!</v>
      </c>
      <c r="S572" t="e">
        <f t="shared" ca="1" si="270"/>
        <v>#VALUE!</v>
      </c>
      <c r="T572" t="e">
        <f t="shared" ca="1" si="271"/>
        <v>#VALUE!</v>
      </c>
      <c r="U572" t="e">
        <f t="shared" ca="1" si="292"/>
        <v>#VALUE!</v>
      </c>
      <c r="V572" t="e">
        <f t="shared" ca="1" si="293"/>
        <v>#VALUE!</v>
      </c>
      <c r="W572" t="e">
        <f t="shared" ca="1" si="272"/>
        <v>#VALUE!</v>
      </c>
      <c r="X572" t="e">
        <f t="shared" ca="1" si="273"/>
        <v>#VALUE!</v>
      </c>
      <c r="Y572" t="e">
        <f t="shared" ca="1" si="274"/>
        <v>#VALUE!</v>
      </c>
      <c r="Z572" t="e">
        <f t="shared" ca="1" si="275"/>
        <v>#VALUE!</v>
      </c>
      <c r="AA572" t="e">
        <f t="shared" ca="1" si="276"/>
        <v>#VALUE!</v>
      </c>
      <c r="AB572" t="e">
        <f t="shared" ca="1" si="277"/>
        <v>#VALUE!</v>
      </c>
      <c r="AC572" t="e">
        <f t="shared" ca="1" si="278"/>
        <v>#VALUE!</v>
      </c>
      <c r="AD572" t="e">
        <f t="shared" ca="1" si="279"/>
        <v>#VALUE!</v>
      </c>
      <c r="AE572" t="e">
        <f t="shared" ca="1" si="280"/>
        <v>#VALUE!</v>
      </c>
      <c r="AF572" t="e">
        <f t="shared" ca="1" si="281"/>
        <v>#VALUE!</v>
      </c>
      <c r="AG572" t="e">
        <f t="shared" ca="1" si="282"/>
        <v>#VALUE!</v>
      </c>
      <c r="AH572" t="e">
        <f ca="1">IF(V32="Supercritical",L572,IF(V32="Subcritical",W572,IF(AND(V572=1,AG572=1),IF(T572&gt;=AE572,L572,W572),IF(V572=1,L572,IF(AG572=1,W572,MAX($D$16,POWER((ABS(K572)^2)/($I$5*MAX(F572,0.1)^2),1/3)))))))</f>
        <v>#VALUE!</v>
      </c>
      <c r="AI572" t="e">
        <f t="shared" ca="1" si="283"/>
        <v>#VALUE!</v>
      </c>
      <c r="AJ572" t="e">
        <f t="shared" ca="1" si="284"/>
        <v>#VALUE!</v>
      </c>
      <c r="AM572">
        <v>0</v>
      </c>
      <c r="AN572">
        <v>0</v>
      </c>
      <c r="AO572">
        <f t="shared" si="285"/>
        <v>0</v>
      </c>
      <c r="AP572">
        <f t="shared" si="294"/>
        <v>0</v>
      </c>
      <c r="AQ572" t="e">
        <f t="shared" ca="1" si="286"/>
        <v>#VALUE!</v>
      </c>
      <c r="AR572" t="e">
        <f t="shared" ca="1" si="287"/>
        <v>#VALUE!</v>
      </c>
      <c r="AS572" t="e">
        <f t="shared" ca="1" si="288"/>
        <v>#VALUE!</v>
      </c>
    </row>
    <row r="573" spans="1:45" x14ac:dyDescent="0.35">
      <c r="A573">
        <v>424</v>
      </c>
      <c r="B573">
        <v>422.89499999999998</v>
      </c>
      <c r="C573">
        <v>616240.88699999999</v>
      </c>
      <c r="D573">
        <v>3097544.5249999999</v>
      </c>
      <c r="E573">
        <v>632.35050000000001</v>
      </c>
      <c r="F573">
        <v>5.2</v>
      </c>
      <c r="G573">
        <v>0</v>
      </c>
      <c r="H573" t="s">
        <v>191</v>
      </c>
      <c r="I573">
        <v>0</v>
      </c>
      <c r="J573">
        <f t="shared" si="289"/>
        <v>0.9989999999999668</v>
      </c>
      <c r="K573">
        <f t="shared" si="290"/>
        <v>51</v>
      </c>
      <c r="L573" t="e">
        <f t="shared" ca="1" si="291"/>
        <v>#VALUE!</v>
      </c>
      <c r="M573" t="e">
        <f t="shared" ca="1" si="264"/>
        <v>#VALUE!</v>
      </c>
      <c r="N573" t="e">
        <f t="shared" ca="1" si="265"/>
        <v>#VALUE!</v>
      </c>
      <c r="O573" t="e">
        <f t="shared" ca="1" si="266"/>
        <v>#VALUE!</v>
      </c>
      <c r="P573" t="e">
        <f t="shared" ca="1" si="267"/>
        <v>#VALUE!</v>
      </c>
      <c r="Q573" t="e">
        <f t="shared" ca="1" si="268"/>
        <v>#VALUE!</v>
      </c>
      <c r="R573" t="e">
        <f t="shared" ca="1" si="269"/>
        <v>#VALUE!</v>
      </c>
      <c r="S573" t="e">
        <f t="shared" ca="1" si="270"/>
        <v>#VALUE!</v>
      </c>
      <c r="T573" t="e">
        <f t="shared" ca="1" si="271"/>
        <v>#VALUE!</v>
      </c>
      <c r="U573" t="e">
        <f t="shared" ca="1" si="292"/>
        <v>#VALUE!</v>
      </c>
      <c r="V573" t="e">
        <f t="shared" ca="1" si="293"/>
        <v>#VALUE!</v>
      </c>
      <c r="W573" t="e">
        <f t="shared" ca="1" si="272"/>
        <v>#VALUE!</v>
      </c>
      <c r="X573" t="e">
        <f t="shared" ca="1" si="273"/>
        <v>#VALUE!</v>
      </c>
      <c r="Y573" t="e">
        <f t="shared" ca="1" si="274"/>
        <v>#VALUE!</v>
      </c>
      <c r="Z573" t="e">
        <f t="shared" ca="1" si="275"/>
        <v>#VALUE!</v>
      </c>
      <c r="AA573" t="e">
        <f t="shared" ca="1" si="276"/>
        <v>#VALUE!</v>
      </c>
      <c r="AB573" t="e">
        <f t="shared" ca="1" si="277"/>
        <v>#VALUE!</v>
      </c>
      <c r="AC573" t="e">
        <f t="shared" ca="1" si="278"/>
        <v>#VALUE!</v>
      </c>
      <c r="AD573" t="e">
        <f t="shared" ca="1" si="279"/>
        <v>#VALUE!</v>
      </c>
      <c r="AE573" t="e">
        <f t="shared" ca="1" si="280"/>
        <v>#VALUE!</v>
      </c>
      <c r="AF573" t="e">
        <f t="shared" ca="1" si="281"/>
        <v>#VALUE!</v>
      </c>
      <c r="AG573" t="e">
        <f t="shared" ca="1" si="282"/>
        <v>#VALUE!</v>
      </c>
      <c r="AH573" t="e">
        <f ca="1">IF(V32="Supercritical",L573,IF(V32="Subcritical",W573,IF(AND(V573=1,AG573=1),IF(T573&gt;=AE573,L573,W573),IF(V573=1,L573,IF(AG573=1,W573,MAX($D$16,POWER((ABS(K573)^2)/($I$5*MAX(F573,0.1)^2),1/3)))))))</f>
        <v>#VALUE!</v>
      </c>
      <c r="AI573" t="e">
        <f t="shared" ca="1" si="283"/>
        <v>#VALUE!</v>
      </c>
      <c r="AJ573" t="e">
        <f t="shared" ca="1" si="284"/>
        <v>#VALUE!</v>
      </c>
      <c r="AM573">
        <v>0</v>
      </c>
      <c r="AN573">
        <v>0</v>
      </c>
      <c r="AO573">
        <f t="shared" si="285"/>
        <v>0</v>
      </c>
      <c r="AP573">
        <f t="shared" si="294"/>
        <v>0</v>
      </c>
      <c r="AQ573" t="e">
        <f t="shared" ca="1" si="286"/>
        <v>#VALUE!</v>
      </c>
      <c r="AR573" t="e">
        <f t="shared" ca="1" si="287"/>
        <v>#VALUE!</v>
      </c>
      <c r="AS573" t="e">
        <f t="shared" ca="1" si="288"/>
        <v>#VALUE!</v>
      </c>
    </row>
    <row r="574" spans="1:45" x14ac:dyDescent="0.35">
      <c r="A574">
        <v>425</v>
      </c>
      <c r="B574">
        <v>423.89499999999998</v>
      </c>
      <c r="C574">
        <v>616240.41299999994</v>
      </c>
      <c r="D574">
        <v>3097543.645</v>
      </c>
      <c r="E574">
        <v>632.35</v>
      </c>
      <c r="F574">
        <v>5.2</v>
      </c>
      <c r="G574">
        <v>0</v>
      </c>
      <c r="H574" t="s">
        <v>191</v>
      </c>
      <c r="I574">
        <v>2.3E-2</v>
      </c>
      <c r="J574">
        <f t="shared" si="289"/>
        <v>1</v>
      </c>
      <c r="K574">
        <f t="shared" si="290"/>
        <v>51</v>
      </c>
      <c r="L574" t="e">
        <f t="shared" ca="1" si="291"/>
        <v>#VALUE!</v>
      </c>
      <c r="M574" t="e">
        <f t="shared" ca="1" si="264"/>
        <v>#VALUE!</v>
      </c>
      <c r="N574" t="e">
        <f t="shared" ca="1" si="265"/>
        <v>#VALUE!</v>
      </c>
      <c r="O574" t="e">
        <f t="shared" ca="1" si="266"/>
        <v>#VALUE!</v>
      </c>
      <c r="P574" t="e">
        <f t="shared" ca="1" si="267"/>
        <v>#VALUE!</v>
      </c>
      <c r="Q574" t="e">
        <f t="shared" ca="1" si="268"/>
        <v>#VALUE!</v>
      </c>
      <c r="R574" t="e">
        <f t="shared" ca="1" si="269"/>
        <v>#VALUE!</v>
      </c>
      <c r="S574" t="e">
        <f t="shared" ca="1" si="270"/>
        <v>#VALUE!</v>
      </c>
      <c r="T574" t="e">
        <f t="shared" ca="1" si="271"/>
        <v>#VALUE!</v>
      </c>
      <c r="U574" t="e">
        <f t="shared" ca="1" si="292"/>
        <v>#VALUE!</v>
      </c>
      <c r="V574" t="e">
        <f t="shared" ca="1" si="293"/>
        <v>#VALUE!</v>
      </c>
      <c r="W574" t="e">
        <f t="shared" ca="1" si="272"/>
        <v>#VALUE!</v>
      </c>
      <c r="X574" t="e">
        <f t="shared" ca="1" si="273"/>
        <v>#VALUE!</v>
      </c>
      <c r="Y574" t="e">
        <f t="shared" ca="1" si="274"/>
        <v>#VALUE!</v>
      </c>
      <c r="Z574" t="e">
        <f t="shared" ca="1" si="275"/>
        <v>#VALUE!</v>
      </c>
      <c r="AA574" t="e">
        <f t="shared" ca="1" si="276"/>
        <v>#VALUE!</v>
      </c>
      <c r="AB574" t="e">
        <f t="shared" ca="1" si="277"/>
        <v>#VALUE!</v>
      </c>
      <c r="AC574" t="e">
        <f t="shared" ca="1" si="278"/>
        <v>#VALUE!</v>
      </c>
      <c r="AD574" t="e">
        <f t="shared" ca="1" si="279"/>
        <v>#VALUE!</v>
      </c>
      <c r="AE574" t="e">
        <f t="shared" ca="1" si="280"/>
        <v>#VALUE!</v>
      </c>
      <c r="AF574" t="e">
        <f t="shared" ca="1" si="281"/>
        <v>#VALUE!</v>
      </c>
      <c r="AG574" t="e">
        <f t="shared" ca="1" si="282"/>
        <v>#VALUE!</v>
      </c>
      <c r="AH574" t="e">
        <f ca="1">IF(V32="Supercritical",L574,IF(V32="Subcritical",W574,IF(AND(V574=1,AG574=1),IF(T574&gt;=AE574,L574,W574),IF(V574=1,L574,IF(AG574=1,W574,MAX($D$16,POWER((ABS(K574)^2)/($I$5*MAX(F574,0.1)^2),1/3)))))))</f>
        <v>#VALUE!</v>
      </c>
      <c r="AI574" t="e">
        <f t="shared" ca="1" si="283"/>
        <v>#VALUE!</v>
      </c>
      <c r="AJ574" t="e">
        <f t="shared" ca="1" si="284"/>
        <v>#VALUE!</v>
      </c>
      <c r="AM574">
        <v>0</v>
      </c>
      <c r="AN574">
        <v>0</v>
      </c>
      <c r="AO574">
        <f t="shared" si="285"/>
        <v>0</v>
      </c>
      <c r="AP574">
        <f t="shared" si="294"/>
        <v>0</v>
      </c>
      <c r="AQ574" t="e">
        <f t="shared" ca="1" si="286"/>
        <v>#VALUE!</v>
      </c>
      <c r="AR574" t="e">
        <f t="shared" ca="1" si="287"/>
        <v>#VALUE!</v>
      </c>
      <c r="AS574" t="e">
        <f t="shared" ca="1" si="288"/>
        <v>#VALUE!</v>
      </c>
    </row>
    <row r="575" spans="1:45" x14ac:dyDescent="0.35">
      <c r="A575">
        <v>426</v>
      </c>
      <c r="B575">
        <v>424.89600000000002</v>
      </c>
      <c r="C575">
        <v>616239.93799999997</v>
      </c>
      <c r="D575">
        <v>3097542.764</v>
      </c>
      <c r="E575">
        <v>632.34950000000003</v>
      </c>
      <c r="F575">
        <v>5.2</v>
      </c>
      <c r="G575">
        <v>0</v>
      </c>
      <c r="H575" t="s">
        <v>191</v>
      </c>
      <c r="I575">
        <v>2.3E-2</v>
      </c>
      <c r="J575">
        <f t="shared" si="289"/>
        <v>1.0010000000000332</v>
      </c>
      <c r="K575">
        <f t="shared" si="290"/>
        <v>51</v>
      </c>
      <c r="L575" t="e">
        <f t="shared" ca="1" si="291"/>
        <v>#VALUE!</v>
      </c>
      <c r="M575" t="e">
        <f t="shared" ca="1" si="264"/>
        <v>#VALUE!</v>
      </c>
      <c r="N575" t="e">
        <f t="shared" ca="1" si="265"/>
        <v>#VALUE!</v>
      </c>
      <c r="O575" t="e">
        <f t="shared" ca="1" si="266"/>
        <v>#VALUE!</v>
      </c>
      <c r="P575" t="e">
        <f t="shared" ca="1" si="267"/>
        <v>#VALUE!</v>
      </c>
      <c r="Q575" t="e">
        <f t="shared" ca="1" si="268"/>
        <v>#VALUE!</v>
      </c>
      <c r="R575" t="e">
        <f t="shared" ca="1" si="269"/>
        <v>#VALUE!</v>
      </c>
      <c r="S575" t="e">
        <f t="shared" ca="1" si="270"/>
        <v>#VALUE!</v>
      </c>
      <c r="T575" t="e">
        <f t="shared" ca="1" si="271"/>
        <v>#VALUE!</v>
      </c>
      <c r="U575" t="e">
        <f t="shared" ca="1" si="292"/>
        <v>#VALUE!</v>
      </c>
      <c r="V575" t="e">
        <f t="shared" ca="1" si="293"/>
        <v>#VALUE!</v>
      </c>
      <c r="W575" t="e">
        <f t="shared" ca="1" si="272"/>
        <v>#VALUE!</v>
      </c>
      <c r="X575" t="e">
        <f t="shared" ca="1" si="273"/>
        <v>#VALUE!</v>
      </c>
      <c r="Y575" t="e">
        <f t="shared" ca="1" si="274"/>
        <v>#VALUE!</v>
      </c>
      <c r="Z575" t="e">
        <f t="shared" ca="1" si="275"/>
        <v>#VALUE!</v>
      </c>
      <c r="AA575" t="e">
        <f t="shared" ca="1" si="276"/>
        <v>#VALUE!</v>
      </c>
      <c r="AB575" t="e">
        <f t="shared" ca="1" si="277"/>
        <v>#VALUE!</v>
      </c>
      <c r="AC575" t="e">
        <f t="shared" ca="1" si="278"/>
        <v>#VALUE!</v>
      </c>
      <c r="AD575" t="e">
        <f t="shared" ca="1" si="279"/>
        <v>#VALUE!</v>
      </c>
      <c r="AE575" t="e">
        <f t="shared" ca="1" si="280"/>
        <v>#VALUE!</v>
      </c>
      <c r="AF575" t="e">
        <f t="shared" ca="1" si="281"/>
        <v>#VALUE!</v>
      </c>
      <c r="AG575" t="e">
        <f t="shared" ca="1" si="282"/>
        <v>#VALUE!</v>
      </c>
      <c r="AH575" t="e">
        <f ca="1">IF(V32="Supercritical",L575,IF(V32="Subcritical",W575,IF(AND(V575=1,AG575=1),IF(T575&gt;=AE575,L575,W575),IF(V575=1,L575,IF(AG575=1,W575,MAX($D$16,POWER((ABS(K575)^2)/($I$5*MAX(F575,0.1)^2),1/3)))))))</f>
        <v>#VALUE!</v>
      </c>
      <c r="AI575" t="e">
        <f t="shared" ca="1" si="283"/>
        <v>#VALUE!</v>
      </c>
      <c r="AJ575" t="e">
        <f t="shared" ca="1" si="284"/>
        <v>#VALUE!</v>
      </c>
      <c r="AM575">
        <v>0</v>
      </c>
      <c r="AN575">
        <v>0</v>
      </c>
      <c r="AO575">
        <f t="shared" si="285"/>
        <v>0</v>
      </c>
      <c r="AP575">
        <f t="shared" si="294"/>
        <v>0</v>
      </c>
      <c r="AQ575" t="e">
        <f t="shared" ca="1" si="286"/>
        <v>#VALUE!</v>
      </c>
      <c r="AR575" t="e">
        <f t="shared" ca="1" si="287"/>
        <v>#VALUE!</v>
      </c>
      <c r="AS575" t="e">
        <f t="shared" ca="1" si="288"/>
        <v>#VALUE!</v>
      </c>
    </row>
    <row r="576" spans="1:45" x14ac:dyDescent="0.35">
      <c r="A576">
        <v>427</v>
      </c>
      <c r="B576">
        <v>425.89499999999998</v>
      </c>
      <c r="C576">
        <v>616239.46400000004</v>
      </c>
      <c r="D576">
        <v>3097541.8840000001</v>
      </c>
      <c r="E576">
        <v>632.34900000000005</v>
      </c>
      <c r="F576">
        <v>5.2</v>
      </c>
      <c r="G576">
        <v>0</v>
      </c>
      <c r="H576" t="s">
        <v>191</v>
      </c>
      <c r="I576">
        <v>2.7E-2</v>
      </c>
      <c r="J576">
        <f t="shared" si="289"/>
        <v>0.9989999999999668</v>
      </c>
      <c r="K576">
        <f t="shared" si="290"/>
        <v>51</v>
      </c>
      <c r="L576" t="e">
        <f t="shared" ca="1" si="291"/>
        <v>#VALUE!</v>
      </c>
      <c r="M576" t="e">
        <f t="shared" ca="1" si="264"/>
        <v>#VALUE!</v>
      </c>
      <c r="N576" t="e">
        <f t="shared" ca="1" si="265"/>
        <v>#VALUE!</v>
      </c>
      <c r="O576" t="e">
        <f t="shared" ca="1" si="266"/>
        <v>#VALUE!</v>
      </c>
      <c r="P576" t="e">
        <f t="shared" ca="1" si="267"/>
        <v>#VALUE!</v>
      </c>
      <c r="Q576" t="e">
        <f t="shared" ca="1" si="268"/>
        <v>#VALUE!</v>
      </c>
      <c r="R576" t="e">
        <f t="shared" ca="1" si="269"/>
        <v>#VALUE!</v>
      </c>
      <c r="S576" t="e">
        <f t="shared" ca="1" si="270"/>
        <v>#VALUE!</v>
      </c>
      <c r="T576" t="e">
        <f t="shared" ca="1" si="271"/>
        <v>#VALUE!</v>
      </c>
      <c r="U576" t="e">
        <f t="shared" ca="1" si="292"/>
        <v>#VALUE!</v>
      </c>
      <c r="V576" t="e">
        <f t="shared" ca="1" si="293"/>
        <v>#VALUE!</v>
      </c>
      <c r="W576" t="e">
        <f t="shared" ca="1" si="272"/>
        <v>#VALUE!</v>
      </c>
      <c r="X576" t="e">
        <f t="shared" ca="1" si="273"/>
        <v>#VALUE!</v>
      </c>
      <c r="Y576" t="e">
        <f t="shared" ca="1" si="274"/>
        <v>#VALUE!</v>
      </c>
      <c r="Z576" t="e">
        <f t="shared" ca="1" si="275"/>
        <v>#VALUE!</v>
      </c>
      <c r="AA576" t="e">
        <f t="shared" ca="1" si="276"/>
        <v>#VALUE!</v>
      </c>
      <c r="AB576" t="e">
        <f t="shared" ca="1" si="277"/>
        <v>#VALUE!</v>
      </c>
      <c r="AC576" t="e">
        <f t="shared" ca="1" si="278"/>
        <v>#VALUE!</v>
      </c>
      <c r="AD576" t="e">
        <f t="shared" ca="1" si="279"/>
        <v>#VALUE!</v>
      </c>
      <c r="AE576" t="e">
        <f t="shared" ca="1" si="280"/>
        <v>#VALUE!</v>
      </c>
      <c r="AF576" t="e">
        <f t="shared" ca="1" si="281"/>
        <v>#VALUE!</v>
      </c>
      <c r="AG576" t="e">
        <f t="shared" ca="1" si="282"/>
        <v>#VALUE!</v>
      </c>
      <c r="AH576" t="e">
        <f ca="1">IF(V32="Supercritical",L576,IF(V32="Subcritical",W576,IF(AND(V576=1,AG576=1),IF(T576&gt;=AE576,L576,W576),IF(V576=1,L576,IF(AG576=1,W576,MAX($D$16,POWER((ABS(K576)^2)/($I$5*MAX(F576,0.1)^2),1/3)))))))</f>
        <v>#VALUE!</v>
      </c>
      <c r="AI576" t="e">
        <f t="shared" ca="1" si="283"/>
        <v>#VALUE!</v>
      </c>
      <c r="AJ576" t="e">
        <f t="shared" ca="1" si="284"/>
        <v>#VALUE!</v>
      </c>
      <c r="AM576">
        <v>0</v>
      </c>
      <c r="AN576">
        <v>0</v>
      </c>
      <c r="AO576">
        <f t="shared" si="285"/>
        <v>0</v>
      </c>
      <c r="AP576">
        <f t="shared" si="294"/>
        <v>0</v>
      </c>
      <c r="AQ576" t="e">
        <f t="shared" ca="1" si="286"/>
        <v>#VALUE!</v>
      </c>
      <c r="AR576" t="e">
        <f t="shared" ca="1" si="287"/>
        <v>#VALUE!</v>
      </c>
      <c r="AS576" t="e">
        <f t="shared" ca="1" si="288"/>
        <v>#VALUE!</v>
      </c>
    </row>
    <row r="577" spans="1:45" x14ac:dyDescent="0.35">
      <c r="A577">
        <v>428</v>
      </c>
      <c r="B577">
        <v>426.89600000000002</v>
      </c>
      <c r="C577">
        <v>616238.99</v>
      </c>
      <c r="D577">
        <v>3097541.003</v>
      </c>
      <c r="E577">
        <v>632.34849999999994</v>
      </c>
      <c r="F577">
        <v>5.2</v>
      </c>
      <c r="G577">
        <v>0</v>
      </c>
      <c r="H577" t="s">
        <v>191</v>
      </c>
      <c r="I577">
        <v>2.7E-2</v>
      </c>
      <c r="J577">
        <f t="shared" si="289"/>
        <v>1.0010000000000332</v>
      </c>
      <c r="K577">
        <f t="shared" si="290"/>
        <v>51</v>
      </c>
      <c r="L577" t="e">
        <f t="shared" ca="1" si="291"/>
        <v>#VALUE!</v>
      </c>
      <c r="M577" t="e">
        <f t="shared" ca="1" si="264"/>
        <v>#VALUE!</v>
      </c>
      <c r="N577" t="e">
        <f t="shared" ca="1" si="265"/>
        <v>#VALUE!</v>
      </c>
      <c r="O577" t="e">
        <f t="shared" ca="1" si="266"/>
        <v>#VALUE!</v>
      </c>
      <c r="P577" t="e">
        <f t="shared" ca="1" si="267"/>
        <v>#VALUE!</v>
      </c>
      <c r="Q577" t="e">
        <f t="shared" ca="1" si="268"/>
        <v>#VALUE!</v>
      </c>
      <c r="R577" t="e">
        <f t="shared" ca="1" si="269"/>
        <v>#VALUE!</v>
      </c>
      <c r="S577" t="e">
        <f t="shared" ca="1" si="270"/>
        <v>#VALUE!</v>
      </c>
      <c r="T577" t="e">
        <f t="shared" ca="1" si="271"/>
        <v>#VALUE!</v>
      </c>
      <c r="U577" t="e">
        <f t="shared" ca="1" si="292"/>
        <v>#VALUE!</v>
      </c>
      <c r="V577" t="e">
        <f t="shared" ca="1" si="293"/>
        <v>#VALUE!</v>
      </c>
      <c r="W577" t="e">
        <f t="shared" ca="1" si="272"/>
        <v>#VALUE!</v>
      </c>
      <c r="X577" t="e">
        <f t="shared" ca="1" si="273"/>
        <v>#VALUE!</v>
      </c>
      <c r="Y577" t="e">
        <f t="shared" ca="1" si="274"/>
        <v>#VALUE!</v>
      </c>
      <c r="Z577" t="e">
        <f t="shared" ca="1" si="275"/>
        <v>#VALUE!</v>
      </c>
      <c r="AA577" t="e">
        <f t="shared" ca="1" si="276"/>
        <v>#VALUE!</v>
      </c>
      <c r="AB577" t="e">
        <f t="shared" ca="1" si="277"/>
        <v>#VALUE!</v>
      </c>
      <c r="AC577" t="e">
        <f t="shared" ca="1" si="278"/>
        <v>#VALUE!</v>
      </c>
      <c r="AD577" t="e">
        <f t="shared" ca="1" si="279"/>
        <v>#VALUE!</v>
      </c>
      <c r="AE577" t="e">
        <f t="shared" ca="1" si="280"/>
        <v>#VALUE!</v>
      </c>
      <c r="AF577" t="e">
        <f t="shared" ca="1" si="281"/>
        <v>#VALUE!</v>
      </c>
      <c r="AG577" t="e">
        <f t="shared" ca="1" si="282"/>
        <v>#VALUE!</v>
      </c>
      <c r="AH577" t="e">
        <f ca="1">IF(V32="Supercritical",L577,IF(V32="Subcritical",W577,IF(AND(V577=1,AG577=1),IF(T577&gt;=AE577,L577,W577),IF(V577=1,L577,IF(AG577=1,W577,MAX($D$16,POWER((ABS(K577)^2)/($I$5*MAX(F577,0.1)^2),1/3)))))))</f>
        <v>#VALUE!</v>
      </c>
      <c r="AI577" t="e">
        <f t="shared" ca="1" si="283"/>
        <v>#VALUE!</v>
      </c>
      <c r="AJ577" t="e">
        <f t="shared" ca="1" si="284"/>
        <v>#VALUE!</v>
      </c>
      <c r="AM577">
        <v>0</v>
      </c>
      <c r="AN577">
        <v>0</v>
      </c>
      <c r="AO577">
        <f t="shared" si="285"/>
        <v>0</v>
      </c>
      <c r="AP577">
        <f t="shared" si="294"/>
        <v>0</v>
      </c>
      <c r="AQ577" t="e">
        <f t="shared" ca="1" si="286"/>
        <v>#VALUE!</v>
      </c>
      <c r="AR577" t="e">
        <f t="shared" ca="1" si="287"/>
        <v>#VALUE!</v>
      </c>
      <c r="AS577" t="e">
        <f t="shared" ca="1" si="288"/>
        <v>#VALUE!</v>
      </c>
    </row>
    <row r="578" spans="1:45" x14ac:dyDescent="0.35">
      <c r="A578">
        <v>429</v>
      </c>
      <c r="B578">
        <v>427.89499999999998</v>
      </c>
      <c r="C578">
        <v>616238.51599999995</v>
      </c>
      <c r="D578">
        <v>3097540.1230000001</v>
      </c>
      <c r="E578">
        <v>632.34799999999996</v>
      </c>
      <c r="F578">
        <v>5.2</v>
      </c>
      <c r="G578">
        <v>0</v>
      </c>
      <c r="H578" t="s">
        <v>191</v>
      </c>
      <c r="I578">
        <v>0</v>
      </c>
      <c r="J578">
        <f t="shared" si="289"/>
        <v>0.9989999999999668</v>
      </c>
      <c r="K578">
        <f t="shared" si="290"/>
        <v>51</v>
      </c>
      <c r="L578" t="e">
        <f t="shared" ca="1" si="291"/>
        <v>#VALUE!</v>
      </c>
      <c r="M578" t="e">
        <f t="shared" ca="1" si="264"/>
        <v>#VALUE!</v>
      </c>
      <c r="N578" t="e">
        <f t="shared" ca="1" si="265"/>
        <v>#VALUE!</v>
      </c>
      <c r="O578" t="e">
        <f t="shared" ca="1" si="266"/>
        <v>#VALUE!</v>
      </c>
      <c r="P578" t="e">
        <f t="shared" ca="1" si="267"/>
        <v>#VALUE!</v>
      </c>
      <c r="Q578" t="e">
        <f t="shared" ca="1" si="268"/>
        <v>#VALUE!</v>
      </c>
      <c r="R578" t="e">
        <f t="shared" ca="1" si="269"/>
        <v>#VALUE!</v>
      </c>
      <c r="S578" t="e">
        <f t="shared" ca="1" si="270"/>
        <v>#VALUE!</v>
      </c>
      <c r="T578" t="e">
        <f t="shared" ca="1" si="271"/>
        <v>#VALUE!</v>
      </c>
      <c r="U578" t="e">
        <f t="shared" ca="1" si="292"/>
        <v>#VALUE!</v>
      </c>
      <c r="V578" t="e">
        <f t="shared" ca="1" si="293"/>
        <v>#VALUE!</v>
      </c>
      <c r="W578" t="e">
        <f t="shared" ca="1" si="272"/>
        <v>#VALUE!</v>
      </c>
      <c r="X578" t="e">
        <f t="shared" ca="1" si="273"/>
        <v>#VALUE!</v>
      </c>
      <c r="Y578" t="e">
        <f t="shared" ca="1" si="274"/>
        <v>#VALUE!</v>
      </c>
      <c r="Z578" t="e">
        <f t="shared" ca="1" si="275"/>
        <v>#VALUE!</v>
      </c>
      <c r="AA578" t="e">
        <f t="shared" ca="1" si="276"/>
        <v>#VALUE!</v>
      </c>
      <c r="AB578" t="e">
        <f t="shared" ca="1" si="277"/>
        <v>#VALUE!</v>
      </c>
      <c r="AC578" t="e">
        <f t="shared" ca="1" si="278"/>
        <v>#VALUE!</v>
      </c>
      <c r="AD578" t="e">
        <f t="shared" ca="1" si="279"/>
        <v>#VALUE!</v>
      </c>
      <c r="AE578" t="e">
        <f t="shared" ca="1" si="280"/>
        <v>#VALUE!</v>
      </c>
      <c r="AF578" t="e">
        <f t="shared" ca="1" si="281"/>
        <v>#VALUE!</v>
      </c>
      <c r="AG578" t="e">
        <f t="shared" ca="1" si="282"/>
        <v>#VALUE!</v>
      </c>
      <c r="AH578" t="e">
        <f ca="1">IF(V32="Supercritical",L578,IF(V32="Subcritical",W578,IF(AND(V578=1,AG578=1),IF(T578&gt;=AE578,L578,W578),IF(V578=1,L578,IF(AG578=1,W578,MAX($D$16,POWER((ABS(K578)^2)/($I$5*MAX(F578,0.1)^2),1/3)))))))</f>
        <v>#VALUE!</v>
      </c>
      <c r="AI578" t="e">
        <f t="shared" ca="1" si="283"/>
        <v>#VALUE!</v>
      </c>
      <c r="AJ578" t="e">
        <f t="shared" ca="1" si="284"/>
        <v>#VALUE!</v>
      </c>
      <c r="AM578">
        <v>0</v>
      </c>
      <c r="AN578">
        <v>0</v>
      </c>
      <c r="AO578">
        <f t="shared" si="285"/>
        <v>0</v>
      </c>
      <c r="AP578">
        <f t="shared" si="294"/>
        <v>0</v>
      </c>
      <c r="AQ578" t="e">
        <f t="shared" ca="1" si="286"/>
        <v>#VALUE!</v>
      </c>
      <c r="AR578" t="e">
        <f t="shared" ca="1" si="287"/>
        <v>#VALUE!</v>
      </c>
      <c r="AS578" t="e">
        <f t="shared" ca="1" si="288"/>
        <v>#VALUE!</v>
      </c>
    </row>
    <row r="579" spans="1:45" x14ac:dyDescent="0.35">
      <c r="A579">
        <v>430</v>
      </c>
      <c r="B579">
        <v>428.89499999999998</v>
      </c>
      <c r="C579">
        <v>616238.04200000002</v>
      </c>
      <c r="D579">
        <v>3097539.2429999998</v>
      </c>
      <c r="E579">
        <v>632.34749999999997</v>
      </c>
      <c r="F579">
        <v>5.2</v>
      </c>
      <c r="G579">
        <v>0</v>
      </c>
      <c r="H579" t="s">
        <v>191</v>
      </c>
      <c r="I579">
        <v>2.3E-2</v>
      </c>
      <c r="J579">
        <f t="shared" si="289"/>
        <v>1</v>
      </c>
      <c r="K579">
        <f t="shared" si="290"/>
        <v>51</v>
      </c>
      <c r="L579" t="e">
        <f t="shared" ca="1" si="291"/>
        <v>#VALUE!</v>
      </c>
      <c r="M579" t="e">
        <f t="shared" ca="1" si="264"/>
        <v>#VALUE!</v>
      </c>
      <c r="N579" t="e">
        <f t="shared" ca="1" si="265"/>
        <v>#VALUE!</v>
      </c>
      <c r="O579" t="e">
        <f t="shared" ca="1" si="266"/>
        <v>#VALUE!</v>
      </c>
      <c r="P579" t="e">
        <f t="shared" ca="1" si="267"/>
        <v>#VALUE!</v>
      </c>
      <c r="Q579" t="e">
        <f t="shared" ca="1" si="268"/>
        <v>#VALUE!</v>
      </c>
      <c r="R579" t="e">
        <f t="shared" ca="1" si="269"/>
        <v>#VALUE!</v>
      </c>
      <c r="S579" t="e">
        <f t="shared" ca="1" si="270"/>
        <v>#VALUE!</v>
      </c>
      <c r="T579" t="e">
        <f t="shared" ca="1" si="271"/>
        <v>#VALUE!</v>
      </c>
      <c r="U579" t="e">
        <f t="shared" ca="1" si="292"/>
        <v>#VALUE!</v>
      </c>
      <c r="V579" t="e">
        <f t="shared" ca="1" si="293"/>
        <v>#VALUE!</v>
      </c>
      <c r="W579" t="e">
        <f t="shared" ca="1" si="272"/>
        <v>#VALUE!</v>
      </c>
      <c r="X579" t="e">
        <f t="shared" ca="1" si="273"/>
        <v>#VALUE!</v>
      </c>
      <c r="Y579" t="e">
        <f t="shared" ca="1" si="274"/>
        <v>#VALUE!</v>
      </c>
      <c r="Z579" t="e">
        <f t="shared" ca="1" si="275"/>
        <v>#VALUE!</v>
      </c>
      <c r="AA579" t="e">
        <f t="shared" ca="1" si="276"/>
        <v>#VALUE!</v>
      </c>
      <c r="AB579" t="e">
        <f t="shared" ca="1" si="277"/>
        <v>#VALUE!</v>
      </c>
      <c r="AC579" t="e">
        <f t="shared" ca="1" si="278"/>
        <v>#VALUE!</v>
      </c>
      <c r="AD579" t="e">
        <f t="shared" ca="1" si="279"/>
        <v>#VALUE!</v>
      </c>
      <c r="AE579" t="e">
        <f t="shared" ca="1" si="280"/>
        <v>#VALUE!</v>
      </c>
      <c r="AF579" t="e">
        <f t="shared" ca="1" si="281"/>
        <v>#VALUE!</v>
      </c>
      <c r="AG579" t="e">
        <f t="shared" ca="1" si="282"/>
        <v>#VALUE!</v>
      </c>
      <c r="AH579" t="e">
        <f ca="1">IF(V32="Supercritical",L579,IF(V32="Subcritical",W579,IF(AND(V579=1,AG579=1),IF(T579&gt;=AE579,L579,W579),IF(V579=1,L579,IF(AG579=1,W579,MAX($D$16,POWER((ABS(K579)^2)/($I$5*MAX(F579,0.1)^2),1/3)))))))</f>
        <v>#VALUE!</v>
      </c>
      <c r="AI579" t="e">
        <f t="shared" ca="1" si="283"/>
        <v>#VALUE!</v>
      </c>
      <c r="AJ579" t="e">
        <f t="shared" ca="1" si="284"/>
        <v>#VALUE!</v>
      </c>
      <c r="AM579">
        <v>0</v>
      </c>
      <c r="AN579">
        <v>0</v>
      </c>
      <c r="AO579">
        <f t="shared" si="285"/>
        <v>0</v>
      </c>
      <c r="AP579">
        <f t="shared" si="294"/>
        <v>0</v>
      </c>
      <c r="AQ579" t="e">
        <f t="shared" ca="1" si="286"/>
        <v>#VALUE!</v>
      </c>
      <c r="AR579" t="e">
        <f t="shared" ca="1" si="287"/>
        <v>#VALUE!</v>
      </c>
      <c r="AS579" t="e">
        <f t="shared" ca="1" si="288"/>
        <v>#VALUE!</v>
      </c>
    </row>
    <row r="580" spans="1:45" x14ac:dyDescent="0.35">
      <c r="A580">
        <v>431</v>
      </c>
      <c r="B580">
        <v>429.89600000000002</v>
      </c>
      <c r="C580">
        <v>616237.56700000004</v>
      </c>
      <c r="D580">
        <v>3097538.3620000002</v>
      </c>
      <c r="E580">
        <v>632.34699999999998</v>
      </c>
      <c r="F580">
        <v>5.2</v>
      </c>
      <c r="G580">
        <v>0</v>
      </c>
      <c r="H580" t="s">
        <v>191</v>
      </c>
      <c r="I580">
        <v>2.3E-2</v>
      </c>
      <c r="J580">
        <f t="shared" si="289"/>
        <v>1.0010000000000332</v>
      </c>
      <c r="K580">
        <f t="shared" si="290"/>
        <v>51</v>
      </c>
      <c r="L580" t="e">
        <f t="shared" ca="1" si="291"/>
        <v>#VALUE!</v>
      </c>
      <c r="M580" t="e">
        <f t="shared" ca="1" si="264"/>
        <v>#VALUE!</v>
      </c>
      <c r="N580" t="e">
        <f t="shared" ca="1" si="265"/>
        <v>#VALUE!</v>
      </c>
      <c r="O580" t="e">
        <f t="shared" ca="1" si="266"/>
        <v>#VALUE!</v>
      </c>
      <c r="P580" t="e">
        <f t="shared" ca="1" si="267"/>
        <v>#VALUE!</v>
      </c>
      <c r="Q580" t="e">
        <f t="shared" ca="1" si="268"/>
        <v>#VALUE!</v>
      </c>
      <c r="R580" t="e">
        <f t="shared" ca="1" si="269"/>
        <v>#VALUE!</v>
      </c>
      <c r="S580" t="e">
        <f t="shared" ca="1" si="270"/>
        <v>#VALUE!</v>
      </c>
      <c r="T580" t="e">
        <f t="shared" ca="1" si="271"/>
        <v>#VALUE!</v>
      </c>
      <c r="U580" t="e">
        <f t="shared" ca="1" si="292"/>
        <v>#VALUE!</v>
      </c>
      <c r="V580" t="e">
        <f t="shared" ca="1" si="293"/>
        <v>#VALUE!</v>
      </c>
      <c r="W580" t="e">
        <f t="shared" ca="1" si="272"/>
        <v>#VALUE!</v>
      </c>
      <c r="X580" t="e">
        <f t="shared" ca="1" si="273"/>
        <v>#VALUE!</v>
      </c>
      <c r="Y580" t="e">
        <f t="shared" ca="1" si="274"/>
        <v>#VALUE!</v>
      </c>
      <c r="Z580" t="e">
        <f t="shared" ca="1" si="275"/>
        <v>#VALUE!</v>
      </c>
      <c r="AA580" t="e">
        <f t="shared" ca="1" si="276"/>
        <v>#VALUE!</v>
      </c>
      <c r="AB580" t="e">
        <f t="shared" ca="1" si="277"/>
        <v>#VALUE!</v>
      </c>
      <c r="AC580" t="e">
        <f t="shared" ca="1" si="278"/>
        <v>#VALUE!</v>
      </c>
      <c r="AD580" t="e">
        <f t="shared" ca="1" si="279"/>
        <v>#VALUE!</v>
      </c>
      <c r="AE580" t="e">
        <f t="shared" ca="1" si="280"/>
        <v>#VALUE!</v>
      </c>
      <c r="AF580" t="e">
        <f t="shared" ca="1" si="281"/>
        <v>#VALUE!</v>
      </c>
      <c r="AG580" t="e">
        <f t="shared" ca="1" si="282"/>
        <v>#VALUE!</v>
      </c>
      <c r="AH580" t="e">
        <f ca="1">IF(V32="Supercritical",L580,IF(V32="Subcritical",W580,IF(AND(V580=1,AG580=1),IF(T580&gt;=AE580,L580,W580),IF(V580=1,L580,IF(AG580=1,W580,MAX($D$16,POWER((ABS(K580)^2)/($I$5*MAX(F580,0.1)^2),1/3)))))))</f>
        <v>#VALUE!</v>
      </c>
      <c r="AI580" t="e">
        <f t="shared" ca="1" si="283"/>
        <v>#VALUE!</v>
      </c>
      <c r="AJ580" t="e">
        <f t="shared" ca="1" si="284"/>
        <v>#VALUE!</v>
      </c>
      <c r="AM580">
        <v>0</v>
      </c>
      <c r="AN580">
        <v>0</v>
      </c>
      <c r="AO580">
        <f t="shared" si="285"/>
        <v>0</v>
      </c>
      <c r="AP580">
        <f t="shared" si="294"/>
        <v>0</v>
      </c>
      <c r="AQ580" t="e">
        <f t="shared" ca="1" si="286"/>
        <v>#VALUE!</v>
      </c>
      <c r="AR580" t="e">
        <f t="shared" ca="1" si="287"/>
        <v>#VALUE!</v>
      </c>
      <c r="AS580" t="e">
        <f t="shared" ca="1" si="288"/>
        <v>#VALUE!</v>
      </c>
    </row>
    <row r="581" spans="1:45" x14ac:dyDescent="0.35">
      <c r="A581">
        <v>432</v>
      </c>
      <c r="B581">
        <v>430.89499999999998</v>
      </c>
      <c r="C581">
        <v>616237.09299999999</v>
      </c>
      <c r="D581">
        <v>3097537.4819999998</v>
      </c>
      <c r="E581">
        <v>632.34649999999999</v>
      </c>
      <c r="F581">
        <v>5.2</v>
      </c>
      <c r="G581">
        <v>0</v>
      </c>
      <c r="H581" t="s">
        <v>191</v>
      </c>
      <c r="I581">
        <v>2.7E-2</v>
      </c>
      <c r="J581">
        <f t="shared" si="289"/>
        <v>0.9989999999999668</v>
      </c>
      <c r="K581">
        <f t="shared" si="290"/>
        <v>51</v>
      </c>
      <c r="L581" t="e">
        <f t="shared" ca="1" si="291"/>
        <v>#VALUE!</v>
      </c>
      <c r="M581" t="e">
        <f t="shared" ca="1" si="264"/>
        <v>#VALUE!</v>
      </c>
      <c r="N581" t="e">
        <f t="shared" ca="1" si="265"/>
        <v>#VALUE!</v>
      </c>
      <c r="O581" t="e">
        <f t="shared" ca="1" si="266"/>
        <v>#VALUE!</v>
      </c>
      <c r="P581" t="e">
        <f t="shared" ca="1" si="267"/>
        <v>#VALUE!</v>
      </c>
      <c r="Q581" t="e">
        <f t="shared" ca="1" si="268"/>
        <v>#VALUE!</v>
      </c>
      <c r="R581" t="e">
        <f t="shared" ca="1" si="269"/>
        <v>#VALUE!</v>
      </c>
      <c r="S581" t="e">
        <f t="shared" ca="1" si="270"/>
        <v>#VALUE!</v>
      </c>
      <c r="T581" t="e">
        <f t="shared" ca="1" si="271"/>
        <v>#VALUE!</v>
      </c>
      <c r="U581" t="e">
        <f t="shared" ca="1" si="292"/>
        <v>#VALUE!</v>
      </c>
      <c r="V581" t="e">
        <f t="shared" ca="1" si="293"/>
        <v>#VALUE!</v>
      </c>
      <c r="W581" t="e">
        <f t="shared" ca="1" si="272"/>
        <v>#VALUE!</v>
      </c>
      <c r="X581" t="e">
        <f t="shared" ca="1" si="273"/>
        <v>#VALUE!</v>
      </c>
      <c r="Y581" t="e">
        <f t="shared" ca="1" si="274"/>
        <v>#VALUE!</v>
      </c>
      <c r="Z581" t="e">
        <f t="shared" ca="1" si="275"/>
        <v>#VALUE!</v>
      </c>
      <c r="AA581" t="e">
        <f t="shared" ca="1" si="276"/>
        <v>#VALUE!</v>
      </c>
      <c r="AB581" t="e">
        <f t="shared" ca="1" si="277"/>
        <v>#VALUE!</v>
      </c>
      <c r="AC581" t="e">
        <f t="shared" ca="1" si="278"/>
        <v>#VALUE!</v>
      </c>
      <c r="AD581" t="e">
        <f t="shared" ca="1" si="279"/>
        <v>#VALUE!</v>
      </c>
      <c r="AE581" t="e">
        <f t="shared" ca="1" si="280"/>
        <v>#VALUE!</v>
      </c>
      <c r="AF581" t="e">
        <f t="shared" ca="1" si="281"/>
        <v>#VALUE!</v>
      </c>
      <c r="AG581" t="e">
        <f t="shared" ca="1" si="282"/>
        <v>#VALUE!</v>
      </c>
      <c r="AH581" t="e">
        <f ca="1">IF(V32="Supercritical",L581,IF(V32="Subcritical",W581,IF(AND(V581=1,AG581=1),IF(T581&gt;=AE581,L581,W581),IF(V581=1,L581,IF(AG581=1,W581,MAX($D$16,POWER((ABS(K581)^2)/($I$5*MAX(F581,0.1)^2),1/3)))))))</f>
        <v>#VALUE!</v>
      </c>
      <c r="AI581" t="e">
        <f t="shared" ca="1" si="283"/>
        <v>#VALUE!</v>
      </c>
      <c r="AJ581" t="e">
        <f t="shared" ca="1" si="284"/>
        <v>#VALUE!</v>
      </c>
      <c r="AM581">
        <v>0</v>
      </c>
      <c r="AN581">
        <v>0</v>
      </c>
      <c r="AO581">
        <f t="shared" si="285"/>
        <v>0</v>
      </c>
      <c r="AP581">
        <f t="shared" si="294"/>
        <v>0</v>
      </c>
      <c r="AQ581" t="e">
        <f t="shared" ca="1" si="286"/>
        <v>#VALUE!</v>
      </c>
      <c r="AR581" t="e">
        <f t="shared" ca="1" si="287"/>
        <v>#VALUE!</v>
      </c>
      <c r="AS581" t="e">
        <f t="shared" ca="1" si="288"/>
        <v>#VALUE!</v>
      </c>
    </row>
    <row r="582" spans="1:45" x14ac:dyDescent="0.35">
      <c r="A582">
        <v>433</v>
      </c>
      <c r="B582">
        <v>431.89600000000002</v>
      </c>
      <c r="C582">
        <v>616236.61899999995</v>
      </c>
      <c r="D582">
        <v>3097536.6009999998</v>
      </c>
      <c r="E582">
        <v>632.346</v>
      </c>
      <c r="F582">
        <v>5.2</v>
      </c>
      <c r="G582">
        <v>0</v>
      </c>
      <c r="H582" t="s">
        <v>191</v>
      </c>
      <c r="I582">
        <v>2.7E-2</v>
      </c>
      <c r="J582">
        <f t="shared" si="289"/>
        <v>1.0010000000000332</v>
      </c>
      <c r="K582">
        <f t="shared" si="290"/>
        <v>51</v>
      </c>
      <c r="L582" t="e">
        <f t="shared" ca="1" si="291"/>
        <v>#VALUE!</v>
      </c>
      <c r="M582" t="e">
        <f t="shared" ca="1" si="264"/>
        <v>#VALUE!</v>
      </c>
      <c r="N582" t="e">
        <f t="shared" ca="1" si="265"/>
        <v>#VALUE!</v>
      </c>
      <c r="O582" t="e">
        <f t="shared" ca="1" si="266"/>
        <v>#VALUE!</v>
      </c>
      <c r="P582" t="e">
        <f t="shared" ca="1" si="267"/>
        <v>#VALUE!</v>
      </c>
      <c r="Q582" t="e">
        <f t="shared" ca="1" si="268"/>
        <v>#VALUE!</v>
      </c>
      <c r="R582" t="e">
        <f t="shared" ca="1" si="269"/>
        <v>#VALUE!</v>
      </c>
      <c r="S582" t="e">
        <f t="shared" ca="1" si="270"/>
        <v>#VALUE!</v>
      </c>
      <c r="T582" t="e">
        <f t="shared" ca="1" si="271"/>
        <v>#VALUE!</v>
      </c>
      <c r="U582" t="e">
        <f t="shared" ca="1" si="292"/>
        <v>#VALUE!</v>
      </c>
      <c r="V582" t="e">
        <f t="shared" ca="1" si="293"/>
        <v>#VALUE!</v>
      </c>
      <c r="W582" t="e">
        <f t="shared" ca="1" si="272"/>
        <v>#VALUE!</v>
      </c>
      <c r="X582" t="e">
        <f t="shared" ca="1" si="273"/>
        <v>#VALUE!</v>
      </c>
      <c r="Y582" t="e">
        <f t="shared" ca="1" si="274"/>
        <v>#VALUE!</v>
      </c>
      <c r="Z582" t="e">
        <f t="shared" ca="1" si="275"/>
        <v>#VALUE!</v>
      </c>
      <c r="AA582" t="e">
        <f t="shared" ca="1" si="276"/>
        <v>#VALUE!</v>
      </c>
      <c r="AB582" t="e">
        <f t="shared" ca="1" si="277"/>
        <v>#VALUE!</v>
      </c>
      <c r="AC582" t="e">
        <f t="shared" ca="1" si="278"/>
        <v>#VALUE!</v>
      </c>
      <c r="AD582" t="e">
        <f t="shared" ca="1" si="279"/>
        <v>#VALUE!</v>
      </c>
      <c r="AE582" t="e">
        <f t="shared" ca="1" si="280"/>
        <v>#VALUE!</v>
      </c>
      <c r="AF582" t="e">
        <f t="shared" ca="1" si="281"/>
        <v>#VALUE!</v>
      </c>
      <c r="AG582" t="e">
        <f t="shared" ca="1" si="282"/>
        <v>#VALUE!</v>
      </c>
      <c r="AH582" t="e">
        <f ca="1">IF(V32="Supercritical",L582,IF(V32="Subcritical",W582,IF(AND(V582=1,AG582=1),IF(T582&gt;=AE582,L582,W582),IF(V582=1,L582,IF(AG582=1,W582,MAX($D$16,POWER((ABS(K582)^2)/($I$5*MAX(F582,0.1)^2),1/3)))))))</f>
        <v>#VALUE!</v>
      </c>
      <c r="AI582" t="e">
        <f t="shared" ca="1" si="283"/>
        <v>#VALUE!</v>
      </c>
      <c r="AJ582" t="e">
        <f t="shared" ca="1" si="284"/>
        <v>#VALUE!</v>
      </c>
      <c r="AM582">
        <v>0</v>
      </c>
      <c r="AN582">
        <v>0</v>
      </c>
      <c r="AO582">
        <f t="shared" si="285"/>
        <v>0</v>
      </c>
      <c r="AP582">
        <f t="shared" si="294"/>
        <v>0</v>
      </c>
      <c r="AQ582" t="e">
        <f t="shared" ca="1" si="286"/>
        <v>#VALUE!</v>
      </c>
      <c r="AR582" t="e">
        <f t="shared" ca="1" si="287"/>
        <v>#VALUE!</v>
      </c>
      <c r="AS582" t="e">
        <f t="shared" ca="1" si="288"/>
        <v>#VALUE!</v>
      </c>
    </row>
    <row r="583" spans="1:45" x14ac:dyDescent="0.35">
      <c r="A583">
        <v>434</v>
      </c>
      <c r="B583">
        <v>432.89499999999998</v>
      </c>
      <c r="C583">
        <v>616236.14500000002</v>
      </c>
      <c r="D583">
        <v>3097535.7209999999</v>
      </c>
      <c r="E583">
        <v>632.34550000000002</v>
      </c>
      <c r="F583">
        <v>5.2</v>
      </c>
      <c r="G583">
        <v>0</v>
      </c>
      <c r="H583" t="s">
        <v>191</v>
      </c>
      <c r="I583">
        <v>0.05</v>
      </c>
      <c r="J583">
        <f t="shared" si="289"/>
        <v>0.9989999999999668</v>
      </c>
      <c r="K583">
        <f t="shared" si="290"/>
        <v>51</v>
      </c>
      <c r="L583" t="e">
        <f t="shared" ca="1" si="291"/>
        <v>#VALUE!</v>
      </c>
      <c r="M583" t="e">
        <f t="shared" ca="1" si="264"/>
        <v>#VALUE!</v>
      </c>
      <c r="N583" t="e">
        <f t="shared" ca="1" si="265"/>
        <v>#VALUE!</v>
      </c>
      <c r="O583" t="e">
        <f t="shared" ca="1" si="266"/>
        <v>#VALUE!</v>
      </c>
      <c r="P583" t="e">
        <f t="shared" ca="1" si="267"/>
        <v>#VALUE!</v>
      </c>
      <c r="Q583" t="e">
        <f t="shared" ca="1" si="268"/>
        <v>#VALUE!</v>
      </c>
      <c r="R583" t="e">
        <f t="shared" ca="1" si="269"/>
        <v>#VALUE!</v>
      </c>
      <c r="S583" t="e">
        <f t="shared" ca="1" si="270"/>
        <v>#VALUE!</v>
      </c>
      <c r="T583" t="e">
        <f t="shared" ca="1" si="271"/>
        <v>#VALUE!</v>
      </c>
      <c r="U583" t="e">
        <f t="shared" ca="1" si="292"/>
        <v>#VALUE!</v>
      </c>
      <c r="V583" t="e">
        <f t="shared" ca="1" si="293"/>
        <v>#VALUE!</v>
      </c>
      <c r="W583" t="e">
        <f t="shared" ca="1" si="272"/>
        <v>#VALUE!</v>
      </c>
      <c r="X583" t="e">
        <f t="shared" ca="1" si="273"/>
        <v>#VALUE!</v>
      </c>
      <c r="Y583" t="e">
        <f t="shared" ca="1" si="274"/>
        <v>#VALUE!</v>
      </c>
      <c r="Z583" t="e">
        <f t="shared" ca="1" si="275"/>
        <v>#VALUE!</v>
      </c>
      <c r="AA583" t="e">
        <f t="shared" ca="1" si="276"/>
        <v>#VALUE!</v>
      </c>
      <c r="AB583" t="e">
        <f t="shared" ca="1" si="277"/>
        <v>#VALUE!</v>
      </c>
      <c r="AC583" t="e">
        <f t="shared" ca="1" si="278"/>
        <v>#VALUE!</v>
      </c>
      <c r="AD583" t="e">
        <f t="shared" ca="1" si="279"/>
        <v>#VALUE!</v>
      </c>
      <c r="AE583" t="e">
        <f t="shared" ca="1" si="280"/>
        <v>#VALUE!</v>
      </c>
      <c r="AF583" t="e">
        <f t="shared" ca="1" si="281"/>
        <v>#VALUE!</v>
      </c>
      <c r="AG583" t="e">
        <f t="shared" ca="1" si="282"/>
        <v>#VALUE!</v>
      </c>
      <c r="AH583" t="e">
        <f ca="1">IF(V32="Supercritical",L583,IF(V32="Subcritical",W583,IF(AND(V583=1,AG583=1),IF(T583&gt;=AE583,L583,W583),IF(V583=1,L583,IF(AG583=1,W583,MAX($D$16,POWER((ABS(K583)^2)/($I$5*MAX(F583,0.1)^2),1/3)))))))</f>
        <v>#VALUE!</v>
      </c>
      <c r="AI583" t="e">
        <f t="shared" ca="1" si="283"/>
        <v>#VALUE!</v>
      </c>
      <c r="AJ583" t="e">
        <f t="shared" ca="1" si="284"/>
        <v>#VALUE!</v>
      </c>
      <c r="AM583">
        <v>0</v>
      </c>
      <c r="AN583">
        <v>0</v>
      </c>
      <c r="AO583">
        <f t="shared" si="285"/>
        <v>0</v>
      </c>
      <c r="AP583">
        <f t="shared" si="294"/>
        <v>0</v>
      </c>
      <c r="AQ583" t="e">
        <f t="shared" ca="1" si="286"/>
        <v>#VALUE!</v>
      </c>
      <c r="AR583" t="e">
        <f t="shared" ca="1" si="287"/>
        <v>#VALUE!</v>
      </c>
      <c r="AS583" t="e">
        <f t="shared" ca="1" si="288"/>
        <v>#VALUE!</v>
      </c>
    </row>
    <row r="584" spans="1:45" x14ac:dyDescent="0.35">
      <c r="A584">
        <v>435</v>
      </c>
      <c r="B584">
        <v>433.89499999999998</v>
      </c>
      <c r="C584">
        <v>616235.67000000004</v>
      </c>
      <c r="D584">
        <v>3097534.841</v>
      </c>
      <c r="E584">
        <v>632.34500000000003</v>
      </c>
      <c r="F584">
        <v>5.2</v>
      </c>
      <c r="G584">
        <v>0</v>
      </c>
      <c r="H584" t="s">
        <v>191</v>
      </c>
      <c r="I584">
        <v>7.8E-2</v>
      </c>
      <c r="J584">
        <f t="shared" si="289"/>
        <v>1</v>
      </c>
      <c r="K584">
        <f t="shared" si="290"/>
        <v>51</v>
      </c>
      <c r="L584" t="e">
        <f t="shared" ca="1" si="291"/>
        <v>#VALUE!</v>
      </c>
      <c r="M584" t="e">
        <f t="shared" ca="1" si="264"/>
        <v>#VALUE!</v>
      </c>
      <c r="N584" t="e">
        <f t="shared" ca="1" si="265"/>
        <v>#VALUE!</v>
      </c>
      <c r="O584" t="e">
        <f t="shared" ca="1" si="266"/>
        <v>#VALUE!</v>
      </c>
      <c r="P584" t="e">
        <f t="shared" ca="1" si="267"/>
        <v>#VALUE!</v>
      </c>
      <c r="Q584" t="e">
        <f t="shared" ca="1" si="268"/>
        <v>#VALUE!</v>
      </c>
      <c r="R584" t="e">
        <f t="shared" ca="1" si="269"/>
        <v>#VALUE!</v>
      </c>
      <c r="S584" t="e">
        <f t="shared" ca="1" si="270"/>
        <v>#VALUE!</v>
      </c>
      <c r="T584" t="e">
        <f t="shared" ca="1" si="271"/>
        <v>#VALUE!</v>
      </c>
      <c r="U584" t="e">
        <f t="shared" ca="1" si="292"/>
        <v>#VALUE!</v>
      </c>
      <c r="V584" t="e">
        <f t="shared" ca="1" si="293"/>
        <v>#VALUE!</v>
      </c>
      <c r="W584" t="e">
        <f t="shared" ca="1" si="272"/>
        <v>#VALUE!</v>
      </c>
      <c r="X584" t="e">
        <f t="shared" ca="1" si="273"/>
        <v>#VALUE!</v>
      </c>
      <c r="Y584" t="e">
        <f t="shared" ca="1" si="274"/>
        <v>#VALUE!</v>
      </c>
      <c r="Z584" t="e">
        <f t="shared" ca="1" si="275"/>
        <v>#VALUE!</v>
      </c>
      <c r="AA584" t="e">
        <f t="shared" ca="1" si="276"/>
        <v>#VALUE!</v>
      </c>
      <c r="AB584" t="e">
        <f t="shared" ca="1" si="277"/>
        <v>#VALUE!</v>
      </c>
      <c r="AC584" t="e">
        <f t="shared" ca="1" si="278"/>
        <v>#VALUE!</v>
      </c>
      <c r="AD584" t="e">
        <f t="shared" ca="1" si="279"/>
        <v>#VALUE!</v>
      </c>
      <c r="AE584" t="e">
        <f t="shared" ca="1" si="280"/>
        <v>#VALUE!</v>
      </c>
      <c r="AF584" t="e">
        <f t="shared" ca="1" si="281"/>
        <v>#VALUE!</v>
      </c>
      <c r="AG584" t="e">
        <f t="shared" ca="1" si="282"/>
        <v>#VALUE!</v>
      </c>
      <c r="AH584" t="e">
        <f ca="1">IF(V32="Supercritical",L584,IF(V32="Subcritical",W584,IF(AND(V584=1,AG584=1),IF(T584&gt;=AE584,L584,W584),IF(V584=1,L584,IF(AG584=1,W584,MAX($D$16,POWER((ABS(K584)^2)/($I$5*MAX(F584,0.1)^2),1/3)))))))</f>
        <v>#VALUE!</v>
      </c>
      <c r="AI584" t="e">
        <f t="shared" ca="1" si="283"/>
        <v>#VALUE!</v>
      </c>
      <c r="AJ584" t="e">
        <f t="shared" ca="1" si="284"/>
        <v>#VALUE!</v>
      </c>
      <c r="AM584">
        <v>0</v>
      </c>
      <c r="AN584">
        <v>0</v>
      </c>
      <c r="AO584">
        <f t="shared" si="285"/>
        <v>0</v>
      </c>
      <c r="AP584">
        <f t="shared" si="294"/>
        <v>0</v>
      </c>
      <c r="AQ584" t="e">
        <f t="shared" ca="1" si="286"/>
        <v>#VALUE!</v>
      </c>
      <c r="AR584" t="e">
        <f t="shared" ca="1" si="287"/>
        <v>#VALUE!</v>
      </c>
      <c r="AS584" t="e">
        <f t="shared" ca="1" si="288"/>
        <v>#VALUE!</v>
      </c>
    </row>
    <row r="585" spans="1:45" x14ac:dyDescent="0.35">
      <c r="A585">
        <v>436</v>
      </c>
      <c r="B585">
        <v>434.89600000000002</v>
      </c>
      <c r="C585">
        <v>616235.196</v>
      </c>
      <c r="D585">
        <v>3097533.96</v>
      </c>
      <c r="E585">
        <v>632.34450000000004</v>
      </c>
      <c r="F585">
        <v>5.2</v>
      </c>
      <c r="G585">
        <v>0</v>
      </c>
      <c r="H585" t="s">
        <v>191</v>
      </c>
      <c r="I585">
        <v>2.7E-2</v>
      </c>
      <c r="J585">
        <f t="shared" si="289"/>
        <v>1.0010000000000332</v>
      </c>
      <c r="K585">
        <f t="shared" si="290"/>
        <v>51</v>
      </c>
      <c r="L585" t="e">
        <f t="shared" ca="1" si="291"/>
        <v>#VALUE!</v>
      </c>
      <c r="M585" t="e">
        <f t="shared" ca="1" si="264"/>
        <v>#VALUE!</v>
      </c>
      <c r="N585" t="e">
        <f t="shared" ca="1" si="265"/>
        <v>#VALUE!</v>
      </c>
      <c r="O585" t="e">
        <f t="shared" ca="1" si="266"/>
        <v>#VALUE!</v>
      </c>
      <c r="P585" t="e">
        <f t="shared" ca="1" si="267"/>
        <v>#VALUE!</v>
      </c>
      <c r="Q585" t="e">
        <f t="shared" ca="1" si="268"/>
        <v>#VALUE!</v>
      </c>
      <c r="R585" t="e">
        <f t="shared" ca="1" si="269"/>
        <v>#VALUE!</v>
      </c>
      <c r="S585" t="e">
        <f t="shared" ca="1" si="270"/>
        <v>#VALUE!</v>
      </c>
      <c r="T585" t="e">
        <f t="shared" ca="1" si="271"/>
        <v>#VALUE!</v>
      </c>
      <c r="U585" t="e">
        <f t="shared" ca="1" si="292"/>
        <v>#VALUE!</v>
      </c>
      <c r="V585" t="e">
        <f t="shared" ca="1" si="293"/>
        <v>#VALUE!</v>
      </c>
      <c r="W585" t="e">
        <f t="shared" ca="1" si="272"/>
        <v>#VALUE!</v>
      </c>
      <c r="X585" t="e">
        <f t="shared" ca="1" si="273"/>
        <v>#VALUE!</v>
      </c>
      <c r="Y585" t="e">
        <f t="shared" ca="1" si="274"/>
        <v>#VALUE!</v>
      </c>
      <c r="Z585" t="e">
        <f t="shared" ca="1" si="275"/>
        <v>#VALUE!</v>
      </c>
      <c r="AA585" t="e">
        <f t="shared" ca="1" si="276"/>
        <v>#VALUE!</v>
      </c>
      <c r="AB585" t="e">
        <f t="shared" ca="1" si="277"/>
        <v>#VALUE!</v>
      </c>
      <c r="AC585" t="e">
        <f t="shared" ca="1" si="278"/>
        <v>#VALUE!</v>
      </c>
      <c r="AD585" t="e">
        <f t="shared" ca="1" si="279"/>
        <v>#VALUE!</v>
      </c>
      <c r="AE585" t="e">
        <f t="shared" ca="1" si="280"/>
        <v>#VALUE!</v>
      </c>
      <c r="AF585" t="e">
        <f t="shared" ca="1" si="281"/>
        <v>#VALUE!</v>
      </c>
      <c r="AG585" t="e">
        <f t="shared" ca="1" si="282"/>
        <v>#VALUE!</v>
      </c>
      <c r="AH585" t="e">
        <f ca="1">IF(V32="Supercritical",L585,IF(V32="Subcritical",W585,IF(AND(V585=1,AG585=1),IF(T585&gt;=AE585,L585,W585),IF(V585=1,L585,IF(AG585=1,W585,MAX($D$16,POWER((ABS(K585)^2)/($I$5*MAX(F585,0.1)^2),1/3)))))))</f>
        <v>#VALUE!</v>
      </c>
      <c r="AI585" t="e">
        <f t="shared" ca="1" si="283"/>
        <v>#VALUE!</v>
      </c>
      <c r="AJ585" t="e">
        <f t="shared" ca="1" si="284"/>
        <v>#VALUE!</v>
      </c>
      <c r="AM585">
        <v>0</v>
      </c>
      <c r="AN585">
        <v>0</v>
      </c>
      <c r="AO585">
        <f t="shared" si="285"/>
        <v>0</v>
      </c>
      <c r="AP585">
        <f t="shared" si="294"/>
        <v>0</v>
      </c>
      <c r="AQ585" t="e">
        <f t="shared" ca="1" si="286"/>
        <v>#VALUE!</v>
      </c>
      <c r="AR585" t="e">
        <f t="shared" ca="1" si="287"/>
        <v>#VALUE!</v>
      </c>
      <c r="AS585" t="e">
        <f t="shared" ca="1" si="288"/>
        <v>#VALUE!</v>
      </c>
    </row>
    <row r="586" spans="1:45" x14ac:dyDescent="0.35">
      <c r="A586">
        <v>437</v>
      </c>
      <c r="B586">
        <v>435.89499999999998</v>
      </c>
      <c r="C586">
        <v>616234.72199999995</v>
      </c>
      <c r="D586">
        <v>3097533.08</v>
      </c>
      <c r="E586">
        <v>632.34400000000005</v>
      </c>
      <c r="F586">
        <v>5.2</v>
      </c>
      <c r="G586">
        <v>0</v>
      </c>
      <c r="H586" t="s">
        <v>191</v>
      </c>
      <c r="I586">
        <v>2.7E-2</v>
      </c>
      <c r="J586">
        <f t="shared" si="289"/>
        <v>0.9989999999999668</v>
      </c>
      <c r="K586">
        <f t="shared" si="290"/>
        <v>51</v>
      </c>
      <c r="L586" t="e">
        <f t="shared" ca="1" si="291"/>
        <v>#VALUE!</v>
      </c>
      <c r="M586" t="e">
        <f t="shared" ca="1" si="264"/>
        <v>#VALUE!</v>
      </c>
      <c r="N586" t="e">
        <f t="shared" ca="1" si="265"/>
        <v>#VALUE!</v>
      </c>
      <c r="O586" t="e">
        <f t="shared" ca="1" si="266"/>
        <v>#VALUE!</v>
      </c>
      <c r="P586" t="e">
        <f t="shared" ca="1" si="267"/>
        <v>#VALUE!</v>
      </c>
      <c r="Q586" t="e">
        <f t="shared" ca="1" si="268"/>
        <v>#VALUE!</v>
      </c>
      <c r="R586" t="e">
        <f t="shared" ca="1" si="269"/>
        <v>#VALUE!</v>
      </c>
      <c r="S586" t="e">
        <f t="shared" ca="1" si="270"/>
        <v>#VALUE!</v>
      </c>
      <c r="T586" t="e">
        <f t="shared" ca="1" si="271"/>
        <v>#VALUE!</v>
      </c>
      <c r="U586" t="e">
        <f t="shared" ca="1" si="292"/>
        <v>#VALUE!</v>
      </c>
      <c r="V586" t="e">
        <f t="shared" ca="1" si="293"/>
        <v>#VALUE!</v>
      </c>
      <c r="W586" t="e">
        <f t="shared" ca="1" si="272"/>
        <v>#VALUE!</v>
      </c>
      <c r="X586" t="e">
        <f t="shared" ca="1" si="273"/>
        <v>#VALUE!</v>
      </c>
      <c r="Y586" t="e">
        <f t="shared" ca="1" si="274"/>
        <v>#VALUE!</v>
      </c>
      <c r="Z586" t="e">
        <f t="shared" ca="1" si="275"/>
        <v>#VALUE!</v>
      </c>
      <c r="AA586" t="e">
        <f t="shared" ca="1" si="276"/>
        <v>#VALUE!</v>
      </c>
      <c r="AB586" t="e">
        <f t="shared" ca="1" si="277"/>
        <v>#VALUE!</v>
      </c>
      <c r="AC586" t="e">
        <f t="shared" ca="1" si="278"/>
        <v>#VALUE!</v>
      </c>
      <c r="AD586" t="e">
        <f t="shared" ca="1" si="279"/>
        <v>#VALUE!</v>
      </c>
      <c r="AE586" t="e">
        <f t="shared" ca="1" si="280"/>
        <v>#VALUE!</v>
      </c>
      <c r="AF586" t="e">
        <f t="shared" ca="1" si="281"/>
        <v>#VALUE!</v>
      </c>
      <c r="AG586" t="e">
        <f t="shared" ca="1" si="282"/>
        <v>#VALUE!</v>
      </c>
      <c r="AH586" t="e">
        <f ca="1">IF(V32="Supercritical",L586,IF(V32="Subcritical",W586,IF(AND(V586=1,AG586=1),IF(T586&gt;=AE586,L586,W586),IF(V586=1,L586,IF(AG586=1,W586,MAX($D$16,POWER((ABS(K586)^2)/($I$5*MAX(F586,0.1)^2),1/3)))))))</f>
        <v>#VALUE!</v>
      </c>
      <c r="AI586" t="e">
        <f t="shared" ca="1" si="283"/>
        <v>#VALUE!</v>
      </c>
      <c r="AJ586" t="e">
        <f t="shared" ca="1" si="284"/>
        <v>#VALUE!</v>
      </c>
      <c r="AM586">
        <v>0</v>
      </c>
      <c r="AN586">
        <v>0</v>
      </c>
      <c r="AO586">
        <f t="shared" si="285"/>
        <v>0</v>
      </c>
      <c r="AP586">
        <f t="shared" si="294"/>
        <v>0</v>
      </c>
      <c r="AQ586" t="e">
        <f t="shared" ca="1" si="286"/>
        <v>#VALUE!</v>
      </c>
      <c r="AR586" t="e">
        <f t="shared" ca="1" si="287"/>
        <v>#VALUE!</v>
      </c>
      <c r="AS586" t="e">
        <f t="shared" ca="1" si="288"/>
        <v>#VALUE!</v>
      </c>
    </row>
    <row r="587" spans="1:45" x14ac:dyDescent="0.35">
      <c r="A587">
        <v>438</v>
      </c>
      <c r="B587">
        <v>436.89600000000002</v>
      </c>
      <c r="C587">
        <v>616234.24800000002</v>
      </c>
      <c r="D587">
        <v>3097532.199</v>
      </c>
      <c r="E587">
        <v>632.34349999999995</v>
      </c>
      <c r="F587">
        <v>5.2</v>
      </c>
      <c r="G587">
        <v>0</v>
      </c>
      <c r="H587" t="s">
        <v>191</v>
      </c>
      <c r="I587">
        <v>7.8E-2</v>
      </c>
      <c r="J587">
        <f t="shared" si="289"/>
        <v>1.0010000000000332</v>
      </c>
      <c r="K587">
        <f t="shared" si="290"/>
        <v>51</v>
      </c>
      <c r="L587" t="e">
        <f t="shared" ca="1" si="291"/>
        <v>#VALUE!</v>
      </c>
      <c r="M587" t="e">
        <f t="shared" ca="1" si="264"/>
        <v>#VALUE!</v>
      </c>
      <c r="N587" t="e">
        <f t="shared" ca="1" si="265"/>
        <v>#VALUE!</v>
      </c>
      <c r="O587" t="e">
        <f t="shared" ca="1" si="266"/>
        <v>#VALUE!</v>
      </c>
      <c r="P587" t="e">
        <f t="shared" ca="1" si="267"/>
        <v>#VALUE!</v>
      </c>
      <c r="Q587" t="e">
        <f t="shared" ca="1" si="268"/>
        <v>#VALUE!</v>
      </c>
      <c r="R587" t="e">
        <f t="shared" ca="1" si="269"/>
        <v>#VALUE!</v>
      </c>
      <c r="S587" t="e">
        <f t="shared" ca="1" si="270"/>
        <v>#VALUE!</v>
      </c>
      <c r="T587" t="e">
        <f t="shared" ca="1" si="271"/>
        <v>#VALUE!</v>
      </c>
      <c r="U587" t="e">
        <f t="shared" ca="1" si="292"/>
        <v>#VALUE!</v>
      </c>
      <c r="V587" t="e">
        <f t="shared" ca="1" si="293"/>
        <v>#VALUE!</v>
      </c>
      <c r="W587" t="e">
        <f t="shared" ca="1" si="272"/>
        <v>#VALUE!</v>
      </c>
      <c r="X587" t="e">
        <f t="shared" ca="1" si="273"/>
        <v>#VALUE!</v>
      </c>
      <c r="Y587" t="e">
        <f t="shared" ca="1" si="274"/>
        <v>#VALUE!</v>
      </c>
      <c r="Z587" t="e">
        <f t="shared" ca="1" si="275"/>
        <v>#VALUE!</v>
      </c>
      <c r="AA587" t="e">
        <f t="shared" ca="1" si="276"/>
        <v>#VALUE!</v>
      </c>
      <c r="AB587" t="e">
        <f t="shared" ca="1" si="277"/>
        <v>#VALUE!</v>
      </c>
      <c r="AC587" t="e">
        <f t="shared" ca="1" si="278"/>
        <v>#VALUE!</v>
      </c>
      <c r="AD587" t="e">
        <f t="shared" ca="1" si="279"/>
        <v>#VALUE!</v>
      </c>
      <c r="AE587" t="e">
        <f t="shared" ca="1" si="280"/>
        <v>#VALUE!</v>
      </c>
      <c r="AF587" t="e">
        <f t="shared" ca="1" si="281"/>
        <v>#VALUE!</v>
      </c>
      <c r="AG587" t="e">
        <f t="shared" ca="1" si="282"/>
        <v>#VALUE!</v>
      </c>
      <c r="AH587" t="e">
        <f ca="1">IF(V32="Supercritical",L587,IF(V32="Subcritical",W587,IF(AND(V587=1,AG587=1),IF(T587&gt;=AE587,L587,W587),IF(V587=1,L587,IF(AG587=1,W587,MAX($D$16,POWER((ABS(K587)^2)/($I$5*MAX(F587,0.1)^2),1/3)))))))</f>
        <v>#VALUE!</v>
      </c>
      <c r="AI587" t="e">
        <f t="shared" ca="1" si="283"/>
        <v>#VALUE!</v>
      </c>
      <c r="AJ587" t="e">
        <f t="shared" ca="1" si="284"/>
        <v>#VALUE!</v>
      </c>
      <c r="AM587">
        <v>0</v>
      </c>
      <c r="AN587">
        <v>0</v>
      </c>
      <c r="AO587">
        <f t="shared" si="285"/>
        <v>0</v>
      </c>
      <c r="AP587">
        <f t="shared" si="294"/>
        <v>0</v>
      </c>
      <c r="AQ587" t="e">
        <f t="shared" ca="1" si="286"/>
        <v>#VALUE!</v>
      </c>
      <c r="AR587" t="e">
        <f t="shared" ca="1" si="287"/>
        <v>#VALUE!</v>
      </c>
      <c r="AS587" t="e">
        <f t="shared" ca="1" si="288"/>
        <v>#VALUE!</v>
      </c>
    </row>
    <row r="588" spans="1:45" x14ac:dyDescent="0.35">
      <c r="A588">
        <v>439</v>
      </c>
      <c r="B588">
        <v>437.89600000000002</v>
      </c>
      <c r="C588">
        <v>616233.77300000004</v>
      </c>
      <c r="D588">
        <v>3097531.3190000001</v>
      </c>
      <c r="E588">
        <v>632.34299999999996</v>
      </c>
      <c r="F588">
        <v>5.2</v>
      </c>
      <c r="G588">
        <v>0</v>
      </c>
      <c r="H588" t="s">
        <v>191</v>
      </c>
      <c r="I588">
        <v>0.05</v>
      </c>
      <c r="J588">
        <f t="shared" si="289"/>
        <v>1</v>
      </c>
      <c r="K588">
        <f t="shared" si="290"/>
        <v>51</v>
      </c>
      <c r="L588" t="e">
        <f t="shared" ca="1" si="291"/>
        <v>#VALUE!</v>
      </c>
      <c r="M588" t="e">
        <f t="shared" ca="1" si="264"/>
        <v>#VALUE!</v>
      </c>
      <c r="N588" t="e">
        <f t="shared" ca="1" si="265"/>
        <v>#VALUE!</v>
      </c>
      <c r="O588" t="e">
        <f t="shared" ca="1" si="266"/>
        <v>#VALUE!</v>
      </c>
      <c r="P588" t="e">
        <f t="shared" ca="1" si="267"/>
        <v>#VALUE!</v>
      </c>
      <c r="Q588" t="e">
        <f t="shared" ca="1" si="268"/>
        <v>#VALUE!</v>
      </c>
      <c r="R588" t="e">
        <f t="shared" ca="1" si="269"/>
        <v>#VALUE!</v>
      </c>
      <c r="S588" t="e">
        <f t="shared" ca="1" si="270"/>
        <v>#VALUE!</v>
      </c>
      <c r="T588" t="e">
        <f t="shared" ca="1" si="271"/>
        <v>#VALUE!</v>
      </c>
      <c r="U588" t="e">
        <f t="shared" ca="1" si="292"/>
        <v>#VALUE!</v>
      </c>
      <c r="V588" t="e">
        <f t="shared" ca="1" si="293"/>
        <v>#VALUE!</v>
      </c>
      <c r="W588" t="e">
        <f t="shared" ca="1" si="272"/>
        <v>#VALUE!</v>
      </c>
      <c r="X588" t="e">
        <f t="shared" ca="1" si="273"/>
        <v>#VALUE!</v>
      </c>
      <c r="Y588" t="e">
        <f t="shared" ca="1" si="274"/>
        <v>#VALUE!</v>
      </c>
      <c r="Z588" t="e">
        <f t="shared" ca="1" si="275"/>
        <v>#VALUE!</v>
      </c>
      <c r="AA588" t="e">
        <f t="shared" ca="1" si="276"/>
        <v>#VALUE!</v>
      </c>
      <c r="AB588" t="e">
        <f t="shared" ca="1" si="277"/>
        <v>#VALUE!</v>
      </c>
      <c r="AC588" t="e">
        <f t="shared" ca="1" si="278"/>
        <v>#VALUE!</v>
      </c>
      <c r="AD588" t="e">
        <f t="shared" ca="1" si="279"/>
        <v>#VALUE!</v>
      </c>
      <c r="AE588" t="e">
        <f t="shared" ca="1" si="280"/>
        <v>#VALUE!</v>
      </c>
      <c r="AF588" t="e">
        <f t="shared" ca="1" si="281"/>
        <v>#VALUE!</v>
      </c>
      <c r="AG588" t="e">
        <f t="shared" ca="1" si="282"/>
        <v>#VALUE!</v>
      </c>
      <c r="AH588" t="e">
        <f ca="1">IF(V32="Supercritical",L588,IF(V32="Subcritical",W588,IF(AND(V588=1,AG588=1),IF(T588&gt;=AE588,L588,W588),IF(V588=1,L588,IF(AG588=1,W588,MAX($D$16,POWER((ABS(K588)^2)/($I$5*MAX(F588,0.1)^2),1/3)))))))</f>
        <v>#VALUE!</v>
      </c>
      <c r="AI588" t="e">
        <f t="shared" ca="1" si="283"/>
        <v>#VALUE!</v>
      </c>
      <c r="AJ588" t="e">
        <f t="shared" ca="1" si="284"/>
        <v>#VALUE!</v>
      </c>
      <c r="AM588">
        <v>0</v>
      </c>
      <c r="AN588">
        <v>0</v>
      </c>
      <c r="AO588">
        <f t="shared" si="285"/>
        <v>0</v>
      </c>
      <c r="AP588">
        <f t="shared" si="294"/>
        <v>0</v>
      </c>
      <c r="AQ588" t="e">
        <f t="shared" ca="1" si="286"/>
        <v>#VALUE!</v>
      </c>
      <c r="AR588" t="e">
        <f t="shared" ca="1" si="287"/>
        <v>#VALUE!</v>
      </c>
      <c r="AS588" t="e">
        <f t="shared" ca="1" si="288"/>
        <v>#VALUE!</v>
      </c>
    </row>
    <row r="589" spans="1:45" x14ac:dyDescent="0.35">
      <c r="A589">
        <v>440</v>
      </c>
      <c r="B589">
        <v>438.89499999999998</v>
      </c>
      <c r="C589">
        <v>616233.299</v>
      </c>
      <c r="D589">
        <v>3097530.4389999998</v>
      </c>
      <c r="E589">
        <v>632.34249999999997</v>
      </c>
      <c r="F589">
        <v>5.2</v>
      </c>
      <c r="G589">
        <v>0</v>
      </c>
      <c r="H589" t="s">
        <v>191</v>
      </c>
      <c r="I589">
        <v>2.7E-2</v>
      </c>
      <c r="J589">
        <f t="shared" si="289"/>
        <v>0.9989999999999668</v>
      </c>
      <c r="K589">
        <f t="shared" si="290"/>
        <v>51</v>
      </c>
      <c r="L589" t="e">
        <f t="shared" ca="1" si="291"/>
        <v>#VALUE!</v>
      </c>
      <c r="M589" t="e">
        <f t="shared" ca="1" si="264"/>
        <v>#VALUE!</v>
      </c>
      <c r="N589" t="e">
        <f t="shared" ca="1" si="265"/>
        <v>#VALUE!</v>
      </c>
      <c r="O589" t="e">
        <f t="shared" ca="1" si="266"/>
        <v>#VALUE!</v>
      </c>
      <c r="P589" t="e">
        <f t="shared" ca="1" si="267"/>
        <v>#VALUE!</v>
      </c>
      <c r="Q589" t="e">
        <f t="shared" ca="1" si="268"/>
        <v>#VALUE!</v>
      </c>
      <c r="R589" t="e">
        <f t="shared" ca="1" si="269"/>
        <v>#VALUE!</v>
      </c>
      <c r="S589" t="e">
        <f t="shared" ca="1" si="270"/>
        <v>#VALUE!</v>
      </c>
      <c r="T589" t="e">
        <f t="shared" ca="1" si="271"/>
        <v>#VALUE!</v>
      </c>
      <c r="U589" t="e">
        <f t="shared" ca="1" si="292"/>
        <v>#VALUE!</v>
      </c>
      <c r="V589" t="e">
        <f t="shared" ca="1" si="293"/>
        <v>#VALUE!</v>
      </c>
      <c r="W589" t="e">
        <f t="shared" ca="1" si="272"/>
        <v>#VALUE!</v>
      </c>
      <c r="X589" t="e">
        <f t="shared" ca="1" si="273"/>
        <v>#VALUE!</v>
      </c>
      <c r="Y589" t="e">
        <f t="shared" ca="1" si="274"/>
        <v>#VALUE!</v>
      </c>
      <c r="Z589" t="e">
        <f t="shared" ca="1" si="275"/>
        <v>#VALUE!</v>
      </c>
      <c r="AA589" t="e">
        <f t="shared" ca="1" si="276"/>
        <v>#VALUE!</v>
      </c>
      <c r="AB589" t="e">
        <f t="shared" ca="1" si="277"/>
        <v>#VALUE!</v>
      </c>
      <c r="AC589" t="e">
        <f t="shared" ca="1" si="278"/>
        <v>#VALUE!</v>
      </c>
      <c r="AD589" t="e">
        <f t="shared" ca="1" si="279"/>
        <v>#VALUE!</v>
      </c>
      <c r="AE589" t="e">
        <f t="shared" ca="1" si="280"/>
        <v>#VALUE!</v>
      </c>
      <c r="AF589" t="e">
        <f t="shared" ca="1" si="281"/>
        <v>#VALUE!</v>
      </c>
      <c r="AG589" t="e">
        <f t="shared" ca="1" si="282"/>
        <v>#VALUE!</v>
      </c>
      <c r="AH589" t="e">
        <f ca="1">IF(V32="Supercritical",L589,IF(V32="Subcritical",W589,IF(AND(V589=1,AG589=1),IF(T589&gt;=AE589,L589,W589),IF(V589=1,L589,IF(AG589=1,W589,MAX($D$16,POWER((ABS(K589)^2)/($I$5*MAX(F589,0.1)^2),1/3)))))))</f>
        <v>#VALUE!</v>
      </c>
      <c r="AI589" t="e">
        <f t="shared" ca="1" si="283"/>
        <v>#VALUE!</v>
      </c>
      <c r="AJ589" t="e">
        <f t="shared" ca="1" si="284"/>
        <v>#VALUE!</v>
      </c>
      <c r="AM589">
        <v>0</v>
      </c>
      <c r="AN589">
        <v>0</v>
      </c>
      <c r="AO589">
        <f t="shared" si="285"/>
        <v>0</v>
      </c>
      <c r="AP589">
        <f t="shared" si="294"/>
        <v>0</v>
      </c>
      <c r="AQ589" t="e">
        <f t="shared" ca="1" si="286"/>
        <v>#VALUE!</v>
      </c>
      <c r="AR589" t="e">
        <f t="shared" ca="1" si="287"/>
        <v>#VALUE!</v>
      </c>
      <c r="AS589" t="e">
        <f t="shared" ca="1" si="288"/>
        <v>#VALUE!</v>
      </c>
    </row>
    <row r="590" spans="1:45" x14ac:dyDescent="0.35">
      <c r="A590">
        <v>441</v>
      </c>
      <c r="B590">
        <v>439.89499999999998</v>
      </c>
      <c r="C590">
        <v>616232.82499999995</v>
      </c>
      <c r="D590">
        <v>3097529.5580000002</v>
      </c>
      <c r="E590">
        <v>632.34199999999998</v>
      </c>
      <c r="F590">
        <v>5.2</v>
      </c>
      <c r="G590">
        <v>0</v>
      </c>
      <c r="H590" t="s">
        <v>191</v>
      </c>
      <c r="I590">
        <v>2.7E-2</v>
      </c>
      <c r="J590">
        <f t="shared" si="289"/>
        <v>1</v>
      </c>
      <c r="K590">
        <f t="shared" si="290"/>
        <v>51</v>
      </c>
      <c r="L590" t="e">
        <f t="shared" ca="1" si="291"/>
        <v>#VALUE!</v>
      </c>
      <c r="M590" t="e">
        <f t="shared" ca="1" si="264"/>
        <v>#VALUE!</v>
      </c>
      <c r="N590" t="e">
        <f t="shared" ca="1" si="265"/>
        <v>#VALUE!</v>
      </c>
      <c r="O590" t="e">
        <f t="shared" ca="1" si="266"/>
        <v>#VALUE!</v>
      </c>
      <c r="P590" t="e">
        <f t="shared" ca="1" si="267"/>
        <v>#VALUE!</v>
      </c>
      <c r="Q590" t="e">
        <f t="shared" ca="1" si="268"/>
        <v>#VALUE!</v>
      </c>
      <c r="R590" t="e">
        <f t="shared" ca="1" si="269"/>
        <v>#VALUE!</v>
      </c>
      <c r="S590" t="e">
        <f t="shared" ca="1" si="270"/>
        <v>#VALUE!</v>
      </c>
      <c r="T590" t="e">
        <f t="shared" ca="1" si="271"/>
        <v>#VALUE!</v>
      </c>
      <c r="U590" t="e">
        <f t="shared" ca="1" si="292"/>
        <v>#VALUE!</v>
      </c>
      <c r="V590" t="e">
        <f t="shared" ca="1" si="293"/>
        <v>#VALUE!</v>
      </c>
      <c r="W590" t="e">
        <f t="shared" ca="1" si="272"/>
        <v>#VALUE!</v>
      </c>
      <c r="X590" t="e">
        <f t="shared" ca="1" si="273"/>
        <v>#VALUE!</v>
      </c>
      <c r="Y590" t="e">
        <f t="shared" ca="1" si="274"/>
        <v>#VALUE!</v>
      </c>
      <c r="Z590" t="e">
        <f t="shared" ca="1" si="275"/>
        <v>#VALUE!</v>
      </c>
      <c r="AA590" t="e">
        <f t="shared" ca="1" si="276"/>
        <v>#VALUE!</v>
      </c>
      <c r="AB590" t="e">
        <f t="shared" ca="1" si="277"/>
        <v>#VALUE!</v>
      </c>
      <c r="AC590" t="e">
        <f t="shared" ca="1" si="278"/>
        <v>#VALUE!</v>
      </c>
      <c r="AD590" t="e">
        <f t="shared" ca="1" si="279"/>
        <v>#VALUE!</v>
      </c>
      <c r="AE590" t="e">
        <f t="shared" ca="1" si="280"/>
        <v>#VALUE!</v>
      </c>
      <c r="AF590" t="e">
        <f t="shared" ca="1" si="281"/>
        <v>#VALUE!</v>
      </c>
      <c r="AG590" t="e">
        <f t="shared" ca="1" si="282"/>
        <v>#VALUE!</v>
      </c>
      <c r="AH590" t="e">
        <f ca="1">IF(V32="Supercritical",L590,IF(V32="Subcritical",W590,IF(AND(V590=1,AG590=1),IF(T590&gt;=AE590,L590,W590),IF(V590=1,L590,IF(AG590=1,W590,MAX($D$16,POWER((ABS(K590)^2)/($I$5*MAX(F590,0.1)^2),1/3)))))))</f>
        <v>#VALUE!</v>
      </c>
      <c r="AI590" t="e">
        <f t="shared" ca="1" si="283"/>
        <v>#VALUE!</v>
      </c>
      <c r="AJ590" t="e">
        <f t="shared" ca="1" si="284"/>
        <v>#VALUE!</v>
      </c>
      <c r="AM590">
        <v>0</v>
      </c>
      <c r="AN590">
        <v>0</v>
      </c>
      <c r="AO590">
        <f t="shared" si="285"/>
        <v>0</v>
      </c>
      <c r="AP590">
        <f t="shared" si="294"/>
        <v>0</v>
      </c>
      <c r="AQ590" t="e">
        <f t="shared" ca="1" si="286"/>
        <v>#VALUE!</v>
      </c>
      <c r="AR590" t="e">
        <f t="shared" ca="1" si="287"/>
        <v>#VALUE!</v>
      </c>
      <c r="AS590" t="e">
        <f t="shared" ca="1" si="288"/>
        <v>#VALUE!</v>
      </c>
    </row>
    <row r="591" spans="1:45" x14ac:dyDescent="0.35">
      <c r="A591">
        <v>442</v>
      </c>
      <c r="B591">
        <v>440.89499999999998</v>
      </c>
      <c r="C591">
        <v>616232.35100000002</v>
      </c>
      <c r="D591">
        <v>3097528.6779999998</v>
      </c>
      <c r="E591">
        <v>632.3415</v>
      </c>
      <c r="F591">
        <v>5.2</v>
      </c>
      <c r="G591">
        <v>0</v>
      </c>
      <c r="H591" t="s">
        <v>191</v>
      </c>
      <c r="I591">
        <v>2.7E-2</v>
      </c>
      <c r="J591">
        <f t="shared" si="289"/>
        <v>1</v>
      </c>
      <c r="K591">
        <f t="shared" si="290"/>
        <v>51</v>
      </c>
      <c r="L591" t="e">
        <f t="shared" ca="1" si="291"/>
        <v>#VALUE!</v>
      </c>
      <c r="M591" t="e">
        <f t="shared" ca="1" si="264"/>
        <v>#VALUE!</v>
      </c>
      <c r="N591" t="e">
        <f t="shared" ca="1" si="265"/>
        <v>#VALUE!</v>
      </c>
      <c r="O591" t="e">
        <f t="shared" ca="1" si="266"/>
        <v>#VALUE!</v>
      </c>
      <c r="P591" t="e">
        <f t="shared" ca="1" si="267"/>
        <v>#VALUE!</v>
      </c>
      <c r="Q591" t="e">
        <f t="shared" ca="1" si="268"/>
        <v>#VALUE!</v>
      </c>
      <c r="R591" t="e">
        <f t="shared" ca="1" si="269"/>
        <v>#VALUE!</v>
      </c>
      <c r="S591" t="e">
        <f t="shared" ca="1" si="270"/>
        <v>#VALUE!</v>
      </c>
      <c r="T591" t="e">
        <f t="shared" ca="1" si="271"/>
        <v>#VALUE!</v>
      </c>
      <c r="U591" t="e">
        <f t="shared" ca="1" si="292"/>
        <v>#VALUE!</v>
      </c>
      <c r="V591" t="e">
        <f t="shared" ca="1" si="293"/>
        <v>#VALUE!</v>
      </c>
      <c r="W591" t="e">
        <f t="shared" ca="1" si="272"/>
        <v>#VALUE!</v>
      </c>
      <c r="X591" t="e">
        <f t="shared" ca="1" si="273"/>
        <v>#VALUE!</v>
      </c>
      <c r="Y591" t="e">
        <f t="shared" ca="1" si="274"/>
        <v>#VALUE!</v>
      </c>
      <c r="Z591" t="e">
        <f t="shared" ca="1" si="275"/>
        <v>#VALUE!</v>
      </c>
      <c r="AA591" t="e">
        <f t="shared" ca="1" si="276"/>
        <v>#VALUE!</v>
      </c>
      <c r="AB591" t="e">
        <f t="shared" ca="1" si="277"/>
        <v>#VALUE!</v>
      </c>
      <c r="AC591" t="e">
        <f t="shared" ca="1" si="278"/>
        <v>#VALUE!</v>
      </c>
      <c r="AD591" t="e">
        <f t="shared" ca="1" si="279"/>
        <v>#VALUE!</v>
      </c>
      <c r="AE591" t="e">
        <f t="shared" ca="1" si="280"/>
        <v>#VALUE!</v>
      </c>
      <c r="AF591" t="e">
        <f t="shared" ca="1" si="281"/>
        <v>#VALUE!</v>
      </c>
      <c r="AG591" t="e">
        <f t="shared" ca="1" si="282"/>
        <v>#VALUE!</v>
      </c>
      <c r="AH591" t="e">
        <f ca="1">IF(V32="Supercritical",L591,IF(V32="Subcritical",W591,IF(AND(V591=1,AG591=1),IF(T591&gt;=AE591,L591,W591),IF(V591=1,L591,IF(AG591=1,W591,MAX($D$16,POWER((ABS(K591)^2)/($I$5*MAX(F591,0.1)^2),1/3)))))))</f>
        <v>#VALUE!</v>
      </c>
      <c r="AI591" t="e">
        <f t="shared" ca="1" si="283"/>
        <v>#VALUE!</v>
      </c>
      <c r="AJ591" t="e">
        <f t="shared" ca="1" si="284"/>
        <v>#VALUE!</v>
      </c>
      <c r="AM591">
        <v>0</v>
      </c>
      <c r="AN591">
        <v>0</v>
      </c>
      <c r="AO591">
        <f t="shared" si="285"/>
        <v>0</v>
      </c>
      <c r="AP591">
        <f t="shared" si="294"/>
        <v>0</v>
      </c>
      <c r="AQ591" t="e">
        <f t="shared" ca="1" si="286"/>
        <v>#VALUE!</v>
      </c>
      <c r="AR591" t="e">
        <f t="shared" ca="1" si="287"/>
        <v>#VALUE!</v>
      </c>
      <c r="AS591" t="e">
        <f t="shared" ca="1" si="288"/>
        <v>#VALUE!</v>
      </c>
    </row>
    <row r="592" spans="1:45" x14ac:dyDescent="0.35">
      <c r="A592">
        <v>443</v>
      </c>
      <c r="B592">
        <v>441.89499999999998</v>
      </c>
      <c r="C592">
        <v>616231.87699999998</v>
      </c>
      <c r="D592">
        <v>3097527.7969999998</v>
      </c>
      <c r="E592">
        <v>632.34100000000001</v>
      </c>
      <c r="F592">
        <v>5.2</v>
      </c>
      <c r="G592">
        <v>0</v>
      </c>
      <c r="H592" t="s">
        <v>191</v>
      </c>
      <c r="I592">
        <v>7.8E-2</v>
      </c>
      <c r="J592">
        <f t="shared" si="289"/>
        <v>1</v>
      </c>
      <c r="K592">
        <f t="shared" si="290"/>
        <v>51</v>
      </c>
      <c r="L592" t="e">
        <f t="shared" ca="1" si="291"/>
        <v>#VALUE!</v>
      </c>
      <c r="M592" t="e">
        <f t="shared" ca="1" si="264"/>
        <v>#VALUE!</v>
      </c>
      <c r="N592" t="e">
        <f t="shared" ca="1" si="265"/>
        <v>#VALUE!</v>
      </c>
      <c r="O592" t="e">
        <f t="shared" ca="1" si="266"/>
        <v>#VALUE!</v>
      </c>
      <c r="P592" t="e">
        <f t="shared" ca="1" si="267"/>
        <v>#VALUE!</v>
      </c>
      <c r="Q592" t="e">
        <f t="shared" ca="1" si="268"/>
        <v>#VALUE!</v>
      </c>
      <c r="R592" t="e">
        <f t="shared" ca="1" si="269"/>
        <v>#VALUE!</v>
      </c>
      <c r="S592" t="e">
        <f t="shared" ca="1" si="270"/>
        <v>#VALUE!</v>
      </c>
      <c r="T592" t="e">
        <f t="shared" ca="1" si="271"/>
        <v>#VALUE!</v>
      </c>
      <c r="U592" t="e">
        <f t="shared" ca="1" si="292"/>
        <v>#VALUE!</v>
      </c>
      <c r="V592" t="e">
        <f t="shared" ca="1" si="293"/>
        <v>#VALUE!</v>
      </c>
      <c r="W592" t="e">
        <f t="shared" ca="1" si="272"/>
        <v>#VALUE!</v>
      </c>
      <c r="X592" t="e">
        <f t="shared" ca="1" si="273"/>
        <v>#VALUE!</v>
      </c>
      <c r="Y592" t="e">
        <f t="shared" ca="1" si="274"/>
        <v>#VALUE!</v>
      </c>
      <c r="Z592" t="e">
        <f t="shared" ca="1" si="275"/>
        <v>#VALUE!</v>
      </c>
      <c r="AA592" t="e">
        <f t="shared" ca="1" si="276"/>
        <v>#VALUE!</v>
      </c>
      <c r="AB592" t="e">
        <f t="shared" ca="1" si="277"/>
        <v>#VALUE!</v>
      </c>
      <c r="AC592" t="e">
        <f t="shared" ca="1" si="278"/>
        <v>#VALUE!</v>
      </c>
      <c r="AD592" t="e">
        <f t="shared" ca="1" si="279"/>
        <v>#VALUE!</v>
      </c>
      <c r="AE592" t="e">
        <f t="shared" ca="1" si="280"/>
        <v>#VALUE!</v>
      </c>
      <c r="AF592" t="e">
        <f t="shared" ca="1" si="281"/>
        <v>#VALUE!</v>
      </c>
      <c r="AG592" t="e">
        <f t="shared" ca="1" si="282"/>
        <v>#VALUE!</v>
      </c>
      <c r="AH592" t="e">
        <f ca="1">IF(V32="Supercritical",L592,IF(V32="Subcritical",W592,IF(AND(V592=1,AG592=1),IF(T592&gt;=AE592,L592,W592),IF(V592=1,L592,IF(AG592=1,W592,MAX($D$16,POWER((ABS(K592)^2)/($I$5*MAX(F592,0.1)^2),1/3)))))))</f>
        <v>#VALUE!</v>
      </c>
      <c r="AI592" t="e">
        <f t="shared" ca="1" si="283"/>
        <v>#VALUE!</v>
      </c>
      <c r="AJ592" t="e">
        <f t="shared" ca="1" si="284"/>
        <v>#VALUE!</v>
      </c>
      <c r="AM592">
        <v>0</v>
      </c>
      <c r="AN592">
        <v>0</v>
      </c>
      <c r="AO592">
        <f t="shared" si="285"/>
        <v>0</v>
      </c>
      <c r="AP592">
        <f t="shared" si="294"/>
        <v>0</v>
      </c>
      <c r="AQ592" t="e">
        <f t="shared" ca="1" si="286"/>
        <v>#VALUE!</v>
      </c>
      <c r="AR592" t="e">
        <f t="shared" ca="1" si="287"/>
        <v>#VALUE!</v>
      </c>
      <c r="AS592" t="e">
        <f t="shared" ca="1" si="288"/>
        <v>#VALUE!</v>
      </c>
    </row>
    <row r="593" spans="1:45" x14ac:dyDescent="0.35">
      <c r="A593">
        <v>444</v>
      </c>
      <c r="B593">
        <v>442.89499999999998</v>
      </c>
      <c r="C593">
        <v>616231.402</v>
      </c>
      <c r="D593">
        <v>3097526.9169999999</v>
      </c>
      <c r="E593">
        <v>632.34050000000002</v>
      </c>
      <c r="F593">
        <v>5.2</v>
      </c>
      <c r="G593">
        <v>0</v>
      </c>
      <c r="H593" t="s">
        <v>191</v>
      </c>
      <c r="I593">
        <v>0.05</v>
      </c>
      <c r="J593">
        <f t="shared" si="289"/>
        <v>1</v>
      </c>
      <c r="K593">
        <f t="shared" si="290"/>
        <v>51</v>
      </c>
      <c r="L593" t="e">
        <f t="shared" ca="1" si="291"/>
        <v>#VALUE!</v>
      </c>
      <c r="M593" t="e">
        <f t="shared" ca="1" si="264"/>
        <v>#VALUE!</v>
      </c>
      <c r="N593" t="e">
        <f t="shared" ca="1" si="265"/>
        <v>#VALUE!</v>
      </c>
      <c r="O593" t="e">
        <f t="shared" ca="1" si="266"/>
        <v>#VALUE!</v>
      </c>
      <c r="P593" t="e">
        <f t="shared" ca="1" si="267"/>
        <v>#VALUE!</v>
      </c>
      <c r="Q593" t="e">
        <f t="shared" ca="1" si="268"/>
        <v>#VALUE!</v>
      </c>
      <c r="R593" t="e">
        <f t="shared" ca="1" si="269"/>
        <v>#VALUE!</v>
      </c>
      <c r="S593" t="e">
        <f t="shared" ca="1" si="270"/>
        <v>#VALUE!</v>
      </c>
      <c r="T593" t="e">
        <f t="shared" ca="1" si="271"/>
        <v>#VALUE!</v>
      </c>
      <c r="U593" t="e">
        <f t="shared" ca="1" si="292"/>
        <v>#VALUE!</v>
      </c>
      <c r="V593" t="e">
        <f t="shared" ca="1" si="293"/>
        <v>#VALUE!</v>
      </c>
      <c r="W593" t="e">
        <f t="shared" ca="1" si="272"/>
        <v>#VALUE!</v>
      </c>
      <c r="X593" t="e">
        <f t="shared" ca="1" si="273"/>
        <v>#VALUE!</v>
      </c>
      <c r="Y593" t="e">
        <f t="shared" ca="1" si="274"/>
        <v>#VALUE!</v>
      </c>
      <c r="Z593" t="e">
        <f t="shared" ca="1" si="275"/>
        <v>#VALUE!</v>
      </c>
      <c r="AA593" t="e">
        <f t="shared" ca="1" si="276"/>
        <v>#VALUE!</v>
      </c>
      <c r="AB593" t="e">
        <f t="shared" ca="1" si="277"/>
        <v>#VALUE!</v>
      </c>
      <c r="AC593" t="e">
        <f t="shared" ca="1" si="278"/>
        <v>#VALUE!</v>
      </c>
      <c r="AD593" t="e">
        <f t="shared" ca="1" si="279"/>
        <v>#VALUE!</v>
      </c>
      <c r="AE593" t="e">
        <f t="shared" ca="1" si="280"/>
        <v>#VALUE!</v>
      </c>
      <c r="AF593" t="e">
        <f t="shared" ca="1" si="281"/>
        <v>#VALUE!</v>
      </c>
      <c r="AG593" t="e">
        <f t="shared" ca="1" si="282"/>
        <v>#VALUE!</v>
      </c>
      <c r="AH593" t="e">
        <f ca="1">IF(V32="Supercritical",L593,IF(V32="Subcritical",W593,IF(AND(V593=1,AG593=1),IF(T593&gt;=AE593,L593,W593),IF(V593=1,L593,IF(AG593=1,W593,MAX($D$16,POWER((ABS(K593)^2)/($I$5*MAX(F593,0.1)^2),1/3)))))))</f>
        <v>#VALUE!</v>
      </c>
      <c r="AI593" t="e">
        <f t="shared" ca="1" si="283"/>
        <v>#VALUE!</v>
      </c>
      <c r="AJ593" t="e">
        <f t="shared" ca="1" si="284"/>
        <v>#VALUE!</v>
      </c>
      <c r="AM593">
        <v>0</v>
      </c>
      <c r="AN593">
        <v>0</v>
      </c>
      <c r="AO593">
        <f t="shared" si="285"/>
        <v>0</v>
      </c>
      <c r="AP593">
        <f t="shared" si="294"/>
        <v>0</v>
      </c>
      <c r="AQ593" t="e">
        <f t="shared" ca="1" si="286"/>
        <v>#VALUE!</v>
      </c>
      <c r="AR593" t="e">
        <f t="shared" ca="1" si="287"/>
        <v>#VALUE!</v>
      </c>
      <c r="AS593" t="e">
        <f t="shared" ca="1" si="288"/>
        <v>#VALUE!</v>
      </c>
    </row>
    <row r="594" spans="1:45" x14ac:dyDescent="0.35">
      <c r="A594">
        <v>445</v>
      </c>
      <c r="B594">
        <v>443.89499999999998</v>
      </c>
      <c r="C594">
        <v>616230.92799999996</v>
      </c>
      <c r="D594">
        <v>3097526.037</v>
      </c>
      <c r="E594">
        <v>632.34</v>
      </c>
      <c r="F594">
        <v>5.2</v>
      </c>
      <c r="G594">
        <v>0</v>
      </c>
      <c r="H594" t="s">
        <v>191</v>
      </c>
      <c r="I594">
        <v>2.7E-2</v>
      </c>
      <c r="J594">
        <f t="shared" si="289"/>
        <v>1</v>
      </c>
      <c r="K594">
        <f t="shared" si="290"/>
        <v>51</v>
      </c>
      <c r="L594" t="e">
        <f t="shared" ca="1" si="291"/>
        <v>#VALUE!</v>
      </c>
      <c r="M594" t="e">
        <f t="shared" ca="1" si="264"/>
        <v>#VALUE!</v>
      </c>
      <c r="N594" t="e">
        <f t="shared" ca="1" si="265"/>
        <v>#VALUE!</v>
      </c>
      <c r="O594" t="e">
        <f t="shared" ca="1" si="266"/>
        <v>#VALUE!</v>
      </c>
      <c r="P594" t="e">
        <f t="shared" ca="1" si="267"/>
        <v>#VALUE!</v>
      </c>
      <c r="Q594" t="e">
        <f t="shared" ca="1" si="268"/>
        <v>#VALUE!</v>
      </c>
      <c r="R594" t="e">
        <f t="shared" ca="1" si="269"/>
        <v>#VALUE!</v>
      </c>
      <c r="S594" t="e">
        <f t="shared" ca="1" si="270"/>
        <v>#VALUE!</v>
      </c>
      <c r="T594" t="e">
        <f t="shared" ca="1" si="271"/>
        <v>#VALUE!</v>
      </c>
      <c r="U594" t="e">
        <f t="shared" ca="1" si="292"/>
        <v>#VALUE!</v>
      </c>
      <c r="V594" t="e">
        <f t="shared" ca="1" si="293"/>
        <v>#VALUE!</v>
      </c>
      <c r="W594" t="e">
        <f t="shared" ca="1" si="272"/>
        <v>#VALUE!</v>
      </c>
      <c r="X594" t="e">
        <f t="shared" ca="1" si="273"/>
        <v>#VALUE!</v>
      </c>
      <c r="Y594" t="e">
        <f t="shared" ca="1" si="274"/>
        <v>#VALUE!</v>
      </c>
      <c r="Z594" t="e">
        <f t="shared" ca="1" si="275"/>
        <v>#VALUE!</v>
      </c>
      <c r="AA594" t="e">
        <f t="shared" ca="1" si="276"/>
        <v>#VALUE!</v>
      </c>
      <c r="AB594" t="e">
        <f t="shared" ca="1" si="277"/>
        <v>#VALUE!</v>
      </c>
      <c r="AC594" t="e">
        <f t="shared" ca="1" si="278"/>
        <v>#VALUE!</v>
      </c>
      <c r="AD594" t="e">
        <f t="shared" ca="1" si="279"/>
        <v>#VALUE!</v>
      </c>
      <c r="AE594" t="e">
        <f t="shared" ca="1" si="280"/>
        <v>#VALUE!</v>
      </c>
      <c r="AF594" t="e">
        <f t="shared" ca="1" si="281"/>
        <v>#VALUE!</v>
      </c>
      <c r="AG594" t="e">
        <f t="shared" ca="1" si="282"/>
        <v>#VALUE!</v>
      </c>
      <c r="AH594" t="e">
        <f ca="1">IF(V32="Supercritical",L594,IF(V32="Subcritical",W594,IF(AND(V594=1,AG594=1),IF(T594&gt;=AE594,L594,W594),IF(V594=1,L594,IF(AG594=1,W594,MAX($D$16,POWER((ABS(K594)^2)/($I$5*MAX(F594,0.1)^2),1/3)))))))</f>
        <v>#VALUE!</v>
      </c>
      <c r="AI594" t="e">
        <f t="shared" ca="1" si="283"/>
        <v>#VALUE!</v>
      </c>
      <c r="AJ594" t="e">
        <f t="shared" ca="1" si="284"/>
        <v>#VALUE!</v>
      </c>
      <c r="AM594">
        <v>0</v>
      </c>
      <c r="AN594">
        <v>0</v>
      </c>
      <c r="AO594">
        <f t="shared" si="285"/>
        <v>0</v>
      </c>
      <c r="AP594">
        <f t="shared" si="294"/>
        <v>0</v>
      </c>
      <c r="AQ594" t="e">
        <f t="shared" ca="1" si="286"/>
        <v>#VALUE!</v>
      </c>
      <c r="AR594" t="e">
        <f t="shared" ca="1" si="287"/>
        <v>#VALUE!</v>
      </c>
      <c r="AS594" t="e">
        <f t="shared" ca="1" si="288"/>
        <v>#VALUE!</v>
      </c>
    </row>
    <row r="595" spans="1:45" x14ac:dyDescent="0.35">
      <c r="A595">
        <v>446</v>
      </c>
      <c r="B595">
        <v>444.89499999999998</v>
      </c>
      <c r="C595">
        <v>616230.45400000003</v>
      </c>
      <c r="D595">
        <v>3097525.156</v>
      </c>
      <c r="E595">
        <v>632.33950000000004</v>
      </c>
      <c r="F595">
        <v>5.2</v>
      </c>
      <c r="G595">
        <v>0</v>
      </c>
      <c r="H595" t="s">
        <v>191</v>
      </c>
      <c r="I595">
        <v>2.7E-2</v>
      </c>
      <c r="J595">
        <f t="shared" si="289"/>
        <v>1</v>
      </c>
      <c r="K595">
        <f t="shared" si="290"/>
        <v>51</v>
      </c>
      <c r="L595" t="e">
        <f t="shared" ca="1" si="291"/>
        <v>#VALUE!</v>
      </c>
      <c r="M595" t="e">
        <f t="shared" ca="1" si="264"/>
        <v>#VALUE!</v>
      </c>
      <c r="N595" t="e">
        <f t="shared" ca="1" si="265"/>
        <v>#VALUE!</v>
      </c>
      <c r="O595" t="e">
        <f t="shared" ca="1" si="266"/>
        <v>#VALUE!</v>
      </c>
      <c r="P595" t="e">
        <f t="shared" ca="1" si="267"/>
        <v>#VALUE!</v>
      </c>
      <c r="Q595" t="e">
        <f t="shared" ca="1" si="268"/>
        <v>#VALUE!</v>
      </c>
      <c r="R595" t="e">
        <f t="shared" ca="1" si="269"/>
        <v>#VALUE!</v>
      </c>
      <c r="S595" t="e">
        <f t="shared" ca="1" si="270"/>
        <v>#VALUE!</v>
      </c>
      <c r="T595" t="e">
        <f t="shared" ca="1" si="271"/>
        <v>#VALUE!</v>
      </c>
      <c r="U595" t="e">
        <f t="shared" ca="1" si="292"/>
        <v>#VALUE!</v>
      </c>
      <c r="V595" t="e">
        <f t="shared" ca="1" si="293"/>
        <v>#VALUE!</v>
      </c>
      <c r="W595" t="e">
        <f t="shared" ca="1" si="272"/>
        <v>#VALUE!</v>
      </c>
      <c r="X595" t="e">
        <f t="shared" ca="1" si="273"/>
        <v>#VALUE!</v>
      </c>
      <c r="Y595" t="e">
        <f t="shared" ca="1" si="274"/>
        <v>#VALUE!</v>
      </c>
      <c r="Z595" t="e">
        <f t="shared" ca="1" si="275"/>
        <v>#VALUE!</v>
      </c>
      <c r="AA595" t="e">
        <f t="shared" ca="1" si="276"/>
        <v>#VALUE!</v>
      </c>
      <c r="AB595" t="e">
        <f t="shared" ca="1" si="277"/>
        <v>#VALUE!</v>
      </c>
      <c r="AC595" t="e">
        <f t="shared" ca="1" si="278"/>
        <v>#VALUE!</v>
      </c>
      <c r="AD595" t="e">
        <f t="shared" ca="1" si="279"/>
        <v>#VALUE!</v>
      </c>
      <c r="AE595" t="e">
        <f t="shared" ca="1" si="280"/>
        <v>#VALUE!</v>
      </c>
      <c r="AF595" t="e">
        <f t="shared" ca="1" si="281"/>
        <v>#VALUE!</v>
      </c>
      <c r="AG595" t="e">
        <f t="shared" ca="1" si="282"/>
        <v>#VALUE!</v>
      </c>
      <c r="AH595" t="e">
        <f ca="1">IF(V32="Supercritical",L595,IF(V32="Subcritical",W595,IF(AND(V595=1,AG595=1),IF(T595&gt;=AE595,L595,W595),IF(V595=1,L595,IF(AG595=1,W595,MAX($D$16,POWER((ABS(K595)^2)/($I$5*MAX(F595,0.1)^2),1/3)))))))</f>
        <v>#VALUE!</v>
      </c>
      <c r="AI595" t="e">
        <f t="shared" ca="1" si="283"/>
        <v>#VALUE!</v>
      </c>
      <c r="AJ595" t="e">
        <f t="shared" ca="1" si="284"/>
        <v>#VALUE!</v>
      </c>
      <c r="AM595">
        <v>0</v>
      </c>
      <c r="AN595">
        <v>0</v>
      </c>
      <c r="AO595">
        <f t="shared" si="285"/>
        <v>0</v>
      </c>
      <c r="AP595">
        <f t="shared" si="294"/>
        <v>0</v>
      </c>
      <c r="AQ595" t="e">
        <f t="shared" ca="1" si="286"/>
        <v>#VALUE!</v>
      </c>
      <c r="AR595" t="e">
        <f t="shared" ca="1" si="287"/>
        <v>#VALUE!</v>
      </c>
      <c r="AS595" t="e">
        <f t="shared" ca="1" si="288"/>
        <v>#VALUE!</v>
      </c>
    </row>
    <row r="596" spans="1:45" x14ac:dyDescent="0.35">
      <c r="A596">
        <v>447</v>
      </c>
      <c r="B596">
        <v>445.89499999999998</v>
      </c>
      <c r="C596">
        <v>616229.98</v>
      </c>
      <c r="D596">
        <v>3097524.2760000001</v>
      </c>
      <c r="E596">
        <v>632.33900000000006</v>
      </c>
      <c r="F596">
        <v>5.2</v>
      </c>
      <c r="G596">
        <v>0</v>
      </c>
      <c r="H596" t="s">
        <v>191</v>
      </c>
      <c r="I596">
        <v>2.3E-2</v>
      </c>
      <c r="J596">
        <f t="shared" si="289"/>
        <v>1</v>
      </c>
      <c r="K596">
        <f t="shared" si="290"/>
        <v>51</v>
      </c>
      <c r="L596" t="e">
        <f t="shared" ca="1" si="291"/>
        <v>#VALUE!</v>
      </c>
      <c r="M596" t="e">
        <f t="shared" ca="1" si="264"/>
        <v>#VALUE!</v>
      </c>
      <c r="N596" t="e">
        <f t="shared" ca="1" si="265"/>
        <v>#VALUE!</v>
      </c>
      <c r="O596" t="e">
        <f t="shared" ca="1" si="266"/>
        <v>#VALUE!</v>
      </c>
      <c r="P596" t="e">
        <f t="shared" ca="1" si="267"/>
        <v>#VALUE!</v>
      </c>
      <c r="Q596" t="e">
        <f t="shared" ca="1" si="268"/>
        <v>#VALUE!</v>
      </c>
      <c r="R596" t="e">
        <f t="shared" ca="1" si="269"/>
        <v>#VALUE!</v>
      </c>
      <c r="S596" t="e">
        <f t="shared" ca="1" si="270"/>
        <v>#VALUE!</v>
      </c>
      <c r="T596" t="e">
        <f t="shared" ca="1" si="271"/>
        <v>#VALUE!</v>
      </c>
      <c r="U596" t="e">
        <f t="shared" ca="1" si="292"/>
        <v>#VALUE!</v>
      </c>
      <c r="V596" t="e">
        <f t="shared" ca="1" si="293"/>
        <v>#VALUE!</v>
      </c>
      <c r="W596" t="e">
        <f t="shared" ca="1" si="272"/>
        <v>#VALUE!</v>
      </c>
      <c r="X596" t="e">
        <f t="shared" ca="1" si="273"/>
        <v>#VALUE!</v>
      </c>
      <c r="Y596" t="e">
        <f t="shared" ca="1" si="274"/>
        <v>#VALUE!</v>
      </c>
      <c r="Z596" t="e">
        <f t="shared" ca="1" si="275"/>
        <v>#VALUE!</v>
      </c>
      <c r="AA596" t="e">
        <f t="shared" ca="1" si="276"/>
        <v>#VALUE!</v>
      </c>
      <c r="AB596" t="e">
        <f t="shared" ca="1" si="277"/>
        <v>#VALUE!</v>
      </c>
      <c r="AC596" t="e">
        <f t="shared" ca="1" si="278"/>
        <v>#VALUE!</v>
      </c>
      <c r="AD596" t="e">
        <f t="shared" ca="1" si="279"/>
        <v>#VALUE!</v>
      </c>
      <c r="AE596" t="e">
        <f t="shared" ca="1" si="280"/>
        <v>#VALUE!</v>
      </c>
      <c r="AF596" t="e">
        <f t="shared" ca="1" si="281"/>
        <v>#VALUE!</v>
      </c>
      <c r="AG596" t="e">
        <f t="shared" ca="1" si="282"/>
        <v>#VALUE!</v>
      </c>
      <c r="AH596" t="e">
        <f ca="1">IF(V32="Supercritical",L596,IF(V32="Subcritical",W596,IF(AND(V596=1,AG596=1),IF(T596&gt;=AE596,L596,W596),IF(V596=1,L596,IF(AG596=1,W596,MAX($D$16,POWER((ABS(K596)^2)/($I$5*MAX(F596,0.1)^2),1/3)))))))</f>
        <v>#VALUE!</v>
      </c>
      <c r="AI596" t="e">
        <f t="shared" ca="1" si="283"/>
        <v>#VALUE!</v>
      </c>
      <c r="AJ596" t="e">
        <f t="shared" ca="1" si="284"/>
        <v>#VALUE!</v>
      </c>
      <c r="AM596">
        <v>0</v>
      </c>
      <c r="AN596">
        <v>0</v>
      </c>
      <c r="AO596">
        <f t="shared" si="285"/>
        <v>0</v>
      </c>
      <c r="AP596">
        <f t="shared" si="294"/>
        <v>0</v>
      </c>
      <c r="AQ596" t="e">
        <f t="shared" ca="1" si="286"/>
        <v>#VALUE!</v>
      </c>
      <c r="AR596" t="e">
        <f t="shared" ca="1" si="287"/>
        <v>#VALUE!</v>
      </c>
      <c r="AS596" t="e">
        <f t="shared" ca="1" si="288"/>
        <v>#VALUE!</v>
      </c>
    </row>
    <row r="597" spans="1:45" x14ac:dyDescent="0.35">
      <c r="A597">
        <v>448</v>
      </c>
      <c r="B597">
        <v>446.89600000000002</v>
      </c>
      <c r="C597">
        <v>616229.505</v>
      </c>
      <c r="D597">
        <v>3097523.395</v>
      </c>
      <c r="E597">
        <v>632.33849999999995</v>
      </c>
      <c r="F597">
        <v>5.2</v>
      </c>
      <c r="G597">
        <v>0</v>
      </c>
      <c r="H597" t="s">
        <v>191</v>
      </c>
      <c r="I597">
        <v>2.3E-2</v>
      </c>
      <c r="J597">
        <f t="shared" si="289"/>
        <v>1.0010000000000332</v>
      </c>
      <c r="K597">
        <f t="shared" si="290"/>
        <v>51</v>
      </c>
      <c r="L597" t="e">
        <f t="shared" ca="1" si="291"/>
        <v>#VALUE!</v>
      </c>
      <c r="M597" t="e">
        <f t="shared" ca="1" si="264"/>
        <v>#VALUE!</v>
      </c>
      <c r="N597" t="e">
        <f t="shared" ca="1" si="265"/>
        <v>#VALUE!</v>
      </c>
      <c r="O597" t="e">
        <f t="shared" ca="1" si="266"/>
        <v>#VALUE!</v>
      </c>
      <c r="P597" t="e">
        <f t="shared" ca="1" si="267"/>
        <v>#VALUE!</v>
      </c>
      <c r="Q597" t="e">
        <f t="shared" ca="1" si="268"/>
        <v>#VALUE!</v>
      </c>
      <c r="R597" t="e">
        <f t="shared" ca="1" si="269"/>
        <v>#VALUE!</v>
      </c>
      <c r="S597" t="e">
        <f t="shared" ca="1" si="270"/>
        <v>#VALUE!</v>
      </c>
      <c r="T597" t="e">
        <f t="shared" ca="1" si="271"/>
        <v>#VALUE!</v>
      </c>
      <c r="U597" t="e">
        <f t="shared" ca="1" si="292"/>
        <v>#VALUE!</v>
      </c>
      <c r="V597" t="e">
        <f t="shared" ca="1" si="293"/>
        <v>#VALUE!</v>
      </c>
      <c r="W597" t="e">
        <f t="shared" ca="1" si="272"/>
        <v>#VALUE!</v>
      </c>
      <c r="X597" t="e">
        <f t="shared" ca="1" si="273"/>
        <v>#VALUE!</v>
      </c>
      <c r="Y597" t="e">
        <f t="shared" ca="1" si="274"/>
        <v>#VALUE!</v>
      </c>
      <c r="Z597" t="e">
        <f t="shared" ca="1" si="275"/>
        <v>#VALUE!</v>
      </c>
      <c r="AA597" t="e">
        <f t="shared" ca="1" si="276"/>
        <v>#VALUE!</v>
      </c>
      <c r="AB597" t="e">
        <f t="shared" ca="1" si="277"/>
        <v>#VALUE!</v>
      </c>
      <c r="AC597" t="e">
        <f t="shared" ca="1" si="278"/>
        <v>#VALUE!</v>
      </c>
      <c r="AD597" t="e">
        <f t="shared" ca="1" si="279"/>
        <v>#VALUE!</v>
      </c>
      <c r="AE597" t="e">
        <f t="shared" ca="1" si="280"/>
        <v>#VALUE!</v>
      </c>
      <c r="AF597" t="e">
        <f t="shared" ca="1" si="281"/>
        <v>#VALUE!</v>
      </c>
      <c r="AG597" t="e">
        <f t="shared" ca="1" si="282"/>
        <v>#VALUE!</v>
      </c>
      <c r="AH597" t="e">
        <f ca="1">IF(V32="Supercritical",L597,IF(V32="Subcritical",W597,IF(AND(V597=1,AG597=1),IF(T597&gt;=AE597,L597,W597),IF(V597=1,L597,IF(AG597=1,W597,MAX($D$16,POWER((ABS(K597)^2)/($I$5*MAX(F597,0.1)^2),1/3)))))))</f>
        <v>#VALUE!</v>
      </c>
      <c r="AI597" t="e">
        <f t="shared" ca="1" si="283"/>
        <v>#VALUE!</v>
      </c>
      <c r="AJ597" t="e">
        <f t="shared" ca="1" si="284"/>
        <v>#VALUE!</v>
      </c>
      <c r="AM597">
        <v>0</v>
      </c>
      <c r="AN597">
        <v>0</v>
      </c>
      <c r="AO597">
        <f t="shared" si="285"/>
        <v>0</v>
      </c>
      <c r="AP597">
        <f t="shared" si="294"/>
        <v>0</v>
      </c>
      <c r="AQ597" t="e">
        <f t="shared" ca="1" si="286"/>
        <v>#VALUE!</v>
      </c>
      <c r="AR597" t="e">
        <f t="shared" ca="1" si="287"/>
        <v>#VALUE!</v>
      </c>
      <c r="AS597" t="e">
        <f t="shared" ca="1" si="288"/>
        <v>#VALUE!</v>
      </c>
    </row>
    <row r="598" spans="1:45" x14ac:dyDescent="0.35">
      <c r="A598">
        <v>449</v>
      </c>
      <c r="B598">
        <v>447.89499999999998</v>
      </c>
      <c r="C598">
        <v>616229.03099999996</v>
      </c>
      <c r="D598">
        <v>3097522.5150000001</v>
      </c>
      <c r="E598">
        <v>632.33799999999997</v>
      </c>
      <c r="F598">
        <v>5.2</v>
      </c>
      <c r="G598">
        <v>0</v>
      </c>
      <c r="H598" t="s">
        <v>191</v>
      </c>
      <c r="I598">
        <v>0</v>
      </c>
      <c r="J598">
        <f t="shared" si="289"/>
        <v>0.9989999999999668</v>
      </c>
      <c r="K598">
        <f t="shared" si="290"/>
        <v>51</v>
      </c>
      <c r="L598" t="e">
        <f t="shared" ca="1" si="291"/>
        <v>#VALUE!</v>
      </c>
      <c r="M598" t="e">
        <f t="shared" ref="M598:M661" ca="1" si="295">((F598)+(G598)*(L598))*(L598)</f>
        <v>#VALUE!</v>
      </c>
      <c r="N598" t="e">
        <f t="shared" ref="N598:N661" ca="1" si="296">(((F598)+(G598)*(L598))*(L598))/MAX((F598)+2*(L598)*SQRT(1+(G598)^2),0.000001)</f>
        <v>#VALUE!</v>
      </c>
      <c r="O598" t="e">
        <f t="shared" ref="O598:O661" ca="1" si="297">ABS(K598)/MAX(((F598)+(G598)*(L598))*(L598),0.000001)</f>
        <v>#VALUE!</v>
      </c>
      <c r="P598" t="e">
        <f t="shared" ref="P598:P661" ca="1" si="298">E598+L598</f>
        <v>#VALUE!</v>
      </c>
      <c r="Q598" t="e">
        <f t="shared" ref="Q598:Q661" ca="1" si="299">P598+((ABS(K598)/MAX(((F598)+(G598)*(L598))*(L598),0.000001))^2)/(2*$I$5)</f>
        <v>#VALUE!</v>
      </c>
      <c r="R598" t="e">
        <f t="shared" ref="R598:R661" ca="1" si="300">((ABS(K598)*$D$6)/(MAX(((F598)+(G598)*(L598))*(L598),0.000001)*MAX(((((F598)+(G598)*(L598))*(L598))/MAX((F598)+2*(L598)*SQRT(1+(G598)^2),0.000001))^(2/3),0.000001)))^2</f>
        <v>#VALUE!</v>
      </c>
      <c r="S598" t="e">
        <f t="shared" ref="S598:S661" ca="1" si="301">ABS(ABS(K598)/MAX(((F598)+(G598)*(L598))*(L598),0.000001))/SQRT($I$5*MAX((((F598)+(G598)*(L598))*(L598))/MAX((F598)+2*(G598)*(L598),0.000001),0.000001))</f>
        <v>#VALUE!</v>
      </c>
      <c r="T598" t="e">
        <f t="shared" ref="T598:T661" ca="1" si="302">((F598)*(L598)^2)/2+(G598)*(L598)^3/3+(ABS(K598)^2)/($I$5*MAX(((F598)+(G598)*(L598))*(L598),0.000001))</f>
        <v>#VALUE!</v>
      </c>
      <c r="U598" t="e">
        <f t="shared" ca="1" si="292"/>
        <v>#VALUE!</v>
      </c>
      <c r="V598" t="e">
        <f t="shared" ca="1" si="293"/>
        <v>#VALUE!</v>
      </c>
      <c r="W598" t="e">
        <f t="shared" ref="W598:W661" ca="1" si="303">IF($D$20=0,W599,IF(AG599=0,W599,IF(W598=0,W599,IF(ABS(AF598)&gt;$D$19,MAX($D$16,W598+((AF598)*$D$18*IF((AD598)&lt;1,1,-1))),W598))))</f>
        <v>#VALUE!</v>
      </c>
      <c r="X598" t="e">
        <f t="shared" ref="X598:X661" ca="1" si="304">((F598)+(G598)*(W598))*(W598)</f>
        <v>#VALUE!</v>
      </c>
      <c r="Y598" t="e">
        <f t="shared" ref="Y598:Y661" ca="1" si="305">(((F598)+(G598)*(W598))*(W598))/MAX((F598)+2*(W598)*SQRT(1+(G598)^2),0.000001)</f>
        <v>#VALUE!</v>
      </c>
      <c r="Z598" t="e">
        <f t="shared" ref="Z598:Z661" ca="1" si="306">ABS(K598)/MAX(((F598)+(G598)*(W598))*(W598),0.000001)</f>
        <v>#VALUE!</v>
      </c>
      <c r="AA598" t="e">
        <f t="shared" ref="AA598:AA661" ca="1" si="307">E598+W598</f>
        <v>#VALUE!</v>
      </c>
      <c r="AB598" t="e">
        <f t="shared" ref="AB598:AB661" ca="1" si="308">AA598+((ABS(K598)/MAX(((F598)+(G598)*(W598))*(W598),0.000001))^2)/(2*$I$5)</f>
        <v>#VALUE!</v>
      </c>
      <c r="AC598" t="e">
        <f t="shared" ref="AC598:AC661" ca="1" si="309">((ABS(K598)*$D$6)/(MAX(((F598)+(G598)*(W598))*(W598),0.000001)*MAX(((((F598)+(G598)*(W598))*(W598))/MAX((F598)+2*(W598)*SQRT(1+(G598)^2),0.000001))^(2/3),0.000001)))^2</f>
        <v>#VALUE!</v>
      </c>
      <c r="AD598" t="e">
        <f t="shared" ref="AD598:AD661" ca="1" si="310">ABS(ABS(K598)/MAX(((F598)+(G598)*(W598))*(W598),0.000001))/SQRT($I$5*MAX((((F598)+(G598)*(W598))*(W598))/MAX((F598)+2*(G598)*(W598),0.000001),0.000001))</f>
        <v>#VALUE!</v>
      </c>
      <c r="AE598" t="e">
        <f t="shared" ref="AE598:AE661" ca="1" si="311">((F598)*(W598)^2)/2+(G598)*(W598)^3/3+(ABS(K598)^2)/($I$5*MAX(((F598)+(G598)*(W598))*(W598),0.000001))</f>
        <v>#VALUE!</v>
      </c>
      <c r="AF598" t="e">
        <f t="shared" ref="AF598:AF661" ca="1" si="312">AB599+(((AC598+AC599)/2)*J599)+(IF(Z598&gt;Z599,$D$8*((Z598^2-Z599^2)/(2*$I$5)),$D$9*((Z599^2-Z598^2)/(2*$I$5)))+($D$10*(ABS(I599)/90)*(MAX(Z598^2,Z599^2)/(2*$I$5))))-AB598</f>
        <v>#VALUE!</v>
      </c>
      <c r="AG598" t="e">
        <f t="shared" ref="AG598:AG661" ca="1" si="313">IF(ABS(AF598)&lt;$D$19,1,0)</f>
        <v>#VALUE!</v>
      </c>
      <c r="AH598" t="e">
        <f ca="1">IF(V32="Supercritical",L598,IF(V32="Subcritical",W598,IF(AND(V598=1,AG598=1),IF(T598&gt;=AE598,L598,W598),IF(V598=1,L598,IF(AG598=1,W598,MAX($D$16,POWER((ABS(K598)^2)/($I$5*MAX(F598,0.1)^2),1/3)))))))</f>
        <v>#VALUE!</v>
      </c>
      <c r="AI598" t="e">
        <f t="shared" ref="AI598:AI661" ca="1" si="314">E598+AH598</f>
        <v>#VALUE!</v>
      </c>
      <c r="AJ598" t="e">
        <f t="shared" ref="AJ598:AJ661" ca="1" si="315">AI598+((ABS(K598)/MAX(((F598)+(G598)*(AH598))*(AH598),0.000001))^2)/(2*$I$5)</f>
        <v>#VALUE!</v>
      </c>
      <c r="AM598">
        <v>0</v>
      </c>
      <c r="AN598">
        <v>0</v>
      </c>
      <c r="AO598">
        <f t="shared" ref="AO598:AO661" si="316">AM598+AN598</f>
        <v>0</v>
      </c>
      <c r="AP598">
        <f t="shared" si="294"/>
        <v>0</v>
      </c>
      <c r="AQ598" t="e">
        <f t="shared" ref="AQ598:AQ661" ca="1" si="317">ABS(ABS(K598)/MAX(((F598)+(G598)*(AH598))*(AH598),0.000001))/SQRT($I$5*MAX((((F598)+(G598)*(AH598))*(AH598))/MAX((F598)+2*(G598)*(AH598),0.000001),0.000001))</f>
        <v>#VALUE!</v>
      </c>
      <c r="AR598" t="e">
        <f t="shared" ref="AR598:AR661" ca="1" si="318">IF(AQ598&lt;1,"Subcritical","Supercritical")</f>
        <v>#VALUE!</v>
      </c>
      <c r="AS598" t="e">
        <f t="shared" ref="AS598:AS661" ca="1" si="319">((ABS(K598)*$D$6)/(MAX(((F598)+(G598)*(AH598))*(AH598),0.000001)*MAX(((((F598)+(G598)*(AH598))*(AH598))/MAX((F598)+2*(AH598)*SQRT(1+(G598)^2),0.000001))^(2/3),0.000001)))^2</f>
        <v>#VALUE!</v>
      </c>
    </row>
    <row r="599" spans="1:45" x14ac:dyDescent="0.35">
      <c r="A599">
        <v>450</v>
      </c>
      <c r="B599">
        <v>448.89499999999998</v>
      </c>
      <c r="C599">
        <v>616228.55700000003</v>
      </c>
      <c r="D599">
        <v>3097521.6349999998</v>
      </c>
      <c r="E599">
        <v>632.33749999999998</v>
      </c>
      <c r="F599">
        <v>5.2</v>
      </c>
      <c r="G599">
        <v>0</v>
      </c>
      <c r="H599" t="s">
        <v>191</v>
      </c>
      <c r="I599">
        <v>2.7E-2</v>
      </c>
      <c r="J599">
        <f t="shared" ref="J599:J662" si="320">B599-B598</f>
        <v>1</v>
      </c>
      <c r="K599">
        <f t="shared" ref="K599:K662" si="321">MAX(0,K598-AO598)</f>
        <v>51</v>
      </c>
      <c r="L599" t="e">
        <f t="shared" ref="L599:L662" ca="1" si="322">IF($D$20=0,L598,IF(V598=0,L598,IF(L599=0,L598,IF(ABS(U599)&gt;$D$19,MAX($D$16,L599+((U599)*$D$18*IF((S599)&lt;1,1,-1))),L599))))</f>
        <v>#VALUE!</v>
      </c>
      <c r="M599" t="e">
        <f t="shared" ca="1" si="295"/>
        <v>#VALUE!</v>
      </c>
      <c r="N599" t="e">
        <f t="shared" ca="1" si="296"/>
        <v>#VALUE!</v>
      </c>
      <c r="O599" t="e">
        <f t="shared" ca="1" si="297"/>
        <v>#VALUE!</v>
      </c>
      <c r="P599" t="e">
        <f t="shared" ca="1" si="298"/>
        <v>#VALUE!</v>
      </c>
      <c r="Q599" t="e">
        <f t="shared" ca="1" si="299"/>
        <v>#VALUE!</v>
      </c>
      <c r="R599" t="e">
        <f t="shared" ca="1" si="300"/>
        <v>#VALUE!</v>
      </c>
      <c r="S599" t="e">
        <f t="shared" ca="1" si="301"/>
        <v>#VALUE!</v>
      </c>
      <c r="T599" t="e">
        <f t="shared" ca="1" si="302"/>
        <v>#VALUE!</v>
      </c>
      <c r="U599" t="e">
        <f t="shared" ref="U599:U662" ca="1" si="323">Q598-(((R598+R599)/2)*J599)-(IF(O598&gt;O599,$D$8*((O598^2-O599^2)/(2*$I$5)),$D$9*((O599^2-O598^2)/(2*$I$5)))+($D$10*(ABS(I599)/90)*(MAX(O598^2,O599^2)/(2*$I$5))))-Q599</f>
        <v>#VALUE!</v>
      </c>
      <c r="V599" t="e">
        <f t="shared" ref="V599:V662" ca="1" si="324">IF(ABS(U599)&lt;$D$19,1,0)</f>
        <v>#VALUE!</v>
      </c>
      <c r="W599" t="e">
        <f t="shared" ca="1" si="303"/>
        <v>#VALUE!</v>
      </c>
      <c r="X599" t="e">
        <f t="shared" ca="1" si="304"/>
        <v>#VALUE!</v>
      </c>
      <c r="Y599" t="e">
        <f t="shared" ca="1" si="305"/>
        <v>#VALUE!</v>
      </c>
      <c r="Z599" t="e">
        <f t="shared" ca="1" si="306"/>
        <v>#VALUE!</v>
      </c>
      <c r="AA599" t="e">
        <f t="shared" ca="1" si="307"/>
        <v>#VALUE!</v>
      </c>
      <c r="AB599" t="e">
        <f t="shared" ca="1" si="308"/>
        <v>#VALUE!</v>
      </c>
      <c r="AC599" t="e">
        <f t="shared" ca="1" si="309"/>
        <v>#VALUE!</v>
      </c>
      <c r="AD599" t="e">
        <f t="shared" ca="1" si="310"/>
        <v>#VALUE!</v>
      </c>
      <c r="AE599" t="e">
        <f t="shared" ca="1" si="311"/>
        <v>#VALUE!</v>
      </c>
      <c r="AF599" t="e">
        <f t="shared" ca="1" si="312"/>
        <v>#VALUE!</v>
      </c>
      <c r="AG599" t="e">
        <f t="shared" ca="1" si="313"/>
        <v>#VALUE!</v>
      </c>
      <c r="AH599" t="e">
        <f ca="1">IF(V32="Supercritical",L599,IF(V32="Subcritical",W599,IF(AND(V599=1,AG599=1),IF(T599&gt;=AE599,L599,W599),IF(V599=1,L599,IF(AG599=1,W599,MAX($D$16,POWER((ABS(K599)^2)/($I$5*MAX(F599,0.1)^2),1/3)))))))</f>
        <v>#VALUE!</v>
      </c>
      <c r="AI599" t="e">
        <f t="shared" ca="1" si="314"/>
        <v>#VALUE!</v>
      </c>
      <c r="AJ599" t="e">
        <f t="shared" ca="1" si="315"/>
        <v>#VALUE!</v>
      </c>
      <c r="AM599">
        <v>0</v>
      </c>
      <c r="AN599">
        <v>0</v>
      </c>
      <c r="AO599">
        <f t="shared" si="316"/>
        <v>0</v>
      </c>
      <c r="AP599">
        <f t="shared" ref="AP599:AP662" si="325">AP598+AO599</f>
        <v>0</v>
      </c>
      <c r="AQ599" t="e">
        <f t="shared" ca="1" si="317"/>
        <v>#VALUE!</v>
      </c>
      <c r="AR599" t="e">
        <f t="shared" ca="1" si="318"/>
        <v>#VALUE!</v>
      </c>
      <c r="AS599" t="e">
        <f t="shared" ca="1" si="319"/>
        <v>#VALUE!</v>
      </c>
    </row>
    <row r="600" spans="1:45" x14ac:dyDescent="0.35">
      <c r="A600">
        <v>451</v>
      </c>
      <c r="B600">
        <v>449.89499999999998</v>
      </c>
      <c r="C600">
        <v>616228.08299999998</v>
      </c>
      <c r="D600">
        <v>3097520.7540000002</v>
      </c>
      <c r="E600">
        <v>632.33699999999999</v>
      </c>
      <c r="F600">
        <v>5.2</v>
      </c>
      <c r="G600">
        <v>0</v>
      </c>
      <c r="H600" t="s">
        <v>191</v>
      </c>
      <c r="I600">
        <v>7.8E-2</v>
      </c>
      <c r="J600">
        <f t="shared" si="320"/>
        <v>1</v>
      </c>
      <c r="K600">
        <f t="shared" si="321"/>
        <v>51</v>
      </c>
      <c r="L600" t="e">
        <f t="shared" ca="1" si="322"/>
        <v>#VALUE!</v>
      </c>
      <c r="M600" t="e">
        <f t="shared" ca="1" si="295"/>
        <v>#VALUE!</v>
      </c>
      <c r="N600" t="e">
        <f t="shared" ca="1" si="296"/>
        <v>#VALUE!</v>
      </c>
      <c r="O600" t="e">
        <f t="shared" ca="1" si="297"/>
        <v>#VALUE!</v>
      </c>
      <c r="P600" t="e">
        <f t="shared" ca="1" si="298"/>
        <v>#VALUE!</v>
      </c>
      <c r="Q600" t="e">
        <f t="shared" ca="1" si="299"/>
        <v>#VALUE!</v>
      </c>
      <c r="R600" t="e">
        <f t="shared" ca="1" si="300"/>
        <v>#VALUE!</v>
      </c>
      <c r="S600" t="e">
        <f t="shared" ca="1" si="301"/>
        <v>#VALUE!</v>
      </c>
      <c r="T600" t="e">
        <f t="shared" ca="1" si="302"/>
        <v>#VALUE!</v>
      </c>
      <c r="U600" t="e">
        <f t="shared" ca="1" si="323"/>
        <v>#VALUE!</v>
      </c>
      <c r="V600" t="e">
        <f t="shared" ca="1" si="324"/>
        <v>#VALUE!</v>
      </c>
      <c r="W600" t="e">
        <f t="shared" ca="1" si="303"/>
        <v>#VALUE!</v>
      </c>
      <c r="X600" t="e">
        <f t="shared" ca="1" si="304"/>
        <v>#VALUE!</v>
      </c>
      <c r="Y600" t="e">
        <f t="shared" ca="1" si="305"/>
        <v>#VALUE!</v>
      </c>
      <c r="Z600" t="e">
        <f t="shared" ca="1" si="306"/>
        <v>#VALUE!</v>
      </c>
      <c r="AA600" t="e">
        <f t="shared" ca="1" si="307"/>
        <v>#VALUE!</v>
      </c>
      <c r="AB600" t="e">
        <f t="shared" ca="1" si="308"/>
        <v>#VALUE!</v>
      </c>
      <c r="AC600" t="e">
        <f t="shared" ca="1" si="309"/>
        <v>#VALUE!</v>
      </c>
      <c r="AD600" t="e">
        <f t="shared" ca="1" si="310"/>
        <v>#VALUE!</v>
      </c>
      <c r="AE600" t="e">
        <f t="shared" ca="1" si="311"/>
        <v>#VALUE!</v>
      </c>
      <c r="AF600" t="e">
        <f t="shared" ca="1" si="312"/>
        <v>#VALUE!</v>
      </c>
      <c r="AG600" t="e">
        <f t="shared" ca="1" si="313"/>
        <v>#VALUE!</v>
      </c>
      <c r="AH600" t="e">
        <f ca="1">IF(V32="Supercritical",L600,IF(V32="Subcritical",W600,IF(AND(V600=1,AG600=1),IF(T600&gt;=AE600,L600,W600),IF(V600=1,L600,IF(AG600=1,W600,MAX($D$16,POWER((ABS(K600)^2)/($I$5*MAX(F600,0.1)^2),1/3)))))))</f>
        <v>#VALUE!</v>
      </c>
      <c r="AI600" t="e">
        <f t="shared" ca="1" si="314"/>
        <v>#VALUE!</v>
      </c>
      <c r="AJ600" t="e">
        <f t="shared" ca="1" si="315"/>
        <v>#VALUE!</v>
      </c>
      <c r="AM600">
        <v>0</v>
      </c>
      <c r="AN600">
        <v>0</v>
      </c>
      <c r="AO600">
        <f t="shared" si="316"/>
        <v>0</v>
      </c>
      <c r="AP600">
        <f t="shared" si="325"/>
        <v>0</v>
      </c>
      <c r="AQ600" t="e">
        <f t="shared" ca="1" si="317"/>
        <v>#VALUE!</v>
      </c>
      <c r="AR600" t="e">
        <f t="shared" ca="1" si="318"/>
        <v>#VALUE!</v>
      </c>
      <c r="AS600" t="e">
        <f t="shared" ca="1" si="319"/>
        <v>#VALUE!</v>
      </c>
    </row>
    <row r="601" spans="1:45" x14ac:dyDescent="0.35">
      <c r="A601">
        <v>452</v>
      </c>
      <c r="B601">
        <v>450.89499999999998</v>
      </c>
      <c r="C601">
        <v>616227.60800000001</v>
      </c>
      <c r="D601">
        <v>3097519.8739999998</v>
      </c>
      <c r="E601">
        <v>632.3365</v>
      </c>
      <c r="F601">
        <v>5.2</v>
      </c>
      <c r="G601">
        <v>0</v>
      </c>
      <c r="H601" t="s">
        <v>191</v>
      </c>
      <c r="I601">
        <v>7.8E-2</v>
      </c>
      <c r="J601">
        <f t="shared" si="320"/>
        <v>1</v>
      </c>
      <c r="K601">
        <f t="shared" si="321"/>
        <v>51</v>
      </c>
      <c r="L601" t="e">
        <f t="shared" ca="1" si="322"/>
        <v>#VALUE!</v>
      </c>
      <c r="M601" t="e">
        <f t="shared" ca="1" si="295"/>
        <v>#VALUE!</v>
      </c>
      <c r="N601" t="e">
        <f t="shared" ca="1" si="296"/>
        <v>#VALUE!</v>
      </c>
      <c r="O601" t="e">
        <f t="shared" ca="1" si="297"/>
        <v>#VALUE!</v>
      </c>
      <c r="P601" t="e">
        <f t="shared" ca="1" si="298"/>
        <v>#VALUE!</v>
      </c>
      <c r="Q601" t="e">
        <f t="shared" ca="1" si="299"/>
        <v>#VALUE!</v>
      </c>
      <c r="R601" t="e">
        <f t="shared" ca="1" si="300"/>
        <v>#VALUE!</v>
      </c>
      <c r="S601" t="e">
        <f t="shared" ca="1" si="301"/>
        <v>#VALUE!</v>
      </c>
      <c r="T601" t="e">
        <f t="shared" ca="1" si="302"/>
        <v>#VALUE!</v>
      </c>
      <c r="U601" t="e">
        <f t="shared" ca="1" si="323"/>
        <v>#VALUE!</v>
      </c>
      <c r="V601" t="e">
        <f t="shared" ca="1" si="324"/>
        <v>#VALUE!</v>
      </c>
      <c r="W601" t="e">
        <f t="shared" ca="1" si="303"/>
        <v>#VALUE!</v>
      </c>
      <c r="X601" t="e">
        <f t="shared" ca="1" si="304"/>
        <v>#VALUE!</v>
      </c>
      <c r="Y601" t="e">
        <f t="shared" ca="1" si="305"/>
        <v>#VALUE!</v>
      </c>
      <c r="Z601" t="e">
        <f t="shared" ca="1" si="306"/>
        <v>#VALUE!</v>
      </c>
      <c r="AA601" t="e">
        <f t="shared" ca="1" si="307"/>
        <v>#VALUE!</v>
      </c>
      <c r="AB601" t="e">
        <f t="shared" ca="1" si="308"/>
        <v>#VALUE!</v>
      </c>
      <c r="AC601" t="e">
        <f t="shared" ca="1" si="309"/>
        <v>#VALUE!</v>
      </c>
      <c r="AD601" t="e">
        <f t="shared" ca="1" si="310"/>
        <v>#VALUE!</v>
      </c>
      <c r="AE601" t="e">
        <f t="shared" ca="1" si="311"/>
        <v>#VALUE!</v>
      </c>
      <c r="AF601" t="e">
        <f t="shared" ca="1" si="312"/>
        <v>#VALUE!</v>
      </c>
      <c r="AG601" t="e">
        <f t="shared" ca="1" si="313"/>
        <v>#VALUE!</v>
      </c>
      <c r="AH601" t="e">
        <f ca="1">IF(V32="Supercritical",L601,IF(V32="Subcritical",W601,IF(AND(V601=1,AG601=1),IF(T601&gt;=AE601,L601,W601),IF(V601=1,L601,IF(AG601=1,W601,MAX($D$16,POWER((ABS(K601)^2)/($I$5*MAX(F601,0.1)^2),1/3)))))))</f>
        <v>#VALUE!</v>
      </c>
      <c r="AI601" t="e">
        <f t="shared" ca="1" si="314"/>
        <v>#VALUE!</v>
      </c>
      <c r="AJ601" t="e">
        <f t="shared" ca="1" si="315"/>
        <v>#VALUE!</v>
      </c>
      <c r="AM601">
        <v>0</v>
      </c>
      <c r="AN601">
        <v>0</v>
      </c>
      <c r="AO601">
        <f t="shared" si="316"/>
        <v>0</v>
      </c>
      <c r="AP601">
        <f t="shared" si="325"/>
        <v>0</v>
      </c>
      <c r="AQ601" t="e">
        <f t="shared" ca="1" si="317"/>
        <v>#VALUE!</v>
      </c>
      <c r="AR601" t="e">
        <f t="shared" ca="1" si="318"/>
        <v>#VALUE!</v>
      </c>
      <c r="AS601" t="e">
        <f t="shared" ca="1" si="319"/>
        <v>#VALUE!</v>
      </c>
    </row>
    <row r="602" spans="1:45" x14ac:dyDescent="0.35">
      <c r="A602">
        <v>453</v>
      </c>
      <c r="B602">
        <v>451.89600000000002</v>
      </c>
      <c r="C602">
        <v>616227.13399999996</v>
      </c>
      <c r="D602">
        <v>3097518.9929999998</v>
      </c>
      <c r="E602">
        <v>632.33600000000001</v>
      </c>
      <c r="F602">
        <v>5.2</v>
      </c>
      <c r="G602">
        <v>0</v>
      </c>
      <c r="H602" t="s">
        <v>191</v>
      </c>
      <c r="I602">
        <v>2.7E-2</v>
      </c>
      <c r="J602">
        <f t="shared" si="320"/>
        <v>1.0010000000000332</v>
      </c>
      <c r="K602">
        <f t="shared" si="321"/>
        <v>51</v>
      </c>
      <c r="L602" t="e">
        <f t="shared" ca="1" si="322"/>
        <v>#VALUE!</v>
      </c>
      <c r="M602" t="e">
        <f t="shared" ca="1" si="295"/>
        <v>#VALUE!</v>
      </c>
      <c r="N602" t="e">
        <f t="shared" ca="1" si="296"/>
        <v>#VALUE!</v>
      </c>
      <c r="O602" t="e">
        <f t="shared" ca="1" si="297"/>
        <v>#VALUE!</v>
      </c>
      <c r="P602" t="e">
        <f t="shared" ca="1" si="298"/>
        <v>#VALUE!</v>
      </c>
      <c r="Q602" t="e">
        <f t="shared" ca="1" si="299"/>
        <v>#VALUE!</v>
      </c>
      <c r="R602" t="e">
        <f t="shared" ca="1" si="300"/>
        <v>#VALUE!</v>
      </c>
      <c r="S602" t="e">
        <f t="shared" ca="1" si="301"/>
        <v>#VALUE!</v>
      </c>
      <c r="T602" t="e">
        <f t="shared" ca="1" si="302"/>
        <v>#VALUE!</v>
      </c>
      <c r="U602" t="e">
        <f t="shared" ca="1" si="323"/>
        <v>#VALUE!</v>
      </c>
      <c r="V602" t="e">
        <f t="shared" ca="1" si="324"/>
        <v>#VALUE!</v>
      </c>
      <c r="W602" t="e">
        <f t="shared" ca="1" si="303"/>
        <v>#VALUE!</v>
      </c>
      <c r="X602" t="e">
        <f t="shared" ca="1" si="304"/>
        <v>#VALUE!</v>
      </c>
      <c r="Y602" t="e">
        <f t="shared" ca="1" si="305"/>
        <v>#VALUE!</v>
      </c>
      <c r="Z602" t="e">
        <f t="shared" ca="1" si="306"/>
        <v>#VALUE!</v>
      </c>
      <c r="AA602" t="e">
        <f t="shared" ca="1" si="307"/>
        <v>#VALUE!</v>
      </c>
      <c r="AB602" t="e">
        <f t="shared" ca="1" si="308"/>
        <v>#VALUE!</v>
      </c>
      <c r="AC602" t="e">
        <f t="shared" ca="1" si="309"/>
        <v>#VALUE!</v>
      </c>
      <c r="AD602" t="e">
        <f t="shared" ca="1" si="310"/>
        <v>#VALUE!</v>
      </c>
      <c r="AE602" t="e">
        <f t="shared" ca="1" si="311"/>
        <v>#VALUE!</v>
      </c>
      <c r="AF602" t="e">
        <f t="shared" ca="1" si="312"/>
        <v>#VALUE!</v>
      </c>
      <c r="AG602" t="e">
        <f t="shared" ca="1" si="313"/>
        <v>#VALUE!</v>
      </c>
      <c r="AH602" t="e">
        <f ca="1">IF(V32="Supercritical",L602,IF(V32="Subcritical",W602,IF(AND(V602=1,AG602=1),IF(T602&gt;=AE602,L602,W602),IF(V602=1,L602,IF(AG602=1,W602,MAX($D$16,POWER((ABS(K602)^2)/($I$5*MAX(F602,0.1)^2),1/3)))))))</f>
        <v>#VALUE!</v>
      </c>
      <c r="AI602" t="e">
        <f t="shared" ca="1" si="314"/>
        <v>#VALUE!</v>
      </c>
      <c r="AJ602" t="e">
        <f t="shared" ca="1" si="315"/>
        <v>#VALUE!</v>
      </c>
      <c r="AM602">
        <v>0</v>
      </c>
      <c r="AN602">
        <v>0</v>
      </c>
      <c r="AO602">
        <f t="shared" si="316"/>
        <v>0</v>
      </c>
      <c r="AP602">
        <f t="shared" si="325"/>
        <v>0</v>
      </c>
      <c r="AQ602" t="e">
        <f t="shared" ca="1" si="317"/>
        <v>#VALUE!</v>
      </c>
      <c r="AR602" t="e">
        <f t="shared" ca="1" si="318"/>
        <v>#VALUE!</v>
      </c>
      <c r="AS602" t="e">
        <f t="shared" ca="1" si="319"/>
        <v>#VALUE!</v>
      </c>
    </row>
    <row r="603" spans="1:45" x14ac:dyDescent="0.35">
      <c r="A603">
        <v>454</v>
      </c>
      <c r="B603">
        <v>452.89499999999998</v>
      </c>
      <c r="C603">
        <v>616226.66</v>
      </c>
      <c r="D603">
        <v>3097518.1129999999</v>
      </c>
      <c r="E603">
        <v>632.33550000000002</v>
      </c>
      <c r="F603">
        <v>5.2</v>
      </c>
      <c r="G603">
        <v>0</v>
      </c>
      <c r="H603" t="s">
        <v>191</v>
      </c>
      <c r="I603">
        <v>0</v>
      </c>
      <c r="J603">
        <f t="shared" si="320"/>
        <v>0.9989999999999668</v>
      </c>
      <c r="K603">
        <f t="shared" si="321"/>
        <v>51</v>
      </c>
      <c r="L603" t="e">
        <f t="shared" ca="1" si="322"/>
        <v>#VALUE!</v>
      </c>
      <c r="M603" t="e">
        <f t="shared" ca="1" si="295"/>
        <v>#VALUE!</v>
      </c>
      <c r="N603" t="e">
        <f t="shared" ca="1" si="296"/>
        <v>#VALUE!</v>
      </c>
      <c r="O603" t="e">
        <f t="shared" ca="1" si="297"/>
        <v>#VALUE!</v>
      </c>
      <c r="P603" t="e">
        <f t="shared" ca="1" si="298"/>
        <v>#VALUE!</v>
      </c>
      <c r="Q603" t="e">
        <f t="shared" ca="1" si="299"/>
        <v>#VALUE!</v>
      </c>
      <c r="R603" t="e">
        <f t="shared" ca="1" si="300"/>
        <v>#VALUE!</v>
      </c>
      <c r="S603" t="e">
        <f t="shared" ca="1" si="301"/>
        <v>#VALUE!</v>
      </c>
      <c r="T603" t="e">
        <f t="shared" ca="1" si="302"/>
        <v>#VALUE!</v>
      </c>
      <c r="U603" t="e">
        <f t="shared" ca="1" si="323"/>
        <v>#VALUE!</v>
      </c>
      <c r="V603" t="e">
        <f t="shared" ca="1" si="324"/>
        <v>#VALUE!</v>
      </c>
      <c r="W603" t="e">
        <f t="shared" ca="1" si="303"/>
        <v>#VALUE!</v>
      </c>
      <c r="X603" t="e">
        <f t="shared" ca="1" si="304"/>
        <v>#VALUE!</v>
      </c>
      <c r="Y603" t="e">
        <f t="shared" ca="1" si="305"/>
        <v>#VALUE!</v>
      </c>
      <c r="Z603" t="e">
        <f t="shared" ca="1" si="306"/>
        <v>#VALUE!</v>
      </c>
      <c r="AA603" t="e">
        <f t="shared" ca="1" si="307"/>
        <v>#VALUE!</v>
      </c>
      <c r="AB603" t="e">
        <f t="shared" ca="1" si="308"/>
        <v>#VALUE!</v>
      </c>
      <c r="AC603" t="e">
        <f t="shared" ca="1" si="309"/>
        <v>#VALUE!</v>
      </c>
      <c r="AD603" t="e">
        <f t="shared" ca="1" si="310"/>
        <v>#VALUE!</v>
      </c>
      <c r="AE603" t="e">
        <f t="shared" ca="1" si="311"/>
        <v>#VALUE!</v>
      </c>
      <c r="AF603" t="e">
        <f t="shared" ca="1" si="312"/>
        <v>#VALUE!</v>
      </c>
      <c r="AG603" t="e">
        <f t="shared" ca="1" si="313"/>
        <v>#VALUE!</v>
      </c>
      <c r="AH603" t="e">
        <f ca="1">IF(V32="Supercritical",L603,IF(V32="Subcritical",W603,IF(AND(V603=1,AG603=1),IF(T603&gt;=AE603,L603,W603),IF(V603=1,L603,IF(AG603=1,W603,MAX($D$16,POWER((ABS(K603)^2)/($I$5*MAX(F603,0.1)^2),1/3)))))))</f>
        <v>#VALUE!</v>
      </c>
      <c r="AI603" t="e">
        <f t="shared" ca="1" si="314"/>
        <v>#VALUE!</v>
      </c>
      <c r="AJ603" t="e">
        <f t="shared" ca="1" si="315"/>
        <v>#VALUE!</v>
      </c>
      <c r="AM603">
        <v>0</v>
      </c>
      <c r="AN603">
        <v>0</v>
      </c>
      <c r="AO603">
        <f t="shared" si="316"/>
        <v>0</v>
      </c>
      <c r="AP603">
        <f t="shared" si="325"/>
        <v>0</v>
      </c>
      <c r="AQ603" t="e">
        <f t="shared" ca="1" si="317"/>
        <v>#VALUE!</v>
      </c>
      <c r="AR603" t="e">
        <f t="shared" ca="1" si="318"/>
        <v>#VALUE!</v>
      </c>
      <c r="AS603" t="e">
        <f t="shared" ca="1" si="319"/>
        <v>#VALUE!</v>
      </c>
    </row>
    <row r="604" spans="1:45" x14ac:dyDescent="0.35">
      <c r="A604">
        <v>455</v>
      </c>
      <c r="B604">
        <v>453.89499999999998</v>
      </c>
      <c r="C604">
        <v>616226.18599999999</v>
      </c>
      <c r="D604">
        <v>3097517.233</v>
      </c>
      <c r="E604">
        <v>632.33500000000004</v>
      </c>
      <c r="F604">
        <v>5.2</v>
      </c>
      <c r="G604">
        <v>0</v>
      </c>
      <c r="H604" t="s">
        <v>191</v>
      </c>
      <c r="I604">
        <v>2.7E-2</v>
      </c>
      <c r="J604">
        <f t="shared" si="320"/>
        <v>1</v>
      </c>
      <c r="K604">
        <f t="shared" si="321"/>
        <v>51</v>
      </c>
      <c r="L604" t="e">
        <f t="shared" ca="1" si="322"/>
        <v>#VALUE!</v>
      </c>
      <c r="M604" t="e">
        <f t="shared" ca="1" si="295"/>
        <v>#VALUE!</v>
      </c>
      <c r="N604" t="e">
        <f t="shared" ca="1" si="296"/>
        <v>#VALUE!</v>
      </c>
      <c r="O604" t="e">
        <f t="shared" ca="1" si="297"/>
        <v>#VALUE!</v>
      </c>
      <c r="P604" t="e">
        <f t="shared" ca="1" si="298"/>
        <v>#VALUE!</v>
      </c>
      <c r="Q604" t="e">
        <f t="shared" ca="1" si="299"/>
        <v>#VALUE!</v>
      </c>
      <c r="R604" t="e">
        <f t="shared" ca="1" si="300"/>
        <v>#VALUE!</v>
      </c>
      <c r="S604" t="e">
        <f t="shared" ca="1" si="301"/>
        <v>#VALUE!</v>
      </c>
      <c r="T604" t="e">
        <f t="shared" ca="1" si="302"/>
        <v>#VALUE!</v>
      </c>
      <c r="U604" t="e">
        <f t="shared" ca="1" si="323"/>
        <v>#VALUE!</v>
      </c>
      <c r="V604" t="e">
        <f t="shared" ca="1" si="324"/>
        <v>#VALUE!</v>
      </c>
      <c r="W604" t="e">
        <f t="shared" ca="1" si="303"/>
        <v>#VALUE!</v>
      </c>
      <c r="X604" t="e">
        <f t="shared" ca="1" si="304"/>
        <v>#VALUE!</v>
      </c>
      <c r="Y604" t="e">
        <f t="shared" ca="1" si="305"/>
        <v>#VALUE!</v>
      </c>
      <c r="Z604" t="e">
        <f t="shared" ca="1" si="306"/>
        <v>#VALUE!</v>
      </c>
      <c r="AA604" t="e">
        <f t="shared" ca="1" si="307"/>
        <v>#VALUE!</v>
      </c>
      <c r="AB604" t="e">
        <f t="shared" ca="1" si="308"/>
        <v>#VALUE!</v>
      </c>
      <c r="AC604" t="e">
        <f t="shared" ca="1" si="309"/>
        <v>#VALUE!</v>
      </c>
      <c r="AD604" t="e">
        <f t="shared" ca="1" si="310"/>
        <v>#VALUE!</v>
      </c>
      <c r="AE604" t="e">
        <f t="shared" ca="1" si="311"/>
        <v>#VALUE!</v>
      </c>
      <c r="AF604" t="e">
        <f t="shared" ca="1" si="312"/>
        <v>#VALUE!</v>
      </c>
      <c r="AG604" t="e">
        <f t="shared" ca="1" si="313"/>
        <v>#VALUE!</v>
      </c>
      <c r="AH604" t="e">
        <f ca="1">IF(V32="Supercritical",L604,IF(V32="Subcritical",W604,IF(AND(V604=1,AG604=1),IF(T604&gt;=AE604,L604,W604),IF(V604=1,L604,IF(AG604=1,W604,MAX($D$16,POWER((ABS(K604)^2)/($I$5*MAX(F604,0.1)^2),1/3)))))))</f>
        <v>#VALUE!</v>
      </c>
      <c r="AI604" t="e">
        <f t="shared" ca="1" si="314"/>
        <v>#VALUE!</v>
      </c>
      <c r="AJ604" t="e">
        <f t="shared" ca="1" si="315"/>
        <v>#VALUE!</v>
      </c>
      <c r="AM604">
        <v>0</v>
      </c>
      <c r="AN604">
        <v>0</v>
      </c>
      <c r="AO604">
        <f t="shared" si="316"/>
        <v>0</v>
      </c>
      <c r="AP604">
        <f t="shared" si="325"/>
        <v>0</v>
      </c>
      <c r="AQ604" t="e">
        <f t="shared" ca="1" si="317"/>
        <v>#VALUE!</v>
      </c>
      <c r="AR604" t="e">
        <f t="shared" ca="1" si="318"/>
        <v>#VALUE!</v>
      </c>
      <c r="AS604" t="e">
        <f t="shared" ca="1" si="319"/>
        <v>#VALUE!</v>
      </c>
    </row>
    <row r="605" spans="1:45" x14ac:dyDescent="0.35">
      <c r="A605">
        <v>456</v>
      </c>
      <c r="B605">
        <v>454.89499999999998</v>
      </c>
      <c r="C605">
        <v>616225.71200000006</v>
      </c>
      <c r="D605">
        <v>3097516.352</v>
      </c>
      <c r="E605">
        <v>632.33450000000005</v>
      </c>
      <c r="F605">
        <v>5.2</v>
      </c>
      <c r="G605">
        <v>0</v>
      </c>
      <c r="H605" t="s">
        <v>191</v>
      </c>
      <c r="I605">
        <v>7.8E-2</v>
      </c>
      <c r="J605">
        <f t="shared" si="320"/>
        <v>1</v>
      </c>
      <c r="K605">
        <f t="shared" si="321"/>
        <v>51</v>
      </c>
      <c r="L605" t="e">
        <f t="shared" ca="1" si="322"/>
        <v>#VALUE!</v>
      </c>
      <c r="M605" t="e">
        <f t="shared" ca="1" si="295"/>
        <v>#VALUE!</v>
      </c>
      <c r="N605" t="e">
        <f t="shared" ca="1" si="296"/>
        <v>#VALUE!</v>
      </c>
      <c r="O605" t="e">
        <f t="shared" ca="1" si="297"/>
        <v>#VALUE!</v>
      </c>
      <c r="P605" t="e">
        <f t="shared" ca="1" si="298"/>
        <v>#VALUE!</v>
      </c>
      <c r="Q605" t="e">
        <f t="shared" ca="1" si="299"/>
        <v>#VALUE!</v>
      </c>
      <c r="R605" t="e">
        <f t="shared" ca="1" si="300"/>
        <v>#VALUE!</v>
      </c>
      <c r="S605" t="e">
        <f t="shared" ca="1" si="301"/>
        <v>#VALUE!</v>
      </c>
      <c r="T605" t="e">
        <f t="shared" ca="1" si="302"/>
        <v>#VALUE!</v>
      </c>
      <c r="U605" t="e">
        <f t="shared" ca="1" si="323"/>
        <v>#VALUE!</v>
      </c>
      <c r="V605" t="e">
        <f t="shared" ca="1" si="324"/>
        <v>#VALUE!</v>
      </c>
      <c r="W605" t="e">
        <f t="shared" ca="1" si="303"/>
        <v>#VALUE!</v>
      </c>
      <c r="X605" t="e">
        <f t="shared" ca="1" si="304"/>
        <v>#VALUE!</v>
      </c>
      <c r="Y605" t="e">
        <f t="shared" ca="1" si="305"/>
        <v>#VALUE!</v>
      </c>
      <c r="Z605" t="e">
        <f t="shared" ca="1" si="306"/>
        <v>#VALUE!</v>
      </c>
      <c r="AA605" t="e">
        <f t="shared" ca="1" si="307"/>
        <v>#VALUE!</v>
      </c>
      <c r="AB605" t="e">
        <f t="shared" ca="1" si="308"/>
        <v>#VALUE!</v>
      </c>
      <c r="AC605" t="e">
        <f t="shared" ca="1" si="309"/>
        <v>#VALUE!</v>
      </c>
      <c r="AD605" t="e">
        <f t="shared" ca="1" si="310"/>
        <v>#VALUE!</v>
      </c>
      <c r="AE605" t="e">
        <f t="shared" ca="1" si="311"/>
        <v>#VALUE!</v>
      </c>
      <c r="AF605" t="e">
        <f t="shared" ca="1" si="312"/>
        <v>#VALUE!</v>
      </c>
      <c r="AG605" t="e">
        <f t="shared" ca="1" si="313"/>
        <v>#VALUE!</v>
      </c>
      <c r="AH605" t="e">
        <f ca="1">IF(V32="Supercritical",L605,IF(V32="Subcritical",W605,IF(AND(V605=1,AG605=1),IF(T605&gt;=AE605,L605,W605),IF(V605=1,L605,IF(AG605=1,W605,MAX($D$16,POWER((ABS(K605)^2)/($I$5*MAX(F605,0.1)^2),1/3)))))))</f>
        <v>#VALUE!</v>
      </c>
      <c r="AI605" t="e">
        <f t="shared" ca="1" si="314"/>
        <v>#VALUE!</v>
      </c>
      <c r="AJ605" t="e">
        <f t="shared" ca="1" si="315"/>
        <v>#VALUE!</v>
      </c>
      <c r="AM605">
        <v>0</v>
      </c>
      <c r="AN605">
        <v>0</v>
      </c>
      <c r="AO605">
        <f t="shared" si="316"/>
        <v>0</v>
      </c>
      <c r="AP605">
        <f t="shared" si="325"/>
        <v>0</v>
      </c>
      <c r="AQ605" t="e">
        <f t="shared" ca="1" si="317"/>
        <v>#VALUE!</v>
      </c>
      <c r="AR605" t="e">
        <f t="shared" ca="1" si="318"/>
        <v>#VALUE!</v>
      </c>
      <c r="AS605" t="e">
        <f t="shared" ca="1" si="319"/>
        <v>#VALUE!</v>
      </c>
    </row>
    <row r="606" spans="1:45" x14ac:dyDescent="0.35">
      <c r="A606">
        <v>457</v>
      </c>
      <c r="B606">
        <v>455.89499999999998</v>
      </c>
      <c r="C606">
        <v>616225.23699999996</v>
      </c>
      <c r="D606">
        <v>3097515.4720000001</v>
      </c>
      <c r="E606">
        <v>632.33399999999995</v>
      </c>
      <c r="F606">
        <v>5.2</v>
      </c>
      <c r="G606">
        <v>0</v>
      </c>
      <c r="H606" t="s">
        <v>191</v>
      </c>
      <c r="I606">
        <v>7.8E-2</v>
      </c>
      <c r="J606">
        <f t="shared" si="320"/>
        <v>1</v>
      </c>
      <c r="K606">
        <f t="shared" si="321"/>
        <v>51</v>
      </c>
      <c r="L606" t="e">
        <f t="shared" ca="1" si="322"/>
        <v>#VALUE!</v>
      </c>
      <c r="M606" t="e">
        <f t="shared" ca="1" si="295"/>
        <v>#VALUE!</v>
      </c>
      <c r="N606" t="e">
        <f t="shared" ca="1" si="296"/>
        <v>#VALUE!</v>
      </c>
      <c r="O606" t="e">
        <f t="shared" ca="1" si="297"/>
        <v>#VALUE!</v>
      </c>
      <c r="P606" t="e">
        <f t="shared" ca="1" si="298"/>
        <v>#VALUE!</v>
      </c>
      <c r="Q606" t="e">
        <f t="shared" ca="1" si="299"/>
        <v>#VALUE!</v>
      </c>
      <c r="R606" t="e">
        <f t="shared" ca="1" si="300"/>
        <v>#VALUE!</v>
      </c>
      <c r="S606" t="e">
        <f t="shared" ca="1" si="301"/>
        <v>#VALUE!</v>
      </c>
      <c r="T606" t="e">
        <f t="shared" ca="1" si="302"/>
        <v>#VALUE!</v>
      </c>
      <c r="U606" t="e">
        <f t="shared" ca="1" si="323"/>
        <v>#VALUE!</v>
      </c>
      <c r="V606" t="e">
        <f t="shared" ca="1" si="324"/>
        <v>#VALUE!</v>
      </c>
      <c r="W606" t="e">
        <f t="shared" ca="1" si="303"/>
        <v>#VALUE!</v>
      </c>
      <c r="X606" t="e">
        <f t="shared" ca="1" si="304"/>
        <v>#VALUE!</v>
      </c>
      <c r="Y606" t="e">
        <f t="shared" ca="1" si="305"/>
        <v>#VALUE!</v>
      </c>
      <c r="Z606" t="e">
        <f t="shared" ca="1" si="306"/>
        <v>#VALUE!</v>
      </c>
      <c r="AA606" t="e">
        <f t="shared" ca="1" si="307"/>
        <v>#VALUE!</v>
      </c>
      <c r="AB606" t="e">
        <f t="shared" ca="1" si="308"/>
        <v>#VALUE!</v>
      </c>
      <c r="AC606" t="e">
        <f t="shared" ca="1" si="309"/>
        <v>#VALUE!</v>
      </c>
      <c r="AD606" t="e">
        <f t="shared" ca="1" si="310"/>
        <v>#VALUE!</v>
      </c>
      <c r="AE606" t="e">
        <f t="shared" ca="1" si="311"/>
        <v>#VALUE!</v>
      </c>
      <c r="AF606" t="e">
        <f t="shared" ca="1" si="312"/>
        <v>#VALUE!</v>
      </c>
      <c r="AG606" t="e">
        <f t="shared" ca="1" si="313"/>
        <v>#VALUE!</v>
      </c>
      <c r="AH606" t="e">
        <f ca="1">IF(V32="Supercritical",L606,IF(V32="Subcritical",W606,IF(AND(V606=1,AG606=1),IF(T606&gt;=AE606,L606,W606),IF(V606=1,L606,IF(AG606=1,W606,MAX($D$16,POWER((ABS(K606)^2)/($I$5*MAX(F606,0.1)^2),1/3)))))))</f>
        <v>#VALUE!</v>
      </c>
      <c r="AI606" t="e">
        <f t="shared" ca="1" si="314"/>
        <v>#VALUE!</v>
      </c>
      <c r="AJ606" t="e">
        <f t="shared" ca="1" si="315"/>
        <v>#VALUE!</v>
      </c>
      <c r="AM606">
        <v>0</v>
      </c>
      <c r="AN606">
        <v>0</v>
      </c>
      <c r="AO606">
        <f t="shared" si="316"/>
        <v>0</v>
      </c>
      <c r="AP606">
        <f t="shared" si="325"/>
        <v>0</v>
      </c>
      <c r="AQ606" t="e">
        <f t="shared" ca="1" si="317"/>
        <v>#VALUE!</v>
      </c>
      <c r="AR606" t="e">
        <f t="shared" ca="1" si="318"/>
        <v>#VALUE!</v>
      </c>
      <c r="AS606" t="e">
        <f t="shared" ca="1" si="319"/>
        <v>#VALUE!</v>
      </c>
    </row>
    <row r="607" spans="1:45" x14ac:dyDescent="0.35">
      <c r="A607">
        <v>458</v>
      </c>
      <c r="B607">
        <v>456.89600000000002</v>
      </c>
      <c r="C607">
        <v>616224.76300000004</v>
      </c>
      <c r="D607">
        <v>3097514.591</v>
      </c>
      <c r="E607">
        <v>632.33349999999996</v>
      </c>
      <c r="F607">
        <v>5.2</v>
      </c>
      <c r="G607">
        <v>0</v>
      </c>
      <c r="H607" t="s">
        <v>191</v>
      </c>
      <c r="I607">
        <v>2.7E-2</v>
      </c>
      <c r="J607">
        <f t="shared" si="320"/>
        <v>1.0010000000000332</v>
      </c>
      <c r="K607">
        <f t="shared" si="321"/>
        <v>51</v>
      </c>
      <c r="L607" t="e">
        <f t="shared" ca="1" si="322"/>
        <v>#VALUE!</v>
      </c>
      <c r="M607" t="e">
        <f t="shared" ca="1" si="295"/>
        <v>#VALUE!</v>
      </c>
      <c r="N607" t="e">
        <f t="shared" ca="1" si="296"/>
        <v>#VALUE!</v>
      </c>
      <c r="O607" t="e">
        <f t="shared" ca="1" si="297"/>
        <v>#VALUE!</v>
      </c>
      <c r="P607" t="e">
        <f t="shared" ca="1" si="298"/>
        <v>#VALUE!</v>
      </c>
      <c r="Q607" t="e">
        <f t="shared" ca="1" si="299"/>
        <v>#VALUE!</v>
      </c>
      <c r="R607" t="e">
        <f t="shared" ca="1" si="300"/>
        <v>#VALUE!</v>
      </c>
      <c r="S607" t="e">
        <f t="shared" ca="1" si="301"/>
        <v>#VALUE!</v>
      </c>
      <c r="T607" t="e">
        <f t="shared" ca="1" si="302"/>
        <v>#VALUE!</v>
      </c>
      <c r="U607" t="e">
        <f t="shared" ca="1" si="323"/>
        <v>#VALUE!</v>
      </c>
      <c r="V607" t="e">
        <f t="shared" ca="1" si="324"/>
        <v>#VALUE!</v>
      </c>
      <c r="W607" t="e">
        <f t="shared" ca="1" si="303"/>
        <v>#VALUE!</v>
      </c>
      <c r="X607" t="e">
        <f t="shared" ca="1" si="304"/>
        <v>#VALUE!</v>
      </c>
      <c r="Y607" t="e">
        <f t="shared" ca="1" si="305"/>
        <v>#VALUE!</v>
      </c>
      <c r="Z607" t="e">
        <f t="shared" ca="1" si="306"/>
        <v>#VALUE!</v>
      </c>
      <c r="AA607" t="e">
        <f t="shared" ca="1" si="307"/>
        <v>#VALUE!</v>
      </c>
      <c r="AB607" t="e">
        <f t="shared" ca="1" si="308"/>
        <v>#VALUE!</v>
      </c>
      <c r="AC607" t="e">
        <f t="shared" ca="1" si="309"/>
        <v>#VALUE!</v>
      </c>
      <c r="AD607" t="e">
        <f t="shared" ca="1" si="310"/>
        <v>#VALUE!</v>
      </c>
      <c r="AE607" t="e">
        <f t="shared" ca="1" si="311"/>
        <v>#VALUE!</v>
      </c>
      <c r="AF607" t="e">
        <f t="shared" ca="1" si="312"/>
        <v>#VALUE!</v>
      </c>
      <c r="AG607" t="e">
        <f t="shared" ca="1" si="313"/>
        <v>#VALUE!</v>
      </c>
      <c r="AH607" t="e">
        <f ca="1">IF(V32="Supercritical",L607,IF(V32="Subcritical",W607,IF(AND(V607=1,AG607=1),IF(T607&gt;=AE607,L607,W607),IF(V607=1,L607,IF(AG607=1,W607,MAX($D$16,POWER((ABS(K607)^2)/($I$5*MAX(F607,0.1)^2),1/3)))))))</f>
        <v>#VALUE!</v>
      </c>
      <c r="AI607" t="e">
        <f t="shared" ca="1" si="314"/>
        <v>#VALUE!</v>
      </c>
      <c r="AJ607" t="e">
        <f t="shared" ca="1" si="315"/>
        <v>#VALUE!</v>
      </c>
      <c r="AM607">
        <v>0</v>
      </c>
      <c r="AN607">
        <v>0</v>
      </c>
      <c r="AO607">
        <f t="shared" si="316"/>
        <v>0</v>
      </c>
      <c r="AP607">
        <f t="shared" si="325"/>
        <v>0</v>
      </c>
      <c r="AQ607" t="e">
        <f t="shared" ca="1" si="317"/>
        <v>#VALUE!</v>
      </c>
      <c r="AR607" t="e">
        <f t="shared" ca="1" si="318"/>
        <v>#VALUE!</v>
      </c>
      <c r="AS607" t="e">
        <f t="shared" ca="1" si="319"/>
        <v>#VALUE!</v>
      </c>
    </row>
    <row r="608" spans="1:45" x14ac:dyDescent="0.35">
      <c r="A608">
        <v>459</v>
      </c>
      <c r="B608">
        <v>457.89499999999998</v>
      </c>
      <c r="C608">
        <v>616224.28899999999</v>
      </c>
      <c r="D608">
        <v>3097513.7110000001</v>
      </c>
      <c r="E608">
        <v>632.33299999999997</v>
      </c>
      <c r="F608">
        <v>5.2</v>
      </c>
      <c r="G608">
        <v>0</v>
      </c>
      <c r="H608" t="s">
        <v>191</v>
      </c>
      <c r="I608">
        <v>0</v>
      </c>
      <c r="J608">
        <f t="shared" si="320"/>
        <v>0.9989999999999668</v>
      </c>
      <c r="K608">
        <f t="shared" si="321"/>
        <v>51</v>
      </c>
      <c r="L608" t="e">
        <f t="shared" ca="1" si="322"/>
        <v>#VALUE!</v>
      </c>
      <c r="M608" t="e">
        <f t="shared" ca="1" si="295"/>
        <v>#VALUE!</v>
      </c>
      <c r="N608" t="e">
        <f t="shared" ca="1" si="296"/>
        <v>#VALUE!</v>
      </c>
      <c r="O608" t="e">
        <f t="shared" ca="1" si="297"/>
        <v>#VALUE!</v>
      </c>
      <c r="P608" t="e">
        <f t="shared" ca="1" si="298"/>
        <v>#VALUE!</v>
      </c>
      <c r="Q608" t="e">
        <f t="shared" ca="1" si="299"/>
        <v>#VALUE!</v>
      </c>
      <c r="R608" t="e">
        <f t="shared" ca="1" si="300"/>
        <v>#VALUE!</v>
      </c>
      <c r="S608" t="e">
        <f t="shared" ca="1" si="301"/>
        <v>#VALUE!</v>
      </c>
      <c r="T608" t="e">
        <f t="shared" ca="1" si="302"/>
        <v>#VALUE!</v>
      </c>
      <c r="U608" t="e">
        <f t="shared" ca="1" si="323"/>
        <v>#VALUE!</v>
      </c>
      <c r="V608" t="e">
        <f t="shared" ca="1" si="324"/>
        <v>#VALUE!</v>
      </c>
      <c r="W608" t="e">
        <f t="shared" ca="1" si="303"/>
        <v>#VALUE!</v>
      </c>
      <c r="X608" t="e">
        <f t="shared" ca="1" si="304"/>
        <v>#VALUE!</v>
      </c>
      <c r="Y608" t="e">
        <f t="shared" ca="1" si="305"/>
        <v>#VALUE!</v>
      </c>
      <c r="Z608" t="e">
        <f t="shared" ca="1" si="306"/>
        <v>#VALUE!</v>
      </c>
      <c r="AA608" t="e">
        <f t="shared" ca="1" si="307"/>
        <v>#VALUE!</v>
      </c>
      <c r="AB608" t="e">
        <f t="shared" ca="1" si="308"/>
        <v>#VALUE!</v>
      </c>
      <c r="AC608" t="e">
        <f t="shared" ca="1" si="309"/>
        <v>#VALUE!</v>
      </c>
      <c r="AD608" t="e">
        <f t="shared" ca="1" si="310"/>
        <v>#VALUE!</v>
      </c>
      <c r="AE608" t="e">
        <f t="shared" ca="1" si="311"/>
        <v>#VALUE!</v>
      </c>
      <c r="AF608" t="e">
        <f t="shared" ca="1" si="312"/>
        <v>#VALUE!</v>
      </c>
      <c r="AG608" t="e">
        <f t="shared" ca="1" si="313"/>
        <v>#VALUE!</v>
      </c>
      <c r="AH608" t="e">
        <f ca="1">IF(V32="Supercritical",L608,IF(V32="Subcritical",W608,IF(AND(V608=1,AG608=1),IF(T608&gt;=AE608,L608,W608),IF(V608=1,L608,IF(AG608=1,W608,MAX($D$16,POWER((ABS(K608)^2)/($I$5*MAX(F608,0.1)^2),1/3)))))))</f>
        <v>#VALUE!</v>
      </c>
      <c r="AI608" t="e">
        <f t="shared" ca="1" si="314"/>
        <v>#VALUE!</v>
      </c>
      <c r="AJ608" t="e">
        <f t="shared" ca="1" si="315"/>
        <v>#VALUE!</v>
      </c>
      <c r="AM608">
        <v>0</v>
      </c>
      <c r="AN608">
        <v>0</v>
      </c>
      <c r="AO608">
        <f t="shared" si="316"/>
        <v>0</v>
      </c>
      <c r="AP608">
        <f t="shared" si="325"/>
        <v>0</v>
      </c>
      <c r="AQ608" t="e">
        <f t="shared" ca="1" si="317"/>
        <v>#VALUE!</v>
      </c>
      <c r="AR608" t="e">
        <f t="shared" ca="1" si="318"/>
        <v>#VALUE!</v>
      </c>
      <c r="AS608" t="e">
        <f t="shared" ca="1" si="319"/>
        <v>#VALUE!</v>
      </c>
    </row>
    <row r="609" spans="1:45" x14ac:dyDescent="0.35">
      <c r="A609">
        <v>460</v>
      </c>
      <c r="B609">
        <v>458.89499999999998</v>
      </c>
      <c r="C609">
        <v>616223.81499999994</v>
      </c>
      <c r="D609">
        <v>3097512.8309999998</v>
      </c>
      <c r="E609">
        <v>632.33249999999998</v>
      </c>
      <c r="F609">
        <v>5.2</v>
      </c>
      <c r="G609">
        <v>0</v>
      </c>
      <c r="H609" t="s">
        <v>191</v>
      </c>
      <c r="I609">
        <v>2.3E-2</v>
      </c>
      <c r="J609">
        <f t="shared" si="320"/>
        <v>1</v>
      </c>
      <c r="K609">
        <f t="shared" si="321"/>
        <v>51</v>
      </c>
      <c r="L609" t="e">
        <f t="shared" ca="1" si="322"/>
        <v>#VALUE!</v>
      </c>
      <c r="M609" t="e">
        <f t="shared" ca="1" si="295"/>
        <v>#VALUE!</v>
      </c>
      <c r="N609" t="e">
        <f t="shared" ca="1" si="296"/>
        <v>#VALUE!</v>
      </c>
      <c r="O609" t="e">
        <f t="shared" ca="1" si="297"/>
        <v>#VALUE!</v>
      </c>
      <c r="P609" t="e">
        <f t="shared" ca="1" si="298"/>
        <v>#VALUE!</v>
      </c>
      <c r="Q609" t="e">
        <f t="shared" ca="1" si="299"/>
        <v>#VALUE!</v>
      </c>
      <c r="R609" t="e">
        <f t="shared" ca="1" si="300"/>
        <v>#VALUE!</v>
      </c>
      <c r="S609" t="e">
        <f t="shared" ca="1" si="301"/>
        <v>#VALUE!</v>
      </c>
      <c r="T609" t="e">
        <f t="shared" ca="1" si="302"/>
        <v>#VALUE!</v>
      </c>
      <c r="U609" t="e">
        <f t="shared" ca="1" si="323"/>
        <v>#VALUE!</v>
      </c>
      <c r="V609" t="e">
        <f t="shared" ca="1" si="324"/>
        <v>#VALUE!</v>
      </c>
      <c r="W609" t="e">
        <f t="shared" ca="1" si="303"/>
        <v>#VALUE!</v>
      </c>
      <c r="X609" t="e">
        <f t="shared" ca="1" si="304"/>
        <v>#VALUE!</v>
      </c>
      <c r="Y609" t="e">
        <f t="shared" ca="1" si="305"/>
        <v>#VALUE!</v>
      </c>
      <c r="Z609" t="e">
        <f t="shared" ca="1" si="306"/>
        <v>#VALUE!</v>
      </c>
      <c r="AA609" t="e">
        <f t="shared" ca="1" si="307"/>
        <v>#VALUE!</v>
      </c>
      <c r="AB609" t="e">
        <f t="shared" ca="1" si="308"/>
        <v>#VALUE!</v>
      </c>
      <c r="AC609" t="e">
        <f t="shared" ca="1" si="309"/>
        <v>#VALUE!</v>
      </c>
      <c r="AD609" t="e">
        <f t="shared" ca="1" si="310"/>
        <v>#VALUE!</v>
      </c>
      <c r="AE609" t="e">
        <f t="shared" ca="1" si="311"/>
        <v>#VALUE!</v>
      </c>
      <c r="AF609" t="e">
        <f t="shared" ca="1" si="312"/>
        <v>#VALUE!</v>
      </c>
      <c r="AG609" t="e">
        <f t="shared" ca="1" si="313"/>
        <v>#VALUE!</v>
      </c>
      <c r="AH609" t="e">
        <f ca="1">IF(V32="Supercritical",L609,IF(V32="Subcritical",W609,IF(AND(V609=1,AG609=1),IF(T609&gt;=AE609,L609,W609),IF(V609=1,L609,IF(AG609=1,W609,MAX($D$16,POWER((ABS(K609)^2)/($I$5*MAX(F609,0.1)^2),1/3)))))))</f>
        <v>#VALUE!</v>
      </c>
      <c r="AI609" t="e">
        <f t="shared" ca="1" si="314"/>
        <v>#VALUE!</v>
      </c>
      <c r="AJ609" t="e">
        <f t="shared" ca="1" si="315"/>
        <v>#VALUE!</v>
      </c>
      <c r="AM609">
        <v>0</v>
      </c>
      <c r="AN609">
        <v>0</v>
      </c>
      <c r="AO609">
        <f t="shared" si="316"/>
        <v>0</v>
      </c>
      <c r="AP609">
        <f t="shared" si="325"/>
        <v>0</v>
      </c>
      <c r="AQ609" t="e">
        <f t="shared" ca="1" si="317"/>
        <v>#VALUE!</v>
      </c>
      <c r="AR609" t="e">
        <f t="shared" ca="1" si="318"/>
        <v>#VALUE!</v>
      </c>
      <c r="AS609" t="e">
        <f t="shared" ca="1" si="319"/>
        <v>#VALUE!</v>
      </c>
    </row>
    <row r="610" spans="1:45" x14ac:dyDescent="0.35">
      <c r="A610">
        <v>461</v>
      </c>
      <c r="B610">
        <v>459.89600000000002</v>
      </c>
      <c r="C610">
        <v>616223.34</v>
      </c>
      <c r="D610">
        <v>3097511.95</v>
      </c>
      <c r="E610">
        <v>632.33199999999999</v>
      </c>
      <c r="F610">
        <v>5.2</v>
      </c>
      <c r="G610">
        <v>0</v>
      </c>
      <c r="H610" t="s">
        <v>191</v>
      </c>
      <c r="I610">
        <v>2.3E-2</v>
      </c>
      <c r="J610">
        <f t="shared" si="320"/>
        <v>1.0010000000000332</v>
      </c>
      <c r="K610">
        <f t="shared" si="321"/>
        <v>51</v>
      </c>
      <c r="L610" t="e">
        <f t="shared" ca="1" si="322"/>
        <v>#VALUE!</v>
      </c>
      <c r="M610" t="e">
        <f t="shared" ca="1" si="295"/>
        <v>#VALUE!</v>
      </c>
      <c r="N610" t="e">
        <f t="shared" ca="1" si="296"/>
        <v>#VALUE!</v>
      </c>
      <c r="O610" t="e">
        <f t="shared" ca="1" si="297"/>
        <v>#VALUE!</v>
      </c>
      <c r="P610" t="e">
        <f t="shared" ca="1" si="298"/>
        <v>#VALUE!</v>
      </c>
      <c r="Q610" t="e">
        <f t="shared" ca="1" si="299"/>
        <v>#VALUE!</v>
      </c>
      <c r="R610" t="e">
        <f t="shared" ca="1" si="300"/>
        <v>#VALUE!</v>
      </c>
      <c r="S610" t="e">
        <f t="shared" ca="1" si="301"/>
        <v>#VALUE!</v>
      </c>
      <c r="T610" t="e">
        <f t="shared" ca="1" si="302"/>
        <v>#VALUE!</v>
      </c>
      <c r="U610" t="e">
        <f t="shared" ca="1" si="323"/>
        <v>#VALUE!</v>
      </c>
      <c r="V610" t="e">
        <f t="shared" ca="1" si="324"/>
        <v>#VALUE!</v>
      </c>
      <c r="W610" t="e">
        <f t="shared" ca="1" si="303"/>
        <v>#VALUE!</v>
      </c>
      <c r="X610" t="e">
        <f t="shared" ca="1" si="304"/>
        <v>#VALUE!</v>
      </c>
      <c r="Y610" t="e">
        <f t="shared" ca="1" si="305"/>
        <v>#VALUE!</v>
      </c>
      <c r="Z610" t="e">
        <f t="shared" ca="1" si="306"/>
        <v>#VALUE!</v>
      </c>
      <c r="AA610" t="e">
        <f t="shared" ca="1" si="307"/>
        <v>#VALUE!</v>
      </c>
      <c r="AB610" t="e">
        <f t="shared" ca="1" si="308"/>
        <v>#VALUE!</v>
      </c>
      <c r="AC610" t="e">
        <f t="shared" ca="1" si="309"/>
        <v>#VALUE!</v>
      </c>
      <c r="AD610" t="e">
        <f t="shared" ca="1" si="310"/>
        <v>#VALUE!</v>
      </c>
      <c r="AE610" t="e">
        <f t="shared" ca="1" si="311"/>
        <v>#VALUE!</v>
      </c>
      <c r="AF610" t="e">
        <f t="shared" ca="1" si="312"/>
        <v>#VALUE!</v>
      </c>
      <c r="AG610" t="e">
        <f t="shared" ca="1" si="313"/>
        <v>#VALUE!</v>
      </c>
      <c r="AH610" t="e">
        <f ca="1">IF(V32="Supercritical",L610,IF(V32="Subcritical",W610,IF(AND(V610=1,AG610=1),IF(T610&gt;=AE610,L610,W610),IF(V610=1,L610,IF(AG610=1,W610,MAX($D$16,POWER((ABS(K610)^2)/($I$5*MAX(F610,0.1)^2),1/3)))))))</f>
        <v>#VALUE!</v>
      </c>
      <c r="AI610" t="e">
        <f t="shared" ca="1" si="314"/>
        <v>#VALUE!</v>
      </c>
      <c r="AJ610" t="e">
        <f t="shared" ca="1" si="315"/>
        <v>#VALUE!</v>
      </c>
      <c r="AM610">
        <v>0</v>
      </c>
      <c r="AN610">
        <v>0</v>
      </c>
      <c r="AO610">
        <f t="shared" si="316"/>
        <v>0</v>
      </c>
      <c r="AP610">
        <f t="shared" si="325"/>
        <v>0</v>
      </c>
      <c r="AQ610" t="e">
        <f t="shared" ca="1" si="317"/>
        <v>#VALUE!</v>
      </c>
      <c r="AR610" t="e">
        <f t="shared" ca="1" si="318"/>
        <v>#VALUE!</v>
      </c>
      <c r="AS610" t="e">
        <f t="shared" ca="1" si="319"/>
        <v>#VALUE!</v>
      </c>
    </row>
    <row r="611" spans="1:45" x14ac:dyDescent="0.35">
      <c r="A611">
        <v>462</v>
      </c>
      <c r="B611">
        <v>460.89499999999998</v>
      </c>
      <c r="C611">
        <v>616222.86600000004</v>
      </c>
      <c r="D611">
        <v>3097511.07</v>
      </c>
      <c r="E611">
        <v>632.33150000000001</v>
      </c>
      <c r="F611">
        <v>5.2</v>
      </c>
      <c r="G611">
        <v>0</v>
      </c>
      <c r="H611" t="s">
        <v>191</v>
      </c>
      <c r="I611">
        <v>2.7E-2</v>
      </c>
      <c r="J611">
        <f t="shared" si="320"/>
        <v>0.9989999999999668</v>
      </c>
      <c r="K611">
        <f t="shared" si="321"/>
        <v>51</v>
      </c>
      <c r="L611" t="e">
        <f t="shared" ca="1" si="322"/>
        <v>#VALUE!</v>
      </c>
      <c r="M611" t="e">
        <f t="shared" ca="1" si="295"/>
        <v>#VALUE!</v>
      </c>
      <c r="N611" t="e">
        <f t="shared" ca="1" si="296"/>
        <v>#VALUE!</v>
      </c>
      <c r="O611" t="e">
        <f t="shared" ca="1" si="297"/>
        <v>#VALUE!</v>
      </c>
      <c r="P611" t="e">
        <f t="shared" ca="1" si="298"/>
        <v>#VALUE!</v>
      </c>
      <c r="Q611" t="e">
        <f t="shared" ca="1" si="299"/>
        <v>#VALUE!</v>
      </c>
      <c r="R611" t="e">
        <f t="shared" ca="1" si="300"/>
        <v>#VALUE!</v>
      </c>
      <c r="S611" t="e">
        <f t="shared" ca="1" si="301"/>
        <v>#VALUE!</v>
      </c>
      <c r="T611" t="e">
        <f t="shared" ca="1" si="302"/>
        <v>#VALUE!</v>
      </c>
      <c r="U611" t="e">
        <f t="shared" ca="1" si="323"/>
        <v>#VALUE!</v>
      </c>
      <c r="V611" t="e">
        <f t="shared" ca="1" si="324"/>
        <v>#VALUE!</v>
      </c>
      <c r="W611" t="e">
        <f t="shared" ca="1" si="303"/>
        <v>#VALUE!</v>
      </c>
      <c r="X611" t="e">
        <f t="shared" ca="1" si="304"/>
        <v>#VALUE!</v>
      </c>
      <c r="Y611" t="e">
        <f t="shared" ca="1" si="305"/>
        <v>#VALUE!</v>
      </c>
      <c r="Z611" t="e">
        <f t="shared" ca="1" si="306"/>
        <v>#VALUE!</v>
      </c>
      <c r="AA611" t="e">
        <f t="shared" ca="1" si="307"/>
        <v>#VALUE!</v>
      </c>
      <c r="AB611" t="e">
        <f t="shared" ca="1" si="308"/>
        <v>#VALUE!</v>
      </c>
      <c r="AC611" t="e">
        <f t="shared" ca="1" si="309"/>
        <v>#VALUE!</v>
      </c>
      <c r="AD611" t="e">
        <f t="shared" ca="1" si="310"/>
        <v>#VALUE!</v>
      </c>
      <c r="AE611" t="e">
        <f t="shared" ca="1" si="311"/>
        <v>#VALUE!</v>
      </c>
      <c r="AF611" t="e">
        <f t="shared" ca="1" si="312"/>
        <v>#VALUE!</v>
      </c>
      <c r="AG611" t="e">
        <f t="shared" ca="1" si="313"/>
        <v>#VALUE!</v>
      </c>
      <c r="AH611" t="e">
        <f ca="1">IF(V32="Supercritical",L611,IF(V32="Subcritical",W611,IF(AND(V611=1,AG611=1),IF(T611&gt;=AE611,L611,W611),IF(V611=1,L611,IF(AG611=1,W611,MAX($D$16,POWER((ABS(K611)^2)/($I$5*MAX(F611,0.1)^2),1/3)))))))</f>
        <v>#VALUE!</v>
      </c>
      <c r="AI611" t="e">
        <f t="shared" ca="1" si="314"/>
        <v>#VALUE!</v>
      </c>
      <c r="AJ611" t="e">
        <f t="shared" ca="1" si="315"/>
        <v>#VALUE!</v>
      </c>
      <c r="AM611">
        <v>0</v>
      </c>
      <c r="AN611">
        <v>0</v>
      </c>
      <c r="AO611">
        <f t="shared" si="316"/>
        <v>0</v>
      </c>
      <c r="AP611">
        <f t="shared" si="325"/>
        <v>0</v>
      </c>
      <c r="AQ611" t="e">
        <f t="shared" ca="1" si="317"/>
        <v>#VALUE!</v>
      </c>
      <c r="AR611" t="e">
        <f t="shared" ca="1" si="318"/>
        <v>#VALUE!</v>
      </c>
      <c r="AS611" t="e">
        <f t="shared" ca="1" si="319"/>
        <v>#VALUE!</v>
      </c>
    </row>
    <row r="612" spans="1:45" x14ac:dyDescent="0.35">
      <c r="A612">
        <v>463</v>
      </c>
      <c r="B612">
        <v>461.89600000000002</v>
      </c>
      <c r="C612">
        <v>616222.39199999999</v>
      </c>
      <c r="D612">
        <v>3097510.1889999998</v>
      </c>
      <c r="E612">
        <v>632.33100000000002</v>
      </c>
      <c r="F612">
        <v>5.2</v>
      </c>
      <c r="G612">
        <v>0</v>
      </c>
      <c r="H612" t="s">
        <v>191</v>
      </c>
      <c r="I612">
        <v>2.7E-2</v>
      </c>
      <c r="J612">
        <f t="shared" si="320"/>
        <v>1.0010000000000332</v>
      </c>
      <c r="K612">
        <f t="shared" si="321"/>
        <v>51</v>
      </c>
      <c r="L612" t="e">
        <f t="shared" ca="1" si="322"/>
        <v>#VALUE!</v>
      </c>
      <c r="M612" t="e">
        <f t="shared" ca="1" si="295"/>
        <v>#VALUE!</v>
      </c>
      <c r="N612" t="e">
        <f t="shared" ca="1" si="296"/>
        <v>#VALUE!</v>
      </c>
      <c r="O612" t="e">
        <f t="shared" ca="1" si="297"/>
        <v>#VALUE!</v>
      </c>
      <c r="P612" t="e">
        <f t="shared" ca="1" si="298"/>
        <v>#VALUE!</v>
      </c>
      <c r="Q612" t="e">
        <f t="shared" ca="1" si="299"/>
        <v>#VALUE!</v>
      </c>
      <c r="R612" t="e">
        <f t="shared" ca="1" si="300"/>
        <v>#VALUE!</v>
      </c>
      <c r="S612" t="e">
        <f t="shared" ca="1" si="301"/>
        <v>#VALUE!</v>
      </c>
      <c r="T612" t="e">
        <f t="shared" ca="1" si="302"/>
        <v>#VALUE!</v>
      </c>
      <c r="U612" t="e">
        <f t="shared" ca="1" si="323"/>
        <v>#VALUE!</v>
      </c>
      <c r="V612" t="e">
        <f t="shared" ca="1" si="324"/>
        <v>#VALUE!</v>
      </c>
      <c r="W612" t="e">
        <f t="shared" ca="1" si="303"/>
        <v>#VALUE!</v>
      </c>
      <c r="X612" t="e">
        <f t="shared" ca="1" si="304"/>
        <v>#VALUE!</v>
      </c>
      <c r="Y612" t="e">
        <f t="shared" ca="1" si="305"/>
        <v>#VALUE!</v>
      </c>
      <c r="Z612" t="e">
        <f t="shared" ca="1" si="306"/>
        <v>#VALUE!</v>
      </c>
      <c r="AA612" t="e">
        <f t="shared" ca="1" si="307"/>
        <v>#VALUE!</v>
      </c>
      <c r="AB612" t="e">
        <f t="shared" ca="1" si="308"/>
        <v>#VALUE!</v>
      </c>
      <c r="AC612" t="e">
        <f t="shared" ca="1" si="309"/>
        <v>#VALUE!</v>
      </c>
      <c r="AD612" t="e">
        <f t="shared" ca="1" si="310"/>
        <v>#VALUE!</v>
      </c>
      <c r="AE612" t="e">
        <f t="shared" ca="1" si="311"/>
        <v>#VALUE!</v>
      </c>
      <c r="AF612" t="e">
        <f t="shared" ca="1" si="312"/>
        <v>#VALUE!</v>
      </c>
      <c r="AG612" t="e">
        <f t="shared" ca="1" si="313"/>
        <v>#VALUE!</v>
      </c>
      <c r="AH612" t="e">
        <f ca="1">IF(V32="Supercritical",L612,IF(V32="Subcritical",W612,IF(AND(V612=1,AG612=1),IF(T612&gt;=AE612,L612,W612),IF(V612=1,L612,IF(AG612=1,W612,MAX($D$16,POWER((ABS(K612)^2)/($I$5*MAX(F612,0.1)^2),1/3)))))))</f>
        <v>#VALUE!</v>
      </c>
      <c r="AI612" t="e">
        <f t="shared" ca="1" si="314"/>
        <v>#VALUE!</v>
      </c>
      <c r="AJ612" t="e">
        <f t="shared" ca="1" si="315"/>
        <v>#VALUE!</v>
      </c>
      <c r="AM612">
        <v>0</v>
      </c>
      <c r="AN612">
        <v>0</v>
      </c>
      <c r="AO612">
        <f t="shared" si="316"/>
        <v>0</v>
      </c>
      <c r="AP612">
        <f t="shared" si="325"/>
        <v>0</v>
      </c>
      <c r="AQ612" t="e">
        <f t="shared" ca="1" si="317"/>
        <v>#VALUE!</v>
      </c>
      <c r="AR612" t="e">
        <f t="shared" ca="1" si="318"/>
        <v>#VALUE!</v>
      </c>
      <c r="AS612" t="e">
        <f t="shared" ca="1" si="319"/>
        <v>#VALUE!</v>
      </c>
    </row>
    <row r="613" spans="1:45" x14ac:dyDescent="0.35">
      <c r="A613">
        <v>464</v>
      </c>
      <c r="B613">
        <v>462.89499999999998</v>
      </c>
      <c r="C613">
        <v>616221.91799999995</v>
      </c>
      <c r="D613">
        <v>3097509.3089999999</v>
      </c>
      <c r="E613">
        <v>632.33050000000003</v>
      </c>
      <c r="F613">
        <v>5.2</v>
      </c>
      <c r="G613">
        <v>0</v>
      </c>
      <c r="H613" t="s">
        <v>191</v>
      </c>
      <c r="I613">
        <v>0.05</v>
      </c>
      <c r="J613">
        <f t="shared" si="320"/>
        <v>0.9989999999999668</v>
      </c>
      <c r="K613">
        <f t="shared" si="321"/>
        <v>51</v>
      </c>
      <c r="L613" t="e">
        <f t="shared" ca="1" si="322"/>
        <v>#VALUE!</v>
      </c>
      <c r="M613" t="e">
        <f t="shared" ca="1" si="295"/>
        <v>#VALUE!</v>
      </c>
      <c r="N613" t="e">
        <f t="shared" ca="1" si="296"/>
        <v>#VALUE!</v>
      </c>
      <c r="O613" t="e">
        <f t="shared" ca="1" si="297"/>
        <v>#VALUE!</v>
      </c>
      <c r="P613" t="e">
        <f t="shared" ca="1" si="298"/>
        <v>#VALUE!</v>
      </c>
      <c r="Q613" t="e">
        <f t="shared" ca="1" si="299"/>
        <v>#VALUE!</v>
      </c>
      <c r="R613" t="e">
        <f t="shared" ca="1" si="300"/>
        <v>#VALUE!</v>
      </c>
      <c r="S613" t="e">
        <f t="shared" ca="1" si="301"/>
        <v>#VALUE!</v>
      </c>
      <c r="T613" t="e">
        <f t="shared" ca="1" si="302"/>
        <v>#VALUE!</v>
      </c>
      <c r="U613" t="e">
        <f t="shared" ca="1" si="323"/>
        <v>#VALUE!</v>
      </c>
      <c r="V613" t="e">
        <f t="shared" ca="1" si="324"/>
        <v>#VALUE!</v>
      </c>
      <c r="W613" t="e">
        <f t="shared" ca="1" si="303"/>
        <v>#VALUE!</v>
      </c>
      <c r="X613" t="e">
        <f t="shared" ca="1" si="304"/>
        <v>#VALUE!</v>
      </c>
      <c r="Y613" t="e">
        <f t="shared" ca="1" si="305"/>
        <v>#VALUE!</v>
      </c>
      <c r="Z613" t="e">
        <f t="shared" ca="1" si="306"/>
        <v>#VALUE!</v>
      </c>
      <c r="AA613" t="e">
        <f t="shared" ca="1" si="307"/>
        <v>#VALUE!</v>
      </c>
      <c r="AB613" t="e">
        <f t="shared" ca="1" si="308"/>
        <v>#VALUE!</v>
      </c>
      <c r="AC613" t="e">
        <f t="shared" ca="1" si="309"/>
        <v>#VALUE!</v>
      </c>
      <c r="AD613" t="e">
        <f t="shared" ca="1" si="310"/>
        <v>#VALUE!</v>
      </c>
      <c r="AE613" t="e">
        <f t="shared" ca="1" si="311"/>
        <v>#VALUE!</v>
      </c>
      <c r="AF613" t="e">
        <f t="shared" ca="1" si="312"/>
        <v>#VALUE!</v>
      </c>
      <c r="AG613" t="e">
        <f t="shared" ca="1" si="313"/>
        <v>#VALUE!</v>
      </c>
      <c r="AH613" t="e">
        <f ca="1">IF(V32="Supercritical",L613,IF(V32="Subcritical",W613,IF(AND(V613=1,AG613=1),IF(T613&gt;=AE613,L613,W613),IF(V613=1,L613,IF(AG613=1,W613,MAX($D$16,POWER((ABS(K613)^2)/($I$5*MAX(F613,0.1)^2),1/3)))))))</f>
        <v>#VALUE!</v>
      </c>
      <c r="AI613" t="e">
        <f t="shared" ca="1" si="314"/>
        <v>#VALUE!</v>
      </c>
      <c r="AJ613" t="e">
        <f t="shared" ca="1" si="315"/>
        <v>#VALUE!</v>
      </c>
      <c r="AM613">
        <v>0</v>
      </c>
      <c r="AN613">
        <v>0</v>
      </c>
      <c r="AO613">
        <f t="shared" si="316"/>
        <v>0</v>
      </c>
      <c r="AP613">
        <f t="shared" si="325"/>
        <v>0</v>
      </c>
      <c r="AQ613" t="e">
        <f t="shared" ca="1" si="317"/>
        <v>#VALUE!</v>
      </c>
      <c r="AR613" t="e">
        <f t="shared" ca="1" si="318"/>
        <v>#VALUE!</v>
      </c>
      <c r="AS613" t="e">
        <f t="shared" ca="1" si="319"/>
        <v>#VALUE!</v>
      </c>
    </row>
    <row r="614" spans="1:45" x14ac:dyDescent="0.35">
      <c r="A614">
        <v>465</v>
      </c>
      <c r="B614">
        <v>463.89499999999998</v>
      </c>
      <c r="C614">
        <v>616221.44299999997</v>
      </c>
      <c r="D614">
        <v>3097508.429</v>
      </c>
      <c r="E614">
        <v>632.33000000000004</v>
      </c>
      <c r="F614">
        <v>5.2</v>
      </c>
      <c r="G614">
        <v>0</v>
      </c>
      <c r="H614" t="s">
        <v>191</v>
      </c>
      <c r="I614">
        <v>7.8E-2</v>
      </c>
      <c r="J614">
        <f t="shared" si="320"/>
        <v>1</v>
      </c>
      <c r="K614">
        <f t="shared" si="321"/>
        <v>51</v>
      </c>
      <c r="L614" t="e">
        <f t="shared" ca="1" si="322"/>
        <v>#VALUE!</v>
      </c>
      <c r="M614" t="e">
        <f t="shared" ca="1" si="295"/>
        <v>#VALUE!</v>
      </c>
      <c r="N614" t="e">
        <f t="shared" ca="1" si="296"/>
        <v>#VALUE!</v>
      </c>
      <c r="O614" t="e">
        <f t="shared" ca="1" si="297"/>
        <v>#VALUE!</v>
      </c>
      <c r="P614" t="e">
        <f t="shared" ca="1" si="298"/>
        <v>#VALUE!</v>
      </c>
      <c r="Q614" t="e">
        <f t="shared" ca="1" si="299"/>
        <v>#VALUE!</v>
      </c>
      <c r="R614" t="e">
        <f t="shared" ca="1" si="300"/>
        <v>#VALUE!</v>
      </c>
      <c r="S614" t="e">
        <f t="shared" ca="1" si="301"/>
        <v>#VALUE!</v>
      </c>
      <c r="T614" t="e">
        <f t="shared" ca="1" si="302"/>
        <v>#VALUE!</v>
      </c>
      <c r="U614" t="e">
        <f t="shared" ca="1" si="323"/>
        <v>#VALUE!</v>
      </c>
      <c r="V614" t="e">
        <f t="shared" ca="1" si="324"/>
        <v>#VALUE!</v>
      </c>
      <c r="W614" t="e">
        <f t="shared" ca="1" si="303"/>
        <v>#VALUE!</v>
      </c>
      <c r="X614" t="e">
        <f t="shared" ca="1" si="304"/>
        <v>#VALUE!</v>
      </c>
      <c r="Y614" t="e">
        <f t="shared" ca="1" si="305"/>
        <v>#VALUE!</v>
      </c>
      <c r="Z614" t="e">
        <f t="shared" ca="1" si="306"/>
        <v>#VALUE!</v>
      </c>
      <c r="AA614" t="e">
        <f t="shared" ca="1" si="307"/>
        <v>#VALUE!</v>
      </c>
      <c r="AB614" t="e">
        <f t="shared" ca="1" si="308"/>
        <v>#VALUE!</v>
      </c>
      <c r="AC614" t="e">
        <f t="shared" ca="1" si="309"/>
        <v>#VALUE!</v>
      </c>
      <c r="AD614" t="e">
        <f t="shared" ca="1" si="310"/>
        <v>#VALUE!</v>
      </c>
      <c r="AE614" t="e">
        <f t="shared" ca="1" si="311"/>
        <v>#VALUE!</v>
      </c>
      <c r="AF614" t="e">
        <f t="shared" ca="1" si="312"/>
        <v>#VALUE!</v>
      </c>
      <c r="AG614" t="e">
        <f t="shared" ca="1" si="313"/>
        <v>#VALUE!</v>
      </c>
      <c r="AH614" t="e">
        <f ca="1">IF(V32="Supercritical",L614,IF(V32="Subcritical",W614,IF(AND(V614=1,AG614=1),IF(T614&gt;=AE614,L614,W614),IF(V614=1,L614,IF(AG614=1,W614,MAX($D$16,POWER((ABS(K614)^2)/($I$5*MAX(F614,0.1)^2),1/3)))))))</f>
        <v>#VALUE!</v>
      </c>
      <c r="AI614" t="e">
        <f t="shared" ca="1" si="314"/>
        <v>#VALUE!</v>
      </c>
      <c r="AJ614" t="e">
        <f t="shared" ca="1" si="315"/>
        <v>#VALUE!</v>
      </c>
      <c r="AM614">
        <v>0</v>
      </c>
      <c r="AN614">
        <v>0</v>
      </c>
      <c r="AO614">
        <f t="shared" si="316"/>
        <v>0</v>
      </c>
      <c r="AP614">
        <f t="shared" si="325"/>
        <v>0</v>
      </c>
      <c r="AQ614" t="e">
        <f t="shared" ca="1" si="317"/>
        <v>#VALUE!</v>
      </c>
      <c r="AR614" t="e">
        <f t="shared" ca="1" si="318"/>
        <v>#VALUE!</v>
      </c>
      <c r="AS614" t="e">
        <f t="shared" ca="1" si="319"/>
        <v>#VALUE!</v>
      </c>
    </row>
    <row r="615" spans="1:45" x14ac:dyDescent="0.35">
      <c r="A615">
        <v>466</v>
      </c>
      <c r="B615">
        <v>464.89600000000002</v>
      </c>
      <c r="C615">
        <v>616220.96900000004</v>
      </c>
      <c r="D615">
        <v>3097507.548</v>
      </c>
      <c r="E615">
        <v>632.32950000000005</v>
      </c>
      <c r="F615">
        <v>5.2</v>
      </c>
      <c r="G615">
        <v>0</v>
      </c>
      <c r="H615" t="s">
        <v>191</v>
      </c>
      <c r="I615">
        <v>2.7E-2</v>
      </c>
      <c r="J615">
        <f t="shared" si="320"/>
        <v>1.0010000000000332</v>
      </c>
      <c r="K615">
        <f t="shared" si="321"/>
        <v>51</v>
      </c>
      <c r="L615" t="e">
        <f t="shared" ca="1" si="322"/>
        <v>#VALUE!</v>
      </c>
      <c r="M615" t="e">
        <f t="shared" ca="1" si="295"/>
        <v>#VALUE!</v>
      </c>
      <c r="N615" t="e">
        <f t="shared" ca="1" si="296"/>
        <v>#VALUE!</v>
      </c>
      <c r="O615" t="e">
        <f t="shared" ca="1" si="297"/>
        <v>#VALUE!</v>
      </c>
      <c r="P615" t="e">
        <f t="shared" ca="1" si="298"/>
        <v>#VALUE!</v>
      </c>
      <c r="Q615" t="e">
        <f t="shared" ca="1" si="299"/>
        <v>#VALUE!</v>
      </c>
      <c r="R615" t="e">
        <f t="shared" ca="1" si="300"/>
        <v>#VALUE!</v>
      </c>
      <c r="S615" t="e">
        <f t="shared" ca="1" si="301"/>
        <v>#VALUE!</v>
      </c>
      <c r="T615" t="e">
        <f t="shared" ca="1" si="302"/>
        <v>#VALUE!</v>
      </c>
      <c r="U615" t="e">
        <f t="shared" ca="1" si="323"/>
        <v>#VALUE!</v>
      </c>
      <c r="V615" t="e">
        <f t="shared" ca="1" si="324"/>
        <v>#VALUE!</v>
      </c>
      <c r="W615" t="e">
        <f t="shared" ca="1" si="303"/>
        <v>#VALUE!</v>
      </c>
      <c r="X615" t="e">
        <f t="shared" ca="1" si="304"/>
        <v>#VALUE!</v>
      </c>
      <c r="Y615" t="e">
        <f t="shared" ca="1" si="305"/>
        <v>#VALUE!</v>
      </c>
      <c r="Z615" t="e">
        <f t="shared" ca="1" si="306"/>
        <v>#VALUE!</v>
      </c>
      <c r="AA615" t="e">
        <f t="shared" ca="1" si="307"/>
        <v>#VALUE!</v>
      </c>
      <c r="AB615" t="e">
        <f t="shared" ca="1" si="308"/>
        <v>#VALUE!</v>
      </c>
      <c r="AC615" t="e">
        <f t="shared" ca="1" si="309"/>
        <v>#VALUE!</v>
      </c>
      <c r="AD615" t="e">
        <f t="shared" ca="1" si="310"/>
        <v>#VALUE!</v>
      </c>
      <c r="AE615" t="e">
        <f t="shared" ca="1" si="311"/>
        <v>#VALUE!</v>
      </c>
      <c r="AF615" t="e">
        <f t="shared" ca="1" si="312"/>
        <v>#VALUE!</v>
      </c>
      <c r="AG615" t="e">
        <f t="shared" ca="1" si="313"/>
        <v>#VALUE!</v>
      </c>
      <c r="AH615" t="e">
        <f ca="1">IF(V32="Supercritical",L615,IF(V32="Subcritical",W615,IF(AND(V615=1,AG615=1),IF(T615&gt;=AE615,L615,W615),IF(V615=1,L615,IF(AG615=1,W615,MAX($D$16,POWER((ABS(K615)^2)/($I$5*MAX(F615,0.1)^2),1/3)))))))</f>
        <v>#VALUE!</v>
      </c>
      <c r="AI615" t="e">
        <f t="shared" ca="1" si="314"/>
        <v>#VALUE!</v>
      </c>
      <c r="AJ615" t="e">
        <f t="shared" ca="1" si="315"/>
        <v>#VALUE!</v>
      </c>
      <c r="AM615">
        <v>0</v>
      </c>
      <c r="AN615">
        <v>0</v>
      </c>
      <c r="AO615">
        <f t="shared" si="316"/>
        <v>0</v>
      </c>
      <c r="AP615">
        <f t="shared" si="325"/>
        <v>0</v>
      </c>
      <c r="AQ615" t="e">
        <f t="shared" ca="1" si="317"/>
        <v>#VALUE!</v>
      </c>
      <c r="AR615" t="e">
        <f t="shared" ca="1" si="318"/>
        <v>#VALUE!</v>
      </c>
      <c r="AS615" t="e">
        <f t="shared" ca="1" si="319"/>
        <v>#VALUE!</v>
      </c>
    </row>
    <row r="616" spans="1:45" x14ac:dyDescent="0.35">
      <c r="A616">
        <v>467</v>
      </c>
      <c r="B616">
        <v>465.89499999999998</v>
      </c>
      <c r="C616">
        <v>616220.495</v>
      </c>
      <c r="D616">
        <v>3097506.6680000001</v>
      </c>
      <c r="E616">
        <v>632.32899999999995</v>
      </c>
      <c r="F616">
        <v>5.2</v>
      </c>
      <c r="G616">
        <v>0</v>
      </c>
      <c r="H616" t="s">
        <v>191</v>
      </c>
      <c r="I616">
        <v>2.7E-2</v>
      </c>
      <c r="J616">
        <f t="shared" si="320"/>
        <v>0.9989999999999668</v>
      </c>
      <c r="K616">
        <f t="shared" si="321"/>
        <v>51</v>
      </c>
      <c r="L616" t="e">
        <f t="shared" ca="1" si="322"/>
        <v>#VALUE!</v>
      </c>
      <c r="M616" t="e">
        <f t="shared" ca="1" si="295"/>
        <v>#VALUE!</v>
      </c>
      <c r="N616" t="e">
        <f t="shared" ca="1" si="296"/>
        <v>#VALUE!</v>
      </c>
      <c r="O616" t="e">
        <f t="shared" ca="1" si="297"/>
        <v>#VALUE!</v>
      </c>
      <c r="P616" t="e">
        <f t="shared" ca="1" si="298"/>
        <v>#VALUE!</v>
      </c>
      <c r="Q616" t="e">
        <f t="shared" ca="1" si="299"/>
        <v>#VALUE!</v>
      </c>
      <c r="R616" t="e">
        <f t="shared" ca="1" si="300"/>
        <v>#VALUE!</v>
      </c>
      <c r="S616" t="e">
        <f t="shared" ca="1" si="301"/>
        <v>#VALUE!</v>
      </c>
      <c r="T616" t="e">
        <f t="shared" ca="1" si="302"/>
        <v>#VALUE!</v>
      </c>
      <c r="U616" t="e">
        <f t="shared" ca="1" si="323"/>
        <v>#VALUE!</v>
      </c>
      <c r="V616" t="e">
        <f t="shared" ca="1" si="324"/>
        <v>#VALUE!</v>
      </c>
      <c r="W616" t="e">
        <f t="shared" ca="1" si="303"/>
        <v>#VALUE!</v>
      </c>
      <c r="X616" t="e">
        <f t="shared" ca="1" si="304"/>
        <v>#VALUE!</v>
      </c>
      <c r="Y616" t="e">
        <f t="shared" ca="1" si="305"/>
        <v>#VALUE!</v>
      </c>
      <c r="Z616" t="e">
        <f t="shared" ca="1" si="306"/>
        <v>#VALUE!</v>
      </c>
      <c r="AA616" t="e">
        <f t="shared" ca="1" si="307"/>
        <v>#VALUE!</v>
      </c>
      <c r="AB616" t="e">
        <f t="shared" ca="1" si="308"/>
        <v>#VALUE!</v>
      </c>
      <c r="AC616" t="e">
        <f t="shared" ca="1" si="309"/>
        <v>#VALUE!</v>
      </c>
      <c r="AD616" t="e">
        <f t="shared" ca="1" si="310"/>
        <v>#VALUE!</v>
      </c>
      <c r="AE616" t="e">
        <f t="shared" ca="1" si="311"/>
        <v>#VALUE!</v>
      </c>
      <c r="AF616" t="e">
        <f t="shared" ca="1" si="312"/>
        <v>#VALUE!</v>
      </c>
      <c r="AG616" t="e">
        <f t="shared" ca="1" si="313"/>
        <v>#VALUE!</v>
      </c>
      <c r="AH616" t="e">
        <f ca="1">IF(V32="Supercritical",L616,IF(V32="Subcritical",W616,IF(AND(V616=1,AG616=1),IF(T616&gt;=AE616,L616,W616),IF(V616=1,L616,IF(AG616=1,W616,MAX($D$16,POWER((ABS(K616)^2)/($I$5*MAX(F616,0.1)^2),1/3)))))))</f>
        <v>#VALUE!</v>
      </c>
      <c r="AI616" t="e">
        <f t="shared" ca="1" si="314"/>
        <v>#VALUE!</v>
      </c>
      <c r="AJ616" t="e">
        <f t="shared" ca="1" si="315"/>
        <v>#VALUE!</v>
      </c>
      <c r="AM616">
        <v>0</v>
      </c>
      <c r="AN616">
        <v>0</v>
      </c>
      <c r="AO616">
        <f t="shared" si="316"/>
        <v>0</v>
      </c>
      <c r="AP616">
        <f t="shared" si="325"/>
        <v>0</v>
      </c>
      <c r="AQ616" t="e">
        <f t="shared" ca="1" si="317"/>
        <v>#VALUE!</v>
      </c>
      <c r="AR616" t="e">
        <f t="shared" ca="1" si="318"/>
        <v>#VALUE!</v>
      </c>
      <c r="AS616" t="e">
        <f t="shared" ca="1" si="319"/>
        <v>#VALUE!</v>
      </c>
    </row>
    <row r="617" spans="1:45" x14ac:dyDescent="0.35">
      <c r="A617">
        <v>468</v>
      </c>
      <c r="B617">
        <v>466.89600000000002</v>
      </c>
      <c r="C617">
        <v>616220.02099999995</v>
      </c>
      <c r="D617">
        <v>3097505.787</v>
      </c>
      <c r="E617">
        <v>632.32849999999996</v>
      </c>
      <c r="F617">
        <v>5.2</v>
      </c>
      <c r="G617">
        <v>0</v>
      </c>
      <c r="H617" t="s">
        <v>191</v>
      </c>
      <c r="I617">
        <v>7.8E-2</v>
      </c>
      <c r="J617">
        <f t="shared" si="320"/>
        <v>1.0010000000000332</v>
      </c>
      <c r="K617">
        <f t="shared" si="321"/>
        <v>51</v>
      </c>
      <c r="L617" t="e">
        <f t="shared" ca="1" si="322"/>
        <v>#VALUE!</v>
      </c>
      <c r="M617" t="e">
        <f t="shared" ca="1" si="295"/>
        <v>#VALUE!</v>
      </c>
      <c r="N617" t="e">
        <f t="shared" ca="1" si="296"/>
        <v>#VALUE!</v>
      </c>
      <c r="O617" t="e">
        <f t="shared" ca="1" si="297"/>
        <v>#VALUE!</v>
      </c>
      <c r="P617" t="e">
        <f t="shared" ca="1" si="298"/>
        <v>#VALUE!</v>
      </c>
      <c r="Q617" t="e">
        <f t="shared" ca="1" si="299"/>
        <v>#VALUE!</v>
      </c>
      <c r="R617" t="e">
        <f t="shared" ca="1" si="300"/>
        <v>#VALUE!</v>
      </c>
      <c r="S617" t="e">
        <f t="shared" ca="1" si="301"/>
        <v>#VALUE!</v>
      </c>
      <c r="T617" t="e">
        <f t="shared" ca="1" si="302"/>
        <v>#VALUE!</v>
      </c>
      <c r="U617" t="e">
        <f t="shared" ca="1" si="323"/>
        <v>#VALUE!</v>
      </c>
      <c r="V617" t="e">
        <f t="shared" ca="1" si="324"/>
        <v>#VALUE!</v>
      </c>
      <c r="W617" t="e">
        <f t="shared" ca="1" si="303"/>
        <v>#VALUE!</v>
      </c>
      <c r="X617" t="e">
        <f t="shared" ca="1" si="304"/>
        <v>#VALUE!</v>
      </c>
      <c r="Y617" t="e">
        <f t="shared" ca="1" si="305"/>
        <v>#VALUE!</v>
      </c>
      <c r="Z617" t="e">
        <f t="shared" ca="1" si="306"/>
        <v>#VALUE!</v>
      </c>
      <c r="AA617" t="e">
        <f t="shared" ca="1" si="307"/>
        <v>#VALUE!</v>
      </c>
      <c r="AB617" t="e">
        <f t="shared" ca="1" si="308"/>
        <v>#VALUE!</v>
      </c>
      <c r="AC617" t="e">
        <f t="shared" ca="1" si="309"/>
        <v>#VALUE!</v>
      </c>
      <c r="AD617" t="e">
        <f t="shared" ca="1" si="310"/>
        <v>#VALUE!</v>
      </c>
      <c r="AE617" t="e">
        <f t="shared" ca="1" si="311"/>
        <v>#VALUE!</v>
      </c>
      <c r="AF617" t="e">
        <f t="shared" ca="1" si="312"/>
        <v>#VALUE!</v>
      </c>
      <c r="AG617" t="e">
        <f t="shared" ca="1" si="313"/>
        <v>#VALUE!</v>
      </c>
      <c r="AH617" t="e">
        <f ca="1">IF(V32="Supercritical",L617,IF(V32="Subcritical",W617,IF(AND(V617=1,AG617=1),IF(T617&gt;=AE617,L617,W617),IF(V617=1,L617,IF(AG617=1,W617,MAX($D$16,POWER((ABS(K617)^2)/($I$5*MAX(F617,0.1)^2),1/3)))))))</f>
        <v>#VALUE!</v>
      </c>
      <c r="AI617" t="e">
        <f t="shared" ca="1" si="314"/>
        <v>#VALUE!</v>
      </c>
      <c r="AJ617" t="e">
        <f t="shared" ca="1" si="315"/>
        <v>#VALUE!</v>
      </c>
      <c r="AM617">
        <v>0</v>
      </c>
      <c r="AN617">
        <v>0</v>
      </c>
      <c r="AO617">
        <f t="shared" si="316"/>
        <v>0</v>
      </c>
      <c r="AP617">
        <f t="shared" si="325"/>
        <v>0</v>
      </c>
      <c r="AQ617" t="e">
        <f t="shared" ca="1" si="317"/>
        <v>#VALUE!</v>
      </c>
      <c r="AR617" t="e">
        <f t="shared" ca="1" si="318"/>
        <v>#VALUE!</v>
      </c>
      <c r="AS617" t="e">
        <f t="shared" ca="1" si="319"/>
        <v>#VALUE!</v>
      </c>
    </row>
    <row r="618" spans="1:45" x14ac:dyDescent="0.35">
      <c r="A618">
        <v>469</v>
      </c>
      <c r="B618">
        <v>467.89600000000002</v>
      </c>
      <c r="C618">
        <v>616219.54599999997</v>
      </c>
      <c r="D618">
        <v>3097504.9070000001</v>
      </c>
      <c r="E618">
        <v>632.32799999999997</v>
      </c>
      <c r="F618">
        <v>5.2</v>
      </c>
      <c r="G618">
        <v>0</v>
      </c>
      <c r="H618" t="s">
        <v>191</v>
      </c>
      <c r="I618">
        <v>0.05</v>
      </c>
      <c r="J618">
        <f t="shared" si="320"/>
        <v>1</v>
      </c>
      <c r="K618">
        <f t="shared" si="321"/>
        <v>51</v>
      </c>
      <c r="L618" t="e">
        <f t="shared" ca="1" si="322"/>
        <v>#VALUE!</v>
      </c>
      <c r="M618" t="e">
        <f t="shared" ca="1" si="295"/>
        <v>#VALUE!</v>
      </c>
      <c r="N618" t="e">
        <f t="shared" ca="1" si="296"/>
        <v>#VALUE!</v>
      </c>
      <c r="O618" t="e">
        <f t="shared" ca="1" si="297"/>
        <v>#VALUE!</v>
      </c>
      <c r="P618" t="e">
        <f t="shared" ca="1" si="298"/>
        <v>#VALUE!</v>
      </c>
      <c r="Q618" t="e">
        <f t="shared" ca="1" si="299"/>
        <v>#VALUE!</v>
      </c>
      <c r="R618" t="e">
        <f t="shared" ca="1" si="300"/>
        <v>#VALUE!</v>
      </c>
      <c r="S618" t="e">
        <f t="shared" ca="1" si="301"/>
        <v>#VALUE!</v>
      </c>
      <c r="T618" t="e">
        <f t="shared" ca="1" si="302"/>
        <v>#VALUE!</v>
      </c>
      <c r="U618" t="e">
        <f t="shared" ca="1" si="323"/>
        <v>#VALUE!</v>
      </c>
      <c r="V618" t="e">
        <f t="shared" ca="1" si="324"/>
        <v>#VALUE!</v>
      </c>
      <c r="W618" t="e">
        <f t="shared" ca="1" si="303"/>
        <v>#VALUE!</v>
      </c>
      <c r="X618" t="e">
        <f t="shared" ca="1" si="304"/>
        <v>#VALUE!</v>
      </c>
      <c r="Y618" t="e">
        <f t="shared" ca="1" si="305"/>
        <v>#VALUE!</v>
      </c>
      <c r="Z618" t="e">
        <f t="shared" ca="1" si="306"/>
        <v>#VALUE!</v>
      </c>
      <c r="AA618" t="e">
        <f t="shared" ca="1" si="307"/>
        <v>#VALUE!</v>
      </c>
      <c r="AB618" t="e">
        <f t="shared" ca="1" si="308"/>
        <v>#VALUE!</v>
      </c>
      <c r="AC618" t="e">
        <f t="shared" ca="1" si="309"/>
        <v>#VALUE!</v>
      </c>
      <c r="AD618" t="e">
        <f t="shared" ca="1" si="310"/>
        <v>#VALUE!</v>
      </c>
      <c r="AE618" t="e">
        <f t="shared" ca="1" si="311"/>
        <v>#VALUE!</v>
      </c>
      <c r="AF618" t="e">
        <f t="shared" ca="1" si="312"/>
        <v>#VALUE!</v>
      </c>
      <c r="AG618" t="e">
        <f t="shared" ca="1" si="313"/>
        <v>#VALUE!</v>
      </c>
      <c r="AH618" t="e">
        <f ca="1">IF(V32="Supercritical",L618,IF(V32="Subcritical",W618,IF(AND(V618=1,AG618=1),IF(T618&gt;=AE618,L618,W618),IF(V618=1,L618,IF(AG618=1,W618,MAX($D$16,POWER((ABS(K618)^2)/($I$5*MAX(F618,0.1)^2),1/3)))))))</f>
        <v>#VALUE!</v>
      </c>
      <c r="AI618" t="e">
        <f t="shared" ca="1" si="314"/>
        <v>#VALUE!</v>
      </c>
      <c r="AJ618" t="e">
        <f t="shared" ca="1" si="315"/>
        <v>#VALUE!</v>
      </c>
      <c r="AM618">
        <v>0</v>
      </c>
      <c r="AN618">
        <v>0</v>
      </c>
      <c r="AO618">
        <f t="shared" si="316"/>
        <v>0</v>
      </c>
      <c r="AP618">
        <f t="shared" si="325"/>
        <v>0</v>
      </c>
      <c r="AQ618" t="e">
        <f t="shared" ca="1" si="317"/>
        <v>#VALUE!</v>
      </c>
      <c r="AR618" t="e">
        <f t="shared" ca="1" si="318"/>
        <v>#VALUE!</v>
      </c>
      <c r="AS618" t="e">
        <f t="shared" ca="1" si="319"/>
        <v>#VALUE!</v>
      </c>
    </row>
    <row r="619" spans="1:45" x14ac:dyDescent="0.35">
      <c r="A619">
        <v>470</v>
      </c>
      <c r="B619">
        <v>468.89499999999998</v>
      </c>
      <c r="C619">
        <v>616219.07200000004</v>
      </c>
      <c r="D619">
        <v>3097504.0269999998</v>
      </c>
      <c r="E619">
        <v>632.32749999999999</v>
      </c>
      <c r="F619">
        <v>5.2</v>
      </c>
      <c r="G619">
        <v>0</v>
      </c>
      <c r="H619" t="s">
        <v>191</v>
      </c>
      <c r="I619">
        <v>2.7E-2</v>
      </c>
      <c r="J619">
        <f t="shared" si="320"/>
        <v>0.9989999999999668</v>
      </c>
      <c r="K619">
        <f t="shared" si="321"/>
        <v>51</v>
      </c>
      <c r="L619" t="e">
        <f t="shared" ca="1" si="322"/>
        <v>#VALUE!</v>
      </c>
      <c r="M619" t="e">
        <f t="shared" ca="1" si="295"/>
        <v>#VALUE!</v>
      </c>
      <c r="N619" t="e">
        <f t="shared" ca="1" si="296"/>
        <v>#VALUE!</v>
      </c>
      <c r="O619" t="e">
        <f t="shared" ca="1" si="297"/>
        <v>#VALUE!</v>
      </c>
      <c r="P619" t="e">
        <f t="shared" ca="1" si="298"/>
        <v>#VALUE!</v>
      </c>
      <c r="Q619" t="e">
        <f t="shared" ca="1" si="299"/>
        <v>#VALUE!</v>
      </c>
      <c r="R619" t="e">
        <f t="shared" ca="1" si="300"/>
        <v>#VALUE!</v>
      </c>
      <c r="S619" t="e">
        <f t="shared" ca="1" si="301"/>
        <v>#VALUE!</v>
      </c>
      <c r="T619" t="e">
        <f t="shared" ca="1" si="302"/>
        <v>#VALUE!</v>
      </c>
      <c r="U619" t="e">
        <f t="shared" ca="1" si="323"/>
        <v>#VALUE!</v>
      </c>
      <c r="V619" t="e">
        <f t="shared" ca="1" si="324"/>
        <v>#VALUE!</v>
      </c>
      <c r="W619" t="e">
        <f t="shared" ca="1" si="303"/>
        <v>#VALUE!</v>
      </c>
      <c r="X619" t="e">
        <f t="shared" ca="1" si="304"/>
        <v>#VALUE!</v>
      </c>
      <c r="Y619" t="e">
        <f t="shared" ca="1" si="305"/>
        <v>#VALUE!</v>
      </c>
      <c r="Z619" t="e">
        <f t="shared" ca="1" si="306"/>
        <v>#VALUE!</v>
      </c>
      <c r="AA619" t="e">
        <f t="shared" ca="1" si="307"/>
        <v>#VALUE!</v>
      </c>
      <c r="AB619" t="e">
        <f t="shared" ca="1" si="308"/>
        <v>#VALUE!</v>
      </c>
      <c r="AC619" t="e">
        <f t="shared" ca="1" si="309"/>
        <v>#VALUE!</v>
      </c>
      <c r="AD619" t="e">
        <f t="shared" ca="1" si="310"/>
        <v>#VALUE!</v>
      </c>
      <c r="AE619" t="e">
        <f t="shared" ca="1" si="311"/>
        <v>#VALUE!</v>
      </c>
      <c r="AF619" t="e">
        <f t="shared" ca="1" si="312"/>
        <v>#VALUE!</v>
      </c>
      <c r="AG619" t="e">
        <f t="shared" ca="1" si="313"/>
        <v>#VALUE!</v>
      </c>
      <c r="AH619" t="e">
        <f ca="1">IF(V32="Supercritical",L619,IF(V32="Subcritical",W619,IF(AND(V619=1,AG619=1),IF(T619&gt;=AE619,L619,W619),IF(V619=1,L619,IF(AG619=1,W619,MAX($D$16,POWER((ABS(K619)^2)/($I$5*MAX(F619,0.1)^2),1/3)))))))</f>
        <v>#VALUE!</v>
      </c>
      <c r="AI619" t="e">
        <f t="shared" ca="1" si="314"/>
        <v>#VALUE!</v>
      </c>
      <c r="AJ619" t="e">
        <f t="shared" ca="1" si="315"/>
        <v>#VALUE!</v>
      </c>
      <c r="AM619">
        <v>0</v>
      </c>
      <c r="AN619">
        <v>0</v>
      </c>
      <c r="AO619">
        <f t="shared" si="316"/>
        <v>0</v>
      </c>
      <c r="AP619">
        <f t="shared" si="325"/>
        <v>0</v>
      </c>
      <c r="AQ619" t="e">
        <f t="shared" ca="1" si="317"/>
        <v>#VALUE!</v>
      </c>
      <c r="AR619" t="e">
        <f t="shared" ca="1" si="318"/>
        <v>#VALUE!</v>
      </c>
      <c r="AS619" t="e">
        <f t="shared" ca="1" si="319"/>
        <v>#VALUE!</v>
      </c>
    </row>
    <row r="620" spans="1:45" x14ac:dyDescent="0.35">
      <c r="A620">
        <v>471</v>
      </c>
      <c r="B620">
        <v>469.89600000000002</v>
      </c>
      <c r="C620">
        <v>616218.598</v>
      </c>
      <c r="D620">
        <v>3097503.1460000002</v>
      </c>
      <c r="E620">
        <v>632.327</v>
      </c>
      <c r="F620">
        <v>5.2</v>
      </c>
      <c r="G620">
        <v>0</v>
      </c>
      <c r="H620" t="s">
        <v>191</v>
      </c>
      <c r="I620">
        <v>2.7E-2</v>
      </c>
      <c r="J620">
        <f t="shared" si="320"/>
        <v>1.0010000000000332</v>
      </c>
      <c r="K620">
        <f t="shared" si="321"/>
        <v>51</v>
      </c>
      <c r="L620" t="e">
        <f t="shared" ca="1" si="322"/>
        <v>#VALUE!</v>
      </c>
      <c r="M620" t="e">
        <f t="shared" ca="1" si="295"/>
        <v>#VALUE!</v>
      </c>
      <c r="N620" t="e">
        <f t="shared" ca="1" si="296"/>
        <v>#VALUE!</v>
      </c>
      <c r="O620" t="e">
        <f t="shared" ca="1" si="297"/>
        <v>#VALUE!</v>
      </c>
      <c r="P620" t="e">
        <f t="shared" ca="1" si="298"/>
        <v>#VALUE!</v>
      </c>
      <c r="Q620" t="e">
        <f t="shared" ca="1" si="299"/>
        <v>#VALUE!</v>
      </c>
      <c r="R620" t="e">
        <f t="shared" ca="1" si="300"/>
        <v>#VALUE!</v>
      </c>
      <c r="S620" t="e">
        <f t="shared" ca="1" si="301"/>
        <v>#VALUE!</v>
      </c>
      <c r="T620" t="e">
        <f t="shared" ca="1" si="302"/>
        <v>#VALUE!</v>
      </c>
      <c r="U620" t="e">
        <f t="shared" ca="1" si="323"/>
        <v>#VALUE!</v>
      </c>
      <c r="V620" t="e">
        <f t="shared" ca="1" si="324"/>
        <v>#VALUE!</v>
      </c>
      <c r="W620" t="e">
        <f t="shared" ca="1" si="303"/>
        <v>#VALUE!</v>
      </c>
      <c r="X620" t="e">
        <f t="shared" ca="1" si="304"/>
        <v>#VALUE!</v>
      </c>
      <c r="Y620" t="e">
        <f t="shared" ca="1" si="305"/>
        <v>#VALUE!</v>
      </c>
      <c r="Z620" t="e">
        <f t="shared" ca="1" si="306"/>
        <v>#VALUE!</v>
      </c>
      <c r="AA620" t="e">
        <f t="shared" ca="1" si="307"/>
        <v>#VALUE!</v>
      </c>
      <c r="AB620" t="e">
        <f t="shared" ca="1" si="308"/>
        <v>#VALUE!</v>
      </c>
      <c r="AC620" t="e">
        <f t="shared" ca="1" si="309"/>
        <v>#VALUE!</v>
      </c>
      <c r="AD620" t="e">
        <f t="shared" ca="1" si="310"/>
        <v>#VALUE!</v>
      </c>
      <c r="AE620" t="e">
        <f t="shared" ca="1" si="311"/>
        <v>#VALUE!</v>
      </c>
      <c r="AF620" t="e">
        <f t="shared" ca="1" si="312"/>
        <v>#VALUE!</v>
      </c>
      <c r="AG620" t="e">
        <f t="shared" ca="1" si="313"/>
        <v>#VALUE!</v>
      </c>
      <c r="AH620" t="e">
        <f ca="1">IF(V32="Supercritical",L620,IF(V32="Subcritical",W620,IF(AND(V620=1,AG620=1),IF(T620&gt;=AE620,L620,W620),IF(V620=1,L620,IF(AG620=1,W620,MAX($D$16,POWER((ABS(K620)^2)/($I$5*MAX(F620,0.1)^2),1/3)))))))</f>
        <v>#VALUE!</v>
      </c>
      <c r="AI620" t="e">
        <f t="shared" ca="1" si="314"/>
        <v>#VALUE!</v>
      </c>
      <c r="AJ620" t="e">
        <f t="shared" ca="1" si="315"/>
        <v>#VALUE!</v>
      </c>
      <c r="AM620">
        <v>0</v>
      </c>
      <c r="AN620">
        <v>0</v>
      </c>
      <c r="AO620">
        <f t="shared" si="316"/>
        <v>0</v>
      </c>
      <c r="AP620">
        <f t="shared" si="325"/>
        <v>0</v>
      </c>
      <c r="AQ620" t="e">
        <f t="shared" ca="1" si="317"/>
        <v>#VALUE!</v>
      </c>
      <c r="AR620" t="e">
        <f t="shared" ca="1" si="318"/>
        <v>#VALUE!</v>
      </c>
      <c r="AS620" t="e">
        <f t="shared" ca="1" si="319"/>
        <v>#VALUE!</v>
      </c>
    </row>
    <row r="621" spans="1:45" x14ac:dyDescent="0.35">
      <c r="A621">
        <v>472</v>
      </c>
      <c r="B621">
        <v>470.89499999999998</v>
      </c>
      <c r="C621">
        <v>616218.12399999995</v>
      </c>
      <c r="D621">
        <v>3097502.2659999998</v>
      </c>
      <c r="E621">
        <v>632.32650000000001</v>
      </c>
      <c r="F621">
        <v>5.2</v>
      </c>
      <c r="G621">
        <v>0</v>
      </c>
      <c r="H621" t="s">
        <v>191</v>
      </c>
      <c r="I621">
        <v>2.7E-2</v>
      </c>
      <c r="J621">
        <f t="shared" si="320"/>
        <v>0.9989999999999668</v>
      </c>
      <c r="K621">
        <f t="shared" si="321"/>
        <v>51</v>
      </c>
      <c r="L621" t="e">
        <f t="shared" ca="1" si="322"/>
        <v>#VALUE!</v>
      </c>
      <c r="M621" t="e">
        <f t="shared" ca="1" si="295"/>
        <v>#VALUE!</v>
      </c>
      <c r="N621" t="e">
        <f t="shared" ca="1" si="296"/>
        <v>#VALUE!</v>
      </c>
      <c r="O621" t="e">
        <f t="shared" ca="1" si="297"/>
        <v>#VALUE!</v>
      </c>
      <c r="P621" t="e">
        <f t="shared" ca="1" si="298"/>
        <v>#VALUE!</v>
      </c>
      <c r="Q621" t="e">
        <f t="shared" ca="1" si="299"/>
        <v>#VALUE!</v>
      </c>
      <c r="R621" t="e">
        <f t="shared" ca="1" si="300"/>
        <v>#VALUE!</v>
      </c>
      <c r="S621" t="e">
        <f t="shared" ca="1" si="301"/>
        <v>#VALUE!</v>
      </c>
      <c r="T621" t="e">
        <f t="shared" ca="1" si="302"/>
        <v>#VALUE!</v>
      </c>
      <c r="U621" t="e">
        <f t="shared" ca="1" si="323"/>
        <v>#VALUE!</v>
      </c>
      <c r="V621" t="e">
        <f t="shared" ca="1" si="324"/>
        <v>#VALUE!</v>
      </c>
      <c r="W621" t="e">
        <f t="shared" ca="1" si="303"/>
        <v>#VALUE!</v>
      </c>
      <c r="X621" t="e">
        <f t="shared" ca="1" si="304"/>
        <v>#VALUE!</v>
      </c>
      <c r="Y621" t="e">
        <f t="shared" ca="1" si="305"/>
        <v>#VALUE!</v>
      </c>
      <c r="Z621" t="e">
        <f t="shared" ca="1" si="306"/>
        <v>#VALUE!</v>
      </c>
      <c r="AA621" t="e">
        <f t="shared" ca="1" si="307"/>
        <v>#VALUE!</v>
      </c>
      <c r="AB621" t="e">
        <f t="shared" ca="1" si="308"/>
        <v>#VALUE!</v>
      </c>
      <c r="AC621" t="e">
        <f t="shared" ca="1" si="309"/>
        <v>#VALUE!</v>
      </c>
      <c r="AD621" t="e">
        <f t="shared" ca="1" si="310"/>
        <v>#VALUE!</v>
      </c>
      <c r="AE621" t="e">
        <f t="shared" ca="1" si="311"/>
        <v>#VALUE!</v>
      </c>
      <c r="AF621" t="e">
        <f t="shared" ca="1" si="312"/>
        <v>#VALUE!</v>
      </c>
      <c r="AG621" t="e">
        <f t="shared" ca="1" si="313"/>
        <v>#VALUE!</v>
      </c>
      <c r="AH621" t="e">
        <f ca="1">IF(V32="Supercritical",L621,IF(V32="Subcritical",W621,IF(AND(V621=1,AG621=1),IF(T621&gt;=AE621,L621,W621),IF(V621=1,L621,IF(AG621=1,W621,MAX($D$16,POWER((ABS(K621)^2)/($I$5*MAX(F621,0.1)^2),1/3)))))))</f>
        <v>#VALUE!</v>
      </c>
      <c r="AI621" t="e">
        <f t="shared" ca="1" si="314"/>
        <v>#VALUE!</v>
      </c>
      <c r="AJ621" t="e">
        <f t="shared" ca="1" si="315"/>
        <v>#VALUE!</v>
      </c>
      <c r="AM621">
        <v>0</v>
      </c>
      <c r="AN621">
        <v>0</v>
      </c>
      <c r="AO621">
        <f t="shared" si="316"/>
        <v>0</v>
      </c>
      <c r="AP621">
        <f t="shared" si="325"/>
        <v>0</v>
      </c>
      <c r="AQ621" t="e">
        <f t="shared" ca="1" si="317"/>
        <v>#VALUE!</v>
      </c>
      <c r="AR621" t="e">
        <f t="shared" ca="1" si="318"/>
        <v>#VALUE!</v>
      </c>
      <c r="AS621" t="e">
        <f t="shared" ca="1" si="319"/>
        <v>#VALUE!</v>
      </c>
    </row>
    <row r="622" spans="1:45" x14ac:dyDescent="0.35">
      <c r="A622">
        <v>473</v>
      </c>
      <c r="B622">
        <v>471.89499999999998</v>
      </c>
      <c r="C622">
        <v>616217.65</v>
      </c>
      <c r="D622">
        <v>3097501.3849999998</v>
      </c>
      <c r="E622">
        <v>632.32600000000002</v>
      </c>
      <c r="F622">
        <v>5.2</v>
      </c>
      <c r="G622">
        <v>0</v>
      </c>
      <c r="H622" t="s">
        <v>191</v>
      </c>
      <c r="I622">
        <v>7.8E-2</v>
      </c>
      <c r="J622">
        <f t="shared" si="320"/>
        <v>1</v>
      </c>
      <c r="K622">
        <f t="shared" si="321"/>
        <v>51</v>
      </c>
      <c r="L622" t="e">
        <f t="shared" ca="1" si="322"/>
        <v>#VALUE!</v>
      </c>
      <c r="M622" t="e">
        <f t="shared" ca="1" si="295"/>
        <v>#VALUE!</v>
      </c>
      <c r="N622" t="e">
        <f t="shared" ca="1" si="296"/>
        <v>#VALUE!</v>
      </c>
      <c r="O622" t="e">
        <f t="shared" ca="1" si="297"/>
        <v>#VALUE!</v>
      </c>
      <c r="P622" t="e">
        <f t="shared" ca="1" si="298"/>
        <v>#VALUE!</v>
      </c>
      <c r="Q622" t="e">
        <f t="shared" ca="1" si="299"/>
        <v>#VALUE!</v>
      </c>
      <c r="R622" t="e">
        <f t="shared" ca="1" si="300"/>
        <v>#VALUE!</v>
      </c>
      <c r="S622" t="e">
        <f t="shared" ca="1" si="301"/>
        <v>#VALUE!</v>
      </c>
      <c r="T622" t="e">
        <f t="shared" ca="1" si="302"/>
        <v>#VALUE!</v>
      </c>
      <c r="U622" t="e">
        <f t="shared" ca="1" si="323"/>
        <v>#VALUE!</v>
      </c>
      <c r="V622" t="e">
        <f t="shared" ca="1" si="324"/>
        <v>#VALUE!</v>
      </c>
      <c r="W622" t="e">
        <f t="shared" ca="1" si="303"/>
        <v>#VALUE!</v>
      </c>
      <c r="X622" t="e">
        <f t="shared" ca="1" si="304"/>
        <v>#VALUE!</v>
      </c>
      <c r="Y622" t="e">
        <f t="shared" ca="1" si="305"/>
        <v>#VALUE!</v>
      </c>
      <c r="Z622" t="e">
        <f t="shared" ca="1" si="306"/>
        <v>#VALUE!</v>
      </c>
      <c r="AA622" t="e">
        <f t="shared" ca="1" si="307"/>
        <v>#VALUE!</v>
      </c>
      <c r="AB622" t="e">
        <f t="shared" ca="1" si="308"/>
        <v>#VALUE!</v>
      </c>
      <c r="AC622" t="e">
        <f t="shared" ca="1" si="309"/>
        <v>#VALUE!</v>
      </c>
      <c r="AD622" t="e">
        <f t="shared" ca="1" si="310"/>
        <v>#VALUE!</v>
      </c>
      <c r="AE622" t="e">
        <f t="shared" ca="1" si="311"/>
        <v>#VALUE!</v>
      </c>
      <c r="AF622" t="e">
        <f t="shared" ca="1" si="312"/>
        <v>#VALUE!</v>
      </c>
      <c r="AG622" t="e">
        <f t="shared" ca="1" si="313"/>
        <v>#VALUE!</v>
      </c>
      <c r="AH622" t="e">
        <f ca="1">IF(V32="Supercritical",L622,IF(V32="Subcritical",W622,IF(AND(V622=1,AG622=1),IF(T622&gt;=AE622,L622,W622),IF(V622=1,L622,IF(AG622=1,W622,MAX($D$16,POWER((ABS(K622)^2)/($I$5*MAX(F622,0.1)^2),1/3)))))))</f>
        <v>#VALUE!</v>
      </c>
      <c r="AI622" t="e">
        <f t="shared" ca="1" si="314"/>
        <v>#VALUE!</v>
      </c>
      <c r="AJ622" t="e">
        <f t="shared" ca="1" si="315"/>
        <v>#VALUE!</v>
      </c>
      <c r="AM622">
        <v>0</v>
      </c>
      <c r="AN622">
        <v>0</v>
      </c>
      <c r="AO622">
        <f t="shared" si="316"/>
        <v>0</v>
      </c>
      <c r="AP622">
        <f t="shared" si="325"/>
        <v>0</v>
      </c>
      <c r="AQ622" t="e">
        <f t="shared" ca="1" si="317"/>
        <v>#VALUE!</v>
      </c>
      <c r="AR622" t="e">
        <f t="shared" ca="1" si="318"/>
        <v>#VALUE!</v>
      </c>
      <c r="AS622" t="e">
        <f t="shared" ca="1" si="319"/>
        <v>#VALUE!</v>
      </c>
    </row>
    <row r="623" spans="1:45" x14ac:dyDescent="0.35">
      <c r="A623">
        <v>474</v>
      </c>
      <c r="B623">
        <v>472.89499999999998</v>
      </c>
      <c r="C623">
        <v>616217.17500000005</v>
      </c>
      <c r="D623">
        <v>3097500.5049999999</v>
      </c>
      <c r="E623">
        <v>632.32550000000003</v>
      </c>
      <c r="F623">
        <v>5.2</v>
      </c>
      <c r="G623">
        <v>0</v>
      </c>
      <c r="H623" t="s">
        <v>191</v>
      </c>
      <c r="I623">
        <v>0.05</v>
      </c>
      <c r="J623">
        <f t="shared" si="320"/>
        <v>1</v>
      </c>
      <c r="K623">
        <f t="shared" si="321"/>
        <v>51</v>
      </c>
      <c r="L623" t="e">
        <f t="shared" ca="1" si="322"/>
        <v>#VALUE!</v>
      </c>
      <c r="M623" t="e">
        <f t="shared" ca="1" si="295"/>
        <v>#VALUE!</v>
      </c>
      <c r="N623" t="e">
        <f t="shared" ca="1" si="296"/>
        <v>#VALUE!</v>
      </c>
      <c r="O623" t="e">
        <f t="shared" ca="1" si="297"/>
        <v>#VALUE!</v>
      </c>
      <c r="P623" t="e">
        <f t="shared" ca="1" si="298"/>
        <v>#VALUE!</v>
      </c>
      <c r="Q623" t="e">
        <f t="shared" ca="1" si="299"/>
        <v>#VALUE!</v>
      </c>
      <c r="R623" t="e">
        <f t="shared" ca="1" si="300"/>
        <v>#VALUE!</v>
      </c>
      <c r="S623" t="e">
        <f t="shared" ca="1" si="301"/>
        <v>#VALUE!</v>
      </c>
      <c r="T623" t="e">
        <f t="shared" ca="1" si="302"/>
        <v>#VALUE!</v>
      </c>
      <c r="U623" t="e">
        <f t="shared" ca="1" si="323"/>
        <v>#VALUE!</v>
      </c>
      <c r="V623" t="e">
        <f t="shared" ca="1" si="324"/>
        <v>#VALUE!</v>
      </c>
      <c r="W623" t="e">
        <f t="shared" ca="1" si="303"/>
        <v>#VALUE!</v>
      </c>
      <c r="X623" t="e">
        <f t="shared" ca="1" si="304"/>
        <v>#VALUE!</v>
      </c>
      <c r="Y623" t="e">
        <f t="shared" ca="1" si="305"/>
        <v>#VALUE!</v>
      </c>
      <c r="Z623" t="e">
        <f t="shared" ca="1" si="306"/>
        <v>#VALUE!</v>
      </c>
      <c r="AA623" t="e">
        <f t="shared" ca="1" si="307"/>
        <v>#VALUE!</v>
      </c>
      <c r="AB623" t="e">
        <f t="shared" ca="1" si="308"/>
        <v>#VALUE!</v>
      </c>
      <c r="AC623" t="e">
        <f t="shared" ca="1" si="309"/>
        <v>#VALUE!</v>
      </c>
      <c r="AD623" t="e">
        <f t="shared" ca="1" si="310"/>
        <v>#VALUE!</v>
      </c>
      <c r="AE623" t="e">
        <f t="shared" ca="1" si="311"/>
        <v>#VALUE!</v>
      </c>
      <c r="AF623" t="e">
        <f t="shared" ca="1" si="312"/>
        <v>#VALUE!</v>
      </c>
      <c r="AG623" t="e">
        <f t="shared" ca="1" si="313"/>
        <v>#VALUE!</v>
      </c>
      <c r="AH623" t="e">
        <f ca="1">IF(V32="Supercritical",L623,IF(V32="Subcritical",W623,IF(AND(V623=1,AG623=1),IF(T623&gt;=AE623,L623,W623),IF(V623=1,L623,IF(AG623=1,W623,MAX($D$16,POWER((ABS(K623)^2)/($I$5*MAX(F623,0.1)^2),1/3)))))))</f>
        <v>#VALUE!</v>
      </c>
      <c r="AI623" t="e">
        <f t="shared" ca="1" si="314"/>
        <v>#VALUE!</v>
      </c>
      <c r="AJ623" t="e">
        <f t="shared" ca="1" si="315"/>
        <v>#VALUE!</v>
      </c>
      <c r="AM623">
        <v>0</v>
      </c>
      <c r="AN623">
        <v>0</v>
      </c>
      <c r="AO623">
        <f t="shared" si="316"/>
        <v>0</v>
      </c>
      <c r="AP623">
        <f t="shared" si="325"/>
        <v>0</v>
      </c>
      <c r="AQ623" t="e">
        <f t="shared" ca="1" si="317"/>
        <v>#VALUE!</v>
      </c>
      <c r="AR623" t="e">
        <f t="shared" ca="1" si="318"/>
        <v>#VALUE!</v>
      </c>
      <c r="AS623" t="e">
        <f t="shared" ca="1" si="319"/>
        <v>#VALUE!</v>
      </c>
    </row>
    <row r="624" spans="1:45" x14ac:dyDescent="0.35">
      <c r="A624">
        <v>475</v>
      </c>
      <c r="B624">
        <v>473.89499999999998</v>
      </c>
      <c r="C624">
        <v>616216.701</v>
      </c>
      <c r="D624">
        <v>3097499.625</v>
      </c>
      <c r="E624">
        <v>632.32500000000005</v>
      </c>
      <c r="F624">
        <v>5.2</v>
      </c>
      <c r="G624">
        <v>0</v>
      </c>
      <c r="H624" t="s">
        <v>191</v>
      </c>
      <c r="I624">
        <v>2.7E-2</v>
      </c>
      <c r="J624">
        <f t="shared" si="320"/>
        <v>1</v>
      </c>
      <c r="K624">
        <f t="shared" si="321"/>
        <v>51</v>
      </c>
      <c r="L624" t="e">
        <f t="shared" ca="1" si="322"/>
        <v>#VALUE!</v>
      </c>
      <c r="M624" t="e">
        <f t="shared" ca="1" si="295"/>
        <v>#VALUE!</v>
      </c>
      <c r="N624" t="e">
        <f t="shared" ca="1" si="296"/>
        <v>#VALUE!</v>
      </c>
      <c r="O624" t="e">
        <f t="shared" ca="1" si="297"/>
        <v>#VALUE!</v>
      </c>
      <c r="P624" t="e">
        <f t="shared" ca="1" si="298"/>
        <v>#VALUE!</v>
      </c>
      <c r="Q624" t="e">
        <f t="shared" ca="1" si="299"/>
        <v>#VALUE!</v>
      </c>
      <c r="R624" t="e">
        <f t="shared" ca="1" si="300"/>
        <v>#VALUE!</v>
      </c>
      <c r="S624" t="e">
        <f t="shared" ca="1" si="301"/>
        <v>#VALUE!</v>
      </c>
      <c r="T624" t="e">
        <f t="shared" ca="1" si="302"/>
        <v>#VALUE!</v>
      </c>
      <c r="U624" t="e">
        <f t="shared" ca="1" si="323"/>
        <v>#VALUE!</v>
      </c>
      <c r="V624" t="e">
        <f t="shared" ca="1" si="324"/>
        <v>#VALUE!</v>
      </c>
      <c r="W624" t="e">
        <f t="shared" ca="1" si="303"/>
        <v>#VALUE!</v>
      </c>
      <c r="X624" t="e">
        <f t="shared" ca="1" si="304"/>
        <v>#VALUE!</v>
      </c>
      <c r="Y624" t="e">
        <f t="shared" ca="1" si="305"/>
        <v>#VALUE!</v>
      </c>
      <c r="Z624" t="e">
        <f t="shared" ca="1" si="306"/>
        <v>#VALUE!</v>
      </c>
      <c r="AA624" t="e">
        <f t="shared" ca="1" si="307"/>
        <v>#VALUE!</v>
      </c>
      <c r="AB624" t="e">
        <f t="shared" ca="1" si="308"/>
        <v>#VALUE!</v>
      </c>
      <c r="AC624" t="e">
        <f t="shared" ca="1" si="309"/>
        <v>#VALUE!</v>
      </c>
      <c r="AD624" t="e">
        <f t="shared" ca="1" si="310"/>
        <v>#VALUE!</v>
      </c>
      <c r="AE624" t="e">
        <f t="shared" ca="1" si="311"/>
        <v>#VALUE!</v>
      </c>
      <c r="AF624" t="e">
        <f t="shared" ca="1" si="312"/>
        <v>#VALUE!</v>
      </c>
      <c r="AG624" t="e">
        <f t="shared" ca="1" si="313"/>
        <v>#VALUE!</v>
      </c>
      <c r="AH624" t="e">
        <f ca="1">IF(V32="Supercritical",L624,IF(V32="Subcritical",W624,IF(AND(V624=1,AG624=1),IF(T624&gt;=AE624,L624,W624),IF(V624=1,L624,IF(AG624=1,W624,MAX($D$16,POWER((ABS(K624)^2)/($I$5*MAX(F624,0.1)^2),1/3)))))))</f>
        <v>#VALUE!</v>
      </c>
      <c r="AI624" t="e">
        <f t="shared" ca="1" si="314"/>
        <v>#VALUE!</v>
      </c>
      <c r="AJ624" t="e">
        <f t="shared" ca="1" si="315"/>
        <v>#VALUE!</v>
      </c>
      <c r="AM624">
        <v>0</v>
      </c>
      <c r="AN624">
        <v>0</v>
      </c>
      <c r="AO624">
        <f t="shared" si="316"/>
        <v>0</v>
      </c>
      <c r="AP624">
        <f t="shared" si="325"/>
        <v>0</v>
      </c>
      <c r="AQ624" t="e">
        <f t="shared" ca="1" si="317"/>
        <v>#VALUE!</v>
      </c>
      <c r="AR624" t="e">
        <f t="shared" ca="1" si="318"/>
        <v>#VALUE!</v>
      </c>
      <c r="AS624" t="e">
        <f t="shared" ca="1" si="319"/>
        <v>#VALUE!</v>
      </c>
    </row>
    <row r="625" spans="1:45" x14ac:dyDescent="0.35">
      <c r="A625">
        <v>476</v>
      </c>
      <c r="B625">
        <v>474.89499999999998</v>
      </c>
      <c r="C625">
        <v>616216.22699999996</v>
      </c>
      <c r="D625">
        <v>3097498.7439999999</v>
      </c>
      <c r="E625">
        <v>632.32449999999994</v>
      </c>
      <c r="F625">
        <v>5.2</v>
      </c>
      <c r="G625">
        <v>0</v>
      </c>
      <c r="H625" t="s">
        <v>191</v>
      </c>
      <c r="I625">
        <v>2.7E-2</v>
      </c>
      <c r="J625">
        <f t="shared" si="320"/>
        <v>1</v>
      </c>
      <c r="K625">
        <f t="shared" si="321"/>
        <v>51</v>
      </c>
      <c r="L625" t="e">
        <f t="shared" ca="1" si="322"/>
        <v>#VALUE!</v>
      </c>
      <c r="M625" t="e">
        <f t="shared" ca="1" si="295"/>
        <v>#VALUE!</v>
      </c>
      <c r="N625" t="e">
        <f t="shared" ca="1" si="296"/>
        <v>#VALUE!</v>
      </c>
      <c r="O625" t="e">
        <f t="shared" ca="1" si="297"/>
        <v>#VALUE!</v>
      </c>
      <c r="P625" t="e">
        <f t="shared" ca="1" si="298"/>
        <v>#VALUE!</v>
      </c>
      <c r="Q625" t="e">
        <f t="shared" ca="1" si="299"/>
        <v>#VALUE!</v>
      </c>
      <c r="R625" t="e">
        <f t="shared" ca="1" si="300"/>
        <v>#VALUE!</v>
      </c>
      <c r="S625" t="e">
        <f t="shared" ca="1" si="301"/>
        <v>#VALUE!</v>
      </c>
      <c r="T625" t="e">
        <f t="shared" ca="1" si="302"/>
        <v>#VALUE!</v>
      </c>
      <c r="U625" t="e">
        <f t="shared" ca="1" si="323"/>
        <v>#VALUE!</v>
      </c>
      <c r="V625" t="e">
        <f t="shared" ca="1" si="324"/>
        <v>#VALUE!</v>
      </c>
      <c r="W625" t="e">
        <f t="shared" ca="1" si="303"/>
        <v>#VALUE!</v>
      </c>
      <c r="X625" t="e">
        <f t="shared" ca="1" si="304"/>
        <v>#VALUE!</v>
      </c>
      <c r="Y625" t="e">
        <f t="shared" ca="1" si="305"/>
        <v>#VALUE!</v>
      </c>
      <c r="Z625" t="e">
        <f t="shared" ca="1" si="306"/>
        <v>#VALUE!</v>
      </c>
      <c r="AA625" t="e">
        <f t="shared" ca="1" si="307"/>
        <v>#VALUE!</v>
      </c>
      <c r="AB625" t="e">
        <f t="shared" ca="1" si="308"/>
        <v>#VALUE!</v>
      </c>
      <c r="AC625" t="e">
        <f t="shared" ca="1" si="309"/>
        <v>#VALUE!</v>
      </c>
      <c r="AD625" t="e">
        <f t="shared" ca="1" si="310"/>
        <v>#VALUE!</v>
      </c>
      <c r="AE625" t="e">
        <f t="shared" ca="1" si="311"/>
        <v>#VALUE!</v>
      </c>
      <c r="AF625" t="e">
        <f t="shared" ca="1" si="312"/>
        <v>#VALUE!</v>
      </c>
      <c r="AG625" t="e">
        <f t="shared" ca="1" si="313"/>
        <v>#VALUE!</v>
      </c>
      <c r="AH625" t="e">
        <f ca="1">IF(V32="Supercritical",L625,IF(V32="Subcritical",W625,IF(AND(V625=1,AG625=1),IF(T625&gt;=AE625,L625,W625),IF(V625=1,L625,IF(AG625=1,W625,MAX($D$16,POWER((ABS(K625)^2)/($I$5*MAX(F625,0.1)^2),1/3)))))))</f>
        <v>#VALUE!</v>
      </c>
      <c r="AI625" t="e">
        <f t="shared" ca="1" si="314"/>
        <v>#VALUE!</v>
      </c>
      <c r="AJ625" t="e">
        <f t="shared" ca="1" si="315"/>
        <v>#VALUE!</v>
      </c>
      <c r="AM625">
        <v>0</v>
      </c>
      <c r="AN625">
        <v>0</v>
      </c>
      <c r="AO625">
        <f t="shared" si="316"/>
        <v>0</v>
      </c>
      <c r="AP625">
        <f t="shared" si="325"/>
        <v>0</v>
      </c>
      <c r="AQ625" t="e">
        <f t="shared" ca="1" si="317"/>
        <v>#VALUE!</v>
      </c>
      <c r="AR625" t="e">
        <f t="shared" ca="1" si="318"/>
        <v>#VALUE!</v>
      </c>
      <c r="AS625" t="e">
        <f t="shared" ca="1" si="319"/>
        <v>#VALUE!</v>
      </c>
    </row>
    <row r="626" spans="1:45" x14ac:dyDescent="0.35">
      <c r="A626">
        <v>477</v>
      </c>
      <c r="B626">
        <v>475.89499999999998</v>
      </c>
      <c r="C626">
        <v>616215.75300000003</v>
      </c>
      <c r="D626">
        <v>3097497.8640000001</v>
      </c>
      <c r="E626">
        <v>632.32399999999996</v>
      </c>
      <c r="F626">
        <v>5.2</v>
      </c>
      <c r="G626">
        <v>0</v>
      </c>
      <c r="H626" t="s">
        <v>191</v>
      </c>
      <c r="I626">
        <v>2.3E-2</v>
      </c>
      <c r="J626">
        <f t="shared" si="320"/>
        <v>1</v>
      </c>
      <c r="K626">
        <f t="shared" si="321"/>
        <v>51</v>
      </c>
      <c r="L626" t="e">
        <f t="shared" ca="1" si="322"/>
        <v>#VALUE!</v>
      </c>
      <c r="M626" t="e">
        <f t="shared" ca="1" si="295"/>
        <v>#VALUE!</v>
      </c>
      <c r="N626" t="e">
        <f t="shared" ca="1" si="296"/>
        <v>#VALUE!</v>
      </c>
      <c r="O626" t="e">
        <f t="shared" ca="1" si="297"/>
        <v>#VALUE!</v>
      </c>
      <c r="P626" t="e">
        <f t="shared" ca="1" si="298"/>
        <v>#VALUE!</v>
      </c>
      <c r="Q626" t="e">
        <f t="shared" ca="1" si="299"/>
        <v>#VALUE!</v>
      </c>
      <c r="R626" t="e">
        <f t="shared" ca="1" si="300"/>
        <v>#VALUE!</v>
      </c>
      <c r="S626" t="e">
        <f t="shared" ca="1" si="301"/>
        <v>#VALUE!</v>
      </c>
      <c r="T626" t="e">
        <f t="shared" ca="1" si="302"/>
        <v>#VALUE!</v>
      </c>
      <c r="U626" t="e">
        <f t="shared" ca="1" si="323"/>
        <v>#VALUE!</v>
      </c>
      <c r="V626" t="e">
        <f t="shared" ca="1" si="324"/>
        <v>#VALUE!</v>
      </c>
      <c r="W626" t="e">
        <f t="shared" ca="1" si="303"/>
        <v>#VALUE!</v>
      </c>
      <c r="X626" t="e">
        <f t="shared" ca="1" si="304"/>
        <v>#VALUE!</v>
      </c>
      <c r="Y626" t="e">
        <f t="shared" ca="1" si="305"/>
        <v>#VALUE!</v>
      </c>
      <c r="Z626" t="e">
        <f t="shared" ca="1" si="306"/>
        <v>#VALUE!</v>
      </c>
      <c r="AA626" t="e">
        <f t="shared" ca="1" si="307"/>
        <v>#VALUE!</v>
      </c>
      <c r="AB626" t="e">
        <f t="shared" ca="1" si="308"/>
        <v>#VALUE!</v>
      </c>
      <c r="AC626" t="e">
        <f t="shared" ca="1" si="309"/>
        <v>#VALUE!</v>
      </c>
      <c r="AD626" t="e">
        <f t="shared" ca="1" si="310"/>
        <v>#VALUE!</v>
      </c>
      <c r="AE626" t="e">
        <f t="shared" ca="1" si="311"/>
        <v>#VALUE!</v>
      </c>
      <c r="AF626" t="e">
        <f t="shared" ca="1" si="312"/>
        <v>#VALUE!</v>
      </c>
      <c r="AG626" t="e">
        <f t="shared" ca="1" si="313"/>
        <v>#VALUE!</v>
      </c>
      <c r="AH626" t="e">
        <f ca="1">IF(V32="Supercritical",L626,IF(V32="Subcritical",W626,IF(AND(V626=1,AG626=1),IF(T626&gt;=AE626,L626,W626),IF(V626=1,L626,IF(AG626=1,W626,MAX($D$16,POWER((ABS(K626)^2)/($I$5*MAX(F626,0.1)^2),1/3)))))))</f>
        <v>#VALUE!</v>
      </c>
      <c r="AI626" t="e">
        <f t="shared" ca="1" si="314"/>
        <v>#VALUE!</v>
      </c>
      <c r="AJ626" t="e">
        <f t="shared" ca="1" si="315"/>
        <v>#VALUE!</v>
      </c>
      <c r="AM626">
        <v>0</v>
      </c>
      <c r="AN626">
        <v>0</v>
      </c>
      <c r="AO626">
        <f t="shared" si="316"/>
        <v>0</v>
      </c>
      <c r="AP626">
        <f t="shared" si="325"/>
        <v>0</v>
      </c>
      <c r="AQ626" t="e">
        <f t="shared" ca="1" si="317"/>
        <v>#VALUE!</v>
      </c>
      <c r="AR626" t="e">
        <f t="shared" ca="1" si="318"/>
        <v>#VALUE!</v>
      </c>
      <c r="AS626" t="e">
        <f t="shared" ca="1" si="319"/>
        <v>#VALUE!</v>
      </c>
    </row>
    <row r="627" spans="1:45" x14ac:dyDescent="0.35">
      <c r="A627">
        <v>478</v>
      </c>
      <c r="B627">
        <v>476.89600000000002</v>
      </c>
      <c r="C627">
        <v>616215.27800000005</v>
      </c>
      <c r="D627">
        <v>3097496.983</v>
      </c>
      <c r="E627">
        <v>632.32349999999997</v>
      </c>
      <c r="F627">
        <v>5.2</v>
      </c>
      <c r="G627">
        <v>0</v>
      </c>
      <c r="H627" t="s">
        <v>191</v>
      </c>
      <c r="I627">
        <v>2.3E-2</v>
      </c>
      <c r="J627">
        <f t="shared" si="320"/>
        <v>1.0010000000000332</v>
      </c>
      <c r="K627">
        <f t="shared" si="321"/>
        <v>51</v>
      </c>
      <c r="L627" t="e">
        <f t="shared" ca="1" si="322"/>
        <v>#VALUE!</v>
      </c>
      <c r="M627" t="e">
        <f t="shared" ca="1" si="295"/>
        <v>#VALUE!</v>
      </c>
      <c r="N627" t="e">
        <f t="shared" ca="1" si="296"/>
        <v>#VALUE!</v>
      </c>
      <c r="O627" t="e">
        <f t="shared" ca="1" si="297"/>
        <v>#VALUE!</v>
      </c>
      <c r="P627" t="e">
        <f t="shared" ca="1" si="298"/>
        <v>#VALUE!</v>
      </c>
      <c r="Q627" t="e">
        <f t="shared" ca="1" si="299"/>
        <v>#VALUE!</v>
      </c>
      <c r="R627" t="e">
        <f t="shared" ca="1" si="300"/>
        <v>#VALUE!</v>
      </c>
      <c r="S627" t="e">
        <f t="shared" ca="1" si="301"/>
        <v>#VALUE!</v>
      </c>
      <c r="T627" t="e">
        <f t="shared" ca="1" si="302"/>
        <v>#VALUE!</v>
      </c>
      <c r="U627" t="e">
        <f t="shared" ca="1" si="323"/>
        <v>#VALUE!</v>
      </c>
      <c r="V627" t="e">
        <f t="shared" ca="1" si="324"/>
        <v>#VALUE!</v>
      </c>
      <c r="W627" t="e">
        <f t="shared" ca="1" si="303"/>
        <v>#VALUE!</v>
      </c>
      <c r="X627" t="e">
        <f t="shared" ca="1" si="304"/>
        <v>#VALUE!</v>
      </c>
      <c r="Y627" t="e">
        <f t="shared" ca="1" si="305"/>
        <v>#VALUE!</v>
      </c>
      <c r="Z627" t="e">
        <f t="shared" ca="1" si="306"/>
        <v>#VALUE!</v>
      </c>
      <c r="AA627" t="e">
        <f t="shared" ca="1" si="307"/>
        <v>#VALUE!</v>
      </c>
      <c r="AB627" t="e">
        <f t="shared" ca="1" si="308"/>
        <v>#VALUE!</v>
      </c>
      <c r="AC627" t="e">
        <f t="shared" ca="1" si="309"/>
        <v>#VALUE!</v>
      </c>
      <c r="AD627" t="e">
        <f t="shared" ca="1" si="310"/>
        <v>#VALUE!</v>
      </c>
      <c r="AE627" t="e">
        <f t="shared" ca="1" si="311"/>
        <v>#VALUE!</v>
      </c>
      <c r="AF627" t="e">
        <f t="shared" ca="1" si="312"/>
        <v>#VALUE!</v>
      </c>
      <c r="AG627" t="e">
        <f t="shared" ca="1" si="313"/>
        <v>#VALUE!</v>
      </c>
      <c r="AH627" t="e">
        <f ca="1">IF(V32="Supercritical",L627,IF(V32="Subcritical",W627,IF(AND(V627=1,AG627=1),IF(T627&gt;=AE627,L627,W627),IF(V627=1,L627,IF(AG627=1,W627,MAX($D$16,POWER((ABS(K627)^2)/($I$5*MAX(F627,0.1)^2),1/3)))))))</f>
        <v>#VALUE!</v>
      </c>
      <c r="AI627" t="e">
        <f t="shared" ca="1" si="314"/>
        <v>#VALUE!</v>
      </c>
      <c r="AJ627" t="e">
        <f t="shared" ca="1" si="315"/>
        <v>#VALUE!</v>
      </c>
      <c r="AM627">
        <v>0</v>
      </c>
      <c r="AN627">
        <v>0</v>
      </c>
      <c r="AO627">
        <f t="shared" si="316"/>
        <v>0</v>
      </c>
      <c r="AP627">
        <f t="shared" si="325"/>
        <v>0</v>
      </c>
      <c r="AQ627" t="e">
        <f t="shared" ca="1" si="317"/>
        <v>#VALUE!</v>
      </c>
      <c r="AR627" t="e">
        <f t="shared" ca="1" si="318"/>
        <v>#VALUE!</v>
      </c>
      <c r="AS627" t="e">
        <f t="shared" ca="1" si="319"/>
        <v>#VALUE!</v>
      </c>
    </row>
    <row r="628" spans="1:45" x14ac:dyDescent="0.35">
      <c r="A628">
        <v>479</v>
      </c>
      <c r="B628">
        <v>477.89499999999998</v>
      </c>
      <c r="C628">
        <v>616214.804</v>
      </c>
      <c r="D628">
        <v>3097496.1030000001</v>
      </c>
      <c r="E628">
        <v>632.32299999999998</v>
      </c>
      <c r="F628">
        <v>5.2</v>
      </c>
      <c r="G628">
        <v>0</v>
      </c>
      <c r="H628" t="s">
        <v>191</v>
      </c>
      <c r="I628">
        <v>0</v>
      </c>
      <c r="J628">
        <f t="shared" si="320"/>
        <v>0.9989999999999668</v>
      </c>
      <c r="K628">
        <f t="shared" si="321"/>
        <v>51</v>
      </c>
      <c r="L628" t="e">
        <f t="shared" ca="1" si="322"/>
        <v>#VALUE!</v>
      </c>
      <c r="M628" t="e">
        <f t="shared" ca="1" si="295"/>
        <v>#VALUE!</v>
      </c>
      <c r="N628" t="e">
        <f t="shared" ca="1" si="296"/>
        <v>#VALUE!</v>
      </c>
      <c r="O628" t="e">
        <f t="shared" ca="1" si="297"/>
        <v>#VALUE!</v>
      </c>
      <c r="P628" t="e">
        <f t="shared" ca="1" si="298"/>
        <v>#VALUE!</v>
      </c>
      <c r="Q628" t="e">
        <f t="shared" ca="1" si="299"/>
        <v>#VALUE!</v>
      </c>
      <c r="R628" t="e">
        <f t="shared" ca="1" si="300"/>
        <v>#VALUE!</v>
      </c>
      <c r="S628" t="e">
        <f t="shared" ca="1" si="301"/>
        <v>#VALUE!</v>
      </c>
      <c r="T628" t="e">
        <f t="shared" ca="1" si="302"/>
        <v>#VALUE!</v>
      </c>
      <c r="U628" t="e">
        <f t="shared" ca="1" si="323"/>
        <v>#VALUE!</v>
      </c>
      <c r="V628" t="e">
        <f t="shared" ca="1" si="324"/>
        <v>#VALUE!</v>
      </c>
      <c r="W628" t="e">
        <f t="shared" ca="1" si="303"/>
        <v>#VALUE!</v>
      </c>
      <c r="X628" t="e">
        <f t="shared" ca="1" si="304"/>
        <v>#VALUE!</v>
      </c>
      <c r="Y628" t="e">
        <f t="shared" ca="1" si="305"/>
        <v>#VALUE!</v>
      </c>
      <c r="Z628" t="e">
        <f t="shared" ca="1" si="306"/>
        <v>#VALUE!</v>
      </c>
      <c r="AA628" t="e">
        <f t="shared" ca="1" si="307"/>
        <v>#VALUE!</v>
      </c>
      <c r="AB628" t="e">
        <f t="shared" ca="1" si="308"/>
        <v>#VALUE!</v>
      </c>
      <c r="AC628" t="e">
        <f t="shared" ca="1" si="309"/>
        <v>#VALUE!</v>
      </c>
      <c r="AD628" t="e">
        <f t="shared" ca="1" si="310"/>
        <v>#VALUE!</v>
      </c>
      <c r="AE628" t="e">
        <f t="shared" ca="1" si="311"/>
        <v>#VALUE!</v>
      </c>
      <c r="AF628" t="e">
        <f t="shared" ca="1" si="312"/>
        <v>#VALUE!</v>
      </c>
      <c r="AG628" t="e">
        <f t="shared" ca="1" si="313"/>
        <v>#VALUE!</v>
      </c>
      <c r="AH628" t="e">
        <f ca="1">IF(V32="Supercritical",L628,IF(V32="Subcritical",W628,IF(AND(V628=1,AG628=1),IF(T628&gt;=AE628,L628,W628),IF(V628=1,L628,IF(AG628=1,W628,MAX($D$16,POWER((ABS(K628)^2)/($I$5*MAX(F628,0.1)^2),1/3)))))))</f>
        <v>#VALUE!</v>
      </c>
      <c r="AI628" t="e">
        <f t="shared" ca="1" si="314"/>
        <v>#VALUE!</v>
      </c>
      <c r="AJ628" t="e">
        <f t="shared" ca="1" si="315"/>
        <v>#VALUE!</v>
      </c>
      <c r="AM628">
        <v>0</v>
      </c>
      <c r="AN628">
        <v>0</v>
      </c>
      <c r="AO628">
        <f t="shared" si="316"/>
        <v>0</v>
      </c>
      <c r="AP628">
        <f t="shared" si="325"/>
        <v>0</v>
      </c>
      <c r="AQ628" t="e">
        <f t="shared" ca="1" si="317"/>
        <v>#VALUE!</v>
      </c>
      <c r="AR628" t="e">
        <f t="shared" ca="1" si="318"/>
        <v>#VALUE!</v>
      </c>
      <c r="AS628" t="e">
        <f t="shared" ca="1" si="319"/>
        <v>#VALUE!</v>
      </c>
    </row>
    <row r="629" spans="1:45" x14ac:dyDescent="0.35">
      <c r="A629">
        <v>480</v>
      </c>
      <c r="B629">
        <v>478.89499999999998</v>
      </c>
      <c r="C629">
        <v>616214.32999999996</v>
      </c>
      <c r="D629">
        <v>3097495.2230000002</v>
      </c>
      <c r="E629">
        <v>632.32249999999999</v>
      </c>
      <c r="F629">
        <v>5.2</v>
      </c>
      <c r="G629">
        <v>0</v>
      </c>
      <c r="H629" t="s">
        <v>191</v>
      </c>
      <c r="I629">
        <v>2.7E-2</v>
      </c>
      <c r="J629">
        <f t="shared" si="320"/>
        <v>1</v>
      </c>
      <c r="K629">
        <f t="shared" si="321"/>
        <v>51</v>
      </c>
      <c r="L629" t="e">
        <f t="shared" ca="1" si="322"/>
        <v>#VALUE!</v>
      </c>
      <c r="M629" t="e">
        <f t="shared" ca="1" si="295"/>
        <v>#VALUE!</v>
      </c>
      <c r="N629" t="e">
        <f t="shared" ca="1" si="296"/>
        <v>#VALUE!</v>
      </c>
      <c r="O629" t="e">
        <f t="shared" ca="1" si="297"/>
        <v>#VALUE!</v>
      </c>
      <c r="P629" t="e">
        <f t="shared" ca="1" si="298"/>
        <v>#VALUE!</v>
      </c>
      <c r="Q629" t="e">
        <f t="shared" ca="1" si="299"/>
        <v>#VALUE!</v>
      </c>
      <c r="R629" t="e">
        <f t="shared" ca="1" si="300"/>
        <v>#VALUE!</v>
      </c>
      <c r="S629" t="e">
        <f t="shared" ca="1" si="301"/>
        <v>#VALUE!</v>
      </c>
      <c r="T629" t="e">
        <f t="shared" ca="1" si="302"/>
        <v>#VALUE!</v>
      </c>
      <c r="U629" t="e">
        <f t="shared" ca="1" si="323"/>
        <v>#VALUE!</v>
      </c>
      <c r="V629" t="e">
        <f t="shared" ca="1" si="324"/>
        <v>#VALUE!</v>
      </c>
      <c r="W629" t="e">
        <f t="shared" ca="1" si="303"/>
        <v>#VALUE!</v>
      </c>
      <c r="X629" t="e">
        <f t="shared" ca="1" si="304"/>
        <v>#VALUE!</v>
      </c>
      <c r="Y629" t="e">
        <f t="shared" ca="1" si="305"/>
        <v>#VALUE!</v>
      </c>
      <c r="Z629" t="e">
        <f t="shared" ca="1" si="306"/>
        <v>#VALUE!</v>
      </c>
      <c r="AA629" t="e">
        <f t="shared" ca="1" si="307"/>
        <v>#VALUE!</v>
      </c>
      <c r="AB629" t="e">
        <f t="shared" ca="1" si="308"/>
        <v>#VALUE!</v>
      </c>
      <c r="AC629" t="e">
        <f t="shared" ca="1" si="309"/>
        <v>#VALUE!</v>
      </c>
      <c r="AD629" t="e">
        <f t="shared" ca="1" si="310"/>
        <v>#VALUE!</v>
      </c>
      <c r="AE629" t="e">
        <f t="shared" ca="1" si="311"/>
        <v>#VALUE!</v>
      </c>
      <c r="AF629" t="e">
        <f t="shared" ca="1" si="312"/>
        <v>#VALUE!</v>
      </c>
      <c r="AG629" t="e">
        <f t="shared" ca="1" si="313"/>
        <v>#VALUE!</v>
      </c>
      <c r="AH629" t="e">
        <f ca="1">IF(V32="Supercritical",L629,IF(V32="Subcritical",W629,IF(AND(V629=1,AG629=1),IF(T629&gt;=AE629,L629,W629),IF(V629=1,L629,IF(AG629=1,W629,MAX($D$16,POWER((ABS(K629)^2)/($I$5*MAX(F629,0.1)^2),1/3)))))))</f>
        <v>#VALUE!</v>
      </c>
      <c r="AI629" t="e">
        <f t="shared" ca="1" si="314"/>
        <v>#VALUE!</v>
      </c>
      <c r="AJ629" t="e">
        <f t="shared" ca="1" si="315"/>
        <v>#VALUE!</v>
      </c>
      <c r="AM629">
        <v>0</v>
      </c>
      <c r="AN629">
        <v>0</v>
      </c>
      <c r="AO629">
        <f t="shared" si="316"/>
        <v>0</v>
      </c>
      <c r="AP629">
        <f t="shared" si="325"/>
        <v>0</v>
      </c>
      <c r="AQ629" t="e">
        <f t="shared" ca="1" si="317"/>
        <v>#VALUE!</v>
      </c>
      <c r="AR629" t="e">
        <f t="shared" ca="1" si="318"/>
        <v>#VALUE!</v>
      </c>
      <c r="AS629" t="e">
        <f t="shared" ca="1" si="319"/>
        <v>#VALUE!</v>
      </c>
    </row>
    <row r="630" spans="1:45" x14ac:dyDescent="0.35">
      <c r="A630">
        <v>481</v>
      </c>
      <c r="B630">
        <v>479.89499999999998</v>
      </c>
      <c r="C630">
        <v>616213.85600000003</v>
      </c>
      <c r="D630">
        <v>3097494.3420000002</v>
      </c>
      <c r="E630">
        <v>632.322</v>
      </c>
      <c r="F630">
        <v>5.2</v>
      </c>
      <c r="G630">
        <v>0</v>
      </c>
      <c r="H630" t="s">
        <v>191</v>
      </c>
      <c r="I630">
        <v>7.8E-2</v>
      </c>
      <c r="J630">
        <f t="shared" si="320"/>
        <v>1</v>
      </c>
      <c r="K630">
        <f t="shared" si="321"/>
        <v>51</v>
      </c>
      <c r="L630" t="e">
        <f t="shared" ca="1" si="322"/>
        <v>#VALUE!</v>
      </c>
      <c r="M630" t="e">
        <f t="shared" ca="1" si="295"/>
        <v>#VALUE!</v>
      </c>
      <c r="N630" t="e">
        <f t="shared" ca="1" si="296"/>
        <v>#VALUE!</v>
      </c>
      <c r="O630" t="e">
        <f t="shared" ca="1" si="297"/>
        <v>#VALUE!</v>
      </c>
      <c r="P630" t="e">
        <f t="shared" ca="1" si="298"/>
        <v>#VALUE!</v>
      </c>
      <c r="Q630" t="e">
        <f t="shared" ca="1" si="299"/>
        <v>#VALUE!</v>
      </c>
      <c r="R630" t="e">
        <f t="shared" ca="1" si="300"/>
        <v>#VALUE!</v>
      </c>
      <c r="S630" t="e">
        <f t="shared" ca="1" si="301"/>
        <v>#VALUE!</v>
      </c>
      <c r="T630" t="e">
        <f t="shared" ca="1" si="302"/>
        <v>#VALUE!</v>
      </c>
      <c r="U630" t="e">
        <f t="shared" ca="1" si="323"/>
        <v>#VALUE!</v>
      </c>
      <c r="V630" t="e">
        <f t="shared" ca="1" si="324"/>
        <v>#VALUE!</v>
      </c>
      <c r="W630" t="e">
        <f t="shared" ca="1" si="303"/>
        <v>#VALUE!</v>
      </c>
      <c r="X630" t="e">
        <f t="shared" ca="1" si="304"/>
        <v>#VALUE!</v>
      </c>
      <c r="Y630" t="e">
        <f t="shared" ca="1" si="305"/>
        <v>#VALUE!</v>
      </c>
      <c r="Z630" t="e">
        <f t="shared" ca="1" si="306"/>
        <v>#VALUE!</v>
      </c>
      <c r="AA630" t="e">
        <f t="shared" ca="1" si="307"/>
        <v>#VALUE!</v>
      </c>
      <c r="AB630" t="e">
        <f t="shared" ca="1" si="308"/>
        <v>#VALUE!</v>
      </c>
      <c r="AC630" t="e">
        <f t="shared" ca="1" si="309"/>
        <v>#VALUE!</v>
      </c>
      <c r="AD630" t="e">
        <f t="shared" ca="1" si="310"/>
        <v>#VALUE!</v>
      </c>
      <c r="AE630" t="e">
        <f t="shared" ca="1" si="311"/>
        <v>#VALUE!</v>
      </c>
      <c r="AF630" t="e">
        <f t="shared" ca="1" si="312"/>
        <v>#VALUE!</v>
      </c>
      <c r="AG630" t="e">
        <f t="shared" ca="1" si="313"/>
        <v>#VALUE!</v>
      </c>
      <c r="AH630" t="e">
        <f ca="1">IF(V32="Supercritical",L630,IF(V32="Subcritical",W630,IF(AND(V630=1,AG630=1),IF(T630&gt;=AE630,L630,W630),IF(V630=1,L630,IF(AG630=1,W630,MAX($D$16,POWER((ABS(K630)^2)/($I$5*MAX(F630,0.1)^2),1/3)))))))</f>
        <v>#VALUE!</v>
      </c>
      <c r="AI630" t="e">
        <f t="shared" ca="1" si="314"/>
        <v>#VALUE!</v>
      </c>
      <c r="AJ630" t="e">
        <f t="shared" ca="1" si="315"/>
        <v>#VALUE!</v>
      </c>
      <c r="AM630">
        <v>0</v>
      </c>
      <c r="AN630">
        <v>0</v>
      </c>
      <c r="AO630">
        <f t="shared" si="316"/>
        <v>0</v>
      </c>
      <c r="AP630">
        <f t="shared" si="325"/>
        <v>0</v>
      </c>
      <c r="AQ630" t="e">
        <f t="shared" ca="1" si="317"/>
        <v>#VALUE!</v>
      </c>
      <c r="AR630" t="e">
        <f t="shared" ca="1" si="318"/>
        <v>#VALUE!</v>
      </c>
      <c r="AS630" t="e">
        <f t="shared" ca="1" si="319"/>
        <v>#VALUE!</v>
      </c>
    </row>
    <row r="631" spans="1:45" x14ac:dyDescent="0.35">
      <c r="A631">
        <v>482</v>
      </c>
      <c r="B631">
        <v>480.89499999999998</v>
      </c>
      <c r="C631">
        <v>616213.38100000005</v>
      </c>
      <c r="D631">
        <v>3097493.4619999998</v>
      </c>
      <c r="E631">
        <v>632.32150000000001</v>
      </c>
      <c r="F631">
        <v>5.2</v>
      </c>
      <c r="G631">
        <v>0</v>
      </c>
      <c r="H631" t="s">
        <v>191</v>
      </c>
      <c r="I631">
        <v>7.8E-2</v>
      </c>
      <c r="J631">
        <f t="shared" si="320"/>
        <v>1</v>
      </c>
      <c r="K631">
        <f t="shared" si="321"/>
        <v>51</v>
      </c>
      <c r="L631" t="e">
        <f t="shared" ca="1" si="322"/>
        <v>#VALUE!</v>
      </c>
      <c r="M631" t="e">
        <f t="shared" ca="1" si="295"/>
        <v>#VALUE!</v>
      </c>
      <c r="N631" t="e">
        <f t="shared" ca="1" si="296"/>
        <v>#VALUE!</v>
      </c>
      <c r="O631" t="e">
        <f t="shared" ca="1" si="297"/>
        <v>#VALUE!</v>
      </c>
      <c r="P631" t="e">
        <f t="shared" ca="1" si="298"/>
        <v>#VALUE!</v>
      </c>
      <c r="Q631" t="e">
        <f t="shared" ca="1" si="299"/>
        <v>#VALUE!</v>
      </c>
      <c r="R631" t="e">
        <f t="shared" ca="1" si="300"/>
        <v>#VALUE!</v>
      </c>
      <c r="S631" t="e">
        <f t="shared" ca="1" si="301"/>
        <v>#VALUE!</v>
      </c>
      <c r="T631" t="e">
        <f t="shared" ca="1" si="302"/>
        <v>#VALUE!</v>
      </c>
      <c r="U631" t="e">
        <f t="shared" ca="1" si="323"/>
        <v>#VALUE!</v>
      </c>
      <c r="V631" t="e">
        <f t="shared" ca="1" si="324"/>
        <v>#VALUE!</v>
      </c>
      <c r="W631" t="e">
        <f t="shared" ca="1" si="303"/>
        <v>#VALUE!</v>
      </c>
      <c r="X631" t="e">
        <f t="shared" ca="1" si="304"/>
        <v>#VALUE!</v>
      </c>
      <c r="Y631" t="e">
        <f t="shared" ca="1" si="305"/>
        <v>#VALUE!</v>
      </c>
      <c r="Z631" t="e">
        <f t="shared" ca="1" si="306"/>
        <v>#VALUE!</v>
      </c>
      <c r="AA631" t="e">
        <f t="shared" ca="1" si="307"/>
        <v>#VALUE!</v>
      </c>
      <c r="AB631" t="e">
        <f t="shared" ca="1" si="308"/>
        <v>#VALUE!</v>
      </c>
      <c r="AC631" t="e">
        <f t="shared" ca="1" si="309"/>
        <v>#VALUE!</v>
      </c>
      <c r="AD631" t="e">
        <f t="shared" ca="1" si="310"/>
        <v>#VALUE!</v>
      </c>
      <c r="AE631" t="e">
        <f t="shared" ca="1" si="311"/>
        <v>#VALUE!</v>
      </c>
      <c r="AF631" t="e">
        <f t="shared" ca="1" si="312"/>
        <v>#VALUE!</v>
      </c>
      <c r="AG631" t="e">
        <f t="shared" ca="1" si="313"/>
        <v>#VALUE!</v>
      </c>
      <c r="AH631" t="e">
        <f ca="1">IF(V32="Supercritical",L631,IF(V32="Subcritical",W631,IF(AND(V631=1,AG631=1),IF(T631&gt;=AE631,L631,W631),IF(V631=1,L631,IF(AG631=1,W631,MAX($D$16,POWER((ABS(K631)^2)/($I$5*MAX(F631,0.1)^2),1/3)))))))</f>
        <v>#VALUE!</v>
      </c>
      <c r="AI631" t="e">
        <f t="shared" ca="1" si="314"/>
        <v>#VALUE!</v>
      </c>
      <c r="AJ631" t="e">
        <f t="shared" ca="1" si="315"/>
        <v>#VALUE!</v>
      </c>
      <c r="AM631">
        <v>0</v>
      </c>
      <c r="AN631">
        <v>0</v>
      </c>
      <c r="AO631">
        <f t="shared" si="316"/>
        <v>0</v>
      </c>
      <c r="AP631">
        <f t="shared" si="325"/>
        <v>0</v>
      </c>
      <c r="AQ631" t="e">
        <f t="shared" ca="1" si="317"/>
        <v>#VALUE!</v>
      </c>
      <c r="AR631" t="e">
        <f t="shared" ca="1" si="318"/>
        <v>#VALUE!</v>
      </c>
      <c r="AS631" t="e">
        <f t="shared" ca="1" si="319"/>
        <v>#VALUE!</v>
      </c>
    </row>
    <row r="632" spans="1:45" x14ac:dyDescent="0.35">
      <c r="A632">
        <v>483</v>
      </c>
      <c r="B632">
        <v>481.89600000000002</v>
      </c>
      <c r="C632">
        <v>616212.90700000001</v>
      </c>
      <c r="D632">
        <v>3097492.5809999998</v>
      </c>
      <c r="E632">
        <v>632.32100000000003</v>
      </c>
      <c r="F632">
        <v>5.2</v>
      </c>
      <c r="G632">
        <v>0</v>
      </c>
      <c r="H632" t="s">
        <v>191</v>
      </c>
      <c r="I632">
        <v>2.7E-2</v>
      </c>
      <c r="J632">
        <f t="shared" si="320"/>
        <v>1.0010000000000332</v>
      </c>
      <c r="K632">
        <f t="shared" si="321"/>
        <v>51</v>
      </c>
      <c r="L632" t="e">
        <f t="shared" ca="1" si="322"/>
        <v>#VALUE!</v>
      </c>
      <c r="M632" t="e">
        <f t="shared" ca="1" si="295"/>
        <v>#VALUE!</v>
      </c>
      <c r="N632" t="e">
        <f t="shared" ca="1" si="296"/>
        <v>#VALUE!</v>
      </c>
      <c r="O632" t="e">
        <f t="shared" ca="1" si="297"/>
        <v>#VALUE!</v>
      </c>
      <c r="P632" t="e">
        <f t="shared" ca="1" si="298"/>
        <v>#VALUE!</v>
      </c>
      <c r="Q632" t="e">
        <f t="shared" ca="1" si="299"/>
        <v>#VALUE!</v>
      </c>
      <c r="R632" t="e">
        <f t="shared" ca="1" si="300"/>
        <v>#VALUE!</v>
      </c>
      <c r="S632" t="e">
        <f t="shared" ca="1" si="301"/>
        <v>#VALUE!</v>
      </c>
      <c r="T632" t="e">
        <f t="shared" ca="1" si="302"/>
        <v>#VALUE!</v>
      </c>
      <c r="U632" t="e">
        <f t="shared" ca="1" si="323"/>
        <v>#VALUE!</v>
      </c>
      <c r="V632" t="e">
        <f t="shared" ca="1" si="324"/>
        <v>#VALUE!</v>
      </c>
      <c r="W632" t="e">
        <f t="shared" ca="1" si="303"/>
        <v>#VALUE!</v>
      </c>
      <c r="X632" t="e">
        <f t="shared" ca="1" si="304"/>
        <v>#VALUE!</v>
      </c>
      <c r="Y632" t="e">
        <f t="shared" ca="1" si="305"/>
        <v>#VALUE!</v>
      </c>
      <c r="Z632" t="e">
        <f t="shared" ca="1" si="306"/>
        <v>#VALUE!</v>
      </c>
      <c r="AA632" t="e">
        <f t="shared" ca="1" si="307"/>
        <v>#VALUE!</v>
      </c>
      <c r="AB632" t="e">
        <f t="shared" ca="1" si="308"/>
        <v>#VALUE!</v>
      </c>
      <c r="AC632" t="e">
        <f t="shared" ca="1" si="309"/>
        <v>#VALUE!</v>
      </c>
      <c r="AD632" t="e">
        <f t="shared" ca="1" si="310"/>
        <v>#VALUE!</v>
      </c>
      <c r="AE632" t="e">
        <f t="shared" ca="1" si="311"/>
        <v>#VALUE!</v>
      </c>
      <c r="AF632" t="e">
        <f t="shared" ca="1" si="312"/>
        <v>#VALUE!</v>
      </c>
      <c r="AG632" t="e">
        <f t="shared" ca="1" si="313"/>
        <v>#VALUE!</v>
      </c>
      <c r="AH632" t="e">
        <f ca="1">IF(V32="Supercritical",L632,IF(V32="Subcritical",W632,IF(AND(V632=1,AG632=1),IF(T632&gt;=AE632,L632,W632),IF(V632=1,L632,IF(AG632=1,W632,MAX($D$16,POWER((ABS(K632)^2)/($I$5*MAX(F632,0.1)^2),1/3)))))))</f>
        <v>#VALUE!</v>
      </c>
      <c r="AI632" t="e">
        <f t="shared" ca="1" si="314"/>
        <v>#VALUE!</v>
      </c>
      <c r="AJ632" t="e">
        <f t="shared" ca="1" si="315"/>
        <v>#VALUE!</v>
      </c>
      <c r="AM632">
        <v>0</v>
      </c>
      <c r="AN632">
        <v>0</v>
      </c>
      <c r="AO632">
        <f t="shared" si="316"/>
        <v>0</v>
      </c>
      <c r="AP632">
        <f t="shared" si="325"/>
        <v>0</v>
      </c>
      <c r="AQ632" t="e">
        <f t="shared" ca="1" si="317"/>
        <v>#VALUE!</v>
      </c>
      <c r="AR632" t="e">
        <f t="shared" ca="1" si="318"/>
        <v>#VALUE!</v>
      </c>
      <c r="AS632" t="e">
        <f t="shared" ca="1" si="319"/>
        <v>#VALUE!</v>
      </c>
    </row>
    <row r="633" spans="1:45" x14ac:dyDescent="0.35">
      <c r="A633">
        <v>484</v>
      </c>
      <c r="B633">
        <v>482.89499999999998</v>
      </c>
      <c r="C633">
        <v>616212.43299999996</v>
      </c>
      <c r="D633">
        <v>3097491.7009999999</v>
      </c>
      <c r="E633">
        <v>632.32050000000004</v>
      </c>
      <c r="F633">
        <v>5.2</v>
      </c>
      <c r="G633">
        <v>0</v>
      </c>
      <c r="H633" t="s">
        <v>191</v>
      </c>
      <c r="I633">
        <v>0</v>
      </c>
      <c r="J633">
        <f t="shared" si="320"/>
        <v>0.9989999999999668</v>
      </c>
      <c r="K633">
        <f t="shared" si="321"/>
        <v>51</v>
      </c>
      <c r="L633" t="e">
        <f t="shared" ca="1" si="322"/>
        <v>#VALUE!</v>
      </c>
      <c r="M633" t="e">
        <f t="shared" ca="1" si="295"/>
        <v>#VALUE!</v>
      </c>
      <c r="N633" t="e">
        <f t="shared" ca="1" si="296"/>
        <v>#VALUE!</v>
      </c>
      <c r="O633" t="e">
        <f t="shared" ca="1" si="297"/>
        <v>#VALUE!</v>
      </c>
      <c r="P633" t="e">
        <f t="shared" ca="1" si="298"/>
        <v>#VALUE!</v>
      </c>
      <c r="Q633" t="e">
        <f t="shared" ca="1" si="299"/>
        <v>#VALUE!</v>
      </c>
      <c r="R633" t="e">
        <f t="shared" ca="1" si="300"/>
        <v>#VALUE!</v>
      </c>
      <c r="S633" t="e">
        <f t="shared" ca="1" si="301"/>
        <v>#VALUE!</v>
      </c>
      <c r="T633" t="e">
        <f t="shared" ca="1" si="302"/>
        <v>#VALUE!</v>
      </c>
      <c r="U633" t="e">
        <f t="shared" ca="1" si="323"/>
        <v>#VALUE!</v>
      </c>
      <c r="V633" t="e">
        <f t="shared" ca="1" si="324"/>
        <v>#VALUE!</v>
      </c>
      <c r="W633" t="e">
        <f t="shared" ca="1" si="303"/>
        <v>#VALUE!</v>
      </c>
      <c r="X633" t="e">
        <f t="shared" ca="1" si="304"/>
        <v>#VALUE!</v>
      </c>
      <c r="Y633" t="e">
        <f t="shared" ca="1" si="305"/>
        <v>#VALUE!</v>
      </c>
      <c r="Z633" t="e">
        <f t="shared" ca="1" si="306"/>
        <v>#VALUE!</v>
      </c>
      <c r="AA633" t="e">
        <f t="shared" ca="1" si="307"/>
        <v>#VALUE!</v>
      </c>
      <c r="AB633" t="e">
        <f t="shared" ca="1" si="308"/>
        <v>#VALUE!</v>
      </c>
      <c r="AC633" t="e">
        <f t="shared" ca="1" si="309"/>
        <v>#VALUE!</v>
      </c>
      <c r="AD633" t="e">
        <f t="shared" ca="1" si="310"/>
        <v>#VALUE!</v>
      </c>
      <c r="AE633" t="e">
        <f t="shared" ca="1" si="311"/>
        <v>#VALUE!</v>
      </c>
      <c r="AF633" t="e">
        <f t="shared" ca="1" si="312"/>
        <v>#VALUE!</v>
      </c>
      <c r="AG633" t="e">
        <f t="shared" ca="1" si="313"/>
        <v>#VALUE!</v>
      </c>
      <c r="AH633" t="e">
        <f ca="1">IF(V32="Supercritical",L633,IF(V32="Subcritical",W633,IF(AND(V633=1,AG633=1),IF(T633&gt;=AE633,L633,W633),IF(V633=1,L633,IF(AG633=1,W633,MAX($D$16,POWER((ABS(K633)^2)/($I$5*MAX(F633,0.1)^2),1/3)))))))</f>
        <v>#VALUE!</v>
      </c>
      <c r="AI633" t="e">
        <f t="shared" ca="1" si="314"/>
        <v>#VALUE!</v>
      </c>
      <c r="AJ633" t="e">
        <f t="shared" ca="1" si="315"/>
        <v>#VALUE!</v>
      </c>
      <c r="AM633">
        <v>0</v>
      </c>
      <c r="AN633">
        <v>0</v>
      </c>
      <c r="AO633">
        <f t="shared" si="316"/>
        <v>0</v>
      </c>
      <c r="AP633">
        <f t="shared" si="325"/>
        <v>0</v>
      </c>
      <c r="AQ633" t="e">
        <f t="shared" ca="1" si="317"/>
        <v>#VALUE!</v>
      </c>
      <c r="AR633" t="e">
        <f t="shared" ca="1" si="318"/>
        <v>#VALUE!</v>
      </c>
      <c r="AS633" t="e">
        <f t="shared" ca="1" si="319"/>
        <v>#VALUE!</v>
      </c>
    </row>
    <row r="634" spans="1:45" x14ac:dyDescent="0.35">
      <c r="A634">
        <v>485</v>
      </c>
      <c r="B634">
        <v>483.89499999999998</v>
      </c>
      <c r="C634">
        <v>616211.95900000003</v>
      </c>
      <c r="D634">
        <v>3097490.821</v>
      </c>
      <c r="E634">
        <v>632.32000000000005</v>
      </c>
      <c r="F634">
        <v>5.2</v>
      </c>
      <c r="G634">
        <v>0</v>
      </c>
      <c r="H634" t="s">
        <v>191</v>
      </c>
      <c r="I634">
        <v>2.7E-2</v>
      </c>
      <c r="J634">
        <f t="shared" si="320"/>
        <v>1</v>
      </c>
      <c r="K634">
        <f t="shared" si="321"/>
        <v>51</v>
      </c>
      <c r="L634" t="e">
        <f t="shared" ca="1" si="322"/>
        <v>#VALUE!</v>
      </c>
      <c r="M634" t="e">
        <f t="shared" ca="1" si="295"/>
        <v>#VALUE!</v>
      </c>
      <c r="N634" t="e">
        <f t="shared" ca="1" si="296"/>
        <v>#VALUE!</v>
      </c>
      <c r="O634" t="e">
        <f t="shared" ca="1" si="297"/>
        <v>#VALUE!</v>
      </c>
      <c r="P634" t="e">
        <f t="shared" ca="1" si="298"/>
        <v>#VALUE!</v>
      </c>
      <c r="Q634" t="e">
        <f t="shared" ca="1" si="299"/>
        <v>#VALUE!</v>
      </c>
      <c r="R634" t="e">
        <f t="shared" ca="1" si="300"/>
        <v>#VALUE!</v>
      </c>
      <c r="S634" t="e">
        <f t="shared" ca="1" si="301"/>
        <v>#VALUE!</v>
      </c>
      <c r="T634" t="e">
        <f t="shared" ca="1" si="302"/>
        <v>#VALUE!</v>
      </c>
      <c r="U634" t="e">
        <f t="shared" ca="1" si="323"/>
        <v>#VALUE!</v>
      </c>
      <c r="V634" t="e">
        <f t="shared" ca="1" si="324"/>
        <v>#VALUE!</v>
      </c>
      <c r="W634" t="e">
        <f t="shared" ca="1" si="303"/>
        <v>#VALUE!</v>
      </c>
      <c r="X634" t="e">
        <f t="shared" ca="1" si="304"/>
        <v>#VALUE!</v>
      </c>
      <c r="Y634" t="e">
        <f t="shared" ca="1" si="305"/>
        <v>#VALUE!</v>
      </c>
      <c r="Z634" t="e">
        <f t="shared" ca="1" si="306"/>
        <v>#VALUE!</v>
      </c>
      <c r="AA634" t="e">
        <f t="shared" ca="1" si="307"/>
        <v>#VALUE!</v>
      </c>
      <c r="AB634" t="e">
        <f t="shared" ca="1" si="308"/>
        <v>#VALUE!</v>
      </c>
      <c r="AC634" t="e">
        <f t="shared" ca="1" si="309"/>
        <v>#VALUE!</v>
      </c>
      <c r="AD634" t="e">
        <f t="shared" ca="1" si="310"/>
        <v>#VALUE!</v>
      </c>
      <c r="AE634" t="e">
        <f t="shared" ca="1" si="311"/>
        <v>#VALUE!</v>
      </c>
      <c r="AF634" t="e">
        <f t="shared" ca="1" si="312"/>
        <v>#VALUE!</v>
      </c>
      <c r="AG634" t="e">
        <f t="shared" ca="1" si="313"/>
        <v>#VALUE!</v>
      </c>
      <c r="AH634" t="e">
        <f ca="1">IF(V32="Supercritical",L634,IF(V32="Subcritical",W634,IF(AND(V634=1,AG634=1),IF(T634&gt;=AE634,L634,W634),IF(V634=1,L634,IF(AG634=1,W634,MAX($D$16,POWER((ABS(K634)^2)/($I$5*MAX(F634,0.1)^2),1/3)))))))</f>
        <v>#VALUE!</v>
      </c>
      <c r="AI634" t="e">
        <f t="shared" ca="1" si="314"/>
        <v>#VALUE!</v>
      </c>
      <c r="AJ634" t="e">
        <f t="shared" ca="1" si="315"/>
        <v>#VALUE!</v>
      </c>
      <c r="AM634">
        <v>0</v>
      </c>
      <c r="AN634">
        <v>0</v>
      </c>
      <c r="AO634">
        <f t="shared" si="316"/>
        <v>0</v>
      </c>
      <c r="AP634">
        <f t="shared" si="325"/>
        <v>0</v>
      </c>
      <c r="AQ634" t="e">
        <f t="shared" ca="1" si="317"/>
        <v>#VALUE!</v>
      </c>
      <c r="AR634" t="e">
        <f t="shared" ca="1" si="318"/>
        <v>#VALUE!</v>
      </c>
      <c r="AS634" t="e">
        <f t="shared" ca="1" si="319"/>
        <v>#VALUE!</v>
      </c>
    </row>
    <row r="635" spans="1:45" x14ac:dyDescent="0.35">
      <c r="A635">
        <v>486</v>
      </c>
      <c r="B635">
        <v>484.89499999999998</v>
      </c>
      <c r="C635">
        <v>616211.48499999999</v>
      </c>
      <c r="D635">
        <v>3097489.94</v>
      </c>
      <c r="E635">
        <v>632.31949999999995</v>
      </c>
      <c r="F635">
        <v>5.2</v>
      </c>
      <c r="G635">
        <v>0</v>
      </c>
      <c r="H635" t="s">
        <v>191</v>
      </c>
      <c r="I635">
        <v>7.8E-2</v>
      </c>
      <c r="J635">
        <f t="shared" si="320"/>
        <v>1</v>
      </c>
      <c r="K635">
        <f t="shared" si="321"/>
        <v>51</v>
      </c>
      <c r="L635" t="e">
        <f t="shared" ca="1" si="322"/>
        <v>#VALUE!</v>
      </c>
      <c r="M635" t="e">
        <f t="shared" ca="1" si="295"/>
        <v>#VALUE!</v>
      </c>
      <c r="N635" t="e">
        <f t="shared" ca="1" si="296"/>
        <v>#VALUE!</v>
      </c>
      <c r="O635" t="e">
        <f t="shared" ca="1" si="297"/>
        <v>#VALUE!</v>
      </c>
      <c r="P635" t="e">
        <f t="shared" ca="1" si="298"/>
        <v>#VALUE!</v>
      </c>
      <c r="Q635" t="e">
        <f t="shared" ca="1" si="299"/>
        <v>#VALUE!</v>
      </c>
      <c r="R635" t="e">
        <f t="shared" ca="1" si="300"/>
        <v>#VALUE!</v>
      </c>
      <c r="S635" t="e">
        <f t="shared" ca="1" si="301"/>
        <v>#VALUE!</v>
      </c>
      <c r="T635" t="e">
        <f t="shared" ca="1" si="302"/>
        <v>#VALUE!</v>
      </c>
      <c r="U635" t="e">
        <f t="shared" ca="1" si="323"/>
        <v>#VALUE!</v>
      </c>
      <c r="V635" t="e">
        <f t="shared" ca="1" si="324"/>
        <v>#VALUE!</v>
      </c>
      <c r="W635" t="e">
        <f t="shared" ca="1" si="303"/>
        <v>#VALUE!</v>
      </c>
      <c r="X635" t="e">
        <f t="shared" ca="1" si="304"/>
        <v>#VALUE!</v>
      </c>
      <c r="Y635" t="e">
        <f t="shared" ca="1" si="305"/>
        <v>#VALUE!</v>
      </c>
      <c r="Z635" t="e">
        <f t="shared" ca="1" si="306"/>
        <v>#VALUE!</v>
      </c>
      <c r="AA635" t="e">
        <f t="shared" ca="1" si="307"/>
        <v>#VALUE!</v>
      </c>
      <c r="AB635" t="e">
        <f t="shared" ca="1" si="308"/>
        <v>#VALUE!</v>
      </c>
      <c r="AC635" t="e">
        <f t="shared" ca="1" si="309"/>
        <v>#VALUE!</v>
      </c>
      <c r="AD635" t="e">
        <f t="shared" ca="1" si="310"/>
        <v>#VALUE!</v>
      </c>
      <c r="AE635" t="e">
        <f t="shared" ca="1" si="311"/>
        <v>#VALUE!</v>
      </c>
      <c r="AF635" t="e">
        <f t="shared" ca="1" si="312"/>
        <v>#VALUE!</v>
      </c>
      <c r="AG635" t="e">
        <f t="shared" ca="1" si="313"/>
        <v>#VALUE!</v>
      </c>
      <c r="AH635" t="e">
        <f ca="1">IF(V32="Supercritical",L635,IF(V32="Subcritical",W635,IF(AND(V635=1,AG635=1),IF(T635&gt;=AE635,L635,W635),IF(V635=1,L635,IF(AG635=1,W635,MAX($D$16,POWER((ABS(K635)^2)/($I$5*MAX(F635,0.1)^2),1/3)))))))</f>
        <v>#VALUE!</v>
      </c>
      <c r="AI635" t="e">
        <f t="shared" ca="1" si="314"/>
        <v>#VALUE!</v>
      </c>
      <c r="AJ635" t="e">
        <f t="shared" ca="1" si="315"/>
        <v>#VALUE!</v>
      </c>
      <c r="AM635">
        <v>0</v>
      </c>
      <c r="AN635">
        <v>0</v>
      </c>
      <c r="AO635">
        <f t="shared" si="316"/>
        <v>0</v>
      </c>
      <c r="AP635">
        <f t="shared" si="325"/>
        <v>0</v>
      </c>
      <c r="AQ635" t="e">
        <f t="shared" ca="1" si="317"/>
        <v>#VALUE!</v>
      </c>
      <c r="AR635" t="e">
        <f t="shared" ca="1" si="318"/>
        <v>#VALUE!</v>
      </c>
      <c r="AS635" t="e">
        <f t="shared" ca="1" si="319"/>
        <v>#VALUE!</v>
      </c>
    </row>
    <row r="636" spans="1:45" x14ac:dyDescent="0.35">
      <c r="A636">
        <v>487</v>
      </c>
      <c r="B636">
        <v>485.89499999999998</v>
      </c>
      <c r="C636">
        <v>616211.01</v>
      </c>
      <c r="D636">
        <v>3097489.06</v>
      </c>
      <c r="E636">
        <v>632.31899999999996</v>
      </c>
      <c r="F636">
        <v>5.2</v>
      </c>
      <c r="G636">
        <v>0</v>
      </c>
      <c r="H636" t="s">
        <v>191</v>
      </c>
      <c r="I636">
        <v>7.8E-2</v>
      </c>
      <c r="J636">
        <f t="shared" si="320"/>
        <v>1</v>
      </c>
      <c r="K636">
        <f t="shared" si="321"/>
        <v>51</v>
      </c>
      <c r="L636" t="e">
        <f t="shared" ca="1" si="322"/>
        <v>#VALUE!</v>
      </c>
      <c r="M636" t="e">
        <f t="shared" ca="1" si="295"/>
        <v>#VALUE!</v>
      </c>
      <c r="N636" t="e">
        <f t="shared" ca="1" si="296"/>
        <v>#VALUE!</v>
      </c>
      <c r="O636" t="e">
        <f t="shared" ca="1" si="297"/>
        <v>#VALUE!</v>
      </c>
      <c r="P636" t="e">
        <f t="shared" ca="1" si="298"/>
        <v>#VALUE!</v>
      </c>
      <c r="Q636" t="e">
        <f t="shared" ca="1" si="299"/>
        <v>#VALUE!</v>
      </c>
      <c r="R636" t="e">
        <f t="shared" ca="1" si="300"/>
        <v>#VALUE!</v>
      </c>
      <c r="S636" t="e">
        <f t="shared" ca="1" si="301"/>
        <v>#VALUE!</v>
      </c>
      <c r="T636" t="e">
        <f t="shared" ca="1" si="302"/>
        <v>#VALUE!</v>
      </c>
      <c r="U636" t="e">
        <f t="shared" ca="1" si="323"/>
        <v>#VALUE!</v>
      </c>
      <c r="V636" t="e">
        <f t="shared" ca="1" si="324"/>
        <v>#VALUE!</v>
      </c>
      <c r="W636" t="e">
        <f t="shared" ca="1" si="303"/>
        <v>#VALUE!</v>
      </c>
      <c r="X636" t="e">
        <f t="shared" ca="1" si="304"/>
        <v>#VALUE!</v>
      </c>
      <c r="Y636" t="e">
        <f t="shared" ca="1" si="305"/>
        <v>#VALUE!</v>
      </c>
      <c r="Z636" t="e">
        <f t="shared" ca="1" si="306"/>
        <v>#VALUE!</v>
      </c>
      <c r="AA636" t="e">
        <f t="shared" ca="1" si="307"/>
        <v>#VALUE!</v>
      </c>
      <c r="AB636" t="e">
        <f t="shared" ca="1" si="308"/>
        <v>#VALUE!</v>
      </c>
      <c r="AC636" t="e">
        <f t="shared" ca="1" si="309"/>
        <v>#VALUE!</v>
      </c>
      <c r="AD636" t="e">
        <f t="shared" ca="1" si="310"/>
        <v>#VALUE!</v>
      </c>
      <c r="AE636" t="e">
        <f t="shared" ca="1" si="311"/>
        <v>#VALUE!</v>
      </c>
      <c r="AF636" t="e">
        <f t="shared" ca="1" si="312"/>
        <v>#VALUE!</v>
      </c>
      <c r="AG636" t="e">
        <f t="shared" ca="1" si="313"/>
        <v>#VALUE!</v>
      </c>
      <c r="AH636" t="e">
        <f ca="1">IF(V32="Supercritical",L636,IF(V32="Subcritical",W636,IF(AND(V636=1,AG636=1),IF(T636&gt;=AE636,L636,W636),IF(V636=1,L636,IF(AG636=1,W636,MAX($D$16,POWER((ABS(K636)^2)/($I$5*MAX(F636,0.1)^2),1/3)))))))</f>
        <v>#VALUE!</v>
      </c>
      <c r="AI636" t="e">
        <f t="shared" ca="1" si="314"/>
        <v>#VALUE!</v>
      </c>
      <c r="AJ636" t="e">
        <f t="shared" ca="1" si="315"/>
        <v>#VALUE!</v>
      </c>
      <c r="AM636">
        <v>0</v>
      </c>
      <c r="AN636">
        <v>0</v>
      </c>
      <c r="AO636">
        <f t="shared" si="316"/>
        <v>0</v>
      </c>
      <c r="AP636">
        <f t="shared" si="325"/>
        <v>0</v>
      </c>
      <c r="AQ636" t="e">
        <f t="shared" ca="1" si="317"/>
        <v>#VALUE!</v>
      </c>
      <c r="AR636" t="e">
        <f t="shared" ca="1" si="318"/>
        <v>#VALUE!</v>
      </c>
      <c r="AS636" t="e">
        <f t="shared" ca="1" si="319"/>
        <v>#VALUE!</v>
      </c>
    </row>
    <row r="637" spans="1:45" x14ac:dyDescent="0.35">
      <c r="A637">
        <v>488</v>
      </c>
      <c r="B637">
        <v>486.89600000000002</v>
      </c>
      <c r="C637">
        <v>616210.53599999996</v>
      </c>
      <c r="D637">
        <v>3097488.179</v>
      </c>
      <c r="E637">
        <v>632.31849999999997</v>
      </c>
      <c r="F637">
        <v>5.2</v>
      </c>
      <c r="G637">
        <v>0</v>
      </c>
      <c r="H637" t="s">
        <v>191</v>
      </c>
      <c r="I637">
        <v>2.7E-2</v>
      </c>
      <c r="J637">
        <f t="shared" si="320"/>
        <v>1.0010000000000332</v>
      </c>
      <c r="K637">
        <f t="shared" si="321"/>
        <v>51</v>
      </c>
      <c r="L637" t="e">
        <f t="shared" ca="1" si="322"/>
        <v>#VALUE!</v>
      </c>
      <c r="M637" t="e">
        <f t="shared" ca="1" si="295"/>
        <v>#VALUE!</v>
      </c>
      <c r="N637" t="e">
        <f t="shared" ca="1" si="296"/>
        <v>#VALUE!</v>
      </c>
      <c r="O637" t="e">
        <f t="shared" ca="1" si="297"/>
        <v>#VALUE!</v>
      </c>
      <c r="P637" t="e">
        <f t="shared" ca="1" si="298"/>
        <v>#VALUE!</v>
      </c>
      <c r="Q637" t="e">
        <f t="shared" ca="1" si="299"/>
        <v>#VALUE!</v>
      </c>
      <c r="R637" t="e">
        <f t="shared" ca="1" si="300"/>
        <v>#VALUE!</v>
      </c>
      <c r="S637" t="e">
        <f t="shared" ca="1" si="301"/>
        <v>#VALUE!</v>
      </c>
      <c r="T637" t="e">
        <f t="shared" ca="1" si="302"/>
        <v>#VALUE!</v>
      </c>
      <c r="U637" t="e">
        <f t="shared" ca="1" si="323"/>
        <v>#VALUE!</v>
      </c>
      <c r="V637" t="e">
        <f t="shared" ca="1" si="324"/>
        <v>#VALUE!</v>
      </c>
      <c r="W637" t="e">
        <f t="shared" ca="1" si="303"/>
        <v>#VALUE!</v>
      </c>
      <c r="X637" t="e">
        <f t="shared" ca="1" si="304"/>
        <v>#VALUE!</v>
      </c>
      <c r="Y637" t="e">
        <f t="shared" ca="1" si="305"/>
        <v>#VALUE!</v>
      </c>
      <c r="Z637" t="e">
        <f t="shared" ca="1" si="306"/>
        <v>#VALUE!</v>
      </c>
      <c r="AA637" t="e">
        <f t="shared" ca="1" si="307"/>
        <v>#VALUE!</v>
      </c>
      <c r="AB637" t="e">
        <f t="shared" ca="1" si="308"/>
        <v>#VALUE!</v>
      </c>
      <c r="AC637" t="e">
        <f t="shared" ca="1" si="309"/>
        <v>#VALUE!</v>
      </c>
      <c r="AD637" t="e">
        <f t="shared" ca="1" si="310"/>
        <v>#VALUE!</v>
      </c>
      <c r="AE637" t="e">
        <f t="shared" ca="1" si="311"/>
        <v>#VALUE!</v>
      </c>
      <c r="AF637" t="e">
        <f t="shared" ca="1" si="312"/>
        <v>#VALUE!</v>
      </c>
      <c r="AG637" t="e">
        <f t="shared" ca="1" si="313"/>
        <v>#VALUE!</v>
      </c>
      <c r="AH637" t="e">
        <f ca="1">IF(V32="Supercritical",L637,IF(V32="Subcritical",W637,IF(AND(V637=1,AG637=1),IF(T637&gt;=AE637,L637,W637),IF(V637=1,L637,IF(AG637=1,W637,MAX($D$16,POWER((ABS(K637)^2)/($I$5*MAX(F637,0.1)^2),1/3)))))))</f>
        <v>#VALUE!</v>
      </c>
      <c r="AI637" t="e">
        <f t="shared" ca="1" si="314"/>
        <v>#VALUE!</v>
      </c>
      <c r="AJ637" t="e">
        <f t="shared" ca="1" si="315"/>
        <v>#VALUE!</v>
      </c>
      <c r="AM637">
        <v>0</v>
      </c>
      <c r="AN637">
        <v>0</v>
      </c>
      <c r="AO637">
        <f t="shared" si="316"/>
        <v>0</v>
      </c>
      <c r="AP637">
        <f t="shared" si="325"/>
        <v>0</v>
      </c>
      <c r="AQ637" t="e">
        <f t="shared" ca="1" si="317"/>
        <v>#VALUE!</v>
      </c>
      <c r="AR637" t="e">
        <f t="shared" ca="1" si="318"/>
        <v>#VALUE!</v>
      </c>
      <c r="AS637" t="e">
        <f t="shared" ca="1" si="319"/>
        <v>#VALUE!</v>
      </c>
    </row>
    <row r="638" spans="1:45" x14ac:dyDescent="0.35">
      <c r="A638">
        <v>489</v>
      </c>
      <c r="B638">
        <v>487.89499999999998</v>
      </c>
      <c r="C638">
        <v>616210.06200000003</v>
      </c>
      <c r="D638">
        <v>3097487.2990000001</v>
      </c>
      <c r="E638">
        <v>632.31799999999998</v>
      </c>
      <c r="F638">
        <v>5.2</v>
      </c>
      <c r="G638">
        <v>0</v>
      </c>
      <c r="H638" t="s">
        <v>191</v>
      </c>
      <c r="I638">
        <v>0</v>
      </c>
      <c r="J638">
        <f t="shared" si="320"/>
        <v>0.9989999999999668</v>
      </c>
      <c r="K638">
        <f t="shared" si="321"/>
        <v>51</v>
      </c>
      <c r="L638" t="e">
        <f t="shared" ca="1" si="322"/>
        <v>#VALUE!</v>
      </c>
      <c r="M638" t="e">
        <f t="shared" ca="1" si="295"/>
        <v>#VALUE!</v>
      </c>
      <c r="N638" t="e">
        <f t="shared" ca="1" si="296"/>
        <v>#VALUE!</v>
      </c>
      <c r="O638" t="e">
        <f t="shared" ca="1" si="297"/>
        <v>#VALUE!</v>
      </c>
      <c r="P638" t="e">
        <f t="shared" ca="1" si="298"/>
        <v>#VALUE!</v>
      </c>
      <c r="Q638" t="e">
        <f t="shared" ca="1" si="299"/>
        <v>#VALUE!</v>
      </c>
      <c r="R638" t="e">
        <f t="shared" ca="1" si="300"/>
        <v>#VALUE!</v>
      </c>
      <c r="S638" t="e">
        <f t="shared" ca="1" si="301"/>
        <v>#VALUE!</v>
      </c>
      <c r="T638" t="e">
        <f t="shared" ca="1" si="302"/>
        <v>#VALUE!</v>
      </c>
      <c r="U638" t="e">
        <f t="shared" ca="1" si="323"/>
        <v>#VALUE!</v>
      </c>
      <c r="V638" t="e">
        <f t="shared" ca="1" si="324"/>
        <v>#VALUE!</v>
      </c>
      <c r="W638" t="e">
        <f t="shared" ca="1" si="303"/>
        <v>#VALUE!</v>
      </c>
      <c r="X638" t="e">
        <f t="shared" ca="1" si="304"/>
        <v>#VALUE!</v>
      </c>
      <c r="Y638" t="e">
        <f t="shared" ca="1" si="305"/>
        <v>#VALUE!</v>
      </c>
      <c r="Z638" t="e">
        <f t="shared" ca="1" si="306"/>
        <v>#VALUE!</v>
      </c>
      <c r="AA638" t="e">
        <f t="shared" ca="1" si="307"/>
        <v>#VALUE!</v>
      </c>
      <c r="AB638" t="e">
        <f t="shared" ca="1" si="308"/>
        <v>#VALUE!</v>
      </c>
      <c r="AC638" t="e">
        <f t="shared" ca="1" si="309"/>
        <v>#VALUE!</v>
      </c>
      <c r="AD638" t="e">
        <f t="shared" ca="1" si="310"/>
        <v>#VALUE!</v>
      </c>
      <c r="AE638" t="e">
        <f t="shared" ca="1" si="311"/>
        <v>#VALUE!</v>
      </c>
      <c r="AF638" t="e">
        <f t="shared" ca="1" si="312"/>
        <v>#VALUE!</v>
      </c>
      <c r="AG638" t="e">
        <f t="shared" ca="1" si="313"/>
        <v>#VALUE!</v>
      </c>
      <c r="AH638" t="e">
        <f ca="1">IF(V32="Supercritical",L638,IF(V32="Subcritical",W638,IF(AND(V638=1,AG638=1),IF(T638&gt;=AE638,L638,W638),IF(V638=1,L638,IF(AG638=1,W638,MAX($D$16,POWER((ABS(K638)^2)/($I$5*MAX(F638,0.1)^2),1/3)))))))</f>
        <v>#VALUE!</v>
      </c>
      <c r="AI638" t="e">
        <f t="shared" ca="1" si="314"/>
        <v>#VALUE!</v>
      </c>
      <c r="AJ638" t="e">
        <f t="shared" ca="1" si="315"/>
        <v>#VALUE!</v>
      </c>
      <c r="AM638">
        <v>0</v>
      </c>
      <c r="AN638">
        <v>0</v>
      </c>
      <c r="AO638">
        <f t="shared" si="316"/>
        <v>0</v>
      </c>
      <c r="AP638">
        <f t="shared" si="325"/>
        <v>0</v>
      </c>
      <c r="AQ638" t="e">
        <f t="shared" ca="1" si="317"/>
        <v>#VALUE!</v>
      </c>
      <c r="AR638" t="e">
        <f t="shared" ca="1" si="318"/>
        <v>#VALUE!</v>
      </c>
      <c r="AS638" t="e">
        <f t="shared" ca="1" si="319"/>
        <v>#VALUE!</v>
      </c>
    </row>
    <row r="639" spans="1:45" x14ac:dyDescent="0.35">
      <c r="A639">
        <v>490</v>
      </c>
      <c r="B639">
        <v>488.89499999999998</v>
      </c>
      <c r="C639">
        <v>616209.58799999999</v>
      </c>
      <c r="D639">
        <v>3097486.4190000002</v>
      </c>
      <c r="E639">
        <v>632.3175</v>
      </c>
      <c r="F639">
        <v>5.2</v>
      </c>
      <c r="G639">
        <v>0</v>
      </c>
      <c r="H639" t="s">
        <v>191</v>
      </c>
      <c r="I639">
        <v>2.3E-2</v>
      </c>
      <c r="J639">
        <f t="shared" si="320"/>
        <v>1</v>
      </c>
      <c r="K639">
        <f t="shared" si="321"/>
        <v>51</v>
      </c>
      <c r="L639" t="e">
        <f t="shared" ca="1" si="322"/>
        <v>#VALUE!</v>
      </c>
      <c r="M639" t="e">
        <f t="shared" ca="1" si="295"/>
        <v>#VALUE!</v>
      </c>
      <c r="N639" t="e">
        <f t="shared" ca="1" si="296"/>
        <v>#VALUE!</v>
      </c>
      <c r="O639" t="e">
        <f t="shared" ca="1" si="297"/>
        <v>#VALUE!</v>
      </c>
      <c r="P639" t="e">
        <f t="shared" ca="1" si="298"/>
        <v>#VALUE!</v>
      </c>
      <c r="Q639" t="e">
        <f t="shared" ca="1" si="299"/>
        <v>#VALUE!</v>
      </c>
      <c r="R639" t="e">
        <f t="shared" ca="1" si="300"/>
        <v>#VALUE!</v>
      </c>
      <c r="S639" t="e">
        <f t="shared" ca="1" si="301"/>
        <v>#VALUE!</v>
      </c>
      <c r="T639" t="e">
        <f t="shared" ca="1" si="302"/>
        <v>#VALUE!</v>
      </c>
      <c r="U639" t="e">
        <f t="shared" ca="1" si="323"/>
        <v>#VALUE!</v>
      </c>
      <c r="V639" t="e">
        <f t="shared" ca="1" si="324"/>
        <v>#VALUE!</v>
      </c>
      <c r="W639" t="e">
        <f t="shared" ca="1" si="303"/>
        <v>#VALUE!</v>
      </c>
      <c r="X639" t="e">
        <f t="shared" ca="1" si="304"/>
        <v>#VALUE!</v>
      </c>
      <c r="Y639" t="e">
        <f t="shared" ca="1" si="305"/>
        <v>#VALUE!</v>
      </c>
      <c r="Z639" t="e">
        <f t="shared" ca="1" si="306"/>
        <v>#VALUE!</v>
      </c>
      <c r="AA639" t="e">
        <f t="shared" ca="1" si="307"/>
        <v>#VALUE!</v>
      </c>
      <c r="AB639" t="e">
        <f t="shared" ca="1" si="308"/>
        <v>#VALUE!</v>
      </c>
      <c r="AC639" t="e">
        <f t="shared" ca="1" si="309"/>
        <v>#VALUE!</v>
      </c>
      <c r="AD639" t="e">
        <f t="shared" ca="1" si="310"/>
        <v>#VALUE!</v>
      </c>
      <c r="AE639" t="e">
        <f t="shared" ca="1" si="311"/>
        <v>#VALUE!</v>
      </c>
      <c r="AF639" t="e">
        <f t="shared" ca="1" si="312"/>
        <v>#VALUE!</v>
      </c>
      <c r="AG639" t="e">
        <f t="shared" ca="1" si="313"/>
        <v>#VALUE!</v>
      </c>
      <c r="AH639" t="e">
        <f ca="1">IF(V32="Supercritical",L639,IF(V32="Subcritical",W639,IF(AND(V639=1,AG639=1),IF(T639&gt;=AE639,L639,W639),IF(V639=1,L639,IF(AG639=1,W639,MAX($D$16,POWER((ABS(K639)^2)/($I$5*MAX(F639,0.1)^2),1/3)))))))</f>
        <v>#VALUE!</v>
      </c>
      <c r="AI639" t="e">
        <f t="shared" ca="1" si="314"/>
        <v>#VALUE!</v>
      </c>
      <c r="AJ639" t="e">
        <f t="shared" ca="1" si="315"/>
        <v>#VALUE!</v>
      </c>
      <c r="AM639">
        <v>0</v>
      </c>
      <c r="AN639">
        <v>0</v>
      </c>
      <c r="AO639">
        <f t="shared" si="316"/>
        <v>0</v>
      </c>
      <c r="AP639">
        <f t="shared" si="325"/>
        <v>0</v>
      </c>
      <c r="AQ639" t="e">
        <f t="shared" ca="1" si="317"/>
        <v>#VALUE!</v>
      </c>
      <c r="AR639" t="e">
        <f t="shared" ca="1" si="318"/>
        <v>#VALUE!</v>
      </c>
      <c r="AS639" t="e">
        <f t="shared" ca="1" si="319"/>
        <v>#VALUE!</v>
      </c>
    </row>
    <row r="640" spans="1:45" x14ac:dyDescent="0.35">
      <c r="A640">
        <v>491</v>
      </c>
      <c r="B640">
        <v>489.89600000000002</v>
      </c>
      <c r="C640">
        <v>616209.11300000001</v>
      </c>
      <c r="D640">
        <v>3097485.5380000002</v>
      </c>
      <c r="E640">
        <v>632.31700000000001</v>
      </c>
      <c r="F640">
        <v>5.2</v>
      </c>
      <c r="G640">
        <v>0</v>
      </c>
      <c r="H640" t="s">
        <v>191</v>
      </c>
      <c r="I640">
        <v>2.3E-2</v>
      </c>
      <c r="J640">
        <f t="shared" si="320"/>
        <v>1.0010000000000332</v>
      </c>
      <c r="K640">
        <f t="shared" si="321"/>
        <v>51</v>
      </c>
      <c r="L640" t="e">
        <f t="shared" ca="1" si="322"/>
        <v>#VALUE!</v>
      </c>
      <c r="M640" t="e">
        <f t="shared" ca="1" si="295"/>
        <v>#VALUE!</v>
      </c>
      <c r="N640" t="e">
        <f t="shared" ca="1" si="296"/>
        <v>#VALUE!</v>
      </c>
      <c r="O640" t="e">
        <f t="shared" ca="1" si="297"/>
        <v>#VALUE!</v>
      </c>
      <c r="P640" t="e">
        <f t="shared" ca="1" si="298"/>
        <v>#VALUE!</v>
      </c>
      <c r="Q640" t="e">
        <f t="shared" ca="1" si="299"/>
        <v>#VALUE!</v>
      </c>
      <c r="R640" t="e">
        <f t="shared" ca="1" si="300"/>
        <v>#VALUE!</v>
      </c>
      <c r="S640" t="e">
        <f t="shared" ca="1" si="301"/>
        <v>#VALUE!</v>
      </c>
      <c r="T640" t="e">
        <f t="shared" ca="1" si="302"/>
        <v>#VALUE!</v>
      </c>
      <c r="U640" t="e">
        <f t="shared" ca="1" si="323"/>
        <v>#VALUE!</v>
      </c>
      <c r="V640" t="e">
        <f t="shared" ca="1" si="324"/>
        <v>#VALUE!</v>
      </c>
      <c r="W640" t="e">
        <f t="shared" ca="1" si="303"/>
        <v>#VALUE!</v>
      </c>
      <c r="X640" t="e">
        <f t="shared" ca="1" si="304"/>
        <v>#VALUE!</v>
      </c>
      <c r="Y640" t="e">
        <f t="shared" ca="1" si="305"/>
        <v>#VALUE!</v>
      </c>
      <c r="Z640" t="e">
        <f t="shared" ca="1" si="306"/>
        <v>#VALUE!</v>
      </c>
      <c r="AA640" t="e">
        <f t="shared" ca="1" si="307"/>
        <v>#VALUE!</v>
      </c>
      <c r="AB640" t="e">
        <f t="shared" ca="1" si="308"/>
        <v>#VALUE!</v>
      </c>
      <c r="AC640" t="e">
        <f t="shared" ca="1" si="309"/>
        <v>#VALUE!</v>
      </c>
      <c r="AD640" t="e">
        <f t="shared" ca="1" si="310"/>
        <v>#VALUE!</v>
      </c>
      <c r="AE640" t="e">
        <f t="shared" ca="1" si="311"/>
        <v>#VALUE!</v>
      </c>
      <c r="AF640" t="e">
        <f t="shared" ca="1" si="312"/>
        <v>#VALUE!</v>
      </c>
      <c r="AG640" t="e">
        <f t="shared" ca="1" si="313"/>
        <v>#VALUE!</v>
      </c>
      <c r="AH640" t="e">
        <f ca="1">IF(V32="Supercritical",L640,IF(V32="Subcritical",W640,IF(AND(V640=1,AG640=1),IF(T640&gt;=AE640,L640,W640),IF(V640=1,L640,IF(AG640=1,W640,MAX($D$16,POWER((ABS(K640)^2)/($I$5*MAX(F640,0.1)^2),1/3)))))))</f>
        <v>#VALUE!</v>
      </c>
      <c r="AI640" t="e">
        <f t="shared" ca="1" si="314"/>
        <v>#VALUE!</v>
      </c>
      <c r="AJ640" t="e">
        <f t="shared" ca="1" si="315"/>
        <v>#VALUE!</v>
      </c>
      <c r="AM640">
        <v>0</v>
      </c>
      <c r="AN640">
        <v>0</v>
      </c>
      <c r="AO640">
        <f t="shared" si="316"/>
        <v>0</v>
      </c>
      <c r="AP640">
        <f t="shared" si="325"/>
        <v>0</v>
      </c>
      <c r="AQ640" t="e">
        <f t="shared" ca="1" si="317"/>
        <v>#VALUE!</v>
      </c>
      <c r="AR640" t="e">
        <f t="shared" ca="1" si="318"/>
        <v>#VALUE!</v>
      </c>
      <c r="AS640" t="e">
        <f t="shared" ca="1" si="319"/>
        <v>#VALUE!</v>
      </c>
    </row>
    <row r="641" spans="1:45" x14ac:dyDescent="0.35">
      <c r="A641">
        <v>492</v>
      </c>
      <c r="B641">
        <v>490.89499999999998</v>
      </c>
      <c r="C641">
        <v>616208.63899999997</v>
      </c>
      <c r="D641">
        <v>3097484.6579999998</v>
      </c>
      <c r="E641">
        <v>632.31650000000002</v>
      </c>
      <c r="F641">
        <v>5.2</v>
      </c>
      <c r="G641">
        <v>0</v>
      </c>
      <c r="H641" t="s">
        <v>191</v>
      </c>
      <c r="I641">
        <v>2.7E-2</v>
      </c>
      <c r="J641">
        <f t="shared" si="320"/>
        <v>0.9989999999999668</v>
      </c>
      <c r="K641">
        <f t="shared" si="321"/>
        <v>51</v>
      </c>
      <c r="L641" t="e">
        <f t="shared" ca="1" si="322"/>
        <v>#VALUE!</v>
      </c>
      <c r="M641" t="e">
        <f t="shared" ca="1" si="295"/>
        <v>#VALUE!</v>
      </c>
      <c r="N641" t="e">
        <f t="shared" ca="1" si="296"/>
        <v>#VALUE!</v>
      </c>
      <c r="O641" t="e">
        <f t="shared" ca="1" si="297"/>
        <v>#VALUE!</v>
      </c>
      <c r="P641" t="e">
        <f t="shared" ca="1" si="298"/>
        <v>#VALUE!</v>
      </c>
      <c r="Q641" t="e">
        <f t="shared" ca="1" si="299"/>
        <v>#VALUE!</v>
      </c>
      <c r="R641" t="e">
        <f t="shared" ca="1" si="300"/>
        <v>#VALUE!</v>
      </c>
      <c r="S641" t="e">
        <f t="shared" ca="1" si="301"/>
        <v>#VALUE!</v>
      </c>
      <c r="T641" t="e">
        <f t="shared" ca="1" si="302"/>
        <v>#VALUE!</v>
      </c>
      <c r="U641" t="e">
        <f t="shared" ca="1" si="323"/>
        <v>#VALUE!</v>
      </c>
      <c r="V641" t="e">
        <f t="shared" ca="1" si="324"/>
        <v>#VALUE!</v>
      </c>
      <c r="W641" t="e">
        <f t="shared" ca="1" si="303"/>
        <v>#VALUE!</v>
      </c>
      <c r="X641" t="e">
        <f t="shared" ca="1" si="304"/>
        <v>#VALUE!</v>
      </c>
      <c r="Y641" t="e">
        <f t="shared" ca="1" si="305"/>
        <v>#VALUE!</v>
      </c>
      <c r="Z641" t="e">
        <f t="shared" ca="1" si="306"/>
        <v>#VALUE!</v>
      </c>
      <c r="AA641" t="e">
        <f t="shared" ca="1" si="307"/>
        <v>#VALUE!</v>
      </c>
      <c r="AB641" t="e">
        <f t="shared" ca="1" si="308"/>
        <v>#VALUE!</v>
      </c>
      <c r="AC641" t="e">
        <f t="shared" ca="1" si="309"/>
        <v>#VALUE!</v>
      </c>
      <c r="AD641" t="e">
        <f t="shared" ca="1" si="310"/>
        <v>#VALUE!</v>
      </c>
      <c r="AE641" t="e">
        <f t="shared" ca="1" si="311"/>
        <v>#VALUE!</v>
      </c>
      <c r="AF641" t="e">
        <f t="shared" ca="1" si="312"/>
        <v>#VALUE!</v>
      </c>
      <c r="AG641" t="e">
        <f t="shared" ca="1" si="313"/>
        <v>#VALUE!</v>
      </c>
      <c r="AH641" t="e">
        <f ca="1">IF(V32="Supercritical",L641,IF(V32="Subcritical",W641,IF(AND(V641=1,AG641=1),IF(T641&gt;=AE641,L641,W641),IF(V641=1,L641,IF(AG641=1,W641,MAX($D$16,POWER((ABS(K641)^2)/($I$5*MAX(F641,0.1)^2),1/3)))))))</f>
        <v>#VALUE!</v>
      </c>
      <c r="AI641" t="e">
        <f t="shared" ca="1" si="314"/>
        <v>#VALUE!</v>
      </c>
      <c r="AJ641" t="e">
        <f t="shared" ca="1" si="315"/>
        <v>#VALUE!</v>
      </c>
      <c r="AM641">
        <v>0</v>
      </c>
      <c r="AN641">
        <v>0</v>
      </c>
      <c r="AO641">
        <f t="shared" si="316"/>
        <v>0</v>
      </c>
      <c r="AP641">
        <f t="shared" si="325"/>
        <v>0</v>
      </c>
      <c r="AQ641" t="e">
        <f t="shared" ca="1" si="317"/>
        <v>#VALUE!</v>
      </c>
      <c r="AR641" t="e">
        <f t="shared" ca="1" si="318"/>
        <v>#VALUE!</v>
      </c>
      <c r="AS641" t="e">
        <f t="shared" ca="1" si="319"/>
        <v>#VALUE!</v>
      </c>
    </row>
    <row r="642" spans="1:45" x14ac:dyDescent="0.35">
      <c r="A642">
        <v>493</v>
      </c>
      <c r="B642">
        <v>491.89600000000002</v>
      </c>
      <c r="C642">
        <v>616208.16500000004</v>
      </c>
      <c r="D642">
        <v>3097483.7769999998</v>
      </c>
      <c r="E642">
        <v>632.31600000000003</v>
      </c>
      <c r="F642">
        <v>5.2</v>
      </c>
      <c r="G642">
        <v>0</v>
      </c>
      <c r="H642" t="s">
        <v>191</v>
      </c>
      <c r="I642">
        <v>2.7E-2</v>
      </c>
      <c r="J642">
        <f t="shared" si="320"/>
        <v>1.0010000000000332</v>
      </c>
      <c r="K642">
        <f t="shared" si="321"/>
        <v>51</v>
      </c>
      <c r="L642" t="e">
        <f t="shared" ca="1" si="322"/>
        <v>#VALUE!</v>
      </c>
      <c r="M642" t="e">
        <f t="shared" ca="1" si="295"/>
        <v>#VALUE!</v>
      </c>
      <c r="N642" t="e">
        <f t="shared" ca="1" si="296"/>
        <v>#VALUE!</v>
      </c>
      <c r="O642" t="e">
        <f t="shared" ca="1" si="297"/>
        <v>#VALUE!</v>
      </c>
      <c r="P642" t="e">
        <f t="shared" ca="1" si="298"/>
        <v>#VALUE!</v>
      </c>
      <c r="Q642" t="e">
        <f t="shared" ca="1" si="299"/>
        <v>#VALUE!</v>
      </c>
      <c r="R642" t="e">
        <f t="shared" ca="1" si="300"/>
        <v>#VALUE!</v>
      </c>
      <c r="S642" t="e">
        <f t="shared" ca="1" si="301"/>
        <v>#VALUE!</v>
      </c>
      <c r="T642" t="e">
        <f t="shared" ca="1" si="302"/>
        <v>#VALUE!</v>
      </c>
      <c r="U642" t="e">
        <f t="shared" ca="1" si="323"/>
        <v>#VALUE!</v>
      </c>
      <c r="V642" t="e">
        <f t="shared" ca="1" si="324"/>
        <v>#VALUE!</v>
      </c>
      <c r="W642" t="e">
        <f t="shared" ca="1" si="303"/>
        <v>#VALUE!</v>
      </c>
      <c r="X642" t="e">
        <f t="shared" ca="1" si="304"/>
        <v>#VALUE!</v>
      </c>
      <c r="Y642" t="e">
        <f t="shared" ca="1" si="305"/>
        <v>#VALUE!</v>
      </c>
      <c r="Z642" t="e">
        <f t="shared" ca="1" si="306"/>
        <v>#VALUE!</v>
      </c>
      <c r="AA642" t="e">
        <f t="shared" ca="1" si="307"/>
        <v>#VALUE!</v>
      </c>
      <c r="AB642" t="e">
        <f t="shared" ca="1" si="308"/>
        <v>#VALUE!</v>
      </c>
      <c r="AC642" t="e">
        <f t="shared" ca="1" si="309"/>
        <v>#VALUE!</v>
      </c>
      <c r="AD642" t="e">
        <f t="shared" ca="1" si="310"/>
        <v>#VALUE!</v>
      </c>
      <c r="AE642" t="e">
        <f t="shared" ca="1" si="311"/>
        <v>#VALUE!</v>
      </c>
      <c r="AF642" t="e">
        <f t="shared" ca="1" si="312"/>
        <v>#VALUE!</v>
      </c>
      <c r="AG642" t="e">
        <f t="shared" ca="1" si="313"/>
        <v>#VALUE!</v>
      </c>
      <c r="AH642" t="e">
        <f ca="1">IF(V32="Supercritical",L642,IF(V32="Subcritical",W642,IF(AND(V642=1,AG642=1),IF(T642&gt;=AE642,L642,W642),IF(V642=1,L642,IF(AG642=1,W642,MAX($D$16,POWER((ABS(K642)^2)/($I$5*MAX(F642,0.1)^2),1/3)))))))</f>
        <v>#VALUE!</v>
      </c>
      <c r="AI642" t="e">
        <f t="shared" ca="1" si="314"/>
        <v>#VALUE!</v>
      </c>
      <c r="AJ642" t="e">
        <f t="shared" ca="1" si="315"/>
        <v>#VALUE!</v>
      </c>
      <c r="AM642">
        <v>0</v>
      </c>
      <c r="AN642">
        <v>0</v>
      </c>
      <c r="AO642">
        <f t="shared" si="316"/>
        <v>0</v>
      </c>
      <c r="AP642">
        <f t="shared" si="325"/>
        <v>0</v>
      </c>
      <c r="AQ642" t="e">
        <f t="shared" ca="1" si="317"/>
        <v>#VALUE!</v>
      </c>
      <c r="AR642" t="e">
        <f t="shared" ca="1" si="318"/>
        <v>#VALUE!</v>
      </c>
      <c r="AS642" t="e">
        <f t="shared" ca="1" si="319"/>
        <v>#VALUE!</v>
      </c>
    </row>
    <row r="643" spans="1:45" x14ac:dyDescent="0.35">
      <c r="A643">
        <v>494</v>
      </c>
      <c r="B643">
        <v>492.89499999999998</v>
      </c>
      <c r="C643">
        <v>616207.69099999999</v>
      </c>
      <c r="D643">
        <v>3097482.8969999999</v>
      </c>
      <c r="E643">
        <v>632.31550000000004</v>
      </c>
      <c r="F643">
        <v>5.2</v>
      </c>
      <c r="G643">
        <v>0</v>
      </c>
      <c r="H643" t="s">
        <v>191</v>
      </c>
      <c r="I643">
        <v>0.05</v>
      </c>
      <c r="J643">
        <f t="shared" si="320"/>
        <v>0.9989999999999668</v>
      </c>
      <c r="K643">
        <f t="shared" si="321"/>
        <v>51</v>
      </c>
      <c r="L643" t="e">
        <f t="shared" ca="1" si="322"/>
        <v>#VALUE!</v>
      </c>
      <c r="M643" t="e">
        <f t="shared" ca="1" si="295"/>
        <v>#VALUE!</v>
      </c>
      <c r="N643" t="e">
        <f t="shared" ca="1" si="296"/>
        <v>#VALUE!</v>
      </c>
      <c r="O643" t="e">
        <f t="shared" ca="1" si="297"/>
        <v>#VALUE!</v>
      </c>
      <c r="P643" t="e">
        <f t="shared" ca="1" si="298"/>
        <v>#VALUE!</v>
      </c>
      <c r="Q643" t="e">
        <f t="shared" ca="1" si="299"/>
        <v>#VALUE!</v>
      </c>
      <c r="R643" t="e">
        <f t="shared" ca="1" si="300"/>
        <v>#VALUE!</v>
      </c>
      <c r="S643" t="e">
        <f t="shared" ca="1" si="301"/>
        <v>#VALUE!</v>
      </c>
      <c r="T643" t="e">
        <f t="shared" ca="1" si="302"/>
        <v>#VALUE!</v>
      </c>
      <c r="U643" t="e">
        <f t="shared" ca="1" si="323"/>
        <v>#VALUE!</v>
      </c>
      <c r="V643" t="e">
        <f t="shared" ca="1" si="324"/>
        <v>#VALUE!</v>
      </c>
      <c r="W643" t="e">
        <f t="shared" ca="1" si="303"/>
        <v>#VALUE!</v>
      </c>
      <c r="X643" t="e">
        <f t="shared" ca="1" si="304"/>
        <v>#VALUE!</v>
      </c>
      <c r="Y643" t="e">
        <f t="shared" ca="1" si="305"/>
        <v>#VALUE!</v>
      </c>
      <c r="Z643" t="e">
        <f t="shared" ca="1" si="306"/>
        <v>#VALUE!</v>
      </c>
      <c r="AA643" t="e">
        <f t="shared" ca="1" si="307"/>
        <v>#VALUE!</v>
      </c>
      <c r="AB643" t="e">
        <f t="shared" ca="1" si="308"/>
        <v>#VALUE!</v>
      </c>
      <c r="AC643" t="e">
        <f t="shared" ca="1" si="309"/>
        <v>#VALUE!</v>
      </c>
      <c r="AD643" t="e">
        <f t="shared" ca="1" si="310"/>
        <v>#VALUE!</v>
      </c>
      <c r="AE643" t="e">
        <f t="shared" ca="1" si="311"/>
        <v>#VALUE!</v>
      </c>
      <c r="AF643" t="e">
        <f t="shared" ca="1" si="312"/>
        <v>#VALUE!</v>
      </c>
      <c r="AG643" t="e">
        <f t="shared" ca="1" si="313"/>
        <v>#VALUE!</v>
      </c>
      <c r="AH643" t="e">
        <f ca="1">IF(V32="Supercritical",L643,IF(V32="Subcritical",W643,IF(AND(V643=1,AG643=1),IF(T643&gt;=AE643,L643,W643),IF(V643=1,L643,IF(AG643=1,W643,MAX($D$16,POWER((ABS(K643)^2)/($I$5*MAX(F643,0.1)^2),1/3)))))))</f>
        <v>#VALUE!</v>
      </c>
      <c r="AI643" t="e">
        <f t="shared" ca="1" si="314"/>
        <v>#VALUE!</v>
      </c>
      <c r="AJ643" t="e">
        <f t="shared" ca="1" si="315"/>
        <v>#VALUE!</v>
      </c>
      <c r="AM643">
        <v>0</v>
      </c>
      <c r="AN643">
        <v>0</v>
      </c>
      <c r="AO643">
        <f t="shared" si="316"/>
        <v>0</v>
      </c>
      <c r="AP643">
        <f t="shared" si="325"/>
        <v>0</v>
      </c>
      <c r="AQ643" t="e">
        <f t="shared" ca="1" si="317"/>
        <v>#VALUE!</v>
      </c>
      <c r="AR643" t="e">
        <f t="shared" ca="1" si="318"/>
        <v>#VALUE!</v>
      </c>
      <c r="AS643" t="e">
        <f t="shared" ca="1" si="319"/>
        <v>#VALUE!</v>
      </c>
    </row>
    <row r="644" spans="1:45" x14ac:dyDescent="0.35">
      <c r="A644">
        <v>495</v>
      </c>
      <c r="B644">
        <v>493.89499999999998</v>
      </c>
      <c r="C644">
        <v>616207.21600000001</v>
      </c>
      <c r="D644">
        <v>3097482.017</v>
      </c>
      <c r="E644">
        <v>632.31500000000005</v>
      </c>
      <c r="F644">
        <v>5.2</v>
      </c>
      <c r="G644">
        <v>0</v>
      </c>
      <c r="H644" t="s">
        <v>191</v>
      </c>
      <c r="I644">
        <v>7.8E-2</v>
      </c>
      <c r="J644">
        <f t="shared" si="320"/>
        <v>1</v>
      </c>
      <c r="K644">
        <f t="shared" si="321"/>
        <v>51</v>
      </c>
      <c r="L644" t="e">
        <f t="shared" ca="1" si="322"/>
        <v>#VALUE!</v>
      </c>
      <c r="M644" t="e">
        <f t="shared" ca="1" si="295"/>
        <v>#VALUE!</v>
      </c>
      <c r="N644" t="e">
        <f t="shared" ca="1" si="296"/>
        <v>#VALUE!</v>
      </c>
      <c r="O644" t="e">
        <f t="shared" ca="1" si="297"/>
        <v>#VALUE!</v>
      </c>
      <c r="P644" t="e">
        <f t="shared" ca="1" si="298"/>
        <v>#VALUE!</v>
      </c>
      <c r="Q644" t="e">
        <f t="shared" ca="1" si="299"/>
        <v>#VALUE!</v>
      </c>
      <c r="R644" t="e">
        <f t="shared" ca="1" si="300"/>
        <v>#VALUE!</v>
      </c>
      <c r="S644" t="e">
        <f t="shared" ca="1" si="301"/>
        <v>#VALUE!</v>
      </c>
      <c r="T644" t="e">
        <f t="shared" ca="1" si="302"/>
        <v>#VALUE!</v>
      </c>
      <c r="U644" t="e">
        <f t="shared" ca="1" si="323"/>
        <v>#VALUE!</v>
      </c>
      <c r="V644" t="e">
        <f t="shared" ca="1" si="324"/>
        <v>#VALUE!</v>
      </c>
      <c r="W644" t="e">
        <f t="shared" ca="1" si="303"/>
        <v>#VALUE!</v>
      </c>
      <c r="X644" t="e">
        <f t="shared" ca="1" si="304"/>
        <v>#VALUE!</v>
      </c>
      <c r="Y644" t="e">
        <f t="shared" ca="1" si="305"/>
        <v>#VALUE!</v>
      </c>
      <c r="Z644" t="e">
        <f t="shared" ca="1" si="306"/>
        <v>#VALUE!</v>
      </c>
      <c r="AA644" t="e">
        <f t="shared" ca="1" si="307"/>
        <v>#VALUE!</v>
      </c>
      <c r="AB644" t="e">
        <f t="shared" ca="1" si="308"/>
        <v>#VALUE!</v>
      </c>
      <c r="AC644" t="e">
        <f t="shared" ca="1" si="309"/>
        <v>#VALUE!</v>
      </c>
      <c r="AD644" t="e">
        <f t="shared" ca="1" si="310"/>
        <v>#VALUE!</v>
      </c>
      <c r="AE644" t="e">
        <f t="shared" ca="1" si="311"/>
        <v>#VALUE!</v>
      </c>
      <c r="AF644" t="e">
        <f t="shared" ca="1" si="312"/>
        <v>#VALUE!</v>
      </c>
      <c r="AG644" t="e">
        <f t="shared" ca="1" si="313"/>
        <v>#VALUE!</v>
      </c>
      <c r="AH644" t="e">
        <f ca="1">IF(V32="Supercritical",L644,IF(V32="Subcritical",W644,IF(AND(V644=1,AG644=1),IF(T644&gt;=AE644,L644,W644),IF(V644=1,L644,IF(AG644=1,W644,MAX($D$16,POWER((ABS(K644)^2)/($I$5*MAX(F644,0.1)^2),1/3)))))))</f>
        <v>#VALUE!</v>
      </c>
      <c r="AI644" t="e">
        <f t="shared" ca="1" si="314"/>
        <v>#VALUE!</v>
      </c>
      <c r="AJ644" t="e">
        <f t="shared" ca="1" si="315"/>
        <v>#VALUE!</v>
      </c>
      <c r="AM644">
        <v>0</v>
      </c>
      <c r="AN644">
        <v>0</v>
      </c>
      <c r="AO644">
        <f t="shared" si="316"/>
        <v>0</v>
      </c>
      <c r="AP644">
        <f t="shared" si="325"/>
        <v>0</v>
      </c>
      <c r="AQ644" t="e">
        <f t="shared" ca="1" si="317"/>
        <v>#VALUE!</v>
      </c>
      <c r="AR644" t="e">
        <f t="shared" ca="1" si="318"/>
        <v>#VALUE!</v>
      </c>
      <c r="AS644" t="e">
        <f t="shared" ca="1" si="319"/>
        <v>#VALUE!</v>
      </c>
    </row>
    <row r="645" spans="1:45" x14ac:dyDescent="0.35">
      <c r="A645">
        <v>496</v>
      </c>
      <c r="B645">
        <v>494.89600000000002</v>
      </c>
      <c r="C645">
        <v>616206.74199999997</v>
      </c>
      <c r="D645">
        <v>3097481.1359999999</v>
      </c>
      <c r="E645">
        <v>632.31449999999995</v>
      </c>
      <c r="F645">
        <v>5.2</v>
      </c>
      <c r="G645">
        <v>0</v>
      </c>
      <c r="H645" t="s">
        <v>191</v>
      </c>
      <c r="I645">
        <v>2.7E-2</v>
      </c>
      <c r="J645">
        <f t="shared" si="320"/>
        <v>1.0010000000000332</v>
      </c>
      <c r="K645">
        <f t="shared" si="321"/>
        <v>51</v>
      </c>
      <c r="L645" t="e">
        <f t="shared" ca="1" si="322"/>
        <v>#VALUE!</v>
      </c>
      <c r="M645" t="e">
        <f t="shared" ca="1" si="295"/>
        <v>#VALUE!</v>
      </c>
      <c r="N645" t="e">
        <f t="shared" ca="1" si="296"/>
        <v>#VALUE!</v>
      </c>
      <c r="O645" t="e">
        <f t="shared" ca="1" si="297"/>
        <v>#VALUE!</v>
      </c>
      <c r="P645" t="e">
        <f t="shared" ca="1" si="298"/>
        <v>#VALUE!</v>
      </c>
      <c r="Q645" t="e">
        <f t="shared" ca="1" si="299"/>
        <v>#VALUE!</v>
      </c>
      <c r="R645" t="e">
        <f t="shared" ca="1" si="300"/>
        <v>#VALUE!</v>
      </c>
      <c r="S645" t="e">
        <f t="shared" ca="1" si="301"/>
        <v>#VALUE!</v>
      </c>
      <c r="T645" t="e">
        <f t="shared" ca="1" si="302"/>
        <v>#VALUE!</v>
      </c>
      <c r="U645" t="e">
        <f t="shared" ca="1" si="323"/>
        <v>#VALUE!</v>
      </c>
      <c r="V645" t="e">
        <f t="shared" ca="1" si="324"/>
        <v>#VALUE!</v>
      </c>
      <c r="W645" t="e">
        <f t="shared" ca="1" si="303"/>
        <v>#VALUE!</v>
      </c>
      <c r="X645" t="e">
        <f t="shared" ca="1" si="304"/>
        <v>#VALUE!</v>
      </c>
      <c r="Y645" t="e">
        <f t="shared" ca="1" si="305"/>
        <v>#VALUE!</v>
      </c>
      <c r="Z645" t="e">
        <f t="shared" ca="1" si="306"/>
        <v>#VALUE!</v>
      </c>
      <c r="AA645" t="e">
        <f t="shared" ca="1" si="307"/>
        <v>#VALUE!</v>
      </c>
      <c r="AB645" t="e">
        <f t="shared" ca="1" si="308"/>
        <v>#VALUE!</v>
      </c>
      <c r="AC645" t="e">
        <f t="shared" ca="1" si="309"/>
        <v>#VALUE!</v>
      </c>
      <c r="AD645" t="e">
        <f t="shared" ca="1" si="310"/>
        <v>#VALUE!</v>
      </c>
      <c r="AE645" t="e">
        <f t="shared" ca="1" si="311"/>
        <v>#VALUE!</v>
      </c>
      <c r="AF645" t="e">
        <f t="shared" ca="1" si="312"/>
        <v>#VALUE!</v>
      </c>
      <c r="AG645" t="e">
        <f t="shared" ca="1" si="313"/>
        <v>#VALUE!</v>
      </c>
      <c r="AH645" t="e">
        <f ca="1">IF(V32="Supercritical",L645,IF(V32="Subcritical",W645,IF(AND(V645=1,AG645=1),IF(T645&gt;=AE645,L645,W645),IF(V645=1,L645,IF(AG645=1,W645,MAX($D$16,POWER((ABS(K645)^2)/($I$5*MAX(F645,0.1)^2),1/3)))))))</f>
        <v>#VALUE!</v>
      </c>
      <c r="AI645" t="e">
        <f t="shared" ca="1" si="314"/>
        <v>#VALUE!</v>
      </c>
      <c r="AJ645" t="e">
        <f t="shared" ca="1" si="315"/>
        <v>#VALUE!</v>
      </c>
      <c r="AM645">
        <v>0</v>
      </c>
      <c r="AN645">
        <v>0</v>
      </c>
      <c r="AO645">
        <f t="shared" si="316"/>
        <v>0</v>
      </c>
      <c r="AP645">
        <f t="shared" si="325"/>
        <v>0</v>
      </c>
      <c r="AQ645" t="e">
        <f t="shared" ca="1" si="317"/>
        <v>#VALUE!</v>
      </c>
      <c r="AR645" t="e">
        <f t="shared" ca="1" si="318"/>
        <v>#VALUE!</v>
      </c>
      <c r="AS645" t="e">
        <f t="shared" ca="1" si="319"/>
        <v>#VALUE!</v>
      </c>
    </row>
    <row r="646" spans="1:45" x14ac:dyDescent="0.35">
      <c r="A646">
        <v>497</v>
      </c>
      <c r="B646">
        <v>495.89499999999998</v>
      </c>
      <c r="C646">
        <v>616206.26800000004</v>
      </c>
      <c r="D646">
        <v>3097480.2560000001</v>
      </c>
      <c r="E646">
        <v>632.31399999999996</v>
      </c>
      <c r="F646">
        <v>5.2</v>
      </c>
      <c r="G646">
        <v>0</v>
      </c>
      <c r="H646" t="s">
        <v>191</v>
      </c>
      <c r="I646">
        <v>2.7E-2</v>
      </c>
      <c r="J646">
        <f t="shared" si="320"/>
        <v>0.9989999999999668</v>
      </c>
      <c r="K646">
        <f t="shared" si="321"/>
        <v>51</v>
      </c>
      <c r="L646" t="e">
        <f t="shared" ca="1" si="322"/>
        <v>#VALUE!</v>
      </c>
      <c r="M646" t="e">
        <f t="shared" ca="1" si="295"/>
        <v>#VALUE!</v>
      </c>
      <c r="N646" t="e">
        <f t="shared" ca="1" si="296"/>
        <v>#VALUE!</v>
      </c>
      <c r="O646" t="e">
        <f t="shared" ca="1" si="297"/>
        <v>#VALUE!</v>
      </c>
      <c r="P646" t="e">
        <f t="shared" ca="1" si="298"/>
        <v>#VALUE!</v>
      </c>
      <c r="Q646" t="e">
        <f t="shared" ca="1" si="299"/>
        <v>#VALUE!</v>
      </c>
      <c r="R646" t="e">
        <f t="shared" ca="1" si="300"/>
        <v>#VALUE!</v>
      </c>
      <c r="S646" t="e">
        <f t="shared" ca="1" si="301"/>
        <v>#VALUE!</v>
      </c>
      <c r="T646" t="e">
        <f t="shared" ca="1" si="302"/>
        <v>#VALUE!</v>
      </c>
      <c r="U646" t="e">
        <f t="shared" ca="1" si="323"/>
        <v>#VALUE!</v>
      </c>
      <c r="V646" t="e">
        <f t="shared" ca="1" si="324"/>
        <v>#VALUE!</v>
      </c>
      <c r="W646" t="e">
        <f t="shared" ca="1" si="303"/>
        <v>#VALUE!</v>
      </c>
      <c r="X646" t="e">
        <f t="shared" ca="1" si="304"/>
        <v>#VALUE!</v>
      </c>
      <c r="Y646" t="e">
        <f t="shared" ca="1" si="305"/>
        <v>#VALUE!</v>
      </c>
      <c r="Z646" t="e">
        <f t="shared" ca="1" si="306"/>
        <v>#VALUE!</v>
      </c>
      <c r="AA646" t="e">
        <f t="shared" ca="1" si="307"/>
        <v>#VALUE!</v>
      </c>
      <c r="AB646" t="e">
        <f t="shared" ca="1" si="308"/>
        <v>#VALUE!</v>
      </c>
      <c r="AC646" t="e">
        <f t="shared" ca="1" si="309"/>
        <v>#VALUE!</v>
      </c>
      <c r="AD646" t="e">
        <f t="shared" ca="1" si="310"/>
        <v>#VALUE!</v>
      </c>
      <c r="AE646" t="e">
        <f t="shared" ca="1" si="311"/>
        <v>#VALUE!</v>
      </c>
      <c r="AF646" t="e">
        <f t="shared" ca="1" si="312"/>
        <v>#VALUE!</v>
      </c>
      <c r="AG646" t="e">
        <f t="shared" ca="1" si="313"/>
        <v>#VALUE!</v>
      </c>
      <c r="AH646" t="e">
        <f ca="1">IF(V32="Supercritical",L646,IF(V32="Subcritical",W646,IF(AND(V646=1,AG646=1),IF(T646&gt;=AE646,L646,W646),IF(V646=1,L646,IF(AG646=1,W646,MAX($D$16,POWER((ABS(K646)^2)/($I$5*MAX(F646,0.1)^2),1/3)))))))</f>
        <v>#VALUE!</v>
      </c>
      <c r="AI646" t="e">
        <f t="shared" ca="1" si="314"/>
        <v>#VALUE!</v>
      </c>
      <c r="AJ646" t="e">
        <f t="shared" ca="1" si="315"/>
        <v>#VALUE!</v>
      </c>
      <c r="AM646">
        <v>0</v>
      </c>
      <c r="AN646">
        <v>0</v>
      </c>
      <c r="AO646">
        <f t="shared" si="316"/>
        <v>0</v>
      </c>
      <c r="AP646">
        <f t="shared" si="325"/>
        <v>0</v>
      </c>
      <c r="AQ646" t="e">
        <f t="shared" ca="1" si="317"/>
        <v>#VALUE!</v>
      </c>
      <c r="AR646" t="e">
        <f t="shared" ca="1" si="318"/>
        <v>#VALUE!</v>
      </c>
      <c r="AS646" t="e">
        <f t="shared" ca="1" si="319"/>
        <v>#VALUE!</v>
      </c>
    </row>
    <row r="647" spans="1:45" x14ac:dyDescent="0.35">
      <c r="A647">
        <v>498</v>
      </c>
      <c r="B647">
        <v>496.89600000000002</v>
      </c>
      <c r="C647">
        <v>616205.79399999999</v>
      </c>
      <c r="D647">
        <v>3097479.375</v>
      </c>
      <c r="E647">
        <v>632.31349999999998</v>
      </c>
      <c r="F647">
        <v>5.2</v>
      </c>
      <c r="G647">
        <v>0</v>
      </c>
      <c r="H647" t="s">
        <v>191</v>
      </c>
      <c r="I647">
        <v>2.7E-2</v>
      </c>
      <c r="J647">
        <f t="shared" si="320"/>
        <v>1.0010000000000332</v>
      </c>
      <c r="K647">
        <f t="shared" si="321"/>
        <v>51</v>
      </c>
      <c r="L647" t="e">
        <f t="shared" ca="1" si="322"/>
        <v>#VALUE!</v>
      </c>
      <c r="M647" t="e">
        <f t="shared" ca="1" si="295"/>
        <v>#VALUE!</v>
      </c>
      <c r="N647" t="e">
        <f t="shared" ca="1" si="296"/>
        <v>#VALUE!</v>
      </c>
      <c r="O647" t="e">
        <f t="shared" ca="1" si="297"/>
        <v>#VALUE!</v>
      </c>
      <c r="P647" t="e">
        <f t="shared" ca="1" si="298"/>
        <v>#VALUE!</v>
      </c>
      <c r="Q647" t="e">
        <f t="shared" ca="1" si="299"/>
        <v>#VALUE!</v>
      </c>
      <c r="R647" t="e">
        <f t="shared" ca="1" si="300"/>
        <v>#VALUE!</v>
      </c>
      <c r="S647" t="e">
        <f t="shared" ca="1" si="301"/>
        <v>#VALUE!</v>
      </c>
      <c r="T647" t="e">
        <f t="shared" ca="1" si="302"/>
        <v>#VALUE!</v>
      </c>
      <c r="U647" t="e">
        <f t="shared" ca="1" si="323"/>
        <v>#VALUE!</v>
      </c>
      <c r="V647" t="e">
        <f t="shared" ca="1" si="324"/>
        <v>#VALUE!</v>
      </c>
      <c r="W647" t="e">
        <f t="shared" ca="1" si="303"/>
        <v>#VALUE!</v>
      </c>
      <c r="X647" t="e">
        <f t="shared" ca="1" si="304"/>
        <v>#VALUE!</v>
      </c>
      <c r="Y647" t="e">
        <f t="shared" ca="1" si="305"/>
        <v>#VALUE!</v>
      </c>
      <c r="Z647" t="e">
        <f t="shared" ca="1" si="306"/>
        <v>#VALUE!</v>
      </c>
      <c r="AA647" t="e">
        <f t="shared" ca="1" si="307"/>
        <v>#VALUE!</v>
      </c>
      <c r="AB647" t="e">
        <f t="shared" ca="1" si="308"/>
        <v>#VALUE!</v>
      </c>
      <c r="AC647" t="e">
        <f t="shared" ca="1" si="309"/>
        <v>#VALUE!</v>
      </c>
      <c r="AD647" t="e">
        <f t="shared" ca="1" si="310"/>
        <v>#VALUE!</v>
      </c>
      <c r="AE647" t="e">
        <f t="shared" ca="1" si="311"/>
        <v>#VALUE!</v>
      </c>
      <c r="AF647" t="e">
        <f t="shared" ca="1" si="312"/>
        <v>#VALUE!</v>
      </c>
      <c r="AG647" t="e">
        <f t="shared" ca="1" si="313"/>
        <v>#VALUE!</v>
      </c>
      <c r="AH647" t="e">
        <f ca="1">IF(V32="Supercritical",L647,IF(V32="Subcritical",W647,IF(AND(V647=1,AG647=1),IF(T647&gt;=AE647,L647,W647),IF(V647=1,L647,IF(AG647=1,W647,MAX($D$16,POWER((ABS(K647)^2)/($I$5*MAX(F647,0.1)^2),1/3)))))))</f>
        <v>#VALUE!</v>
      </c>
      <c r="AI647" t="e">
        <f t="shared" ca="1" si="314"/>
        <v>#VALUE!</v>
      </c>
      <c r="AJ647" t="e">
        <f t="shared" ca="1" si="315"/>
        <v>#VALUE!</v>
      </c>
      <c r="AM647">
        <v>0</v>
      </c>
      <c r="AN647">
        <v>0</v>
      </c>
      <c r="AO647">
        <f t="shared" si="316"/>
        <v>0</v>
      </c>
      <c r="AP647">
        <f t="shared" si="325"/>
        <v>0</v>
      </c>
      <c r="AQ647" t="e">
        <f t="shared" ca="1" si="317"/>
        <v>#VALUE!</v>
      </c>
      <c r="AR647" t="e">
        <f t="shared" ca="1" si="318"/>
        <v>#VALUE!</v>
      </c>
      <c r="AS647" t="e">
        <f t="shared" ca="1" si="319"/>
        <v>#VALUE!</v>
      </c>
    </row>
    <row r="648" spans="1:45" x14ac:dyDescent="0.35">
      <c r="A648">
        <v>499</v>
      </c>
      <c r="B648">
        <v>497.89499999999998</v>
      </c>
      <c r="C648">
        <v>616205.31999999995</v>
      </c>
      <c r="D648">
        <v>3097478.4950000001</v>
      </c>
      <c r="E648">
        <v>632.31299999999999</v>
      </c>
      <c r="F648">
        <v>5.2</v>
      </c>
      <c r="G648">
        <v>0</v>
      </c>
      <c r="H648" t="s">
        <v>191</v>
      </c>
      <c r="I648">
        <v>0.05</v>
      </c>
      <c r="J648">
        <f t="shared" si="320"/>
        <v>0.9989999999999668</v>
      </c>
      <c r="K648">
        <f t="shared" si="321"/>
        <v>51</v>
      </c>
      <c r="L648" t="e">
        <f t="shared" ca="1" si="322"/>
        <v>#VALUE!</v>
      </c>
      <c r="M648" t="e">
        <f t="shared" ca="1" si="295"/>
        <v>#VALUE!</v>
      </c>
      <c r="N648" t="e">
        <f t="shared" ca="1" si="296"/>
        <v>#VALUE!</v>
      </c>
      <c r="O648" t="e">
        <f t="shared" ca="1" si="297"/>
        <v>#VALUE!</v>
      </c>
      <c r="P648" t="e">
        <f t="shared" ca="1" si="298"/>
        <v>#VALUE!</v>
      </c>
      <c r="Q648" t="e">
        <f t="shared" ca="1" si="299"/>
        <v>#VALUE!</v>
      </c>
      <c r="R648" t="e">
        <f t="shared" ca="1" si="300"/>
        <v>#VALUE!</v>
      </c>
      <c r="S648" t="e">
        <f t="shared" ca="1" si="301"/>
        <v>#VALUE!</v>
      </c>
      <c r="T648" t="e">
        <f t="shared" ca="1" si="302"/>
        <v>#VALUE!</v>
      </c>
      <c r="U648" t="e">
        <f t="shared" ca="1" si="323"/>
        <v>#VALUE!</v>
      </c>
      <c r="V648" t="e">
        <f t="shared" ca="1" si="324"/>
        <v>#VALUE!</v>
      </c>
      <c r="W648" t="e">
        <f t="shared" ca="1" si="303"/>
        <v>#VALUE!</v>
      </c>
      <c r="X648" t="e">
        <f t="shared" ca="1" si="304"/>
        <v>#VALUE!</v>
      </c>
      <c r="Y648" t="e">
        <f t="shared" ca="1" si="305"/>
        <v>#VALUE!</v>
      </c>
      <c r="Z648" t="e">
        <f t="shared" ca="1" si="306"/>
        <v>#VALUE!</v>
      </c>
      <c r="AA648" t="e">
        <f t="shared" ca="1" si="307"/>
        <v>#VALUE!</v>
      </c>
      <c r="AB648" t="e">
        <f t="shared" ca="1" si="308"/>
        <v>#VALUE!</v>
      </c>
      <c r="AC648" t="e">
        <f t="shared" ca="1" si="309"/>
        <v>#VALUE!</v>
      </c>
      <c r="AD648" t="e">
        <f t="shared" ca="1" si="310"/>
        <v>#VALUE!</v>
      </c>
      <c r="AE648" t="e">
        <f t="shared" ca="1" si="311"/>
        <v>#VALUE!</v>
      </c>
      <c r="AF648" t="e">
        <f t="shared" ca="1" si="312"/>
        <v>#VALUE!</v>
      </c>
      <c r="AG648" t="e">
        <f t="shared" ca="1" si="313"/>
        <v>#VALUE!</v>
      </c>
      <c r="AH648" t="e">
        <f ca="1">IF(V32="Supercritical",L648,IF(V32="Subcritical",W648,IF(AND(V648=1,AG648=1),IF(T648&gt;=AE648,L648,W648),IF(V648=1,L648,IF(AG648=1,W648,MAX($D$16,POWER((ABS(K648)^2)/($I$5*MAX(F648,0.1)^2),1/3)))))))</f>
        <v>#VALUE!</v>
      </c>
      <c r="AI648" t="e">
        <f t="shared" ca="1" si="314"/>
        <v>#VALUE!</v>
      </c>
      <c r="AJ648" t="e">
        <f t="shared" ca="1" si="315"/>
        <v>#VALUE!</v>
      </c>
      <c r="AM648">
        <v>0</v>
      </c>
      <c r="AN648">
        <v>0</v>
      </c>
      <c r="AO648">
        <f t="shared" si="316"/>
        <v>0</v>
      </c>
      <c r="AP648">
        <f t="shared" si="325"/>
        <v>0</v>
      </c>
      <c r="AQ648" t="e">
        <f t="shared" ca="1" si="317"/>
        <v>#VALUE!</v>
      </c>
      <c r="AR648" t="e">
        <f t="shared" ca="1" si="318"/>
        <v>#VALUE!</v>
      </c>
      <c r="AS648" t="e">
        <f t="shared" ca="1" si="319"/>
        <v>#VALUE!</v>
      </c>
    </row>
    <row r="649" spans="1:45" x14ac:dyDescent="0.35">
      <c r="A649">
        <v>500</v>
      </c>
      <c r="B649">
        <v>498.89499999999998</v>
      </c>
      <c r="C649">
        <v>616204.84499999997</v>
      </c>
      <c r="D649">
        <v>3097477.6150000002</v>
      </c>
      <c r="E649">
        <v>632.3125</v>
      </c>
      <c r="F649">
        <v>5.2</v>
      </c>
      <c r="G649">
        <v>0</v>
      </c>
      <c r="H649" t="s">
        <v>191</v>
      </c>
      <c r="I649">
        <v>7.8E-2</v>
      </c>
      <c r="J649">
        <f t="shared" si="320"/>
        <v>1</v>
      </c>
      <c r="K649">
        <f t="shared" si="321"/>
        <v>51</v>
      </c>
      <c r="L649" t="e">
        <f t="shared" ca="1" si="322"/>
        <v>#VALUE!</v>
      </c>
      <c r="M649" t="e">
        <f t="shared" ca="1" si="295"/>
        <v>#VALUE!</v>
      </c>
      <c r="N649" t="e">
        <f t="shared" ca="1" si="296"/>
        <v>#VALUE!</v>
      </c>
      <c r="O649" t="e">
        <f t="shared" ca="1" si="297"/>
        <v>#VALUE!</v>
      </c>
      <c r="P649" t="e">
        <f t="shared" ca="1" si="298"/>
        <v>#VALUE!</v>
      </c>
      <c r="Q649" t="e">
        <f t="shared" ca="1" si="299"/>
        <v>#VALUE!</v>
      </c>
      <c r="R649" t="e">
        <f t="shared" ca="1" si="300"/>
        <v>#VALUE!</v>
      </c>
      <c r="S649" t="e">
        <f t="shared" ca="1" si="301"/>
        <v>#VALUE!</v>
      </c>
      <c r="T649" t="e">
        <f t="shared" ca="1" si="302"/>
        <v>#VALUE!</v>
      </c>
      <c r="U649" t="e">
        <f t="shared" ca="1" si="323"/>
        <v>#VALUE!</v>
      </c>
      <c r="V649" t="e">
        <f t="shared" ca="1" si="324"/>
        <v>#VALUE!</v>
      </c>
      <c r="W649" t="e">
        <f t="shared" ca="1" si="303"/>
        <v>#VALUE!</v>
      </c>
      <c r="X649" t="e">
        <f t="shared" ca="1" si="304"/>
        <v>#VALUE!</v>
      </c>
      <c r="Y649" t="e">
        <f t="shared" ca="1" si="305"/>
        <v>#VALUE!</v>
      </c>
      <c r="Z649" t="e">
        <f t="shared" ca="1" si="306"/>
        <v>#VALUE!</v>
      </c>
      <c r="AA649" t="e">
        <f t="shared" ca="1" si="307"/>
        <v>#VALUE!</v>
      </c>
      <c r="AB649" t="e">
        <f t="shared" ca="1" si="308"/>
        <v>#VALUE!</v>
      </c>
      <c r="AC649" t="e">
        <f t="shared" ca="1" si="309"/>
        <v>#VALUE!</v>
      </c>
      <c r="AD649" t="e">
        <f t="shared" ca="1" si="310"/>
        <v>#VALUE!</v>
      </c>
      <c r="AE649" t="e">
        <f t="shared" ca="1" si="311"/>
        <v>#VALUE!</v>
      </c>
      <c r="AF649" t="e">
        <f t="shared" ca="1" si="312"/>
        <v>#VALUE!</v>
      </c>
      <c r="AG649" t="e">
        <f t="shared" ca="1" si="313"/>
        <v>#VALUE!</v>
      </c>
      <c r="AH649" t="e">
        <f ca="1">IF(V32="Supercritical",L649,IF(V32="Subcritical",W649,IF(AND(V649=1,AG649=1),IF(T649&gt;=AE649,L649,W649),IF(V649=1,L649,IF(AG649=1,W649,MAX($D$16,POWER((ABS(K649)^2)/($I$5*MAX(F649,0.1)^2),1/3)))))))</f>
        <v>#VALUE!</v>
      </c>
      <c r="AI649" t="e">
        <f t="shared" ca="1" si="314"/>
        <v>#VALUE!</v>
      </c>
      <c r="AJ649" t="e">
        <f t="shared" ca="1" si="315"/>
        <v>#VALUE!</v>
      </c>
      <c r="AM649">
        <v>0</v>
      </c>
      <c r="AN649">
        <v>0</v>
      </c>
      <c r="AO649">
        <f t="shared" si="316"/>
        <v>0</v>
      </c>
      <c r="AP649">
        <f t="shared" si="325"/>
        <v>0</v>
      </c>
      <c r="AQ649" t="e">
        <f t="shared" ca="1" si="317"/>
        <v>#VALUE!</v>
      </c>
      <c r="AR649" t="e">
        <f t="shared" ca="1" si="318"/>
        <v>#VALUE!</v>
      </c>
      <c r="AS649" t="e">
        <f t="shared" ca="1" si="319"/>
        <v>#VALUE!</v>
      </c>
    </row>
    <row r="650" spans="1:45" x14ac:dyDescent="0.35">
      <c r="A650">
        <v>501</v>
      </c>
      <c r="B650">
        <v>499.89600000000002</v>
      </c>
      <c r="C650">
        <v>616204.37100000004</v>
      </c>
      <c r="D650">
        <v>3097476.7340000002</v>
      </c>
      <c r="E650">
        <v>632.31200000000001</v>
      </c>
      <c r="F650">
        <v>5.2</v>
      </c>
      <c r="G650">
        <v>0</v>
      </c>
      <c r="H650" t="s">
        <v>191</v>
      </c>
      <c r="I650">
        <v>2.7E-2</v>
      </c>
      <c r="J650">
        <f t="shared" si="320"/>
        <v>1.0010000000000332</v>
      </c>
      <c r="K650">
        <f t="shared" si="321"/>
        <v>51</v>
      </c>
      <c r="L650" t="e">
        <f t="shared" ca="1" si="322"/>
        <v>#VALUE!</v>
      </c>
      <c r="M650" t="e">
        <f t="shared" ca="1" si="295"/>
        <v>#VALUE!</v>
      </c>
      <c r="N650" t="e">
        <f t="shared" ca="1" si="296"/>
        <v>#VALUE!</v>
      </c>
      <c r="O650" t="e">
        <f t="shared" ca="1" si="297"/>
        <v>#VALUE!</v>
      </c>
      <c r="P650" t="e">
        <f t="shared" ca="1" si="298"/>
        <v>#VALUE!</v>
      </c>
      <c r="Q650" t="e">
        <f t="shared" ca="1" si="299"/>
        <v>#VALUE!</v>
      </c>
      <c r="R650" t="e">
        <f t="shared" ca="1" si="300"/>
        <v>#VALUE!</v>
      </c>
      <c r="S650" t="e">
        <f t="shared" ca="1" si="301"/>
        <v>#VALUE!</v>
      </c>
      <c r="T650" t="e">
        <f t="shared" ca="1" si="302"/>
        <v>#VALUE!</v>
      </c>
      <c r="U650" t="e">
        <f t="shared" ca="1" si="323"/>
        <v>#VALUE!</v>
      </c>
      <c r="V650" t="e">
        <f t="shared" ca="1" si="324"/>
        <v>#VALUE!</v>
      </c>
      <c r="W650" t="e">
        <f t="shared" ca="1" si="303"/>
        <v>#VALUE!</v>
      </c>
      <c r="X650" t="e">
        <f t="shared" ca="1" si="304"/>
        <v>#VALUE!</v>
      </c>
      <c r="Y650" t="e">
        <f t="shared" ca="1" si="305"/>
        <v>#VALUE!</v>
      </c>
      <c r="Z650" t="e">
        <f t="shared" ca="1" si="306"/>
        <v>#VALUE!</v>
      </c>
      <c r="AA650" t="e">
        <f t="shared" ca="1" si="307"/>
        <v>#VALUE!</v>
      </c>
      <c r="AB650" t="e">
        <f t="shared" ca="1" si="308"/>
        <v>#VALUE!</v>
      </c>
      <c r="AC650" t="e">
        <f t="shared" ca="1" si="309"/>
        <v>#VALUE!</v>
      </c>
      <c r="AD650" t="e">
        <f t="shared" ca="1" si="310"/>
        <v>#VALUE!</v>
      </c>
      <c r="AE650" t="e">
        <f t="shared" ca="1" si="311"/>
        <v>#VALUE!</v>
      </c>
      <c r="AF650" t="e">
        <f t="shared" ca="1" si="312"/>
        <v>#VALUE!</v>
      </c>
      <c r="AG650" t="e">
        <f t="shared" ca="1" si="313"/>
        <v>#VALUE!</v>
      </c>
      <c r="AH650" t="e">
        <f ca="1">IF(V32="Supercritical",L650,IF(V32="Subcritical",W650,IF(AND(V650=1,AG650=1),IF(T650&gt;=AE650,L650,W650),IF(V650=1,L650,IF(AG650=1,W650,MAX($D$16,POWER((ABS(K650)^2)/($I$5*MAX(F650,0.1)^2),1/3)))))))</f>
        <v>#VALUE!</v>
      </c>
      <c r="AI650" t="e">
        <f t="shared" ca="1" si="314"/>
        <v>#VALUE!</v>
      </c>
      <c r="AJ650" t="e">
        <f t="shared" ca="1" si="315"/>
        <v>#VALUE!</v>
      </c>
      <c r="AM650">
        <v>0</v>
      </c>
      <c r="AN650">
        <v>0</v>
      </c>
      <c r="AO650">
        <f t="shared" si="316"/>
        <v>0</v>
      </c>
      <c r="AP650">
        <f t="shared" si="325"/>
        <v>0</v>
      </c>
      <c r="AQ650" t="e">
        <f t="shared" ca="1" si="317"/>
        <v>#VALUE!</v>
      </c>
      <c r="AR650" t="e">
        <f t="shared" ca="1" si="318"/>
        <v>#VALUE!</v>
      </c>
      <c r="AS650" t="e">
        <f t="shared" ca="1" si="319"/>
        <v>#VALUE!</v>
      </c>
    </row>
    <row r="651" spans="1:45" x14ac:dyDescent="0.35">
      <c r="A651">
        <v>502</v>
      </c>
      <c r="B651">
        <v>500.89499999999998</v>
      </c>
      <c r="C651">
        <v>616203.897</v>
      </c>
      <c r="D651">
        <v>3097475.8539999998</v>
      </c>
      <c r="E651">
        <v>632.31150000000002</v>
      </c>
      <c r="F651">
        <v>5.2</v>
      </c>
      <c r="G651">
        <v>0</v>
      </c>
      <c r="H651" t="s">
        <v>191</v>
      </c>
      <c r="I651">
        <v>2.7E-2</v>
      </c>
      <c r="J651">
        <f t="shared" si="320"/>
        <v>0.9989999999999668</v>
      </c>
      <c r="K651">
        <f t="shared" si="321"/>
        <v>51</v>
      </c>
      <c r="L651" t="e">
        <f t="shared" ca="1" si="322"/>
        <v>#VALUE!</v>
      </c>
      <c r="M651" t="e">
        <f t="shared" ca="1" si="295"/>
        <v>#VALUE!</v>
      </c>
      <c r="N651" t="e">
        <f t="shared" ca="1" si="296"/>
        <v>#VALUE!</v>
      </c>
      <c r="O651" t="e">
        <f t="shared" ca="1" si="297"/>
        <v>#VALUE!</v>
      </c>
      <c r="P651" t="e">
        <f t="shared" ca="1" si="298"/>
        <v>#VALUE!</v>
      </c>
      <c r="Q651" t="e">
        <f t="shared" ca="1" si="299"/>
        <v>#VALUE!</v>
      </c>
      <c r="R651" t="e">
        <f t="shared" ca="1" si="300"/>
        <v>#VALUE!</v>
      </c>
      <c r="S651" t="e">
        <f t="shared" ca="1" si="301"/>
        <v>#VALUE!</v>
      </c>
      <c r="T651" t="e">
        <f t="shared" ca="1" si="302"/>
        <v>#VALUE!</v>
      </c>
      <c r="U651" t="e">
        <f t="shared" ca="1" si="323"/>
        <v>#VALUE!</v>
      </c>
      <c r="V651" t="e">
        <f t="shared" ca="1" si="324"/>
        <v>#VALUE!</v>
      </c>
      <c r="W651" t="e">
        <f t="shared" ca="1" si="303"/>
        <v>#VALUE!</v>
      </c>
      <c r="X651" t="e">
        <f t="shared" ca="1" si="304"/>
        <v>#VALUE!</v>
      </c>
      <c r="Y651" t="e">
        <f t="shared" ca="1" si="305"/>
        <v>#VALUE!</v>
      </c>
      <c r="Z651" t="e">
        <f t="shared" ca="1" si="306"/>
        <v>#VALUE!</v>
      </c>
      <c r="AA651" t="e">
        <f t="shared" ca="1" si="307"/>
        <v>#VALUE!</v>
      </c>
      <c r="AB651" t="e">
        <f t="shared" ca="1" si="308"/>
        <v>#VALUE!</v>
      </c>
      <c r="AC651" t="e">
        <f t="shared" ca="1" si="309"/>
        <v>#VALUE!</v>
      </c>
      <c r="AD651" t="e">
        <f t="shared" ca="1" si="310"/>
        <v>#VALUE!</v>
      </c>
      <c r="AE651" t="e">
        <f t="shared" ca="1" si="311"/>
        <v>#VALUE!</v>
      </c>
      <c r="AF651" t="e">
        <f t="shared" ca="1" si="312"/>
        <v>#VALUE!</v>
      </c>
      <c r="AG651" t="e">
        <f t="shared" ca="1" si="313"/>
        <v>#VALUE!</v>
      </c>
      <c r="AH651" t="e">
        <f ca="1">IF(V32="Supercritical",L651,IF(V32="Subcritical",W651,IF(AND(V651=1,AG651=1),IF(T651&gt;=AE651,L651,W651),IF(V651=1,L651,IF(AG651=1,W651,MAX($D$16,POWER((ABS(K651)^2)/($I$5*MAX(F651,0.1)^2),1/3)))))))</f>
        <v>#VALUE!</v>
      </c>
      <c r="AI651" t="e">
        <f t="shared" ca="1" si="314"/>
        <v>#VALUE!</v>
      </c>
      <c r="AJ651" t="e">
        <f t="shared" ca="1" si="315"/>
        <v>#VALUE!</v>
      </c>
      <c r="AM651">
        <v>0</v>
      </c>
      <c r="AN651">
        <v>0</v>
      </c>
      <c r="AO651">
        <f t="shared" si="316"/>
        <v>0</v>
      </c>
      <c r="AP651">
        <f t="shared" si="325"/>
        <v>0</v>
      </c>
      <c r="AQ651" t="e">
        <f t="shared" ca="1" si="317"/>
        <v>#VALUE!</v>
      </c>
      <c r="AR651" t="e">
        <f t="shared" ca="1" si="318"/>
        <v>#VALUE!</v>
      </c>
      <c r="AS651" t="e">
        <f t="shared" ca="1" si="319"/>
        <v>#VALUE!</v>
      </c>
    </row>
    <row r="652" spans="1:45" x14ac:dyDescent="0.35">
      <c r="A652">
        <v>503</v>
      </c>
      <c r="B652">
        <v>501.89600000000002</v>
      </c>
      <c r="C652">
        <v>616203.42299999995</v>
      </c>
      <c r="D652">
        <v>3097474.9730000002</v>
      </c>
      <c r="E652">
        <v>632.31100000000004</v>
      </c>
      <c r="F652">
        <v>5.2</v>
      </c>
      <c r="G652">
        <v>0</v>
      </c>
      <c r="H652" t="s">
        <v>191</v>
      </c>
      <c r="I652">
        <v>7.8E-2</v>
      </c>
      <c r="J652">
        <f t="shared" si="320"/>
        <v>1.0010000000000332</v>
      </c>
      <c r="K652">
        <f t="shared" si="321"/>
        <v>51</v>
      </c>
      <c r="L652" t="e">
        <f t="shared" ca="1" si="322"/>
        <v>#VALUE!</v>
      </c>
      <c r="M652" t="e">
        <f t="shared" ca="1" si="295"/>
        <v>#VALUE!</v>
      </c>
      <c r="N652" t="e">
        <f t="shared" ca="1" si="296"/>
        <v>#VALUE!</v>
      </c>
      <c r="O652" t="e">
        <f t="shared" ca="1" si="297"/>
        <v>#VALUE!</v>
      </c>
      <c r="P652" t="e">
        <f t="shared" ca="1" si="298"/>
        <v>#VALUE!</v>
      </c>
      <c r="Q652" t="e">
        <f t="shared" ca="1" si="299"/>
        <v>#VALUE!</v>
      </c>
      <c r="R652" t="e">
        <f t="shared" ca="1" si="300"/>
        <v>#VALUE!</v>
      </c>
      <c r="S652" t="e">
        <f t="shared" ca="1" si="301"/>
        <v>#VALUE!</v>
      </c>
      <c r="T652" t="e">
        <f t="shared" ca="1" si="302"/>
        <v>#VALUE!</v>
      </c>
      <c r="U652" t="e">
        <f t="shared" ca="1" si="323"/>
        <v>#VALUE!</v>
      </c>
      <c r="V652" t="e">
        <f t="shared" ca="1" si="324"/>
        <v>#VALUE!</v>
      </c>
      <c r="W652" t="e">
        <f t="shared" ca="1" si="303"/>
        <v>#VALUE!</v>
      </c>
      <c r="X652" t="e">
        <f t="shared" ca="1" si="304"/>
        <v>#VALUE!</v>
      </c>
      <c r="Y652" t="e">
        <f t="shared" ca="1" si="305"/>
        <v>#VALUE!</v>
      </c>
      <c r="Z652" t="e">
        <f t="shared" ca="1" si="306"/>
        <v>#VALUE!</v>
      </c>
      <c r="AA652" t="e">
        <f t="shared" ca="1" si="307"/>
        <v>#VALUE!</v>
      </c>
      <c r="AB652" t="e">
        <f t="shared" ca="1" si="308"/>
        <v>#VALUE!</v>
      </c>
      <c r="AC652" t="e">
        <f t="shared" ca="1" si="309"/>
        <v>#VALUE!</v>
      </c>
      <c r="AD652" t="e">
        <f t="shared" ca="1" si="310"/>
        <v>#VALUE!</v>
      </c>
      <c r="AE652" t="e">
        <f t="shared" ca="1" si="311"/>
        <v>#VALUE!</v>
      </c>
      <c r="AF652" t="e">
        <f t="shared" ca="1" si="312"/>
        <v>#VALUE!</v>
      </c>
      <c r="AG652" t="e">
        <f t="shared" ca="1" si="313"/>
        <v>#VALUE!</v>
      </c>
      <c r="AH652" t="e">
        <f ca="1">IF(V32="Supercritical",L652,IF(V32="Subcritical",W652,IF(AND(V652=1,AG652=1),IF(T652&gt;=AE652,L652,W652),IF(V652=1,L652,IF(AG652=1,W652,MAX($D$16,POWER((ABS(K652)^2)/($I$5*MAX(F652,0.1)^2),1/3)))))))</f>
        <v>#VALUE!</v>
      </c>
      <c r="AI652" t="e">
        <f t="shared" ca="1" si="314"/>
        <v>#VALUE!</v>
      </c>
      <c r="AJ652" t="e">
        <f t="shared" ca="1" si="315"/>
        <v>#VALUE!</v>
      </c>
      <c r="AM652">
        <v>0</v>
      </c>
      <c r="AN652">
        <v>0</v>
      </c>
      <c r="AO652">
        <f t="shared" si="316"/>
        <v>0</v>
      </c>
      <c r="AP652">
        <f t="shared" si="325"/>
        <v>0</v>
      </c>
      <c r="AQ652" t="e">
        <f t="shared" ca="1" si="317"/>
        <v>#VALUE!</v>
      </c>
      <c r="AR652" t="e">
        <f t="shared" ca="1" si="318"/>
        <v>#VALUE!</v>
      </c>
      <c r="AS652" t="e">
        <f t="shared" ca="1" si="319"/>
        <v>#VALUE!</v>
      </c>
    </row>
    <row r="653" spans="1:45" x14ac:dyDescent="0.35">
      <c r="A653">
        <v>504</v>
      </c>
      <c r="B653">
        <v>502.89600000000002</v>
      </c>
      <c r="C653">
        <v>616202.94799999997</v>
      </c>
      <c r="D653">
        <v>3097474.0929999999</v>
      </c>
      <c r="E653">
        <v>632.31050000000005</v>
      </c>
      <c r="F653">
        <v>5.2</v>
      </c>
      <c r="G653">
        <v>0</v>
      </c>
      <c r="H653" t="s">
        <v>191</v>
      </c>
      <c r="I653">
        <v>0.05</v>
      </c>
      <c r="J653">
        <f t="shared" si="320"/>
        <v>1</v>
      </c>
      <c r="K653">
        <f t="shared" si="321"/>
        <v>51</v>
      </c>
      <c r="L653" t="e">
        <f t="shared" ca="1" si="322"/>
        <v>#VALUE!</v>
      </c>
      <c r="M653" t="e">
        <f t="shared" ca="1" si="295"/>
        <v>#VALUE!</v>
      </c>
      <c r="N653" t="e">
        <f t="shared" ca="1" si="296"/>
        <v>#VALUE!</v>
      </c>
      <c r="O653" t="e">
        <f t="shared" ca="1" si="297"/>
        <v>#VALUE!</v>
      </c>
      <c r="P653" t="e">
        <f t="shared" ca="1" si="298"/>
        <v>#VALUE!</v>
      </c>
      <c r="Q653" t="e">
        <f t="shared" ca="1" si="299"/>
        <v>#VALUE!</v>
      </c>
      <c r="R653" t="e">
        <f t="shared" ca="1" si="300"/>
        <v>#VALUE!</v>
      </c>
      <c r="S653" t="e">
        <f t="shared" ca="1" si="301"/>
        <v>#VALUE!</v>
      </c>
      <c r="T653" t="e">
        <f t="shared" ca="1" si="302"/>
        <v>#VALUE!</v>
      </c>
      <c r="U653" t="e">
        <f t="shared" ca="1" si="323"/>
        <v>#VALUE!</v>
      </c>
      <c r="V653" t="e">
        <f t="shared" ca="1" si="324"/>
        <v>#VALUE!</v>
      </c>
      <c r="W653" t="e">
        <f t="shared" ca="1" si="303"/>
        <v>#VALUE!</v>
      </c>
      <c r="X653" t="e">
        <f t="shared" ca="1" si="304"/>
        <v>#VALUE!</v>
      </c>
      <c r="Y653" t="e">
        <f t="shared" ca="1" si="305"/>
        <v>#VALUE!</v>
      </c>
      <c r="Z653" t="e">
        <f t="shared" ca="1" si="306"/>
        <v>#VALUE!</v>
      </c>
      <c r="AA653" t="e">
        <f t="shared" ca="1" si="307"/>
        <v>#VALUE!</v>
      </c>
      <c r="AB653" t="e">
        <f t="shared" ca="1" si="308"/>
        <v>#VALUE!</v>
      </c>
      <c r="AC653" t="e">
        <f t="shared" ca="1" si="309"/>
        <v>#VALUE!</v>
      </c>
      <c r="AD653" t="e">
        <f t="shared" ca="1" si="310"/>
        <v>#VALUE!</v>
      </c>
      <c r="AE653" t="e">
        <f t="shared" ca="1" si="311"/>
        <v>#VALUE!</v>
      </c>
      <c r="AF653" t="e">
        <f t="shared" ca="1" si="312"/>
        <v>#VALUE!</v>
      </c>
      <c r="AG653" t="e">
        <f t="shared" ca="1" si="313"/>
        <v>#VALUE!</v>
      </c>
      <c r="AH653" t="e">
        <f ca="1">IF(V32="Supercritical",L653,IF(V32="Subcritical",W653,IF(AND(V653=1,AG653=1),IF(T653&gt;=AE653,L653,W653),IF(V653=1,L653,IF(AG653=1,W653,MAX($D$16,POWER((ABS(K653)^2)/($I$5*MAX(F653,0.1)^2),1/3)))))))</f>
        <v>#VALUE!</v>
      </c>
      <c r="AI653" t="e">
        <f t="shared" ca="1" si="314"/>
        <v>#VALUE!</v>
      </c>
      <c r="AJ653" t="e">
        <f t="shared" ca="1" si="315"/>
        <v>#VALUE!</v>
      </c>
      <c r="AM653">
        <v>0</v>
      </c>
      <c r="AN653">
        <v>0</v>
      </c>
      <c r="AO653">
        <f t="shared" si="316"/>
        <v>0</v>
      </c>
      <c r="AP653">
        <f t="shared" si="325"/>
        <v>0</v>
      </c>
      <c r="AQ653" t="e">
        <f t="shared" ca="1" si="317"/>
        <v>#VALUE!</v>
      </c>
      <c r="AR653" t="e">
        <f t="shared" ca="1" si="318"/>
        <v>#VALUE!</v>
      </c>
      <c r="AS653" t="e">
        <f t="shared" ca="1" si="319"/>
        <v>#VALUE!</v>
      </c>
    </row>
    <row r="654" spans="1:45" x14ac:dyDescent="0.35">
      <c r="A654">
        <v>505</v>
      </c>
      <c r="B654">
        <v>503.89499999999998</v>
      </c>
      <c r="C654">
        <v>616202.47400000005</v>
      </c>
      <c r="D654">
        <v>3097473.213</v>
      </c>
      <c r="E654">
        <v>632.30999999999995</v>
      </c>
      <c r="F654">
        <v>5.2</v>
      </c>
      <c r="G654">
        <v>0</v>
      </c>
      <c r="H654" t="s">
        <v>191</v>
      </c>
      <c r="I654">
        <v>2.7E-2</v>
      </c>
      <c r="J654">
        <f t="shared" si="320"/>
        <v>0.9989999999999668</v>
      </c>
      <c r="K654">
        <f t="shared" si="321"/>
        <v>51</v>
      </c>
      <c r="L654" t="e">
        <f t="shared" ca="1" si="322"/>
        <v>#VALUE!</v>
      </c>
      <c r="M654" t="e">
        <f t="shared" ca="1" si="295"/>
        <v>#VALUE!</v>
      </c>
      <c r="N654" t="e">
        <f t="shared" ca="1" si="296"/>
        <v>#VALUE!</v>
      </c>
      <c r="O654" t="e">
        <f t="shared" ca="1" si="297"/>
        <v>#VALUE!</v>
      </c>
      <c r="P654" t="e">
        <f t="shared" ca="1" si="298"/>
        <v>#VALUE!</v>
      </c>
      <c r="Q654" t="e">
        <f t="shared" ca="1" si="299"/>
        <v>#VALUE!</v>
      </c>
      <c r="R654" t="e">
        <f t="shared" ca="1" si="300"/>
        <v>#VALUE!</v>
      </c>
      <c r="S654" t="e">
        <f t="shared" ca="1" si="301"/>
        <v>#VALUE!</v>
      </c>
      <c r="T654" t="e">
        <f t="shared" ca="1" si="302"/>
        <v>#VALUE!</v>
      </c>
      <c r="U654" t="e">
        <f t="shared" ca="1" si="323"/>
        <v>#VALUE!</v>
      </c>
      <c r="V654" t="e">
        <f t="shared" ca="1" si="324"/>
        <v>#VALUE!</v>
      </c>
      <c r="W654" t="e">
        <f t="shared" ca="1" si="303"/>
        <v>#VALUE!</v>
      </c>
      <c r="X654" t="e">
        <f t="shared" ca="1" si="304"/>
        <v>#VALUE!</v>
      </c>
      <c r="Y654" t="e">
        <f t="shared" ca="1" si="305"/>
        <v>#VALUE!</v>
      </c>
      <c r="Z654" t="e">
        <f t="shared" ca="1" si="306"/>
        <v>#VALUE!</v>
      </c>
      <c r="AA654" t="e">
        <f t="shared" ca="1" si="307"/>
        <v>#VALUE!</v>
      </c>
      <c r="AB654" t="e">
        <f t="shared" ca="1" si="308"/>
        <v>#VALUE!</v>
      </c>
      <c r="AC654" t="e">
        <f t="shared" ca="1" si="309"/>
        <v>#VALUE!</v>
      </c>
      <c r="AD654" t="e">
        <f t="shared" ca="1" si="310"/>
        <v>#VALUE!</v>
      </c>
      <c r="AE654" t="e">
        <f t="shared" ca="1" si="311"/>
        <v>#VALUE!</v>
      </c>
      <c r="AF654" t="e">
        <f t="shared" ca="1" si="312"/>
        <v>#VALUE!</v>
      </c>
      <c r="AG654" t="e">
        <f t="shared" ca="1" si="313"/>
        <v>#VALUE!</v>
      </c>
      <c r="AH654" t="e">
        <f ca="1">IF(V32="Supercritical",L654,IF(V32="Subcritical",W654,IF(AND(V654=1,AG654=1),IF(T654&gt;=AE654,L654,W654),IF(V654=1,L654,IF(AG654=1,W654,MAX($D$16,POWER((ABS(K654)^2)/($I$5*MAX(F654,0.1)^2),1/3)))))))</f>
        <v>#VALUE!</v>
      </c>
      <c r="AI654" t="e">
        <f t="shared" ca="1" si="314"/>
        <v>#VALUE!</v>
      </c>
      <c r="AJ654" t="e">
        <f t="shared" ca="1" si="315"/>
        <v>#VALUE!</v>
      </c>
      <c r="AM654">
        <v>0</v>
      </c>
      <c r="AN654">
        <v>0</v>
      </c>
      <c r="AO654">
        <f t="shared" si="316"/>
        <v>0</v>
      </c>
      <c r="AP654">
        <f t="shared" si="325"/>
        <v>0</v>
      </c>
      <c r="AQ654" t="e">
        <f t="shared" ca="1" si="317"/>
        <v>#VALUE!</v>
      </c>
      <c r="AR654" t="e">
        <f t="shared" ca="1" si="318"/>
        <v>#VALUE!</v>
      </c>
      <c r="AS654" t="e">
        <f t="shared" ca="1" si="319"/>
        <v>#VALUE!</v>
      </c>
    </row>
    <row r="655" spans="1:45" x14ac:dyDescent="0.35">
      <c r="A655">
        <v>506</v>
      </c>
      <c r="B655">
        <v>504.89499999999998</v>
      </c>
      <c r="C655">
        <v>616202</v>
      </c>
      <c r="D655">
        <v>3097472.3319999999</v>
      </c>
      <c r="E655">
        <v>632.30949999999996</v>
      </c>
      <c r="F655">
        <v>5.2</v>
      </c>
      <c r="G655">
        <v>0</v>
      </c>
      <c r="H655" t="s">
        <v>191</v>
      </c>
      <c r="I655">
        <v>2.7E-2</v>
      </c>
      <c r="J655">
        <f t="shared" si="320"/>
        <v>1</v>
      </c>
      <c r="K655">
        <f t="shared" si="321"/>
        <v>51</v>
      </c>
      <c r="L655" t="e">
        <f t="shared" ca="1" si="322"/>
        <v>#VALUE!</v>
      </c>
      <c r="M655" t="e">
        <f t="shared" ca="1" si="295"/>
        <v>#VALUE!</v>
      </c>
      <c r="N655" t="e">
        <f t="shared" ca="1" si="296"/>
        <v>#VALUE!</v>
      </c>
      <c r="O655" t="e">
        <f t="shared" ca="1" si="297"/>
        <v>#VALUE!</v>
      </c>
      <c r="P655" t="e">
        <f t="shared" ca="1" si="298"/>
        <v>#VALUE!</v>
      </c>
      <c r="Q655" t="e">
        <f t="shared" ca="1" si="299"/>
        <v>#VALUE!</v>
      </c>
      <c r="R655" t="e">
        <f t="shared" ca="1" si="300"/>
        <v>#VALUE!</v>
      </c>
      <c r="S655" t="e">
        <f t="shared" ca="1" si="301"/>
        <v>#VALUE!</v>
      </c>
      <c r="T655" t="e">
        <f t="shared" ca="1" si="302"/>
        <v>#VALUE!</v>
      </c>
      <c r="U655" t="e">
        <f t="shared" ca="1" si="323"/>
        <v>#VALUE!</v>
      </c>
      <c r="V655" t="e">
        <f t="shared" ca="1" si="324"/>
        <v>#VALUE!</v>
      </c>
      <c r="W655" t="e">
        <f t="shared" ca="1" si="303"/>
        <v>#VALUE!</v>
      </c>
      <c r="X655" t="e">
        <f t="shared" ca="1" si="304"/>
        <v>#VALUE!</v>
      </c>
      <c r="Y655" t="e">
        <f t="shared" ca="1" si="305"/>
        <v>#VALUE!</v>
      </c>
      <c r="Z655" t="e">
        <f t="shared" ca="1" si="306"/>
        <v>#VALUE!</v>
      </c>
      <c r="AA655" t="e">
        <f t="shared" ca="1" si="307"/>
        <v>#VALUE!</v>
      </c>
      <c r="AB655" t="e">
        <f t="shared" ca="1" si="308"/>
        <v>#VALUE!</v>
      </c>
      <c r="AC655" t="e">
        <f t="shared" ca="1" si="309"/>
        <v>#VALUE!</v>
      </c>
      <c r="AD655" t="e">
        <f t="shared" ca="1" si="310"/>
        <v>#VALUE!</v>
      </c>
      <c r="AE655" t="e">
        <f t="shared" ca="1" si="311"/>
        <v>#VALUE!</v>
      </c>
      <c r="AF655" t="e">
        <f t="shared" ca="1" si="312"/>
        <v>#VALUE!</v>
      </c>
      <c r="AG655" t="e">
        <f t="shared" ca="1" si="313"/>
        <v>#VALUE!</v>
      </c>
      <c r="AH655" t="e">
        <f ca="1">IF(V32="Supercritical",L655,IF(V32="Subcritical",W655,IF(AND(V655=1,AG655=1),IF(T655&gt;=AE655,L655,W655),IF(V655=1,L655,IF(AG655=1,W655,MAX($D$16,POWER((ABS(K655)^2)/($I$5*MAX(F655,0.1)^2),1/3)))))))</f>
        <v>#VALUE!</v>
      </c>
      <c r="AI655" t="e">
        <f t="shared" ca="1" si="314"/>
        <v>#VALUE!</v>
      </c>
      <c r="AJ655" t="e">
        <f t="shared" ca="1" si="315"/>
        <v>#VALUE!</v>
      </c>
      <c r="AM655">
        <v>0</v>
      </c>
      <c r="AN655">
        <v>0</v>
      </c>
      <c r="AO655">
        <f t="shared" si="316"/>
        <v>0</v>
      </c>
      <c r="AP655">
        <f t="shared" si="325"/>
        <v>0</v>
      </c>
      <c r="AQ655" t="e">
        <f t="shared" ca="1" si="317"/>
        <v>#VALUE!</v>
      </c>
      <c r="AR655" t="e">
        <f t="shared" ca="1" si="318"/>
        <v>#VALUE!</v>
      </c>
      <c r="AS655" t="e">
        <f t="shared" ca="1" si="319"/>
        <v>#VALUE!</v>
      </c>
    </row>
    <row r="656" spans="1:45" x14ac:dyDescent="0.35">
      <c r="A656">
        <v>507</v>
      </c>
      <c r="B656">
        <v>505.89499999999998</v>
      </c>
      <c r="C656">
        <v>616201.52599999995</v>
      </c>
      <c r="D656">
        <v>3097471.452</v>
      </c>
      <c r="E656">
        <v>632.30899999999997</v>
      </c>
      <c r="F656">
        <v>5.2</v>
      </c>
      <c r="G656">
        <v>0</v>
      </c>
      <c r="H656" t="s">
        <v>191</v>
      </c>
      <c r="I656">
        <v>2.3E-2</v>
      </c>
      <c r="J656">
        <f t="shared" si="320"/>
        <v>1</v>
      </c>
      <c r="K656">
        <f t="shared" si="321"/>
        <v>51</v>
      </c>
      <c r="L656" t="e">
        <f t="shared" ca="1" si="322"/>
        <v>#VALUE!</v>
      </c>
      <c r="M656" t="e">
        <f t="shared" ca="1" si="295"/>
        <v>#VALUE!</v>
      </c>
      <c r="N656" t="e">
        <f t="shared" ca="1" si="296"/>
        <v>#VALUE!</v>
      </c>
      <c r="O656" t="e">
        <f t="shared" ca="1" si="297"/>
        <v>#VALUE!</v>
      </c>
      <c r="P656" t="e">
        <f t="shared" ca="1" si="298"/>
        <v>#VALUE!</v>
      </c>
      <c r="Q656" t="e">
        <f t="shared" ca="1" si="299"/>
        <v>#VALUE!</v>
      </c>
      <c r="R656" t="e">
        <f t="shared" ca="1" si="300"/>
        <v>#VALUE!</v>
      </c>
      <c r="S656" t="e">
        <f t="shared" ca="1" si="301"/>
        <v>#VALUE!</v>
      </c>
      <c r="T656" t="e">
        <f t="shared" ca="1" si="302"/>
        <v>#VALUE!</v>
      </c>
      <c r="U656" t="e">
        <f t="shared" ca="1" si="323"/>
        <v>#VALUE!</v>
      </c>
      <c r="V656" t="e">
        <f t="shared" ca="1" si="324"/>
        <v>#VALUE!</v>
      </c>
      <c r="W656" t="e">
        <f t="shared" ca="1" si="303"/>
        <v>#VALUE!</v>
      </c>
      <c r="X656" t="e">
        <f t="shared" ca="1" si="304"/>
        <v>#VALUE!</v>
      </c>
      <c r="Y656" t="e">
        <f t="shared" ca="1" si="305"/>
        <v>#VALUE!</v>
      </c>
      <c r="Z656" t="e">
        <f t="shared" ca="1" si="306"/>
        <v>#VALUE!</v>
      </c>
      <c r="AA656" t="e">
        <f t="shared" ca="1" si="307"/>
        <v>#VALUE!</v>
      </c>
      <c r="AB656" t="e">
        <f t="shared" ca="1" si="308"/>
        <v>#VALUE!</v>
      </c>
      <c r="AC656" t="e">
        <f t="shared" ca="1" si="309"/>
        <v>#VALUE!</v>
      </c>
      <c r="AD656" t="e">
        <f t="shared" ca="1" si="310"/>
        <v>#VALUE!</v>
      </c>
      <c r="AE656" t="e">
        <f t="shared" ca="1" si="311"/>
        <v>#VALUE!</v>
      </c>
      <c r="AF656" t="e">
        <f t="shared" ca="1" si="312"/>
        <v>#VALUE!</v>
      </c>
      <c r="AG656" t="e">
        <f t="shared" ca="1" si="313"/>
        <v>#VALUE!</v>
      </c>
      <c r="AH656" t="e">
        <f ca="1">IF(V32="Supercritical",L656,IF(V32="Subcritical",W656,IF(AND(V656=1,AG656=1),IF(T656&gt;=AE656,L656,W656),IF(V656=1,L656,IF(AG656=1,W656,MAX($D$16,POWER((ABS(K656)^2)/($I$5*MAX(F656,0.1)^2),1/3)))))))</f>
        <v>#VALUE!</v>
      </c>
      <c r="AI656" t="e">
        <f t="shared" ca="1" si="314"/>
        <v>#VALUE!</v>
      </c>
      <c r="AJ656" t="e">
        <f t="shared" ca="1" si="315"/>
        <v>#VALUE!</v>
      </c>
      <c r="AM656">
        <v>0</v>
      </c>
      <c r="AN656">
        <v>0</v>
      </c>
      <c r="AO656">
        <f t="shared" si="316"/>
        <v>0</v>
      </c>
      <c r="AP656">
        <f t="shared" si="325"/>
        <v>0</v>
      </c>
      <c r="AQ656" t="e">
        <f t="shared" ca="1" si="317"/>
        <v>#VALUE!</v>
      </c>
      <c r="AR656" t="e">
        <f t="shared" ca="1" si="318"/>
        <v>#VALUE!</v>
      </c>
      <c r="AS656" t="e">
        <f t="shared" ca="1" si="319"/>
        <v>#VALUE!</v>
      </c>
    </row>
    <row r="657" spans="1:45" x14ac:dyDescent="0.35">
      <c r="A657">
        <v>508</v>
      </c>
      <c r="B657">
        <v>506.89600000000002</v>
      </c>
      <c r="C657">
        <v>616201.05099999998</v>
      </c>
      <c r="D657">
        <v>3097470.571</v>
      </c>
      <c r="E657">
        <v>632.30849999999998</v>
      </c>
      <c r="F657">
        <v>5.2</v>
      </c>
      <c r="G657">
        <v>0</v>
      </c>
      <c r="H657" t="s">
        <v>191</v>
      </c>
      <c r="I657">
        <v>2.3E-2</v>
      </c>
      <c r="J657">
        <f t="shared" si="320"/>
        <v>1.0010000000000332</v>
      </c>
      <c r="K657">
        <f t="shared" si="321"/>
        <v>51</v>
      </c>
      <c r="L657" t="e">
        <f t="shared" ca="1" si="322"/>
        <v>#VALUE!</v>
      </c>
      <c r="M657" t="e">
        <f t="shared" ca="1" si="295"/>
        <v>#VALUE!</v>
      </c>
      <c r="N657" t="e">
        <f t="shared" ca="1" si="296"/>
        <v>#VALUE!</v>
      </c>
      <c r="O657" t="e">
        <f t="shared" ca="1" si="297"/>
        <v>#VALUE!</v>
      </c>
      <c r="P657" t="e">
        <f t="shared" ca="1" si="298"/>
        <v>#VALUE!</v>
      </c>
      <c r="Q657" t="e">
        <f t="shared" ca="1" si="299"/>
        <v>#VALUE!</v>
      </c>
      <c r="R657" t="e">
        <f t="shared" ca="1" si="300"/>
        <v>#VALUE!</v>
      </c>
      <c r="S657" t="e">
        <f t="shared" ca="1" si="301"/>
        <v>#VALUE!</v>
      </c>
      <c r="T657" t="e">
        <f t="shared" ca="1" si="302"/>
        <v>#VALUE!</v>
      </c>
      <c r="U657" t="e">
        <f t="shared" ca="1" si="323"/>
        <v>#VALUE!</v>
      </c>
      <c r="V657" t="e">
        <f t="shared" ca="1" si="324"/>
        <v>#VALUE!</v>
      </c>
      <c r="W657" t="e">
        <f t="shared" ca="1" si="303"/>
        <v>#VALUE!</v>
      </c>
      <c r="X657" t="e">
        <f t="shared" ca="1" si="304"/>
        <v>#VALUE!</v>
      </c>
      <c r="Y657" t="e">
        <f t="shared" ca="1" si="305"/>
        <v>#VALUE!</v>
      </c>
      <c r="Z657" t="e">
        <f t="shared" ca="1" si="306"/>
        <v>#VALUE!</v>
      </c>
      <c r="AA657" t="e">
        <f t="shared" ca="1" si="307"/>
        <v>#VALUE!</v>
      </c>
      <c r="AB657" t="e">
        <f t="shared" ca="1" si="308"/>
        <v>#VALUE!</v>
      </c>
      <c r="AC657" t="e">
        <f t="shared" ca="1" si="309"/>
        <v>#VALUE!</v>
      </c>
      <c r="AD657" t="e">
        <f t="shared" ca="1" si="310"/>
        <v>#VALUE!</v>
      </c>
      <c r="AE657" t="e">
        <f t="shared" ca="1" si="311"/>
        <v>#VALUE!</v>
      </c>
      <c r="AF657" t="e">
        <f t="shared" ca="1" si="312"/>
        <v>#VALUE!</v>
      </c>
      <c r="AG657" t="e">
        <f t="shared" ca="1" si="313"/>
        <v>#VALUE!</v>
      </c>
      <c r="AH657" t="e">
        <f ca="1">IF(V32="Supercritical",L657,IF(V32="Subcritical",W657,IF(AND(V657=1,AG657=1),IF(T657&gt;=AE657,L657,W657),IF(V657=1,L657,IF(AG657=1,W657,MAX($D$16,POWER((ABS(K657)^2)/($I$5*MAX(F657,0.1)^2),1/3)))))))</f>
        <v>#VALUE!</v>
      </c>
      <c r="AI657" t="e">
        <f t="shared" ca="1" si="314"/>
        <v>#VALUE!</v>
      </c>
      <c r="AJ657" t="e">
        <f t="shared" ca="1" si="315"/>
        <v>#VALUE!</v>
      </c>
      <c r="AM657">
        <v>0</v>
      </c>
      <c r="AN657">
        <v>0</v>
      </c>
      <c r="AO657">
        <f t="shared" si="316"/>
        <v>0</v>
      </c>
      <c r="AP657">
        <f t="shared" si="325"/>
        <v>0</v>
      </c>
      <c r="AQ657" t="e">
        <f t="shared" ca="1" si="317"/>
        <v>#VALUE!</v>
      </c>
      <c r="AR657" t="e">
        <f t="shared" ca="1" si="318"/>
        <v>#VALUE!</v>
      </c>
      <c r="AS657" t="e">
        <f t="shared" ca="1" si="319"/>
        <v>#VALUE!</v>
      </c>
    </row>
    <row r="658" spans="1:45" x14ac:dyDescent="0.35">
      <c r="A658">
        <v>509</v>
      </c>
      <c r="B658">
        <v>507.89499999999998</v>
      </c>
      <c r="C658">
        <v>616200.57700000005</v>
      </c>
      <c r="D658">
        <v>3097469.6910000001</v>
      </c>
      <c r="E658">
        <v>632.30799999999999</v>
      </c>
      <c r="F658">
        <v>5.2</v>
      </c>
      <c r="G658">
        <v>0</v>
      </c>
      <c r="H658" t="s">
        <v>191</v>
      </c>
      <c r="I658">
        <v>0</v>
      </c>
      <c r="J658">
        <f t="shared" si="320"/>
        <v>0.9989999999999668</v>
      </c>
      <c r="K658">
        <f t="shared" si="321"/>
        <v>51</v>
      </c>
      <c r="L658" t="e">
        <f t="shared" ca="1" si="322"/>
        <v>#VALUE!</v>
      </c>
      <c r="M658" t="e">
        <f t="shared" ca="1" si="295"/>
        <v>#VALUE!</v>
      </c>
      <c r="N658" t="e">
        <f t="shared" ca="1" si="296"/>
        <v>#VALUE!</v>
      </c>
      <c r="O658" t="e">
        <f t="shared" ca="1" si="297"/>
        <v>#VALUE!</v>
      </c>
      <c r="P658" t="e">
        <f t="shared" ca="1" si="298"/>
        <v>#VALUE!</v>
      </c>
      <c r="Q658" t="e">
        <f t="shared" ca="1" si="299"/>
        <v>#VALUE!</v>
      </c>
      <c r="R658" t="e">
        <f t="shared" ca="1" si="300"/>
        <v>#VALUE!</v>
      </c>
      <c r="S658" t="e">
        <f t="shared" ca="1" si="301"/>
        <v>#VALUE!</v>
      </c>
      <c r="T658" t="e">
        <f t="shared" ca="1" si="302"/>
        <v>#VALUE!</v>
      </c>
      <c r="U658" t="e">
        <f t="shared" ca="1" si="323"/>
        <v>#VALUE!</v>
      </c>
      <c r="V658" t="e">
        <f t="shared" ca="1" si="324"/>
        <v>#VALUE!</v>
      </c>
      <c r="W658" t="e">
        <f t="shared" ca="1" si="303"/>
        <v>#VALUE!</v>
      </c>
      <c r="X658" t="e">
        <f t="shared" ca="1" si="304"/>
        <v>#VALUE!</v>
      </c>
      <c r="Y658" t="e">
        <f t="shared" ca="1" si="305"/>
        <v>#VALUE!</v>
      </c>
      <c r="Z658" t="e">
        <f t="shared" ca="1" si="306"/>
        <v>#VALUE!</v>
      </c>
      <c r="AA658" t="e">
        <f t="shared" ca="1" si="307"/>
        <v>#VALUE!</v>
      </c>
      <c r="AB658" t="e">
        <f t="shared" ca="1" si="308"/>
        <v>#VALUE!</v>
      </c>
      <c r="AC658" t="e">
        <f t="shared" ca="1" si="309"/>
        <v>#VALUE!</v>
      </c>
      <c r="AD658" t="e">
        <f t="shared" ca="1" si="310"/>
        <v>#VALUE!</v>
      </c>
      <c r="AE658" t="e">
        <f t="shared" ca="1" si="311"/>
        <v>#VALUE!</v>
      </c>
      <c r="AF658" t="e">
        <f t="shared" ca="1" si="312"/>
        <v>#VALUE!</v>
      </c>
      <c r="AG658" t="e">
        <f t="shared" ca="1" si="313"/>
        <v>#VALUE!</v>
      </c>
      <c r="AH658" t="e">
        <f ca="1">IF(V32="Supercritical",L658,IF(V32="Subcritical",W658,IF(AND(V658=1,AG658=1),IF(T658&gt;=AE658,L658,W658),IF(V658=1,L658,IF(AG658=1,W658,MAX($D$16,POWER((ABS(K658)^2)/($I$5*MAX(F658,0.1)^2),1/3)))))))</f>
        <v>#VALUE!</v>
      </c>
      <c r="AI658" t="e">
        <f t="shared" ca="1" si="314"/>
        <v>#VALUE!</v>
      </c>
      <c r="AJ658" t="e">
        <f t="shared" ca="1" si="315"/>
        <v>#VALUE!</v>
      </c>
      <c r="AM658">
        <v>0</v>
      </c>
      <c r="AN658">
        <v>0</v>
      </c>
      <c r="AO658">
        <f t="shared" si="316"/>
        <v>0</v>
      </c>
      <c r="AP658">
        <f t="shared" si="325"/>
        <v>0</v>
      </c>
      <c r="AQ658" t="e">
        <f t="shared" ca="1" si="317"/>
        <v>#VALUE!</v>
      </c>
      <c r="AR658" t="e">
        <f t="shared" ca="1" si="318"/>
        <v>#VALUE!</v>
      </c>
      <c r="AS658" t="e">
        <f t="shared" ca="1" si="319"/>
        <v>#VALUE!</v>
      </c>
    </row>
    <row r="659" spans="1:45" x14ac:dyDescent="0.35">
      <c r="A659">
        <v>510</v>
      </c>
      <c r="B659">
        <v>508.89499999999998</v>
      </c>
      <c r="C659">
        <v>616200.103</v>
      </c>
      <c r="D659">
        <v>3097468.8110000002</v>
      </c>
      <c r="E659">
        <v>632.3075</v>
      </c>
      <c r="F659">
        <v>5.2</v>
      </c>
      <c r="G659">
        <v>0</v>
      </c>
      <c r="H659" t="s">
        <v>191</v>
      </c>
      <c r="I659">
        <v>2.7E-2</v>
      </c>
      <c r="J659">
        <f t="shared" si="320"/>
        <v>1</v>
      </c>
      <c r="K659">
        <f t="shared" si="321"/>
        <v>51</v>
      </c>
      <c r="L659" t="e">
        <f t="shared" ca="1" si="322"/>
        <v>#VALUE!</v>
      </c>
      <c r="M659" t="e">
        <f t="shared" ca="1" si="295"/>
        <v>#VALUE!</v>
      </c>
      <c r="N659" t="e">
        <f t="shared" ca="1" si="296"/>
        <v>#VALUE!</v>
      </c>
      <c r="O659" t="e">
        <f t="shared" ca="1" si="297"/>
        <v>#VALUE!</v>
      </c>
      <c r="P659" t="e">
        <f t="shared" ca="1" si="298"/>
        <v>#VALUE!</v>
      </c>
      <c r="Q659" t="e">
        <f t="shared" ca="1" si="299"/>
        <v>#VALUE!</v>
      </c>
      <c r="R659" t="e">
        <f t="shared" ca="1" si="300"/>
        <v>#VALUE!</v>
      </c>
      <c r="S659" t="e">
        <f t="shared" ca="1" si="301"/>
        <v>#VALUE!</v>
      </c>
      <c r="T659" t="e">
        <f t="shared" ca="1" si="302"/>
        <v>#VALUE!</v>
      </c>
      <c r="U659" t="e">
        <f t="shared" ca="1" si="323"/>
        <v>#VALUE!</v>
      </c>
      <c r="V659" t="e">
        <f t="shared" ca="1" si="324"/>
        <v>#VALUE!</v>
      </c>
      <c r="W659" t="e">
        <f t="shared" ca="1" si="303"/>
        <v>#VALUE!</v>
      </c>
      <c r="X659" t="e">
        <f t="shared" ca="1" si="304"/>
        <v>#VALUE!</v>
      </c>
      <c r="Y659" t="e">
        <f t="shared" ca="1" si="305"/>
        <v>#VALUE!</v>
      </c>
      <c r="Z659" t="e">
        <f t="shared" ca="1" si="306"/>
        <v>#VALUE!</v>
      </c>
      <c r="AA659" t="e">
        <f t="shared" ca="1" si="307"/>
        <v>#VALUE!</v>
      </c>
      <c r="AB659" t="e">
        <f t="shared" ca="1" si="308"/>
        <v>#VALUE!</v>
      </c>
      <c r="AC659" t="e">
        <f t="shared" ca="1" si="309"/>
        <v>#VALUE!</v>
      </c>
      <c r="AD659" t="e">
        <f t="shared" ca="1" si="310"/>
        <v>#VALUE!</v>
      </c>
      <c r="AE659" t="e">
        <f t="shared" ca="1" si="311"/>
        <v>#VALUE!</v>
      </c>
      <c r="AF659" t="e">
        <f t="shared" ca="1" si="312"/>
        <v>#VALUE!</v>
      </c>
      <c r="AG659" t="e">
        <f t="shared" ca="1" si="313"/>
        <v>#VALUE!</v>
      </c>
      <c r="AH659" t="e">
        <f ca="1">IF(V32="Supercritical",L659,IF(V32="Subcritical",W659,IF(AND(V659=1,AG659=1),IF(T659&gt;=AE659,L659,W659),IF(V659=1,L659,IF(AG659=1,W659,MAX($D$16,POWER((ABS(K659)^2)/($I$5*MAX(F659,0.1)^2),1/3)))))))</f>
        <v>#VALUE!</v>
      </c>
      <c r="AI659" t="e">
        <f t="shared" ca="1" si="314"/>
        <v>#VALUE!</v>
      </c>
      <c r="AJ659" t="e">
        <f t="shared" ca="1" si="315"/>
        <v>#VALUE!</v>
      </c>
      <c r="AM659">
        <v>0</v>
      </c>
      <c r="AN659">
        <v>0</v>
      </c>
      <c r="AO659">
        <f t="shared" si="316"/>
        <v>0</v>
      </c>
      <c r="AP659">
        <f t="shared" si="325"/>
        <v>0</v>
      </c>
      <c r="AQ659" t="e">
        <f t="shared" ca="1" si="317"/>
        <v>#VALUE!</v>
      </c>
      <c r="AR659" t="e">
        <f t="shared" ca="1" si="318"/>
        <v>#VALUE!</v>
      </c>
      <c r="AS659" t="e">
        <f t="shared" ca="1" si="319"/>
        <v>#VALUE!</v>
      </c>
    </row>
    <row r="660" spans="1:45" x14ac:dyDescent="0.35">
      <c r="A660">
        <v>511</v>
      </c>
      <c r="B660">
        <v>509.89499999999998</v>
      </c>
      <c r="C660">
        <v>616199.62899999996</v>
      </c>
      <c r="D660">
        <v>3097467.93</v>
      </c>
      <c r="E660">
        <v>632.30700000000002</v>
      </c>
      <c r="F660">
        <v>5.2</v>
      </c>
      <c r="G660">
        <v>0</v>
      </c>
      <c r="H660" t="s">
        <v>191</v>
      </c>
      <c r="I660">
        <v>2.7E-2</v>
      </c>
      <c r="J660">
        <f t="shared" si="320"/>
        <v>1</v>
      </c>
      <c r="K660">
        <f t="shared" si="321"/>
        <v>51</v>
      </c>
      <c r="L660" t="e">
        <f t="shared" ca="1" si="322"/>
        <v>#VALUE!</v>
      </c>
      <c r="M660" t="e">
        <f t="shared" ca="1" si="295"/>
        <v>#VALUE!</v>
      </c>
      <c r="N660" t="e">
        <f t="shared" ca="1" si="296"/>
        <v>#VALUE!</v>
      </c>
      <c r="O660" t="e">
        <f t="shared" ca="1" si="297"/>
        <v>#VALUE!</v>
      </c>
      <c r="P660" t="e">
        <f t="shared" ca="1" si="298"/>
        <v>#VALUE!</v>
      </c>
      <c r="Q660" t="e">
        <f t="shared" ca="1" si="299"/>
        <v>#VALUE!</v>
      </c>
      <c r="R660" t="e">
        <f t="shared" ca="1" si="300"/>
        <v>#VALUE!</v>
      </c>
      <c r="S660" t="e">
        <f t="shared" ca="1" si="301"/>
        <v>#VALUE!</v>
      </c>
      <c r="T660" t="e">
        <f t="shared" ca="1" si="302"/>
        <v>#VALUE!</v>
      </c>
      <c r="U660" t="e">
        <f t="shared" ca="1" si="323"/>
        <v>#VALUE!</v>
      </c>
      <c r="V660" t="e">
        <f t="shared" ca="1" si="324"/>
        <v>#VALUE!</v>
      </c>
      <c r="W660" t="e">
        <f t="shared" ca="1" si="303"/>
        <v>#VALUE!</v>
      </c>
      <c r="X660" t="e">
        <f t="shared" ca="1" si="304"/>
        <v>#VALUE!</v>
      </c>
      <c r="Y660" t="e">
        <f t="shared" ca="1" si="305"/>
        <v>#VALUE!</v>
      </c>
      <c r="Z660" t="e">
        <f t="shared" ca="1" si="306"/>
        <v>#VALUE!</v>
      </c>
      <c r="AA660" t="e">
        <f t="shared" ca="1" si="307"/>
        <v>#VALUE!</v>
      </c>
      <c r="AB660" t="e">
        <f t="shared" ca="1" si="308"/>
        <v>#VALUE!</v>
      </c>
      <c r="AC660" t="e">
        <f t="shared" ca="1" si="309"/>
        <v>#VALUE!</v>
      </c>
      <c r="AD660" t="e">
        <f t="shared" ca="1" si="310"/>
        <v>#VALUE!</v>
      </c>
      <c r="AE660" t="e">
        <f t="shared" ca="1" si="311"/>
        <v>#VALUE!</v>
      </c>
      <c r="AF660" t="e">
        <f t="shared" ca="1" si="312"/>
        <v>#VALUE!</v>
      </c>
      <c r="AG660" t="e">
        <f t="shared" ca="1" si="313"/>
        <v>#VALUE!</v>
      </c>
      <c r="AH660" t="e">
        <f ca="1">IF(V32="Supercritical",L660,IF(V32="Subcritical",W660,IF(AND(V660=1,AG660=1),IF(T660&gt;=AE660,L660,W660),IF(V660=1,L660,IF(AG660=1,W660,MAX($D$16,POWER((ABS(K660)^2)/($I$5*MAX(F660,0.1)^2),1/3)))))))</f>
        <v>#VALUE!</v>
      </c>
      <c r="AI660" t="e">
        <f t="shared" ca="1" si="314"/>
        <v>#VALUE!</v>
      </c>
      <c r="AJ660" t="e">
        <f t="shared" ca="1" si="315"/>
        <v>#VALUE!</v>
      </c>
      <c r="AM660">
        <v>0</v>
      </c>
      <c r="AN660">
        <v>0</v>
      </c>
      <c r="AO660">
        <f t="shared" si="316"/>
        <v>0</v>
      </c>
      <c r="AP660">
        <f t="shared" si="325"/>
        <v>0</v>
      </c>
      <c r="AQ660" t="e">
        <f t="shared" ca="1" si="317"/>
        <v>#VALUE!</v>
      </c>
      <c r="AR660" t="e">
        <f t="shared" ca="1" si="318"/>
        <v>#VALUE!</v>
      </c>
      <c r="AS660" t="e">
        <f t="shared" ca="1" si="319"/>
        <v>#VALUE!</v>
      </c>
    </row>
    <row r="661" spans="1:45" x14ac:dyDescent="0.35">
      <c r="A661">
        <v>512</v>
      </c>
      <c r="B661">
        <v>510.89499999999998</v>
      </c>
      <c r="C661">
        <v>616199.15500000003</v>
      </c>
      <c r="D661">
        <v>3097467.05</v>
      </c>
      <c r="E661">
        <v>632.30650000000003</v>
      </c>
      <c r="F661">
        <v>5.2</v>
      </c>
      <c r="G661">
        <v>0</v>
      </c>
      <c r="H661" t="s">
        <v>191</v>
      </c>
      <c r="I661">
        <v>2.3E-2</v>
      </c>
      <c r="J661">
        <f t="shared" si="320"/>
        <v>1</v>
      </c>
      <c r="K661">
        <f t="shared" si="321"/>
        <v>51</v>
      </c>
      <c r="L661" t="e">
        <f t="shared" ca="1" si="322"/>
        <v>#VALUE!</v>
      </c>
      <c r="M661" t="e">
        <f t="shared" ca="1" si="295"/>
        <v>#VALUE!</v>
      </c>
      <c r="N661" t="e">
        <f t="shared" ca="1" si="296"/>
        <v>#VALUE!</v>
      </c>
      <c r="O661" t="e">
        <f t="shared" ca="1" si="297"/>
        <v>#VALUE!</v>
      </c>
      <c r="P661" t="e">
        <f t="shared" ca="1" si="298"/>
        <v>#VALUE!</v>
      </c>
      <c r="Q661" t="e">
        <f t="shared" ca="1" si="299"/>
        <v>#VALUE!</v>
      </c>
      <c r="R661" t="e">
        <f t="shared" ca="1" si="300"/>
        <v>#VALUE!</v>
      </c>
      <c r="S661" t="e">
        <f t="shared" ca="1" si="301"/>
        <v>#VALUE!</v>
      </c>
      <c r="T661" t="e">
        <f t="shared" ca="1" si="302"/>
        <v>#VALUE!</v>
      </c>
      <c r="U661" t="e">
        <f t="shared" ca="1" si="323"/>
        <v>#VALUE!</v>
      </c>
      <c r="V661" t="e">
        <f t="shared" ca="1" si="324"/>
        <v>#VALUE!</v>
      </c>
      <c r="W661" t="e">
        <f t="shared" ca="1" si="303"/>
        <v>#VALUE!</v>
      </c>
      <c r="X661" t="e">
        <f t="shared" ca="1" si="304"/>
        <v>#VALUE!</v>
      </c>
      <c r="Y661" t="e">
        <f t="shared" ca="1" si="305"/>
        <v>#VALUE!</v>
      </c>
      <c r="Z661" t="e">
        <f t="shared" ca="1" si="306"/>
        <v>#VALUE!</v>
      </c>
      <c r="AA661" t="e">
        <f t="shared" ca="1" si="307"/>
        <v>#VALUE!</v>
      </c>
      <c r="AB661" t="e">
        <f t="shared" ca="1" si="308"/>
        <v>#VALUE!</v>
      </c>
      <c r="AC661" t="e">
        <f t="shared" ca="1" si="309"/>
        <v>#VALUE!</v>
      </c>
      <c r="AD661" t="e">
        <f t="shared" ca="1" si="310"/>
        <v>#VALUE!</v>
      </c>
      <c r="AE661" t="e">
        <f t="shared" ca="1" si="311"/>
        <v>#VALUE!</v>
      </c>
      <c r="AF661" t="e">
        <f t="shared" ca="1" si="312"/>
        <v>#VALUE!</v>
      </c>
      <c r="AG661" t="e">
        <f t="shared" ca="1" si="313"/>
        <v>#VALUE!</v>
      </c>
      <c r="AH661" t="e">
        <f ca="1">IF(V32="Supercritical",L661,IF(V32="Subcritical",W661,IF(AND(V661=1,AG661=1),IF(T661&gt;=AE661,L661,W661),IF(V661=1,L661,IF(AG661=1,W661,MAX($D$16,POWER((ABS(K661)^2)/($I$5*MAX(F661,0.1)^2),1/3)))))))</f>
        <v>#VALUE!</v>
      </c>
      <c r="AI661" t="e">
        <f t="shared" ca="1" si="314"/>
        <v>#VALUE!</v>
      </c>
      <c r="AJ661" t="e">
        <f t="shared" ca="1" si="315"/>
        <v>#VALUE!</v>
      </c>
      <c r="AM661">
        <v>0</v>
      </c>
      <c r="AN661">
        <v>0</v>
      </c>
      <c r="AO661">
        <f t="shared" si="316"/>
        <v>0</v>
      </c>
      <c r="AP661">
        <f t="shared" si="325"/>
        <v>0</v>
      </c>
      <c r="AQ661" t="e">
        <f t="shared" ca="1" si="317"/>
        <v>#VALUE!</v>
      </c>
      <c r="AR661" t="e">
        <f t="shared" ca="1" si="318"/>
        <v>#VALUE!</v>
      </c>
      <c r="AS661" t="e">
        <f t="shared" ca="1" si="319"/>
        <v>#VALUE!</v>
      </c>
    </row>
    <row r="662" spans="1:45" x14ac:dyDescent="0.35">
      <c r="A662">
        <v>513</v>
      </c>
      <c r="B662">
        <v>511.89600000000002</v>
      </c>
      <c r="C662">
        <v>616198.68000000005</v>
      </c>
      <c r="D662">
        <v>3097466.1690000002</v>
      </c>
      <c r="E662">
        <v>632.30600000000004</v>
      </c>
      <c r="F662">
        <v>5.2</v>
      </c>
      <c r="G662">
        <v>0</v>
      </c>
      <c r="H662" t="s">
        <v>191</v>
      </c>
      <c r="I662">
        <v>2.3E-2</v>
      </c>
      <c r="J662">
        <f t="shared" si="320"/>
        <v>1.0010000000000332</v>
      </c>
      <c r="K662">
        <f t="shared" si="321"/>
        <v>51</v>
      </c>
      <c r="L662" t="e">
        <f t="shared" ca="1" si="322"/>
        <v>#VALUE!</v>
      </c>
      <c r="M662" t="e">
        <f t="shared" ref="M662:M725" ca="1" si="326">((F662)+(G662)*(L662))*(L662)</f>
        <v>#VALUE!</v>
      </c>
      <c r="N662" t="e">
        <f t="shared" ref="N662:N725" ca="1" si="327">(((F662)+(G662)*(L662))*(L662))/MAX((F662)+2*(L662)*SQRT(1+(G662)^2),0.000001)</f>
        <v>#VALUE!</v>
      </c>
      <c r="O662" t="e">
        <f t="shared" ref="O662:O725" ca="1" si="328">ABS(K662)/MAX(((F662)+(G662)*(L662))*(L662),0.000001)</f>
        <v>#VALUE!</v>
      </c>
      <c r="P662" t="e">
        <f t="shared" ref="P662:P725" ca="1" si="329">E662+L662</f>
        <v>#VALUE!</v>
      </c>
      <c r="Q662" t="e">
        <f t="shared" ref="Q662:Q725" ca="1" si="330">P662+((ABS(K662)/MAX(((F662)+(G662)*(L662))*(L662),0.000001))^2)/(2*$I$5)</f>
        <v>#VALUE!</v>
      </c>
      <c r="R662" t="e">
        <f t="shared" ref="R662:R725" ca="1" si="331">((ABS(K662)*$D$6)/(MAX(((F662)+(G662)*(L662))*(L662),0.000001)*MAX(((((F662)+(G662)*(L662))*(L662))/MAX((F662)+2*(L662)*SQRT(1+(G662)^2),0.000001))^(2/3),0.000001)))^2</f>
        <v>#VALUE!</v>
      </c>
      <c r="S662" t="e">
        <f t="shared" ref="S662:S725" ca="1" si="332">ABS(ABS(K662)/MAX(((F662)+(G662)*(L662))*(L662),0.000001))/SQRT($I$5*MAX((((F662)+(G662)*(L662))*(L662))/MAX((F662)+2*(G662)*(L662),0.000001),0.000001))</f>
        <v>#VALUE!</v>
      </c>
      <c r="T662" t="e">
        <f t="shared" ref="T662:T725" ca="1" si="333">((F662)*(L662)^2)/2+(G662)*(L662)^3/3+(ABS(K662)^2)/($I$5*MAX(((F662)+(G662)*(L662))*(L662),0.000001))</f>
        <v>#VALUE!</v>
      </c>
      <c r="U662" t="e">
        <f t="shared" ca="1" si="323"/>
        <v>#VALUE!</v>
      </c>
      <c r="V662" t="e">
        <f t="shared" ca="1" si="324"/>
        <v>#VALUE!</v>
      </c>
      <c r="W662" t="e">
        <f t="shared" ref="W662:W725" ca="1" si="334">IF($D$20=0,W663,IF(AG663=0,W663,IF(W662=0,W663,IF(ABS(AF662)&gt;$D$19,MAX($D$16,W662+((AF662)*$D$18*IF((AD662)&lt;1,1,-1))),W662))))</f>
        <v>#VALUE!</v>
      </c>
      <c r="X662" t="e">
        <f t="shared" ref="X662:X725" ca="1" si="335">((F662)+(G662)*(W662))*(W662)</f>
        <v>#VALUE!</v>
      </c>
      <c r="Y662" t="e">
        <f t="shared" ref="Y662:Y725" ca="1" si="336">(((F662)+(G662)*(W662))*(W662))/MAX((F662)+2*(W662)*SQRT(1+(G662)^2),0.000001)</f>
        <v>#VALUE!</v>
      </c>
      <c r="Z662" t="e">
        <f t="shared" ref="Z662:Z725" ca="1" si="337">ABS(K662)/MAX(((F662)+(G662)*(W662))*(W662),0.000001)</f>
        <v>#VALUE!</v>
      </c>
      <c r="AA662" t="e">
        <f t="shared" ref="AA662:AA725" ca="1" si="338">E662+W662</f>
        <v>#VALUE!</v>
      </c>
      <c r="AB662" t="e">
        <f t="shared" ref="AB662:AB725" ca="1" si="339">AA662+((ABS(K662)/MAX(((F662)+(G662)*(W662))*(W662),0.000001))^2)/(2*$I$5)</f>
        <v>#VALUE!</v>
      </c>
      <c r="AC662" t="e">
        <f t="shared" ref="AC662:AC725" ca="1" si="340">((ABS(K662)*$D$6)/(MAX(((F662)+(G662)*(W662))*(W662),0.000001)*MAX(((((F662)+(G662)*(W662))*(W662))/MAX((F662)+2*(W662)*SQRT(1+(G662)^2),0.000001))^(2/3),0.000001)))^2</f>
        <v>#VALUE!</v>
      </c>
      <c r="AD662" t="e">
        <f t="shared" ref="AD662:AD725" ca="1" si="341">ABS(ABS(K662)/MAX(((F662)+(G662)*(W662))*(W662),0.000001))/SQRT($I$5*MAX((((F662)+(G662)*(W662))*(W662))/MAX((F662)+2*(G662)*(W662),0.000001),0.000001))</f>
        <v>#VALUE!</v>
      </c>
      <c r="AE662" t="e">
        <f t="shared" ref="AE662:AE725" ca="1" si="342">((F662)*(W662)^2)/2+(G662)*(W662)^3/3+(ABS(K662)^2)/($I$5*MAX(((F662)+(G662)*(W662))*(W662),0.000001))</f>
        <v>#VALUE!</v>
      </c>
      <c r="AF662" t="e">
        <f t="shared" ref="AF662:AF725" ca="1" si="343">AB663+(((AC662+AC663)/2)*J663)+(IF(Z662&gt;Z663,$D$8*((Z662^2-Z663^2)/(2*$I$5)),$D$9*((Z663^2-Z662^2)/(2*$I$5)))+($D$10*(ABS(I663)/90)*(MAX(Z662^2,Z663^2)/(2*$I$5))))-AB662</f>
        <v>#VALUE!</v>
      </c>
      <c r="AG662" t="e">
        <f t="shared" ref="AG662:AG725" ca="1" si="344">IF(ABS(AF662)&lt;$D$19,1,0)</f>
        <v>#VALUE!</v>
      </c>
      <c r="AH662" t="e">
        <f ca="1">IF(V32="Supercritical",L662,IF(V32="Subcritical",W662,IF(AND(V662=1,AG662=1),IF(T662&gt;=AE662,L662,W662),IF(V662=1,L662,IF(AG662=1,W662,MAX($D$16,POWER((ABS(K662)^2)/($I$5*MAX(F662,0.1)^2),1/3)))))))</f>
        <v>#VALUE!</v>
      </c>
      <c r="AI662" t="e">
        <f t="shared" ref="AI662:AI725" ca="1" si="345">E662+AH662</f>
        <v>#VALUE!</v>
      </c>
      <c r="AJ662" t="e">
        <f t="shared" ref="AJ662:AJ725" ca="1" si="346">AI662+((ABS(K662)/MAX(((F662)+(G662)*(AH662))*(AH662),0.000001))^2)/(2*$I$5)</f>
        <v>#VALUE!</v>
      </c>
      <c r="AM662">
        <v>0</v>
      </c>
      <c r="AN662">
        <v>0</v>
      </c>
      <c r="AO662">
        <f t="shared" ref="AO662:AO725" si="347">AM662+AN662</f>
        <v>0</v>
      </c>
      <c r="AP662">
        <f t="shared" si="325"/>
        <v>0</v>
      </c>
      <c r="AQ662" t="e">
        <f t="shared" ref="AQ662:AQ725" ca="1" si="348">ABS(ABS(K662)/MAX(((F662)+(G662)*(AH662))*(AH662),0.000001))/SQRT($I$5*MAX((((F662)+(G662)*(AH662))*(AH662))/MAX((F662)+2*(G662)*(AH662),0.000001),0.000001))</f>
        <v>#VALUE!</v>
      </c>
      <c r="AR662" t="e">
        <f t="shared" ref="AR662:AR725" ca="1" si="349">IF(AQ662&lt;1,"Subcritical","Supercritical")</f>
        <v>#VALUE!</v>
      </c>
      <c r="AS662" t="e">
        <f t="shared" ref="AS662:AS725" ca="1" si="350">((ABS(K662)*$D$6)/(MAX(((F662)+(G662)*(AH662))*(AH662),0.000001)*MAX(((((F662)+(G662)*(AH662))*(AH662))/MAX((F662)+2*(AH662)*SQRT(1+(G662)^2),0.000001))^(2/3),0.000001)))^2</f>
        <v>#VALUE!</v>
      </c>
    </row>
    <row r="663" spans="1:45" x14ac:dyDescent="0.35">
      <c r="A663">
        <v>514</v>
      </c>
      <c r="B663">
        <v>512.89499999999998</v>
      </c>
      <c r="C663">
        <v>616198.20600000001</v>
      </c>
      <c r="D663">
        <v>3097465.2889999999</v>
      </c>
      <c r="E663">
        <v>632.30550000000005</v>
      </c>
      <c r="F663">
        <v>5.2</v>
      </c>
      <c r="G663">
        <v>0</v>
      </c>
      <c r="H663" t="s">
        <v>191</v>
      </c>
      <c r="I663">
        <v>0</v>
      </c>
      <c r="J663">
        <f t="shared" ref="J663:J726" si="351">B663-B662</f>
        <v>0.9989999999999668</v>
      </c>
      <c r="K663">
        <f t="shared" ref="K663:K726" si="352">MAX(0,K662-AO662)</f>
        <v>51</v>
      </c>
      <c r="L663" t="e">
        <f t="shared" ref="L663:L726" ca="1" si="353">IF($D$20=0,L662,IF(V662=0,L662,IF(L663=0,L662,IF(ABS(U663)&gt;$D$19,MAX($D$16,L663+((U663)*$D$18*IF((S663)&lt;1,1,-1))),L663))))</f>
        <v>#VALUE!</v>
      </c>
      <c r="M663" t="e">
        <f t="shared" ca="1" si="326"/>
        <v>#VALUE!</v>
      </c>
      <c r="N663" t="e">
        <f t="shared" ca="1" si="327"/>
        <v>#VALUE!</v>
      </c>
      <c r="O663" t="e">
        <f t="shared" ca="1" si="328"/>
        <v>#VALUE!</v>
      </c>
      <c r="P663" t="e">
        <f t="shared" ca="1" si="329"/>
        <v>#VALUE!</v>
      </c>
      <c r="Q663" t="e">
        <f t="shared" ca="1" si="330"/>
        <v>#VALUE!</v>
      </c>
      <c r="R663" t="e">
        <f t="shared" ca="1" si="331"/>
        <v>#VALUE!</v>
      </c>
      <c r="S663" t="e">
        <f t="shared" ca="1" si="332"/>
        <v>#VALUE!</v>
      </c>
      <c r="T663" t="e">
        <f t="shared" ca="1" si="333"/>
        <v>#VALUE!</v>
      </c>
      <c r="U663" t="e">
        <f t="shared" ref="U663:U726" ca="1" si="354">Q662-(((R662+R663)/2)*J663)-(IF(O662&gt;O663,$D$8*((O662^2-O663^2)/(2*$I$5)),$D$9*((O663^2-O662^2)/(2*$I$5)))+($D$10*(ABS(I663)/90)*(MAX(O662^2,O663^2)/(2*$I$5))))-Q663</f>
        <v>#VALUE!</v>
      </c>
      <c r="V663" t="e">
        <f t="shared" ref="V663:V726" ca="1" si="355">IF(ABS(U663)&lt;$D$19,1,0)</f>
        <v>#VALUE!</v>
      </c>
      <c r="W663" t="e">
        <f t="shared" ca="1" si="334"/>
        <v>#VALUE!</v>
      </c>
      <c r="X663" t="e">
        <f t="shared" ca="1" si="335"/>
        <v>#VALUE!</v>
      </c>
      <c r="Y663" t="e">
        <f t="shared" ca="1" si="336"/>
        <v>#VALUE!</v>
      </c>
      <c r="Z663" t="e">
        <f t="shared" ca="1" si="337"/>
        <v>#VALUE!</v>
      </c>
      <c r="AA663" t="e">
        <f t="shared" ca="1" si="338"/>
        <v>#VALUE!</v>
      </c>
      <c r="AB663" t="e">
        <f t="shared" ca="1" si="339"/>
        <v>#VALUE!</v>
      </c>
      <c r="AC663" t="e">
        <f t="shared" ca="1" si="340"/>
        <v>#VALUE!</v>
      </c>
      <c r="AD663" t="e">
        <f t="shared" ca="1" si="341"/>
        <v>#VALUE!</v>
      </c>
      <c r="AE663" t="e">
        <f t="shared" ca="1" si="342"/>
        <v>#VALUE!</v>
      </c>
      <c r="AF663" t="e">
        <f t="shared" ca="1" si="343"/>
        <v>#VALUE!</v>
      </c>
      <c r="AG663" t="e">
        <f t="shared" ca="1" si="344"/>
        <v>#VALUE!</v>
      </c>
      <c r="AH663" t="e">
        <f ca="1">IF(V32="Supercritical",L663,IF(V32="Subcritical",W663,IF(AND(V663=1,AG663=1),IF(T663&gt;=AE663,L663,W663),IF(V663=1,L663,IF(AG663=1,W663,MAX($D$16,POWER((ABS(K663)^2)/($I$5*MAX(F663,0.1)^2),1/3)))))))</f>
        <v>#VALUE!</v>
      </c>
      <c r="AI663" t="e">
        <f t="shared" ca="1" si="345"/>
        <v>#VALUE!</v>
      </c>
      <c r="AJ663" t="e">
        <f t="shared" ca="1" si="346"/>
        <v>#VALUE!</v>
      </c>
      <c r="AM663">
        <v>0</v>
      </c>
      <c r="AN663">
        <v>0</v>
      </c>
      <c r="AO663">
        <f t="shared" si="347"/>
        <v>0</v>
      </c>
      <c r="AP663">
        <f t="shared" ref="AP663:AP726" si="356">AP662+AO663</f>
        <v>0</v>
      </c>
      <c r="AQ663" t="e">
        <f t="shared" ca="1" si="348"/>
        <v>#VALUE!</v>
      </c>
      <c r="AR663" t="e">
        <f t="shared" ca="1" si="349"/>
        <v>#VALUE!</v>
      </c>
      <c r="AS663" t="e">
        <f t="shared" ca="1" si="350"/>
        <v>#VALUE!</v>
      </c>
    </row>
    <row r="664" spans="1:45" x14ac:dyDescent="0.35">
      <c r="A664">
        <v>515</v>
      </c>
      <c r="B664">
        <v>513.89499999999998</v>
      </c>
      <c r="C664">
        <v>616197.73199999996</v>
      </c>
      <c r="D664">
        <v>3097464.409</v>
      </c>
      <c r="E664">
        <v>632.30499999999995</v>
      </c>
      <c r="F664">
        <v>5.2</v>
      </c>
      <c r="G664">
        <v>0</v>
      </c>
      <c r="H664" t="s">
        <v>191</v>
      </c>
      <c r="I664">
        <v>2.7E-2</v>
      </c>
      <c r="J664">
        <f t="shared" si="351"/>
        <v>1</v>
      </c>
      <c r="K664">
        <f t="shared" si="352"/>
        <v>51</v>
      </c>
      <c r="L664" t="e">
        <f t="shared" ca="1" si="353"/>
        <v>#VALUE!</v>
      </c>
      <c r="M664" t="e">
        <f t="shared" ca="1" si="326"/>
        <v>#VALUE!</v>
      </c>
      <c r="N664" t="e">
        <f t="shared" ca="1" si="327"/>
        <v>#VALUE!</v>
      </c>
      <c r="O664" t="e">
        <f t="shared" ca="1" si="328"/>
        <v>#VALUE!</v>
      </c>
      <c r="P664" t="e">
        <f t="shared" ca="1" si="329"/>
        <v>#VALUE!</v>
      </c>
      <c r="Q664" t="e">
        <f t="shared" ca="1" si="330"/>
        <v>#VALUE!</v>
      </c>
      <c r="R664" t="e">
        <f t="shared" ca="1" si="331"/>
        <v>#VALUE!</v>
      </c>
      <c r="S664" t="e">
        <f t="shared" ca="1" si="332"/>
        <v>#VALUE!</v>
      </c>
      <c r="T664" t="e">
        <f t="shared" ca="1" si="333"/>
        <v>#VALUE!</v>
      </c>
      <c r="U664" t="e">
        <f t="shared" ca="1" si="354"/>
        <v>#VALUE!</v>
      </c>
      <c r="V664" t="e">
        <f t="shared" ca="1" si="355"/>
        <v>#VALUE!</v>
      </c>
      <c r="W664" t="e">
        <f t="shared" ca="1" si="334"/>
        <v>#VALUE!</v>
      </c>
      <c r="X664" t="e">
        <f t="shared" ca="1" si="335"/>
        <v>#VALUE!</v>
      </c>
      <c r="Y664" t="e">
        <f t="shared" ca="1" si="336"/>
        <v>#VALUE!</v>
      </c>
      <c r="Z664" t="e">
        <f t="shared" ca="1" si="337"/>
        <v>#VALUE!</v>
      </c>
      <c r="AA664" t="e">
        <f t="shared" ca="1" si="338"/>
        <v>#VALUE!</v>
      </c>
      <c r="AB664" t="e">
        <f t="shared" ca="1" si="339"/>
        <v>#VALUE!</v>
      </c>
      <c r="AC664" t="e">
        <f t="shared" ca="1" si="340"/>
        <v>#VALUE!</v>
      </c>
      <c r="AD664" t="e">
        <f t="shared" ca="1" si="341"/>
        <v>#VALUE!</v>
      </c>
      <c r="AE664" t="e">
        <f t="shared" ca="1" si="342"/>
        <v>#VALUE!</v>
      </c>
      <c r="AF664" t="e">
        <f t="shared" ca="1" si="343"/>
        <v>#VALUE!</v>
      </c>
      <c r="AG664" t="e">
        <f t="shared" ca="1" si="344"/>
        <v>#VALUE!</v>
      </c>
      <c r="AH664" t="e">
        <f ca="1">IF(V32="Supercritical",L664,IF(V32="Subcritical",W664,IF(AND(V664=1,AG664=1),IF(T664&gt;=AE664,L664,W664),IF(V664=1,L664,IF(AG664=1,W664,MAX($D$16,POWER((ABS(K664)^2)/($I$5*MAX(F664,0.1)^2),1/3)))))))</f>
        <v>#VALUE!</v>
      </c>
      <c r="AI664" t="e">
        <f t="shared" ca="1" si="345"/>
        <v>#VALUE!</v>
      </c>
      <c r="AJ664" t="e">
        <f t="shared" ca="1" si="346"/>
        <v>#VALUE!</v>
      </c>
      <c r="AM664">
        <v>0</v>
      </c>
      <c r="AN664">
        <v>0</v>
      </c>
      <c r="AO664">
        <f t="shared" si="347"/>
        <v>0</v>
      </c>
      <c r="AP664">
        <f t="shared" si="356"/>
        <v>0</v>
      </c>
      <c r="AQ664" t="e">
        <f t="shared" ca="1" si="348"/>
        <v>#VALUE!</v>
      </c>
      <c r="AR664" t="e">
        <f t="shared" ca="1" si="349"/>
        <v>#VALUE!</v>
      </c>
      <c r="AS664" t="e">
        <f t="shared" ca="1" si="350"/>
        <v>#VALUE!</v>
      </c>
    </row>
    <row r="665" spans="1:45" x14ac:dyDescent="0.35">
      <c r="A665">
        <v>516</v>
      </c>
      <c r="B665">
        <v>514.89499999999998</v>
      </c>
      <c r="C665">
        <v>616197.25800000003</v>
      </c>
      <c r="D665">
        <v>3097463.5279999999</v>
      </c>
      <c r="E665">
        <v>632.30449999999996</v>
      </c>
      <c r="F665">
        <v>5.2</v>
      </c>
      <c r="G665">
        <v>0</v>
      </c>
      <c r="H665" t="s">
        <v>191</v>
      </c>
      <c r="I665">
        <v>7.8E-2</v>
      </c>
      <c r="J665">
        <f t="shared" si="351"/>
        <v>1</v>
      </c>
      <c r="K665">
        <f t="shared" si="352"/>
        <v>51</v>
      </c>
      <c r="L665" t="e">
        <f t="shared" ca="1" si="353"/>
        <v>#VALUE!</v>
      </c>
      <c r="M665" t="e">
        <f t="shared" ca="1" si="326"/>
        <v>#VALUE!</v>
      </c>
      <c r="N665" t="e">
        <f t="shared" ca="1" si="327"/>
        <v>#VALUE!</v>
      </c>
      <c r="O665" t="e">
        <f t="shared" ca="1" si="328"/>
        <v>#VALUE!</v>
      </c>
      <c r="P665" t="e">
        <f t="shared" ca="1" si="329"/>
        <v>#VALUE!</v>
      </c>
      <c r="Q665" t="e">
        <f t="shared" ca="1" si="330"/>
        <v>#VALUE!</v>
      </c>
      <c r="R665" t="e">
        <f t="shared" ca="1" si="331"/>
        <v>#VALUE!</v>
      </c>
      <c r="S665" t="e">
        <f t="shared" ca="1" si="332"/>
        <v>#VALUE!</v>
      </c>
      <c r="T665" t="e">
        <f t="shared" ca="1" si="333"/>
        <v>#VALUE!</v>
      </c>
      <c r="U665" t="e">
        <f t="shared" ca="1" si="354"/>
        <v>#VALUE!</v>
      </c>
      <c r="V665" t="e">
        <f t="shared" ca="1" si="355"/>
        <v>#VALUE!</v>
      </c>
      <c r="W665" t="e">
        <f t="shared" ca="1" si="334"/>
        <v>#VALUE!</v>
      </c>
      <c r="X665" t="e">
        <f t="shared" ca="1" si="335"/>
        <v>#VALUE!</v>
      </c>
      <c r="Y665" t="e">
        <f t="shared" ca="1" si="336"/>
        <v>#VALUE!</v>
      </c>
      <c r="Z665" t="e">
        <f t="shared" ca="1" si="337"/>
        <v>#VALUE!</v>
      </c>
      <c r="AA665" t="e">
        <f t="shared" ca="1" si="338"/>
        <v>#VALUE!</v>
      </c>
      <c r="AB665" t="e">
        <f t="shared" ca="1" si="339"/>
        <v>#VALUE!</v>
      </c>
      <c r="AC665" t="e">
        <f t="shared" ca="1" si="340"/>
        <v>#VALUE!</v>
      </c>
      <c r="AD665" t="e">
        <f t="shared" ca="1" si="341"/>
        <v>#VALUE!</v>
      </c>
      <c r="AE665" t="e">
        <f t="shared" ca="1" si="342"/>
        <v>#VALUE!</v>
      </c>
      <c r="AF665" t="e">
        <f t="shared" ca="1" si="343"/>
        <v>#VALUE!</v>
      </c>
      <c r="AG665" t="e">
        <f t="shared" ca="1" si="344"/>
        <v>#VALUE!</v>
      </c>
      <c r="AH665" t="e">
        <f ca="1">IF(V32="Supercritical",L665,IF(V32="Subcritical",W665,IF(AND(V665=1,AG665=1),IF(T665&gt;=AE665,L665,W665),IF(V665=1,L665,IF(AG665=1,W665,MAX($D$16,POWER((ABS(K665)^2)/($I$5*MAX(F665,0.1)^2),1/3)))))))</f>
        <v>#VALUE!</v>
      </c>
      <c r="AI665" t="e">
        <f t="shared" ca="1" si="345"/>
        <v>#VALUE!</v>
      </c>
      <c r="AJ665" t="e">
        <f t="shared" ca="1" si="346"/>
        <v>#VALUE!</v>
      </c>
      <c r="AM665">
        <v>0</v>
      </c>
      <c r="AN665">
        <v>0</v>
      </c>
      <c r="AO665">
        <f t="shared" si="347"/>
        <v>0</v>
      </c>
      <c r="AP665">
        <f t="shared" si="356"/>
        <v>0</v>
      </c>
      <c r="AQ665" t="e">
        <f t="shared" ca="1" si="348"/>
        <v>#VALUE!</v>
      </c>
      <c r="AR665" t="e">
        <f t="shared" ca="1" si="349"/>
        <v>#VALUE!</v>
      </c>
      <c r="AS665" t="e">
        <f t="shared" ca="1" si="350"/>
        <v>#VALUE!</v>
      </c>
    </row>
    <row r="666" spans="1:45" x14ac:dyDescent="0.35">
      <c r="A666">
        <v>517</v>
      </c>
      <c r="B666">
        <v>515.89499999999998</v>
      </c>
      <c r="C666">
        <v>616196.78300000005</v>
      </c>
      <c r="D666">
        <v>3097462.648</v>
      </c>
      <c r="E666">
        <v>632.30399999999997</v>
      </c>
      <c r="F666">
        <v>5.2</v>
      </c>
      <c r="G666">
        <v>0</v>
      </c>
      <c r="H666" t="s">
        <v>191</v>
      </c>
      <c r="I666">
        <v>7.8E-2</v>
      </c>
      <c r="J666">
        <f t="shared" si="351"/>
        <v>1</v>
      </c>
      <c r="K666">
        <f t="shared" si="352"/>
        <v>51</v>
      </c>
      <c r="L666" t="e">
        <f t="shared" ca="1" si="353"/>
        <v>#VALUE!</v>
      </c>
      <c r="M666" t="e">
        <f t="shared" ca="1" si="326"/>
        <v>#VALUE!</v>
      </c>
      <c r="N666" t="e">
        <f t="shared" ca="1" si="327"/>
        <v>#VALUE!</v>
      </c>
      <c r="O666" t="e">
        <f t="shared" ca="1" si="328"/>
        <v>#VALUE!</v>
      </c>
      <c r="P666" t="e">
        <f t="shared" ca="1" si="329"/>
        <v>#VALUE!</v>
      </c>
      <c r="Q666" t="e">
        <f t="shared" ca="1" si="330"/>
        <v>#VALUE!</v>
      </c>
      <c r="R666" t="e">
        <f t="shared" ca="1" si="331"/>
        <v>#VALUE!</v>
      </c>
      <c r="S666" t="e">
        <f t="shared" ca="1" si="332"/>
        <v>#VALUE!</v>
      </c>
      <c r="T666" t="e">
        <f t="shared" ca="1" si="333"/>
        <v>#VALUE!</v>
      </c>
      <c r="U666" t="e">
        <f t="shared" ca="1" si="354"/>
        <v>#VALUE!</v>
      </c>
      <c r="V666" t="e">
        <f t="shared" ca="1" si="355"/>
        <v>#VALUE!</v>
      </c>
      <c r="W666" t="e">
        <f t="shared" ca="1" si="334"/>
        <v>#VALUE!</v>
      </c>
      <c r="X666" t="e">
        <f t="shared" ca="1" si="335"/>
        <v>#VALUE!</v>
      </c>
      <c r="Y666" t="e">
        <f t="shared" ca="1" si="336"/>
        <v>#VALUE!</v>
      </c>
      <c r="Z666" t="e">
        <f t="shared" ca="1" si="337"/>
        <v>#VALUE!</v>
      </c>
      <c r="AA666" t="e">
        <f t="shared" ca="1" si="338"/>
        <v>#VALUE!</v>
      </c>
      <c r="AB666" t="e">
        <f t="shared" ca="1" si="339"/>
        <v>#VALUE!</v>
      </c>
      <c r="AC666" t="e">
        <f t="shared" ca="1" si="340"/>
        <v>#VALUE!</v>
      </c>
      <c r="AD666" t="e">
        <f t="shared" ca="1" si="341"/>
        <v>#VALUE!</v>
      </c>
      <c r="AE666" t="e">
        <f t="shared" ca="1" si="342"/>
        <v>#VALUE!</v>
      </c>
      <c r="AF666" t="e">
        <f t="shared" ca="1" si="343"/>
        <v>#VALUE!</v>
      </c>
      <c r="AG666" t="e">
        <f t="shared" ca="1" si="344"/>
        <v>#VALUE!</v>
      </c>
      <c r="AH666" t="e">
        <f ca="1">IF(V32="Supercritical",L666,IF(V32="Subcritical",W666,IF(AND(V666=1,AG666=1),IF(T666&gt;=AE666,L666,W666),IF(V666=1,L666,IF(AG666=1,W666,MAX($D$16,POWER((ABS(K666)^2)/($I$5*MAX(F666,0.1)^2),1/3)))))))</f>
        <v>#VALUE!</v>
      </c>
      <c r="AI666" t="e">
        <f t="shared" ca="1" si="345"/>
        <v>#VALUE!</v>
      </c>
      <c r="AJ666" t="e">
        <f t="shared" ca="1" si="346"/>
        <v>#VALUE!</v>
      </c>
      <c r="AM666">
        <v>0</v>
      </c>
      <c r="AN666">
        <v>0</v>
      </c>
      <c r="AO666">
        <f t="shared" si="347"/>
        <v>0</v>
      </c>
      <c r="AP666">
        <f t="shared" si="356"/>
        <v>0</v>
      </c>
      <c r="AQ666" t="e">
        <f t="shared" ca="1" si="348"/>
        <v>#VALUE!</v>
      </c>
      <c r="AR666" t="e">
        <f t="shared" ca="1" si="349"/>
        <v>#VALUE!</v>
      </c>
      <c r="AS666" t="e">
        <f t="shared" ca="1" si="350"/>
        <v>#VALUE!</v>
      </c>
    </row>
    <row r="667" spans="1:45" x14ac:dyDescent="0.35">
      <c r="A667">
        <v>518</v>
      </c>
      <c r="B667">
        <v>516.89599999999996</v>
      </c>
      <c r="C667">
        <v>616196.30900000001</v>
      </c>
      <c r="D667">
        <v>3097461.767</v>
      </c>
      <c r="E667">
        <v>632.30349999999999</v>
      </c>
      <c r="F667">
        <v>5.2</v>
      </c>
      <c r="G667">
        <v>0</v>
      </c>
      <c r="H667" t="s">
        <v>191</v>
      </c>
      <c r="I667">
        <v>2.7E-2</v>
      </c>
      <c r="J667">
        <f t="shared" si="351"/>
        <v>1.0009999999999764</v>
      </c>
      <c r="K667">
        <f t="shared" si="352"/>
        <v>51</v>
      </c>
      <c r="L667" t="e">
        <f t="shared" ca="1" si="353"/>
        <v>#VALUE!</v>
      </c>
      <c r="M667" t="e">
        <f t="shared" ca="1" si="326"/>
        <v>#VALUE!</v>
      </c>
      <c r="N667" t="e">
        <f t="shared" ca="1" si="327"/>
        <v>#VALUE!</v>
      </c>
      <c r="O667" t="e">
        <f t="shared" ca="1" si="328"/>
        <v>#VALUE!</v>
      </c>
      <c r="P667" t="e">
        <f t="shared" ca="1" si="329"/>
        <v>#VALUE!</v>
      </c>
      <c r="Q667" t="e">
        <f t="shared" ca="1" si="330"/>
        <v>#VALUE!</v>
      </c>
      <c r="R667" t="e">
        <f t="shared" ca="1" si="331"/>
        <v>#VALUE!</v>
      </c>
      <c r="S667" t="e">
        <f t="shared" ca="1" si="332"/>
        <v>#VALUE!</v>
      </c>
      <c r="T667" t="e">
        <f t="shared" ca="1" si="333"/>
        <v>#VALUE!</v>
      </c>
      <c r="U667" t="e">
        <f t="shared" ca="1" si="354"/>
        <v>#VALUE!</v>
      </c>
      <c r="V667" t="e">
        <f t="shared" ca="1" si="355"/>
        <v>#VALUE!</v>
      </c>
      <c r="W667" t="e">
        <f t="shared" ca="1" si="334"/>
        <v>#VALUE!</v>
      </c>
      <c r="X667" t="e">
        <f t="shared" ca="1" si="335"/>
        <v>#VALUE!</v>
      </c>
      <c r="Y667" t="e">
        <f t="shared" ca="1" si="336"/>
        <v>#VALUE!</v>
      </c>
      <c r="Z667" t="e">
        <f t="shared" ca="1" si="337"/>
        <v>#VALUE!</v>
      </c>
      <c r="AA667" t="e">
        <f t="shared" ca="1" si="338"/>
        <v>#VALUE!</v>
      </c>
      <c r="AB667" t="e">
        <f t="shared" ca="1" si="339"/>
        <v>#VALUE!</v>
      </c>
      <c r="AC667" t="e">
        <f t="shared" ca="1" si="340"/>
        <v>#VALUE!</v>
      </c>
      <c r="AD667" t="e">
        <f t="shared" ca="1" si="341"/>
        <v>#VALUE!</v>
      </c>
      <c r="AE667" t="e">
        <f t="shared" ca="1" si="342"/>
        <v>#VALUE!</v>
      </c>
      <c r="AF667" t="e">
        <f t="shared" ca="1" si="343"/>
        <v>#VALUE!</v>
      </c>
      <c r="AG667" t="e">
        <f t="shared" ca="1" si="344"/>
        <v>#VALUE!</v>
      </c>
      <c r="AH667" t="e">
        <f ca="1">IF(V32="Supercritical",L667,IF(V32="Subcritical",W667,IF(AND(V667=1,AG667=1),IF(T667&gt;=AE667,L667,W667),IF(V667=1,L667,IF(AG667=1,W667,MAX($D$16,POWER((ABS(K667)^2)/($I$5*MAX(F667,0.1)^2),1/3)))))))</f>
        <v>#VALUE!</v>
      </c>
      <c r="AI667" t="e">
        <f t="shared" ca="1" si="345"/>
        <v>#VALUE!</v>
      </c>
      <c r="AJ667" t="e">
        <f t="shared" ca="1" si="346"/>
        <v>#VALUE!</v>
      </c>
      <c r="AM667">
        <v>0</v>
      </c>
      <c r="AN667">
        <v>0</v>
      </c>
      <c r="AO667">
        <f t="shared" si="347"/>
        <v>0</v>
      </c>
      <c r="AP667">
        <f t="shared" si="356"/>
        <v>0</v>
      </c>
      <c r="AQ667" t="e">
        <f t="shared" ca="1" si="348"/>
        <v>#VALUE!</v>
      </c>
      <c r="AR667" t="e">
        <f t="shared" ca="1" si="349"/>
        <v>#VALUE!</v>
      </c>
      <c r="AS667" t="e">
        <f t="shared" ca="1" si="350"/>
        <v>#VALUE!</v>
      </c>
    </row>
    <row r="668" spans="1:45" x14ac:dyDescent="0.35">
      <c r="A668">
        <v>519</v>
      </c>
      <c r="B668">
        <v>517.89499999999998</v>
      </c>
      <c r="C668">
        <v>616195.83499999996</v>
      </c>
      <c r="D668">
        <v>3097460.8870000001</v>
      </c>
      <c r="E668">
        <v>632.303</v>
      </c>
      <c r="F668">
        <v>5.2</v>
      </c>
      <c r="G668">
        <v>0</v>
      </c>
      <c r="H668" t="s">
        <v>191</v>
      </c>
      <c r="I668">
        <v>0</v>
      </c>
      <c r="J668">
        <f t="shared" si="351"/>
        <v>0.99900000000002365</v>
      </c>
      <c r="K668">
        <f t="shared" si="352"/>
        <v>51</v>
      </c>
      <c r="L668" t="e">
        <f t="shared" ca="1" si="353"/>
        <v>#VALUE!</v>
      </c>
      <c r="M668" t="e">
        <f t="shared" ca="1" si="326"/>
        <v>#VALUE!</v>
      </c>
      <c r="N668" t="e">
        <f t="shared" ca="1" si="327"/>
        <v>#VALUE!</v>
      </c>
      <c r="O668" t="e">
        <f t="shared" ca="1" si="328"/>
        <v>#VALUE!</v>
      </c>
      <c r="P668" t="e">
        <f t="shared" ca="1" si="329"/>
        <v>#VALUE!</v>
      </c>
      <c r="Q668" t="e">
        <f t="shared" ca="1" si="330"/>
        <v>#VALUE!</v>
      </c>
      <c r="R668" t="e">
        <f t="shared" ca="1" si="331"/>
        <v>#VALUE!</v>
      </c>
      <c r="S668" t="e">
        <f t="shared" ca="1" si="332"/>
        <v>#VALUE!</v>
      </c>
      <c r="T668" t="e">
        <f t="shared" ca="1" si="333"/>
        <v>#VALUE!</v>
      </c>
      <c r="U668" t="e">
        <f t="shared" ca="1" si="354"/>
        <v>#VALUE!</v>
      </c>
      <c r="V668" t="e">
        <f t="shared" ca="1" si="355"/>
        <v>#VALUE!</v>
      </c>
      <c r="W668" t="e">
        <f t="shared" ca="1" si="334"/>
        <v>#VALUE!</v>
      </c>
      <c r="X668" t="e">
        <f t="shared" ca="1" si="335"/>
        <v>#VALUE!</v>
      </c>
      <c r="Y668" t="e">
        <f t="shared" ca="1" si="336"/>
        <v>#VALUE!</v>
      </c>
      <c r="Z668" t="e">
        <f t="shared" ca="1" si="337"/>
        <v>#VALUE!</v>
      </c>
      <c r="AA668" t="e">
        <f t="shared" ca="1" si="338"/>
        <v>#VALUE!</v>
      </c>
      <c r="AB668" t="e">
        <f t="shared" ca="1" si="339"/>
        <v>#VALUE!</v>
      </c>
      <c r="AC668" t="e">
        <f t="shared" ca="1" si="340"/>
        <v>#VALUE!</v>
      </c>
      <c r="AD668" t="e">
        <f t="shared" ca="1" si="341"/>
        <v>#VALUE!</v>
      </c>
      <c r="AE668" t="e">
        <f t="shared" ca="1" si="342"/>
        <v>#VALUE!</v>
      </c>
      <c r="AF668" t="e">
        <f t="shared" ca="1" si="343"/>
        <v>#VALUE!</v>
      </c>
      <c r="AG668" t="e">
        <f t="shared" ca="1" si="344"/>
        <v>#VALUE!</v>
      </c>
      <c r="AH668" t="e">
        <f ca="1">IF(V32="Supercritical",L668,IF(V32="Subcritical",W668,IF(AND(V668=1,AG668=1),IF(T668&gt;=AE668,L668,W668),IF(V668=1,L668,IF(AG668=1,W668,MAX($D$16,POWER((ABS(K668)^2)/($I$5*MAX(F668,0.1)^2),1/3)))))))</f>
        <v>#VALUE!</v>
      </c>
      <c r="AI668" t="e">
        <f t="shared" ca="1" si="345"/>
        <v>#VALUE!</v>
      </c>
      <c r="AJ668" t="e">
        <f t="shared" ca="1" si="346"/>
        <v>#VALUE!</v>
      </c>
      <c r="AM668">
        <v>0</v>
      </c>
      <c r="AN668">
        <v>0</v>
      </c>
      <c r="AO668">
        <f t="shared" si="347"/>
        <v>0</v>
      </c>
      <c r="AP668">
        <f t="shared" si="356"/>
        <v>0</v>
      </c>
      <c r="AQ668" t="e">
        <f t="shared" ca="1" si="348"/>
        <v>#VALUE!</v>
      </c>
      <c r="AR668" t="e">
        <f t="shared" ca="1" si="349"/>
        <v>#VALUE!</v>
      </c>
      <c r="AS668" t="e">
        <f t="shared" ca="1" si="350"/>
        <v>#VALUE!</v>
      </c>
    </row>
    <row r="669" spans="1:45" x14ac:dyDescent="0.35">
      <c r="A669">
        <v>520</v>
      </c>
      <c r="B669">
        <v>518.89499999999998</v>
      </c>
      <c r="C669">
        <v>616195.36100000003</v>
      </c>
      <c r="D669">
        <v>3097460.0070000002</v>
      </c>
      <c r="E669">
        <v>632.30250000000001</v>
      </c>
      <c r="F669">
        <v>5.2</v>
      </c>
      <c r="G669">
        <v>0</v>
      </c>
      <c r="H669" t="s">
        <v>191</v>
      </c>
      <c r="I669">
        <v>2.3E-2</v>
      </c>
      <c r="J669">
        <f t="shared" si="351"/>
        <v>1</v>
      </c>
      <c r="K669">
        <f t="shared" si="352"/>
        <v>51</v>
      </c>
      <c r="L669" t="e">
        <f t="shared" ca="1" si="353"/>
        <v>#VALUE!</v>
      </c>
      <c r="M669" t="e">
        <f t="shared" ca="1" si="326"/>
        <v>#VALUE!</v>
      </c>
      <c r="N669" t="e">
        <f t="shared" ca="1" si="327"/>
        <v>#VALUE!</v>
      </c>
      <c r="O669" t="e">
        <f t="shared" ca="1" si="328"/>
        <v>#VALUE!</v>
      </c>
      <c r="P669" t="e">
        <f t="shared" ca="1" si="329"/>
        <v>#VALUE!</v>
      </c>
      <c r="Q669" t="e">
        <f t="shared" ca="1" si="330"/>
        <v>#VALUE!</v>
      </c>
      <c r="R669" t="e">
        <f t="shared" ca="1" si="331"/>
        <v>#VALUE!</v>
      </c>
      <c r="S669" t="e">
        <f t="shared" ca="1" si="332"/>
        <v>#VALUE!</v>
      </c>
      <c r="T669" t="e">
        <f t="shared" ca="1" si="333"/>
        <v>#VALUE!</v>
      </c>
      <c r="U669" t="e">
        <f t="shared" ca="1" si="354"/>
        <v>#VALUE!</v>
      </c>
      <c r="V669" t="e">
        <f t="shared" ca="1" si="355"/>
        <v>#VALUE!</v>
      </c>
      <c r="W669" t="e">
        <f t="shared" ca="1" si="334"/>
        <v>#VALUE!</v>
      </c>
      <c r="X669" t="e">
        <f t="shared" ca="1" si="335"/>
        <v>#VALUE!</v>
      </c>
      <c r="Y669" t="e">
        <f t="shared" ca="1" si="336"/>
        <v>#VALUE!</v>
      </c>
      <c r="Z669" t="e">
        <f t="shared" ca="1" si="337"/>
        <v>#VALUE!</v>
      </c>
      <c r="AA669" t="e">
        <f t="shared" ca="1" si="338"/>
        <v>#VALUE!</v>
      </c>
      <c r="AB669" t="e">
        <f t="shared" ca="1" si="339"/>
        <v>#VALUE!</v>
      </c>
      <c r="AC669" t="e">
        <f t="shared" ca="1" si="340"/>
        <v>#VALUE!</v>
      </c>
      <c r="AD669" t="e">
        <f t="shared" ca="1" si="341"/>
        <v>#VALUE!</v>
      </c>
      <c r="AE669" t="e">
        <f t="shared" ca="1" si="342"/>
        <v>#VALUE!</v>
      </c>
      <c r="AF669" t="e">
        <f t="shared" ca="1" si="343"/>
        <v>#VALUE!</v>
      </c>
      <c r="AG669" t="e">
        <f t="shared" ca="1" si="344"/>
        <v>#VALUE!</v>
      </c>
      <c r="AH669" t="e">
        <f ca="1">IF(V32="Supercritical",L669,IF(V32="Subcritical",W669,IF(AND(V669=1,AG669=1),IF(T669&gt;=AE669,L669,W669),IF(V669=1,L669,IF(AG669=1,W669,MAX($D$16,POWER((ABS(K669)^2)/($I$5*MAX(F669,0.1)^2),1/3)))))))</f>
        <v>#VALUE!</v>
      </c>
      <c r="AI669" t="e">
        <f t="shared" ca="1" si="345"/>
        <v>#VALUE!</v>
      </c>
      <c r="AJ669" t="e">
        <f t="shared" ca="1" si="346"/>
        <v>#VALUE!</v>
      </c>
      <c r="AM669">
        <v>0</v>
      </c>
      <c r="AN669">
        <v>0</v>
      </c>
      <c r="AO669">
        <f t="shared" si="347"/>
        <v>0</v>
      </c>
      <c r="AP669">
        <f t="shared" si="356"/>
        <v>0</v>
      </c>
      <c r="AQ669" t="e">
        <f t="shared" ca="1" si="348"/>
        <v>#VALUE!</v>
      </c>
      <c r="AR669" t="e">
        <f t="shared" ca="1" si="349"/>
        <v>#VALUE!</v>
      </c>
      <c r="AS669" t="e">
        <f t="shared" ca="1" si="350"/>
        <v>#VALUE!</v>
      </c>
    </row>
    <row r="670" spans="1:45" x14ac:dyDescent="0.35">
      <c r="A670">
        <v>521</v>
      </c>
      <c r="B670">
        <v>519.89599999999996</v>
      </c>
      <c r="C670">
        <v>616194.88600000006</v>
      </c>
      <c r="D670">
        <v>3097459.1260000002</v>
      </c>
      <c r="E670">
        <v>632.30200000000002</v>
      </c>
      <c r="F670">
        <v>5.2</v>
      </c>
      <c r="G670">
        <v>0</v>
      </c>
      <c r="H670" t="s">
        <v>191</v>
      </c>
      <c r="I670">
        <v>2.3E-2</v>
      </c>
      <c r="J670">
        <f t="shared" si="351"/>
        <v>1.0009999999999764</v>
      </c>
      <c r="K670">
        <f t="shared" si="352"/>
        <v>51</v>
      </c>
      <c r="L670" t="e">
        <f t="shared" ca="1" si="353"/>
        <v>#VALUE!</v>
      </c>
      <c r="M670" t="e">
        <f t="shared" ca="1" si="326"/>
        <v>#VALUE!</v>
      </c>
      <c r="N670" t="e">
        <f t="shared" ca="1" si="327"/>
        <v>#VALUE!</v>
      </c>
      <c r="O670" t="e">
        <f t="shared" ca="1" si="328"/>
        <v>#VALUE!</v>
      </c>
      <c r="P670" t="e">
        <f t="shared" ca="1" si="329"/>
        <v>#VALUE!</v>
      </c>
      <c r="Q670" t="e">
        <f t="shared" ca="1" si="330"/>
        <v>#VALUE!</v>
      </c>
      <c r="R670" t="e">
        <f t="shared" ca="1" si="331"/>
        <v>#VALUE!</v>
      </c>
      <c r="S670" t="e">
        <f t="shared" ca="1" si="332"/>
        <v>#VALUE!</v>
      </c>
      <c r="T670" t="e">
        <f t="shared" ca="1" si="333"/>
        <v>#VALUE!</v>
      </c>
      <c r="U670" t="e">
        <f t="shared" ca="1" si="354"/>
        <v>#VALUE!</v>
      </c>
      <c r="V670" t="e">
        <f t="shared" ca="1" si="355"/>
        <v>#VALUE!</v>
      </c>
      <c r="W670" t="e">
        <f t="shared" ca="1" si="334"/>
        <v>#VALUE!</v>
      </c>
      <c r="X670" t="e">
        <f t="shared" ca="1" si="335"/>
        <v>#VALUE!</v>
      </c>
      <c r="Y670" t="e">
        <f t="shared" ca="1" si="336"/>
        <v>#VALUE!</v>
      </c>
      <c r="Z670" t="e">
        <f t="shared" ca="1" si="337"/>
        <v>#VALUE!</v>
      </c>
      <c r="AA670" t="e">
        <f t="shared" ca="1" si="338"/>
        <v>#VALUE!</v>
      </c>
      <c r="AB670" t="e">
        <f t="shared" ca="1" si="339"/>
        <v>#VALUE!</v>
      </c>
      <c r="AC670" t="e">
        <f t="shared" ca="1" si="340"/>
        <v>#VALUE!</v>
      </c>
      <c r="AD670" t="e">
        <f t="shared" ca="1" si="341"/>
        <v>#VALUE!</v>
      </c>
      <c r="AE670" t="e">
        <f t="shared" ca="1" si="342"/>
        <v>#VALUE!</v>
      </c>
      <c r="AF670" t="e">
        <f t="shared" ca="1" si="343"/>
        <v>#VALUE!</v>
      </c>
      <c r="AG670" t="e">
        <f t="shared" ca="1" si="344"/>
        <v>#VALUE!</v>
      </c>
      <c r="AH670" t="e">
        <f ca="1">IF(V32="Supercritical",L670,IF(V32="Subcritical",W670,IF(AND(V670=1,AG670=1),IF(T670&gt;=AE670,L670,W670),IF(V670=1,L670,IF(AG670=1,W670,MAX($D$16,POWER((ABS(K670)^2)/($I$5*MAX(F670,0.1)^2),1/3)))))))</f>
        <v>#VALUE!</v>
      </c>
      <c r="AI670" t="e">
        <f t="shared" ca="1" si="345"/>
        <v>#VALUE!</v>
      </c>
      <c r="AJ670" t="e">
        <f t="shared" ca="1" si="346"/>
        <v>#VALUE!</v>
      </c>
      <c r="AM670">
        <v>0</v>
      </c>
      <c r="AN670">
        <v>0</v>
      </c>
      <c r="AO670">
        <f t="shared" si="347"/>
        <v>0</v>
      </c>
      <c r="AP670">
        <f t="shared" si="356"/>
        <v>0</v>
      </c>
      <c r="AQ670" t="e">
        <f t="shared" ca="1" si="348"/>
        <v>#VALUE!</v>
      </c>
      <c r="AR670" t="e">
        <f t="shared" ca="1" si="349"/>
        <v>#VALUE!</v>
      </c>
      <c r="AS670" t="e">
        <f t="shared" ca="1" si="350"/>
        <v>#VALUE!</v>
      </c>
    </row>
    <row r="671" spans="1:45" x14ac:dyDescent="0.35">
      <c r="A671">
        <v>522</v>
      </c>
      <c r="B671">
        <v>520.89499999999998</v>
      </c>
      <c r="C671">
        <v>616194.41200000001</v>
      </c>
      <c r="D671">
        <v>3097458.2459999998</v>
      </c>
      <c r="E671">
        <v>632.30150000000003</v>
      </c>
      <c r="F671">
        <v>5.2</v>
      </c>
      <c r="G671">
        <v>0</v>
      </c>
      <c r="H671" t="s">
        <v>191</v>
      </c>
      <c r="I671">
        <v>2.7E-2</v>
      </c>
      <c r="J671">
        <f t="shared" si="351"/>
        <v>0.99900000000002365</v>
      </c>
      <c r="K671">
        <f t="shared" si="352"/>
        <v>51</v>
      </c>
      <c r="L671" t="e">
        <f t="shared" ca="1" si="353"/>
        <v>#VALUE!</v>
      </c>
      <c r="M671" t="e">
        <f t="shared" ca="1" si="326"/>
        <v>#VALUE!</v>
      </c>
      <c r="N671" t="e">
        <f t="shared" ca="1" si="327"/>
        <v>#VALUE!</v>
      </c>
      <c r="O671" t="e">
        <f t="shared" ca="1" si="328"/>
        <v>#VALUE!</v>
      </c>
      <c r="P671" t="e">
        <f t="shared" ca="1" si="329"/>
        <v>#VALUE!</v>
      </c>
      <c r="Q671" t="e">
        <f t="shared" ca="1" si="330"/>
        <v>#VALUE!</v>
      </c>
      <c r="R671" t="e">
        <f t="shared" ca="1" si="331"/>
        <v>#VALUE!</v>
      </c>
      <c r="S671" t="e">
        <f t="shared" ca="1" si="332"/>
        <v>#VALUE!</v>
      </c>
      <c r="T671" t="e">
        <f t="shared" ca="1" si="333"/>
        <v>#VALUE!</v>
      </c>
      <c r="U671" t="e">
        <f t="shared" ca="1" si="354"/>
        <v>#VALUE!</v>
      </c>
      <c r="V671" t="e">
        <f t="shared" ca="1" si="355"/>
        <v>#VALUE!</v>
      </c>
      <c r="W671" t="e">
        <f t="shared" ca="1" si="334"/>
        <v>#VALUE!</v>
      </c>
      <c r="X671" t="e">
        <f t="shared" ca="1" si="335"/>
        <v>#VALUE!</v>
      </c>
      <c r="Y671" t="e">
        <f t="shared" ca="1" si="336"/>
        <v>#VALUE!</v>
      </c>
      <c r="Z671" t="e">
        <f t="shared" ca="1" si="337"/>
        <v>#VALUE!</v>
      </c>
      <c r="AA671" t="e">
        <f t="shared" ca="1" si="338"/>
        <v>#VALUE!</v>
      </c>
      <c r="AB671" t="e">
        <f t="shared" ca="1" si="339"/>
        <v>#VALUE!</v>
      </c>
      <c r="AC671" t="e">
        <f t="shared" ca="1" si="340"/>
        <v>#VALUE!</v>
      </c>
      <c r="AD671" t="e">
        <f t="shared" ca="1" si="341"/>
        <v>#VALUE!</v>
      </c>
      <c r="AE671" t="e">
        <f t="shared" ca="1" si="342"/>
        <v>#VALUE!</v>
      </c>
      <c r="AF671" t="e">
        <f t="shared" ca="1" si="343"/>
        <v>#VALUE!</v>
      </c>
      <c r="AG671" t="e">
        <f t="shared" ca="1" si="344"/>
        <v>#VALUE!</v>
      </c>
      <c r="AH671" t="e">
        <f ca="1">IF(V32="Supercritical",L671,IF(V32="Subcritical",W671,IF(AND(V671=1,AG671=1),IF(T671&gt;=AE671,L671,W671),IF(V671=1,L671,IF(AG671=1,W671,MAX($D$16,POWER((ABS(K671)^2)/($I$5*MAX(F671,0.1)^2),1/3)))))))</f>
        <v>#VALUE!</v>
      </c>
      <c r="AI671" t="e">
        <f t="shared" ca="1" si="345"/>
        <v>#VALUE!</v>
      </c>
      <c r="AJ671" t="e">
        <f t="shared" ca="1" si="346"/>
        <v>#VALUE!</v>
      </c>
      <c r="AM671">
        <v>0</v>
      </c>
      <c r="AN671">
        <v>0</v>
      </c>
      <c r="AO671">
        <f t="shared" si="347"/>
        <v>0</v>
      </c>
      <c r="AP671">
        <f t="shared" si="356"/>
        <v>0</v>
      </c>
      <c r="AQ671" t="e">
        <f t="shared" ca="1" si="348"/>
        <v>#VALUE!</v>
      </c>
      <c r="AR671" t="e">
        <f t="shared" ca="1" si="349"/>
        <v>#VALUE!</v>
      </c>
      <c r="AS671" t="e">
        <f t="shared" ca="1" si="350"/>
        <v>#VALUE!</v>
      </c>
    </row>
    <row r="672" spans="1:45" x14ac:dyDescent="0.35">
      <c r="A672">
        <v>523</v>
      </c>
      <c r="B672">
        <v>521.89599999999996</v>
      </c>
      <c r="C672">
        <v>616193.93799999997</v>
      </c>
      <c r="D672">
        <v>3097457.3650000002</v>
      </c>
      <c r="E672">
        <v>632.30100000000004</v>
      </c>
      <c r="F672">
        <v>5.2</v>
      </c>
      <c r="G672">
        <v>0</v>
      </c>
      <c r="H672" t="s">
        <v>191</v>
      </c>
      <c r="I672">
        <v>2.7E-2</v>
      </c>
      <c r="J672">
        <f t="shared" si="351"/>
        <v>1.0009999999999764</v>
      </c>
      <c r="K672">
        <f t="shared" si="352"/>
        <v>51</v>
      </c>
      <c r="L672" t="e">
        <f t="shared" ca="1" si="353"/>
        <v>#VALUE!</v>
      </c>
      <c r="M672" t="e">
        <f t="shared" ca="1" si="326"/>
        <v>#VALUE!</v>
      </c>
      <c r="N672" t="e">
        <f t="shared" ca="1" si="327"/>
        <v>#VALUE!</v>
      </c>
      <c r="O672" t="e">
        <f t="shared" ca="1" si="328"/>
        <v>#VALUE!</v>
      </c>
      <c r="P672" t="e">
        <f t="shared" ca="1" si="329"/>
        <v>#VALUE!</v>
      </c>
      <c r="Q672" t="e">
        <f t="shared" ca="1" si="330"/>
        <v>#VALUE!</v>
      </c>
      <c r="R672" t="e">
        <f t="shared" ca="1" si="331"/>
        <v>#VALUE!</v>
      </c>
      <c r="S672" t="e">
        <f t="shared" ca="1" si="332"/>
        <v>#VALUE!</v>
      </c>
      <c r="T672" t="e">
        <f t="shared" ca="1" si="333"/>
        <v>#VALUE!</v>
      </c>
      <c r="U672" t="e">
        <f t="shared" ca="1" si="354"/>
        <v>#VALUE!</v>
      </c>
      <c r="V672" t="e">
        <f t="shared" ca="1" si="355"/>
        <v>#VALUE!</v>
      </c>
      <c r="W672" t="e">
        <f t="shared" ca="1" si="334"/>
        <v>#VALUE!</v>
      </c>
      <c r="X672" t="e">
        <f t="shared" ca="1" si="335"/>
        <v>#VALUE!</v>
      </c>
      <c r="Y672" t="e">
        <f t="shared" ca="1" si="336"/>
        <v>#VALUE!</v>
      </c>
      <c r="Z672" t="e">
        <f t="shared" ca="1" si="337"/>
        <v>#VALUE!</v>
      </c>
      <c r="AA672" t="e">
        <f t="shared" ca="1" si="338"/>
        <v>#VALUE!</v>
      </c>
      <c r="AB672" t="e">
        <f t="shared" ca="1" si="339"/>
        <v>#VALUE!</v>
      </c>
      <c r="AC672" t="e">
        <f t="shared" ca="1" si="340"/>
        <v>#VALUE!</v>
      </c>
      <c r="AD672" t="e">
        <f t="shared" ca="1" si="341"/>
        <v>#VALUE!</v>
      </c>
      <c r="AE672" t="e">
        <f t="shared" ca="1" si="342"/>
        <v>#VALUE!</v>
      </c>
      <c r="AF672" t="e">
        <f t="shared" ca="1" si="343"/>
        <v>#VALUE!</v>
      </c>
      <c r="AG672" t="e">
        <f t="shared" ca="1" si="344"/>
        <v>#VALUE!</v>
      </c>
      <c r="AH672" t="e">
        <f ca="1">IF(V32="Supercritical",L672,IF(V32="Subcritical",W672,IF(AND(V672=1,AG672=1),IF(T672&gt;=AE672,L672,W672),IF(V672=1,L672,IF(AG672=1,W672,MAX($D$16,POWER((ABS(K672)^2)/($I$5*MAX(F672,0.1)^2),1/3)))))))</f>
        <v>#VALUE!</v>
      </c>
      <c r="AI672" t="e">
        <f t="shared" ca="1" si="345"/>
        <v>#VALUE!</v>
      </c>
      <c r="AJ672" t="e">
        <f t="shared" ca="1" si="346"/>
        <v>#VALUE!</v>
      </c>
      <c r="AM672">
        <v>0</v>
      </c>
      <c r="AN672">
        <v>0</v>
      </c>
      <c r="AO672">
        <f t="shared" si="347"/>
        <v>0</v>
      </c>
      <c r="AP672">
        <f t="shared" si="356"/>
        <v>0</v>
      </c>
      <c r="AQ672" t="e">
        <f t="shared" ca="1" si="348"/>
        <v>#VALUE!</v>
      </c>
      <c r="AR672" t="e">
        <f t="shared" ca="1" si="349"/>
        <v>#VALUE!</v>
      </c>
      <c r="AS672" t="e">
        <f t="shared" ca="1" si="350"/>
        <v>#VALUE!</v>
      </c>
    </row>
    <row r="673" spans="1:45" x14ac:dyDescent="0.35">
      <c r="A673">
        <v>524</v>
      </c>
      <c r="B673">
        <v>522.89499999999998</v>
      </c>
      <c r="C673">
        <v>616193.46400000004</v>
      </c>
      <c r="D673">
        <v>3097456.4849999999</v>
      </c>
      <c r="E673">
        <v>632.30050000000006</v>
      </c>
      <c r="F673">
        <v>5.2</v>
      </c>
      <c r="G673">
        <v>0</v>
      </c>
      <c r="H673" t="s">
        <v>191</v>
      </c>
      <c r="I673">
        <v>0</v>
      </c>
      <c r="J673">
        <f t="shared" si="351"/>
        <v>0.99900000000002365</v>
      </c>
      <c r="K673">
        <f t="shared" si="352"/>
        <v>51</v>
      </c>
      <c r="L673" t="e">
        <f t="shared" ca="1" si="353"/>
        <v>#VALUE!</v>
      </c>
      <c r="M673" t="e">
        <f t="shared" ca="1" si="326"/>
        <v>#VALUE!</v>
      </c>
      <c r="N673" t="e">
        <f t="shared" ca="1" si="327"/>
        <v>#VALUE!</v>
      </c>
      <c r="O673" t="e">
        <f t="shared" ca="1" si="328"/>
        <v>#VALUE!</v>
      </c>
      <c r="P673" t="e">
        <f t="shared" ca="1" si="329"/>
        <v>#VALUE!</v>
      </c>
      <c r="Q673" t="e">
        <f t="shared" ca="1" si="330"/>
        <v>#VALUE!</v>
      </c>
      <c r="R673" t="e">
        <f t="shared" ca="1" si="331"/>
        <v>#VALUE!</v>
      </c>
      <c r="S673" t="e">
        <f t="shared" ca="1" si="332"/>
        <v>#VALUE!</v>
      </c>
      <c r="T673" t="e">
        <f t="shared" ca="1" si="333"/>
        <v>#VALUE!</v>
      </c>
      <c r="U673" t="e">
        <f t="shared" ca="1" si="354"/>
        <v>#VALUE!</v>
      </c>
      <c r="V673" t="e">
        <f t="shared" ca="1" si="355"/>
        <v>#VALUE!</v>
      </c>
      <c r="W673" t="e">
        <f t="shared" ca="1" si="334"/>
        <v>#VALUE!</v>
      </c>
      <c r="X673" t="e">
        <f t="shared" ca="1" si="335"/>
        <v>#VALUE!</v>
      </c>
      <c r="Y673" t="e">
        <f t="shared" ca="1" si="336"/>
        <v>#VALUE!</v>
      </c>
      <c r="Z673" t="e">
        <f t="shared" ca="1" si="337"/>
        <v>#VALUE!</v>
      </c>
      <c r="AA673" t="e">
        <f t="shared" ca="1" si="338"/>
        <v>#VALUE!</v>
      </c>
      <c r="AB673" t="e">
        <f t="shared" ca="1" si="339"/>
        <v>#VALUE!</v>
      </c>
      <c r="AC673" t="e">
        <f t="shared" ca="1" si="340"/>
        <v>#VALUE!</v>
      </c>
      <c r="AD673" t="e">
        <f t="shared" ca="1" si="341"/>
        <v>#VALUE!</v>
      </c>
      <c r="AE673" t="e">
        <f t="shared" ca="1" si="342"/>
        <v>#VALUE!</v>
      </c>
      <c r="AF673" t="e">
        <f t="shared" ca="1" si="343"/>
        <v>#VALUE!</v>
      </c>
      <c r="AG673" t="e">
        <f t="shared" ca="1" si="344"/>
        <v>#VALUE!</v>
      </c>
      <c r="AH673" t="e">
        <f ca="1">IF(V32="Supercritical",L673,IF(V32="Subcritical",W673,IF(AND(V673=1,AG673=1),IF(T673&gt;=AE673,L673,W673),IF(V673=1,L673,IF(AG673=1,W673,MAX($D$16,POWER((ABS(K673)^2)/($I$5*MAX(F673,0.1)^2),1/3)))))))</f>
        <v>#VALUE!</v>
      </c>
      <c r="AI673" t="e">
        <f t="shared" ca="1" si="345"/>
        <v>#VALUE!</v>
      </c>
      <c r="AJ673" t="e">
        <f t="shared" ca="1" si="346"/>
        <v>#VALUE!</v>
      </c>
      <c r="AM673">
        <v>0</v>
      </c>
      <c r="AN673">
        <v>0</v>
      </c>
      <c r="AO673">
        <f t="shared" si="347"/>
        <v>0</v>
      </c>
      <c r="AP673">
        <f t="shared" si="356"/>
        <v>0</v>
      </c>
      <c r="AQ673" t="e">
        <f t="shared" ca="1" si="348"/>
        <v>#VALUE!</v>
      </c>
      <c r="AR673" t="e">
        <f t="shared" ca="1" si="349"/>
        <v>#VALUE!</v>
      </c>
      <c r="AS673" t="e">
        <f t="shared" ca="1" si="350"/>
        <v>#VALUE!</v>
      </c>
    </row>
    <row r="674" spans="1:45" x14ac:dyDescent="0.35">
      <c r="A674">
        <v>525</v>
      </c>
      <c r="B674">
        <v>523.89499999999998</v>
      </c>
      <c r="C674">
        <v>616192.99</v>
      </c>
      <c r="D674">
        <v>3097455.605</v>
      </c>
      <c r="E674">
        <v>632.29999999999995</v>
      </c>
      <c r="F674">
        <v>5.2</v>
      </c>
      <c r="G674">
        <v>0</v>
      </c>
      <c r="H674" t="s">
        <v>191</v>
      </c>
      <c r="I674">
        <v>2.3E-2</v>
      </c>
      <c r="J674">
        <f t="shared" si="351"/>
        <v>1</v>
      </c>
      <c r="K674">
        <f t="shared" si="352"/>
        <v>51</v>
      </c>
      <c r="L674" t="e">
        <f t="shared" ca="1" si="353"/>
        <v>#VALUE!</v>
      </c>
      <c r="M674" t="e">
        <f t="shared" ca="1" si="326"/>
        <v>#VALUE!</v>
      </c>
      <c r="N674" t="e">
        <f t="shared" ca="1" si="327"/>
        <v>#VALUE!</v>
      </c>
      <c r="O674" t="e">
        <f t="shared" ca="1" si="328"/>
        <v>#VALUE!</v>
      </c>
      <c r="P674" t="e">
        <f t="shared" ca="1" si="329"/>
        <v>#VALUE!</v>
      </c>
      <c r="Q674" t="e">
        <f t="shared" ca="1" si="330"/>
        <v>#VALUE!</v>
      </c>
      <c r="R674" t="e">
        <f t="shared" ca="1" si="331"/>
        <v>#VALUE!</v>
      </c>
      <c r="S674" t="e">
        <f t="shared" ca="1" si="332"/>
        <v>#VALUE!</v>
      </c>
      <c r="T674" t="e">
        <f t="shared" ca="1" si="333"/>
        <v>#VALUE!</v>
      </c>
      <c r="U674" t="e">
        <f t="shared" ca="1" si="354"/>
        <v>#VALUE!</v>
      </c>
      <c r="V674" t="e">
        <f t="shared" ca="1" si="355"/>
        <v>#VALUE!</v>
      </c>
      <c r="W674" t="e">
        <f t="shared" ca="1" si="334"/>
        <v>#VALUE!</v>
      </c>
      <c r="X674" t="e">
        <f t="shared" ca="1" si="335"/>
        <v>#VALUE!</v>
      </c>
      <c r="Y674" t="e">
        <f t="shared" ca="1" si="336"/>
        <v>#VALUE!</v>
      </c>
      <c r="Z674" t="e">
        <f t="shared" ca="1" si="337"/>
        <v>#VALUE!</v>
      </c>
      <c r="AA674" t="e">
        <f t="shared" ca="1" si="338"/>
        <v>#VALUE!</v>
      </c>
      <c r="AB674" t="e">
        <f t="shared" ca="1" si="339"/>
        <v>#VALUE!</v>
      </c>
      <c r="AC674" t="e">
        <f t="shared" ca="1" si="340"/>
        <v>#VALUE!</v>
      </c>
      <c r="AD674" t="e">
        <f t="shared" ca="1" si="341"/>
        <v>#VALUE!</v>
      </c>
      <c r="AE674" t="e">
        <f t="shared" ca="1" si="342"/>
        <v>#VALUE!</v>
      </c>
      <c r="AF674" t="e">
        <f t="shared" ca="1" si="343"/>
        <v>#VALUE!</v>
      </c>
      <c r="AG674" t="e">
        <f t="shared" ca="1" si="344"/>
        <v>#VALUE!</v>
      </c>
      <c r="AH674" t="e">
        <f ca="1">IF(V32="Supercritical",L674,IF(V32="Subcritical",W674,IF(AND(V674=1,AG674=1),IF(T674&gt;=AE674,L674,W674),IF(V674=1,L674,IF(AG674=1,W674,MAX($D$16,POWER((ABS(K674)^2)/($I$5*MAX(F674,0.1)^2),1/3)))))))</f>
        <v>#VALUE!</v>
      </c>
      <c r="AI674" t="e">
        <f t="shared" ca="1" si="345"/>
        <v>#VALUE!</v>
      </c>
      <c r="AJ674" t="e">
        <f t="shared" ca="1" si="346"/>
        <v>#VALUE!</v>
      </c>
      <c r="AM674">
        <v>0</v>
      </c>
      <c r="AN674">
        <v>0</v>
      </c>
      <c r="AO674">
        <f t="shared" si="347"/>
        <v>0</v>
      </c>
      <c r="AP674">
        <f t="shared" si="356"/>
        <v>0</v>
      </c>
      <c r="AQ674" t="e">
        <f t="shared" ca="1" si="348"/>
        <v>#VALUE!</v>
      </c>
      <c r="AR674" t="e">
        <f t="shared" ca="1" si="349"/>
        <v>#VALUE!</v>
      </c>
      <c r="AS674" t="e">
        <f t="shared" ca="1" si="350"/>
        <v>#VALUE!</v>
      </c>
    </row>
    <row r="675" spans="1:45" x14ac:dyDescent="0.35">
      <c r="A675">
        <v>526</v>
      </c>
      <c r="B675">
        <v>524.89599999999996</v>
      </c>
      <c r="C675">
        <v>616192.51500000001</v>
      </c>
      <c r="D675">
        <v>3097454.7239999999</v>
      </c>
      <c r="E675">
        <v>632.29949999999997</v>
      </c>
      <c r="F675">
        <v>5.2</v>
      </c>
      <c r="G675">
        <v>0</v>
      </c>
      <c r="H675" t="s">
        <v>191</v>
      </c>
      <c r="I675">
        <v>2.3E-2</v>
      </c>
      <c r="J675">
        <f t="shared" si="351"/>
        <v>1.0009999999999764</v>
      </c>
      <c r="K675">
        <f t="shared" si="352"/>
        <v>51</v>
      </c>
      <c r="L675" t="e">
        <f t="shared" ca="1" si="353"/>
        <v>#VALUE!</v>
      </c>
      <c r="M675" t="e">
        <f t="shared" ca="1" si="326"/>
        <v>#VALUE!</v>
      </c>
      <c r="N675" t="e">
        <f t="shared" ca="1" si="327"/>
        <v>#VALUE!</v>
      </c>
      <c r="O675" t="e">
        <f t="shared" ca="1" si="328"/>
        <v>#VALUE!</v>
      </c>
      <c r="P675" t="e">
        <f t="shared" ca="1" si="329"/>
        <v>#VALUE!</v>
      </c>
      <c r="Q675" t="e">
        <f t="shared" ca="1" si="330"/>
        <v>#VALUE!</v>
      </c>
      <c r="R675" t="e">
        <f t="shared" ca="1" si="331"/>
        <v>#VALUE!</v>
      </c>
      <c r="S675" t="e">
        <f t="shared" ca="1" si="332"/>
        <v>#VALUE!</v>
      </c>
      <c r="T675" t="e">
        <f t="shared" ca="1" si="333"/>
        <v>#VALUE!</v>
      </c>
      <c r="U675" t="e">
        <f t="shared" ca="1" si="354"/>
        <v>#VALUE!</v>
      </c>
      <c r="V675" t="e">
        <f t="shared" ca="1" si="355"/>
        <v>#VALUE!</v>
      </c>
      <c r="W675" t="e">
        <f t="shared" ca="1" si="334"/>
        <v>#VALUE!</v>
      </c>
      <c r="X675" t="e">
        <f t="shared" ca="1" si="335"/>
        <v>#VALUE!</v>
      </c>
      <c r="Y675" t="e">
        <f t="shared" ca="1" si="336"/>
        <v>#VALUE!</v>
      </c>
      <c r="Z675" t="e">
        <f t="shared" ca="1" si="337"/>
        <v>#VALUE!</v>
      </c>
      <c r="AA675" t="e">
        <f t="shared" ca="1" si="338"/>
        <v>#VALUE!</v>
      </c>
      <c r="AB675" t="e">
        <f t="shared" ca="1" si="339"/>
        <v>#VALUE!</v>
      </c>
      <c r="AC675" t="e">
        <f t="shared" ca="1" si="340"/>
        <v>#VALUE!</v>
      </c>
      <c r="AD675" t="e">
        <f t="shared" ca="1" si="341"/>
        <v>#VALUE!</v>
      </c>
      <c r="AE675" t="e">
        <f t="shared" ca="1" si="342"/>
        <v>#VALUE!</v>
      </c>
      <c r="AF675" t="e">
        <f t="shared" ca="1" si="343"/>
        <v>#VALUE!</v>
      </c>
      <c r="AG675" t="e">
        <f t="shared" ca="1" si="344"/>
        <v>#VALUE!</v>
      </c>
      <c r="AH675" t="e">
        <f ca="1">IF(V32="Supercritical",L675,IF(V32="Subcritical",W675,IF(AND(V675=1,AG675=1),IF(T675&gt;=AE675,L675,W675),IF(V675=1,L675,IF(AG675=1,W675,MAX($D$16,POWER((ABS(K675)^2)/($I$5*MAX(F675,0.1)^2),1/3)))))))</f>
        <v>#VALUE!</v>
      </c>
      <c r="AI675" t="e">
        <f t="shared" ca="1" si="345"/>
        <v>#VALUE!</v>
      </c>
      <c r="AJ675" t="e">
        <f t="shared" ca="1" si="346"/>
        <v>#VALUE!</v>
      </c>
      <c r="AM675">
        <v>0</v>
      </c>
      <c r="AN675">
        <v>0</v>
      </c>
      <c r="AO675">
        <f t="shared" si="347"/>
        <v>0</v>
      </c>
      <c r="AP675">
        <f t="shared" si="356"/>
        <v>0</v>
      </c>
      <c r="AQ675" t="e">
        <f t="shared" ca="1" si="348"/>
        <v>#VALUE!</v>
      </c>
      <c r="AR675" t="e">
        <f t="shared" ca="1" si="349"/>
        <v>#VALUE!</v>
      </c>
      <c r="AS675" t="e">
        <f t="shared" ca="1" si="350"/>
        <v>#VALUE!</v>
      </c>
    </row>
    <row r="676" spans="1:45" x14ac:dyDescent="0.35">
      <c r="A676">
        <v>527</v>
      </c>
      <c r="B676">
        <v>525.89499999999998</v>
      </c>
      <c r="C676">
        <v>616192.04099999997</v>
      </c>
      <c r="D676">
        <v>3097453.844</v>
      </c>
      <c r="E676">
        <v>632.29899999999998</v>
      </c>
      <c r="F676">
        <v>5.2</v>
      </c>
      <c r="G676">
        <v>0</v>
      </c>
      <c r="H676" t="s">
        <v>191</v>
      </c>
      <c r="I676">
        <v>2.7E-2</v>
      </c>
      <c r="J676">
        <f t="shared" si="351"/>
        <v>0.99900000000002365</v>
      </c>
      <c r="K676">
        <f t="shared" si="352"/>
        <v>51</v>
      </c>
      <c r="L676" t="e">
        <f t="shared" ca="1" si="353"/>
        <v>#VALUE!</v>
      </c>
      <c r="M676" t="e">
        <f t="shared" ca="1" si="326"/>
        <v>#VALUE!</v>
      </c>
      <c r="N676" t="e">
        <f t="shared" ca="1" si="327"/>
        <v>#VALUE!</v>
      </c>
      <c r="O676" t="e">
        <f t="shared" ca="1" si="328"/>
        <v>#VALUE!</v>
      </c>
      <c r="P676" t="e">
        <f t="shared" ca="1" si="329"/>
        <v>#VALUE!</v>
      </c>
      <c r="Q676" t="e">
        <f t="shared" ca="1" si="330"/>
        <v>#VALUE!</v>
      </c>
      <c r="R676" t="e">
        <f t="shared" ca="1" si="331"/>
        <v>#VALUE!</v>
      </c>
      <c r="S676" t="e">
        <f t="shared" ca="1" si="332"/>
        <v>#VALUE!</v>
      </c>
      <c r="T676" t="e">
        <f t="shared" ca="1" si="333"/>
        <v>#VALUE!</v>
      </c>
      <c r="U676" t="e">
        <f t="shared" ca="1" si="354"/>
        <v>#VALUE!</v>
      </c>
      <c r="V676" t="e">
        <f t="shared" ca="1" si="355"/>
        <v>#VALUE!</v>
      </c>
      <c r="W676" t="e">
        <f t="shared" ca="1" si="334"/>
        <v>#VALUE!</v>
      </c>
      <c r="X676" t="e">
        <f t="shared" ca="1" si="335"/>
        <v>#VALUE!</v>
      </c>
      <c r="Y676" t="e">
        <f t="shared" ca="1" si="336"/>
        <v>#VALUE!</v>
      </c>
      <c r="Z676" t="e">
        <f t="shared" ca="1" si="337"/>
        <v>#VALUE!</v>
      </c>
      <c r="AA676" t="e">
        <f t="shared" ca="1" si="338"/>
        <v>#VALUE!</v>
      </c>
      <c r="AB676" t="e">
        <f t="shared" ca="1" si="339"/>
        <v>#VALUE!</v>
      </c>
      <c r="AC676" t="e">
        <f t="shared" ca="1" si="340"/>
        <v>#VALUE!</v>
      </c>
      <c r="AD676" t="e">
        <f t="shared" ca="1" si="341"/>
        <v>#VALUE!</v>
      </c>
      <c r="AE676" t="e">
        <f t="shared" ca="1" si="342"/>
        <v>#VALUE!</v>
      </c>
      <c r="AF676" t="e">
        <f t="shared" ca="1" si="343"/>
        <v>#VALUE!</v>
      </c>
      <c r="AG676" t="e">
        <f t="shared" ca="1" si="344"/>
        <v>#VALUE!</v>
      </c>
      <c r="AH676" t="e">
        <f ca="1">IF(V32="Supercritical",L676,IF(V32="Subcritical",W676,IF(AND(V676=1,AG676=1),IF(T676&gt;=AE676,L676,W676),IF(V676=1,L676,IF(AG676=1,W676,MAX($D$16,POWER((ABS(K676)^2)/($I$5*MAX(F676,0.1)^2),1/3)))))))</f>
        <v>#VALUE!</v>
      </c>
      <c r="AI676" t="e">
        <f t="shared" ca="1" si="345"/>
        <v>#VALUE!</v>
      </c>
      <c r="AJ676" t="e">
        <f t="shared" ca="1" si="346"/>
        <v>#VALUE!</v>
      </c>
      <c r="AM676">
        <v>0</v>
      </c>
      <c r="AN676">
        <v>0</v>
      </c>
      <c r="AO676">
        <f t="shared" si="347"/>
        <v>0</v>
      </c>
      <c r="AP676">
        <f t="shared" si="356"/>
        <v>0</v>
      </c>
      <c r="AQ676" t="e">
        <f t="shared" ca="1" si="348"/>
        <v>#VALUE!</v>
      </c>
      <c r="AR676" t="e">
        <f t="shared" ca="1" si="349"/>
        <v>#VALUE!</v>
      </c>
      <c r="AS676" t="e">
        <f t="shared" ca="1" si="350"/>
        <v>#VALUE!</v>
      </c>
    </row>
    <row r="677" spans="1:45" x14ac:dyDescent="0.35">
      <c r="A677">
        <v>528</v>
      </c>
      <c r="B677">
        <v>526.89599999999996</v>
      </c>
      <c r="C677">
        <v>616191.56700000004</v>
      </c>
      <c r="D677">
        <v>3097452.963</v>
      </c>
      <c r="E677">
        <v>632.29849999999999</v>
      </c>
      <c r="F677">
        <v>5.2</v>
      </c>
      <c r="G677">
        <v>0</v>
      </c>
      <c r="H677" t="s">
        <v>191</v>
      </c>
      <c r="I677">
        <v>2.7E-2</v>
      </c>
      <c r="J677">
        <f t="shared" si="351"/>
        <v>1.0009999999999764</v>
      </c>
      <c r="K677">
        <f t="shared" si="352"/>
        <v>51</v>
      </c>
      <c r="L677" t="e">
        <f t="shared" ca="1" si="353"/>
        <v>#VALUE!</v>
      </c>
      <c r="M677" t="e">
        <f t="shared" ca="1" si="326"/>
        <v>#VALUE!</v>
      </c>
      <c r="N677" t="e">
        <f t="shared" ca="1" si="327"/>
        <v>#VALUE!</v>
      </c>
      <c r="O677" t="e">
        <f t="shared" ca="1" si="328"/>
        <v>#VALUE!</v>
      </c>
      <c r="P677" t="e">
        <f t="shared" ca="1" si="329"/>
        <v>#VALUE!</v>
      </c>
      <c r="Q677" t="e">
        <f t="shared" ca="1" si="330"/>
        <v>#VALUE!</v>
      </c>
      <c r="R677" t="e">
        <f t="shared" ca="1" si="331"/>
        <v>#VALUE!</v>
      </c>
      <c r="S677" t="e">
        <f t="shared" ca="1" si="332"/>
        <v>#VALUE!</v>
      </c>
      <c r="T677" t="e">
        <f t="shared" ca="1" si="333"/>
        <v>#VALUE!</v>
      </c>
      <c r="U677" t="e">
        <f t="shared" ca="1" si="354"/>
        <v>#VALUE!</v>
      </c>
      <c r="V677" t="e">
        <f t="shared" ca="1" si="355"/>
        <v>#VALUE!</v>
      </c>
      <c r="W677" t="e">
        <f t="shared" ca="1" si="334"/>
        <v>#VALUE!</v>
      </c>
      <c r="X677" t="e">
        <f t="shared" ca="1" si="335"/>
        <v>#VALUE!</v>
      </c>
      <c r="Y677" t="e">
        <f t="shared" ca="1" si="336"/>
        <v>#VALUE!</v>
      </c>
      <c r="Z677" t="e">
        <f t="shared" ca="1" si="337"/>
        <v>#VALUE!</v>
      </c>
      <c r="AA677" t="e">
        <f t="shared" ca="1" si="338"/>
        <v>#VALUE!</v>
      </c>
      <c r="AB677" t="e">
        <f t="shared" ca="1" si="339"/>
        <v>#VALUE!</v>
      </c>
      <c r="AC677" t="e">
        <f t="shared" ca="1" si="340"/>
        <v>#VALUE!</v>
      </c>
      <c r="AD677" t="e">
        <f t="shared" ca="1" si="341"/>
        <v>#VALUE!</v>
      </c>
      <c r="AE677" t="e">
        <f t="shared" ca="1" si="342"/>
        <v>#VALUE!</v>
      </c>
      <c r="AF677" t="e">
        <f t="shared" ca="1" si="343"/>
        <v>#VALUE!</v>
      </c>
      <c r="AG677" t="e">
        <f t="shared" ca="1" si="344"/>
        <v>#VALUE!</v>
      </c>
      <c r="AH677" t="e">
        <f ca="1">IF(V32="Supercritical",L677,IF(V32="Subcritical",W677,IF(AND(V677=1,AG677=1),IF(T677&gt;=AE677,L677,W677),IF(V677=1,L677,IF(AG677=1,W677,MAX($D$16,POWER((ABS(K677)^2)/($I$5*MAX(F677,0.1)^2),1/3)))))))</f>
        <v>#VALUE!</v>
      </c>
      <c r="AI677" t="e">
        <f t="shared" ca="1" si="345"/>
        <v>#VALUE!</v>
      </c>
      <c r="AJ677" t="e">
        <f t="shared" ca="1" si="346"/>
        <v>#VALUE!</v>
      </c>
      <c r="AM677">
        <v>0</v>
      </c>
      <c r="AN677">
        <v>0</v>
      </c>
      <c r="AO677">
        <f t="shared" si="347"/>
        <v>0</v>
      </c>
      <c r="AP677">
        <f t="shared" si="356"/>
        <v>0</v>
      </c>
      <c r="AQ677" t="e">
        <f t="shared" ca="1" si="348"/>
        <v>#VALUE!</v>
      </c>
      <c r="AR677" t="e">
        <f t="shared" ca="1" si="349"/>
        <v>#VALUE!</v>
      </c>
      <c r="AS677" t="e">
        <f t="shared" ca="1" si="350"/>
        <v>#VALUE!</v>
      </c>
    </row>
    <row r="678" spans="1:45" x14ac:dyDescent="0.35">
      <c r="A678">
        <v>529</v>
      </c>
      <c r="B678">
        <v>527.89499999999998</v>
      </c>
      <c r="C678">
        <v>616191.09299999999</v>
      </c>
      <c r="D678">
        <v>3097452.0830000001</v>
      </c>
      <c r="E678">
        <v>632.298</v>
      </c>
      <c r="F678">
        <v>5.2</v>
      </c>
      <c r="G678">
        <v>0</v>
      </c>
      <c r="H678" t="s">
        <v>191</v>
      </c>
      <c r="I678">
        <v>0.05</v>
      </c>
      <c r="J678">
        <f t="shared" si="351"/>
        <v>0.99900000000002365</v>
      </c>
      <c r="K678">
        <f t="shared" si="352"/>
        <v>51</v>
      </c>
      <c r="L678" t="e">
        <f t="shared" ca="1" si="353"/>
        <v>#VALUE!</v>
      </c>
      <c r="M678" t="e">
        <f t="shared" ca="1" si="326"/>
        <v>#VALUE!</v>
      </c>
      <c r="N678" t="e">
        <f t="shared" ca="1" si="327"/>
        <v>#VALUE!</v>
      </c>
      <c r="O678" t="e">
        <f t="shared" ca="1" si="328"/>
        <v>#VALUE!</v>
      </c>
      <c r="P678" t="e">
        <f t="shared" ca="1" si="329"/>
        <v>#VALUE!</v>
      </c>
      <c r="Q678" t="e">
        <f t="shared" ca="1" si="330"/>
        <v>#VALUE!</v>
      </c>
      <c r="R678" t="e">
        <f t="shared" ca="1" si="331"/>
        <v>#VALUE!</v>
      </c>
      <c r="S678" t="e">
        <f t="shared" ca="1" si="332"/>
        <v>#VALUE!</v>
      </c>
      <c r="T678" t="e">
        <f t="shared" ca="1" si="333"/>
        <v>#VALUE!</v>
      </c>
      <c r="U678" t="e">
        <f t="shared" ca="1" si="354"/>
        <v>#VALUE!</v>
      </c>
      <c r="V678" t="e">
        <f t="shared" ca="1" si="355"/>
        <v>#VALUE!</v>
      </c>
      <c r="W678" t="e">
        <f t="shared" ca="1" si="334"/>
        <v>#VALUE!</v>
      </c>
      <c r="X678" t="e">
        <f t="shared" ca="1" si="335"/>
        <v>#VALUE!</v>
      </c>
      <c r="Y678" t="e">
        <f t="shared" ca="1" si="336"/>
        <v>#VALUE!</v>
      </c>
      <c r="Z678" t="e">
        <f t="shared" ca="1" si="337"/>
        <v>#VALUE!</v>
      </c>
      <c r="AA678" t="e">
        <f t="shared" ca="1" si="338"/>
        <v>#VALUE!</v>
      </c>
      <c r="AB678" t="e">
        <f t="shared" ca="1" si="339"/>
        <v>#VALUE!</v>
      </c>
      <c r="AC678" t="e">
        <f t="shared" ca="1" si="340"/>
        <v>#VALUE!</v>
      </c>
      <c r="AD678" t="e">
        <f t="shared" ca="1" si="341"/>
        <v>#VALUE!</v>
      </c>
      <c r="AE678" t="e">
        <f t="shared" ca="1" si="342"/>
        <v>#VALUE!</v>
      </c>
      <c r="AF678" t="e">
        <f t="shared" ca="1" si="343"/>
        <v>#VALUE!</v>
      </c>
      <c r="AG678" t="e">
        <f t="shared" ca="1" si="344"/>
        <v>#VALUE!</v>
      </c>
      <c r="AH678" t="e">
        <f ca="1">IF(V32="Supercritical",L678,IF(V32="Subcritical",W678,IF(AND(V678=1,AG678=1),IF(T678&gt;=AE678,L678,W678),IF(V678=1,L678,IF(AG678=1,W678,MAX($D$16,POWER((ABS(K678)^2)/($I$5*MAX(F678,0.1)^2),1/3)))))))</f>
        <v>#VALUE!</v>
      </c>
      <c r="AI678" t="e">
        <f t="shared" ca="1" si="345"/>
        <v>#VALUE!</v>
      </c>
      <c r="AJ678" t="e">
        <f t="shared" ca="1" si="346"/>
        <v>#VALUE!</v>
      </c>
      <c r="AM678">
        <v>0</v>
      </c>
      <c r="AN678">
        <v>0</v>
      </c>
      <c r="AO678">
        <f t="shared" si="347"/>
        <v>0</v>
      </c>
      <c r="AP678">
        <f t="shared" si="356"/>
        <v>0</v>
      </c>
      <c r="AQ678" t="e">
        <f t="shared" ca="1" si="348"/>
        <v>#VALUE!</v>
      </c>
      <c r="AR678" t="e">
        <f t="shared" ca="1" si="349"/>
        <v>#VALUE!</v>
      </c>
      <c r="AS678" t="e">
        <f t="shared" ca="1" si="350"/>
        <v>#VALUE!</v>
      </c>
    </row>
    <row r="679" spans="1:45" x14ac:dyDescent="0.35">
      <c r="A679">
        <v>530</v>
      </c>
      <c r="B679">
        <v>528.89499999999998</v>
      </c>
      <c r="C679">
        <v>616190.61800000002</v>
      </c>
      <c r="D679">
        <v>3097451.2030000002</v>
      </c>
      <c r="E679">
        <v>632.29750000000001</v>
      </c>
      <c r="F679">
        <v>5.2</v>
      </c>
      <c r="G679">
        <v>0</v>
      </c>
      <c r="H679" t="s">
        <v>191</v>
      </c>
      <c r="I679">
        <v>7.8E-2</v>
      </c>
      <c r="J679">
        <f t="shared" si="351"/>
        <v>1</v>
      </c>
      <c r="K679">
        <f t="shared" si="352"/>
        <v>51</v>
      </c>
      <c r="L679" t="e">
        <f t="shared" ca="1" si="353"/>
        <v>#VALUE!</v>
      </c>
      <c r="M679" t="e">
        <f t="shared" ca="1" si="326"/>
        <v>#VALUE!</v>
      </c>
      <c r="N679" t="e">
        <f t="shared" ca="1" si="327"/>
        <v>#VALUE!</v>
      </c>
      <c r="O679" t="e">
        <f t="shared" ca="1" si="328"/>
        <v>#VALUE!</v>
      </c>
      <c r="P679" t="e">
        <f t="shared" ca="1" si="329"/>
        <v>#VALUE!</v>
      </c>
      <c r="Q679" t="e">
        <f t="shared" ca="1" si="330"/>
        <v>#VALUE!</v>
      </c>
      <c r="R679" t="e">
        <f t="shared" ca="1" si="331"/>
        <v>#VALUE!</v>
      </c>
      <c r="S679" t="e">
        <f t="shared" ca="1" si="332"/>
        <v>#VALUE!</v>
      </c>
      <c r="T679" t="e">
        <f t="shared" ca="1" si="333"/>
        <v>#VALUE!</v>
      </c>
      <c r="U679" t="e">
        <f t="shared" ca="1" si="354"/>
        <v>#VALUE!</v>
      </c>
      <c r="V679" t="e">
        <f t="shared" ca="1" si="355"/>
        <v>#VALUE!</v>
      </c>
      <c r="W679" t="e">
        <f t="shared" ca="1" si="334"/>
        <v>#VALUE!</v>
      </c>
      <c r="X679" t="e">
        <f t="shared" ca="1" si="335"/>
        <v>#VALUE!</v>
      </c>
      <c r="Y679" t="e">
        <f t="shared" ca="1" si="336"/>
        <v>#VALUE!</v>
      </c>
      <c r="Z679" t="e">
        <f t="shared" ca="1" si="337"/>
        <v>#VALUE!</v>
      </c>
      <c r="AA679" t="e">
        <f t="shared" ca="1" si="338"/>
        <v>#VALUE!</v>
      </c>
      <c r="AB679" t="e">
        <f t="shared" ca="1" si="339"/>
        <v>#VALUE!</v>
      </c>
      <c r="AC679" t="e">
        <f t="shared" ca="1" si="340"/>
        <v>#VALUE!</v>
      </c>
      <c r="AD679" t="e">
        <f t="shared" ca="1" si="341"/>
        <v>#VALUE!</v>
      </c>
      <c r="AE679" t="e">
        <f t="shared" ca="1" si="342"/>
        <v>#VALUE!</v>
      </c>
      <c r="AF679" t="e">
        <f t="shared" ca="1" si="343"/>
        <v>#VALUE!</v>
      </c>
      <c r="AG679" t="e">
        <f t="shared" ca="1" si="344"/>
        <v>#VALUE!</v>
      </c>
      <c r="AH679" t="e">
        <f ca="1">IF(V32="Supercritical",L679,IF(V32="Subcritical",W679,IF(AND(V679=1,AG679=1),IF(T679&gt;=AE679,L679,W679),IF(V679=1,L679,IF(AG679=1,W679,MAX($D$16,POWER((ABS(K679)^2)/($I$5*MAX(F679,0.1)^2),1/3)))))))</f>
        <v>#VALUE!</v>
      </c>
      <c r="AI679" t="e">
        <f t="shared" ca="1" si="345"/>
        <v>#VALUE!</v>
      </c>
      <c r="AJ679" t="e">
        <f t="shared" ca="1" si="346"/>
        <v>#VALUE!</v>
      </c>
      <c r="AM679">
        <v>0</v>
      </c>
      <c r="AN679">
        <v>0</v>
      </c>
      <c r="AO679">
        <f t="shared" si="347"/>
        <v>0</v>
      </c>
      <c r="AP679">
        <f t="shared" si="356"/>
        <v>0</v>
      </c>
      <c r="AQ679" t="e">
        <f t="shared" ca="1" si="348"/>
        <v>#VALUE!</v>
      </c>
      <c r="AR679" t="e">
        <f t="shared" ca="1" si="349"/>
        <v>#VALUE!</v>
      </c>
      <c r="AS679" t="e">
        <f t="shared" ca="1" si="350"/>
        <v>#VALUE!</v>
      </c>
    </row>
    <row r="680" spans="1:45" x14ac:dyDescent="0.35">
      <c r="A680">
        <v>531</v>
      </c>
      <c r="B680">
        <v>529.89599999999996</v>
      </c>
      <c r="C680">
        <v>616190.14399999997</v>
      </c>
      <c r="D680">
        <v>3097450.3220000002</v>
      </c>
      <c r="E680">
        <v>632.29700000000003</v>
      </c>
      <c r="F680">
        <v>5.2</v>
      </c>
      <c r="G680">
        <v>0</v>
      </c>
      <c r="H680" t="s">
        <v>191</v>
      </c>
      <c r="I680">
        <v>2.7E-2</v>
      </c>
      <c r="J680">
        <f t="shared" si="351"/>
        <v>1.0009999999999764</v>
      </c>
      <c r="K680">
        <f t="shared" si="352"/>
        <v>51</v>
      </c>
      <c r="L680" t="e">
        <f t="shared" ca="1" si="353"/>
        <v>#VALUE!</v>
      </c>
      <c r="M680" t="e">
        <f t="shared" ca="1" si="326"/>
        <v>#VALUE!</v>
      </c>
      <c r="N680" t="e">
        <f t="shared" ca="1" si="327"/>
        <v>#VALUE!</v>
      </c>
      <c r="O680" t="e">
        <f t="shared" ca="1" si="328"/>
        <v>#VALUE!</v>
      </c>
      <c r="P680" t="e">
        <f t="shared" ca="1" si="329"/>
        <v>#VALUE!</v>
      </c>
      <c r="Q680" t="e">
        <f t="shared" ca="1" si="330"/>
        <v>#VALUE!</v>
      </c>
      <c r="R680" t="e">
        <f t="shared" ca="1" si="331"/>
        <v>#VALUE!</v>
      </c>
      <c r="S680" t="e">
        <f t="shared" ca="1" si="332"/>
        <v>#VALUE!</v>
      </c>
      <c r="T680" t="e">
        <f t="shared" ca="1" si="333"/>
        <v>#VALUE!</v>
      </c>
      <c r="U680" t="e">
        <f t="shared" ca="1" si="354"/>
        <v>#VALUE!</v>
      </c>
      <c r="V680" t="e">
        <f t="shared" ca="1" si="355"/>
        <v>#VALUE!</v>
      </c>
      <c r="W680" t="e">
        <f t="shared" ca="1" si="334"/>
        <v>#VALUE!</v>
      </c>
      <c r="X680" t="e">
        <f t="shared" ca="1" si="335"/>
        <v>#VALUE!</v>
      </c>
      <c r="Y680" t="e">
        <f t="shared" ca="1" si="336"/>
        <v>#VALUE!</v>
      </c>
      <c r="Z680" t="e">
        <f t="shared" ca="1" si="337"/>
        <v>#VALUE!</v>
      </c>
      <c r="AA680" t="e">
        <f t="shared" ca="1" si="338"/>
        <v>#VALUE!</v>
      </c>
      <c r="AB680" t="e">
        <f t="shared" ca="1" si="339"/>
        <v>#VALUE!</v>
      </c>
      <c r="AC680" t="e">
        <f t="shared" ca="1" si="340"/>
        <v>#VALUE!</v>
      </c>
      <c r="AD680" t="e">
        <f t="shared" ca="1" si="341"/>
        <v>#VALUE!</v>
      </c>
      <c r="AE680" t="e">
        <f t="shared" ca="1" si="342"/>
        <v>#VALUE!</v>
      </c>
      <c r="AF680" t="e">
        <f t="shared" ca="1" si="343"/>
        <v>#VALUE!</v>
      </c>
      <c r="AG680" t="e">
        <f t="shared" ca="1" si="344"/>
        <v>#VALUE!</v>
      </c>
      <c r="AH680" t="e">
        <f ca="1">IF(V32="Supercritical",L680,IF(V32="Subcritical",W680,IF(AND(V680=1,AG680=1),IF(T680&gt;=AE680,L680,W680),IF(V680=1,L680,IF(AG680=1,W680,MAX($D$16,POWER((ABS(K680)^2)/($I$5*MAX(F680,0.1)^2),1/3)))))))</f>
        <v>#VALUE!</v>
      </c>
      <c r="AI680" t="e">
        <f t="shared" ca="1" si="345"/>
        <v>#VALUE!</v>
      </c>
      <c r="AJ680" t="e">
        <f t="shared" ca="1" si="346"/>
        <v>#VALUE!</v>
      </c>
      <c r="AM680">
        <v>0</v>
      </c>
      <c r="AN680">
        <v>0</v>
      </c>
      <c r="AO680">
        <f t="shared" si="347"/>
        <v>0</v>
      </c>
      <c r="AP680">
        <f t="shared" si="356"/>
        <v>0</v>
      </c>
      <c r="AQ680" t="e">
        <f t="shared" ca="1" si="348"/>
        <v>#VALUE!</v>
      </c>
      <c r="AR680" t="e">
        <f t="shared" ca="1" si="349"/>
        <v>#VALUE!</v>
      </c>
      <c r="AS680" t="e">
        <f t="shared" ca="1" si="350"/>
        <v>#VALUE!</v>
      </c>
    </row>
    <row r="681" spans="1:45" x14ac:dyDescent="0.35">
      <c r="A681">
        <v>532</v>
      </c>
      <c r="B681">
        <v>530.89499999999998</v>
      </c>
      <c r="C681">
        <v>616189.67000000004</v>
      </c>
      <c r="D681">
        <v>3097449.4419999998</v>
      </c>
      <c r="E681">
        <v>632.29650000000004</v>
      </c>
      <c r="F681">
        <v>5.2</v>
      </c>
      <c r="G681">
        <v>0</v>
      </c>
      <c r="H681" t="s">
        <v>191</v>
      </c>
      <c r="I681">
        <v>2.7E-2</v>
      </c>
      <c r="J681">
        <f t="shared" si="351"/>
        <v>0.99900000000002365</v>
      </c>
      <c r="K681">
        <f t="shared" si="352"/>
        <v>51</v>
      </c>
      <c r="L681" t="e">
        <f t="shared" ca="1" si="353"/>
        <v>#VALUE!</v>
      </c>
      <c r="M681" t="e">
        <f t="shared" ca="1" si="326"/>
        <v>#VALUE!</v>
      </c>
      <c r="N681" t="e">
        <f t="shared" ca="1" si="327"/>
        <v>#VALUE!</v>
      </c>
      <c r="O681" t="e">
        <f t="shared" ca="1" si="328"/>
        <v>#VALUE!</v>
      </c>
      <c r="P681" t="e">
        <f t="shared" ca="1" si="329"/>
        <v>#VALUE!</v>
      </c>
      <c r="Q681" t="e">
        <f t="shared" ca="1" si="330"/>
        <v>#VALUE!</v>
      </c>
      <c r="R681" t="e">
        <f t="shared" ca="1" si="331"/>
        <v>#VALUE!</v>
      </c>
      <c r="S681" t="e">
        <f t="shared" ca="1" si="332"/>
        <v>#VALUE!</v>
      </c>
      <c r="T681" t="e">
        <f t="shared" ca="1" si="333"/>
        <v>#VALUE!</v>
      </c>
      <c r="U681" t="e">
        <f t="shared" ca="1" si="354"/>
        <v>#VALUE!</v>
      </c>
      <c r="V681" t="e">
        <f t="shared" ca="1" si="355"/>
        <v>#VALUE!</v>
      </c>
      <c r="W681" t="e">
        <f t="shared" ca="1" si="334"/>
        <v>#VALUE!</v>
      </c>
      <c r="X681" t="e">
        <f t="shared" ca="1" si="335"/>
        <v>#VALUE!</v>
      </c>
      <c r="Y681" t="e">
        <f t="shared" ca="1" si="336"/>
        <v>#VALUE!</v>
      </c>
      <c r="Z681" t="e">
        <f t="shared" ca="1" si="337"/>
        <v>#VALUE!</v>
      </c>
      <c r="AA681" t="e">
        <f t="shared" ca="1" si="338"/>
        <v>#VALUE!</v>
      </c>
      <c r="AB681" t="e">
        <f t="shared" ca="1" si="339"/>
        <v>#VALUE!</v>
      </c>
      <c r="AC681" t="e">
        <f t="shared" ca="1" si="340"/>
        <v>#VALUE!</v>
      </c>
      <c r="AD681" t="e">
        <f t="shared" ca="1" si="341"/>
        <v>#VALUE!</v>
      </c>
      <c r="AE681" t="e">
        <f t="shared" ca="1" si="342"/>
        <v>#VALUE!</v>
      </c>
      <c r="AF681" t="e">
        <f t="shared" ca="1" si="343"/>
        <v>#VALUE!</v>
      </c>
      <c r="AG681" t="e">
        <f t="shared" ca="1" si="344"/>
        <v>#VALUE!</v>
      </c>
      <c r="AH681" t="e">
        <f ca="1">IF(V32="Supercritical",L681,IF(V32="Subcritical",W681,IF(AND(V681=1,AG681=1),IF(T681&gt;=AE681,L681,W681),IF(V681=1,L681,IF(AG681=1,W681,MAX($D$16,POWER((ABS(K681)^2)/($I$5*MAX(F681,0.1)^2),1/3)))))))</f>
        <v>#VALUE!</v>
      </c>
      <c r="AI681" t="e">
        <f t="shared" ca="1" si="345"/>
        <v>#VALUE!</v>
      </c>
      <c r="AJ681" t="e">
        <f t="shared" ca="1" si="346"/>
        <v>#VALUE!</v>
      </c>
      <c r="AM681">
        <v>0</v>
      </c>
      <c r="AN681">
        <v>0</v>
      </c>
      <c r="AO681">
        <f t="shared" si="347"/>
        <v>0</v>
      </c>
      <c r="AP681">
        <f t="shared" si="356"/>
        <v>0</v>
      </c>
      <c r="AQ681" t="e">
        <f t="shared" ca="1" si="348"/>
        <v>#VALUE!</v>
      </c>
      <c r="AR681" t="e">
        <f t="shared" ca="1" si="349"/>
        <v>#VALUE!</v>
      </c>
      <c r="AS681" t="e">
        <f t="shared" ca="1" si="350"/>
        <v>#VALUE!</v>
      </c>
    </row>
    <row r="682" spans="1:45" x14ac:dyDescent="0.35">
      <c r="A682">
        <v>533</v>
      </c>
      <c r="B682">
        <v>531.89599999999996</v>
      </c>
      <c r="C682">
        <v>616189.196</v>
      </c>
      <c r="D682">
        <v>3097448.5610000002</v>
      </c>
      <c r="E682">
        <v>632.29600000000005</v>
      </c>
      <c r="F682">
        <v>5.2</v>
      </c>
      <c r="G682">
        <v>0</v>
      </c>
      <c r="H682" t="s">
        <v>191</v>
      </c>
      <c r="I682">
        <v>7.8E-2</v>
      </c>
      <c r="J682">
        <f t="shared" si="351"/>
        <v>1.0009999999999764</v>
      </c>
      <c r="K682">
        <f t="shared" si="352"/>
        <v>51</v>
      </c>
      <c r="L682" t="e">
        <f t="shared" ca="1" si="353"/>
        <v>#VALUE!</v>
      </c>
      <c r="M682" t="e">
        <f t="shared" ca="1" si="326"/>
        <v>#VALUE!</v>
      </c>
      <c r="N682" t="e">
        <f t="shared" ca="1" si="327"/>
        <v>#VALUE!</v>
      </c>
      <c r="O682" t="e">
        <f t="shared" ca="1" si="328"/>
        <v>#VALUE!</v>
      </c>
      <c r="P682" t="e">
        <f t="shared" ca="1" si="329"/>
        <v>#VALUE!</v>
      </c>
      <c r="Q682" t="e">
        <f t="shared" ca="1" si="330"/>
        <v>#VALUE!</v>
      </c>
      <c r="R682" t="e">
        <f t="shared" ca="1" si="331"/>
        <v>#VALUE!</v>
      </c>
      <c r="S682" t="e">
        <f t="shared" ca="1" si="332"/>
        <v>#VALUE!</v>
      </c>
      <c r="T682" t="e">
        <f t="shared" ca="1" si="333"/>
        <v>#VALUE!</v>
      </c>
      <c r="U682" t="e">
        <f t="shared" ca="1" si="354"/>
        <v>#VALUE!</v>
      </c>
      <c r="V682" t="e">
        <f t="shared" ca="1" si="355"/>
        <v>#VALUE!</v>
      </c>
      <c r="W682" t="e">
        <f t="shared" ca="1" si="334"/>
        <v>#VALUE!</v>
      </c>
      <c r="X682" t="e">
        <f t="shared" ca="1" si="335"/>
        <v>#VALUE!</v>
      </c>
      <c r="Y682" t="e">
        <f t="shared" ca="1" si="336"/>
        <v>#VALUE!</v>
      </c>
      <c r="Z682" t="e">
        <f t="shared" ca="1" si="337"/>
        <v>#VALUE!</v>
      </c>
      <c r="AA682" t="e">
        <f t="shared" ca="1" si="338"/>
        <v>#VALUE!</v>
      </c>
      <c r="AB682" t="e">
        <f t="shared" ca="1" si="339"/>
        <v>#VALUE!</v>
      </c>
      <c r="AC682" t="e">
        <f t="shared" ca="1" si="340"/>
        <v>#VALUE!</v>
      </c>
      <c r="AD682" t="e">
        <f t="shared" ca="1" si="341"/>
        <v>#VALUE!</v>
      </c>
      <c r="AE682" t="e">
        <f t="shared" ca="1" si="342"/>
        <v>#VALUE!</v>
      </c>
      <c r="AF682" t="e">
        <f t="shared" ca="1" si="343"/>
        <v>#VALUE!</v>
      </c>
      <c r="AG682" t="e">
        <f t="shared" ca="1" si="344"/>
        <v>#VALUE!</v>
      </c>
      <c r="AH682" t="e">
        <f ca="1">IF(V32="Supercritical",L682,IF(V32="Subcritical",W682,IF(AND(V682=1,AG682=1),IF(T682&gt;=AE682,L682,W682),IF(V682=1,L682,IF(AG682=1,W682,MAX($D$16,POWER((ABS(K682)^2)/($I$5*MAX(F682,0.1)^2),1/3)))))))</f>
        <v>#VALUE!</v>
      </c>
      <c r="AI682" t="e">
        <f t="shared" ca="1" si="345"/>
        <v>#VALUE!</v>
      </c>
      <c r="AJ682" t="e">
        <f t="shared" ca="1" si="346"/>
        <v>#VALUE!</v>
      </c>
      <c r="AM682">
        <v>0</v>
      </c>
      <c r="AN682">
        <v>0</v>
      </c>
      <c r="AO682">
        <f t="shared" si="347"/>
        <v>0</v>
      </c>
      <c r="AP682">
        <f t="shared" si="356"/>
        <v>0</v>
      </c>
      <c r="AQ682" t="e">
        <f t="shared" ca="1" si="348"/>
        <v>#VALUE!</v>
      </c>
      <c r="AR682" t="e">
        <f t="shared" ca="1" si="349"/>
        <v>#VALUE!</v>
      </c>
      <c r="AS682" t="e">
        <f t="shared" ca="1" si="350"/>
        <v>#VALUE!</v>
      </c>
    </row>
    <row r="683" spans="1:45" x14ac:dyDescent="0.35">
      <c r="A683">
        <v>534</v>
      </c>
      <c r="B683">
        <v>532.89599999999996</v>
      </c>
      <c r="C683">
        <v>616188.72100000002</v>
      </c>
      <c r="D683">
        <v>3097447.6809999999</v>
      </c>
      <c r="E683">
        <v>632.29549999999995</v>
      </c>
      <c r="F683">
        <v>5.2</v>
      </c>
      <c r="G683">
        <v>0</v>
      </c>
      <c r="H683" t="s">
        <v>191</v>
      </c>
      <c r="I683">
        <v>0.05</v>
      </c>
      <c r="J683">
        <f t="shared" si="351"/>
        <v>1</v>
      </c>
      <c r="K683">
        <f t="shared" si="352"/>
        <v>51</v>
      </c>
      <c r="L683" t="e">
        <f t="shared" ca="1" si="353"/>
        <v>#VALUE!</v>
      </c>
      <c r="M683" t="e">
        <f t="shared" ca="1" si="326"/>
        <v>#VALUE!</v>
      </c>
      <c r="N683" t="e">
        <f t="shared" ca="1" si="327"/>
        <v>#VALUE!</v>
      </c>
      <c r="O683" t="e">
        <f t="shared" ca="1" si="328"/>
        <v>#VALUE!</v>
      </c>
      <c r="P683" t="e">
        <f t="shared" ca="1" si="329"/>
        <v>#VALUE!</v>
      </c>
      <c r="Q683" t="e">
        <f t="shared" ca="1" si="330"/>
        <v>#VALUE!</v>
      </c>
      <c r="R683" t="e">
        <f t="shared" ca="1" si="331"/>
        <v>#VALUE!</v>
      </c>
      <c r="S683" t="e">
        <f t="shared" ca="1" si="332"/>
        <v>#VALUE!</v>
      </c>
      <c r="T683" t="e">
        <f t="shared" ca="1" si="333"/>
        <v>#VALUE!</v>
      </c>
      <c r="U683" t="e">
        <f t="shared" ca="1" si="354"/>
        <v>#VALUE!</v>
      </c>
      <c r="V683" t="e">
        <f t="shared" ca="1" si="355"/>
        <v>#VALUE!</v>
      </c>
      <c r="W683" t="e">
        <f t="shared" ca="1" si="334"/>
        <v>#VALUE!</v>
      </c>
      <c r="X683" t="e">
        <f t="shared" ca="1" si="335"/>
        <v>#VALUE!</v>
      </c>
      <c r="Y683" t="e">
        <f t="shared" ca="1" si="336"/>
        <v>#VALUE!</v>
      </c>
      <c r="Z683" t="e">
        <f t="shared" ca="1" si="337"/>
        <v>#VALUE!</v>
      </c>
      <c r="AA683" t="e">
        <f t="shared" ca="1" si="338"/>
        <v>#VALUE!</v>
      </c>
      <c r="AB683" t="e">
        <f t="shared" ca="1" si="339"/>
        <v>#VALUE!</v>
      </c>
      <c r="AC683" t="e">
        <f t="shared" ca="1" si="340"/>
        <v>#VALUE!</v>
      </c>
      <c r="AD683" t="e">
        <f t="shared" ca="1" si="341"/>
        <v>#VALUE!</v>
      </c>
      <c r="AE683" t="e">
        <f t="shared" ca="1" si="342"/>
        <v>#VALUE!</v>
      </c>
      <c r="AF683" t="e">
        <f t="shared" ca="1" si="343"/>
        <v>#VALUE!</v>
      </c>
      <c r="AG683" t="e">
        <f t="shared" ca="1" si="344"/>
        <v>#VALUE!</v>
      </c>
      <c r="AH683" t="e">
        <f ca="1">IF(V32="Supercritical",L683,IF(V32="Subcritical",W683,IF(AND(V683=1,AG683=1),IF(T683&gt;=AE683,L683,W683),IF(V683=1,L683,IF(AG683=1,W683,MAX($D$16,POWER((ABS(K683)^2)/($I$5*MAX(F683,0.1)^2),1/3)))))))</f>
        <v>#VALUE!</v>
      </c>
      <c r="AI683" t="e">
        <f t="shared" ca="1" si="345"/>
        <v>#VALUE!</v>
      </c>
      <c r="AJ683" t="e">
        <f t="shared" ca="1" si="346"/>
        <v>#VALUE!</v>
      </c>
      <c r="AM683">
        <v>0</v>
      </c>
      <c r="AN683">
        <v>0</v>
      </c>
      <c r="AO683">
        <f t="shared" si="347"/>
        <v>0</v>
      </c>
      <c r="AP683">
        <f t="shared" si="356"/>
        <v>0</v>
      </c>
      <c r="AQ683" t="e">
        <f t="shared" ca="1" si="348"/>
        <v>#VALUE!</v>
      </c>
      <c r="AR683" t="e">
        <f t="shared" ca="1" si="349"/>
        <v>#VALUE!</v>
      </c>
      <c r="AS683" t="e">
        <f t="shared" ca="1" si="350"/>
        <v>#VALUE!</v>
      </c>
    </row>
    <row r="684" spans="1:45" x14ac:dyDescent="0.35">
      <c r="A684">
        <v>535</v>
      </c>
      <c r="B684">
        <v>533.89499999999998</v>
      </c>
      <c r="C684">
        <v>616188.24699999997</v>
      </c>
      <c r="D684">
        <v>3097446.801</v>
      </c>
      <c r="E684">
        <v>632.29499999999996</v>
      </c>
      <c r="F684">
        <v>5.2</v>
      </c>
      <c r="G684">
        <v>0</v>
      </c>
      <c r="H684" t="s">
        <v>191</v>
      </c>
      <c r="I684">
        <v>2.7E-2</v>
      </c>
      <c r="J684">
        <f t="shared" si="351"/>
        <v>0.99900000000002365</v>
      </c>
      <c r="K684">
        <f t="shared" si="352"/>
        <v>51</v>
      </c>
      <c r="L684" t="e">
        <f t="shared" ca="1" si="353"/>
        <v>#VALUE!</v>
      </c>
      <c r="M684" t="e">
        <f t="shared" ca="1" si="326"/>
        <v>#VALUE!</v>
      </c>
      <c r="N684" t="e">
        <f t="shared" ca="1" si="327"/>
        <v>#VALUE!</v>
      </c>
      <c r="O684" t="e">
        <f t="shared" ca="1" si="328"/>
        <v>#VALUE!</v>
      </c>
      <c r="P684" t="e">
        <f t="shared" ca="1" si="329"/>
        <v>#VALUE!</v>
      </c>
      <c r="Q684" t="e">
        <f t="shared" ca="1" si="330"/>
        <v>#VALUE!</v>
      </c>
      <c r="R684" t="e">
        <f t="shared" ca="1" si="331"/>
        <v>#VALUE!</v>
      </c>
      <c r="S684" t="e">
        <f t="shared" ca="1" si="332"/>
        <v>#VALUE!</v>
      </c>
      <c r="T684" t="e">
        <f t="shared" ca="1" si="333"/>
        <v>#VALUE!</v>
      </c>
      <c r="U684" t="e">
        <f t="shared" ca="1" si="354"/>
        <v>#VALUE!</v>
      </c>
      <c r="V684" t="e">
        <f t="shared" ca="1" si="355"/>
        <v>#VALUE!</v>
      </c>
      <c r="W684" t="e">
        <f t="shared" ca="1" si="334"/>
        <v>#VALUE!</v>
      </c>
      <c r="X684" t="e">
        <f t="shared" ca="1" si="335"/>
        <v>#VALUE!</v>
      </c>
      <c r="Y684" t="e">
        <f t="shared" ca="1" si="336"/>
        <v>#VALUE!</v>
      </c>
      <c r="Z684" t="e">
        <f t="shared" ca="1" si="337"/>
        <v>#VALUE!</v>
      </c>
      <c r="AA684" t="e">
        <f t="shared" ca="1" si="338"/>
        <v>#VALUE!</v>
      </c>
      <c r="AB684" t="e">
        <f t="shared" ca="1" si="339"/>
        <v>#VALUE!</v>
      </c>
      <c r="AC684" t="e">
        <f t="shared" ca="1" si="340"/>
        <v>#VALUE!</v>
      </c>
      <c r="AD684" t="e">
        <f t="shared" ca="1" si="341"/>
        <v>#VALUE!</v>
      </c>
      <c r="AE684" t="e">
        <f t="shared" ca="1" si="342"/>
        <v>#VALUE!</v>
      </c>
      <c r="AF684" t="e">
        <f t="shared" ca="1" si="343"/>
        <v>#VALUE!</v>
      </c>
      <c r="AG684" t="e">
        <f t="shared" ca="1" si="344"/>
        <v>#VALUE!</v>
      </c>
      <c r="AH684" t="e">
        <f ca="1">IF(V32="Supercritical",L684,IF(V32="Subcritical",W684,IF(AND(V684=1,AG684=1),IF(T684&gt;=AE684,L684,W684),IF(V684=1,L684,IF(AG684=1,W684,MAX($D$16,POWER((ABS(K684)^2)/($I$5*MAX(F684,0.1)^2),1/3)))))))</f>
        <v>#VALUE!</v>
      </c>
      <c r="AI684" t="e">
        <f t="shared" ca="1" si="345"/>
        <v>#VALUE!</v>
      </c>
      <c r="AJ684" t="e">
        <f t="shared" ca="1" si="346"/>
        <v>#VALUE!</v>
      </c>
      <c r="AM684">
        <v>0</v>
      </c>
      <c r="AN684">
        <v>0</v>
      </c>
      <c r="AO684">
        <f t="shared" si="347"/>
        <v>0</v>
      </c>
      <c r="AP684">
        <f t="shared" si="356"/>
        <v>0</v>
      </c>
      <c r="AQ684" t="e">
        <f t="shared" ca="1" si="348"/>
        <v>#VALUE!</v>
      </c>
      <c r="AR684" t="e">
        <f t="shared" ca="1" si="349"/>
        <v>#VALUE!</v>
      </c>
      <c r="AS684" t="e">
        <f t="shared" ca="1" si="350"/>
        <v>#VALUE!</v>
      </c>
    </row>
    <row r="685" spans="1:45" x14ac:dyDescent="0.35">
      <c r="A685">
        <v>536</v>
      </c>
      <c r="B685">
        <v>534.89499999999998</v>
      </c>
      <c r="C685">
        <v>616187.77300000004</v>
      </c>
      <c r="D685">
        <v>3097445.92</v>
      </c>
      <c r="E685">
        <v>632.29449999999997</v>
      </c>
      <c r="F685">
        <v>5.2</v>
      </c>
      <c r="G685">
        <v>0</v>
      </c>
      <c r="H685" t="s">
        <v>191</v>
      </c>
      <c r="I685">
        <v>2.7E-2</v>
      </c>
      <c r="J685">
        <f t="shared" si="351"/>
        <v>1</v>
      </c>
      <c r="K685">
        <f t="shared" si="352"/>
        <v>51</v>
      </c>
      <c r="L685" t="e">
        <f t="shared" ca="1" si="353"/>
        <v>#VALUE!</v>
      </c>
      <c r="M685" t="e">
        <f t="shared" ca="1" si="326"/>
        <v>#VALUE!</v>
      </c>
      <c r="N685" t="e">
        <f t="shared" ca="1" si="327"/>
        <v>#VALUE!</v>
      </c>
      <c r="O685" t="e">
        <f t="shared" ca="1" si="328"/>
        <v>#VALUE!</v>
      </c>
      <c r="P685" t="e">
        <f t="shared" ca="1" si="329"/>
        <v>#VALUE!</v>
      </c>
      <c r="Q685" t="e">
        <f t="shared" ca="1" si="330"/>
        <v>#VALUE!</v>
      </c>
      <c r="R685" t="e">
        <f t="shared" ca="1" si="331"/>
        <v>#VALUE!</v>
      </c>
      <c r="S685" t="e">
        <f t="shared" ca="1" si="332"/>
        <v>#VALUE!</v>
      </c>
      <c r="T685" t="e">
        <f t="shared" ca="1" si="333"/>
        <v>#VALUE!</v>
      </c>
      <c r="U685" t="e">
        <f t="shared" ca="1" si="354"/>
        <v>#VALUE!</v>
      </c>
      <c r="V685" t="e">
        <f t="shared" ca="1" si="355"/>
        <v>#VALUE!</v>
      </c>
      <c r="W685" t="e">
        <f t="shared" ca="1" si="334"/>
        <v>#VALUE!</v>
      </c>
      <c r="X685" t="e">
        <f t="shared" ca="1" si="335"/>
        <v>#VALUE!</v>
      </c>
      <c r="Y685" t="e">
        <f t="shared" ca="1" si="336"/>
        <v>#VALUE!</v>
      </c>
      <c r="Z685" t="e">
        <f t="shared" ca="1" si="337"/>
        <v>#VALUE!</v>
      </c>
      <c r="AA685" t="e">
        <f t="shared" ca="1" si="338"/>
        <v>#VALUE!</v>
      </c>
      <c r="AB685" t="e">
        <f t="shared" ca="1" si="339"/>
        <v>#VALUE!</v>
      </c>
      <c r="AC685" t="e">
        <f t="shared" ca="1" si="340"/>
        <v>#VALUE!</v>
      </c>
      <c r="AD685" t="e">
        <f t="shared" ca="1" si="341"/>
        <v>#VALUE!</v>
      </c>
      <c r="AE685" t="e">
        <f t="shared" ca="1" si="342"/>
        <v>#VALUE!</v>
      </c>
      <c r="AF685" t="e">
        <f t="shared" ca="1" si="343"/>
        <v>#VALUE!</v>
      </c>
      <c r="AG685" t="e">
        <f t="shared" ca="1" si="344"/>
        <v>#VALUE!</v>
      </c>
      <c r="AH685" t="e">
        <f ca="1">IF(V32="Supercritical",L685,IF(V32="Subcritical",W685,IF(AND(V685=1,AG685=1),IF(T685&gt;=AE685,L685,W685),IF(V685=1,L685,IF(AG685=1,W685,MAX($D$16,POWER((ABS(K685)^2)/($I$5*MAX(F685,0.1)^2),1/3)))))))</f>
        <v>#VALUE!</v>
      </c>
      <c r="AI685" t="e">
        <f t="shared" ca="1" si="345"/>
        <v>#VALUE!</v>
      </c>
      <c r="AJ685" t="e">
        <f t="shared" ca="1" si="346"/>
        <v>#VALUE!</v>
      </c>
      <c r="AM685">
        <v>0</v>
      </c>
      <c r="AN685">
        <v>0</v>
      </c>
      <c r="AO685">
        <f t="shared" si="347"/>
        <v>0</v>
      </c>
      <c r="AP685">
        <f t="shared" si="356"/>
        <v>0</v>
      </c>
      <c r="AQ685" t="e">
        <f t="shared" ca="1" si="348"/>
        <v>#VALUE!</v>
      </c>
      <c r="AR685" t="e">
        <f t="shared" ca="1" si="349"/>
        <v>#VALUE!</v>
      </c>
      <c r="AS685" t="e">
        <f t="shared" ca="1" si="350"/>
        <v>#VALUE!</v>
      </c>
    </row>
    <row r="686" spans="1:45" x14ac:dyDescent="0.35">
      <c r="A686">
        <v>537</v>
      </c>
      <c r="B686">
        <v>535.89499999999998</v>
      </c>
      <c r="C686">
        <v>616187.299</v>
      </c>
      <c r="D686">
        <v>3097445.04</v>
      </c>
      <c r="E686">
        <v>632.29399999999998</v>
      </c>
      <c r="F686">
        <v>5.2</v>
      </c>
      <c r="G686">
        <v>0</v>
      </c>
      <c r="H686" t="s">
        <v>191</v>
      </c>
      <c r="I686">
        <v>2.7E-2</v>
      </c>
      <c r="J686">
        <f t="shared" si="351"/>
        <v>1</v>
      </c>
      <c r="K686">
        <f t="shared" si="352"/>
        <v>51</v>
      </c>
      <c r="L686" t="e">
        <f t="shared" ca="1" si="353"/>
        <v>#VALUE!</v>
      </c>
      <c r="M686" t="e">
        <f t="shared" ca="1" si="326"/>
        <v>#VALUE!</v>
      </c>
      <c r="N686" t="e">
        <f t="shared" ca="1" si="327"/>
        <v>#VALUE!</v>
      </c>
      <c r="O686" t="e">
        <f t="shared" ca="1" si="328"/>
        <v>#VALUE!</v>
      </c>
      <c r="P686" t="e">
        <f t="shared" ca="1" si="329"/>
        <v>#VALUE!</v>
      </c>
      <c r="Q686" t="e">
        <f t="shared" ca="1" si="330"/>
        <v>#VALUE!</v>
      </c>
      <c r="R686" t="e">
        <f t="shared" ca="1" si="331"/>
        <v>#VALUE!</v>
      </c>
      <c r="S686" t="e">
        <f t="shared" ca="1" si="332"/>
        <v>#VALUE!</v>
      </c>
      <c r="T686" t="e">
        <f t="shared" ca="1" si="333"/>
        <v>#VALUE!</v>
      </c>
      <c r="U686" t="e">
        <f t="shared" ca="1" si="354"/>
        <v>#VALUE!</v>
      </c>
      <c r="V686" t="e">
        <f t="shared" ca="1" si="355"/>
        <v>#VALUE!</v>
      </c>
      <c r="W686" t="e">
        <f t="shared" ca="1" si="334"/>
        <v>#VALUE!</v>
      </c>
      <c r="X686" t="e">
        <f t="shared" ca="1" si="335"/>
        <v>#VALUE!</v>
      </c>
      <c r="Y686" t="e">
        <f t="shared" ca="1" si="336"/>
        <v>#VALUE!</v>
      </c>
      <c r="Z686" t="e">
        <f t="shared" ca="1" si="337"/>
        <v>#VALUE!</v>
      </c>
      <c r="AA686" t="e">
        <f t="shared" ca="1" si="338"/>
        <v>#VALUE!</v>
      </c>
      <c r="AB686" t="e">
        <f t="shared" ca="1" si="339"/>
        <v>#VALUE!</v>
      </c>
      <c r="AC686" t="e">
        <f t="shared" ca="1" si="340"/>
        <v>#VALUE!</v>
      </c>
      <c r="AD686" t="e">
        <f t="shared" ca="1" si="341"/>
        <v>#VALUE!</v>
      </c>
      <c r="AE686" t="e">
        <f t="shared" ca="1" si="342"/>
        <v>#VALUE!</v>
      </c>
      <c r="AF686" t="e">
        <f t="shared" ca="1" si="343"/>
        <v>#VALUE!</v>
      </c>
      <c r="AG686" t="e">
        <f t="shared" ca="1" si="344"/>
        <v>#VALUE!</v>
      </c>
      <c r="AH686" t="e">
        <f ca="1">IF(V32="Supercritical",L686,IF(V32="Subcritical",W686,IF(AND(V686=1,AG686=1),IF(T686&gt;=AE686,L686,W686),IF(V686=1,L686,IF(AG686=1,W686,MAX($D$16,POWER((ABS(K686)^2)/($I$5*MAX(F686,0.1)^2),1/3)))))))</f>
        <v>#VALUE!</v>
      </c>
      <c r="AI686" t="e">
        <f t="shared" ca="1" si="345"/>
        <v>#VALUE!</v>
      </c>
      <c r="AJ686" t="e">
        <f t="shared" ca="1" si="346"/>
        <v>#VALUE!</v>
      </c>
      <c r="AM686">
        <v>0</v>
      </c>
      <c r="AN686">
        <v>0</v>
      </c>
      <c r="AO686">
        <f t="shared" si="347"/>
        <v>0</v>
      </c>
      <c r="AP686">
        <f t="shared" si="356"/>
        <v>0</v>
      </c>
      <c r="AQ686" t="e">
        <f t="shared" ca="1" si="348"/>
        <v>#VALUE!</v>
      </c>
      <c r="AR686" t="e">
        <f t="shared" ca="1" si="349"/>
        <v>#VALUE!</v>
      </c>
      <c r="AS686" t="e">
        <f t="shared" ca="1" si="350"/>
        <v>#VALUE!</v>
      </c>
    </row>
    <row r="687" spans="1:45" x14ac:dyDescent="0.35">
      <c r="A687">
        <v>538</v>
      </c>
      <c r="B687">
        <v>536.89499999999998</v>
      </c>
      <c r="C687">
        <v>616186.82499999995</v>
      </c>
      <c r="D687">
        <v>3097444.159</v>
      </c>
      <c r="E687">
        <v>632.29349999999999</v>
      </c>
      <c r="F687">
        <v>5.2</v>
      </c>
      <c r="G687">
        <v>0</v>
      </c>
      <c r="H687" t="s">
        <v>191</v>
      </c>
      <c r="I687">
        <v>7.8E-2</v>
      </c>
      <c r="J687">
        <f t="shared" si="351"/>
        <v>1</v>
      </c>
      <c r="K687">
        <f t="shared" si="352"/>
        <v>51</v>
      </c>
      <c r="L687" t="e">
        <f t="shared" ca="1" si="353"/>
        <v>#VALUE!</v>
      </c>
      <c r="M687" t="e">
        <f t="shared" ca="1" si="326"/>
        <v>#VALUE!</v>
      </c>
      <c r="N687" t="e">
        <f t="shared" ca="1" si="327"/>
        <v>#VALUE!</v>
      </c>
      <c r="O687" t="e">
        <f t="shared" ca="1" si="328"/>
        <v>#VALUE!</v>
      </c>
      <c r="P687" t="e">
        <f t="shared" ca="1" si="329"/>
        <v>#VALUE!</v>
      </c>
      <c r="Q687" t="e">
        <f t="shared" ca="1" si="330"/>
        <v>#VALUE!</v>
      </c>
      <c r="R687" t="e">
        <f t="shared" ca="1" si="331"/>
        <v>#VALUE!</v>
      </c>
      <c r="S687" t="e">
        <f t="shared" ca="1" si="332"/>
        <v>#VALUE!</v>
      </c>
      <c r="T687" t="e">
        <f t="shared" ca="1" si="333"/>
        <v>#VALUE!</v>
      </c>
      <c r="U687" t="e">
        <f t="shared" ca="1" si="354"/>
        <v>#VALUE!</v>
      </c>
      <c r="V687" t="e">
        <f t="shared" ca="1" si="355"/>
        <v>#VALUE!</v>
      </c>
      <c r="W687" t="e">
        <f t="shared" ca="1" si="334"/>
        <v>#VALUE!</v>
      </c>
      <c r="X687" t="e">
        <f t="shared" ca="1" si="335"/>
        <v>#VALUE!</v>
      </c>
      <c r="Y687" t="e">
        <f t="shared" ca="1" si="336"/>
        <v>#VALUE!</v>
      </c>
      <c r="Z687" t="e">
        <f t="shared" ca="1" si="337"/>
        <v>#VALUE!</v>
      </c>
      <c r="AA687" t="e">
        <f t="shared" ca="1" si="338"/>
        <v>#VALUE!</v>
      </c>
      <c r="AB687" t="e">
        <f t="shared" ca="1" si="339"/>
        <v>#VALUE!</v>
      </c>
      <c r="AC687" t="e">
        <f t="shared" ca="1" si="340"/>
        <v>#VALUE!</v>
      </c>
      <c r="AD687" t="e">
        <f t="shared" ca="1" si="341"/>
        <v>#VALUE!</v>
      </c>
      <c r="AE687" t="e">
        <f t="shared" ca="1" si="342"/>
        <v>#VALUE!</v>
      </c>
      <c r="AF687" t="e">
        <f t="shared" ca="1" si="343"/>
        <v>#VALUE!</v>
      </c>
      <c r="AG687" t="e">
        <f t="shared" ca="1" si="344"/>
        <v>#VALUE!</v>
      </c>
      <c r="AH687" t="e">
        <f ca="1">IF(V32="Supercritical",L687,IF(V32="Subcritical",W687,IF(AND(V687=1,AG687=1),IF(T687&gt;=AE687,L687,W687),IF(V687=1,L687,IF(AG687=1,W687,MAX($D$16,POWER((ABS(K687)^2)/($I$5*MAX(F687,0.1)^2),1/3)))))))</f>
        <v>#VALUE!</v>
      </c>
      <c r="AI687" t="e">
        <f t="shared" ca="1" si="345"/>
        <v>#VALUE!</v>
      </c>
      <c r="AJ687" t="e">
        <f t="shared" ca="1" si="346"/>
        <v>#VALUE!</v>
      </c>
      <c r="AM687">
        <v>0</v>
      </c>
      <c r="AN687">
        <v>0</v>
      </c>
      <c r="AO687">
        <f t="shared" si="347"/>
        <v>0</v>
      </c>
      <c r="AP687">
        <f t="shared" si="356"/>
        <v>0</v>
      </c>
      <c r="AQ687" t="e">
        <f t="shared" ca="1" si="348"/>
        <v>#VALUE!</v>
      </c>
      <c r="AR687" t="e">
        <f t="shared" ca="1" si="349"/>
        <v>#VALUE!</v>
      </c>
      <c r="AS687" t="e">
        <f t="shared" ca="1" si="350"/>
        <v>#VALUE!</v>
      </c>
    </row>
    <row r="688" spans="1:45" x14ac:dyDescent="0.35">
      <c r="A688">
        <v>539</v>
      </c>
      <c r="B688">
        <v>537.89499999999998</v>
      </c>
      <c r="C688">
        <v>616186.35</v>
      </c>
      <c r="D688">
        <v>3097443.2790000001</v>
      </c>
      <c r="E688">
        <v>632.29300000000001</v>
      </c>
      <c r="F688">
        <v>5.2</v>
      </c>
      <c r="G688">
        <v>0</v>
      </c>
      <c r="H688" t="s">
        <v>191</v>
      </c>
      <c r="I688">
        <v>0.05</v>
      </c>
      <c r="J688">
        <f t="shared" si="351"/>
        <v>1</v>
      </c>
      <c r="K688">
        <f t="shared" si="352"/>
        <v>51</v>
      </c>
      <c r="L688" t="e">
        <f t="shared" ca="1" si="353"/>
        <v>#VALUE!</v>
      </c>
      <c r="M688" t="e">
        <f t="shared" ca="1" si="326"/>
        <v>#VALUE!</v>
      </c>
      <c r="N688" t="e">
        <f t="shared" ca="1" si="327"/>
        <v>#VALUE!</v>
      </c>
      <c r="O688" t="e">
        <f t="shared" ca="1" si="328"/>
        <v>#VALUE!</v>
      </c>
      <c r="P688" t="e">
        <f t="shared" ca="1" si="329"/>
        <v>#VALUE!</v>
      </c>
      <c r="Q688" t="e">
        <f t="shared" ca="1" si="330"/>
        <v>#VALUE!</v>
      </c>
      <c r="R688" t="e">
        <f t="shared" ca="1" si="331"/>
        <v>#VALUE!</v>
      </c>
      <c r="S688" t="e">
        <f t="shared" ca="1" si="332"/>
        <v>#VALUE!</v>
      </c>
      <c r="T688" t="e">
        <f t="shared" ca="1" si="333"/>
        <v>#VALUE!</v>
      </c>
      <c r="U688" t="e">
        <f t="shared" ca="1" si="354"/>
        <v>#VALUE!</v>
      </c>
      <c r="V688" t="e">
        <f t="shared" ca="1" si="355"/>
        <v>#VALUE!</v>
      </c>
      <c r="W688" t="e">
        <f t="shared" ca="1" si="334"/>
        <v>#VALUE!</v>
      </c>
      <c r="X688" t="e">
        <f t="shared" ca="1" si="335"/>
        <v>#VALUE!</v>
      </c>
      <c r="Y688" t="e">
        <f t="shared" ca="1" si="336"/>
        <v>#VALUE!</v>
      </c>
      <c r="Z688" t="e">
        <f t="shared" ca="1" si="337"/>
        <v>#VALUE!</v>
      </c>
      <c r="AA688" t="e">
        <f t="shared" ca="1" si="338"/>
        <v>#VALUE!</v>
      </c>
      <c r="AB688" t="e">
        <f t="shared" ca="1" si="339"/>
        <v>#VALUE!</v>
      </c>
      <c r="AC688" t="e">
        <f t="shared" ca="1" si="340"/>
        <v>#VALUE!</v>
      </c>
      <c r="AD688" t="e">
        <f t="shared" ca="1" si="341"/>
        <v>#VALUE!</v>
      </c>
      <c r="AE688" t="e">
        <f t="shared" ca="1" si="342"/>
        <v>#VALUE!</v>
      </c>
      <c r="AF688" t="e">
        <f t="shared" ca="1" si="343"/>
        <v>#VALUE!</v>
      </c>
      <c r="AG688" t="e">
        <f t="shared" ca="1" si="344"/>
        <v>#VALUE!</v>
      </c>
      <c r="AH688" t="e">
        <f ca="1">IF(V32="Supercritical",L688,IF(V32="Subcritical",W688,IF(AND(V688=1,AG688=1),IF(T688&gt;=AE688,L688,W688),IF(V688=1,L688,IF(AG688=1,W688,MAX($D$16,POWER((ABS(K688)^2)/($I$5*MAX(F688,0.1)^2),1/3)))))))</f>
        <v>#VALUE!</v>
      </c>
      <c r="AI688" t="e">
        <f t="shared" ca="1" si="345"/>
        <v>#VALUE!</v>
      </c>
      <c r="AJ688" t="e">
        <f t="shared" ca="1" si="346"/>
        <v>#VALUE!</v>
      </c>
      <c r="AM688">
        <v>0</v>
      </c>
      <c r="AN688">
        <v>0</v>
      </c>
      <c r="AO688">
        <f t="shared" si="347"/>
        <v>0</v>
      </c>
      <c r="AP688">
        <f t="shared" si="356"/>
        <v>0</v>
      </c>
      <c r="AQ688" t="e">
        <f t="shared" ca="1" si="348"/>
        <v>#VALUE!</v>
      </c>
      <c r="AR688" t="e">
        <f t="shared" ca="1" si="349"/>
        <v>#VALUE!</v>
      </c>
      <c r="AS688" t="e">
        <f t="shared" ca="1" si="350"/>
        <v>#VALUE!</v>
      </c>
    </row>
    <row r="689" spans="1:45" x14ac:dyDescent="0.35">
      <c r="A689">
        <v>540</v>
      </c>
      <c r="B689">
        <v>538.89499999999998</v>
      </c>
      <c r="C689">
        <v>616185.87600000005</v>
      </c>
      <c r="D689">
        <v>3097442.3990000002</v>
      </c>
      <c r="E689">
        <v>632.29250000000002</v>
      </c>
      <c r="F689">
        <v>5.2</v>
      </c>
      <c r="G689">
        <v>0</v>
      </c>
      <c r="H689" t="s">
        <v>191</v>
      </c>
      <c r="I689">
        <v>2.7E-2</v>
      </c>
      <c r="J689">
        <f t="shared" si="351"/>
        <v>1</v>
      </c>
      <c r="K689">
        <f t="shared" si="352"/>
        <v>51</v>
      </c>
      <c r="L689" t="e">
        <f t="shared" ca="1" si="353"/>
        <v>#VALUE!</v>
      </c>
      <c r="M689" t="e">
        <f t="shared" ca="1" si="326"/>
        <v>#VALUE!</v>
      </c>
      <c r="N689" t="e">
        <f t="shared" ca="1" si="327"/>
        <v>#VALUE!</v>
      </c>
      <c r="O689" t="e">
        <f t="shared" ca="1" si="328"/>
        <v>#VALUE!</v>
      </c>
      <c r="P689" t="e">
        <f t="shared" ca="1" si="329"/>
        <v>#VALUE!</v>
      </c>
      <c r="Q689" t="e">
        <f t="shared" ca="1" si="330"/>
        <v>#VALUE!</v>
      </c>
      <c r="R689" t="e">
        <f t="shared" ca="1" si="331"/>
        <v>#VALUE!</v>
      </c>
      <c r="S689" t="e">
        <f t="shared" ca="1" si="332"/>
        <v>#VALUE!</v>
      </c>
      <c r="T689" t="e">
        <f t="shared" ca="1" si="333"/>
        <v>#VALUE!</v>
      </c>
      <c r="U689" t="e">
        <f t="shared" ca="1" si="354"/>
        <v>#VALUE!</v>
      </c>
      <c r="V689" t="e">
        <f t="shared" ca="1" si="355"/>
        <v>#VALUE!</v>
      </c>
      <c r="W689" t="e">
        <f t="shared" ca="1" si="334"/>
        <v>#VALUE!</v>
      </c>
      <c r="X689" t="e">
        <f t="shared" ca="1" si="335"/>
        <v>#VALUE!</v>
      </c>
      <c r="Y689" t="e">
        <f t="shared" ca="1" si="336"/>
        <v>#VALUE!</v>
      </c>
      <c r="Z689" t="e">
        <f t="shared" ca="1" si="337"/>
        <v>#VALUE!</v>
      </c>
      <c r="AA689" t="e">
        <f t="shared" ca="1" si="338"/>
        <v>#VALUE!</v>
      </c>
      <c r="AB689" t="e">
        <f t="shared" ca="1" si="339"/>
        <v>#VALUE!</v>
      </c>
      <c r="AC689" t="e">
        <f t="shared" ca="1" si="340"/>
        <v>#VALUE!</v>
      </c>
      <c r="AD689" t="e">
        <f t="shared" ca="1" si="341"/>
        <v>#VALUE!</v>
      </c>
      <c r="AE689" t="e">
        <f t="shared" ca="1" si="342"/>
        <v>#VALUE!</v>
      </c>
      <c r="AF689" t="e">
        <f t="shared" ca="1" si="343"/>
        <v>#VALUE!</v>
      </c>
      <c r="AG689" t="e">
        <f t="shared" ca="1" si="344"/>
        <v>#VALUE!</v>
      </c>
      <c r="AH689" t="e">
        <f ca="1">IF(V32="Supercritical",L689,IF(V32="Subcritical",W689,IF(AND(V689=1,AG689=1),IF(T689&gt;=AE689,L689,W689),IF(V689=1,L689,IF(AG689=1,W689,MAX($D$16,POWER((ABS(K689)^2)/($I$5*MAX(F689,0.1)^2),1/3)))))))</f>
        <v>#VALUE!</v>
      </c>
      <c r="AI689" t="e">
        <f t="shared" ca="1" si="345"/>
        <v>#VALUE!</v>
      </c>
      <c r="AJ689" t="e">
        <f t="shared" ca="1" si="346"/>
        <v>#VALUE!</v>
      </c>
      <c r="AM689">
        <v>0</v>
      </c>
      <c r="AN689">
        <v>0</v>
      </c>
      <c r="AO689">
        <f t="shared" si="347"/>
        <v>0</v>
      </c>
      <c r="AP689">
        <f t="shared" si="356"/>
        <v>0</v>
      </c>
      <c r="AQ689" t="e">
        <f t="shared" ca="1" si="348"/>
        <v>#VALUE!</v>
      </c>
      <c r="AR689" t="e">
        <f t="shared" ca="1" si="349"/>
        <v>#VALUE!</v>
      </c>
      <c r="AS689" t="e">
        <f t="shared" ca="1" si="350"/>
        <v>#VALUE!</v>
      </c>
    </row>
    <row r="690" spans="1:45" x14ac:dyDescent="0.35">
      <c r="A690">
        <v>541</v>
      </c>
      <c r="B690">
        <v>539.89499999999998</v>
      </c>
      <c r="C690">
        <v>616185.402</v>
      </c>
      <c r="D690">
        <v>3097441.5180000002</v>
      </c>
      <c r="E690">
        <v>632.29200000000003</v>
      </c>
      <c r="F690">
        <v>5.2</v>
      </c>
      <c r="G690">
        <v>0</v>
      </c>
      <c r="H690" t="s">
        <v>191</v>
      </c>
      <c r="I690">
        <v>2.7E-2</v>
      </c>
      <c r="J690">
        <f t="shared" si="351"/>
        <v>1</v>
      </c>
      <c r="K690">
        <f t="shared" si="352"/>
        <v>51</v>
      </c>
      <c r="L690" t="e">
        <f t="shared" ca="1" si="353"/>
        <v>#VALUE!</v>
      </c>
      <c r="M690" t="e">
        <f t="shared" ca="1" si="326"/>
        <v>#VALUE!</v>
      </c>
      <c r="N690" t="e">
        <f t="shared" ca="1" si="327"/>
        <v>#VALUE!</v>
      </c>
      <c r="O690" t="e">
        <f t="shared" ca="1" si="328"/>
        <v>#VALUE!</v>
      </c>
      <c r="P690" t="e">
        <f t="shared" ca="1" si="329"/>
        <v>#VALUE!</v>
      </c>
      <c r="Q690" t="e">
        <f t="shared" ca="1" si="330"/>
        <v>#VALUE!</v>
      </c>
      <c r="R690" t="e">
        <f t="shared" ca="1" si="331"/>
        <v>#VALUE!</v>
      </c>
      <c r="S690" t="e">
        <f t="shared" ca="1" si="332"/>
        <v>#VALUE!</v>
      </c>
      <c r="T690" t="e">
        <f t="shared" ca="1" si="333"/>
        <v>#VALUE!</v>
      </c>
      <c r="U690" t="e">
        <f t="shared" ca="1" si="354"/>
        <v>#VALUE!</v>
      </c>
      <c r="V690" t="e">
        <f t="shared" ca="1" si="355"/>
        <v>#VALUE!</v>
      </c>
      <c r="W690" t="e">
        <f t="shared" ca="1" si="334"/>
        <v>#VALUE!</v>
      </c>
      <c r="X690" t="e">
        <f t="shared" ca="1" si="335"/>
        <v>#VALUE!</v>
      </c>
      <c r="Y690" t="e">
        <f t="shared" ca="1" si="336"/>
        <v>#VALUE!</v>
      </c>
      <c r="Z690" t="e">
        <f t="shared" ca="1" si="337"/>
        <v>#VALUE!</v>
      </c>
      <c r="AA690" t="e">
        <f t="shared" ca="1" si="338"/>
        <v>#VALUE!</v>
      </c>
      <c r="AB690" t="e">
        <f t="shared" ca="1" si="339"/>
        <v>#VALUE!</v>
      </c>
      <c r="AC690" t="e">
        <f t="shared" ca="1" si="340"/>
        <v>#VALUE!</v>
      </c>
      <c r="AD690" t="e">
        <f t="shared" ca="1" si="341"/>
        <v>#VALUE!</v>
      </c>
      <c r="AE690" t="e">
        <f t="shared" ca="1" si="342"/>
        <v>#VALUE!</v>
      </c>
      <c r="AF690" t="e">
        <f t="shared" ca="1" si="343"/>
        <v>#VALUE!</v>
      </c>
      <c r="AG690" t="e">
        <f t="shared" ca="1" si="344"/>
        <v>#VALUE!</v>
      </c>
      <c r="AH690" t="e">
        <f ca="1">IF(V32="Supercritical",L690,IF(V32="Subcritical",W690,IF(AND(V690=1,AG690=1),IF(T690&gt;=AE690,L690,W690),IF(V690=1,L690,IF(AG690=1,W690,MAX($D$16,POWER((ABS(K690)^2)/($I$5*MAX(F690,0.1)^2),1/3)))))))</f>
        <v>#VALUE!</v>
      </c>
      <c r="AI690" t="e">
        <f t="shared" ca="1" si="345"/>
        <v>#VALUE!</v>
      </c>
      <c r="AJ690" t="e">
        <f t="shared" ca="1" si="346"/>
        <v>#VALUE!</v>
      </c>
      <c r="AM690">
        <v>0</v>
      </c>
      <c r="AN690">
        <v>0</v>
      </c>
      <c r="AO690">
        <f t="shared" si="347"/>
        <v>0</v>
      </c>
      <c r="AP690">
        <f t="shared" si="356"/>
        <v>0</v>
      </c>
      <c r="AQ690" t="e">
        <f t="shared" ca="1" si="348"/>
        <v>#VALUE!</v>
      </c>
      <c r="AR690" t="e">
        <f t="shared" ca="1" si="349"/>
        <v>#VALUE!</v>
      </c>
      <c r="AS690" t="e">
        <f t="shared" ca="1" si="350"/>
        <v>#VALUE!</v>
      </c>
    </row>
    <row r="691" spans="1:45" x14ac:dyDescent="0.35">
      <c r="A691">
        <v>542</v>
      </c>
      <c r="B691">
        <v>540.89499999999998</v>
      </c>
      <c r="C691">
        <v>616184.92799999996</v>
      </c>
      <c r="D691">
        <v>3097440.6379999998</v>
      </c>
      <c r="E691">
        <v>632.29150000000004</v>
      </c>
      <c r="F691">
        <v>5.2</v>
      </c>
      <c r="G691">
        <v>0</v>
      </c>
      <c r="H691" t="s">
        <v>191</v>
      </c>
      <c r="I691">
        <v>2.3E-2</v>
      </c>
      <c r="J691">
        <f t="shared" si="351"/>
        <v>1</v>
      </c>
      <c r="K691">
        <f t="shared" si="352"/>
        <v>51</v>
      </c>
      <c r="L691" t="e">
        <f t="shared" ca="1" si="353"/>
        <v>#VALUE!</v>
      </c>
      <c r="M691" t="e">
        <f t="shared" ca="1" si="326"/>
        <v>#VALUE!</v>
      </c>
      <c r="N691" t="e">
        <f t="shared" ca="1" si="327"/>
        <v>#VALUE!</v>
      </c>
      <c r="O691" t="e">
        <f t="shared" ca="1" si="328"/>
        <v>#VALUE!</v>
      </c>
      <c r="P691" t="e">
        <f t="shared" ca="1" si="329"/>
        <v>#VALUE!</v>
      </c>
      <c r="Q691" t="e">
        <f t="shared" ca="1" si="330"/>
        <v>#VALUE!</v>
      </c>
      <c r="R691" t="e">
        <f t="shared" ca="1" si="331"/>
        <v>#VALUE!</v>
      </c>
      <c r="S691" t="e">
        <f t="shared" ca="1" si="332"/>
        <v>#VALUE!</v>
      </c>
      <c r="T691" t="e">
        <f t="shared" ca="1" si="333"/>
        <v>#VALUE!</v>
      </c>
      <c r="U691" t="e">
        <f t="shared" ca="1" si="354"/>
        <v>#VALUE!</v>
      </c>
      <c r="V691" t="e">
        <f t="shared" ca="1" si="355"/>
        <v>#VALUE!</v>
      </c>
      <c r="W691" t="e">
        <f t="shared" ca="1" si="334"/>
        <v>#VALUE!</v>
      </c>
      <c r="X691" t="e">
        <f t="shared" ca="1" si="335"/>
        <v>#VALUE!</v>
      </c>
      <c r="Y691" t="e">
        <f t="shared" ca="1" si="336"/>
        <v>#VALUE!</v>
      </c>
      <c r="Z691" t="e">
        <f t="shared" ca="1" si="337"/>
        <v>#VALUE!</v>
      </c>
      <c r="AA691" t="e">
        <f t="shared" ca="1" si="338"/>
        <v>#VALUE!</v>
      </c>
      <c r="AB691" t="e">
        <f t="shared" ca="1" si="339"/>
        <v>#VALUE!</v>
      </c>
      <c r="AC691" t="e">
        <f t="shared" ca="1" si="340"/>
        <v>#VALUE!</v>
      </c>
      <c r="AD691" t="e">
        <f t="shared" ca="1" si="341"/>
        <v>#VALUE!</v>
      </c>
      <c r="AE691" t="e">
        <f t="shared" ca="1" si="342"/>
        <v>#VALUE!</v>
      </c>
      <c r="AF691" t="e">
        <f t="shared" ca="1" si="343"/>
        <v>#VALUE!</v>
      </c>
      <c r="AG691" t="e">
        <f t="shared" ca="1" si="344"/>
        <v>#VALUE!</v>
      </c>
      <c r="AH691" t="e">
        <f ca="1">IF(V32="Supercritical",L691,IF(V32="Subcritical",W691,IF(AND(V691=1,AG691=1),IF(T691&gt;=AE691,L691,W691),IF(V691=1,L691,IF(AG691=1,W691,MAX($D$16,POWER((ABS(K691)^2)/($I$5*MAX(F691,0.1)^2),1/3)))))))</f>
        <v>#VALUE!</v>
      </c>
      <c r="AI691" t="e">
        <f t="shared" ca="1" si="345"/>
        <v>#VALUE!</v>
      </c>
      <c r="AJ691" t="e">
        <f t="shared" ca="1" si="346"/>
        <v>#VALUE!</v>
      </c>
      <c r="AM691">
        <v>0</v>
      </c>
      <c r="AN691">
        <v>0</v>
      </c>
      <c r="AO691">
        <f t="shared" si="347"/>
        <v>0</v>
      </c>
      <c r="AP691">
        <f t="shared" si="356"/>
        <v>0</v>
      </c>
      <c r="AQ691" t="e">
        <f t="shared" ca="1" si="348"/>
        <v>#VALUE!</v>
      </c>
      <c r="AR691" t="e">
        <f t="shared" ca="1" si="349"/>
        <v>#VALUE!</v>
      </c>
      <c r="AS691" t="e">
        <f t="shared" ca="1" si="350"/>
        <v>#VALUE!</v>
      </c>
    </row>
    <row r="692" spans="1:45" x14ac:dyDescent="0.35">
      <c r="A692">
        <v>543</v>
      </c>
      <c r="B692">
        <v>541.89599999999996</v>
      </c>
      <c r="C692">
        <v>616184.45299999998</v>
      </c>
      <c r="D692">
        <v>3097439.7570000002</v>
      </c>
      <c r="E692">
        <v>632.29100000000005</v>
      </c>
      <c r="F692">
        <v>5.2</v>
      </c>
      <c r="G692">
        <v>0</v>
      </c>
      <c r="H692" t="s">
        <v>191</v>
      </c>
      <c r="I692">
        <v>2.3E-2</v>
      </c>
      <c r="J692">
        <f t="shared" si="351"/>
        <v>1.0009999999999764</v>
      </c>
      <c r="K692">
        <f t="shared" si="352"/>
        <v>51</v>
      </c>
      <c r="L692" t="e">
        <f t="shared" ca="1" si="353"/>
        <v>#VALUE!</v>
      </c>
      <c r="M692" t="e">
        <f t="shared" ca="1" si="326"/>
        <v>#VALUE!</v>
      </c>
      <c r="N692" t="e">
        <f t="shared" ca="1" si="327"/>
        <v>#VALUE!</v>
      </c>
      <c r="O692" t="e">
        <f t="shared" ca="1" si="328"/>
        <v>#VALUE!</v>
      </c>
      <c r="P692" t="e">
        <f t="shared" ca="1" si="329"/>
        <v>#VALUE!</v>
      </c>
      <c r="Q692" t="e">
        <f t="shared" ca="1" si="330"/>
        <v>#VALUE!</v>
      </c>
      <c r="R692" t="e">
        <f t="shared" ca="1" si="331"/>
        <v>#VALUE!</v>
      </c>
      <c r="S692" t="e">
        <f t="shared" ca="1" si="332"/>
        <v>#VALUE!</v>
      </c>
      <c r="T692" t="e">
        <f t="shared" ca="1" si="333"/>
        <v>#VALUE!</v>
      </c>
      <c r="U692" t="e">
        <f t="shared" ca="1" si="354"/>
        <v>#VALUE!</v>
      </c>
      <c r="V692" t="e">
        <f t="shared" ca="1" si="355"/>
        <v>#VALUE!</v>
      </c>
      <c r="W692" t="e">
        <f t="shared" ca="1" si="334"/>
        <v>#VALUE!</v>
      </c>
      <c r="X692" t="e">
        <f t="shared" ca="1" si="335"/>
        <v>#VALUE!</v>
      </c>
      <c r="Y692" t="e">
        <f t="shared" ca="1" si="336"/>
        <v>#VALUE!</v>
      </c>
      <c r="Z692" t="e">
        <f t="shared" ca="1" si="337"/>
        <v>#VALUE!</v>
      </c>
      <c r="AA692" t="e">
        <f t="shared" ca="1" si="338"/>
        <v>#VALUE!</v>
      </c>
      <c r="AB692" t="e">
        <f t="shared" ca="1" si="339"/>
        <v>#VALUE!</v>
      </c>
      <c r="AC692" t="e">
        <f t="shared" ca="1" si="340"/>
        <v>#VALUE!</v>
      </c>
      <c r="AD692" t="e">
        <f t="shared" ca="1" si="341"/>
        <v>#VALUE!</v>
      </c>
      <c r="AE692" t="e">
        <f t="shared" ca="1" si="342"/>
        <v>#VALUE!</v>
      </c>
      <c r="AF692" t="e">
        <f t="shared" ca="1" si="343"/>
        <v>#VALUE!</v>
      </c>
      <c r="AG692" t="e">
        <f t="shared" ca="1" si="344"/>
        <v>#VALUE!</v>
      </c>
      <c r="AH692" t="e">
        <f ca="1">IF(V32="Supercritical",L692,IF(V32="Subcritical",W692,IF(AND(V692=1,AG692=1),IF(T692&gt;=AE692,L692,W692),IF(V692=1,L692,IF(AG692=1,W692,MAX($D$16,POWER((ABS(K692)^2)/($I$5*MAX(F692,0.1)^2),1/3)))))))</f>
        <v>#VALUE!</v>
      </c>
      <c r="AI692" t="e">
        <f t="shared" ca="1" si="345"/>
        <v>#VALUE!</v>
      </c>
      <c r="AJ692" t="e">
        <f t="shared" ca="1" si="346"/>
        <v>#VALUE!</v>
      </c>
      <c r="AM692">
        <v>0</v>
      </c>
      <c r="AN692">
        <v>0</v>
      </c>
      <c r="AO692">
        <f t="shared" si="347"/>
        <v>0</v>
      </c>
      <c r="AP692">
        <f t="shared" si="356"/>
        <v>0</v>
      </c>
      <c r="AQ692" t="e">
        <f t="shared" ca="1" si="348"/>
        <v>#VALUE!</v>
      </c>
      <c r="AR692" t="e">
        <f t="shared" ca="1" si="349"/>
        <v>#VALUE!</v>
      </c>
      <c r="AS692" t="e">
        <f t="shared" ca="1" si="350"/>
        <v>#VALUE!</v>
      </c>
    </row>
    <row r="693" spans="1:45" x14ac:dyDescent="0.35">
      <c r="A693">
        <v>544</v>
      </c>
      <c r="B693">
        <v>542.89499999999998</v>
      </c>
      <c r="C693">
        <v>616183.97900000005</v>
      </c>
      <c r="D693">
        <v>3097438.8769999999</v>
      </c>
      <c r="E693">
        <v>632.29049999999995</v>
      </c>
      <c r="F693">
        <v>5.2</v>
      </c>
      <c r="G693">
        <v>0</v>
      </c>
      <c r="H693" t="s">
        <v>191</v>
      </c>
      <c r="I693">
        <v>0</v>
      </c>
      <c r="J693">
        <f t="shared" si="351"/>
        <v>0.99900000000002365</v>
      </c>
      <c r="K693">
        <f t="shared" si="352"/>
        <v>51</v>
      </c>
      <c r="L693" t="e">
        <f t="shared" ca="1" si="353"/>
        <v>#VALUE!</v>
      </c>
      <c r="M693" t="e">
        <f t="shared" ca="1" si="326"/>
        <v>#VALUE!</v>
      </c>
      <c r="N693" t="e">
        <f t="shared" ca="1" si="327"/>
        <v>#VALUE!</v>
      </c>
      <c r="O693" t="e">
        <f t="shared" ca="1" si="328"/>
        <v>#VALUE!</v>
      </c>
      <c r="P693" t="e">
        <f t="shared" ca="1" si="329"/>
        <v>#VALUE!</v>
      </c>
      <c r="Q693" t="e">
        <f t="shared" ca="1" si="330"/>
        <v>#VALUE!</v>
      </c>
      <c r="R693" t="e">
        <f t="shared" ca="1" si="331"/>
        <v>#VALUE!</v>
      </c>
      <c r="S693" t="e">
        <f t="shared" ca="1" si="332"/>
        <v>#VALUE!</v>
      </c>
      <c r="T693" t="e">
        <f t="shared" ca="1" si="333"/>
        <v>#VALUE!</v>
      </c>
      <c r="U693" t="e">
        <f t="shared" ca="1" si="354"/>
        <v>#VALUE!</v>
      </c>
      <c r="V693" t="e">
        <f t="shared" ca="1" si="355"/>
        <v>#VALUE!</v>
      </c>
      <c r="W693" t="e">
        <f t="shared" ca="1" si="334"/>
        <v>#VALUE!</v>
      </c>
      <c r="X693" t="e">
        <f t="shared" ca="1" si="335"/>
        <v>#VALUE!</v>
      </c>
      <c r="Y693" t="e">
        <f t="shared" ca="1" si="336"/>
        <v>#VALUE!</v>
      </c>
      <c r="Z693" t="e">
        <f t="shared" ca="1" si="337"/>
        <v>#VALUE!</v>
      </c>
      <c r="AA693" t="e">
        <f t="shared" ca="1" si="338"/>
        <v>#VALUE!</v>
      </c>
      <c r="AB693" t="e">
        <f t="shared" ca="1" si="339"/>
        <v>#VALUE!</v>
      </c>
      <c r="AC693" t="e">
        <f t="shared" ca="1" si="340"/>
        <v>#VALUE!</v>
      </c>
      <c r="AD693" t="e">
        <f t="shared" ca="1" si="341"/>
        <v>#VALUE!</v>
      </c>
      <c r="AE693" t="e">
        <f t="shared" ca="1" si="342"/>
        <v>#VALUE!</v>
      </c>
      <c r="AF693" t="e">
        <f t="shared" ca="1" si="343"/>
        <v>#VALUE!</v>
      </c>
      <c r="AG693" t="e">
        <f t="shared" ca="1" si="344"/>
        <v>#VALUE!</v>
      </c>
      <c r="AH693" t="e">
        <f ca="1">IF(V32="Supercritical",L693,IF(V32="Subcritical",W693,IF(AND(V693=1,AG693=1),IF(T693&gt;=AE693,L693,W693),IF(V693=1,L693,IF(AG693=1,W693,MAX($D$16,POWER((ABS(K693)^2)/($I$5*MAX(F693,0.1)^2),1/3)))))))</f>
        <v>#VALUE!</v>
      </c>
      <c r="AI693" t="e">
        <f t="shared" ca="1" si="345"/>
        <v>#VALUE!</v>
      </c>
      <c r="AJ693" t="e">
        <f t="shared" ca="1" si="346"/>
        <v>#VALUE!</v>
      </c>
      <c r="AM693">
        <v>0</v>
      </c>
      <c r="AN693">
        <v>0</v>
      </c>
      <c r="AO693">
        <f t="shared" si="347"/>
        <v>0</v>
      </c>
      <c r="AP693">
        <f t="shared" si="356"/>
        <v>0</v>
      </c>
      <c r="AQ693" t="e">
        <f t="shared" ca="1" si="348"/>
        <v>#VALUE!</v>
      </c>
      <c r="AR693" t="e">
        <f t="shared" ca="1" si="349"/>
        <v>#VALUE!</v>
      </c>
      <c r="AS693" t="e">
        <f t="shared" ca="1" si="350"/>
        <v>#VALUE!</v>
      </c>
    </row>
    <row r="694" spans="1:45" x14ac:dyDescent="0.35">
      <c r="A694">
        <v>545</v>
      </c>
      <c r="B694">
        <v>543.89499999999998</v>
      </c>
      <c r="C694">
        <v>616183.505</v>
      </c>
      <c r="D694">
        <v>3097437.997</v>
      </c>
      <c r="E694">
        <v>632.29</v>
      </c>
      <c r="F694">
        <v>5.2</v>
      </c>
      <c r="G694">
        <v>0</v>
      </c>
      <c r="H694" t="s">
        <v>191</v>
      </c>
      <c r="I694">
        <v>2.7E-2</v>
      </c>
      <c r="J694">
        <f t="shared" si="351"/>
        <v>1</v>
      </c>
      <c r="K694">
        <f t="shared" si="352"/>
        <v>51</v>
      </c>
      <c r="L694" t="e">
        <f t="shared" ca="1" si="353"/>
        <v>#VALUE!</v>
      </c>
      <c r="M694" t="e">
        <f t="shared" ca="1" si="326"/>
        <v>#VALUE!</v>
      </c>
      <c r="N694" t="e">
        <f t="shared" ca="1" si="327"/>
        <v>#VALUE!</v>
      </c>
      <c r="O694" t="e">
        <f t="shared" ca="1" si="328"/>
        <v>#VALUE!</v>
      </c>
      <c r="P694" t="e">
        <f t="shared" ca="1" si="329"/>
        <v>#VALUE!</v>
      </c>
      <c r="Q694" t="e">
        <f t="shared" ca="1" si="330"/>
        <v>#VALUE!</v>
      </c>
      <c r="R694" t="e">
        <f t="shared" ca="1" si="331"/>
        <v>#VALUE!</v>
      </c>
      <c r="S694" t="e">
        <f t="shared" ca="1" si="332"/>
        <v>#VALUE!</v>
      </c>
      <c r="T694" t="e">
        <f t="shared" ca="1" si="333"/>
        <v>#VALUE!</v>
      </c>
      <c r="U694" t="e">
        <f t="shared" ca="1" si="354"/>
        <v>#VALUE!</v>
      </c>
      <c r="V694" t="e">
        <f t="shared" ca="1" si="355"/>
        <v>#VALUE!</v>
      </c>
      <c r="W694" t="e">
        <f t="shared" ca="1" si="334"/>
        <v>#VALUE!</v>
      </c>
      <c r="X694" t="e">
        <f t="shared" ca="1" si="335"/>
        <v>#VALUE!</v>
      </c>
      <c r="Y694" t="e">
        <f t="shared" ca="1" si="336"/>
        <v>#VALUE!</v>
      </c>
      <c r="Z694" t="e">
        <f t="shared" ca="1" si="337"/>
        <v>#VALUE!</v>
      </c>
      <c r="AA694" t="e">
        <f t="shared" ca="1" si="338"/>
        <v>#VALUE!</v>
      </c>
      <c r="AB694" t="e">
        <f t="shared" ca="1" si="339"/>
        <v>#VALUE!</v>
      </c>
      <c r="AC694" t="e">
        <f t="shared" ca="1" si="340"/>
        <v>#VALUE!</v>
      </c>
      <c r="AD694" t="e">
        <f t="shared" ca="1" si="341"/>
        <v>#VALUE!</v>
      </c>
      <c r="AE694" t="e">
        <f t="shared" ca="1" si="342"/>
        <v>#VALUE!</v>
      </c>
      <c r="AF694" t="e">
        <f t="shared" ca="1" si="343"/>
        <v>#VALUE!</v>
      </c>
      <c r="AG694" t="e">
        <f t="shared" ca="1" si="344"/>
        <v>#VALUE!</v>
      </c>
      <c r="AH694" t="e">
        <f ca="1">IF(V32="Supercritical",L694,IF(V32="Subcritical",W694,IF(AND(V694=1,AG694=1),IF(T694&gt;=AE694,L694,W694),IF(V694=1,L694,IF(AG694=1,W694,MAX($D$16,POWER((ABS(K694)^2)/($I$5*MAX(F694,0.1)^2),1/3)))))))</f>
        <v>#VALUE!</v>
      </c>
      <c r="AI694" t="e">
        <f t="shared" ca="1" si="345"/>
        <v>#VALUE!</v>
      </c>
      <c r="AJ694" t="e">
        <f t="shared" ca="1" si="346"/>
        <v>#VALUE!</v>
      </c>
      <c r="AM694">
        <v>0</v>
      </c>
      <c r="AN694">
        <v>0</v>
      </c>
      <c r="AO694">
        <f t="shared" si="347"/>
        <v>0</v>
      </c>
      <c r="AP694">
        <f t="shared" si="356"/>
        <v>0</v>
      </c>
      <c r="AQ694" t="e">
        <f t="shared" ca="1" si="348"/>
        <v>#VALUE!</v>
      </c>
      <c r="AR694" t="e">
        <f t="shared" ca="1" si="349"/>
        <v>#VALUE!</v>
      </c>
      <c r="AS694" t="e">
        <f t="shared" ca="1" si="350"/>
        <v>#VALUE!</v>
      </c>
    </row>
    <row r="695" spans="1:45" x14ac:dyDescent="0.35">
      <c r="A695">
        <v>546</v>
      </c>
      <c r="B695">
        <v>544.89499999999998</v>
      </c>
      <c r="C695">
        <v>616183.03099999996</v>
      </c>
      <c r="D695">
        <v>3097437.1159999999</v>
      </c>
      <c r="E695">
        <v>632.28949999999998</v>
      </c>
      <c r="F695">
        <v>5.2</v>
      </c>
      <c r="G695">
        <v>0</v>
      </c>
      <c r="H695" t="s">
        <v>191</v>
      </c>
      <c r="I695">
        <v>7.8E-2</v>
      </c>
      <c r="J695">
        <f t="shared" si="351"/>
        <v>1</v>
      </c>
      <c r="K695">
        <f t="shared" si="352"/>
        <v>51</v>
      </c>
      <c r="L695" t="e">
        <f t="shared" ca="1" si="353"/>
        <v>#VALUE!</v>
      </c>
      <c r="M695" t="e">
        <f t="shared" ca="1" si="326"/>
        <v>#VALUE!</v>
      </c>
      <c r="N695" t="e">
        <f t="shared" ca="1" si="327"/>
        <v>#VALUE!</v>
      </c>
      <c r="O695" t="e">
        <f t="shared" ca="1" si="328"/>
        <v>#VALUE!</v>
      </c>
      <c r="P695" t="e">
        <f t="shared" ca="1" si="329"/>
        <v>#VALUE!</v>
      </c>
      <c r="Q695" t="e">
        <f t="shared" ca="1" si="330"/>
        <v>#VALUE!</v>
      </c>
      <c r="R695" t="e">
        <f t="shared" ca="1" si="331"/>
        <v>#VALUE!</v>
      </c>
      <c r="S695" t="e">
        <f t="shared" ca="1" si="332"/>
        <v>#VALUE!</v>
      </c>
      <c r="T695" t="e">
        <f t="shared" ca="1" si="333"/>
        <v>#VALUE!</v>
      </c>
      <c r="U695" t="e">
        <f t="shared" ca="1" si="354"/>
        <v>#VALUE!</v>
      </c>
      <c r="V695" t="e">
        <f t="shared" ca="1" si="355"/>
        <v>#VALUE!</v>
      </c>
      <c r="W695" t="e">
        <f t="shared" ca="1" si="334"/>
        <v>#VALUE!</v>
      </c>
      <c r="X695" t="e">
        <f t="shared" ca="1" si="335"/>
        <v>#VALUE!</v>
      </c>
      <c r="Y695" t="e">
        <f t="shared" ca="1" si="336"/>
        <v>#VALUE!</v>
      </c>
      <c r="Z695" t="e">
        <f t="shared" ca="1" si="337"/>
        <v>#VALUE!</v>
      </c>
      <c r="AA695" t="e">
        <f t="shared" ca="1" si="338"/>
        <v>#VALUE!</v>
      </c>
      <c r="AB695" t="e">
        <f t="shared" ca="1" si="339"/>
        <v>#VALUE!</v>
      </c>
      <c r="AC695" t="e">
        <f t="shared" ca="1" si="340"/>
        <v>#VALUE!</v>
      </c>
      <c r="AD695" t="e">
        <f t="shared" ca="1" si="341"/>
        <v>#VALUE!</v>
      </c>
      <c r="AE695" t="e">
        <f t="shared" ca="1" si="342"/>
        <v>#VALUE!</v>
      </c>
      <c r="AF695" t="e">
        <f t="shared" ca="1" si="343"/>
        <v>#VALUE!</v>
      </c>
      <c r="AG695" t="e">
        <f t="shared" ca="1" si="344"/>
        <v>#VALUE!</v>
      </c>
      <c r="AH695" t="e">
        <f ca="1">IF(V32="Supercritical",L695,IF(V32="Subcritical",W695,IF(AND(V695=1,AG695=1),IF(T695&gt;=AE695,L695,W695),IF(V695=1,L695,IF(AG695=1,W695,MAX($D$16,POWER((ABS(K695)^2)/($I$5*MAX(F695,0.1)^2),1/3)))))))</f>
        <v>#VALUE!</v>
      </c>
      <c r="AI695" t="e">
        <f t="shared" ca="1" si="345"/>
        <v>#VALUE!</v>
      </c>
      <c r="AJ695" t="e">
        <f t="shared" ca="1" si="346"/>
        <v>#VALUE!</v>
      </c>
      <c r="AM695">
        <v>0</v>
      </c>
      <c r="AN695">
        <v>0</v>
      </c>
      <c r="AO695">
        <f t="shared" si="347"/>
        <v>0</v>
      </c>
      <c r="AP695">
        <f t="shared" si="356"/>
        <v>0</v>
      </c>
      <c r="AQ695" t="e">
        <f t="shared" ca="1" si="348"/>
        <v>#VALUE!</v>
      </c>
      <c r="AR695" t="e">
        <f t="shared" ca="1" si="349"/>
        <v>#VALUE!</v>
      </c>
      <c r="AS695" t="e">
        <f t="shared" ca="1" si="350"/>
        <v>#VALUE!</v>
      </c>
    </row>
    <row r="696" spans="1:45" x14ac:dyDescent="0.35">
      <c r="A696">
        <v>547</v>
      </c>
      <c r="B696">
        <v>545.89499999999998</v>
      </c>
      <c r="C696">
        <v>616182.55599999998</v>
      </c>
      <c r="D696">
        <v>3097436.236</v>
      </c>
      <c r="E696">
        <v>632.28899999999999</v>
      </c>
      <c r="F696">
        <v>5.2</v>
      </c>
      <c r="G696">
        <v>0</v>
      </c>
      <c r="H696" t="s">
        <v>191</v>
      </c>
      <c r="I696">
        <v>7.8E-2</v>
      </c>
      <c r="J696">
        <f t="shared" si="351"/>
        <v>1</v>
      </c>
      <c r="K696">
        <f t="shared" si="352"/>
        <v>51</v>
      </c>
      <c r="L696" t="e">
        <f t="shared" ca="1" si="353"/>
        <v>#VALUE!</v>
      </c>
      <c r="M696" t="e">
        <f t="shared" ca="1" si="326"/>
        <v>#VALUE!</v>
      </c>
      <c r="N696" t="e">
        <f t="shared" ca="1" si="327"/>
        <v>#VALUE!</v>
      </c>
      <c r="O696" t="e">
        <f t="shared" ca="1" si="328"/>
        <v>#VALUE!</v>
      </c>
      <c r="P696" t="e">
        <f t="shared" ca="1" si="329"/>
        <v>#VALUE!</v>
      </c>
      <c r="Q696" t="e">
        <f t="shared" ca="1" si="330"/>
        <v>#VALUE!</v>
      </c>
      <c r="R696" t="e">
        <f t="shared" ca="1" si="331"/>
        <v>#VALUE!</v>
      </c>
      <c r="S696" t="e">
        <f t="shared" ca="1" si="332"/>
        <v>#VALUE!</v>
      </c>
      <c r="T696" t="e">
        <f t="shared" ca="1" si="333"/>
        <v>#VALUE!</v>
      </c>
      <c r="U696" t="e">
        <f t="shared" ca="1" si="354"/>
        <v>#VALUE!</v>
      </c>
      <c r="V696" t="e">
        <f t="shared" ca="1" si="355"/>
        <v>#VALUE!</v>
      </c>
      <c r="W696" t="e">
        <f t="shared" ca="1" si="334"/>
        <v>#VALUE!</v>
      </c>
      <c r="X696" t="e">
        <f t="shared" ca="1" si="335"/>
        <v>#VALUE!</v>
      </c>
      <c r="Y696" t="e">
        <f t="shared" ca="1" si="336"/>
        <v>#VALUE!</v>
      </c>
      <c r="Z696" t="e">
        <f t="shared" ca="1" si="337"/>
        <v>#VALUE!</v>
      </c>
      <c r="AA696" t="e">
        <f t="shared" ca="1" si="338"/>
        <v>#VALUE!</v>
      </c>
      <c r="AB696" t="e">
        <f t="shared" ca="1" si="339"/>
        <v>#VALUE!</v>
      </c>
      <c r="AC696" t="e">
        <f t="shared" ca="1" si="340"/>
        <v>#VALUE!</v>
      </c>
      <c r="AD696" t="e">
        <f t="shared" ca="1" si="341"/>
        <v>#VALUE!</v>
      </c>
      <c r="AE696" t="e">
        <f t="shared" ca="1" si="342"/>
        <v>#VALUE!</v>
      </c>
      <c r="AF696" t="e">
        <f t="shared" ca="1" si="343"/>
        <v>#VALUE!</v>
      </c>
      <c r="AG696" t="e">
        <f t="shared" ca="1" si="344"/>
        <v>#VALUE!</v>
      </c>
      <c r="AH696" t="e">
        <f ca="1">IF(V32="Supercritical",L696,IF(V32="Subcritical",W696,IF(AND(V696=1,AG696=1),IF(T696&gt;=AE696,L696,W696),IF(V696=1,L696,IF(AG696=1,W696,MAX($D$16,POWER((ABS(K696)^2)/($I$5*MAX(F696,0.1)^2),1/3)))))))</f>
        <v>#VALUE!</v>
      </c>
      <c r="AI696" t="e">
        <f t="shared" ca="1" si="345"/>
        <v>#VALUE!</v>
      </c>
      <c r="AJ696" t="e">
        <f t="shared" ca="1" si="346"/>
        <v>#VALUE!</v>
      </c>
      <c r="AM696">
        <v>0</v>
      </c>
      <c r="AN696">
        <v>0</v>
      </c>
      <c r="AO696">
        <f t="shared" si="347"/>
        <v>0</v>
      </c>
      <c r="AP696">
        <f t="shared" si="356"/>
        <v>0</v>
      </c>
      <c r="AQ696" t="e">
        <f t="shared" ca="1" si="348"/>
        <v>#VALUE!</v>
      </c>
      <c r="AR696" t="e">
        <f t="shared" ca="1" si="349"/>
        <v>#VALUE!</v>
      </c>
      <c r="AS696" t="e">
        <f t="shared" ca="1" si="350"/>
        <v>#VALUE!</v>
      </c>
    </row>
    <row r="697" spans="1:45" x14ac:dyDescent="0.35">
      <c r="A697">
        <v>548</v>
      </c>
      <c r="B697">
        <v>546.89599999999996</v>
      </c>
      <c r="C697">
        <v>616182.08200000005</v>
      </c>
      <c r="D697">
        <v>3097435.355</v>
      </c>
      <c r="E697">
        <v>632.2885</v>
      </c>
      <c r="F697">
        <v>5.2</v>
      </c>
      <c r="G697">
        <v>0</v>
      </c>
      <c r="H697" t="s">
        <v>191</v>
      </c>
      <c r="I697">
        <v>2.7E-2</v>
      </c>
      <c r="J697">
        <f t="shared" si="351"/>
        <v>1.0009999999999764</v>
      </c>
      <c r="K697">
        <f t="shared" si="352"/>
        <v>51</v>
      </c>
      <c r="L697" t="e">
        <f t="shared" ca="1" si="353"/>
        <v>#VALUE!</v>
      </c>
      <c r="M697" t="e">
        <f t="shared" ca="1" si="326"/>
        <v>#VALUE!</v>
      </c>
      <c r="N697" t="e">
        <f t="shared" ca="1" si="327"/>
        <v>#VALUE!</v>
      </c>
      <c r="O697" t="e">
        <f t="shared" ca="1" si="328"/>
        <v>#VALUE!</v>
      </c>
      <c r="P697" t="e">
        <f t="shared" ca="1" si="329"/>
        <v>#VALUE!</v>
      </c>
      <c r="Q697" t="e">
        <f t="shared" ca="1" si="330"/>
        <v>#VALUE!</v>
      </c>
      <c r="R697" t="e">
        <f t="shared" ca="1" si="331"/>
        <v>#VALUE!</v>
      </c>
      <c r="S697" t="e">
        <f t="shared" ca="1" si="332"/>
        <v>#VALUE!</v>
      </c>
      <c r="T697" t="e">
        <f t="shared" ca="1" si="333"/>
        <v>#VALUE!</v>
      </c>
      <c r="U697" t="e">
        <f t="shared" ca="1" si="354"/>
        <v>#VALUE!</v>
      </c>
      <c r="V697" t="e">
        <f t="shared" ca="1" si="355"/>
        <v>#VALUE!</v>
      </c>
      <c r="W697" t="e">
        <f t="shared" ca="1" si="334"/>
        <v>#VALUE!</v>
      </c>
      <c r="X697" t="e">
        <f t="shared" ca="1" si="335"/>
        <v>#VALUE!</v>
      </c>
      <c r="Y697" t="e">
        <f t="shared" ca="1" si="336"/>
        <v>#VALUE!</v>
      </c>
      <c r="Z697" t="e">
        <f t="shared" ca="1" si="337"/>
        <v>#VALUE!</v>
      </c>
      <c r="AA697" t="e">
        <f t="shared" ca="1" si="338"/>
        <v>#VALUE!</v>
      </c>
      <c r="AB697" t="e">
        <f t="shared" ca="1" si="339"/>
        <v>#VALUE!</v>
      </c>
      <c r="AC697" t="e">
        <f t="shared" ca="1" si="340"/>
        <v>#VALUE!</v>
      </c>
      <c r="AD697" t="e">
        <f t="shared" ca="1" si="341"/>
        <v>#VALUE!</v>
      </c>
      <c r="AE697" t="e">
        <f t="shared" ca="1" si="342"/>
        <v>#VALUE!</v>
      </c>
      <c r="AF697" t="e">
        <f t="shared" ca="1" si="343"/>
        <v>#VALUE!</v>
      </c>
      <c r="AG697" t="e">
        <f t="shared" ca="1" si="344"/>
        <v>#VALUE!</v>
      </c>
      <c r="AH697" t="e">
        <f ca="1">IF(V32="Supercritical",L697,IF(V32="Subcritical",W697,IF(AND(V697=1,AG697=1),IF(T697&gt;=AE697,L697,W697),IF(V697=1,L697,IF(AG697=1,W697,MAX($D$16,POWER((ABS(K697)^2)/($I$5*MAX(F697,0.1)^2),1/3)))))))</f>
        <v>#VALUE!</v>
      </c>
      <c r="AI697" t="e">
        <f t="shared" ca="1" si="345"/>
        <v>#VALUE!</v>
      </c>
      <c r="AJ697" t="e">
        <f t="shared" ca="1" si="346"/>
        <v>#VALUE!</v>
      </c>
      <c r="AM697">
        <v>0</v>
      </c>
      <c r="AN697">
        <v>0</v>
      </c>
      <c r="AO697">
        <f t="shared" si="347"/>
        <v>0</v>
      </c>
      <c r="AP697">
        <f t="shared" si="356"/>
        <v>0</v>
      </c>
      <c r="AQ697" t="e">
        <f t="shared" ca="1" si="348"/>
        <v>#VALUE!</v>
      </c>
      <c r="AR697" t="e">
        <f t="shared" ca="1" si="349"/>
        <v>#VALUE!</v>
      </c>
      <c r="AS697" t="e">
        <f t="shared" ca="1" si="350"/>
        <v>#VALUE!</v>
      </c>
    </row>
    <row r="698" spans="1:45" x14ac:dyDescent="0.35">
      <c r="A698">
        <v>549</v>
      </c>
      <c r="B698">
        <v>547.89499999999998</v>
      </c>
      <c r="C698">
        <v>616181.60800000001</v>
      </c>
      <c r="D698">
        <v>3097434.4750000001</v>
      </c>
      <c r="E698">
        <v>632.28800000000001</v>
      </c>
      <c r="F698">
        <v>5.2</v>
      </c>
      <c r="G698">
        <v>0</v>
      </c>
      <c r="H698" t="s">
        <v>191</v>
      </c>
      <c r="I698">
        <v>0</v>
      </c>
      <c r="J698">
        <f t="shared" si="351"/>
        <v>0.99900000000002365</v>
      </c>
      <c r="K698">
        <f t="shared" si="352"/>
        <v>51</v>
      </c>
      <c r="L698" t="e">
        <f t="shared" ca="1" si="353"/>
        <v>#VALUE!</v>
      </c>
      <c r="M698" t="e">
        <f t="shared" ca="1" si="326"/>
        <v>#VALUE!</v>
      </c>
      <c r="N698" t="e">
        <f t="shared" ca="1" si="327"/>
        <v>#VALUE!</v>
      </c>
      <c r="O698" t="e">
        <f t="shared" ca="1" si="328"/>
        <v>#VALUE!</v>
      </c>
      <c r="P698" t="e">
        <f t="shared" ca="1" si="329"/>
        <v>#VALUE!</v>
      </c>
      <c r="Q698" t="e">
        <f t="shared" ca="1" si="330"/>
        <v>#VALUE!</v>
      </c>
      <c r="R698" t="e">
        <f t="shared" ca="1" si="331"/>
        <v>#VALUE!</v>
      </c>
      <c r="S698" t="e">
        <f t="shared" ca="1" si="332"/>
        <v>#VALUE!</v>
      </c>
      <c r="T698" t="e">
        <f t="shared" ca="1" si="333"/>
        <v>#VALUE!</v>
      </c>
      <c r="U698" t="e">
        <f t="shared" ca="1" si="354"/>
        <v>#VALUE!</v>
      </c>
      <c r="V698" t="e">
        <f t="shared" ca="1" si="355"/>
        <v>#VALUE!</v>
      </c>
      <c r="W698" t="e">
        <f t="shared" ca="1" si="334"/>
        <v>#VALUE!</v>
      </c>
      <c r="X698" t="e">
        <f t="shared" ca="1" si="335"/>
        <v>#VALUE!</v>
      </c>
      <c r="Y698" t="e">
        <f t="shared" ca="1" si="336"/>
        <v>#VALUE!</v>
      </c>
      <c r="Z698" t="e">
        <f t="shared" ca="1" si="337"/>
        <v>#VALUE!</v>
      </c>
      <c r="AA698" t="e">
        <f t="shared" ca="1" si="338"/>
        <v>#VALUE!</v>
      </c>
      <c r="AB698" t="e">
        <f t="shared" ca="1" si="339"/>
        <v>#VALUE!</v>
      </c>
      <c r="AC698" t="e">
        <f t="shared" ca="1" si="340"/>
        <v>#VALUE!</v>
      </c>
      <c r="AD698" t="e">
        <f t="shared" ca="1" si="341"/>
        <v>#VALUE!</v>
      </c>
      <c r="AE698" t="e">
        <f t="shared" ca="1" si="342"/>
        <v>#VALUE!</v>
      </c>
      <c r="AF698" t="e">
        <f t="shared" ca="1" si="343"/>
        <v>#VALUE!</v>
      </c>
      <c r="AG698" t="e">
        <f t="shared" ca="1" si="344"/>
        <v>#VALUE!</v>
      </c>
      <c r="AH698" t="e">
        <f ca="1">IF(V32="Supercritical",L698,IF(V32="Subcritical",W698,IF(AND(V698=1,AG698=1),IF(T698&gt;=AE698,L698,W698),IF(V698=1,L698,IF(AG698=1,W698,MAX($D$16,POWER((ABS(K698)^2)/($I$5*MAX(F698,0.1)^2),1/3)))))))</f>
        <v>#VALUE!</v>
      </c>
      <c r="AI698" t="e">
        <f t="shared" ca="1" si="345"/>
        <v>#VALUE!</v>
      </c>
      <c r="AJ698" t="e">
        <f t="shared" ca="1" si="346"/>
        <v>#VALUE!</v>
      </c>
      <c r="AM698">
        <v>0</v>
      </c>
      <c r="AN698">
        <v>0</v>
      </c>
      <c r="AO698">
        <f t="shared" si="347"/>
        <v>0</v>
      </c>
      <c r="AP698">
        <f t="shared" si="356"/>
        <v>0</v>
      </c>
      <c r="AQ698" t="e">
        <f t="shared" ca="1" si="348"/>
        <v>#VALUE!</v>
      </c>
      <c r="AR698" t="e">
        <f t="shared" ca="1" si="349"/>
        <v>#VALUE!</v>
      </c>
      <c r="AS698" t="e">
        <f t="shared" ca="1" si="350"/>
        <v>#VALUE!</v>
      </c>
    </row>
    <row r="699" spans="1:45" x14ac:dyDescent="0.35">
      <c r="A699">
        <v>550</v>
      </c>
      <c r="B699">
        <v>548.89499999999998</v>
      </c>
      <c r="C699">
        <v>616181.13399999996</v>
      </c>
      <c r="D699">
        <v>3097433.5950000002</v>
      </c>
      <c r="E699">
        <v>632.28750000000002</v>
      </c>
      <c r="F699">
        <v>5.2</v>
      </c>
      <c r="G699">
        <v>0</v>
      </c>
      <c r="H699" t="s">
        <v>191</v>
      </c>
      <c r="I699">
        <v>2.7E-2</v>
      </c>
      <c r="J699">
        <f t="shared" si="351"/>
        <v>1</v>
      </c>
      <c r="K699">
        <f t="shared" si="352"/>
        <v>51</v>
      </c>
      <c r="L699" t="e">
        <f t="shared" ca="1" si="353"/>
        <v>#VALUE!</v>
      </c>
      <c r="M699" t="e">
        <f t="shared" ca="1" si="326"/>
        <v>#VALUE!</v>
      </c>
      <c r="N699" t="e">
        <f t="shared" ca="1" si="327"/>
        <v>#VALUE!</v>
      </c>
      <c r="O699" t="e">
        <f t="shared" ca="1" si="328"/>
        <v>#VALUE!</v>
      </c>
      <c r="P699" t="e">
        <f t="shared" ca="1" si="329"/>
        <v>#VALUE!</v>
      </c>
      <c r="Q699" t="e">
        <f t="shared" ca="1" si="330"/>
        <v>#VALUE!</v>
      </c>
      <c r="R699" t="e">
        <f t="shared" ca="1" si="331"/>
        <v>#VALUE!</v>
      </c>
      <c r="S699" t="e">
        <f t="shared" ca="1" si="332"/>
        <v>#VALUE!</v>
      </c>
      <c r="T699" t="e">
        <f t="shared" ca="1" si="333"/>
        <v>#VALUE!</v>
      </c>
      <c r="U699" t="e">
        <f t="shared" ca="1" si="354"/>
        <v>#VALUE!</v>
      </c>
      <c r="V699" t="e">
        <f t="shared" ca="1" si="355"/>
        <v>#VALUE!</v>
      </c>
      <c r="W699" t="e">
        <f t="shared" ca="1" si="334"/>
        <v>#VALUE!</v>
      </c>
      <c r="X699" t="e">
        <f t="shared" ca="1" si="335"/>
        <v>#VALUE!</v>
      </c>
      <c r="Y699" t="e">
        <f t="shared" ca="1" si="336"/>
        <v>#VALUE!</v>
      </c>
      <c r="Z699" t="e">
        <f t="shared" ca="1" si="337"/>
        <v>#VALUE!</v>
      </c>
      <c r="AA699" t="e">
        <f t="shared" ca="1" si="338"/>
        <v>#VALUE!</v>
      </c>
      <c r="AB699" t="e">
        <f t="shared" ca="1" si="339"/>
        <v>#VALUE!</v>
      </c>
      <c r="AC699" t="e">
        <f t="shared" ca="1" si="340"/>
        <v>#VALUE!</v>
      </c>
      <c r="AD699" t="e">
        <f t="shared" ca="1" si="341"/>
        <v>#VALUE!</v>
      </c>
      <c r="AE699" t="e">
        <f t="shared" ca="1" si="342"/>
        <v>#VALUE!</v>
      </c>
      <c r="AF699" t="e">
        <f t="shared" ca="1" si="343"/>
        <v>#VALUE!</v>
      </c>
      <c r="AG699" t="e">
        <f t="shared" ca="1" si="344"/>
        <v>#VALUE!</v>
      </c>
      <c r="AH699" t="e">
        <f ca="1">IF(V32="Supercritical",L699,IF(V32="Subcritical",W699,IF(AND(V699=1,AG699=1),IF(T699&gt;=AE699,L699,W699),IF(V699=1,L699,IF(AG699=1,W699,MAX($D$16,POWER((ABS(K699)^2)/($I$5*MAX(F699,0.1)^2),1/3)))))))</f>
        <v>#VALUE!</v>
      </c>
      <c r="AI699" t="e">
        <f t="shared" ca="1" si="345"/>
        <v>#VALUE!</v>
      </c>
      <c r="AJ699" t="e">
        <f t="shared" ca="1" si="346"/>
        <v>#VALUE!</v>
      </c>
      <c r="AM699">
        <v>0</v>
      </c>
      <c r="AN699">
        <v>0</v>
      </c>
      <c r="AO699">
        <f t="shared" si="347"/>
        <v>0</v>
      </c>
      <c r="AP699">
        <f t="shared" si="356"/>
        <v>0</v>
      </c>
      <c r="AQ699" t="e">
        <f t="shared" ca="1" si="348"/>
        <v>#VALUE!</v>
      </c>
      <c r="AR699" t="e">
        <f t="shared" ca="1" si="349"/>
        <v>#VALUE!</v>
      </c>
      <c r="AS699" t="e">
        <f t="shared" ca="1" si="350"/>
        <v>#VALUE!</v>
      </c>
    </row>
    <row r="700" spans="1:45" x14ac:dyDescent="0.35">
      <c r="A700">
        <v>551</v>
      </c>
      <c r="B700">
        <v>549.89499999999998</v>
      </c>
      <c r="C700">
        <v>616180.66</v>
      </c>
      <c r="D700">
        <v>3097432.7140000002</v>
      </c>
      <c r="E700">
        <v>632.28700000000003</v>
      </c>
      <c r="F700">
        <v>5.2</v>
      </c>
      <c r="G700">
        <v>0</v>
      </c>
      <c r="H700" t="s">
        <v>191</v>
      </c>
      <c r="I700">
        <v>7.8E-2</v>
      </c>
      <c r="J700">
        <f t="shared" si="351"/>
        <v>1</v>
      </c>
      <c r="K700">
        <f t="shared" si="352"/>
        <v>51</v>
      </c>
      <c r="L700" t="e">
        <f t="shared" ca="1" si="353"/>
        <v>#VALUE!</v>
      </c>
      <c r="M700" t="e">
        <f t="shared" ca="1" si="326"/>
        <v>#VALUE!</v>
      </c>
      <c r="N700" t="e">
        <f t="shared" ca="1" si="327"/>
        <v>#VALUE!</v>
      </c>
      <c r="O700" t="e">
        <f t="shared" ca="1" si="328"/>
        <v>#VALUE!</v>
      </c>
      <c r="P700" t="e">
        <f t="shared" ca="1" si="329"/>
        <v>#VALUE!</v>
      </c>
      <c r="Q700" t="e">
        <f t="shared" ca="1" si="330"/>
        <v>#VALUE!</v>
      </c>
      <c r="R700" t="e">
        <f t="shared" ca="1" si="331"/>
        <v>#VALUE!</v>
      </c>
      <c r="S700" t="e">
        <f t="shared" ca="1" si="332"/>
        <v>#VALUE!</v>
      </c>
      <c r="T700" t="e">
        <f t="shared" ca="1" si="333"/>
        <v>#VALUE!</v>
      </c>
      <c r="U700" t="e">
        <f t="shared" ca="1" si="354"/>
        <v>#VALUE!</v>
      </c>
      <c r="V700" t="e">
        <f t="shared" ca="1" si="355"/>
        <v>#VALUE!</v>
      </c>
      <c r="W700" t="e">
        <f t="shared" ca="1" si="334"/>
        <v>#VALUE!</v>
      </c>
      <c r="X700" t="e">
        <f t="shared" ca="1" si="335"/>
        <v>#VALUE!</v>
      </c>
      <c r="Y700" t="e">
        <f t="shared" ca="1" si="336"/>
        <v>#VALUE!</v>
      </c>
      <c r="Z700" t="e">
        <f t="shared" ca="1" si="337"/>
        <v>#VALUE!</v>
      </c>
      <c r="AA700" t="e">
        <f t="shared" ca="1" si="338"/>
        <v>#VALUE!</v>
      </c>
      <c r="AB700" t="e">
        <f t="shared" ca="1" si="339"/>
        <v>#VALUE!</v>
      </c>
      <c r="AC700" t="e">
        <f t="shared" ca="1" si="340"/>
        <v>#VALUE!</v>
      </c>
      <c r="AD700" t="e">
        <f t="shared" ca="1" si="341"/>
        <v>#VALUE!</v>
      </c>
      <c r="AE700" t="e">
        <f t="shared" ca="1" si="342"/>
        <v>#VALUE!</v>
      </c>
      <c r="AF700" t="e">
        <f t="shared" ca="1" si="343"/>
        <v>#VALUE!</v>
      </c>
      <c r="AG700" t="e">
        <f t="shared" ca="1" si="344"/>
        <v>#VALUE!</v>
      </c>
      <c r="AH700" t="e">
        <f ca="1">IF(V32="Supercritical",L700,IF(V32="Subcritical",W700,IF(AND(V700=1,AG700=1),IF(T700&gt;=AE700,L700,W700),IF(V700=1,L700,IF(AG700=1,W700,MAX($D$16,POWER((ABS(K700)^2)/($I$5*MAX(F700,0.1)^2),1/3)))))))</f>
        <v>#VALUE!</v>
      </c>
      <c r="AI700" t="e">
        <f t="shared" ca="1" si="345"/>
        <v>#VALUE!</v>
      </c>
      <c r="AJ700" t="e">
        <f t="shared" ca="1" si="346"/>
        <v>#VALUE!</v>
      </c>
      <c r="AM700">
        <v>0</v>
      </c>
      <c r="AN700">
        <v>0</v>
      </c>
      <c r="AO700">
        <f t="shared" si="347"/>
        <v>0</v>
      </c>
      <c r="AP700">
        <f t="shared" si="356"/>
        <v>0</v>
      </c>
      <c r="AQ700" t="e">
        <f t="shared" ca="1" si="348"/>
        <v>#VALUE!</v>
      </c>
      <c r="AR700" t="e">
        <f t="shared" ca="1" si="349"/>
        <v>#VALUE!</v>
      </c>
      <c r="AS700" t="e">
        <f t="shared" ca="1" si="350"/>
        <v>#VALUE!</v>
      </c>
    </row>
    <row r="701" spans="1:45" x14ac:dyDescent="0.35">
      <c r="A701">
        <v>552</v>
      </c>
      <c r="B701">
        <v>550.89499999999998</v>
      </c>
      <c r="C701">
        <v>616180.18500000006</v>
      </c>
      <c r="D701">
        <v>3097431.8339999998</v>
      </c>
      <c r="E701">
        <v>632.28650000000005</v>
      </c>
      <c r="F701">
        <v>5.2</v>
      </c>
      <c r="G701">
        <v>0</v>
      </c>
      <c r="H701" t="s">
        <v>191</v>
      </c>
      <c r="I701">
        <v>7.8E-2</v>
      </c>
      <c r="J701">
        <f t="shared" si="351"/>
        <v>1</v>
      </c>
      <c r="K701">
        <f t="shared" si="352"/>
        <v>51</v>
      </c>
      <c r="L701" t="e">
        <f t="shared" ca="1" si="353"/>
        <v>#VALUE!</v>
      </c>
      <c r="M701" t="e">
        <f t="shared" ca="1" si="326"/>
        <v>#VALUE!</v>
      </c>
      <c r="N701" t="e">
        <f t="shared" ca="1" si="327"/>
        <v>#VALUE!</v>
      </c>
      <c r="O701" t="e">
        <f t="shared" ca="1" si="328"/>
        <v>#VALUE!</v>
      </c>
      <c r="P701" t="e">
        <f t="shared" ca="1" si="329"/>
        <v>#VALUE!</v>
      </c>
      <c r="Q701" t="e">
        <f t="shared" ca="1" si="330"/>
        <v>#VALUE!</v>
      </c>
      <c r="R701" t="e">
        <f t="shared" ca="1" si="331"/>
        <v>#VALUE!</v>
      </c>
      <c r="S701" t="e">
        <f t="shared" ca="1" si="332"/>
        <v>#VALUE!</v>
      </c>
      <c r="T701" t="e">
        <f t="shared" ca="1" si="333"/>
        <v>#VALUE!</v>
      </c>
      <c r="U701" t="e">
        <f t="shared" ca="1" si="354"/>
        <v>#VALUE!</v>
      </c>
      <c r="V701" t="e">
        <f t="shared" ca="1" si="355"/>
        <v>#VALUE!</v>
      </c>
      <c r="W701" t="e">
        <f t="shared" ca="1" si="334"/>
        <v>#VALUE!</v>
      </c>
      <c r="X701" t="e">
        <f t="shared" ca="1" si="335"/>
        <v>#VALUE!</v>
      </c>
      <c r="Y701" t="e">
        <f t="shared" ca="1" si="336"/>
        <v>#VALUE!</v>
      </c>
      <c r="Z701" t="e">
        <f t="shared" ca="1" si="337"/>
        <v>#VALUE!</v>
      </c>
      <c r="AA701" t="e">
        <f t="shared" ca="1" si="338"/>
        <v>#VALUE!</v>
      </c>
      <c r="AB701" t="e">
        <f t="shared" ca="1" si="339"/>
        <v>#VALUE!</v>
      </c>
      <c r="AC701" t="e">
        <f t="shared" ca="1" si="340"/>
        <v>#VALUE!</v>
      </c>
      <c r="AD701" t="e">
        <f t="shared" ca="1" si="341"/>
        <v>#VALUE!</v>
      </c>
      <c r="AE701" t="e">
        <f t="shared" ca="1" si="342"/>
        <v>#VALUE!</v>
      </c>
      <c r="AF701" t="e">
        <f t="shared" ca="1" si="343"/>
        <v>#VALUE!</v>
      </c>
      <c r="AG701" t="e">
        <f t="shared" ca="1" si="344"/>
        <v>#VALUE!</v>
      </c>
      <c r="AH701" t="e">
        <f ca="1">IF(V32="Supercritical",L701,IF(V32="Subcritical",W701,IF(AND(V701=1,AG701=1),IF(T701&gt;=AE701,L701,W701),IF(V701=1,L701,IF(AG701=1,W701,MAX($D$16,POWER((ABS(K701)^2)/($I$5*MAX(F701,0.1)^2),1/3)))))))</f>
        <v>#VALUE!</v>
      </c>
      <c r="AI701" t="e">
        <f t="shared" ca="1" si="345"/>
        <v>#VALUE!</v>
      </c>
      <c r="AJ701" t="e">
        <f t="shared" ca="1" si="346"/>
        <v>#VALUE!</v>
      </c>
      <c r="AM701">
        <v>0</v>
      </c>
      <c r="AN701">
        <v>0</v>
      </c>
      <c r="AO701">
        <f t="shared" si="347"/>
        <v>0</v>
      </c>
      <c r="AP701">
        <f t="shared" si="356"/>
        <v>0</v>
      </c>
      <c r="AQ701" t="e">
        <f t="shared" ca="1" si="348"/>
        <v>#VALUE!</v>
      </c>
      <c r="AR701" t="e">
        <f t="shared" ca="1" si="349"/>
        <v>#VALUE!</v>
      </c>
      <c r="AS701" t="e">
        <f t="shared" ca="1" si="350"/>
        <v>#VALUE!</v>
      </c>
    </row>
    <row r="702" spans="1:45" x14ac:dyDescent="0.35">
      <c r="A702">
        <v>553</v>
      </c>
      <c r="B702">
        <v>551.89599999999996</v>
      </c>
      <c r="C702">
        <v>616179.71100000001</v>
      </c>
      <c r="D702">
        <v>3097430.9530000002</v>
      </c>
      <c r="E702">
        <v>632.28599999999994</v>
      </c>
      <c r="F702">
        <v>5.2</v>
      </c>
      <c r="G702">
        <v>0</v>
      </c>
      <c r="H702" t="s">
        <v>191</v>
      </c>
      <c r="I702">
        <v>2.7E-2</v>
      </c>
      <c r="J702">
        <f t="shared" si="351"/>
        <v>1.0009999999999764</v>
      </c>
      <c r="K702">
        <f t="shared" si="352"/>
        <v>51</v>
      </c>
      <c r="L702" t="e">
        <f t="shared" ca="1" si="353"/>
        <v>#VALUE!</v>
      </c>
      <c r="M702" t="e">
        <f t="shared" ca="1" si="326"/>
        <v>#VALUE!</v>
      </c>
      <c r="N702" t="e">
        <f t="shared" ca="1" si="327"/>
        <v>#VALUE!</v>
      </c>
      <c r="O702" t="e">
        <f t="shared" ca="1" si="328"/>
        <v>#VALUE!</v>
      </c>
      <c r="P702" t="e">
        <f t="shared" ca="1" si="329"/>
        <v>#VALUE!</v>
      </c>
      <c r="Q702" t="e">
        <f t="shared" ca="1" si="330"/>
        <v>#VALUE!</v>
      </c>
      <c r="R702" t="e">
        <f t="shared" ca="1" si="331"/>
        <v>#VALUE!</v>
      </c>
      <c r="S702" t="e">
        <f t="shared" ca="1" si="332"/>
        <v>#VALUE!</v>
      </c>
      <c r="T702" t="e">
        <f t="shared" ca="1" si="333"/>
        <v>#VALUE!</v>
      </c>
      <c r="U702" t="e">
        <f t="shared" ca="1" si="354"/>
        <v>#VALUE!</v>
      </c>
      <c r="V702" t="e">
        <f t="shared" ca="1" si="355"/>
        <v>#VALUE!</v>
      </c>
      <c r="W702" t="e">
        <f t="shared" ca="1" si="334"/>
        <v>#VALUE!</v>
      </c>
      <c r="X702" t="e">
        <f t="shared" ca="1" si="335"/>
        <v>#VALUE!</v>
      </c>
      <c r="Y702" t="e">
        <f t="shared" ca="1" si="336"/>
        <v>#VALUE!</v>
      </c>
      <c r="Z702" t="e">
        <f t="shared" ca="1" si="337"/>
        <v>#VALUE!</v>
      </c>
      <c r="AA702" t="e">
        <f t="shared" ca="1" si="338"/>
        <v>#VALUE!</v>
      </c>
      <c r="AB702" t="e">
        <f t="shared" ca="1" si="339"/>
        <v>#VALUE!</v>
      </c>
      <c r="AC702" t="e">
        <f t="shared" ca="1" si="340"/>
        <v>#VALUE!</v>
      </c>
      <c r="AD702" t="e">
        <f t="shared" ca="1" si="341"/>
        <v>#VALUE!</v>
      </c>
      <c r="AE702" t="e">
        <f t="shared" ca="1" si="342"/>
        <v>#VALUE!</v>
      </c>
      <c r="AF702" t="e">
        <f t="shared" ca="1" si="343"/>
        <v>#VALUE!</v>
      </c>
      <c r="AG702" t="e">
        <f t="shared" ca="1" si="344"/>
        <v>#VALUE!</v>
      </c>
      <c r="AH702" t="e">
        <f ca="1">IF(V32="Supercritical",L702,IF(V32="Subcritical",W702,IF(AND(V702=1,AG702=1),IF(T702&gt;=AE702,L702,W702),IF(V702=1,L702,IF(AG702=1,W702,MAX($D$16,POWER((ABS(K702)^2)/($I$5*MAX(F702,0.1)^2),1/3)))))))</f>
        <v>#VALUE!</v>
      </c>
      <c r="AI702" t="e">
        <f t="shared" ca="1" si="345"/>
        <v>#VALUE!</v>
      </c>
      <c r="AJ702" t="e">
        <f t="shared" ca="1" si="346"/>
        <v>#VALUE!</v>
      </c>
      <c r="AM702">
        <v>0</v>
      </c>
      <c r="AN702">
        <v>0</v>
      </c>
      <c r="AO702">
        <f t="shared" si="347"/>
        <v>0</v>
      </c>
      <c r="AP702">
        <f t="shared" si="356"/>
        <v>0</v>
      </c>
      <c r="AQ702" t="e">
        <f t="shared" ca="1" si="348"/>
        <v>#VALUE!</v>
      </c>
      <c r="AR702" t="e">
        <f t="shared" ca="1" si="349"/>
        <v>#VALUE!</v>
      </c>
      <c r="AS702" t="e">
        <f t="shared" ca="1" si="350"/>
        <v>#VALUE!</v>
      </c>
    </row>
    <row r="703" spans="1:45" x14ac:dyDescent="0.35">
      <c r="A703">
        <v>554</v>
      </c>
      <c r="B703">
        <v>552.89499999999998</v>
      </c>
      <c r="C703">
        <v>616179.23699999996</v>
      </c>
      <c r="D703">
        <v>3097430.0729999999</v>
      </c>
      <c r="E703">
        <v>632.28549999999996</v>
      </c>
      <c r="F703">
        <v>5.2</v>
      </c>
      <c r="G703">
        <v>0</v>
      </c>
      <c r="H703" t="s">
        <v>191</v>
      </c>
      <c r="I703">
        <v>0</v>
      </c>
      <c r="J703">
        <f t="shared" si="351"/>
        <v>0.99900000000002365</v>
      </c>
      <c r="K703">
        <f t="shared" si="352"/>
        <v>51</v>
      </c>
      <c r="L703" t="e">
        <f t="shared" ca="1" si="353"/>
        <v>#VALUE!</v>
      </c>
      <c r="M703" t="e">
        <f t="shared" ca="1" si="326"/>
        <v>#VALUE!</v>
      </c>
      <c r="N703" t="e">
        <f t="shared" ca="1" si="327"/>
        <v>#VALUE!</v>
      </c>
      <c r="O703" t="e">
        <f t="shared" ca="1" si="328"/>
        <v>#VALUE!</v>
      </c>
      <c r="P703" t="e">
        <f t="shared" ca="1" si="329"/>
        <v>#VALUE!</v>
      </c>
      <c r="Q703" t="e">
        <f t="shared" ca="1" si="330"/>
        <v>#VALUE!</v>
      </c>
      <c r="R703" t="e">
        <f t="shared" ca="1" si="331"/>
        <v>#VALUE!</v>
      </c>
      <c r="S703" t="e">
        <f t="shared" ca="1" si="332"/>
        <v>#VALUE!</v>
      </c>
      <c r="T703" t="e">
        <f t="shared" ca="1" si="333"/>
        <v>#VALUE!</v>
      </c>
      <c r="U703" t="e">
        <f t="shared" ca="1" si="354"/>
        <v>#VALUE!</v>
      </c>
      <c r="V703" t="e">
        <f t="shared" ca="1" si="355"/>
        <v>#VALUE!</v>
      </c>
      <c r="W703" t="e">
        <f t="shared" ca="1" si="334"/>
        <v>#VALUE!</v>
      </c>
      <c r="X703" t="e">
        <f t="shared" ca="1" si="335"/>
        <v>#VALUE!</v>
      </c>
      <c r="Y703" t="e">
        <f t="shared" ca="1" si="336"/>
        <v>#VALUE!</v>
      </c>
      <c r="Z703" t="e">
        <f t="shared" ca="1" si="337"/>
        <v>#VALUE!</v>
      </c>
      <c r="AA703" t="e">
        <f t="shared" ca="1" si="338"/>
        <v>#VALUE!</v>
      </c>
      <c r="AB703" t="e">
        <f t="shared" ca="1" si="339"/>
        <v>#VALUE!</v>
      </c>
      <c r="AC703" t="e">
        <f t="shared" ca="1" si="340"/>
        <v>#VALUE!</v>
      </c>
      <c r="AD703" t="e">
        <f t="shared" ca="1" si="341"/>
        <v>#VALUE!</v>
      </c>
      <c r="AE703" t="e">
        <f t="shared" ca="1" si="342"/>
        <v>#VALUE!</v>
      </c>
      <c r="AF703" t="e">
        <f t="shared" ca="1" si="343"/>
        <v>#VALUE!</v>
      </c>
      <c r="AG703" t="e">
        <f t="shared" ca="1" si="344"/>
        <v>#VALUE!</v>
      </c>
      <c r="AH703" t="e">
        <f ca="1">IF(V32="Supercritical",L703,IF(V32="Subcritical",W703,IF(AND(V703=1,AG703=1),IF(T703&gt;=AE703,L703,W703),IF(V703=1,L703,IF(AG703=1,W703,MAX($D$16,POWER((ABS(K703)^2)/($I$5*MAX(F703,0.1)^2),1/3)))))))</f>
        <v>#VALUE!</v>
      </c>
      <c r="AI703" t="e">
        <f t="shared" ca="1" si="345"/>
        <v>#VALUE!</v>
      </c>
      <c r="AJ703" t="e">
        <f t="shared" ca="1" si="346"/>
        <v>#VALUE!</v>
      </c>
      <c r="AM703">
        <v>0</v>
      </c>
      <c r="AN703">
        <v>0</v>
      </c>
      <c r="AO703">
        <f t="shared" si="347"/>
        <v>0</v>
      </c>
      <c r="AP703">
        <f t="shared" si="356"/>
        <v>0</v>
      </c>
      <c r="AQ703" t="e">
        <f t="shared" ca="1" si="348"/>
        <v>#VALUE!</v>
      </c>
      <c r="AR703" t="e">
        <f t="shared" ca="1" si="349"/>
        <v>#VALUE!</v>
      </c>
      <c r="AS703" t="e">
        <f t="shared" ca="1" si="350"/>
        <v>#VALUE!</v>
      </c>
    </row>
    <row r="704" spans="1:45" x14ac:dyDescent="0.35">
      <c r="A704">
        <v>555</v>
      </c>
      <c r="B704">
        <v>553.89499999999998</v>
      </c>
      <c r="C704">
        <v>616178.76300000004</v>
      </c>
      <c r="D704">
        <v>3097429.193</v>
      </c>
      <c r="E704">
        <v>632.28499999999997</v>
      </c>
      <c r="F704">
        <v>5.2</v>
      </c>
      <c r="G704">
        <v>0</v>
      </c>
      <c r="H704" t="s">
        <v>191</v>
      </c>
      <c r="I704">
        <v>2.3E-2</v>
      </c>
      <c r="J704">
        <f t="shared" si="351"/>
        <v>1</v>
      </c>
      <c r="K704">
        <f t="shared" si="352"/>
        <v>51</v>
      </c>
      <c r="L704" t="e">
        <f t="shared" ca="1" si="353"/>
        <v>#VALUE!</v>
      </c>
      <c r="M704" t="e">
        <f t="shared" ca="1" si="326"/>
        <v>#VALUE!</v>
      </c>
      <c r="N704" t="e">
        <f t="shared" ca="1" si="327"/>
        <v>#VALUE!</v>
      </c>
      <c r="O704" t="e">
        <f t="shared" ca="1" si="328"/>
        <v>#VALUE!</v>
      </c>
      <c r="P704" t="e">
        <f t="shared" ca="1" si="329"/>
        <v>#VALUE!</v>
      </c>
      <c r="Q704" t="e">
        <f t="shared" ca="1" si="330"/>
        <v>#VALUE!</v>
      </c>
      <c r="R704" t="e">
        <f t="shared" ca="1" si="331"/>
        <v>#VALUE!</v>
      </c>
      <c r="S704" t="e">
        <f t="shared" ca="1" si="332"/>
        <v>#VALUE!</v>
      </c>
      <c r="T704" t="e">
        <f t="shared" ca="1" si="333"/>
        <v>#VALUE!</v>
      </c>
      <c r="U704" t="e">
        <f t="shared" ca="1" si="354"/>
        <v>#VALUE!</v>
      </c>
      <c r="V704" t="e">
        <f t="shared" ca="1" si="355"/>
        <v>#VALUE!</v>
      </c>
      <c r="W704" t="e">
        <f t="shared" ca="1" si="334"/>
        <v>#VALUE!</v>
      </c>
      <c r="X704" t="e">
        <f t="shared" ca="1" si="335"/>
        <v>#VALUE!</v>
      </c>
      <c r="Y704" t="e">
        <f t="shared" ca="1" si="336"/>
        <v>#VALUE!</v>
      </c>
      <c r="Z704" t="e">
        <f t="shared" ca="1" si="337"/>
        <v>#VALUE!</v>
      </c>
      <c r="AA704" t="e">
        <f t="shared" ca="1" si="338"/>
        <v>#VALUE!</v>
      </c>
      <c r="AB704" t="e">
        <f t="shared" ca="1" si="339"/>
        <v>#VALUE!</v>
      </c>
      <c r="AC704" t="e">
        <f t="shared" ca="1" si="340"/>
        <v>#VALUE!</v>
      </c>
      <c r="AD704" t="e">
        <f t="shared" ca="1" si="341"/>
        <v>#VALUE!</v>
      </c>
      <c r="AE704" t="e">
        <f t="shared" ca="1" si="342"/>
        <v>#VALUE!</v>
      </c>
      <c r="AF704" t="e">
        <f t="shared" ca="1" si="343"/>
        <v>#VALUE!</v>
      </c>
      <c r="AG704" t="e">
        <f t="shared" ca="1" si="344"/>
        <v>#VALUE!</v>
      </c>
      <c r="AH704" t="e">
        <f ca="1">IF(V32="Supercritical",L704,IF(V32="Subcritical",W704,IF(AND(V704=1,AG704=1),IF(T704&gt;=AE704,L704,W704),IF(V704=1,L704,IF(AG704=1,W704,MAX($D$16,POWER((ABS(K704)^2)/($I$5*MAX(F704,0.1)^2),1/3)))))))</f>
        <v>#VALUE!</v>
      </c>
      <c r="AI704" t="e">
        <f t="shared" ca="1" si="345"/>
        <v>#VALUE!</v>
      </c>
      <c r="AJ704" t="e">
        <f t="shared" ca="1" si="346"/>
        <v>#VALUE!</v>
      </c>
      <c r="AM704">
        <v>0</v>
      </c>
      <c r="AN704">
        <v>0</v>
      </c>
      <c r="AO704">
        <f t="shared" si="347"/>
        <v>0</v>
      </c>
      <c r="AP704">
        <f t="shared" si="356"/>
        <v>0</v>
      </c>
      <c r="AQ704" t="e">
        <f t="shared" ca="1" si="348"/>
        <v>#VALUE!</v>
      </c>
      <c r="AR704" t="e">
        <f t="shared" ca="1" si="349"/>
        <v>#VALUE!</v>
      </c>
      <c r="AS704" t="e">
        <f t="shared" ca="1" si="350"/>
        <v>#VALUE!</v>
      </c>
    </row>
    <row r="705" spans="1:45" x14ac:dyDescent="0.35">
      <c r="A705">
        <v>556</v>
      </c>
      <c r="B705">
        <v>554.89599999999996</v>
      </c>
      <c r="C705">
        <v>616178.28799999994</v>
      </c>
      <c r="D705">
        <v>3097428.3119999999</v>
      </c>
      <c r="E705">
        <v>632.28449999999998</v>
      </c>
      <c r="F705">
        <v>5.2</v>
      </c>
      <c r="G705">
        <v>0</v>
      </c>
      <c r="H705" t="s">
        <v>191</v>
      </c>
      <c r="I705">
        <v>2.3E-2</v>
      </c>
      <c r="J705">
        <f t="shared" si="351"/>
        <v>1.0009999999999764</v>
      </c>
      <c r="K705">
        <f t="shared" si="352"/>
        <v>51</v>
      </c>
      <c r="L705" t="e">
        <f t="shared" ca="1" si="353"/>
        <v>#VALUE!</v>
      </c>
      <c r="M705" t="e">
        <f t="shared" ca="1" si="326"/>
        <v>#VALUE!</v>
      </c>
      <c r="N705" t="e">
        <f t="shared" ca="1" si="327"/>
        <v>#VALUE!</v>
      </c>
      <c r="O705" t="e">
        <f t="shared" ca="1" si="328"/>
        <v>#VALUE!</v>
      </c>
      <c r="P705" t="e">
        <f t="shared" ca="1" si="329"/>
        <v>#VALUE!</v>
      </c>
      <c r="Q705" t="e">
        <f t="shared" ca="1" si="330"/>
        <v>#VALUE!</v>
      </c>
      <c r="R705" t="e">
        <f t="shared" ca="1" si="331"/>
        <v>#VALUE!</v>
      </c>
      <c r="S705" t="e">
        <f t="shared" ca="1" si="332"/>
        <v>#VALUE!</v>
      </c>
      <c r="T705" t="e">
        <f t="shared" ca="1" si="333"/>
        <v>#VALUE!</v>
      </c>
      <c r="U705" t="e">
        <f t="shared" ca="1" si="354"/>
        <v>#VALUE!</v>
      </c>
      <c r="V705" t="e">
        <f t="shared" ca="1" si="355"/>
        <v>#VALUE!</v>
      </c>
      <c r="W705" t="e">
        <f t="shared" ca="1" si="334"/>
        <v>#VALUE!</v>
      </c>
      <c r="X705" t="e">
        <f t="shared" ca="1" si="335"/>
        <v>#VALUE!</v>
      </c>
      <c r="Y705" t="e">
        <f t="shared" ca="1" si="336"/>
        <v>#VALUE!</v>
      </c>
      <c r="Z705" t="e">
        <f t="shared" ca="1" si="337"/>
        <v>#VALUE!</v>
      </c>
      <c r="AA705" t="e">
        <f t="shared" ca="1" si="338"/>
        <v>#VALUE!</v>
      </c>
      <c r="AB705" t="e">
        <f t="shared" ca="1" si="339"/>
        <v>#VALUE!</v>
      </c>
      <c r="AC705" t="e">
        <f t="shared" ca="1" si="340"/>
        <v>#VALUE!</v>
      </c>
      <c r="AD705" t="e">
        <f t="shared" ca="1" si="341"/>
        <v>#VALUE!</v>
      </c>
      <c r="AE705" t="e">
        <f t="shared" ca="1" si="342"/>
        <v>#VALUE!</v>
      </c>
      <c r="AF705" t="e">
        <f t="shared" ca="1" si="343"/>
        <v>#VALUE!</v>
      </c>
      <c r="AG705" t="e">
        <f t="shared" ca="1" si="344"/>
        <v>#VALUE!</v>
      </c>
      <c r="AH705" t="e">
        <f ca="1">IF(V32="Supercritical",L705,IF(V32="Subcritical",W705,IF(AND(V705=1,AG705=1),IF(T705&gt;=AE705,L705,W705),IF(V705=1,L705,IF(AG705=1,W705,MAX($D$16,POWER((ABS(K705)^2)/($I$5*MAX(F705,0.1)^2),1/3)))))))</f>
        <v>#VALUE!</v>
      </c>
      <c r="AI705" t="e">
        <f t="shared" ca="1" si="345"/>
        <v>#VALUE!</v>
      </c>
      <c r="AJ705" t="e">
        <f t="shared" ca="1" si="346"/>
        <v>#VALUE!</v>
      </c>
      <c r="AM705">
        <v>0</v>
      </c>
      <c r="AN705">
        <v>0</v>
      </c>
      <c r="AO705">
        <f t="shared" si="347"/>
        <v>0</v>
      </c>
      <c r="AP705">
        <f t="shared" si="356"/>
        <v>0</v>
      </c>
      <c r="AQ705" t="e">
        <f t="shared" ca="1" si="348"/>
        <v>#VALUE!</v>
      </c>
      <c r="AR705" t="e">
        <f t="shared" ca="1" si="349"/>
        <v>#VALUE!</v>
      </c>
      <c r="AS705" t="e">
        <f t="shared" ca="1" si="350"/>
        <v>#VALUE!</v>
      </c>
    </row>
    <row r="706" spans="1:45" x14ac:dyDescent="0.35">
      <c r="A706">
        <v>557</v>
      </c>
      <c r="B706">
        <v>555.89499999999998</v>
      </c>
      <c r="C706">
        <v>616177.81400000001</v>
      </c>
      <c r="D706">
        <v>3097427.432</v>
      </c>
      <c r="E706">
        <v>632.28399999999999</v>
      </c>
      <c r="F706">
        <v>5.2</v>
      </c>
      <c r="G706">
        <v>0</v>
      </c>
      <c r="H706" t="s">
        <v>191</v>
      </c>
      <c r="I706">
        <v>2.7E-2</v>
      </c>
      <c r="J706">
        <f t="shared" si="351"/>
        <v>0.99900000000002365</v>
      </c>
      <c r="K706">
        <f t="shared" si="352"/>
        <v>51</v>
      </c>
      <c r="L706" t="e">
        <f t="shared" ca="1" si="353"/>
        <v>#VALUE!</v>
      </c>
      <c r="M706" t="e">
        <f t="shared" ca="1" si="326"/>
        <v>#VALUE!</v>
      </c>
      <c r="N706" t="e">
        <f t="shared" ca="1" si="327"/>
        <v>#VALUE!</v>
      </c>
      <c r="O706" t="e">
        <f t="shared" ca="1" si="328"/>
        <v>#VALUE!</v>
      </c>
      <c r="P706" t="e">
        <f t="shared" ca="1" si="329"/>
        <v>#VALUE!</v>
      </c>
      <c r="Q706" t="e">
        <f t="shared" ca="1" si="330"/>
        <v>#VALUE!</v>
      </c>
      <c r="R706" t="e">
        <f t="shared" ca="1" si="331"/>
        <v>#VALUE!</v>
      </c>
      <c r="S706" t="e">
        <f t="shared" ca="1" si="332"/>
        <v>#VALUE!</v>
      </c>
      <c r="T706" t="e">
        <f t="shared" ca="1" si="333"/>
        <v>#VALUE!</v>
      </c>
      <c r="U706" t="e">
        <f t="shared" ca="1" si="354"/>
        <v>#VALUE!</v>
      </c>
      <c r="V706" t="e">
        <f t="shared" ca="1" si="355"/>
        <v>#VALUE!</v>
      </c>
      <c r="W706" t="e">
        <f t="shared" ca="1" si="334"/>
        <v>#VALUE!</v>
      </c>
      <c r="X706" t="e">
        <f t="shared" ca="1" si="335"/>
        <v>#VALUE!</v>
      </c>
      <c r="Y706" t="e">
        <f t="shared" ca="1" si="336"/>
        <v>#VALUE!</v>
      </c>
      <c r="Z706" t="e">
        <f t="shared" ca="1" si="337"/>
        <v>#VALUE!</v>
      </c>
      <c r="AA706" t="e">
        <f t="shared" ca="1" si="338"/>
        <v>#VALUE!</v>
      </c>
      <c r="AB706" t="e">
        <f t="shared" ca="1" si="339"/>
        <v>#VALUE!</v>
      </c>
      <c r="AC706" t="e">
        <f t="shared" ca="1" si="340"/>
        <v>#VALUE!</v>
      </c>
      <c r="AD706" t="e">
        <f t="shared" ca="1" si="341"/>
        <v>#VALUE!</v>
      </c>
      <c r="AE706" t="e">
        <f t="shared" ca="1" si="342"/>
        <v>#VALUE!</v>
      </c>
      <c r="AF706" t="e">
        <f t="shared" ca="1" si="343"/>
        <v>#VALUE!</v>
      </c>
      <c r="AG706" t="e">
        <f t="shared" ca="1" si="344"/>
        <v>#VALUE!</v>
      </c>
      <c r="AH706" t="e">
        <f ca="1">IF(V32="Supercritical",L706,IF(V32="Subcritical",W706,IF(AND(V706=1,AG706=1),IF(T706&gt;=AE706,L706,W706),IF(V706=1,L706,IF(AG706=1,W706,MAX($D$16,POWER((ABS(K706)^2)/($I$5*MAX(F706,0.1)^2),1/3)))))))</f>
        <v>#VALUE!</v>
      </c>
      <c r="AI706" t="e">
        <f t="shared" ca="1" si="345"/>
        <v>#VALUE!</v>
      </c>
      <c r="AJ706" t="e">
        <f t="shared" ca="1" si="346"/>
        <v>#VALUE!</v>
      </c>
      <c r="AM706">
        <v>0</v>
      </c>
      <c r="AN706">
        <v>0</v>
      </c>
      <c r="AO706">
        <f t="shared" si="347"/>
        <v>0</v>
      </c>
      <c r="AP706">
        <f t="shared" si="356"/>
        <v>0</v>
      </c>
      <c r="AQ706" t="e">
        <f t="shared" ca="1" si="348"/>
        <v>#VALUE!</v>
      </c>
      <c r="AR706" t="e">
        <f t="shared" ca="1" si="349"/>
        <v>#VALUE!</v>
      </c>
      <c r="AS706" t="e">
        <f t="shared" ca="1" si="350"/>
        <v>#VALUE!</v>
      </c>
    </row>
    <row r="707" spans="1:45" x14ac:dyDescent="0.35">
      <c r="A707">
        <v>558</v>
      </c>
      <c r="B707">
        <v>556.89599999999996</v>
      </c>
      <c r="C707">
        <v>616177.34</v>
      </c>
      <c r="D707">
        <v>3097426.551</v>
      </c>
      <c r="E707">
        <v>632.2835</v>
      </c>
      <c r="F707">
        <v>5.2</v>
      </c>
      <c r="G707">
        <v>0</v>
      </c>
      <c r="H707" t="s">
        <v>191</v>
      </c>
      <c r="I707">
        <v>2.7E-2</v>
      </c>
      <c r="J707">
        <f t="shared" si="351"/>
        <v>1.0009999999999764</v>
      </c>
      <c r="K707">
        <f t="shared" si="352"/>
        <v>51</v>
      </c>
      <c r="L707" t="e">
        <f t="shared" ca="1" si="353"/>
        <v>#VALUE!</v>
      </c>
      <c r="M707" t="e">
        <f t="shared" ca="1" si="326"/>
        <v>#VALUE!</v>
      </c>
      <c r="N707" t="e">
        <f t="shared" ca="1" si="327"/>
        <v>#VALUE!</v>
      </c>
      <c r="O707" t="e">
        <f t="shared" ca="1" si="328"/>
        <v>#VALUE!</v>
      </c>
      <c r="P707" t="e">
        <f t="shared" ca="1" si="329"/>
        <v>#VALUE!</v>
      </c>
      <c r="Q707" t="e">
        <f t="shared" ca="1" si="330"/>
        <v>#VALUE!</v>
      </c>
      <c r="R707" t="e">
        <f t="shared" ca="1" si="331"/>
        <v>#VALUE!</v>
      </c>
      <c r="S707" t="e">
        <f t="shared" ca="1" si="332"/>
        <v>#VALUE!</v>
      </c>
      <c r="T707" t="e">
        <f t="shared" ca="1" si="333"/>
        <v>#VALUE!</v>
      </c>
      <c r="U707" t="e">
        <f t="shared" ca="1" si="354"/>
        <v>#VALUE!</v>
      </c>
      <c r="V707" t="e">
        <f t="shared" ca="1" si="355"/>
        <v>#VALUE!</v>
      </c>
      <c r="W707" t="e">
        <f t="shared" ca="1" si="334"/>
        <v>#VALUE!</v>
      </c>
      <c r="X707" t="e">
        <f t="shared" ca="1" si="335"/>
        <v>#VALUE!</v>
      </c>
      <c r="Y707" t="e">
        <f t="shared" ca="1" si="336"/>
        <v>#VALUE!</v>
      </c>
      <c r="Z707" t="e">
        <f t="shared" ca="1" si="337"/>
        <v>#VALUE!</v>
      </c>
      <c r="AA707" t="e">
        <f t="shared" ca="1" si="338"/>
        <v>#VALUE!</v>
      </c>
      <c r="AB707" t="e">
        <f t="shared" ca="1" si="339"/>
        <v>#VALUE!</v>
      </c>
      <c r="AC707" t="e">
        <f t="shared" ca="1" si="340"/>
        <v>#VALUE!</v>
      </c>
      <c r="AD707" t="e">
        <f t="shared" ca="1" si="341"/>
        <v>#VALUE!</v>
      </c>
      <c r="AE707" t="e">
        <f t="shared" ca="1" si="342"/>
        <v>#VALUE!</v>
      </c>
      <c r="AF707" t="e">
        <f t="shared" ca="1" si="343"/>
        <v>#VALUE!</v>
      </c>
      <c r="AG707" t="e">
        <f t="shared" ca="1" si="344"/>
        <v>#VALUE!</v>
      </c>
      <c r="AH707" t="e">
        <f ca="1">IF(V32="Supercritical",L707,IF(V32="Subcritical",W707,IF(AND(V707=1,AG707=1),IF(T707&gt;=AE707,L707,W707),IF(V707=1,L707,IF(AG707=1,W707,MAX($D$16,POWER((ABS(K707)^2)/($I$5*MAX(F707,0.1)^2),1/3)))))))</f>
        <v>#VALUE!</v>
      </c>
      <c r="AI707" t="e">
        <f t="shared" ca="1" si="345"/>
        <v>#VALUE!</v>
      </c>
      <c r="AJ707" t="e">
        <f t="shared" ca="1" si="346"/>
        <v>#VALUE!</v>
      </c>
      <c r="AM707">
        <v>0</v>
      </c>
      <c r="AN707">
        <v>0</v>
      </c>
      <c r="AO707">
        <f t="shared" si="347"/>
        <v>0</v>
      </c>
      <c r="AP707">
        <f t="shared" si="356"/>
        <v>0</v>
      </c>
      <c r="AQ707" t="e">
        <f t="shared" ca="1" si="348"/>
        <v>#VALUE!</v>
      </c>
      <c r="AR707" t="e">
        <f t="shared" ca="1" si="349"/>
        <v>#VALUE!</v>
      </c>
      <c r="AS707" t="e">
        <f t="shared" ca="1" si="350"/>
        <v>#VALUE!</v>
      </c>
    </row>
    <row r="708" spans="1:45" x14ac:dyDescent="0.35">
      <c r="A708">
        <v>559</v>
      </c>
      <c r="B708">
        <v>557.89499999999998</v>
      </c>
      <c r="C708">
        <v>616176.86600000004</v>
      </c>
      <c r="D708">
        <v>3097425.6710000001</v>
      </c>
      <c r="E708">
        <v>632.28300000000002</v>
      </c>
      <c r="F708">
        <v>5.2</v>
      </c>
      <c r="G708">
        <v>0</v>
      </c>
      <c r="H708" t="s">
        <v>191</v>
      </c>
      <c r="I708">
        <v>0.05</v>
      </c>
      <c r="J708">
        <f t="shared" si="351"/>
        <v>0.99900000000002365</v>
      </c>
      <c r="K708">
        <f t="shared" si="352"/>
        <v>51</v>
      </c>
      <c r="L708" t="e">
        <f t="shared" ca="1" si="353"/>
        <v>#VALUE!</v>
      </c>
      <c r="M708" t="e">
        <f t="shared" ca="1" si="326"/>
        <v>#VALUE!</v>
      </c>
      <c r="N708" t="e">
        <f t="shared" ca="1" si="327"/>
        <v>#VALUE!</v>
      </c>
      <c r="O708" t="e">
        <f t="shared" ca="1" si="328"/>
        <v>#VALUE!</v>
      </c>
      <c r="P708" t="e">
        <f t="shared" ca="1" si="329"/>
        <v>#VALUE!</v>
      </c>
      <c r="Q708" t="e">
        <f t="shared" ca="1" si="330"/>
        <v>#VALUE!</v>
      </c>
      <c r="R708" t="e">
        <f t="shared" ca="1" si="331"/>
        <v>#VALUE!</v>
      </c>
      <c r="S708" t="e">
        <f t="shared" ca="1" si="332"/>
        <v>#VALUE!</v>
      </c>
      <c r="T708" t="e">
        <f t="shared" ca="1" si="333"/>
        <v>#VALUE!</v>
      </c>
      <c r="U708" t="e">
        <f t="shared" ca="1" si="354"/>
        <v>#VALUE!</v>
      </c>
      <c r="V708" t="e">
        <f t="shared" ca="1" si="355"/>
        <v>#VALUE!</v>
      </c>
      <c r="W708" t="e">
        <f t="shared" ca="1" si="334"/>
        <v>#VALUE!</v>
      </c>
      <c r="X708" t="e">
        <f t="shared" ca="1" si="335"/>
        <v>#VALUE!</v>
      </c>
      <c r="Y708" t="e">
        <f t="shared" ca="1" si="336"/>
        <v>#VALUE!</v>
      </c>
      <c r="Z708" t="e">
        <f t="shared" ca="1" si="337"/>
        <v>#VALUE!</v>
      </c>
      <c r="AA708" t="e">
        <f t="shared" ca="1" si="338"/>
        <v>#VALUE!</v>
      </c>
      <c r="AB708" t="e">
        <f t="shared" ca="1" si="339"/>
        <v>#VALUE!</v>
      </c>
      <c r="AC708" t="e">
        <f t="shared" ca="1" si="340"/>
        <v>#VALUE!</v>
      </c>
      <c r="AD708" t="e">
        <f t="shared" ca="1" si="341"/>
        <v>#VALUE!</v>
      </c>
      <c r="AE708" t="e">
        <f t="shared" ca="1" si="342"/>
        <v>#VALUE!</v>
      </c>
      <c r="AF708" t="e">
        <f t="shared" ca="1" si="343"/>
        <v>#VALUE!</v>
      </c>
      <c r="AG708" t="e">
        <f t="shared" ca="1" si="344"/>
        <v>#VALUE!</v>
      </c>
      <c r="AH708" t="e">
        <f ca="1">IF(V32="Supercritical",L708,IF(V32="Subcritical",W708,IF(AND(V708=1,AG708=1),IF(T708&gt;=AE708,L708,W708),IF(V708=1,L708,IF(AG708=1,W708,MAX($D$16,POWER((ABS(K708)^2)/($I$5*MAX(F708,0.1)^2),1/3)))))))</f>
        <v>#VALUE!</v>
      </c>
      <c r="AI708" t="e">
        <f t="shared" ca="1" si="345"/>
        <v>#VALUE!</v>
      </c>
      <c r="AJ708" t="e">
        <f t="shared" ca="1" si="346"/>
        <v>#VALUE!</v>
      </c>
      <c r="AM708">
        <v>0</v>
      </c>
      <c r="AN708">
        <v>0</v>
      </c>
      <c r="AO708">
        <f t="shared" si="347"/>
        <v>0</v>
      </c>
      <c r="AP708">
        <f t="shared" si="356"/>
        <v>0</v>
      </c>
      <c r="AQ708" t="e">
        <f t="shared" ca="1" si="348"/>
        <v>#VALUE!</v>
      </c>
      <c r="AR708" t="e">
        <f t="shared" ca="1" si="349"/>
        <v>#VALUE!</v>
      </c>
      <c r="AS708" t="e">
        <f t="shared" ca="1" si="350"/>
        <v>#VALUE!</v>
      </c>
    </row>
    <row r="709" spans="1:45" x14ac:dyDescent="0.35">
      <c r="A709">
        <v>560</v>
      </c>
      <c r="B709">
        <v>558.89499999999998</v>
      </c>
      <c r="C709">
        <v>616176.39099999995</v>
      </c>
      <c r="D709">
        <v>3097424.7910000002</v>
      </c>
      <c r="E709">
        <v>632.28250000000003</v>
      </c>
      <c r="F709">
        <v>5.2</v>
      </c>
      <c r="G709">
        <v>0</v>
      </c>
      <c r="H709" t="s">
        <v>191</v>
      </c>
      <c r="I709">
        <v>7.8E-2</v>
      </c>
      <c r="J709">
        <f t="shared" si="351"/>
        <v>1</v>
      </c>
      <c r="K709">
        <f t="shared" si="352"/>
        <v>51</v>
      </c>
      <c r="L709" t="e">
        <f t="shared" ca="1" si="353"/>
        <v>#VALUE!</v>
      </c>
      <c r="M709" t="e">
        <f t="shared" ca="1" si="326"/>
        <v>#VALUE!</v>
      </c>
      <c r="N709" t="e">
        <f t="shared" ca="1" si="327"/>
        <v>#VALUE!</v>
      </c>
      <c r="O709" t="e">
        <f t="shared" ca="1" si="328"/>
        <v>#VALUE!</v>
      </c>
      <c r="P709" t="e">
        <f t="shared" ca="1" si="329"/>
        <v>#VALUE!</v>
      </c>
      <c r="Q709" t="e">
        <f t="shared" ca="1" si="330"/>
        <v>#VALUE!</v>
      </c>
      <c r="R709" t="e">
        <f t="shared" ca="1" si="331"/>
        <v>#VALUE!</v>
      </c>
      <c r="S709" t="e">
        <f t="shared" ca="1" si="332"/>
        <v>#VALUE!</v>
      </c>
      <c r="T709" t="e">
        <f t="shared" ca="1" si="333"/>
        <v>#VALUE!</v>
      </c>
      <c r="U709" t="e">
        <f t="shared" ca="1" si="354"/>
        <v>#VALUE!</v>
      </c>
      <c r="V709" t="e">
        <f t="shared" ca="1" si="355"/>
        <v>#VALUE!</v>
      </c>
      <c r="W709" t="e">
        <f t="shared" ca="1" si="334"/>
        <v>#VALUE!</v>
      </c>
      <c r="X709" t="e">
        <f t="shared" ca="1" si="335"/>
        <v>#VALUE!</v>
      </c>
      <c r="Y709" t="e">
        <f t="shared" ca="1" si="336"/>
        <v>#VALUE!</v>
      </c>
      <c r="Z709" t="e">
        <f t="shared" ca="1" si="337"/>
        <v>#VALUE!</v>
      </c>
      <c r="AA709" t="e">
        <f t="shared" ca="1" si="338"/>
        <v>#VALUE!</v>
      </c>
      <c r="AB709" t="e">
        <f t="shared" ca="1" si="339"/>
        <v>#VALUE!</v>
      </c>
      <c r="AC709" t="e">
        <f t="shared" ca="1" si="340"/>
        <v>#VALUE!</v>
      </c>
      <c r="AD709" t="e">
        <f t="shared" ca="1" si="341"/>
        <v>#VALUE!</v>
      </c>
      <c r="AE709" t="e">
        <f t="shared" ca="1" si="342"/>
        <v>#VALUE!</v>
      </c>
      <c r="AF709" t="e">
        <f t="shared" ca="1" si="343"/>
        <v>#VALUE!</v>
      </c>
      <c r="AG709" t="e">
        <f t="shared" ca="1" si="344"/>
        <v>#VALUE!</v>
      </c>
      <c r="AH709" t="e">
        <f ca="1">IF(V32="Supercritical",L709,IF(V32="Subcritical",W709,IF(AND(V709=1,AG709=1),IF(T709&gt;=AE709,L709,W709),IF(V709=1,L709,IF(AG709=1,W709,MAX($D$16,POWER((ABS(K709)^2)/($I$5*MAX(F709,0.1)^2),1/3)))))))</f>
        <v>#VALUE!</v>
      </c>
      <c r="AI709" t="e">
        <f t="shared" ca="1" si="345"/>
        <v>#VALUE!</v>
      </c>
      <c r="AJ709" t="e">
        <f t="shared" ca="1" si="346"/>
        <v>#VALUE!</v>
      </c>
      <c r="AM709">
        <v>0</v>
      </c>
      <c r="AN709">
        <v>0</v>
      </c>
      <c r="AO709">
        <f t="shared" si="347"/>
        <v>0</v>
      </c>
      <c r="AP709">
        <f t="shared" si="356"/>
        <v>0</v>
      </c>
      <c r="AQ709" t="e">
        <f t="shared" ca="1" si="348"/>
        <v>#VALUE!</v>
      </c>
      <c r="AR709" t="e">
        <f t="shared" ca="1" si="349"/>
        <v>#VALUE!</v>
      </c>
      <c r="AS709" t="e">
        <f t="shared" ca="1" si="350"/>
        <v>#VALUE!</v>
      </c>
    </row>
    <row r="710" spans="1:45" x14ac:dyDescent="0.35">
      <c r="A710">
        <v>561</v>
      </c>
      <c r="B710">
        <v>559.89599999999996</v>
      </c>
      <c r="C710">
        <v>616175.91700000002</v>
      </c>
      <c r="D710">
        <v>3097423.91</v>
      </c>
      <c r="E710">
        <v>632.28200000000004</v>
      </c>
      <c r="F710">
        <v>5.2</v>
      </c>
      <c r="G710">
        <v>0</v>
      </c>
      <c r="H710" t="s">
        <v>191</v>
      </c>
      <c r="I710">
        <v>2.7E-2</v>
      </c>
      <c r="J710">
        <f t="shared" si="351"/>
        <v>1.0009999999999764</v>
      </c>
      <c r="K710">
        <f t="shared" si="352"/>
        <v>51</v>
      </c>
      <c r="L710" t="e">
        <f t="shared" ca="1" si="353"/>
        <v>#VALUE!</v>
      </c>
      <c r="M710" t="e">
        <f t="shared" ca="1" si="326"/>
        <v>#VALUE!</v>
      </c>
      <c r="N710" t="e">
        <f t="shared" ca="1" si="327"/>
        <v>#VALUE!</v>
      </c>
      <c r="O710" t="e">
        <f t="shared" ca="1" si="328"/>
        <v>#VALUE!</v>
      </c>
      <c r="P710" t="e">
        <f t="shared" ca="1" si="329"/>
        <v>#VALUE!</v>
      </c>
      <c r="Q710" t="e">
        <f t="shared" ca="1" si="330"/>
        <v>#VALUE!</v>
      </c>
      <c r="R710" t="e">
        <f t="shared" ca="1" si="331"/>
        <v>#VALUE!</v>
      </c>
      <c r="S710" t="e">
        <f t="shared" ca="1" si="332"/>
        <v>#VALUE!</v>
      </c>
      <c r="T710" t="e">
        <f t="shared" ca="1" si="333"/>
        <v>#VALUE!</v>
      </c>
      <c r="U710" t="e">
        <f t="shared" ca="1" si="354"/>
        <v>#VALUE!</v>
      </c>
      <c r="V710" t="e">
        <f t="shared" ca="1" si="355"/>
        <v>#VALUE!</v>
      </c>
      <c r="W710" t="e">
        <f t="shared" ca="1" si="334"/>
        <v>#VALUE!</v>
      </c>
      <c r="X710" t="e">
        <f t="shared" ca="1" si="335"/>
        <v>#VALUE!</v>
      </c>
      <c r="Y710" t="e">
        <f t="shared" ca="1" si="336"/>
        <v>#VALUE!</v>
      </c>
      <c r="Z710" t="e">
        <f t="shared" ca="1" si="337"/>
        <v>#VALUE!</v>
      </c>
      <c r="AA710" t="e">
        <f t="shared" ca="1" si="338"/>
        <v>#VALUE!</v>
      </c>
      <c r="AB710" t="e">
        <f t="shared" ca="1" si="339"/>
        <v>#VALUE!</v>
      </c>
      <c r="AC710" t="e">
        <f t="shared" ca="1" si="340"/>
        <v>#VALUE!</v>
      </c>
      <c r="AD710" t="e">
        <f t="shared" ca="1" si="341"/>
        <v>#VALUE!</v>
      </c>
      <c r="AE710" t="e">
        <f t="shared" ca="1" si="342"/>
        <v>#VALUE!</v>
      </c>
      <c r="AF710" t="e">
        <f t="shared" ca="1" si="343"/>
        <v>#VALUE!</v>
      </c>
      <c r="AG710" t="e">
        <f t="shared" ca="1" si="344"/>
        <v>#VALUE!</v>
      </c>
      <c r="AH710" t="e">
        <f ca="1">IF(V32="Supercritical",L710,IF(V32="Subcritical",W710,IF(AND(V710=1,AG710=1),IF(T710&gt;=AE710,L710,W710),IF(V710=1,L710,IF(AG710=1,W710,MAX($D$16,POWER((ABS(K710)^2)/($I$5*MAX(F710,0.1)^2),1/3)))))))</f>
        <v>#VALUE!</v>
      </c>
      <c r="AI710" t="e">
        <f t="shared" ca="1" si="345"/>
        <v>#VALUE!</v>
      </c>
      <c r="AJ710" t="e">
        <f t="shared" ca="1" si="346"/>
        <v>#VALUE!</v>
      </c>
      <c r="AM710">
        <v>0</v>
      </c>
      <c r="AN710">
        <v>0</v>
      </c>
      <c r="AO710">
        <f t="shared" si="347"/>
        <v>0</v>
      </c>
      <c r="AP710">
        <f t="shared" si="356"/>
        <v>0</v>
      </c>
      <c r="AQ710" t="e">
        <f t="shared" ca="1" si="348"/>
        <v>#VALUE!</v>
      </c>
      <c r="AR710" t="e">
        <f t="shared" ca="1" si="349"/>
        <v>#VALUE!</v>
      </c>
      <c r="AS710" t="e">
        <f t="shared" ca="1" si="350"/>
        <v>#VALUE!</v>
      </c>
    </row>
    <row r="711" spans="1:45" x14ac:dyDescent="0.35">
      <c r="A711">
        <v>562</v>
      </c>
      <c r="B711">
        <v>560.89499999999998</v>
      </c>
      <c r="C711">
        <v>616175.44299999997</v>
      </c>
      <c r="D711">
        <v>3097423.03</v>
      </c>
      <c r="E711">
        <v>632.28150000000005</v>
      </c>
      <c r="F711">
        <v>5.2</v>
      </c>
      <c r="G711">
        <v>0</v>
      </c>
      <c r="H711" t="s">
        <v>191</v>
      </c>
      <c r="I711">
        <v>2.7E-2</v>
      </c>
      <c r="J711">
        <f t="shared" si="351"/>
        <v>0.99900000000002365</v>
      </c>
      <c r="K711">
        <f t="shared" si="352"/>
        <v>51</v>
      </c>
      <c r="L711" t="e">
        <f t="shared" ca="1" si="353"/>
        <v>#VALUE!</v>
      </c>
      <c r="M711" t="e">
        <f t="shared" ca="1" si="326"/>
        <v>#VALUE!</v>
      </c>
      <c r="N711" t="e">
        <f t="shared" ca="1" si="327"/>
        <v>#VALUE!</v>
      </c>
      <c r="O711" t="e">
        <f t="shared" ca="1" si="328"/>
        <v>#VALUE!</v>
      </c>
      <c r="P711" t="e">
        <f t="shared" ca="1" si="329"/>
        <v>#VALUE!</v>
      </c>
      <c r="Q711" t="e">
        <f t="shared" ca="1" si="330"/>
        <v>#VALUE!</v>
      </c>
      <c r="R711" t="e">
        <f t="shared" ca="1" si="331"/>
        <v>#VALUE!</v>
      </c>
      <c r="S711" t="e">
        <f t="shared" ca="1" si="332"/>
        <v>#VALUE!</v>
      </c>
      <c r="T711" t="e">
        <f t="shared" ca="1" si="333"/>
        <v>#VALUE!</v>
      </c>
      <c r="U711" t="e">
        <f t="shared" ca="1" si="354"/>
        <v>#VALUE!</v>
      </c>
      <c r="V711" t="e">
        <f t="shared" ca="1" si="355"/>
        <v>#VALUE!</v>
      </c>
      <c r="W711" t="e">
        <f t="shared" ca="1" si="334"/>
        <v>#VALUE!</v>
      </c>
      <c r="X711" t="e">
        <f t="shared" ca="1" si="335"/>
        <v>#VALUE!</v>
      </c>
      <c r="Y711" t="e">
        <f t="shared" ca="1" si="336"/>
        <v>#VALUE!</v>
      </c>
      <c r="Z711" t="e">
        <f t="shared" ca="1" si="337"/>
        <v>#VALUE!</v>
      </c>
      <c r="AA711" t="e">
        <f t="shared" ca="1" si="338"/>
        <v>#VALUE!</v>
      </c>
      <c r="AB711" t="e">
        <f t="shared" ca="1" si="339"/>
        <v>#VALUE!</v>
      </c>
      <c r="AC711" t="e">
        <f t="shared" ca="1" si="340"/>
        <v>#VALUE!</v>
      </c>
      <c r="AD711" t="e">
        <f t="shared" ca="1" si="341"/>
        <v>#VALUE!</v>
      </c>
      <c r="AE711" t="e">
        <f t="shared" ca="1" si="342"/>
        <v>#VALUE!</v>
      </c>
      <c r="AF711" t="e">
        <f t="shared" ca="1" si="343"/>
        <v>#VALUE!</v>
      </c>
      <c r="AG711" t="e">
        <f t="shared" ca="1" si="344"/>
        <v>#VALUE!</v>
      </c>
      <c r="AH711" t="e">
        <f ca="1">IF(V32="Supercritical",L711,IF(V32="Subcritical",W711,IF(AND(V711=1,AG711=1),IF(T711&gt;=AE711,L711,W711),IF(V711=1,L711,IF(AG711=1,W711,MAX($D$16,POWER((ABS(K711)^2)/($I$5*MAX(F711,0.1)^2),1/3)))))))</f>
        <v>#VALUE!</v>
      </c>
      <c r="AI711" t="e">
        <f t="shared" ca="1" si="345"/>
        <v>#VALUE!</v>
      </c>
      <c r="AJ711" t="e">
        <f t="shared" ca="1" si="346"/>
        <v>#VALUE!</v>
      </c>
      <c r="AM711">
        <v>0</v>
      </c>
      <c r="AN711">
        <v>0</v>
      </c>
      <c r="AO711">
        <f t="shared" si="347"/>
        <v>0</v>
      </c>
      <c r="AP711">
        <f t="shared" si="356"/>
        <v>0</v>
      </c>
      <c r="AQ711" t="e">
        <f t="shared" ca="1" si="348"/>
        <v>#VALUE!</v>
      </c>
      <c r="AR711" t="e">
        <f t="shared" ca="1" si="349"/>
        <v>#VALUE!</v>
      </c>
      <c r="AS711" t="e">
        <f t="shared" ca="1" si="350"/>
        <v>#VALUE!</v>
      </c>
    </row>
    <row r="712" spans="1:45" x14ac:dyDescent="0.35">
      <c r="A712">
        <v>563</v>
      </c>
      <c r="B712">
        <v>561.89599999999996</v>
      </c>
      <c r="C712">
        <v>616174.96900000004</v>
      </c>
      <c r="D712">
        <v>3097422.1490000002</v>
      </c>
      <c r="E712">
        <v>632.28099999999995</v>
      </c>
      <c r="F712">
        <v>5.2</v>
      </c>
      <c r="G712">
        <v>0</v>
      </c>
      <c r="H712" t="s">
        <v>191</v>
      </c>
      <c r="I712">
        <v>2.7E-2</v>
      </c>
      <c r="J712">
        <f t="shared" si="351"/>
        <v>1.0009999999999764</v>
      </c>
      <c r="K712">
        <f t="shared" si="352"/>
        <v>51</v>
      </c>
      <c r="L712" t="e">
        <f t="shared" ca="1" si="353"/>
        <v>#VALUE!</v>
      </c>
      <c r="M712" t="e">
        <f t="shared" ca="1" si="326"/>
        <v>#VALUE!</v>
      </c>
      <c r="N712" t="e">
        <f t="shared" ca="1" si="327"/>
        <v>#VALUE!</v>
      </c>
      <c r="O712" t="e">
        <f t="shared" ca="1" si="328"/>
        <v>#VALUE!</v>
      </c>
      <c r="P712" t="e">
        <f t="shared" ca="1" si="329"/>
        <v>#VALUE!</v>
      </c>
      <c r="Q712" t="e">
        <f t="shared" ca="1" si="330"/>
        <v>#VALUE!</v>
      </c>
      <c r="R712" t="e">
        <f t="shared" ca="1" si="331"/>
        <v>#VALUE!</v>
      </c>
      <c r="S712" t="e">
        <f t="shared" ca="1" si="332"/>
        <v>#VALUE!</v>
      </c>
      <c r="T712" t="e">
        <f t="shared" ca="1" si="333"/>
        <v>#VALUE!</v>
      </c>
      <c r="U712" t="e">
        <f t="shared" ca="1" si="354"/>
        <v>#VALUE!</v>
      </c>
      <c r="V712" t="e">
        <f t="shared" ca="1" si="355"/>
        <v>#VALUE!</v>
      </c>
      <c r="W712" t="e">
        <f t="shared" ca="1" si="334"/>
        <v>#VALUE!</v>
      </c>
      <c r="X712" t="e">
        <f t="shared" ca="1" si="335"/>
        <v>#VALUE!</v>
      </c>
      <c r="Y712" t="e">
        <f t="shared" ca="1" si="336"/>
        <v>#VALUE!</v>
      </c>
      <c r="Z712" t="e">
        <f t="shared" ca="1" si="337"/>
        <v>#VALUE!</v>
      </c>
      <c r="AA712" t="e">
        <f t="shared" ca="1" si="338"/>
        <v>#VALUE!</v>
      </c>
      <c r="AB712" t="e">
        <f t="shared" ca="1" si="339"/>
        <v>#VALUE!</v>
      </c>
      <c r="AC712" t="e">
        <f t="shared" ca="1" si="340"/>
        <v>#VALUE!</v>
      </c>
      <c r="AD712" t="e">
        <f t="shared" ca="1" si="341"/>
        <v>#VALUE!</v>
      </c>
      <c r="AE712" t="e">
        <f t="shared" ca="1" si="342"/>
        <v>#VALUE!</v>
      </c>
      <c r="AF712" t="e">
        <f t="shared" ca="1" si="343"/>
        <v>#VALUE!</v>
      </c>
      <c r="AG712" t="e">
        <f t="shared" ca="1" si="344"/>
        <v>#VALUE!</v>
      </c>
      <c r="AH712" t="e">
        <f ca="1">IF(V32="Supercritical",L712,IF(V32="Subcritical",W712,IF(AND(V712=1,AG712=1),IF(T712&gt;=AE712,L712,W712),IF(V712=1,L712,IF(AG712=1,W712,MAX($D$16,POWER((ABS(K712)^2)/($I$5*MAX(F712,0.1)^2),1/3)))))))</f>
        <v>#VALUE!</v>
      </c>
      <c r="AI712" t="e">
        <f t="shared" ca="1" si="345"/>
        <v>#VALUE!</v>
      </c>
      <c r="AJ712" t="e">
        <f t="shared" ca="1" si="346"/>
        <v>#VALUE!</v>
      </c>
      <c r="AM712">
        <v>0</v>
      </c>
      <c r="AN712">
        <v>0</v>
      </c>
      <c r="AO712">
        <f t="shared" si="347"/>
        <v>0</v>
      </c>
      <c r="AP712">
        <f t="shared" si="356"/>
        <v>0</v>
      </c>
      <c r="AQ712" t="e">
        <f t="shared" ca="1" si="348"/>
        <v>#VALUE!</v>
      </c>
      <c r="AR712" t="e">
        <f t="shared" ca="1" si="349"/>
        <v>#VALUE!</v>
      </c>
      <c r="AS712" t="e">
        <f t="shared" ca="1" si="350"/>
        <v>#VALUE!</v>
      </c>
    </row>
    <row r="713" spans="1:45" x14ac:dyDescent="0.35">
      <c r="A713">
        <v>564</v>
      </c>
      <c r="B713">
        <v>562.89499999999998</v>
      </c>
      <c r="C713">
        <v>616174.495</v>
      </c>
      <c r="D713">
        <v>3097421.2689999999</v>
      </c>
      <c r="E713">
        <v>632.28049999999996</v>
      </c>
      <c r="F713">
        <v>5.2</v>
      </c>
      <c r="G713">
        <v>0</v>
      </c>
      <c r="H713" t="s">
        <v>191</v>
      </c>
      <c r="I713">
        <v>0.05</v>
      </c>
      <c r="J713">
        <f t="shared" si="351"/>
        <v>0.99900000000002365</v>
      </c>
      <c r="K713">
        <f t="shared" si="352"/>
        <v>51</v>
      </c>
      <c r="L713" t="e">
        <f t="shared" ca="1" si="353"/>
        <v>#VALUE!</v>
      </c>
      <c r="M713" t="e">
        <f t="shared" ca="1" si="326"/>
        <v>#VALUE!</v>
      </c>
      <c r="N713" t="e">
        <f t="shared" ca="1" si="327"/>
        <v>#VALUE!</v>
      </c>
      <c r="O713" t="e">
        <f t="shared" ca="1" si="328"/>
        <v>#VALUE!</v>
      </c>
      <c r="P713" t="e">
        <f t="shared" ca="1" si="329"/>
        <v>#VALUE!</v>
      </c>
      <c r="Q713" t="e">
        <f t="shared" ca="1" si="330"/>
        <v>#VALUE!</v>
      </c>
      <c r="R713" t="e">
        <f t="shared" ca="1" si="331"/>
        <v>#VALUE!</v>
      </c>
      <c r="S713" t="e">
        <f t="shared" ca="1" si="332"/>
        <v>#VALUE!</v>
      </c>
      <c r="T713" t="e">
        <f t="shared" ca="1" si="333"/>
        <v>#VALUE!</v>
      </c>
      <c r="U713" t="e">
        <f t="shared" ca="1" si="354"/>
        <v>#VALUE!</v>
      </c>
      <c r="V713" t="e">
        <f t="shared" ca="1" si="355"/>
        <v>#VALUE!</v>
      </c>
      <c r="W713" t="e">
        <f t="shared" ca="1" si="334"/>
        <v>#VALUE!</v>
      </c>
      <c r="X713" t="e">
        <f t="shared" ca="1" si="335"/>
        <v>#VALUE!</v>
      </c>
      <c r="Y713" t="e">
        <f t="shared" ca="1" si="336"/>
        <v>#VALUE!</v>
      </c>
      <c r="Z713" t="e">
        <f t="shared" ca="1" si="337"/>
        <v>#VALUE!</v>
      </c>
      <c r="AA713" t="e">
        <f t="shared" ca="1" si="338"/>
        <v>#VALUE!</v>
      </c>
      <c r="AB713" t="e">
        <f t="shared" ca="1" si="339"/>
        <v>#VALUE!</v>
      </c>
      <c r="AC713" t="e">
        <f t="shared" ca="1" si="340"/>
        <v>#VALUE!</v>
      </c>
      <c r="AD713" t="e">
        <f t="shared" ca="1" si="341"/>
        <v>#VALUE!</v>
      </c>
      <c r="AE713" t="e">
        <f t="shared" ca="1" si="342"/>
        <v>#VALUE!</v>
      </c>
      <c r="AF713" t="e">
        <f t="shared" ca="1" si="343"/>
        <v>#VALUE!</v>
      </c>
      <c r="AG713" t="e">
        <f t="shared" ca="1" si="344"/>
        <v>#VALUE!</v>
      </c>
      <c r="AH713" t="e">
        <f ca="1">IF(V32="Supercritical",L713,IF(V32="Subcritical",W713,IF(AND(V713=1,AG713=1),IF(T713&gt;=AE713,L713,W713),IF(V713=1,L713,IF(AG713=1,W713,MAX($D$16,POWER((ABS(K713)^2)/($I$5*MAX(F713,0.1)^2),1/3)))))))</f>
        <v>#VALUE!</v>
      </c>
      <c r="AI713" t="e">
        <f t="shared" ca="1" si="345"/>
        <v>#VALUE!</v>
      </c>
      <c r="AJ713" t="e">
        <f t="shared" ca="1" si="346"/>
        <v>#VALUE!</v>
      </c>
      <c r="AM713">
        <v>0</v>
      </c>
      <c r="AN713">
        <v>0</v>
      </c>
      <c r="AO713">
        <f t="shared" si="347"/>
        <v>0</v>
      </c>
      <c r="AP713">
        <f t="shared" si="356"/>
        <v>0</v>
      </c>
      <c r="AQ713" t="e">
        <f t="shared" ca="1" si="348"/>
        <v>#VALUE!</v>
      </c>
      <c r="AR713" t="e">
        <f t="shared" ca="1" si="349"/>
        <v>#VALUE!</v>
      </c>
      <c r="AS713" t="e">
        <f t="shared" ca="1" si="350"/>
        <v>#VALUE!</v>
      </c>
    </row>
    <row r="714" spans="1:45" x14ac:dyDescent="0.35">
      <c r="A714">
        <v>565</v>
      </c>
      <c r="B714">
        <v>563.89499999999998</v>
      </c>
      <c r="C714">
        <v>616174.02</v>
      </c>
      <c r="D714">
        <v>3097420.389</v>
      </c>
      <c r="E714">
        <v>632.28</v>
      </c>
      <c r="F714">
        <v>5.2</v>
      </c>
      <c r="G714">
        <v>0</v>
      </c>
      <c r="H714" t="s">
        <v>191</v>
      </c>
      <c r="I714">
        <v>7.8E-2</v>
      </c>
      <c r="J714">
        <f t="shared" si="351"/>
        <v>1</v>
      </c>
      <c r="K714">
        <f t="shared" si="352"/>
        <v>51</v>
      </c>
      <c r="L714" t="e">
        <f t="shared" ca="1" si="353"/>
        <v>#VALUE!</v>
      </c>
      <c r="M714" t="e">
        <f t="shared" ca="1" si="326"/>
        <v>#VALUE!</v>
      </c>
      <c r="N714" t="e">
        <f t="shared" ca="1" si="327"/>
        <v>#VALUE!</v>
      </c>
      <c r="O714" t="e">
        <f t="shared" ca="1" si="328"/>
        <v>#VALUE!</v>
      </c>
      <c r="P714" t="e">
        <f t="shared" ca="1" si="329"/>
        <v>#VALUE!</v>
      </c>
      <c r="Q714" t="e">
        <f t="shared" ca="1" si="330"/>
        <v>#VALUE!</v>
      </c>
      <c r="R714" t="e">
        <f t="shared" ca="1" si="331"/>
        <v>#VALUE!</v>
      </c>
      <c r="S714" t="e">
        <f t="shared" ca="1" si="332"/>
        <v>#VALUE!</v>
      </c>
      <c r="T714" t="e">
        <f t="shared" ca="1" si="333"/>
        <v>#VALUE!</v>
      </c>
      <c r="U714" t="e">
        <f t="shared" ca="1" si="354"/>
        <v>#VALUE!</v>
      </c>
      <c r="V714" t="e">
        <f t="shared" ca="1" si="355"/>
        <v>#VALUE!</v>
      </c>
      <c r="W714" t="e">
        <f t="shared" ca="1" si="334"/>
        <v>#VALUE!</v>
      </c>
      <c r="X714" t="e">
        <f t="shared" ca="1" si="335"/>
        <v>#VALUE!</v>
      </c>
      <c r="Y714" t="e">
        <f t="shared" ca="1" si="336"/>
        <v>#VALUE!</v>
      </c>
      <c r="Z714" t="e">
        <f t="shared" ca="1" si="337"/>
        <v>#VALUE!</v>
      </c>
      <c r="AA714" t="e">
        <f t="shared" ca="1" si="338"/>
        <v>#VALUE!</v>
      </c>
      <c r="AB714" t="e">
        <f t="shared" ca="1" si="339"/>
        <v>#VALUE!</v>
      </c>
      <c r="AC714" t="e">
        <f t="shared" ca="1" si="340"/>
        <v>#VALUE!</v>
      </c>
      <c r="AD714" t="e">
        <f t="shared" ca="1" si="341"/>
        <v>#VALUE!</v>
      </c>
      <c r="AE714" t="e">
        <f t="shared" ca="1" si="342"/>
        <v>#VALUE!</v>
      </c>
      <c r="AF714" t="e">
        <f t="shared" ca="1" si="343"/>
        <v>#VALUE!</v>
      </c>
      <c r="AG714" t="e">
        <f t="shared" ca="1" si="344"/>
        <v>#VALUE!</v>
      </c>
      <c r="AH714" t="e">
        <f ca="1">IF(V32="Supercritical",L714,IF(V32="Subcritical",W714,IF(AND(V714=1,AG714=1),IF(T714&gt;=AE714,L714,W714),IF(V714=1,L714,IF(AG714=1,W714,MAX($D$16,POWER((ABS(K714)^2)/($I$5*MAX(F714,0.1)^2),1/3)))))))</f>
        <v>#VALUE!</v>
      </c>
      <c r="AI714" t="e">
        <f t="shared" ca="1" si="345"/>
        <v>#VALUE!</v>
      </c>
      <c r="AJ714" t="e">
        <f t="shared" ca="1" si="346"/>
        <v>#VALUE!</v>
      </c>
      <c r="AM714">
        <v>0</v>
      </c>
      <c r="AN714">
        <v>0</v>
      </c>
      <c r="AO714">
        <f t="shared" si="347"/>
        <v>0</v>
      </c>
      <c r="AP714">
        <f t="shared" si="356"/>
        <v>0</v>
      </c>
      <c r="AQ714" t="e">
        <f t="shared" ca="1" si="348"/>
        <v>#VALUE!</v>
      </c>
      <c r="AR714" t="e">
        <f t="shared" ca="1" si="349"/>
        <v>#VALUE!</v>
      </c>
      <c r="AS714" t="e">
        <f t="shared" ca="1" si="350"/>
        <v>#VALUE!</v>
      </c>
    </row>
    <row r="715" spans="1:45" x14ac:dyDescent="0.35">
      <c r="A715">
        <v>566</v>
      </c>
      <c r="B715">
        <v>564.89599999999996</v>
      </c>
      <c r="C715">
        <v>616173.54599999997</v>
      </c>
      <c r="D715">
        <v>3097419.5079999999</v>
      </c>
      <c r="E715">
        <v>632.27949999999998</v>
      </c>
      <c r="F715">
        <v>5.2</v>
      </c>
      <c r="G715">
        <v>0</v>
      </c>
      <c r="H715" t="s">
        <v>191</v>
      </c>
      <c r="I715">
        <v>2.7E-2</v>
      </c>
      <c r="J715">
        <f t="shared" si="351"/>
        <v>1.0009999999999764</v>
      </c>
      <c r="K715">
        <f t="shared" si="352"/>
        <v>51</v>
      </c>
      <c r="L715" t="e">
        <f t="shared" ca="1" si="353"/>
        <v>#VALUE!</v>
      </c>
      <c r="M715" t="e">
        <f t="shared" ca="1" si="326"/>
        <v>#VALUE!</v>
      </c>
      <c r="N715" t="e">
        <f t="shared" ca="1" si="327"/>
        <v>#VALUE!</v>
      </c>
      <c r="O715" t="e">
        <f t="shared" ca="1" si="328"/>
        <v>#VALUE!</v>
      </c>
      <c r="P715" t="e">
        <f t="shared" ca="1" si="329"/>
        <v>#VALUE!</v>
      </c>
      <c r="Q715" t="e">
        <f t="shared" ca="1" si="330"/>
        <v>#VALUE!</v>
      </c>
      <c r="R715" t="e">
        <f t="shared" ca="1" si="331"/>
        <v>#VALUE!</v>
      </c>
      <c r="S715" t="e">
        <f t="shared" ca="1" si="332"/>
        <v>#VALUE!</v>
      </c>
      <c r="T715" t="e">
        <f t="shared" ca="1" si="333"/>
        <v>#VALUE!</v>
      </c>
      <c r="U715" t="e">
        <f t="shared" ca="1" si="354"/>
        <v>#VALUE!</v>
      </c>
      <c r="V715" t="e">
        <f t="shared" ca="1" si="355"/>
        <v>#VALUE!</v>
      </c>
      <c r="W715" t="e">
        <f t="shared" ca="1" si="334"/>
        <v>#VALUE!</v>
      </c>
      <c r="X715" t="e">
        <f t="shared" ca="1" si="335"/>
        <v>#VALUE!</v>
      </c>
      <c r="Y715" t="e">
        <f t="shared" ca="1" si="336"/>
        <v>#VALUE!</v>
      </c>
      <c r="Z715" t="e">
        <f t="shared" ca="1" si="337"/>
        <v>#VALUE!</v>
      </c>
      <c r="AA715" t="e">
        <f t="shared" ca="1" si="338"/>
        <v>#VALUE!</v>
      </c>
      <c r="AB715" t="e">
        <f t="shared" ca="1" si="339"/>
        <v>#VALUE!</v>
      </c>
      <c r="AC715" t="e">
        <f t="shared" ca="1" si="340"/>
        <v>#VALUE!</v>
      </c>
      <c r="AD715" t="e">
        <f t="shared" ca="1" si="341"/>
        <v>#VALUE!</v>
      </c>
      <c r="AE715" t="e">
        <f t="shared" ca="1" si="342"/>
        <v>#VALUE!</v>
      </c>
      <c r="AF715" t="e">
        <f t="shared" ca="1" si="343"/>
        <v>#VALUE!</v>
      </c>
      <c r="AG715" t="e">
        <f t="shared" ca="1" si="344"/>
        <v>#VALUE!</v>
      </c>
      <c r="AH715" t="e">
        <f ca="1">IF(V32="Supercritical",L715,IF(V32="Subcritical",W715,IF(AND(V715=1,AG715=1),IF(T715&gt;=AE715,L715,W715),IF(V715=1,L715,IF(AG715=1,W715,MAX($D$16,POWER((ABS(K715)^2)/($I$5*MAX(F715,0.1)^2),1/3)))))))</f>
        <v>#VALUE!</v>
      </c>
      <c r="AI715" t="e">
        <f t="shared" ca="1" si="345"/>
        <v>#VALUE!</v>
      </c>
      <c r="AJ715" t="e">
        <f t="shared" ca="1" si="346"/>
        <v>#VALUE!</v>
      </c>
      <c r="AM715">
        <v>0</v>
      </c>
      <c r="AN715">
        <v>0</v>
      </c>
      <c r="AO715">
        <f t="shared" si="347"/>
        <v>0</v>
      </c>
      <c r="AP715">
        <f t="shared" si="356"/>
        <v>0</v>
      </c>
      <c r="AQ715" t="e">
        <f t="shared" ca="1" si="348"/>
        <v>#VALUE!</v>
      </c>
      <c r="AR715" t="e">
        <f t="shared" ca="1" si="349"/>
        <v>#VALUE!</v>
      </c>
      <c r="AS715" t="e">
        <f t="shared" ca="1" si="350"/>
        <v>#VALUE!</v>
      </c>
    </row>
    <row r="716" spans="1:45" x14ac:dyDescent="0.35">
      <c r="A716">
        <v>567</v>
      </c>
      <c r="B716">
        <v>565.89499999999998</v>
      </c>
      <c r="C716">
        <v>616173.07200000004</v>
      </c>
      <c r="D716">
        <v>3097418.628</v>
      </c>
      <c r="E716">
        <v>632.279</v>
      </c>
      <c r="F716">
        <v>5.2</v>
      </c>
      <c r="G716">
        <v>0</v>
      </c>
      <c r="H716" t="s">
        <v>191</v>
      </c>
      <c r="I716">
        <v>2.7E-2</v>
      </c>
      <c r="J716">
        <f t="shared" si="351"/>
        <v>0.99900000000002365</v>
      </c>
      <c r="K716">
        <f t="shared" si="352"/>
        <v>51</v>
      </c>
      <c r="L716" t="e">
        <f t="shared" ca="1" si="353"/>
        <v>#VALUE!</v>
      </c>
      <c r="M716" t="e">
        <f t="shared" ca="1" si="326"/>
        <v>#VALUE!</v>
      </c>
      <c r="N716" t="e">
        <f t="shared" ca="1" si="327"/>
        <v>#VALUE!</v>
      </c>
      <c r="O716" t="e">
        <f t="shared" ca="1" si="328"/>
        <v>#VALUE!</v>
      </c>
      <c r="P716" t="e">
        <f t="shared" ca="1" si="329"/>
        <v>#VALUE!</v>
      </c>
      <c r="Q716" t="e">
        <f t="shared" ca="1" si="330"/>
        <v>#VALUE!</v>
      </c>
      <c r="R716" t="e">
        <f t="shared" ca="1" si="331"/>
        <v>#VALUE!</v>
      </c>
      <c r="S716" t="e">
        <f t="shared" ca="1" si="332"/>
        <v>#VALUE!</v>
      </c>
      <c r="T716" t="e">
        <f t="shared" ca="1" si="333"/>
        <v>#VALUE!</v>
      </c>
      <c r="U716" t="e">
        <f t="shared" ca="1" si="354"/>
        <v>#VALUE!</v>
      </c>
      <c r="V716" t="e">
        <f t="shared" ca="1" si="355"/>
        <v>#VALUE!</v>
      </c>
      <c r="W716" t="e">
        <f t="shared" ca="1" si="334"/>
        <v>#VALUE!</v>
      </c>
      <c r="X716" t="e">
        <f t="shared" ca="1" si="335"/>
        <v>#VALUE!</v>
      </c>
      <c r="Y716" t="e">
        <f t="shared" ca="1" si="336"/>
        <v>#VALUE!</v>
      </c>
      <c r="Z716" t="e">
        <f t="shared" ca="1" si="337"/>
        <v>#VALUE!</v>
      </c>
      <c r="AA716" t="e">
        <f t="shared" ca="1" si="338"/>
        <v>#VALUE!</v>
      </c>
      <c r="AB716" t="e">
        <f t="shared" ca="1" si="339"/>
        <v>#VALUE!</v>
      </c>
      <c r="AC716" t="e">
        <f t="shared" ca="1" si="340"/>
        <v>#VALUE!</v>
      </c>
      <c r="AD716" t="e">
        <f t="shared" ca="1" si="341"/>
        <v>#VALUE!</v>
      </c>
      <c r="AE716" t="e">
        <f t="shared" ca="1" si="342"/>
        <v>#VALUE!</v>
      </c>
      <c r="AF716" t="e">
        <f t="shared" ca="1" si="343"/>
        <v>#VALUE!</v>
      </c>
      <c r="AG716" t="e">
        <f t="shared" ca="1" si="344"/>
        <v>#VALUE!</v>
      </c>
      <c r="AH716" t="e">
        <f ca="1">IF(V32="Supercritical",L716,IF(V32="Subcritical",W716,IF(AND(V716=1,AG716=1),IF(T716&gt;=AE716,L716,W716),IF(V716=1,L716,IF(AG716=1,W716,MAX($D$16,POWER((ABS(K716)^2)/($I$5*MAX(F716,0.1)^2),1/3)))))))</f>
        <v>#VALUE!</v>
      </c>
      <c r="AI716" t="e">
        <f t="shared" ca="1" si="345"/>
        <v>#VALUE!</v>
      </c>
      <c r="AJ716" t="e">
        <f t="shared" ca="1" si="346"/>
        <v>#VALUE!</v>
      </c>
      <c r="AM716">
        <v>0</v>
      </c>
      <c r="AN716">
        <v>0</v>
      </c>
      <c r="AO716">
        <f t="shared" si="347"/>
        <v>0</v>
      </c>
      <c r="AP716">
        <f t="shared" si="356"/>
        <v>0</v>
      </c>
      <c r="AQ716" t="e">
        <f t="shared" ca="1" si="348"/>
        <v>#VALUE!</v>
      </c>
      <c r="AR716" t="e">
        <f t="shared" ca="1" si="349"/>
        <v>#VALUE!</v>
      </c>
      <c r="AS716" t="e">
        <f t="shared" ca="1" si="350"/>
        <v>#VALUE!</v>
      </c>
    </row>
    <row r="717" spans="1:45" x14ac:dyDescent="0.35">
      <c r="A717">
        <v>568</v>
      </c>
      <c r="B717">
        <v>566.89499999999998</v>
      </c>
      <c r="C717">
        <v>616172.598</v>
      </c>
      <c r="D717">
        <v>3097417.747</v>
      </c>
      <c r="E717">
        <v>632.27850000000001</v>
      </c>
      <c r="F717">
        <v>5.2</v>
      </c>
      <c r="G717">
        <v>0</v>
      </c>
      <c r="H717" t="s">
        <v>191</v>
      </c>
      <c r="I717">
        <v>7.8E-2</v>
      </c>
      <c r="J717">
        <f t="shared" si="351"/>
        <v>1</v>
      </c>
      <c r="K717">
        <f t="shared" si="352"/>
        <v>51</v>
      </c>
      <c r="L717" t="e">
        <f t="shared" ca="1" si="353"/>
        <v>#VALUE!</v>
      </c>
      <c r="M717" t="e">
        <f t="shared" ca="1" si="326"/>
        <v>#VALUE!</v>
      </c>
      <c r="N717" t="e">
        <f t="shared" ca="1" si="327"/>
        <v>#VALUE!</v>
      </c>
      <c r="O717" t="e">
        <f t="shared" ca="1" si="328"/>
        <v>#VALUE!</v>
      </c>
      <c r="P717" t="e">
        <f t="shared" ca="1" si="329"/>
        <v>#VALUE!</v>
      </c>
      <c r="Q717" t="e">
        <f t="shared" ca="1" si="330"/>
        <v>#VALUE!</v>
      </c>
      <c r="R717" t="e">
        <f t="shared" ca="1" si="331"/>
        <v>#VALUE!</v>
      </c>
      <c r="S717" t="e">
        <f t="shared" ca="1" si="332"/>
        <v>#VALUE!</v>
      </c>
      <c r="T717" t="e">
        <f t="shared" ca="1" si="333"/>
        <v>#VALUE!</v>
      </c>
      <c r="U717" t="e">
        <f t="shared" ca="1" si="354"/>
        <v>#VALUE!</v>
      </c>
      <c r="V717" t="e">
        <f t="shared" ca="1" si="355"/>
        <v>#VALUE!</v>
      </c>
      <c r="W717" t="e">
        <f t="shared" ca="1" si="334"/>
        <v>#VALUE!</v>
      </c>
      <c r="X717" t="e">
        <f t="shared" ca="1" si="335"/>
        <v>#VALUE!</v>
      </c>
      <c r="Y717" t="e">
        <f t="shared" ca="1" si="336"/>
        <v>#VALUE!</v>
      </c>
      <c r="Z717" t="e">
        <f t="shared" ca="1" si="337"/>
        <v>#VALUE!</v>
      </c>
      <c r="AA717" t="e">
        <f t="shared" ca="1" si="338"/>
        <v>#VALUE!</v>
      </c>
      <c r="AB717" t="e">
        <f t="shared" ca="1" si="339"/>
        <v>#VALUE!</v>
      </c>
      <c r="AC717" t="e">
        <f t="shared" ca="1" si="340"/>
        <v>#VALUE!</v>
      </c>
      <c r="AD717" t="e">
        <f t="shared" ca="1" si="341"/>
        <v>#VALUE!</v>
      </c>
      <c r="AE717" t="e">
        <f t="shared" ca="1" si="342"/>
        <v>#VALUE!</v>
      </c>
      <c r="AF717" t="e">
        <f t="shared" ca="1" si="343"/>
        <v>#VALUE!</v>
      </c>
      <c r="AG717" t="e">
        <f t="shared" ca="1" si="344"/>
        <v>#VALUE!</v>
      </c>
      <c r="AH717" t="e">
        <f ca="1">IF(V32="Supercritical",L717,IF(V32="Subcritical",W717,IF(AND(V717=1,AG717=1),IF(T717&gt;=AE717,L717,W717),IF(V717=1,L717,IF(AG717=1,W717,MAX($D$16,POWER((ABS(K717)^2)/($I$5*MAX(F717,0.1)^2),1/3)))))))</f>
        <v>#VALUE!</v>
      </c>
      <c r="AI717" t="e">
        <f t="shared" ca="1" si="345"/>
        <v>#VALUE!</v>
      </c>
      <c r="AJ717" t="e">
        <f t="shared" ca="1" si="346"/>
        <v>#VALUE!</v>
      </c>
      <c r="AM717">
        <v>0</v>
      </c>
      <c r="AN717">
        <v>0</v>
      </c>
      <c r="AO717">
        <f t="shared" si="347"/>
        <v>0</v>
      </c>
      <c r="AP717">
        <f t="shared" si="356"/>
        <v>0</v>
      </c>
      <c r="AQ717" t="e">
        <f t="shared" ca="1" si="348"/>
        <v>#VALUE!</v>
      </c>
      <c r="AR717" t="e">
        <f t="shared" ca="1" si="349"/>
        <v>#VALUE!</v>
      </c>
      <c r="AS717" t="e">
        <f t="shared" ca="1" si="350"/>
        <v>#VALUE!</v>
      </c>
    </row>
    <row r="718" spans="1:45" x14ac:dyDescent="0.35">
      <c r="A718">
        <v>569</v>
      </c>
      <c r="B718">
        <v>567.89499999999998</v>
      </c>
      <c r="C718">
        <v>616172.12300000002</v>
      </c>
      <c r="D718">
        <v>3097416.8670000001</v>
      </c>
      <c r="E718">
        <v>632.27800000000002</v>
      </c>
      <c r="F718">
        <v>5.2</v>
      </c>
      <c r="G718">
        <v>0</v>
      </c>
      <c r="H718" t="s">
        <v>191</v>
      </c>
      <c r="I718">
        <v>0.05</v>
      </c>
      <c r="J718">
        <f t="shared" si="351"/>
        <v>1</v>
      </c>
      <c r="K718">
        <f t="shared" si="352"/>
        <v>51</v>
      </c>
      <c r="L718" t="e">
        <f t="shared" ca="1" si="353"/>
        <v>#VALUE!</v>
      </c>
      <c r="M718" t="e">
        <f t="shared" ca="1" si="326"/>
        <v>#VALUE!</v>
      </c>
      <c r="N718" t="e">
        <f t="shared" ca="1" si="327"/>
        <v>#VALUE!</v>
      </c>
      <c r="O718" t="e">
        <f t="shared" ca="1" si="328"/>
        <v>#VALUE!</v>
      </c>
      <c r="P718" t="e">
        <f t="shared" ca="1" si="329"/>
        <v>#VALUE!</v>
      </c>
      <c r="Q718" t="e">
        <f t="shared" ca="1" si="330"/>
        <v>#VALUE!</v>
      </c>
      <c r="R718" t="e">
        <f t="shared" ca="1" si="331"/>
        <v>#VALUE!</v>
      </c>
      <c r="S718" t="e">
        <f t="shared" ca="1" si="332"/>
        <v>#VALUE!</v>
      </c>
      <c r="T718" t="e">
        <f t="shared" ca="1" si="333"/>
        <v>#VALUE!</v>
      </c>
      <c r="U718" t="e">
        <f t="shared" ca="1" si="354"/>
        <v>#VALUE!</v>
      </c>
      <c r="V718" t="e">
        <f t="shared" ca="1" si="355"/>
        <v>#VALUE!</v>
      </c>
      <c r="W718" t="e">
        <f t="shared" ca="1" si="334"/>
        <v>#VALUE!</v>
      </c>
      <c r="X718" t="e">
        <f t="shared" ca="1" si="335"/>
        <v>#VALUE!</v>
      </c>
      <c r="Y718" t="e">
        <f t="shared" ca="1" si="336"/>
        <v>#VALUE!</v>
      </c>
      <c r="Z718" t="e">
        <f t="shared" ca="1" si="337"/>
        <v>#VALUE!</v>
      </c>
      <c r="AA718" t="e">
        <f t="shared" ca="1" si="338"/>
        <v>#VALUE!</v>
      </c>
      <c r="AB718" t="e">
        <f t="shared" ca="1" si="339"/>
        <v>#VALUE!</v>
      </c>
      <c r="AC718" t="e">
        <f t="shared" ca="1" si="340"/>
        <v>#VALUE!</v>
      </c>
      <c r="AD718" t="e">
        <f t="shared" ca="1" si="341"/>
        <v>#VALUE!</v>
      </c>
      <c r="AE718" t="e">
        <f t="shared" ca="1" si="342"/>
        <v>#VALUE!</v>
      </c>
      <c r="AF718" t="e">
        <f t="shared" ca="1" si="343"/>
        <v>#VALUE!</v>
      </c>
      <c r="AG718" t="e">
        <f t="shared" ca="1" si="344"/>
        <v>#VALUE!</v>
      </c>
      <c r="AH718" t="e">
        <f ca="1">IF(V32="Supercritical",L718,IF(V32="Subcritical",W718,IF(AND(V718=1,AG718=1),IF(T718&gt;=AE718,L718,W718),IF(V718=1,L718,IF(AG718=1,W718,MAX($D$16,POWER((ABS(K718)^2)/($I$5*MAX(F718,0.1)^2),1/3)))))))</f>
        <v>#VALUE!</v>
      </c>
      <c r="AI718" t="e">
        <f t="shared" ca="1" si="345"/>
        <v>#VALUE!</v>
      </c>
      <c r="AJ718" t="e">
        <f t="shared" ca="1" si="346"/>
        <v>#VALUE!</v>
      </c>
      <c r="AM718">
        <v>0</v>
      </c>
      <c r="AN718">
        <v>0</v>
      </c>
      <c r="AO718">
        <f t="shared" si="347"/>
        <v>0</v>
      </c>
      <c r="AP718">
        <f t="shared" si="356"/>
        <v>0</v>
      </c>
      <c r="AQ718" t="e">
        <f t="shared" ca="1" si="348"/>
        <v>#VALUE!</v>
      </c>
      <c r="AR718" t="e">
        <f t="shared" ca="1" si="349"/>
        <v>#VALUE!</v>
      </c>
      <c r="AS718" t="e">
        <f t="shared" ca="1" si="350"/>
        <v>#VALUE!</v>
      </c>
    </row>
    <row r="719" spans="1:45" x14ac:dyDescent="0.35">
      <c r="A719">
        <v>570</v>
      </c>
      <c r="B719">
        <v>568.89499999999998</v>
      </c>
      <c r="C719">
        <v>616171.64899999998</v>
      </c>
      <c r="D719">
        <v>3097415.9870000002</v>
      </c>
      <c r="E719">
        <v>632.27750000000003</v>
      </c>
      <c r="F719">
        <v>5.2</v>
      </c>
      <c r="G719">
        <v>0</v>
      </c>
      <c r="H719" t="s">
        <v>191</v>
      </c>
      <c r="I719">
        <v>2.7E-2</v>
      </c>
      <c r="J719">
        <f t="shared" si="351"/>
        <v>1</v>
      </c>
      <c r="K719">
        <f t="shared" si="352"/>
        <v>51</v>
      </c>
      <c r="L719" t="e">
        <f t="shared" ca="1" si="353"/>
        <v>#VALUE!</v>
      </c>
      <c r="M719" t="e">
        <f t="shared" ca="1" si="326"/>
        <v>#VALUE!</v>
      </c>
      <c r="N719" t="e">
        <f t="shared" ca="1" si="327"/>
        <v>#VALUE!</v>
      </c>
      <c r="O719" t="e">
        <f t="shared" ca="1" si="328"/>
        <v>#VALUE!</v>
      </c>
      <c r="P719" t="e">
        <f t="shared" ca="1" si="329"/>
        <v>#VALUE!</v>
      </c>
      <c r="Q719" t="e">
        <f t="shared" ca="1" si="330"/>
        <v>#VALUE!</v>
      </c>
      <c r="R719" t="e">
        <f t="shared" ca="1" si="331"/>
        <v>#VALUE!</v>
      </c>
      <c r="S719" t="e">
        <f t="shared" ca="1" si="332"/>
        <v>#VALUE!</v>
      </c>
      <c r="T719" t="e">
        <f t="shared" ca="1" si="333"/>
        <v>#VALUE!</v>
      </c>
      <c r="U719" t="e">
        <f t="shared" ca="1" si="354"/>
        <v>#VALUE!</v>
      </c>
      <c r="V719" t="e">
        <f t="shared" ca="1" si="355"/>
        <v>#VALUE!</v>
      </c>
      <c r="W719" t="e">
        <f t="shared" ca="1" si="334"/>
        <v>#VALUE!</v>
      </c>
      <c r="X719" t="e">
        <f t="shared" ca="1" si="335"/>
        <v>#VALUE!</v>
      </c>
      <c r="Y719" t="e">
        <f t="shared" ca="1" si="336"/>
        <v>#VALUE!</v>
      </c>
      <c r="Z719" t="e">
        <f t="shared" ca="1" si="337"/>
        <v>#VALUE!</v>
      </c>
      <c r="AA719" t="e">
        <f t="shared" ca="1" si="338"/>
        <v>#VALUE!</v>
      </c>
      <c r="AB719" t="e">
        <f t="shared" ca="1" si="339"/>
        <v>#VALUE!</v>
      </c>
      <c r="AC719" t="e">
        <f t="shared" ca="1" si="340"/>
        <v>#VALUE!</v>
      </c>
      <c r="AD719" t="e">
        <f t="shared" ca="1" si="341"/>
        <v>#VALUE!</v>
      </c>
      <c r="AE719" t="e">
        <f t="shared" ca="1" si="342"/>
        <v>#VALUE!</v>
      </c>
      <c r="AF719" t="e">
        <f t="shared" ca="1" si="343"/>
        <v>#VALUE!</v>
      </c>
      <c r="AG719" t="e">
        <f t="shared" ca="1" si="344"/>
        <v>#VALUE!</v>
      </c>
      <c r="AH719" t="e">
        <f ca="1">IF(V32="Supercritical",L719,IF(V32="Subcritical",W719,IF(AND(V719=1,AG719=1),IF(T719&gt;=AE719,L719,W719),IF(V719=1,L719,IF(AG719=1,W719,MAX($D$16,POWER((ABS(K719)^2)/($I$5*MAX(F719,0.1)^2),1/3)))))))</f>
        <v>#VALUE!</v>
      </c>
      <c r="AI719" t="e">
        <f t="shared" ca="1" si="345"/>
        <v>#VALUE!</v>
      </c>
      <c r="AJ719" t="e">
        <f t="shared" ca="1" si="346"/>
        <v>#VALUE!</v>
      </c>
      <c r="AM719">
        <v>0</v>
      </c>
      <c r="AN719">
        <v>0</v>
      </c>
      <c r="AO719">
        <f t="shared" si="347"/>
        <v>0</v>
      </c>
      <c r="AP719">
        <f t="shared" si="356"/>
        <v>0</v>
      </c>
      <c r="AQ719" t="e">
        <f t="shared" ca="1" si="348"/>
        <v>#VALUE!</v>
      </c>
      <c r="AR719" t="e">
        <f t="shared" ca="1" si="349"/>
        <v>#VALUE!</v>
      </c>
      <c r="AS719" t="e">
        <f t="shared" ca="1" si="350"/>
        <v>#VALUE!</v>
      </c>
    </row>
    <row r="720" spans="1:45" x14ac:dyDescent="0.35">
      <c r="A720">
        <v>571</v>
      </c>
      <c r="B720">
        <v>569.89499999999998</v>
      </c>
      <c r="C720">
        <v>616171.17500000005</v>
      </c>
      <c r="D720">
        <v>3097415.1060000001</v>
      </c>
      <c r="E720">
        <v>632.27700000000004</v>
      </c>
      <c r="F720">
        <v>5.2</v>
      </c>
      <c r="G720">
        <v>0</v>
      </c>
      <c r="H720" t="s">
        <v>191</v>
      </c>
      <c r="I720">
        <v>2.7E-2</v>
      </c>
      <c r="J720">
        <f t="shared" si="351"/>
        <v>1</v>
      </c>
      <c r="K720">
        <f t="shared" si="352"/>
        <v>51</v>
      </c>
      <c r="L720" t="e">
        <f t="shared" ca="1" si="353"/>
        <v>#VALUE!</v>
      </c>
      <c r="M720" t="e">
        <f t="shared" ca="1" si="326"/>
        <v>#VALUE!</v>
      </c>
      <c r="N720" t="e">
        <f t="shared" ca="1" si="327"/>
        <v>#VALUE!</v>
      </c>
      <c r="O720" t="e">
        <f t="shared" ca="1" si="328"/>
        <v>#VALUE!</v>
      </c>
      <c r="P720" t="e">
        <f t="shared" ca="1" si="329"/>
        <v>#VALUE!</v>
      </c>
      <c r="Q720" t="e">
        <f t="shared" ca="1" si="330"/>
        <v>#VALUE!</v>
      </c>
      <c r="R720" t="e">
        <f t="shared" ca="1" si="331"/>
        <v>#VALUE!</v>
      </c>
      <c r="S720" t="e">
        <f t="shared" ca="1" si="332"/>
        <v>#VALUE!</v>
      </c>
      <c r="T720" t="e">
        <f t="shared" ca="1" si="333"/>
        <v>#VALUE!</v>
      </c>
      <c r="U720" t="e">
        <f t="shared" ca="1" si="354"/>
        <v>#VALUE!</v>
      </c>
      <c r="V720" t="e">
        <f t="shared" ca="1" si="355"/>
        <v>#VALUE!</v>
      </c>
      <c r="W720" t="e">
        <f t="shared" ca="1" si="334"/>
        <v>#VALUE!</v>
      </c>
      <c r="X720" t="e">
        <f t="shared" ca="1" si="335"/>
        <v>#VALUE!</v>
      </c>
      <c r="Y720" t="e">
        <f t="shared" ca="1" si="336"/>
        <v>#VALUE!</v>
      </c>
      <c r="Z720" t="e">
        <f t="shared" ca="1" si="337"/>
        <v>#VALUE!</v>
      </c>
      <c r="AA720" t="e">
        <f t="shared" ca="1" si="338"/>
        <v>#VALUE!</v>
      </c>
      <c r="AB720" t="e">
        <f t="shared" ca="1" si="339"/>
        <v>#VALUE!</v>
      </c>
      <c r="AC720" t="e">
        <f t="shared" ca="1" si="340"/>
        <v>#VALUE!</v>
      </c>
      <c r="AD720" t="e">
        <f t="shared" ca="1" si="341"/>
        <v>#VALUE!</v>
      </c>
      <c r="AE720" t="e">
        <f t="shared" ca="1" si="342"/>
        <v>#VALUE!</v>
      </c>
      <c r="AF720" t="e">
        <f t="shared" ca="1" si="343"/>
        <v>#VALUE!</v>
      </c>
      <c r="AG720" t="e">
        <f t="shared" ca="1" si="344"/>
        <v>#VALUE!</v>
      </c>
      <c r="AH720" t="e">
        <f ca="1">IF(V32="Supercritical",L720,IF(V32="Subcritical",W720,IF(AND(V720=1,AG720=1),IF(T720&gt;=AE720,L720,W720),IF(V720=1,L720,IF(AG720=1,W720,MAX($D$16,POWER((ABS(K720)^2)/($I$5*MAX(F720,0.1)^2),1/3)))))))</f>
        <v>#VALUE!</v>
      </c>
      <c r="AI720" t="e">
        <f t="shared" ca="1" si="345"/>
        <v>#VALUE!</v>
      </c>
      <c r="AJ720" t="e">
        <f t="shared" ca="1" si="346"/>
        <v>#VALUE!</v>
      </c>
      <c r="AM720">
        <v>0</v>
      </c>
      <c r="AN720">
        <v>0</v>
      </c>
      <c r="AO720">
        <f t="shared" si="347"/>
        <v>0</v>
      </c>
      <c r="AP720">
        <f t="shared" si="356"/>
        <v>0</v>
      </c>
      <c r="AQ720" t="e">
        <f t="shared" ca="1" si="348"/>
        <v>#VALUE!</v>
      </c>
      <c r="AR720" t="e">
        <f t="shared" ca="1" si="349"/>
        <v>#VALUE!</v>
      </c>
      <c r="AS720" t="e">
        <f t="shared" ca="1" si="350"/>
        <v>#VALUE!</v>
      </c>
    </row>
    <row r="721" spans="1:45" x14ac:dyDescent="0.35">
      <c r="A721">
        <v>572</v>
      </c>
      <c r="B721">
        <v>570.89499999999998</v>
      </c>
      <c r="C721">
        <v>616170.701</v>
      </c>
      <c r="D721">
        <v>3097414.2259999998</v>
      </c>
      <c r="E721">
        <v>632.27650000000006</v>
      </c>
      <c r="F721">
        <v>5.2</v>
      </c>
      <c r="G721">
        <v>0</v>
      </c>
      <c r="H721" t="s">
        <v>191</v>
      </c>
      <c r="I721">
        <v>2.3E-2</v>
      </c>
      <c r="J721">
        <f t="shared" si="351"/>
        <v>1</v>
      </c>
      <c r="K721">
        <f t="shared" si="352"/>
        <v>51</v>
      </c>
      <c r="L721" t="e">
        <f t="shared" ca="1" si="353"/>
        <v>#VALUE!</v>
      </c>
      <c r="M721" t="e">
        <f t="shared" ca="1" si="326"/>
        <v>#VALUE!</v>
      </c>
      <c r="N721" t="e">
        <f t="shared" ca="1" si="327"/>
        <v>#VALUE!</v>
      </c>
      <c r="O721" t="e">
        <f t="shared" ca="1" si="328"/>
        <v>#VALUE!</v>
      </c>
      <c r="P721" t="e">
        <f t="shared" ca="1" si="329"/>
        <v>#VALUE!</v>
      </c>
      <c r="Q721" t="e">
        <f t="shared" ca="1" si="330"/>
        <v>#VALUE!</v>
      </c>
      <c r="R721" t="e">
        <f t="shared" ca="1" si="331"/>
        <v>#VALUE!</v>
      </c>
      <c r="S721" t="e">
        <f t="shared" ca="1" si="332"/>
        <v>#VALUE!</v>
      </c>
      <c r="T721" t="e">
        <f t="shared" ca="1" si="333"/>
        <v>#VALUE!</v>
      </c>
      <c r="U721" t="e">
        <f t="shared" ca="1" si="354"/>
        <v>#VALUE!</v>
      </c>
      <c r="V721" t="e">
        <f t="shared" ca="1" si="355"/>
        <v>#VALUE!</v>
      </c>
      <c r="W721" t="e">
        <f t="shared" ca="1" si="334"/>
        <v>#VALUE!</v>
      </c>
      <c r="X721" t="e">
        <f t="shared" ca="1" si="335"/>
        <v>#VALUE!</v>
      </c>
      <c r="Y721" t="e">
        <f t="shared" ca="1" si="336"/>
        <v>#VALUE!</v>
      </c>
      <c r="Z721" t="e">
        <f t="shared" ca="1" si="337"/>
        <v>#VALUE!</v>
      </c>
      <c r="AA721" t="e">
        <f t="shared" ca="1" si="338"/>
        <v>#VALUE!</v>
      </c>
      <c r="AB721" t="e">
        <f t="shared" ca="1" si="339"/>
        <v>#VALUE!</v>
      </c>
      <c r="AC721" t="e">
        <f t="shared" ca="1" si="340"/>
        <v>#VALUE!</v>
      </c>
      <c r="AD721" t="e">
        <f t="shared" ca="1" si="341"/>
        <v>#VALUE!</v>
      </c>
      <c r="AE721" t="e">
        <f t="shared" ca="1" si="342"/>
        <v>#VALUE!</v>
      </c>
      <c r="AF721" t="e">
        <f t="shared" ca="1" si="343"/>
        <v>#VALUE!</v>
      </c>
      <c r="AG721" t="e">
        <f t="shared" ca="1" si="344"/>
        <v>#VALUE!</v>
      </c>
      <c r="AH721" t="e">
        <f ca="1">IF(V32="Supercritical",L721,IF(V32="Subcritical",W721,IF(AND(V721=1,AG721=1),IF(T721&gt;=AE721,L721,W721),IF(V721=1,L721,IF(AG721=1,W721,MAX($D$16,POWER((ABS(K721)^2)/($I$5*MAX(F721,0.1)^2),1/3)))))))</f>
        <v>#VALUE!</v>
      </c>
      <c r="AI721" t="e">
        <f t="shared" ca="1" si="345"/>
        <v>#VALUE!</v>
      </c>
      <c r="AJ721" t="e">
        <f t="shared" ca="1" si="346"/>
        <v>#VALUE!</v>
      </c>
      <c r="AM721">
        <v>0</v>
      </c>
      <c r="AN721">
        <v>0</v>
      </c>
      <c r="AO721">
        <f t="shared" si="347"/>
        <v>0</v>
      </c>
      <c r="AP721">
        <f t="shared" si="356"/>
        <v>0</v>
      </c>
      <c r="AQ721" t="e">
        <f t="shared" ca="1" si="348"/>
        <v>#VALUE!</v>
      </c>
      <c r="AR721" t="e">
        <f t="shared" ca="1" si="349"/>
        <v>#VALUE!</v>
      </c>
      <c r="AS721" t="e">
        <f t="shared" ca="1" si="350"/>
        <v>#VALUE!</v>
      </c>
    </row>
    <row r="722" spans="1:45" x14ac:dyDescent="0.35">
      <c r="A722">
        <v>573</v>
      </c>
      <c r="B722">
        <v>571.89599999999996</v>
      </c>
      <c r="C722">
        <v>616170.22600000002</v>
      </c>
      <c r="D722">
        <v>3097413.3450000002</v>
      </c>
      <c r="E722">
        <v>632.27599999999995</v>
      </c>
      <c r="F722">
        <v>5.2</v>
      </c>
      <c r="G722">
        <v>0</v>
      </c>
      <c r="H722" t="s">
        <v>191</v>
      </c>
      <c r="I722">
        <v>2.3E-2</v>
      </c>
      <c r="J722">
        <f t="shared" si="351"/>
        <v>1.0009999999999764</v>
      </c>
      <c r="K722">
        <f t="shared" si="352"/>
        <v>51</v>
      </c>
      <c r="L722" t="e">
        <f t="shared" ca="1" si="353"/>
        <v>#VALUE!</v>
      </c>
      <c r="M722" t="e">
        <f t="shared" ca="1" si="326"/>
        <v>#VALUE!</v>
      </c>
      <c r="N722" t="e">
        <f t="shared" ca="1" si="327"/>
        <v>#VALUE!</v>
      </c>
      <c r="O722" t="e">
        <f t="shared" ca="1" si="328"/>
        <v>#VALUE!</v>
      </c>
      <c r="P722" t="e">
        <f t="shared" ca="1" si="329"/>
        <v>#VALUE!</v>
      </c>
      <c r="Q722" t="e">
        <f t="shared" ca="1" si="330"/>
        <v>#VALUE!</v>
      </c>
      <c r="R722" t="e">
        <f t="shared" ca="1" si="331"/>
        <v>#VALUE!</v>
      </c>
      <c r="S722" t="e">
        <f t="shared" ca="1" si="332"/>
        <v>#VALUE!</v>
      </c>
      <c r="T722" t="e">
        <f t="shared" ca="1" si="333"/>
        <v>#VALUE!</v>
      </c>
      <c r="U722" t="e">
        <f t="shared" ca="1" si="354"/>
        <v>#VALUE!</v>
      </c>
      <c r="V722" t="e">
        <f t="shared" ca="1" si="355"/>
        <v>#VALUE!</v>
      </c>
      <c r="W722" t="e">
        <f t="shared" ca="1" si="334"/>
        <v>#VALUE!</v>
      </c>
      <c r="X722" t="e">
        <f t="shared" ca="1" si="335"/>
        <v>#VALUE!</v>
      </c>
      <c r="Y722" t="e">
        <f t="shared" ca="1" si="336"/>
        <v>#VALUE!</v>
      </c>
      <c r="Z722" t="e">
        <f t="shared" ca="1" si="337"/>
        <v>#VALUE!</v>
      </c>
      <c r="AA722" t="e">
        <f t="shared" ca="1" si="338"/>
        <v>#VALUE!</v>
      </c>
      <c r="AB722" t="e">
        <f t="shared" ca="1" si="339"/>
        <v>#VALUE!</v>
      </c>
      <c r="AC722" t="e">
        <f t="shared" ca="1" si="340"/>
        <v>#VALUE!</v>
      </c>
      <c r="AD722" t="e">
        <f t="shared" ca="1" si="341"/>
        <v>#VALUE!</v>
      </c>
      <c r="AE722" t="e">
        <f t="shared" ca="1" si="342"/>
        <v>#VALUE!</v>
      </c>
      <c r="AF722" t="e">
        <f t="shared" ca="1" si="343"/>
        <v>#VALUE!</v>
      </c>
      <c r="AG722" t="e">
        <f t="shared" ca="1" si="344"/>
        <v>#VALUE!</v>
      </c>
      <c r="AH722" t="e">
        <f ca="1">IF(V32="Supercritical",L722,IF(V32="Subcritical",W722,IF(AND(V722=1,AG722=1),IF(T722&gt;=AE722,L722,W722),IF(V722=1,L722,IF(AG722=1,W722,MAX($D$16,POWER((ABS(K722)^2)/($I$5*MAX(F722,0.1)^2),1/3)))))))</f>
        <v>#VALUE!</v>
      </c>
      <c r="AI722" t="e">
        <f t="shared" ca="1" si="345"/>
        <v>#VALUE!</v>
      </c>
      <c r="AJ722" t="e">
        <f t="shared" ca="1" si="346"/>
        <v>#VALUE!</v>
      </c>
      <c r="AM722">
        <v>0</v>
      </c>
      <c r="AN722">
        <v>0</v>
      </c>
      <c r="AO722">
        <f t="shared" si="347"/>
        <v>0</v>
      </c>
      <c r="AP722">
        <f t="shared" si="356"/>
        <v>0</v>
      </c>
      <c r="AQ722" t="e">
        <f t="shared" ca="1" si="348"/>
        <v>#VALUE!</v>
      </c>
      <c r="AR722" t="e">
        <f t="shared" ca="1" si="349"/>
        <v>#VALUE!</v>
      </c>
      <c r="AS722" t="e">
        <f t="shared" ca="1" si="350"/>
        <v>#VALUE!</v>
      </c>
    </row>
    <row r="723" spans="1:45" x14ac:dyDescent="0.35">
      <c r="A723">
        <v>574</v>
      </c>
      <c r="B723">
        <v>572.89499999999998</v>
      </c>
      <c r="C723">
        <v>616169.75199999998</v>
      </c>
      <c r="D723">
        <v>3097412.4649999999</v>
      </c>
      <c r="E723">
        <v>632.27549999999997</v>
      </c>
      <c r="F723">
        <v>5.2</v>
      </c>
      <c r="G723">
        <v>0</v>
      </c>
      <c r="H723" t="s">
        <v>191</v>
      </c>
      <c r="I723">
        <v>0</v>
      </c>
      <c r="J723">
        <f t="shared" si="351"/>
        <v>0.99900000000002365</v>
      </c>
      <c r="K723">
        <f t="shared" si="352"/>
        <v>51</v>
      </c>
      <c r="L723" t="e">
        <f t="shared" ca="1" si="353"/>
        <v>#VALUE!</v>
      </c>
      <c r="M723" t="e">
        <f t="shared" ca="1" si="326"/>
        <v>#VALUE!</v>
      </c>
      <c r="N723" t="e">
        <f t="shared" ca="1" si="327"/>
        <v>#VALUE!</v>
      </c>
      <c r="O723" t="e">
        <f t="shared" ca="1" si="328"/>
        <v>#VALUE!</v>
      </c>
      <c r="P723" t="e">
        <f t="shared" ca="1" si="329"/>
        <v>#VALUE!</v>
      </c>
      <c r="Q723" t="e">
        <f t="shared" ca="1" si="330"/>
        <v>#VALUE!</v>
      </c>
      <c r="R723" t="e">
        <f t="shared" ca="1" si="331"/>
        <v>#VALUE!</v>
      </c>
      <c r="S723" t="e">
        <f t="shared" ca="1" si="332"/>
        <v>#VALUE!</v>
      </c>
      <c r="T723" t="e">
        <f t="shared" ca="1" si="333"/>
        <v>#VALUE!</v>
      </c>
      <c r="U723" t="e">
        <f t="shared" ca="1" si="354"/>
        <v>#VALUE!</v>
      </c>
      <c r="V723" t="e">
        <f t="shared" ca="1" si="355"/>
        <v>#VALUE!</v>
      </c>
      <c r="W723" t="e">
        <f t="shared" ca="1" si="334"/>
        <v>#VALUE!</v>
      </c>
      <c r="X723" t="e">
        <f t="shared" ca="1" si="335"/>
        <v>#VALUE!</v>
      </c>
      <c r="Y723" t="e">
        <f t="shared" ca="1" si="336"/>
        <v>#VALUE!</v>
      </c>
      <c r="Z723" t="e">
        <f t="shared" ca="1" si="337"/>
        <v>#VALUE!</v>
      </c>
      <c r="AA723" t="e">
        <f t="shared" ca="1" si="338"/>
        <v>#VALUE!</v>
      </c>
      <c r="AB723" t="e">
        <f t="shared" ca="1" si="339"/>
        <v>#VALUE!</v>
      </c>
      <c r="AC723" t="e">
        <f t="shared" ca="1" si="340"/>
        <v>#VALUE!</v>
      </c>
      <c r="AD723" t="e">
        <f t="shared" ca="1" si="341"/>
        <v>#VALUE!</v>
      </c>
      <c r="AE723" t="e">
        <f t="shared" ca="1" si="342"/>
        <v>#VALUE!</v>
      </c>
      <c r="AF723" t="e">
        <f t="shared" ca="1" si="343"/>
        <v>#VALUE!</v>
      </c>
      <c r="AG723" t="e">
        <f t="shared" ca="1" si="344"/>
        <v>#VALUE!</v>
      </c>
      <c r="AH723" t="e">
        <f ca="1">IF(V32="Supercritical",L723,IF(V32="Subcritical",W723,IF(AND(V723=1,AG723=1),IF(T723&gt;=AE723,L723,W723),IF(V723=1,L723,IF(AG723=1,W723,MAX($D$16,POWER((ABS(K723)^2)/($I$5*MAX(F723,0.1)^2),1/3)))))))</f>
        <v>#VALUE!</v>
      </c>
      <c r="AI723" t="e">
        <f t="shared" ca="1" si="345"/>
        <v>#VALUE!</v>
      </c>
      <c r="AJ723" t="e">
        <f t="shared" ca="1" si="346"/>
        <v>#VALUE!</v>
      </c>
      <c r="AM723">
        <v>0</v>
      </c>
      <c r="AN723">
        <v>0</v>
      </c>
      <c r="AO723">
        <f t="shared" si="347"/>
        <v>0</v>
      </c>
      <c r="AP723">
        <f t="shared" si="356"/>
        <v>0</v>
      </c>
      <c r="AQ723" t="e">
        <f t="shared" ca="1" si="348"/>
        <v>#VALUE!</v>
      </c>
      <c r="AR723" t="e">
        <f t="shared" ca="1" si="349"/>
        <v>#VALUE!</v>
      </c>
      <c r="AS723" t="e">
        <f t="shared" ca="1" si="350"/>
        <v>#VALUE!</v>
      </c>
    </row>
    <row r="724" spans="1:45" x14ac:dyDescent="0.35">
      <c r="A724">
        <v>575</v>
      </c>
      <c r="B724">
        <v>573.89499999999998</v>
      </c>
      <c r="C724">
        <v>616169.27800000005</v>
      </c>
      <c r="D724">
        <v>3097411.585</v>
      </c>
      <c r="E724">
        <v>632.27499999999998</v>
      </c>
      <c r="F724">
        <v>5.2</v>
      </c>
      <c r="G724">
        <v>0</v>
      </c>
      <c r="H724" t="s">
        <v>191</v>
      </c>
      <c r="I724">
        <v>2.7E-2</v>
      </c>
      <c r="J724">
        <f t="shared" si="351"/>
        <v>1</v>
      </c>
      <c r="K724">
        <f t="shared" si="352"/>
        <v>51</v>
      </c>
      <c r="L724" t="e">
        <f t="shared" ca="1" si="353"/>
        <v>#VALUE!</v>
      </c>
      <c r="M724" t="e">
        <f t="shared" ca="1" si="326"/>
        <v>#VALUE!</v>
      </c>
      <c r="N724" t="e">
        <f t="shared" ca="1" si="327"/>
        <v>#VALUE!</v>
      </c>
      <c r="O724" t="e">
        <f t="shared" ca="1" si="328"/>
        <v>#VALUE!</v>
      </c>
      <c r="P724" t="e">
        <f t="shared" ca="1" si="329"/>
        <v>#VALUE!</v>
      </c>
      <c r="Q724" t="e">
        <f t="shared" ca="1" si="330"/>
        <v>#VALUE!</v>
      </c>
      <c r="R724" t="e">
        <f t="shared" ca="1" si="331"/>
        <v>#VALUE!</v>
      </c>
      <c r="S724" t="e">
        <f t="shared" ca="1" si="332"/>
        <v>#VALUE!</v>
      </c>
      <c r="T724" t="e">
        <f t="shared" ca="1" si="333"/>
        <v>#VALUE!</v>
      </c>
      <c r="U724" t="e">
        <f t="shared" ca="1" si="354"/>
        <v>#VALUE!</v>
      </c>
      <c r="V724" t="e">
        <f t="shared" ca="1" si="355"/>
        <v>#VALUE!</v>
      </c>
      <c r="W724" t="e">
        <f t="shared" ca="1" si="334"/>
        <v>#VALUE!</v>
      </c>
      <c r="X724" t="e">
        <f t="shared" ca="1" si="335"/>
        <v>#VALUE!</v>
      </c>
      <c r="Y724" t="e">
        <f t="shared" ca="1" si="336"/>
        <v>#VALUE!</v>
      </c>
      <c r="Z724" t="e">
        <f t="shared" ca="1" si="337"/>
        <v>#VALUE!</v>
      </c>
      <c r="AA724" t="e">
        <f t="shared" ca="1" si="338"/>
        <v>#VALUE!</v>
      </c>
      <c r="AB724" t="e">
        <f t="shared" ca="1" si="339"/>
        <v>#VALUE!</v>
      </c>
      <c r="AC724" t="e">
        <f t="shared" ca="1" si="340"/>
        <v>#VALUE!</v>
      </c>
      <c r="AD724" t="e">
        <f t="shared" ca="1" si="341"/>
        <v>#VALUE!</v>
      </c>
      <c r="AE724" t="e">
        <f t="shared" ca="1" si="342"/>
        <v>#VALUE!</v>
      </c>
      <c r="AF724" t="e">
        <f t="shared" ca="1" si="343"/>
        <v>#VALUE!</v>
      </c>
      <c r="AG724" t="e">
        <f t="shared" ca="1" si="344"/>
        <v>#VALUE!</v>
      </c>
      <c r="AH724" t="e">
        <f ca="1">IF(V32="Supercritical",L724,IF(V32="Subcritical",W724,IF(AND(V724=1,AG724=1),IF(T724&gt;=AE724,L724,W724),IF(V724=1,L724,IF(AG724=1,W724,MAX($D$16,POWER((ABS(K724)^2)/($I$5*MAX(F724,0.1)^2),1/3)))))))</f>
        <v>#VALUE!</v>
      </c>
      <c r="AI724" t="e">
        <f t="shared" ca="1" si="345"/>
        <v>#VALUE!</v>
      </c>
      <c r="AJ724" t="e">
        <f t="shared" ca="1" si="346"/>
        <v>#VALUE!</v>
      </c>
      <c r="AM724">
        <v>0</v>
      </c>
      <c r="AN724">
        <v>0</v>
      </c>
      <c r="AO724">
        <f t="shared" si="347"/>
        <v>0</v>
      </c>
      <c r="AP724">
        <f t="shared" si="356"/>
        <v>0</v>
      </c>
      <c r="AQ724" t="e">
        <f t="shared" ca="1" si="348"/>
        <v>#VALUE!</v>
      </c>
      <c r="AR724" t="e">
        <f t="shared" ca="1" si="349"/>
        <v>#VALUE!</v>
      </c>
      <c r="AS724" t="e">
        <f t="shared" ca="1" si="350"/>
        <v>#VALUE!</v>
      </c>
    </row>
    <row r="725" spans="1:45" x14ac:dyDescent="0.35">
      <c r="A725">
        <v>576</v>
      </c>
      <c r="B725">
        <v>574.89499999999998</v>
      </c>
      <c r="C725">
        <v>616168.804</v>
      </c>
      <c r="D725">
        <v>3097410.7039999999</v>
      </c>
      <c r="E725">
        <v>632.27449999999999</v>
      </c>
      <c r="F725">
        <v>5.2</v>
      </c>
      <c r="G725">
        <v>0</v>
      </c>
      <c r="H725" t="s">
        <v>191</v>
      </c>
      <c r="I725">
        <v>2.7E-2</v>
      </c>
      <c r="J725">
        <f t="shared" si="351"/>
        <v>1</v>
      </c>
      <c r="K725">
        <f t="shared" si="352"/>
        <v>51</v>
      </c>
      <c r="L725" t="e">
        <f t="shared" ca="1" si="353"/>
        <v>#VALUE!</v>
      </c>
      <c r="M725" t="e">
        <f t="shared" ca="1" si="326"/>
        <v>#VALUE!</v>
      </c>
      <c r="N725" t="e">
        <f t="shared" ca="1" si="327"/>
        <v>#VALUE!</v>
      </c>
      <c r="O725" t="e">
        <f t="shared" ca="1" si="328"/>
        <v>#VALUE!</v>
      </c>
      <c r="P725" t="e">
        <f t="shared" ca="1" si="329"/>
        <v>#VALUE!</v>
      </c>
      <c r="Q725" t="e">
        <f t="shared" ca="1" si="330"/>
        <v>#VALUE!</v>
      </c>
      <c r="R725" t="e">
        <f t="shared" ca="1" si="331"/>
        <v>#VALUE!</v>
      </c>
      <c r="S725" t="e">
        <f t="shared" ca="1" si="332"/>
        <v>#VALUE!</v>
      </c>
      <c r="T725" t="e">
        <f t="shared" ca="1" si="333"/>
        <v>#VALUE!</v>
      </c>
      <c r="U725" t="e">
        <f t="shared" ca="1" si="354"/>
        <v>#VALUE!</v>
      </c>
      <c r="V725" t="e">
        <f t="shared" ca="1" si="355"/>
        <v>#VALUE!</v>
      </c>
      <c r="W725" t="e">
        <f t="shared" ca="1" si="334"/>
        <v>#VALUE!</v>
      </c>
      <c r="X725" t="e">
        <f t="shared" ca="1" si="335"/>
        <v>#VALUE!</v>
      </c>
      <c r="Y725" t="e">
        <f t="shared" ca="1" si="336"/>
        <v>#VALUE!</v>
      </c>
      <c r="Z725" t="e">
        <f t="shared" ca="1" si="337"/>
        <v>#VALUE!</v>
      </c>
      <c r="AA725" t="e">
        <f t="shared" ca="1" si="338"/>
        <v>#VALUE!</v>
      </c>
      <c r="AB725" t="e">
        <f t="shared" ca="1" si="339"/>
        <v>#VALUE!</v>
      </c>
      <c r="AC725" t="e">
        <f t="shared" ca="1" si="340"/>
        <v>#VALUE!</v>
      </c>
      <c r="AD725" t="e">
        <f t="shared" ca="1" si="341"/>
        <v>#VALUE!</v>
      </c>
      <c r="AE725" t="e">
        <f t="shared" ca="1" si="342"/>
        <v>#VALUE!</v>
      </c>
      <c r="AF725" t="e">
        <f t="shared" ca="1" si="343"/>
        <v>#VALUE!</v>
      </c>
      <c r="AG725" t="e">
        <f t="shared" ca="1" si="344"/>
        <v>#VALUE!</v>
      </c>
      <c r="AH725" t="e">
        <f ca="1">IF(V32="Supercritical",L725,IF(V32="Subcritical",W725,IF(AND(V725=1,AG725=1),IF(T725&gt;=AE725,L725,W725),IF(V725=1,L725,IF(AG725=1,W725,MAX($D$16,POWER((ABS(K725)^2)/($I$5*MAX(F725,0.1)^2),1/3)))))))</f>
        <v>#VALUE!</v>
      </c>
      <c r="AI725" t="e">
        <f t="shared" ca="1" si="345"/>
        <v>#VALUE!</v>
      </c>
      <c r="AJ725" t="e">
        <f t="shared" ca="1" si="346"/>
        <v>#VALUE!</v>
      </c>
      <c r="AM725">
        <v>0</v>
      </c>
      <c r="AN725">
        <v>0</v>
      </c>
      <c r="AO725">
        <f t="shared" si="347"/>
        <v>0</v>
      </c>
      <c r="AP725">
        <f t="shared" si="356"/>
        <v>0</v>
      </c>
      <c r="AQ725" t="e">
        <f t="shared" ca="1" si="348"/>
        <v>#VALUE!</v>
      </c>
      <c r="AR725" t="e">
        <f t="shared" ca="1" si="349"/>
        <v>#VALUE!</v>
      </c>
      <c r="AS725" t="e">
        <f t="shared" ca="1" si="350"/>
        <v>#VALUE!</v>
      </c>
    </row>
    <row r="726" spans="1:45" x14ac:dyDescent="0.35">
      <c r="A726">
        <v>577</v>
      </c>
      <c r="B726">
        <v>575.89499999999998</v>
      </c>
      <c r="C726">
        <v>616168.32999999996</v>
      </c>
      <c r="D726">
        <v>3097409.824</v>
      </c>
      <c r="E726">
        <v>632.274</v>
      </c>
      <c r="F726">
        <v>5.2</v>
      </c>
      <c r="G726">
        <v>0</v>
      </c>
      <c r="H726" t="s">
        <v>191</v>
      </c>
      <c r="I726">
        <v>2.3E-2</v>
      </c>
      <c r="J726">
        <f t="shared" si="351"/>
        <v>1</v>
      </c>
      <c r="K726">
        <f t="shared" si="352"/>
        <v>51</v>
      </c>
      <c r="L726" t="e">
        <f t="shared" ca="1" si="353"/>
        <v>#VALUE!</v>
      </c>
      <c r="M726" t="e">
        <f t="shared" ref="M726:M789" ca="1" si="357">((F726)+(G726)*(L726))*(L726)</f>
        <v>#VALUE!</v>
      </c>
      <c r="N726" t="e">
        <f t="shared" ref="N726:N789" ca="1" si="358">(((F726)+(G726)*(L726))*(L726))/MAX((F726)+2*(L726)*SQRT(1+(G726)^2),0.000001)</f>
        <v>#VALUE!</v>
      </c>
      <c r="O726" t="e">
        <f t="shared" ref="O726:O789" ca="1" si="359">ABS(K726)/MAX(((F726)+(G726)*(L726))*(L726),0.000001)</f>
        <v>#VALUE!</v>
      </c>
      <c r="P726" t="e">
        <f t="shared" ref="P726:P789" ca="1" si="360">E726+L726</f>
        <v>#VALUE!</v>
      </c>
      <c r="Q726" t="e">
        <f t="shared" ref="Q726:Q789" ca="1" si="361">P726+((ABS(K726)/MAX(((F726)+(G726)*(L726))*(L726),0.000001))^2)/(2*$I$5)</f>
        <v>#VALUE!</v>
      </c>
      <c r="R726" t="e">
        <f t="shared" ref="R726:R789" ca="1" si="362">((ABS(K726)*$D$6)/(MAX(((F726)+(G726)*(L726))*(L726),0.000001)*MAX(((((F726)+(G726)*(L726))*(L726))/MAX((F726)+2*(L726)*SQRT(1+(G726)^2),0.000001))^(2/3),0.000001)))^2</f>
        <v>#VALUE!</v>
      </c>
      <c r="S726" t="e">
        <f t="shared" ref="S726:S789" ca="1" si="363">ABS(ABS(K726)/MAX(((F726)+(G726)*(L726))*(L726),0.000001))/SQRT($I$5*MAX((((F726)+(G726)*(L726))*(L726))/MAX((F726)+2*(G726)*(L726),0.000001),0.000001))</f>
        <v>#VALUE!</v>
      </c>
      <c r="T726" t="e">
        <f t="shared" ref="T726:T789" ca="1" si="364">((F726)*(L726)^2)/2+(G726)*(L726)^3/3+(ABS(K726)^2)/($I$5*MAX(((F726)+(G726)*(L726))*(L726),0.000001))</f>
        <v>#VALUE!</v>
      </c>
      <c r="U726" t="e">
        <f t="shared" ca="1" si="354"/>
        <v>#VALUE!</v>
      </c>
      <c r="V726" t="e">
        <f t="shared" ca="1" si="355"/>
        <v>#VALUE!</v>
      </c>
      <c r="W726" t="e">
        <f t="shared" ref="W726:W789" ca="1" si="365">IF($D$20=0,W727,IF(AG727=0,W727,IF(W726=0,W727,IF(ABS(AF726)&gt;$D$19,MAX($D$16,W726+((AF726)*$D$18*IF((AD726)&lt;1,1,-1))),W726))))</f>
        <v>#VALUE!</v>
      </c>
      <c r="X726" t="e">
        <f t="shared" ref="X726:X789" ca="1" si="366">((F726)+(G726)*(W726))*(W726)</f>
        <v>#VALUE!</v>
      </c>
      <c r="Y726" t="e">
        <f t="shared" ref="Y726:Y789" ca="1" si="367">(((F726)+(G726)*(W726))*(W726))/MAX((F726)+2*(W726)*SQRT(1+(G726)^2),0.000001)</f>
        <v>#VALUE!</v>
      </c>
      <c r="Z726" t="e">
        <f t="shared" ref="Z726:Z789" ca="1" si="368">ABS(K726)/MAX(((F726)+(G726)*(W726))*(W726),0.000001)</f>
        <v>#VALUE!</v>
      </c>
      <c r="AA726" t="e">
        <f t="shared" ref="AA726:AA789" ca="1" si="369">E726+W726</f>
        <v>#VALUE!</v>
      </c>
      <c r="AB726" t="e">
        <f t="shared" ref="AB726:AB789" ca="1" si="370">AA726+((ABS(K726)/MAX(((F726)+(G726)*(W726))*(W726),0.000001))^2)/(2*$I$5)</f>
        <v>#VALUE!</v>
      </c>
      <c r="AC726" t="e">
        <f t="shared" ref="AC726:AC789" ca="1" si="371">((ABS(K726)*$D$6)/(MAX(((F726)+(G726)*(W726))*(W726),0.000001)*MAX(((((F726)+(G726)*(W726))*(W726))/MAX((F726)+2*(W726)*SQRT(1+(G726)^2),0.000001))^(2/3),0.000001)))^2</f>
        <v>#VALUE!</v>
      </c>
      <c r="AD726" t="e">
        <f t="shared" ref="AD726:AD789" ca="1" si="372">ABS(ABS(K726)/MAX(((F726)+(G726)*(W726))*(W726),0.000001))/SQRT($I$5*MAX((((F726)+(G726)*(W726))*(W726))/MAX((F726)+2*(G726)*(W726),0.000001),0.000001))</f>
        <v>#VALUE!</v>
      </c>
      <c r="AE726" t="e">
        <f t="shared" ref="AE726:AE789" ca="1" si="373">((F726)*(W726)^2)/2+(G726)*(W726)^3/3+(ABS(K726)^2)/($I$5*MAX(((F726)+(G726)*(W726))*(W726),0.000001))</f>
        <v>#VALUE!</v>
      </c>
      <c r="AF726" t="e">
        <f t="shared" ref="AF726:AF789" ca="1" si="374">AB727+(((AC726+AC727)/2)*J727)+(IF(Z726&gt;Z727,$D$8*((Z726^2-Z727^2)/(2*$I$5)),$D$9*((Z727^2-Z726^2)/(2*$I$5)))+($D$10*(ABS(I727)/90)*(MAX(Z726^2,Z727^2)/(2*$I$5))))-AB726</f>
        <v>#VALUE!</v>
      </c>
      <c r="AG726" t="e">
        <f t="shared" ref="AG726:AG789" ca="1" si="375">IF(ABS(AF726)&lt;$D$19,1,0)</f>
        <v>#VALUE!</v>
      </c>
      <c r="AH726" t="e">
        <f ca="1">IF(V32="Supercritical",L726,IF(V32="Subcritical",W726,IF(AND(V726=1,AG726=1),IF(T726&gt;=AE726,L726,W726),IF(V726=1,L726,IF(AG726=1,W726,MAX($D$16,POWER((ABS(K726)^2)/($I$5*MAX(F726,0.1)^2),1/3)))))))</f>
        <v>#VALUE!</v>
      </c>
      <c r="AI726" t="e">
        <f t="shared" ref="AI726:AI789" ca="1" si="376">E726+AH726</f>
        <v>#VALUE!</v>
      </c>
      <c r="AJ726" t="e">
        <f t="shared" ref="AJ726:AJ789" ca="1" si="377">AI726+((ABS(K726)/MAX(((F726)+(G726)*(AH726))*(AH726),0.000001))^2)/(2*$I$5)</f>
        <v>#VALUE!</v>
      </c>
      <c r="AM726">
        <v>0</v>
      </c>
      <c r="AN726">
        <v>0</v>
      </c>
      <c r="AO726">
        <f t="shared" ref="AO726:AO789" si="378">AM726+AN726</f>
        <v>0</v>
      </c>
      <c r="AP726">
        <f t="shared" si="356"/>
        <v>0</v>
      </c>
      <c r="AQ726" t="e">
        <f t="shared" ref="AQ726:AQ789" ca="1" si="379">ABS(ABS(K726)/MAX(((F726)+(G726)*(AH726))*(AH726),0.000001))/SQRT($I$5*MAX((((F726)+(G726)*(AH726))*(AH726))/MAX((F726)+2*(G726)*(AH726),0.000001),0.000001))</f>
        <v>#VALUE!</v>
      </c>
      <c r="AR726" t="e">
        <f t="shared" ref="AR726:AR789" ca="1" si="380">IF(AQ726&lt;1,"Subcritical","Supercritical")</f>
        <v>#VALUE!</v>
      </c>
      <c r="AS726" t="e">
        <f t="shared" ref="AS726:AS789" ca="1" si="381">((ABS(K726)*$D$6)/(MAX(((F726)+(G726)*(AH726))*(AH726),0.000001)*MAX(((((F726)+(G726)*(AH726))*(AH726))/MAX((F726)+2*(AH726)*SQRT(1+(G726)^2),0.000001))^(2/3),0.000001)))^2</f>
        <v>#VALUE!</v>
      </c>
    </row>
    <row r="727" spans="1:45" x14ac:dyDescent="0.35">
      <c r="A727">
        <v>578</v>
      </c>
      <c r="B727">
        <v>576.89599999999996</v>
      </c>
      <c r="C727">
        <v>616167.85499999998</v>
      </c>
      <c r="D727">
        <v>3097408.943</v>
      </c>
      <c r="E727">
        <v>632.27350000000001</v>
      </c>
      <c r="F727">
        <v>5.2</v>
      </c>
      <c r="G727">
        <v>0</v>
      </c>
      <c r="H727" t="s">
        <v>191</v>
      </c>
      <c r="I727">
        <v>2.3E-2</v>
      </c>
      <c r="J727">
        <f t="shared" ref="J727:J790" si="382">B727-B726</f>
        <v>1.0009999999999764</v>
      </c>
      <c r="K727">
        <f t="shared" ref="K727:K790" si="383">MAX(0,K726-AO726)</f>
        <v>51</v>
      </c>
      <c r="L727" t="e">
        <f t="shared" ref="L727:L790" ca="1" si="384">IF($D$20=0,L726,IF(V726=0,L726,IF(L727=0,L726,IF(ABS(U727)&gt;$D$19,MAX($D$16,L727+((U727)*$D$18*IF((S727)&lt;1,1,-1))),L727))))</f>
        <v>#VALUE!</v>
      </c>
      <c r="M727" t="e">
        <f t="shared" ca="1" si="357"/>
        <v>#VALUE!</v>
      </c>
      <c r="N727" t="e">
        <f t="shared" ca="1" si="358"/>
        <v>#VALUE!</v>
      </c>
      <c r="O727" t="e">
        <f t="shared" ca="1" si="359"/>
        <v>#VALUE!</v>
      </c>
      <c r="P727" t="e">
        <f t="shared" ca="1" si="360"/>
        <v>#VALUE!</v>
      </c>
      <c r="Q727" t="e">
        <f t="shared" ca="1" si="361"/>
        <v>#VALUE!</v>
      </c>
      <c r="R727" t="e">
        <f t="shared" ca="1" si="362"/>
        <v>#VALUE!</v>
      </c>
      <c r="S727" t="e">
        <f t="shared" ca="1" si="363"/>
        <v>#VALUE!</v>
      </c>
      <c r="T727" t="e">
        <f t="shared" ca="1" si="364"/>
        <v>#VALUE!</v>
      </c>
      <c r="U727" t="e">
        <f t="shared" ref="U727:U790" ca="1" si="385">Q726-(((R726+R727)/2)*J727)-(IF(O726&gt;O727,$D$8*((O726^2-O727^2)/(2*$I$5)),$D$9*((O727^2-O726^2)/(2*$I$5)))+($D$10*(ABS(I727)/90)*(MAX(O726^2,O727^2)/(2*$I$5))))-Q727</f>
        <v>#VALUE!</v>
      </c>
      <c r="V727" t="e">
        <f t="shared" ref="V727:V790" ca="1" si="386">IF(ABS(U727)&lt;$D$19,1,0)</f>
        <v>#VALUE!</v>
      </c>
      <c r="W727" t="e">
        <f t="shared" ca="1" si="365"/>
        <v>#VALUE!</v>
      </c>
      <c r="X727" t="e">
        <f t="shared" ca="1" si="366"/>
        <v>#VALUE!</v>
      </c>
      <c r="Y727" t="e">
        <f t="shared" ca="1" si="367"/>
        <v>#VALUE!</v>
      </c>
      <c r="Z727" t="e">
        <f t="shared" ca="1" si="368"/>
        <v>#VALUE!</v>
      </c>
      <c r="AA727" t="e">
        <f t="shared" ca="1" si="369"/>
        <v>#VALUE!</v>
      </c>
      <c r="AB727" t="e">
        <f t="shared" ca="1" si="370"/>
        <v>#VALUE!</v>
      </c>
      <c r="AC727" t="e">
        <f t="shared" ca="1" si="371"/>
        <v>#VALUE!</v>
      </c>
      <c r="AD727" t="e">
        <f t="shared" ca="1" si="372"/>
        <v>#VALUE!</v>
      </c>
      <c r="AE727" t="e">
        <f t="shared" ca="1" si="373"/>
        <v>#VALUE!</v>
      </c>
      <c r="AF727" t="e">
        <f t="shared" ca="1" si="374"/>
        <v>#VALUE!</v>
      </c>
      <c r="AG727" t="e">
        <f t="shared" ca="1" si="375"/>
        <v>#VALUE!</v>
      </c>
      <c r="AH727" t="e">
        <f ca="1">IF(V32="Supercritical",L727,IF(V32="Subcritical",W727,IF(AND(V727=1,AG727=1),IF(T727&gt;=AE727,L727,W727),IF(V727=1,L727,IF(AG727=1,W727,MAX($D$16,POWER((ABS(K727)^2)/($I$5*MAX(F727,0.1)^2),1/3)))))))</f>
        <v>#VALUE!</v>
      </c>
      <c r="AI727" t="e">
        <f t="shared" ca="1" si="376"/>
        <v>#VALUE!</v>
      </c>
      <c r="AJ727" t="e">
        <f t="shared" ca="1" si="377"/>
        <v>#VALUE!</v>
      </c>
      <c r="AM727">
        <v>0</v>
      </c>
      <c r="AN727">
        <v>0</v>
      </c>
      <c r="AO727">
        <f t="shared" si="378"/>
        <v>0</v>
      </c>
      <c r="AP727">
        <f t="shared" ref="AP727:AP790" si="387">AP726+AO727</f>
        <v>0</v>
      </c>
      <c r="AQ727" t="e">
        <f t="shared" ca="1" si="379"/>
        <v>#VALUE!</v>
      </c>
      <c r="AR727" t="e">
        <f t="shared" ca="1" si="380"/>
        <v>#VALUE!</v>
      </c>
      <c r="AS727" t="e">
        <f t="shared" ca="1" si="381"/>
        <v>#VALUE!</v>
      </c>
    </row>
    <row r="728" spans="1:45" x14ac:dyDescent="0.35">
      <c r="A728">
        <v>579</v>
      </c>
      <c r="B728">
        <v>577.89499999999998</v>
      </c>
      <c r="C728">
        <v>616167.38100000005</v>
      </c>
      <c r="D728">
        <v>3097408.0630000001</v>
      </c>
      <c r="E728">
        <v>632.27300000000002</v>
      </c>
      <c r="F728">
        <v>5.2</v>
      </c>
      <c r="G728">
        <v>0</v>
      </c>
      <c r="H728" t="s">
        <v>191</v>
      </c>
      <c r="I728">
        <v>0</v>
      </c>
      <c r="J728">
        <f t="shared" si="382"/>
        <v>0.99900000000002365</v>
      </c>
      <c r="K728">
        <f t="shared" si="383"/>
        <v>51</v>
      </c>
      <c r="L728" t="e">
        <f t="shared" ca="1" si="384"/>
        <v>#VALUE!</v>
      </c>
      <c r="M728" t="e">
        <f t="shared" ca="1" si="357"/>
        <v>#VALUE!</v>
      </c>
      <c r="N728" t="e">
        <f t="shared" ca="1" si="358"/>
        <v>#VALUE!</v>
      </c>
      <c r="O728" t="e">
        <f t="shared" ca="1" si="359"/>
        <v>#VALUE!</v>
      </c>
      <c r="P728" t="e">
        <f t="shared" ca="1" si="360"/>
        <v>#VALUE!</v>
      </c>
      <c r="Q728" t="e">
        <f t="shared" ca="1" si="361"/>
        <v>#VALUE!</v>
      </c>
      <c r="R728" t="e">
        <f t="shared" ca="1" si="362"/>
        <v>#VALUE!</v>
      </c>
      <c r="S728" t="e">
        <f t="shared" ca="1" si="363"/>
        <v>#VALUE!</v>
      </c>
      <c r="T728" t="e">
        <f t="shared" ca="1" si="364"/>
        <v>#VALUE!</v>
      </c>
      <c r="U728" t="e">
        <f t="shared" ca="1" si="385"/>
        <v>#VALUE!</v>
      </c>
      <c r="V728" t="e">
        <f t="shared" ca="1" si="386"/>
        <v>#VALUE!</v>
      </c>
      <c r="W728" t="e">
        <f t="shared" ca="1" si="365"/>
        <v>#VALUE!</v>
      </c>
      <c r="X728" t="e">
        <f t="shared" ca="1" si="366"/>
        <v>#VALUE!</v>
      </c>
      <c r="Y728" t="e">
        <f t="shared" ca="1" si="367"/>
        <v>#VALUE!</v>
      </c>
      <c r="Z728" t="e">
        <f t="shared" ca="1" si="368"/>
        <v>#VALUE!</v>
      </c>
      <c r="AA728" t="e">
        <f t="shared" ca="1" si="369"/>
        <v>#VALUE!</v>
      </c>
      <c r="AB728" t="e">
        <f t="shared" ca="1" si="370"/>
        <v>#VALUE!</v>
      </c>
      <c r="AC728" t="e">
        <f t="shared" ca="1" si="371"/>
        <v>#VALUE!</v>
      </c>
      <c r="AD728" t="e">
        <f t="shared" ca="1" si="372"/>
        <v>#VALUE!</v>
      </c>
      <c r="AE728" t="e">
        <f t="shared" ca="1" si="373"/>
        <v>#VALUE!</v>
      </c>
      <c r="AF728" t="e">
        <f t="shared" ca="1" si="374"/>
        <v>#VALUE!</v>
      </c>
      <c r="AG728" t="e">
        <f t="shared" ca="1" si="375"/>
        <v>#VALUE!</v>
      </c>
      <c r="AH728" t="e">
        <f ca="1">IF(V32="Supercritical",L728,IF(V32="Subcritical",W728,IF(AND(V728=1,AG728=1),IF(T728&gt;=AE728,L728,W728),IF(V728=1,L728,IF(AG728=1,W728,MAX($D$16,POWER((ABS(K728)^2)/($I$5*MAX(F728,0.1)^2),1/3)))))))</f>
        <v>#VALUE!</v>
      </c>
      <c r="AI728" t="e">
        <f t="shared" ca="1" si="376"/>
        <v>#VALUE!</v>
      </c>
      <c r="AJ728" t="e">
        <f t="shared" ca="1" si="377"/>
        <v>#VALUE!</v>
      </c>
      <c r="AM728">
        <v>0</v>
      </c>
      <c r="AN728">
        <v>0</v>
      </c>
      <c r="AO728">
        <f t="shared" si="378"/>
        <v>0</v>
      </c>
      <c r="AP728">
        <f t="shared" si="387"/>
        <v>0</v>
      </c>
      <c r="AQ728" t="e">
        <f t="shared" ca="1" si="379"/>
        <v>#VALUE!</v>
      </c>
      <c r="AR728" t="e">
        <f t="shared" ca="1" si="380"/>
        <v>#VALUE!</v>
      </c>
      <c r="AS728" t="e">
        <f t="shared" ca="1" si="381"/>
        <v>#VALUE!</v>
      </c>
    </row>
    <row r="729" spans="1:45" x14ac:dyDescent="0.35">
      <c r="A729">
        <v>580</v>
      </c>
      <c r="B729">
        <v>578.89499999999998</v>
      </c>
      <c r="C729">
        <v>616166.90700000001</v>
      </c>
      <c r="D729">
        <v>3097407.1830000002</v>
      </c>
      <c r="E729">
        <v>632.27250000000004</v>
      </c>
      <c r="F729">
        <v>5.2</v>
      </c>
      <c r="G729">
        <v>0</v>
      </c>
      <c r="H729" t="s">
        <v>191</v>
      </c>
      <c r="I729">
        <v>2.7E-2</v>
      </c>
      <c r="J729">
        <f t="shared" si="382"/>
        <v>1</v>
      </c>
      <c r="K729">
        <f t="shared" si="383"/>
        <v>51</v>
      </c>
      <c r="L729" t="e">
        <f t="shared" ca="1" si="384"/>
        <v>#VALUE!</v>
      </c>
      <c r="M729" t="e">
        <f t="shared" ca="1" si="357"/>
        <v>#VALUE!</v>
      </c>
      <c r="N729" t="e">
        <f t="shared" ca="1" si="358"/>
        <v>#VALUE!</v>
      </c>
      <c r="O729" t="e">
        <f t="shared" ca="1" si="359"/>
        <v>#VALUE!</v>
      </c>
      <c r="P729" t="e">
        <f t="shared" ca="1" si="360"/>
        <v>#VALUE!</v>
      </c>
      <c r="Q729" t="e">
        <f t="shared" ca="1" si="361"/>
        <v>#VALUE!</v>
      </c>
      <c r="R729" t="e">
        <f t="shared" ca="1" si="362"/>
        <v>#VALUE!</v>
      </c>
      <c r="S729" t="e">
        <f t="shared" ca="1" si="363"/>
        <v>#VALUE!</v>
      </c>
      <c r="T729" t="e">
        <f t="shared" ca="1" si="364"/>
        <v>#VALUE!</v>
      </c>
      <c r="U729" t="e">
        <f t="shared" ca="1" si="385"/>
        <v>#VALUE!</v>
      </c>
      <c r="V729" t="e">
        <f t="shared" ca="1" si="386"/>
        <v>#VALUE!</v>
      </c>
      <c r="W729" t="e">
        <f t="shared" ca="1" si="365"/>
        <v>#VALUE!</v>
      </c>
      <c r="X729" t="e">
        <f t="shared" ca="1" si="366"/>
        <v>#VALUE!</v>
      </c>
      <c r="Y729" t="e">
        <f t="shared" ca="1" si="367"/>
        <v>#VALUE!</v>
      </c>
      <c r="Z729" t="e">
        <f t="shared" ca="1" si="368"/>
        <v>#VALUE!</v>
      </c>
      <c r="AA729" t="e">
        <f t="shared" ca="1" si="369"/>
        <v>#VALUE!</v>
      </c>
      <c r="AB729" t="e">
        <f t="shared" ca="1" si="370"/>
        <v>#VALUE!</v>
      </c>
      <c r="AC729" t="e">
        <f t="shared" ca="1" si="371"/>
        <v>#VALUE!</v>
      </c>
      <c r="AD729" t="e">
        <f t="shared" ca="1" si="372"/>
        <v>#VALUE!</v>
      </c>
      <c r="AE729" t="e">
        <f t="shared" ca="1" si="373"/>
        <v>#VALUE!</v>
      </c>
      <c r="AF729" t="e">
        <f t="shared" ca="1" si="374"/>
        <v>#VALUE!</v>
      </c>
      <c r="AG729" t="e">
        <f t="shared" ca="1" si="375"/>
        <v>#VALUE!</v>
      </c>
      <c r="AH729" t="e">
        <f ca="1">IF(V32="Supercritical",L729,IF(V32="Subcritical",W729,IF(AND(V729=1,AG729=1),IF(T729&gt;=AE729,L729,W729),IF(V729=1,L729,IF(AG729=1,W729,MAX($D$16,POWER((ABS(K729)^2)/($I$5*MAX(F729,0.1)^2),1/3)))))))</f>
        <v>#VALUE!</v>
      </c>
      <c r="AI729" t="e">
        <f t="shared" ca="1" si="376"/>
        <v>#VALUE!</v>
      </c>
      <c r="AJ729" t="e">
        <f t="shared" ca="1" si="377"/>
        <v>#VALUE!</v>
      </c>
      <c r="AM729">
        <v>0</v>
      </c>
      <c r="AN729">
        <v>0</v>
      </c>
      <c r="AO729">
        <f t="shared" si="378"/>
        <v>0</v>
      </c>
      <c r="AP729">
        <f t="shared" si="387"/>
        <v>0</v>
      </c>
      <c r="AQ729" t="e">
        <f t="shared" ca="1" si="379"/>
        <v>#VALUE!</v>
      </c>
      <c r="AR729" t="e">
        <f t="shared" ca="1" si="380"/>
        <v>#VALUE!</v>
      </c>
      <c r="AS729" t="e">
        <f t="shared" ca="1" si="381"/>
        <v>#VALUE!</v>
      </c>
    </row>
    <row r="730" spans="1:45" x14ac:dyDescent="0.35">
      <c r="A730">
        <v>581</v>
      </c>
      <c r="B730">
        <v>579.89499999999998</v>
      </c>
      <c r="C730">
        <v>616166.43299999996</v>
      </c>
      <c r="D730">
        <v>3097406.3020000001</v>
      </c>
      <c r="E730">
        <v>632.27200000000005</v>
      </c>
      <c r="F730">
        <v>5.2</v>
      </c>
      <c r="G730">
        <v>0</v>
      </c>
      <c r="H730" t="s">
        <v>191</v>
      </c>
      <c r="I730">
        <v>7.8E-2</v>
      </c>
      <c r="J730">
        <f t="shared" si="382"/>
        <v>1</v>
      </c>
      <c r="K730">
        <f t="shared" si="383"/>
        <v>51</v>
      </c>
      <c r="L730" t="e">
        <f t="shared" ca="1" si="384"/>
        <v>#VALUE!</v>
      </c>
      <c r="M730" t="e">
        <f t="shared" ca="1" si="357"/>
        <v>#VALUE!</v>
      </c>
      <c r="N730" t="e">
        <f t="shared" ca="1" si="358"/>
        <v>#VALUE!</v>
      </c>
      <c r="O730" t="e">
        <f t="shared" ca="1" si="359"/>
        <v>#VALUE!</v>
      </c>
      <c r="P730" t="e">
        <f t="shared" ca="1" si="360"/>
        <v>#VALUE!</v>
      </c>
      <c r="Q730" t="e">
        <f t="shared" ca="1" si="361"/>
        <v>#VALUE!</v>
      </c>
      <c r="R730" t="e">
        <f t="shared" ca="1" si="362"/>
        <v>#VALUE!</v>
      </c>
      <c r="S730" t="e">
        <f t="shared" ca="1" si="363"/>
        <v>#VALUE!</v>
      </c>
      <c r="T730" t="e">
        <f t="shared" ca="1" si="364"/>
        <v>#VALUE!</v>
      </c>
      <c r="U730" t="e">
        <f t="shared" ca="1" si="385"/>
        <v>#VALUE!</v>
      </c>
      <c r="V730" t="e">
        <f t="shared" ca="1" si="386"/>
        <v>#VALUE!</v>
      </c>
      <c r="W730" t="e">
        <f t="shared" ca="1" si="365"/>
        <v>#VALUE!</v>
      </c>
      <c r="X730" t="e">
        <f t="shared" ca="1" si="366"/>
        <v>#VALUE!</v>
      </c>
      <c r="Y730" t="e">
        <f t="shared" ca="1" si="367"/>
        <v>#VALUE!</v>
      </c>
      <c r="Z730" t="e">
        <f t="shared" ca="1" si="368"/>
        <v>#VALUE!</v>
      </c>
      <c r="AA730" t="e">
        <f t="shared" ca="1" si="369"/>
        <v>#VALUE!</v>
      </c>
      <c r="AB730" t="e">
        <f t="shared" ca="1" si="370"/>
        <v>#VALUE!</v>
      </c>
      <c r="AC730" t="e">
        <f t="shared" ca="1" si="371"/>
        <v>#VALUE!</v>
      </c>
      <c r="AD730" t="e">
        <f t="shared" ca="1" si="372"/>
        <v>#VALUE!</v>
      </c>
      <c r="AE730" t="e">
        <f t="shared" ca="1" si="373"/>
        <v>#VALUE!</v>
      </c>
      <c r="AF730" t="e">
        <f t="shared" ca="1" si="374"/>
        <v>#VALUE!</v>
      </c>
      <c r="AG730" t="e">
        <f t="shared" ca="1" si="375"/>
        <v>#VALUE!</v>
      </c>
      <c r="AH730" t="e">
        <f ca="1">IF(V32="Supercritical",L730,IF(V32="Subcritical",W730,IF(AND(V730=1,AG730=1),IF(T730&gt;=AE730,L730,W730),IF(V730=1,L730,IF(AG730=1,W730,MAX($D$16,POWER((ABS(K730)^2)/($I$5*MAX(F730,0.1)^2),1/3)))))))</f>
        <v>#VALUE!</v>
      </c>
      <c r="AI730" t="e">
        <f t="shared" ca="1" si="376"/>
        <v>#VALUE!</v>
      </c>
      <c r="AJ730" t="e">
        <f t="shared" ca="1" si="377"/>
        <v>#VALUE!</v>
      </c>
      <c r="AM730">
        <v>0</v>
      </c>
      <c r="AN730">
        <v>0</v>
      </c>
      <c r="AO730">
        <f t="shared" si="378"/>
        <v>0</v>
      </c>
      <c r="AP730">
        <f t="shared" si="387"/>
        <v>0</v>
      </c>
      <c r="AQ730" t="e">
        <f t="shared" ca="1" si="379"/>
        <v>#VALUE!</v>
      </c>
      <c r="AR730" t="e">
        <f t="shared" ca="1" si="380"/>
        <v>#VALUE!</v>
      </c>
      <c r="AS730" t="e">
        <f t="shared" ca="1" si="381"/>
        <v>#VALUE!</v>
      </c>
    </row>
    <row r="731" spans="1:45" x14ac:dyDescent="0.35">
      <c r="A731">
        <v>582</v>
      </c>
      <c r="B731">
        <v>580.89499999999998</v>
      </c>
      <c r="C731">
        <v>616165.95799999998</v>
      </c>
      <c r="D731">
        <v>3097405.4219999998</v>
      </c>
      <c r="E731">
        <v>632.27149999999995</v>
      </c>
      <c r="F731">
        <v>5.2</v>
      </c>
      <c r="G731">
        <v>0</v>
      </c>
      <c r="H731" t="s">
        <v>191</v>
      </c>
      <c r="I731">
        <v>7.8E-2</v>
      </c>
      <c r="J731">
        <f t="shared" si="382"/>
        <v>1</v>
      </c>
      <c r="K731">
        <f t="shared" si="383"/>
        <v>51</v>
      </c>
      <c r="L731" t="e">
        <f t="shared" ca="1" si="384"/>
        <v>#VALUE!</v>
      </c>
      <c r="M731" t="e">
        <f t="shared" ca="1" si="357"/>
        <v>#VALUE!</v>
      </c>
      <c r="N731" t="e">
        <f t="shared" ca="1" si="358"/>
        <v>#VALUE!</v>
      </c>
      <c r="O731" t="e">
        <f t="shared" ca="1" si="359"/>
        <v>#VALUE!</v>
      </c>
      <c r="P731" t="e">
        <f t="shared" ca="1" si="360"/>
        <v>#VALUE!</v>
      </c>
      <c r="Q731" t="e">
        <f t="shared" ca="1" si="361"/>
        <v>#VALUE!</v>
      </c>
      <c r="R731" t="e">
        <f t="shared" ca="1" si="362"/>
        <v>#VALUE!</v>
      </c>
      <c r="S731" t="e">
        <f t="shared" ca="1" si="363"/>
        <v>#VALUE!</v>
      </c>
      <c r="T731" t="e">
        <f t="shared" ca="1" si="364"/>
        <v>#VALUE!</v>
      </c>
      <c r="U731" t="e">
        <f t="shared" ca="1" si="385"/>
        <v>#VALUE!</v>
      </c>
      <c r="V731" t="e">
        <f t="shared" ca="1" si="386"/>
        <v>#VALUE!</v>
      </c>
      <c r="W731" t="e">
        <f t="shared" ca="1" si="365"/>
        <v>#VALUE!</v>
      </c>
      <c r="X731" t="e">
        <f t="shared" ca="1" si="366"/>
        <v>#VALUE!</v>
      </c>
      <c r="Y731" t="e">
        <f t="shared" ca="1" si="367"/>
        <v>#VALUE!</v>
      </c>
      <c r="Z731" t="e">
        <f t="shared" ca="1" si="368"/>
        <v>#VALUE!</v>
      </c>
      <c r="AA731" t="e">
        <f t="shared" ca="1" si="369"/>
        <v>#VALUE!</v>
      </c>
      <c r="AB731" t="e">
        <f t="shared" ca="1" si="370"/>
        <v>#VALUE!</v>
      </c>
      <c r="AC731" t="e">
        <f t="shared" ca="1" si="371"/>
        <v>#VALUE!</v>
      </c>
      <c r="AD731" t="e">
        <f t="shared" ca="1" si="372"/>
        <v>#VALUE!</v>
      </c>
      <c r="AE731" t="e">
        <f t="shared" ca="1" si="373"/>
        <v>#VALUE!</v>
      </c>
      <c r="AF731" t="e">
        <f t="shared" ca="1" si="374"/>
        <v>#VALUE!</v>
      </c>
      <c r="AG731" t="e">
        <f t="shared" ca="1" si="375"/>
        <v>#VALUE!</v>
      </c>
      <c r="AH731" t="e">
        <f ca="1">IF(V32="Supercritical",L731,IF(V32="Subcritical",W731,IF(AND(V731=1,AG731=1),IF(T731&gt;=AE731,L731,W731),IF(V731=1,L731,IF(AG731=1,W731,MAX($D$16,POWER((ABS(K731)^2)/($I$5*MAX(F731,0.1)^2),1/3)))))))</f>
        <v>#VALUE!</v>
      </c>
      <c r="AI731" t="e">
        <f t="shared" ca="1" si="376"/>
        <v>#VALUE!</v>
      </c>
      <c r="AJ731" t="e">
        <f t="shared" ca="1" si="377"/>
        <v>#VALUE!</v>
      </c>
      <c r="AM731">
        <v>0</v>
      </c>
      <c r="AN731">
        <v>0</v>
      </c>
      <c r="AO731">
        <f t="shared" si="378"/>
        <v>0</v>
      </c>
      <c r="AP731">
        <f t="shared" si="387"/>
        <v>0</v>
      </c>
      <c r="AQ731" t="e">
        <f t="shared" ca="1" si="379"/>
        <v>#VALUE!</v>
      </c>
      <c r="AR731" t="e">
        <f t="shared" ca="1" si="380"/>
        <v>#VALUE!</v>
      </c>
      <c r="AS731" t="e">
        <f t="shared" ca="1" si="381"/>
        <v>#VALUE!</v>
      </c>
    </row>
    <row r="732" spans="1:45" x14ac:dyDescent="0.35">
      <c r="A732">
        <v>583</v>
      </c>
      <c r="B732">
        <v>581.89599999999996</v>
      </c>
      <c r="C732">
        <v>616165.48400000005</v>
      </c>
      <c r="D732">
        <v>3097404.5410000002</v>
      </c>
      <c r="E732">
        <v>632.27099999999996</v>
      </c>
      <c r="F732">
        <v>5.2</v>
      </c>
      <c r="G732">
        <v>0</v>
      </c>
      <c r="H732" t="s">
        <v>191</v>
      </c>
      <c r="I732">
        <v>2.7E-2</v>
      </c>
      <c r="J732">
        <f t="shared" si="382"/>
        <v>1.0009999999999764</v>
      </c>
      <c r="K732">
        <f t="shared" si="383"/>
        <v>51</v>
      </c>
      <c r="L732" t="e">
        <f t="shared" ca="1" si="384"/>
        <v>#VALUE!</v>
      </c>
      <c r="M732" t="e">
        <f t="shared" ca="1" si="357"/>
        <v>#VALUE!</v>
      </c>
      <c r="N732" t="e">
        <f t="shared" ca="1" si="358"/>
        <v>#VALUE!</v>
      </c>
      <c r="O732" t="e">
        <f t="shared" ca="1" si="359"/>
        <v>#VALUE!</v>
      </c>
      <c r="P732" t="e">
        <f t="shared" ca="1" si="360"/>
        <v>#VALUE!</v>
      </c>
      <c r="Q732" t="e">
        <f t="shared" ca="1" si="361"/>
        <v>#VALUE!</v>
      </c>
      <c r="R732" t="e">
        <f t="shared" ca="1" si="362"/>
        <v>#VALUE!</v>
      </c>
      <c r="S732" t="e">
        <f t="shared" ca="1" si="363"/>
        <v>#VALUE!</v>
      </c>
      <c r="T732" t="e">
        <f t="shared" ca="1" si="364"/>
        <v>#VALUE!</v>
      </c>
      <c r="U732" t="e">
        <f t="shared" ca="1" si="385"/>
        <v>#VALUE!</v>
      </c>
      <c r="V732" t="e">
        <f t="shared" ca="1" si="386"/>
        <v>#VALUE!</v>
      </c>
      <c r="W732" t="e">
        <f t="shared" ca="1" si="365"/>
        <v>#VALUE!</v>
      </c>
      <c r="X732" t="e">
        <f t="shared" ca="1" si="366"/>
        <v>#VALUE!</v>
      </c>
      <c r="Y732" t="e">
        <f t="shared" ca="1" si="367"/>
        <v>#VALUE!</v>
      </c>
      <c r="Z732" t="e">
        <f t="shared" ca="1" si="368"/>
        <v>#VALUE!</v>
      </c>
      <c r="AA732" t="e">
        <f t="shared" ca="1" si="369"/>
        <v>#VALUE!</v>
      </c>
      <c r="AB732" t="e">
        <f t="shared" ca="1" si="370"/>
        <v>#VALUE!</v>
      </c>
      <c r="AC732" t="e">
        <f t="shared" ca="1" si="371"/>
        <v>#VALUE!</v>
      </c>
      <c r="AD732" t="e">
        <f t="shared" ca="1" si="372"/>
        <v>#VALUE!</v>
      </c>
      <c r="AE732" t="e">
        <f t="shared" ca="1" si="373"/>
        <v>#VALUE!</v>
      </c>
      <c r="AF732" t="e">
        <f t="shared" ca="1" si="374"/>
        <v>#VALUE!</v>
      </c>
      <c r="AG732" t="e">
        <f t="shared" ca="1" si="375"/>
        <v>#VALUE!</v>
      </c>
      <c r="AH732" t="e">
        <f ca="1">IF(V32="Supercritical",L732,IF(V32="Subcritical",W732,IF(AND(V732=1,AG732=1),IF(T732&gt;=AE732,L732,W732),IF(V732=1,L732,IF(AG732=1,W732,MAX($D$16,POWER((ABS(K732)^2)/($I$5*MAX(F732,0.1)^2),1/3)))))))</f>
        <v>#VALUE!</v>
      </c>
      <c r="AI732" t="e">
        <f t="shared" ca="1" si="376"/>
        <v>#VALUE!</v>
      </c>
      <c r="AJ732" t="e">
        <f t="shared" ca="1" si="377"/>
        <v>#VALUE!</v>
      </c>
      <c r="AM732">
        <v>0</v>
      </c>
      <c r="AN732">
        <v>0</v>
      </c>
      <c r="AO732">
        <f t="shared" si="378"/>
        <v>0</v>
      </c>
      <c r="AP732">
        <f t="shared" si="387"/>
        <v>0</v>
      </c>
      <c r="AQ732" t="e">
        <f t="shared" ca="1" si="379"/>
        <v>#VALUE!</v>
      </c>
      <c r="AR732" t="e">
        <f t="shared" ca="1" si="380"/>
        <v>#VALUE!</v>
      </c>
      <c r="AS732" t="e">
        <f t="shared" ca="1" si="381"/>
        <v>#VALUE!</v>
      </c>
    </row>
    <row r="733" spans="1:45" x14ac:dyDescent="0.35">
      <c r="A733">
        <v>584</v>
      </c>
      <c r="B733">
        <v>582.89499999999998</v>
      </c>
      <c r="C733">
        <v>616165.01</v>
      </c>
      <c r="D733">
        <v>3097403.6609999998</v>
      </c>
      <c r="E733">
        <v>632.27049999999997</v>
      </c>
      <c r="F733">
        <v>5.2</v>
      </c>
      <c r="G733">
        <v>0</v>
      </c>
      <c r="H733" t="s">
        <v>191</v>
      </c>
      <c r="I733">
        <v>0</v>
      </c>
      <c r="J733">
        <f t="shared" si="382"/>
        <v>0.99900000000002365</v>
      </c>
      <c r="K733">
        <f t="shared" si="383"/>
        <v>51</v>
      </c>
      <c r="L733" t="e">
        <f t="shared" ca="1" si="384"/>
        <v>#VALUE!</v>
      </c>
      <c r="M733" t="e">
        <f t="shared" ca="1" si="357"/>
        <v>#VALUE!</v>
      </c>
      <c r="N733" t="e">
        <f t="shared" ca="1" si="358"/>
        <v>#VALUE!</v>
      </c>
      <c r="O733" t="e">
        <f t="shared" ca="1" si="359"/>
        <v>#VALUE!</v>
      </c>
      <c r="P733" t="e">
        <f t="shared" ca="1" si="360"/>
        <v>#VALUE!</v>
      </c>
      <c r="Q733" t="e">
        <f t="shared" ca="1" si="361"/>
        <v>#VALUE!</v>
      </c>
      <c r="R733" t="e">
        <f t="shared" ca="1" si="362"/>
        <v>#VALUE!</v>
      </c>
      <c r="S733" t="e">
        <f t="shared" ca="1" si="363"/>
        <v>#VALUE!</v>
      </c>
      <c r="T733" t="e">
        <f t="shared" ca="1" si="364"/>
        <v>#VALUE!</v>
      </c>
      <c r="U733" t="e">
        <f t="shared" ca="1" si="385"/>
        <v>#VALUE!</v>
      </c>
      <c r="V733" t="e">
        <f t="shared" ca="1" si="386"/>
        <v>#VALUE!</v>
      </c>
      <c r="W733" t="e">
        <f t="shared" ca="1" si="365"/>
        <v>#VALUE!</v>
      </c>
      <c r="X733" t="e">
        <f t="shared" ca="1" si="366"/>
        <v>#VALUE!</v>
      </c>
      <c r="Y733" t="e">
        <f t="shared" ca="1" si="367"/>
        <v>#VALUE!</v>
      </c>
      <c r="Z733" t="e">
        <f t="shared" ca="1" si="368"/>
        <v>#VALUE!</v>
      </c>
      <c r="AA733" t="e">
        <f t="shared" ca="1" si="369"/>
        <v>#VALUE!</v>
      </c>
      <c r="AB733" t="e">
        <f t="shared" ca="1" si="370"/>
        <v>#VALUE!</v>
      </c>
      <c r="AC733" t="e">
        <f t="shared" ca="1" si="371"/>
        <v>#VALUE!</v>
      </c>
      <c r="AD733" t="e">
        <f t="shared" ca="1" si="372"/>
        <v>#VALUE!</v>
      </c>
      <c r="AE733" t="e">
        <f t="shared" ca="1" si="373"/>
        <v>#VALUE!</v>
      </c>
      <c r="AF733" t="e">
        <f t="shared" ca="1" si="374"/>
        <v>#VALUE!</v>
      </c>
      <c r="AG733" t="e">
        <f t="shared" ca="1" si="375"/>
        <v>#VALUE!</v>
      </c>
      <c r="AH733" t="e">
        <f ca="1">IF(V32="Supercritical",L733,IF(V32="Subcritical",W733,IF(AND(V733=1,AG733=1),IF(T733&gt;=AE733,L733,W733),IF(V733=1,L733,IF(AG733=1,W733,MAX($D$16,POWER((ABS(K733)^2)/($I$5*MAX(F733,0.1)^2),1/3)))))))</f>
        <v>#VALUE!</v>
      </c>
      <c r="AI733" t="e">
        <f t="shared" ca="1" si="376"/>
        <v>#VALUE!</v>
      </c>
      <c r="AJ733" t="e">
        <f t="shared" ca="1" si="377"/>
        <v>#VALUE!</v>
      </c>
      <c r="AM733">
        <v>0</v>
      </c>
      <c r="AN733">
        <v>0</v>
      </c>
      <c r="AO733">
        <f t="shared" si="378"/>
        <v>0</v>
      </c>
      <c r="AP733">
        <f t="shared" si="387"/>
        <v>0</v>
      </c>
      <c r="AQ733" t="e">
        <f t="shared" ca="1" si="379"/>
        <v>#VALUE!</v>
      </c>
      <c r="AR733" t="e">
        <f t="shared" ca="1" si="380"/>
        <v>#VALUE!</v>
      </c>
      <c r="AS733" t="e">
        <f t="shared" ca="1" si="381"/>
        <v>#VALUE!</v>
      </c>
    </row>
    <row r="734" spans="1:45" x14ac:dyDescent="0.35">
      <c r="A734">
        <v>585</v>
      </c>
      <c r="B734">
        <v>583.89499999999998</v>
      </c>
      <c r="C734">
        <v>616164.53599999996</v>
      </c>
      <c r="D734">
        <v>3097402.781</v>
      </c>
      <c r="E734">
        <v>632.27</v>
      </c>
      <c r="F734">
        <v>5.2</v>
      </c>
      <c r="G734">
        <v>0</v>
      </c>
      <c r="H734" t="s">
        <v>191</v>
      </c>
      <c r="I734">
        <v>2.3E-2</v>
      </c>
      <c r="J734">
        <f t="shared" si="382"/>
        <v>1</v>
      </c>
      <c r="K734">
        <f t="shared" si="383"/>
        <v>51</v>
      </c>
      <c r="L734" t="e">
        <f t="shared" ca="1" si="384"/>
        <v>#VALUE!</v>
      </c>
      <c r="M734" t="e">
        <f t="shared" ca="1" si="357"/>
        <v>#VALUE!</v>
      </c>
      <c r="N734" t="e">
        <f t="shared" ca="1" si="358"/>
        <v>#VALUE!</v>
      </c>
      <c r="O734" t="e">
        <f t="shared" ca="1" si="359"/>
        <v>#VALUE!</v>
      </c>
      <c r="P734" t="e">
        <f t="shared" ca="1" si="360"/>
        <v>#VALUE!</v>
      </c>
      <c r="Q734" t="e">
        <f t="shared" ca="1" si="361"/>
        <v>#VALUE!</v>
      </c>
      <c r="R734" t="e">
        <f t="shared" ca="1" si="362"/>
        <v>#VALUE!</v>
      </c>
      <c r="S734" t="e">
        <f t="shared" ca="1" si="363"/>
        <v>#VALUE!</v>
      </c>
      <c r="T734" t="e">
        <f t="shared" ca="1" si="364"/>
        <v>#VALUE!</v>
      </c>
      <c r="U734" t="e">
        <f t="shared" ca="1" si="385"/>
        <v>#VALUE!</v>
      </c>
      <c r="V734" t="e">
        <f t="shared" ca="1" si="386"/>
        <v>#VALUE!</v>
      </c>
      <c r="W734" t="e">
        <f t="shared" ca="1" si="365"/>
        <v>#VALUE!</v>
      </c>
      <c r="X734" t="e">
        <f t="shared" ca="1" si="366"/>
        <v>#VALUE!</v>
      </c>
      <c r="Y734" t="e">
        <f t="shared" ca="1" si="367"/>
        <v>#VALUE!</v>
      </c>
      <c r="Z734" t="e">
        <f t="shared" ca="1" si="368"/>
        <v>#VALUE!</v>
      </c>
      <c r="AA734" t="e">
        <f t="shared" ca="1" si="369"/>
        <v>#VALUE!</v>
      </c>
      <c r="AB734" t="e">
        <f t="shared" ca="1" si="370"/>
        <v>#VALUE!</v>
      </c>
      <c r="AC734" t="e">
        <f t="shared" ca="1" si="371"/>
        <v>#VALUE!</v>
      </c>
      <c r="AD734" t="e">
        <f t="shared" ca="1" si="372"/>
        <v>#VALUE!</v>
      </c>
      <c r="AE734" t="e">
        <f t="shared" ca="1" si="373"/>
        <v>#VALUE!</v>
      </c>
      <c r="AF734" t="e">
        <f t="shared" ca="1" si="374"/>
        <v>#VALUE!</v>
      </c>
      <c r="AG734" t="e">
        <f t="shared" ca="1" si="375"/>
        <v>#VALUE!</v>
      </c>
      <c r="AH734" t="e">
        <f ca="1">IF(V32="Supercritical",L734,IF(V32="Subcritical",W734,IF(AND(V734=1,AG734=1),IF(T734&gt;=AE734,L734,W734),IF(V734=1,L734,IF(AG734=1,W734,MAX($D$16,POWER((ABS(K734)^2)/($I$5*MAX(F734,0.1)^2),1/3)))))))</f>
        <v>#VALUE!</v>
      </c>
      <c r="AI734" t="e">
        <f t="shared" ca="1" si="376"/>
        <v>#VALUE!</v>
      </c>
      <c r="AJ734" t="e">
        <f t="shared" ca="1" si="377"/>
        <v>#VALUE!</v>
      </c>
      <c r="AM734">
        <v>0</v>
      </c>
      <c r="AN734">
        <v>0</v>
      </c>
      <c r="AO734">
        <f t="shared" si="378"/>
        <v>0</v>
      </c>
      <c r="AP734">
        <f t="shared" si="387"/>
        <v>0</v>
      </c>
      <c r="AQ734" t="e">
        <f t="shared" ca="1" si="379"/>
        <v>#VALUE!</v>
      </c>
      <c r="AR734" t="e">
        <f t="shared" ca="1" si="380"/>
        <v>#VALUE!</v>
      </c>
      <c r="AS734" t="e">
        <f t="shared" ca="1" si="381"/>
        <v>#VALUE!</v>
      </c>
    </row>
    <row r="735" spans="1:45" x14ac:dyDescent="0.35">
      <c r="A735">
        <v>586</v>
      </c>
      <c r="B735">
        <v>584.89599999999996</v>
      </c>
      <c r="C735">
        <v>616164.06099999999</v>
      </c>
      <c r="D735">
        <v>3097401.9</v>
      </c>
      <c r="E735">
        <v>632.26949999999999</v>
      </c>
      <c r="F735">
        <v>5.2</v>
      </c>
      <c r="G735">
        <v>0</v>
      </c>
      <c r="H735" t="s">
        <v>191</v>
      </c>
      <c r="I735">
        <v>2.3E-2</v>
      </c>
      <c r="J735">
        <f t="shared" si="382"/>
        <v>1.0009999999999764</v>
      </c>
      <c r="K735">
        <f t="shared" si="383"/>
        <v>51</v>
      </c>
      <c r="L735" t="e">
        <f t="shared" ca="1" si="384"/>
        <v>#VALUE!</v>
      </c>
      <c r="M735" t="e">
        <f t="shared" ca="1" si="357"/>
        <v>#VALUE!</v>
      </c>
      <c r="N735" t="e">
        <f t="shared" ca="1" si="358"/>
        <v>#VALUE!</v>
      </c>
      <c r="O735" t="e">
        <f t="shared" ca="1" si="359"/>
        <v>#VALUE!</v>
      </c>
      <c r="P735" t="e">
        <f t="shared" ca="1" si="360"/>
        <v>#VALUE!</v>
      </c>
      <c r="Q735" t="e">
        <f t="shared" ca="1" si="361"/>
        <v>#VALUE!</v>
      </c>
      <c r="R735" t="e">
        <f t="shared" ca="1" si="362"/>
        <v>#VALUE!</v>
      </c>
      <c r="S735" t="e">
        <f t="shared" ca="1" si="363"/>
        <v>#VALUE!</v>
      </c>
      <c r="T735" t="e">
        <f t="shared" ca="1" si="364"/>
        <v>#VALUE!</v>
      </c>
      <c r="U735" t="e">
        <f t="shared" ca="1" si="385"/>
        <v>#VALUE!</v>
      </c>
      <c r="V735" t="e">
        <f t="shared" ca="1" si="386"/>
        <v>#VALUE!</v>
      </c>
      <c r="W735" t="e">
        <f t="shared" ca="1" si="365"/>
        <v>#VALUE!</v>
      </c>
      <c r="X735" t="e">
        <f t="shared" ca="1" si="366"/>
        <v>#VALUE!</v>
      </c>
      <c r="Y735" t="e">
        <f t="shared" ca="1" si="367"/>
        <v>#VALUE!</v>
      </c>
      <c r="Z735" t="e">
        <f t="shared" ca="1" si="368"/>
        <v>#VALUE!</v>
      </c>
      <c r="AA735" t="e">
        <f t="shared" ca="1" si="369"/>
        <v>#VALUE!</v>
      </c>
      <c r="AB735" t="e">
        <f t="shared" ca="1" si="370"/>
        <v>#VALUE!</v>
      </c>
      <c r="AC735" t="e">
        <f t="shared" ca="1" si="371"/>
        <v>#VALUE!</v>
      </c>
      <c r="AD735" t="e">
        <f t="shared" ca="1" si="372"/>
        <v>#VALUE!</v>
      </c>
      <c r="AE735" t="e">
        <f t="shared" ca="1" si="373"/>
        <v>#VALUE!</v>
      </c>
      <c r="AF735" t="e">
        <f t="shared" ca="1" si="374"/>
        <v>#VALUE!</v>
      </c>
      <c r="AG735" t="e">
        <f t="shared" ca="1" si="375"/>
        <v>#VALUE!</v>
      </c>
      <c r="AH735" t="e">
        <f ca="1">IF(V32="Supercritical",L735,IF(V32="Subcritical",W735,IF(AND(V735=1,AG735=1),IF(T735&gt;=AE735,L735,W735),IF(V735=1,L735,IF(AG735=1,W735,MAX($D$16,POWER((ABS(K735)^2)/($I$5*MAX(F735,0.1)^2),1/3)))))))</f>
        <v>#VALUE!</v>
      </c>
      <c r="AI735" t="e">
        <f t="shared" ca="1" si="376"/>
        <v>#VALUE!</v>
      </c>
      <c r="AJ735" t="e">
        <f t="shared" ca="1" si="377"/>
        <v>#VALUE!</v>
      </c>
      <c r="AM735">
        <v>0</v>
      </c>
      <c r="AN735">
        <v>0</v>
      </c>
      <c r="AO735">
        <f t="shared" si="378"/>
        <v>0</v>
      </c>
      <c r="AP735">
        <f t="shared" si="387"/>
        <v>0</v>
      </c>
      <c r="AQ735" t="e">
        <f t="shared" ca="1" si="379"/>
        <v>#VALUE!</v>
      </c>
      <c r="AR735" t="e">
        <f t="shared" ca="1" si="380"/>
        <v>#VALUE!</v>
      </c>
      <c r="AS735" t="e">
        <f t="shared" ca="1" si="381"/>
        <v>#VALUE!</v>
      </c>
    </row>
    <row r="736" spans="1:45" x14ac:dyDescent="0.35">
      <c r="A736">
        <v>587</v>
      </c>
      <c r="B736">
        <v>585.89499999999998</v>
      </c>
      <c r="C736">
        <v>616163.58700000006</v>
      </c>
      <c r="D736">
        <v>3097401.02</v>
      </c>
      <c r="E736">
        <v>632.26900000000001</v>
      </c>
      <c r="F736">
        <v>5.2</v>
      </c>
      <c r="G736">
        <v>0</v>
      </c>
      <c r="H736" t="s">
        <v>191</v>
      </c>
      <c r="I736">
        <v>2.7E-2</v>
      </c>
      <c r="J736">
        <f t="shared" si="382"/>
        <v>0.99900000000002365</v>
      </c>
      <c r="K736">
        <f t="shared" si="383"/>
        <v>51</v>
      </c>
      <c r="L736" t="e">
        <f t="shared" ca="1" si="384"/>
        <v>#VALUE!</v>
      </c>
      <c r="M736" t="e">
        <f t="shared" ca="1" si="357"/>
        <v>#VALUE!</v>
      </c>
      <c r="N736" t="e">
        <f t="shared" ca="1" si="358"/>
        <v>#VALUE!</v>
      </c>
      <c r="O736" t="e">
        <f t="shared" ca="1" si="359"/>
        <v>#VALUE!</v>
      </c>
      <c r="P736" t="e">
        <f t="shared" ca="1" si="360"/>
        <v>#VALUE!</v>
      </c>
      <c r="Q736" t="e">
        <f t="shared" ca="1" si="361"/>
        <v>#VALUE!</v>
      </c>
      <c r="R736" t="e">
        <f t="shared" ca="1" si="362"/>
        <v>#VALUE!</v>
      </c>
      <c r="S736" t="e">
        <f t="shared" ca="1" si="363"/>
        <v>#VALUE!</v>
      </c>
      <c r="T736" t="e">
        <f t="shared" ca="1" si="364"/>
        <v>#VALUE!</v>
      </c>
      <c r="U736" t="e">
        <f t="shared" ca="1" si="385"/>
        <v>#VALUE!</v>
      </c>
      <c r="V736" t="e">
        <f t="shared" ca="1" si="386"/>
        <v>#VALUE!</v>
      </c>
      <c r="W736" t="e">
        <f t="shared" ca="1" si="365"/>
        <v>#VALUE!</v>
      </c>
      <c r="X736" t="e">
        <f t="shared" ca="1" si="366"/>
        <v>#VALUE!</v>
      </c>
      <c r="Y736" t="e">
        <f t="shared" ca="1" si="367"/>
        <v>#VALUE!</v>
      </c>
      <c r="Z736" t="e">
        <f t="shared" ca="1" si="368"/>
        <v>#VALUE!</v>
      </c>
      <c r="AA736" t="e">
        <f t="shared" ca="1" si="369"/>
        <v>#VALUE!</v>
      </c>
      <c r="AB736" t="e">
        <f t="shared" ca="1" si="370"/>
        <v>#VALUE!</v>
      </c>
      <c r="AC736" t="e">
        <f t="shared" ca="1" si="371"/>
        <v>#VALUE!</v>
      </c>
      <c r="AD736" t="e">
        <f t="shared" ca="1" si="372"/>
        <v>#VALUE!</v>
      </c>
      <c r="AE736" t="e">
        <f t="shared" ca="1" si="373"/>
        <v>#VALUE!</v>
      </c>
      <c r="AF736" t="e">
        <f t="shared" ca="1" si="374"/>
        <v>#VALUE!</v>
      </c>
      <c r="AG736" t="e">
        <f t="shared" ca="1" si="375"/>
        <v>#VALUE!</v>
      </c>
      <c r="AH736" t="e">
        <f ca="1">IF(V32="Supercritical",L736,IF(V32="Subcritical",W736,IF(AND(V736=1,AG736=1),IF(T736&gt;=AE736,L736,W736),IF(V736=1,L736,IF(AG736=1,W736,MAX($D$16,POWER((ABS(K736)^2)/($I$5*MAX(F736,0.1)^2),1/3)))))))</f>
        <v>#VALUE!</v>
      </c>
      <c r="AI736" t="e">
        <f t="shared" ca="1" si="376"/>
        <v>#VALUE!</v>
      </c>
      <c r="AJ736" t="e">
        <f t="shared" ca="1" si="377"/>
        <v>#VALUE!</v>
      </c>
      <c r="AM736">
        <v>0</v>
      </c>
      <c r="AN736">
        <v>0</v>
      </c>
      <c r="AO736">
        <f t="shared" si="378"/>
        <v>0</v>
      </c>
      <c r="AP736">
        <f t="shared" si="387"/>
        <v>0</v>
      </c>
      <c r="AQ736" t="e">
        <f t="shared" ca="1" si="379"/>
        <v>#VALUE!</v>
      </c>
      <c r="AR736" t="e">
        <f t="shared" ca="1" si="380"/>
        <v>#VALUE!</v>
      </c>
      <c r="AS736" t="e">
        <f t="shared" ca="1" si="381"/>
        <v>#VALUE!</v>
      </c>
    </row>
    <row r="737" spans="1:45" x14ac:dyDescent="0.35">
      <c r="A737">
        <v>588</v>
      </c>
      <c r="B737">
        <v>586.89599999999996</v>
      </c>
      <c r="C737">
        <v>616163.11300000001</v>
      </c>
      <c r="D737">
        <v>3097400.139</v>
      </c>
      <c r="E737">
        <v>632.26850000000002</v>
      </c>
      <c r="F737">
        <v>5.2</v>
      </c>
      <c r="G737">
        <v>0</v>
      </c>
      <c r="H737" t="s">
        <v>191</v>
      </c>
      <c r="I737">
        <v>2.7E-2</v>
      </c>
      <c r="J737">
        <f t="shared" si="382"/>
        <v>1.0009999999999764</v>
      </c>
      <c r="K737">
        <f t="shared" si="383"/>
        <v>51</v>
      </c>
      <c r="L737" t="e">
        <f t="shared" ca="1" si="384"/>
        <v>#VALUE!</v>
      </c>
      <c r="M737" t="e">
        <f t="shared" ca="1" si="357"/>
        <v>#VALUE!</v>
      </c>
      <c r="N737" t="e">
        <f t="shared" ca="1" si="358"/>
        <v>#VALUE!</v>
      </c>
      <c r="O737" t="e">
        <f t="shared" ca="1" si="359"/>
        <v>#VALUE!</v>
      </c>
      <c r="P737" t="e">
        <f t="shared" ca="1" si="360"/>
        <v>#VALUE!</v>
      </c>
      <c r="Q737" t="e">
        <f t="shared" ca="1" si="361"/>
        <v>#VALUE!</v>
      </c>
      <c r="R737" t="e">
        <f t="shared" ca="1" si="362"/>
        <v>#VALUE!</v>
      </c>
      <c r="S737" t="e">
        <f t="shared" ca="1" si="363"/>
        <v>#VALUE!</v>
      </c>
      <c r="T737" t="e">
        <f t="shared" ca="1" si="364"/>
        <v>#VALUE!</v>
      </c>
      <c r="U737" t="e">
        <f t="shared" ca="1" si="385"/>
        <v>#VALUE!</v>
      </c>
      <c r="V737" t="e">
        <f t="shared" ca="1" si="386"/>
        <v>#VALUE!</v>
      </c>
      <c r="W737" t="e">
        <f t="shared" ca="1" si="365"/>
        <v>#VALUE!</v>
      </c>
      <c r="X737" t="e">
        <f t="shared" ca="1" si="366"/>
        <v>#VALUE!</v>
      </c>
      <c r="Y737" t="e">
        <f t="shared" ca="1" si="367"/>
        <v>#VALUE!</v>
      </c>
      <c r="Z737" t="e">
        <f t="shared" ca="1" si="368"/>
        <v>#VALUE!</v>
      </c>
      <c r="AA737" t="e">
        <f t="shared" ca="1" si="369"/>
        <v>#VALUE!</v>
      </c>
      <c r="AB737" t="e">
        <f t="shared" ca="1" si="370"/>
        <v>#VALUE!</v>
      </c>
      <c r="AC737" t="e">
        <f t="shared" ca="1" si="371"/>
        <v>#VALUE!</v>
      </c>
      <c r="AD737" t="e">
        <f t="shared" ca="1" si="372"/>
        <v>#VALUE!</v>
      </c>
      <c r="AE737" t="e">
        <f t="shared" ca="1" si="373"/>
        <v>#VALUE!</v>
      </c>
      <c r="AF737" t="e">
        <f t="shared" ca="1" si="374"/>
        <v>#VALUE!</v>
      </c>
      <c r="AG737" t="e">
        <f t="shared" ca="1" si="375"/>
        <v>#VALUE!</v>
      </c>
      <c r="AH737" t="e">
        <f ca="1">IF(V32="Supercritical",L737,IF(V32="Subcritical",W737,IF(AND(V737=1,AG737=1),IF(T737&gt;=AE737,L737,W737),IF(V737=1,L737,IF(AG737=1,W737,MAX($D$16,POWER((ABS(K737)^2)/($I$5*MAX(F737,0.1)^2),1/3)))))))</f>
        <v>#VALUE!</v>
      </c>
      <c r="AI737" t="e">
        <f t="shared" ca="1" si="376"/>
        <v>#VALUE!</v>
      </c>
      <c r="AJ737" t="e">
        <f t="shared" ca="1" si="377"/>
        <v>#VALUE!</v>
      </c>
      <c r="AM737">
        <v>0</v>
      </c>
      <c r="AN737">
        <v>0</v>
      </c>
      <c r="AO737">
        <f t="shared" si="378"/>
        <v>0</v>
      </c>
      <c r="AP737">
        <f t="shared" si="387"/>
        <v>0</v>
      </c>
      <c r="AQ737" t="e">
        <f t="shared" ca="1" si="379"/>
        <v>#VALUE!</v>
      </c>
      <c r="AR737" t="e">
        <f t="shared" ca="1" si="380"/>
        <v>#VALUE!</v>
      </c>
      <c r="AS737" t="e">
        <f t="shared" ca="1" si="381"/>
        <v>#VALUE!</v>
      </c>
    </row>
    <row r="738" spans="1:45" x14ac:dyDescent="0.35">
      <c r="A738">
        <v>589</v>
      </c>
      <c r="B738">
        <v>587.89499999999998</v>
      </c>
      <c r="C738">
        <v>616162.63899999997</v>
      </c>
      <c r="D738">
        <v>3097399.2590000001</v>
      </c>
      <c r="E738">
        <v>632.26800000000003</v>
      </c>
      <c r="F738">
        <v>5.2</v>
      </c>
      <c r="G738">
        <v>0</v>
      </c>
      <c r="H738" t="s">
        <v>191</v>
      </c>
      <c r="I738">
        <v>0</v>
      </c>
      <c r="J738">
        <f t="shared" si="382"/>
        <v>0.99900000000002365</v>
      </c>
      <c r="K738">
        <f t="shared" si="383"/>
        <v>51</v>
      </c>
      <c r="L738" t="e">
        <f t="shared" ca="1" si="384"/>
        <v>#VALUE!</v>
      </c>
      <c r="M738" t="e">
        <f t="shared" ca="1" si="357"/>
        <v>#VALUE!</v>
      </c>
      <c r="N738" t="e">
        <f t="shared" ca="1" si="358"/>
        <v>#VALUE!</v>
      </c>
      <c r="O738" t="e">
        <f t="shared" ca="1" si="359"/>
        <v>#VALUE!</v>
      </c>
      <c r="P738" t="e">
        <f t="shared" ca="1" si="360"/>
        <v>#VALUE!</v>
      </c>
      <c r="Q738" t="e">
        <f t="shared" ca="1" si="361"/>
        <v>#VALUE!</v>
      </c>
      <c r="R738" t="e">
        <f t="shared" ca="1" si="362"/>
        <v>#VALUE!</v>
      </c>
      <c r="S738" t="e">
        <f t="shared" ca="1" si="363"/>
        <v>#VALUE!</v>
      </c>
      <c r="T738" t="e">
        <f t="shared" ca="1" si="364"/>
        <v>#VALUE!</v>
      </c>
      <c r="U738" t="e">
        <f t="shared" ca="1" si="385"/>
        <v>#VALUE!</v>
      </c>
      <c r="V738" t="e">
        <f t="shared" ca="1" si="386"/>
        <v>#VALUE!</v>
      </c>
      <c r="W738" t="e">
        <f t="shared" ca="1" si="365"/>
        <v>#VALUE!</v>
      </c>
      <c r="X738" t="e">
        <f t="shared" ca="1" si="366"/>
        <v>#VALUE!</v>
      </c>
      <c r="Y738" t="e">
        <f t="shared" ca="1" si="367"/>
        <v>#VALUE!</v>
      </c>
      <c r="Z738" t="e">
        <f t="shared" ca="1" si="368"/>
        <v>#VALUE!</v>
      </c>
      <c r="AA738" t="e">
        <f t="shared" ca="1" si="369"/>
        <v>#VALUE!</v>
      </c>
      <c r="AB738" t="e">
        <f t="shared" ca="1" si="370"/>
        <v>#VALUE!</v>
      </c>
      <c r="AC738" t="e">
        <f t="shared" ca="1" si="371"/>
        <v>#VALUE!</v>
      </c>
      <c r="AD738" t="e">
        <f t="shared" ca="1" si="372"/>
        <v>#VALUE!</v>
      </c>
      <c r="AE738" t="e">
        <f t="shared" ca="1" si="373"/>
        <v>#VALUE!</v>
      </c>
      <c r="AF738" t="e">
        <f t="shared" ca="1" si="374"/>
        <v>#VALUE!</v>
      </c>
      <c r="AG738" t="e">
        <f t="shared" ca="1" si="375"/>
        <v>#VALUE!</v>
      </c>
      <c r="AH738" t="e">
        <f ca="1">IF(V32="Supercritical",L738,IF(V32="Subcritical",W738,IF(AND(V738=1,AG738=1),IF(T738&gt;=AE738,L738,W738),IF(V738=1,L738,IF(AG738=1,W738,MAX($D$16,POWER((ABS(K738)^2)/($I$5*MAX(F738,0.1)^2),1/3)))))))</f>
        <v>#VALUE!</v>
      </c>
      <c r="AI738" t="e">
        <f t="shared" ca="1" si="376"/>
        <v>#VALUE!</v>
      </c>
      <c r="AJ738" t="e">
        <f t="shared" ca="1" si="377"/>
        <v>#VALUE!</v>
      </c>
      <c r="AM738">
        <v>0</v>
      </c>
      <c r="AN738">
        <v>0</v>
      </c>
      <c r="AO738">
        <f t="shared" si="378"/>
        <v>0</v>
      </c>
      <c r="AP738">
        <f t="shared" si="387"/>
        <v>0</v>
      </c>
      <c r="AQ738" t="e">
        <f t="shared" ca="1" si="379"/>
        <v>#VALUE!</v>
      </c>
      <c r="AR738" t="e">
        <f t="shared" ca="1" si="380"/>
        <v>#VALUE!</v>
      </c>
      <c r="AS738" t="e">
        <f t="shared" ca="1" si="381"/>
        <v>#VALUE!</v>
      </c>
    </row>
    <row r="739" spans="1:45" x14ac:dyDescent="0.35">
      <c r="A739">
        <v>590</v>
      </c>
      <c r="B739">
        <v>588.89499999999998</v>
      </c>
      <c r="C739">
        <v>616162.16500000004</v>
      </c>
      <c r="D739">
        <v>3097398.3790000002</v>
      </c>
      <c r="E739">
        <v>632.26750000000004</v>
      </c>
      <c r="F739">
        <v>5.2</v>
      </c>
      <c r="G739">
        <v>0</v>
      </c>
      <c r="H739" t="s">
        <v>191</v>
      </c>
      <c r="I739">
        <v>2.3E-2</v>
      </c>
      <c r="J739">
        <f t="shared" si="382"/>
        <v>1</v>
      </c>
      <c r="K739">
        <f t="shared" si="383"/>
        <v>51</v>
      </c>
      <c r="L739" t="e">
        <f t="shared" ca="1" si="384"/>
        <v>#VALUE!</v>
      </c>
      <c r="M739" t="e">
        <f t="shared" ca="1" si="357"/>
        <v>#VALUE!</v>
      </c>
      <c r="N739" t="e">
        <f t="shared" ca="1" si="358"/>
        <v>#VALUE!</v>
      </c>
      <c r="O739" t="e">
        <f t="shared" ca="1" si="359"/>
        <v>#VALUE!</v>
      </c>
      <c r="P739" t="e">
        <f t="shared" ca="1" si="360"/>
        <v>#VALUE!</v>
      </c>
      <c r="Q739" t="e">
        <f t="shared" ca="1" si="361"/>
        <v>#VALUE!</v>
      </c>
      <c r="R739" t="e">
        <f t="shared" ca="1" si="362"/>
        <v>#VALUE!</v>
      </c>
      <c r="S739" t="e">
        <f t="shared" ca="1" si="363"/>
        <v>#VALUE!</v>
      </c>
      <c r="T739" t="e">
        <f t="shared" ca="1" si="364"/>
        <v>#VALUE!</v>
      </c>
      <c r="U739" t="e">
        <f t="shared" ca="1" si="385"/>
        <v>#VALUE!</v>
      </c>
      <c r="V739" t="e">
        <f t="shared" ca="1" si="386"/>
        <v>#VALUE!</v>
      </c>
      <c r="W739" t="e">
        <f t="shared" ca="1" si="365"/>
        <v>#VALUE!</v>
      </c>
      <c r="X739" t="e">
        <f t="shared" ca="1" si="366"/>
        <v>#VALUE!</v>
      </c>
      <c r="Y739" t="e">
        <f t="shared" ca="1" si="367"/>
        <v>#VALUE!</v>
      </c>
      <c r="Z739" t="e">
        <f t="shared" ca="1" si="368"/>
        <v>#VALUE!</v>
      </c>
      <c r="AA739" t="e">
        <f t="shared" ca="1" si="369"/>
        <v>#VALUE!</v>
      </c>
      <c r="AB739" t="e">
        <f t="shared" ca="1" si="370"/>
        <v>#VALUE!</v>
      </c>
      <c r="AC739" t="e">
        <f t="shared" ca="1" si="371"/>
        <v>#VALUE!</v>
      </c>
      <c r="AD739" t="e">
        <f t="shared" ca="1" si="372"/>
        <v>#VALUE!</v>
      </c>
      <c r="AE739" t="e">
        <f t="shared" ca="1" si="373"/>
        <v>#VALUE!</v>
      </c>
      <c r="AF739" t="e">
        <f t="shared" ca="1" si="374"/>
        <v>#VALUE!</v>
      </c>
      <c r="AG739" t="e">
        <f t="shared" ca="1" si="375"/>
        <v>#VALUE!</v>
      </c>
      <c r="AH739" t="e">
        <f ca="1">IF(V32="Supercritical",L739,IF(V32="Subcritical",W739,IF(AND(V739=1,AG739=1),IF(T739&gt;=AE739,L739,W739),IF(V739=1,L739,IF(AG739=1,W739,MAX($D$16,POWER((ABS(K739)^2)/($I$5*MAX(F739,0.1)^2),1/3)))))))</f>
        <v>#VALUE!</v>
      </c>
      <c r="AI739" t="e">
        <f t="shared" ca="1" si="376"/>
        <v>#VALUE!</v>
      </c>
      <c r="AJ739" t="e">
        <f t="shared" ca="1" si="377"/>
        <v>#VALUE!</v>
      </c>
      <c r="AM739">
        <v>0</v>
      </c>
      <c r="AN739">
        <v>0</v>
      </c>
      <c r="AO739">
        <f t="shared" si="378"/>
        <v>0</v>
      </c>
      <c r="AP739">
        <f t="shared" si="387"/>
        <v>0</v>
      </c>
      <c r="AQ739" t="e">
        <f t="shared" ca="1" si="379"/>
        <v>#VALUE!</v>
      </c>
      <c r="AR739" t="e">
        <f t="shared" ca="1" si="380"/>
        <v>#VALUE!</v>
      </c>
      <c r="AS739" t="e">
        <f t="shared" ca="1" si="381"/>
        <v>#VALUE!</v>
      </c>
    </row>
    <row r="740" spans="1:45" x14ac:dyDescent="0.35">
      <c r="A740">
        <v>591</v>
      </c>
      <c r="B740">
        <v>589.89599999999996</v>
      </c>
      <c r="C740">
        <v>616161.68999999994</v>
      </c>
      <c r="D740">
        <v>3097397.4980000001</v>
      </c>
      <c r="E740">
        <v>632.26700000000005</v>
      </c>
      <c r="F740">
        <v>5.2</v>
      </c>
      <c r="G740">
        <v>0</v>
      </c>
      <c r="H740" t="s">
        <v>191</v>
      </c>
      <c r="I740">
        <v>2.3E-2</v>
      </c>
      <c r="J740">
        <f t="shared" si="382"/>
        <v>1.0009999999999764</v>
      </c>
      <c r="K740">
        <f t="shared" si="383"/>
        <v>51</v>
      </c>
      <c r="L740" t="e">
        <f t="shared" ca="1" si="384"/>
        <v>#VALUE!</v>
      </c>
      <c r="M740" t="e">
        <f t="shared" ca="1" si="357"/>
        <v>#VALUE!</v>
      </c>
      <c r="N740" t="e">
        <f t="shared" ca="1" si="358"/>
        <v>#VALUE!</v>
      </c>
      <c r="O740" t="e">
        <f t="shared" ca="1" si="359"/>
        <v>#VALUE!</v>
      </c>
      <c r="P740" t="e">
        <f t="shared" ca="1" si="360"/>
        <v>#VALUE!</v>
      </c>
      <c r="Q740" t="e">
        <f t="shared" ca="1" si="361"/>
        <v>#VALUE!</v>
      </c>
      <c r="R740" t="e">
        <f t="shared" ca="1" si="362"/>
        <v>#VALUE!</v>
      </c>
      <c r="S740" t="e">
        <f t="shared" ca="1" si="363"/>
        <v>#VALUE!</v>
      </c>
      <c r="T740" t="e">
        <f t="shared" ca="1" si="364"/>
        <v>#VALUE!</v>
      </c>
      <c r="U740" t="e">
        <f t="shared" ca="1" si="385"/>
        <v>#VALUE!</v>
      </c>
      <c r="V740" t="e">
        <f t="shared" ca="1" si="386"/>
        <v>#VALUE!</v>
      </c>
      <c r="W740" t="e">
        <f t="shared" ca="1" si="365"/>
        <v>#VALUE!</v>
      </c>
      <c r="X740" t="e">
        <f t="shared" ca="1" si="366"/>
        <v>#VALUE!</v>
      </c>
      <c r="Y740" t="e">
        <f t="shared" ca="1" si="367"/>
        <v>#VALUE!</v>
      </c>
      <c r="Z740" t="e">
        <f t="shared" ca="1" si="368"/>
        <v>#VALUE!</v>
      </c>
      <c r="AA740" t="e">
        <f t="shared" ca="1" si="369"/>
        <v>#VALUE!</v>
      </c>
      <c r="AB740" t="e">
        <f t="shared" ca="1" si="370"/>
        <v>#VALUE!</v>
      </c>
      <c r="AC740" t="e">
        <f t="shared" ca="1" si="371"/>
        <v>#VALUE!</v>
      </c>
      <c r="AD740" t="e">
        <f t="shared" ca="1" si="372"/>
        <v>#VALUE!</v>
      </c>
      <c r="AE740" t="e">
        <f t="shared" ca="1" si="373"/>
        <v>#VALUE!</v>
      </c>
      <c r="AF740" t="e">
        <f t="shared" ca="1" si="374"/>
        <v>#VALUE!</v>
      </c>
      <c r="AG740" t="e">
        <f t="shared" ca="1" si="375"/>
        <v>#VALUE!</v>
      </c>
      <c r="AH740" t="e">
        <f ca="1">IF(V32="Supercritical",L740,IF(V32="Subcritical",W740,IF(AND(V740=1,AG740=1),IF(T740&gt;=AE740,L740,W740),IF(V740=1,L740,IF(AG740=1,W740,MAX($D$16,POWER((ABS(K740)^2)/($I$5*MAX(F740,0.1)^2),1/3)))))))</f>
        <v>#VALUE!</v>
      </c>
      <c r="AI740" t="e">
        <f t="shared" ca="1" si="376"/>
        <v>#VALUE!</v>
      </c>
      <c r="AJ740" t="e">
        <f t="shared" ca="1" si="377"/>
        <v>#VALUE!</v>
      </c>
      <c r="AM740">
        <v>0</v>
      </c>
      <c r="AN740">
        <v>0</v>
      </c>
      <c r="AO740">
        <f t="shared" si="378"/>
        <v>0</v>
      </c>
      <c r="AP740">
        <f t="shared" si="387"/>
        <v>0</v>
      </c>
      <c r="AQ740" t="e">
        <f t="shared" ca="1" si="379"/>
        <v>#VALUE!</v>
      </c>
      <c r="AR740" t="e">
        <f t="shared" ca="1" si="380"/>
        <v>#VALUE!</v>
      </c>
      <c r="AS740" t="e">
        <f t="shared" ca="1" si="381"/>
        <v>#VALUE!</v>
      </c>
    </row>
    <row r="741" spans="1:45" x14ac:dyDescent="0.35">
      <c r="A741">
        <v>592</v>
      </c>
      <c r="B741">
        <v>590.89499999999998</v>
      </c>
      <c r="C741">
        <v>616161.21600000001</v>
      </c>
      <c r="D741">
        <v>3097396.6179999998</v>
      </c>
      <c r="E741">
        <v>632.26649999999995</v>
      </c>
      <c r="F741">
        <v>5.2</v>
      </c>
      <c r="G741">
        <v>0</v>
      </c>
      <c r="H741" t="s">
        <v>191</v>
      </c>
      <c r="I741">
        <v>2.7E-2</v>
      </c>
      <c r="J741">
        <f t="shared" si="382"/>
        <v>0.99900000000002365</v>
      </c>
      <c r="K741">
        <f t="shared" si="383"/>
        <v>51</v>
      </c>
      <c r="L741" t="e">
        <f t="shared" ca="1" si="384"/>
        <v>#VALUE!</v>
      </c>
      <c r="M741" t="e">
        <f t="shared" ca="1" si="357"/>
        <v>#VALUE!</v>
      </c>
      <c r="N741" t="e">
        <f t="shared" ca="1" si="358"/>
        <v>#VALUE!</v>
      </c>
      <c r="O741" t="e">
        <f t="shared" ca="1" si="359"/>
        <v>#VALUE!</v>
      </c>
      <c r="P741" t="e">
        <f t="shared" ca="1" si="360"/>
        <v>#VALUE!</v>
      </c>
      <c r="Q741" t="e">
        <f t="shared" ca="1" si="361"/>
        <v>#VALUE!</v>
      </c>
      <c r="R741" t="e">
        <f t="shared" ca="1" si="362"/>
        <v>#VALUE!</v>
      </c>
      <c r="S741" t="e">
        <f t="shared" ca="1" si="363"/>
        <v>#VALUE!</v>
      </c>
      <c r="T741" t="e">
        <f t="shared" ca="1" si="364"/>
        <v>#VALUE!</v>
      </c>
      <c r="U741" t="e">
        <f t="shared" ca="1" si="385"/>
        <v>#VALUE!</v>
      </c>
      <c r="V741" t="e">
        <f t="shared" ca="1" si="386"/>
        <v>#VALUE!</v>
      </c>
      <c r="W741" t="e">
        <f t="shared" ca="1" si="365"/>
        <v>#VALUE!</v>
      </c>
      <c r="X741" t="e">
        <f t="shared" ca="1" si="366"/>
        <v>#VALUE!</v>
      </c>
      <c r="Y741" t="e">
        <f t="shared" ca="1" si="367"/>
        <v>#VALUE!</v>
      </c>
      <c r="Z741" t="e">
        <f t="shared" ca="1" si="368"/>
        <v>#VALUE!</v>
      </c>
      <c r="AA741" t="e">
        <f t="shared" ca="1" si="369"/>
        <v>#VALUE!</v>
      </c>
      <c r="AB741" t="e">
        <f t="shared" ca="1" si="370"/>
        <v>#VALUE!</v>
      </c>
      <c r="AC741" t="e">
        <f t="shared" ca="1" si="371"/>
        <v>#VALUE!</v>
      </c>
      <c r="AD741" t="e">
        <f t="shared" ca="1" si="372"/>
        <v>#VALUE!</v>
      </c>
      <c r="AE741" t="e">
        <f t="shared" ca="1" si="373"/>
        <v>#VALUE!</v>
      </c>
      <c r="AF741" t="e">
        <f t="shared" ca="1" si="374"/>
        <v>#VALUE!</v>
      </c>
      <c r="AG741" t="e">
        <f t="shared" ca="1" si="375"/>
        <v>#VALUE!</v>
      </c>
      <c r="AH741" t="e">
        <f ca="1">IF(V32="Supercritical",L741,IF(V32="Subcritical",W741,IF(AND(V741=1,AG741=1),IF(T741&gt;=AE741,L741,W741),IF(V741=1,L741,IF(AG741=1,W741,MAX($D$16,POWER((ABS(K741)^2)/($I$5*MAX(F741,0.1)^2),1/3)))))))</f>
        <v>#VALUE!</v>
      </c>
      <c r="AI741" t="e">
        <f t="shared" ca="1" si="376"/>
        <v>#VALUE!</v>
      </c>
      <c r="AJ741" t="e">
        <f t="shared" ca="1" si="377"/>
        <v>#VALUE!</v>
      </c>
      <c r="AM741">
        <v>0</v>
      </c>
      <c r="AN741">
        <v>0</v>
      </c>
      <c r="AO741">
        <f t="shared" si="378"/>
        <v>0</v>
      </c>
      <c r="AP741">
        <f t="shared" si="387"/>
        <v>0</v>
      </c>
      <c r="AQ741" t="e">
        <f t="shared" ca="1" si="379"/>
        <v>#VALUE!</v>
      </c>
      <c r="AR741" t="e">
        <f t="shared" ca="1" si="380"/>
        <v>#VALUE!</v>
      </c>
      <c r="AS741" t="e">
        <f t="shared" ca="1" si="381"/>
        <v>#VALUE!</v>
      </c>
    </row>
    <row r="742" spans="1:45" x14ac:dyDescent="0.35">
      <c r="A742">
        <v>593</v>
      </c>
      <c r="B742">
        <v>591.89599999999996</v>
      </c>
      <c r="C742">
        <v>616160.74199999997</v>
      </c>
      <c r="D742">
        <v>3097395.7370000002</v>
      </c>
      <c r="E742">
        <v>632.26599999999996</v>
      </c>
      <c r="F742">
        <v>5.2</v>
      </c>
      <c r="G742">
        <v>0</v>
      </c>
      <c r="H742" t="s">
        <v>191</v>
      </c>
      <c r="I742">
        <v>2.7E-2</v>
      </c>
      <c r="J742">
        <f t="shared" si="382"/>
        <v>1.0009999999999764</v>
      </c>
      <c r="K742">
        <f t="shared" si="383"/>
        <v>51</v>
      </c>
      <c r="L742" t="e">
        <f t="shared" ca="1" si="384"/>
        <v>#VALUE!</v>
      </c>
      <c r="M742" t="e">
        <f t="shared" ca="1" si="357"/>
        <v>#VALUE!</v>
      </c>
      <c r="N742" t="e">
        <f t="shared" ca="1" si="358"/>
        <v>#VALUE!</v>
      </c>
      <c r="O742" t="e">
        <f t="shared" ca="1" si="359"/>
        <v>#VALUE!</v>
      </c>
      <c r="P742" t="e">
        <f t="shared" ca="1" si="360"/>
        <v>#VALUE!</v>
      </c>
      <c r="Q742" t="e">
        <f t="shared" ca="1" si="361"/>
        <v>#VALUE!</v>
      </c>
      <c r="R742" t="e">
        <f t="shared" ca="1" si="362"/>
        <v>#VALUE!</v>
      </c>
      <c r="S742" t="e">
        <f t="shared" ca="1" si="363"/>
        <v>#VALUE!</v>
      </c>
      <c r="T742" t="e">
        <f t="shared" ca="1" si="364"/>
        <v>#VALUE!</v>
      </c>
      <c r="U742" t="e">
        <f t="shared" ca="1" si="385"/>
        <v>#VALUE!</v>
      </c>
      <c r="V742" t="e">
        <f t="shared" ca="1" si="386"/>
        <v>#VALUE!</v>
      </c>
      <c r="W742" t="e">
        <f t="shared" ca="1" si="365"/>
        <v>#VALUE!</v>
      </c>
      <c r="X742" t="e">
        <f t="shared" ca="1" si="366"/>
        <v>#VALUE!</v>
      </c>
      <c r="Y742" t="e">
        <f t="shared" ca="1" si="367"/>
        <v>#VALUE!</v>
      </c>
      <c r="Z742" t="e">
        <f t="shared" ca="1" si="368"/>
        <v>#VALUE!</v>
      </c>
      <c r="AA742" t="e">
        <f t="shared" ca="1" si="369"/>
        <v>#VALUE!</v>
      </c>
      <c r="AB742" t="e">
        <f t="shared" ca="1" si="370"/>
        <v>#VALUE!</v>
      </c>
      <c r="AC742" t="e">
        <f t="shared" ca="1" si="371"/>
        <v>#VALUE!</v>
      </c>
      <c r="AD742" t="e">
        <f t="shared" ca="1" si="372"/>
        <v>#VALUE!</v>
      </c>
      <c r="AE742" t="e">
        <f t="shared" ca="1" si="373"/>
        <v>#VALUE!</v>
      </c>
      <c r="AF742" t="e">
        <f t="shared" ca="1" si="374"/>
        <v>#VALUE!</v>
      </c>
      <c r="AG742" t="e">
        <f t="shared" ca="1" si="375"/>
        <v>#VALUE!</v>
      </c>
      <c r="AH742" t="e">
        <f ca="1">IF(V32="Supercritical",L742,IF(V32="Subcritical",W742,IF(AND(V742=1,AG742=1),IF(T742&gt;=AE742,L742,W742),IF(V742=1,L742,IF(AG742=1,W742,MAX($D$16,POWER((ABS(K742)^2)/($I$5*MAX(F742,0.1)^2),1/3)))))))</f>
        <v>#VALUE!</v>
      </c>
      <c r="AI742" t="e">
        <f t="shared" ca="1" si="376"/>
        <v>#VALUE!</v>
      </c>
      <c r="AJ742" t="e">
        <f t="shared" ca="1" si="377"/>
        <v>#VALUE!</v>
      </c>
      <c r="AM742">
        <v>0</v>
      </c>
      <c r="AN742">
        <v>0</v>
      </c>
      <c r="AO742">
        <f t="shared" si="378"/>
        <v>0</v>
      </c>
      <c r="AP742">
        <f t="shared" si="387"/>
        <v>0</v>
      </c>
      <c r="AQ742" t="e">
        <f t="shared" ca="1" si="379"/>
        <v>#VALUE!</v>
      </c>
      <c r="AR742" t="e">
        <f t="shared" ca="1" si="380"/>
        <v>#VALUE!</v>
      </c>
      <c r="AS742" t="e">
        <f t="shared" ca="1" si="381"/>
        <v>#VALUE!</v>
      </c>
    </row>
    <row r="743" spans="1:45" x14ac:dyDescent="0.35">
      <c r="A743">
        <v>594</v>
      </c>
      <c r="B743">
        <v>592.89499999999998</v>
      </c>
      <c r="C743">
        <v>616160.26800000004</v>
      </c>
      <c r="D743">
        <v>3097394.8569999998</v>
      </c>
      <c r="E743">
        <v>632.26549999999997</v>
      </c>
      <c r="F743">
        <v>5.2</v>
      </c>
      <c r="G743">
        <v>0</v>
      </c>
      <c r="H743" t="s">
        <v>191</v>
      </c>
      <c r="I743">
        <v>0.05</v>
      </c>
      <c r="J743">
        <f t="shared" si="382"/>
        <v>0.99900000000002365</v>
      </c>
      <c r="K743">
        <f t="shared" si="383"/>
        <v>51</v>
      </c>
      <c r="L743" t="e">
        <f t="shared" ca="1" si="384"/>
        <v>#VALUE!</v>
      </c>
      <c r="M743" t="e">
        <f t="shared" ca="1" si="357"/>
        <v>#VALUE!</v>
      </c>
      <c r="N743" t="e">
        <f t="shared" ca="1" si="358"/>
        <v>#VALUE!</v>
      </c>
      <c r="O743" t="e">
        <f t="shared" ca="1" si="359"/>
        <v>#VALUE!</v>
      </c>
      <c r="P743" t="e">
        <f t="shared" ca="1" si="360"/>
        <v>#VALUE!</v>
      </c>
      <c r="Q743" t="e">
        <f t="shared" ca="1" si="361"/>
        <v>#VALUE!</v>
      </c>
      <c r="R743" t="e">
        <f t="shared" ca="1" si="362"/>
        <v>#VALUE!</v>
      </c>
      <c r="S743" t="e">
        <f t="shared" ca="1" si="363"/>
        <v>#VALUE!</v>
      </c>
      <c r="T743" t="e">
        <f t="shared" ca="1" si="364"/>
        <v>#VALUE!</v>
      </c>
      <c r="U743" t="e">
        <f t="shared" ca="1" si="385"/>
        <v>#VALUE!</v>
      </c>
      <c r="V743" t="e">
        <f t="shared" ca="1" si="386"/>
        <v>#VALUE!</v>
      </c>
      <c r="W743" t="e">
        <f t="shared" ca="1" si="365"/>
        <v>#VALUE!</v>
      </c>
      <c r="X743" t="e">
        <f t="shared" ca="1" si="366"/>
        <v>#VALUE!</v>
      </c>
      <c r="Y743" t="e">
        <f t="shared" ca="1" si="367"/>
        <v>#VALUE!</v>
      </c>
      <c r="Z743" t="e">
        <f t="shared" ca="1" si="368"/>
        <v>#VALUE!</v>
      </c>
      <c r="AA743" t="e">
        <f t="shared" ca="1" si="369"/>
        <v>#VALUE!</v>
      </c>
      <c r="AB743" t="e">
        <f t="shared" ca="1" si="370"/>
        <v>#VALUE!</v>
      </c>
      <c r="AC743" t="e">
        <f t="shared" ca="1" si="371"/>
        <v>#VALUE!</v>
      </c>
      <c r="AD743" t="e">
        <f t="shared" ca="1" si="372"/>
        <v>#VALUE!</v>
      </c>
      <c r="AE743" t="e">
        <f t="shared" ca="1" si="373"/>
        <v>#VALUE!</v>
      </c>
      <c r="AF743" t="e">
        <f t="shared" ca="1" si="374"/>
        <v>#VALUE!</v>
      </c>
      <c r="AG743" t="e">
        <f t="shared" ca="1" si="375"/>
        <v>#VALUE!</v>
      </c>
      <c r="AH743" t="e">
        <f ca="1">IF(V32="Supercritical",L743,IF(V32="Subcritical",W743,IF(AND(V743=1,AG743=1),IF(T743&gt;=AE743,L743,W743),IF(V743=1,L743,IF(AG743=1,W743,MAX($D$16,POWER((ABS(K743)^2)/($I$5*MAX(F743,0.1)^2),1/3)))))))</f>
        <v>#VALUE!</v>
      </c>
      <c r="AI743" t="e">
        <f t="shared" ca="1" si="376"/>
        <v>#VALUE!</v>
      </c>
      <c r="AJ743" t="e">
        <f t="shared" ca="1" si="377"/>
        <v>#VALUE!</v>
      </c>
      <c r="AM743">
        <v>0</v>
      </c>
      <c r="AN743">
        <v>0</v>
      </c>
      <c r="AO743">
        <f t="shared" si="378"/>
        <v>0</v>
      </c>
      <c r="AP743">
        <f t="shared" si="387"/>
        <v>0</v>
      </c>
      <c r="AQ743" t="e">
        <f t="shared" ca="1" si="379"/>
        <v>#VALUE!</v>
      </c>
      <c r="AR743" t="e">
        <f t="shared" ca="1" si="380"/>
        <v>#VALUE!</v>
      </c>
      <c r="AS743" t="e">
        <f t="shared" ca="1" si="381"/>
        <v>#VALUE!</v>
      </c>
    </row>
    <row r="744" spans="1:45" x14ac:dyDescent="0.35">
      <c r="A744">
        <v>595</v>
      </c>
      <c r="B744">
        <v>593.89499999999998</v>
      </c>
      <c r="C744">
        <v>616159.79299999995</v>
      </c>
      <c r="D744">
        <v>3097393.977</v>
      </c>
      <c r="E744">
        <v>632.26499999999999</v>
      </c>
      <c r="F744">
        <v>5.2</v>
      </c>
      <c r="G744">
        <v>0</v>
      </c>
      <c r="H744" t="s">
        <v>191</v>
      </c>
      <c r="I744">
        <v>7.8E-2</v>
      </c>
      <c r="J744">
        <f t="shared" si="382"/>
        <v>1</v>
      </c>
      <c r="K744">
        <f t="shared" si="383"/>
        <v>51</v>
      </c>
      <c r="L744" t="e">
        <f t="shared" ca="1" si="384"/>
        <v>#VALUE!</v>
      </c>
      <c r="M744" t="e">
        <f t="shared" ca="1" si="357"/>
        <v>#VALUE!</v>
      </c>
      <c r="N744" t="e">
        <f t="shared" ca="1" si="358"/>
        <v>#VALUE!</v>
      </c>
      <c r="O744" t="e">
        <f t="shared" ca="1" si="359"/>
        <v>#VALUE!</v>
      </c>
      <c r="P744" t="e">
        <f t="shared" ca="1" si="360"/>
        <v>#VALUE!</v>
      </c>
      <c r="Q744" t="e">
        <f t="shared" ca="1" si="361"/>
        <v>#VALUE!</v>
      </c>
      <c r="R744" t="e">
        <f t="shared" ca="1" si="362"/>
        <v>#VALUE!</v>
      </c>
      <c r="S744" t="e">
        <f t="shared" ca="1" si="363"/>
        <v>#VALUE!</v>
      </c>
      <c r="T744" t="e">
        <f t="shared" ca="1" si="364"/>
        <v>#VALUE!</v>
      </c>
      <c r="U744" t="e">
        <f t="shared" ca="1" si="385"/>
        <v>#VALUE!</v>
      </c>
      <c r="V744" t="e">
        <f t="shared" ca="1" si="386"/>
        <v>#VALUE!</v>
      </c>
      <c r="W744" t="e">
        <f t="shared" ca="1" si="365"/>
        <v>#VALUE!</v>
      </c>
      <c r="X744" t="e">
        <f t="shared" ca="1" si="366"/>
        <v>#VALUE!</v>
      </c>
      <c r="Y744" t="e">
        <f t="shared" ca="1" si="367"/>
        <v>#VALUE!</v>
      </c>
      <c r="Z744" t="e">
        <f t="shared" ca="1" si="368"/>
        <v>#VALUE!</v>
      </c>
      <c r="AA744" t="e">
        <f t="shared" ca="1" si="369"/>
        <v>#VALUE!</v>
      </c>
      <c r="AB744" t="e">
        <f t="shared" ca="1" si="370"/>
        <v>#VALUE!</v>
      </c>
      <c r="AC744" t="e">
        <f t="shared" ca="1" si="371"/>
        <v>#VALUE!</v>
      </c>
      <c r="AD744" t="e">
        <f t="shared" ca="1" si="372"/>
        <v>#VALUE!</v>
      </c>
      <c r="AE744" t="e">
        <f t="shared" ca="1" si="373"/>
        <v>#VALUE!</v>
      </c>
      <c r="AF744" t="e">
        <f t="shared" ca="1" si="374"/>
        <v>#VALUE!</v>
      </c>
      <c r="AG744" t="e">
        <f t="shared" ca="1" si="375"/>
        <v>#VALUE!</v>
      </c>
      <c r="AH744" t="e">
        <f ca="1">IF(V32="Supercritical",L744,IF(V32="Subcritical",W744,IF(AND(V744=1,AG744=1),IF(T744&gt;=AE744,L744,W744),IF(V744=1,L744,IF(AG744=1,W744,MAX($D$16,POWER((ABS(K744)^2)/($I$5*MAX(F744,0.1)^2),1/3)))))))</f>
        <v>#VALUE!</v>
      </c>
      <c r="AI744" t="e">
        <f t="shared" ca="1" si="376"/>
        <v>#VALUE!</v>
      </c>
      <c r="AJ744" t="e">
        <f t="shared" ca="1" si="377"/>
        <v>#VALUE!</v>
      </c>
      <c r="AM744">
        <v>0</v>
      </c>
      <c r="AN744">
        <v>0</v>
      </c>
      <c r="AO744">
        <f t="shared" si="378"/>
        <v>0</v>
      </c>
      <c r="AP744">
        <f t="shared" si="387"/>
        <v>0</v>
      </c>
      <c r="AQ744" t="e">
        <f t="shared" ca="1" si="379"/>
        <v>#VALUE!</v>
      </c>
      <c r="AR744" t="e">
        <f t="shared" ca="1" si="380"/>
        <v>#VALUE!</v>
      </c>
      <c r="AS744" t="e">
        <f t="shared" ca="1" si="381"/>
        <v>#VALUE!</v>
      </c>
    </row>
    <row r="745" spans="1:45" x14ac:dyDescent="0.35">
      <c r="A745">
        <v>596</v>
      </c>
      <c r="B745">
        <v>594.89599999999996</v>
      </c>
      <c r="C745">
        <v>616159.31900000002</v>
      </c>
      <c r="D745">
        <v>3097393.0959999999</v>
      </c>
      <c r="E745">
        <v>632.2645</v>
      </c>
      <c r="F745">
        <v>5.2</v>
      </c>
      <c r="G745">
        <v>0</v>
      </c>
      <c r="H745" t="s">
        <v>191</v>
      </c>
      <c r="I745">
        <v>2.7E-2</v>
      </c>
      <c r="J745">
        <f t="shared" si="382"/>
        <v>1.0009999999999764</v>
      </c>
      <c r="K745">
        <f t="shared" si="383"/>
        <v>51</v>
      </c>
      <c r="L745" t="e">
        <f t="shared" ca="1" si="384"/>
        <v>#VALUE!</v>
      </c>
      <c r="M745" t="e">
        <f t="shared" ca="1" si="357"/>
        <v>#VALUE!</v>
      </c>
      <c r="N745" t="e">
        <f t="shared" ca="1" si="358"/>
        <v>#VALUE!</v>
      </c>
      <c r="O745" t="e">
        <f t="shared" ca="1" si="359"/>
        <v>#VALUE!</v>
      </c>
      <c r="P745" t="e">
        <f t="shared" ca="1" si="360"/>
        <v>#VALUE!</v>
      </c>
      <c r="Q745" t="e">
        <f t="shared" ca="1" si="361"/>
        <v>#VALUE!</v>
      </c>
      <c r="R745" t="e">
        <f t="shared" ca="1" si="362"/>
        <v>#VALUE!</v>
      </c>
      <c r="S745" t="e">
        <f t="shared" ca="1" si="363"/>
        <v>#VALUE!</v>
      </c>
      <c r="T745" t="e">
        <f t="shared" ca="1" si="364"/>
        <v>#VALUE!</v>
      </c>
      <c r="U745" t="e">
        <f t="shared" ca="1" si="385"/>
        <v>#VALUE!</v>
      </c>
      <c r="V745" t="e">
        <f t="shared" ca="1" si="386"/>
        <v>#VALUE!</v>
      </c>
      <c r="W745" t="e">
        <f t="shared" ca="1" si="365"/>
        <v>#VALUE!</v>
      </c>
      <c r="X745" t="e">
        <f t="shared" ca="1" si="366"/>
        <v>#VALUE!</v>
      </c>
      <c r="Y745" t="e">
        <f t="shared" ca="1" si="367"/>
        <v>#VALUE!</v>
      </c>
      <c r="Z745" t="e">
        <f t="shared" ca="1" si="368"/>
        <v>#VALUE!</v>
      </c>
      <c r="AA745" t="e">
        <f t="shared" ca="1" si="369"/>
        <v>#VALUE!</v>
      </c>
      <c r="AB745" t="e">
        <f t="shared" ca="1" si="370"/>
        <v>#VALUE!</v>
      </c>
      <c r="AC745" t="e">
        <f t="shared" ca="1" si="371"/>
        <v>#VALUE!</v>
      </c>
      <c r="AD745" t="e">
        <f t="shared" ca="1" si="372"/>
        <v>#VALUE!</v>
      </c>
      <c r="AE745" t="e">
        <f t="shared" ca="1" si="373"/>
        <v>#VALUE!</v>
      </c>
      <c r="AF745" t="e">
        <f t="shared" ca="1" si="374"/>
        <v>#VALUE!</v>
      </c>
      <c r="AG745" t="e">
        <f t="shared" ca="1" si="375"/>
        <v>#VALUE!</v>
      </c>
      <c r="AH745" t="e">
        <f ca="1">IF(V32="Supercritical",L745,IF(V32="Subcritical",W745,IF(AND(V745=1,AG745=1),IF(T745&gt;=AE745,L745,W745),IF(V745=1,L745,IF(AG745=1,W745,MAX($D$16,POWER((ABS(K745)^2)/($I$5*MAX(F745,0.1)^2),1/3)))))))</f>
        <v>#VALUE!</v>
      </c>
      <c r="AI745" t="e">
        <f t="shared" ca="1" si="376"/>
        <v>#VALUE!</v>
      </c>
      <c r="AJ745" t="e">
        <f t="shared" ca="1" si="377"/>
        <v>#VALUE!</v>
      </c>
      <c r="AM745">
        <v>0</v>
      </c>
      <c r="AN745">
        <v>0</v>
      </c>
      <c r="AO745">
        <f t="shared" si="378"/>
        <v>0</v>
      </c>
      <c r="AP745">
        <f t="shared" si="387"/>
        <v>0</v>
      </c>
      <c r="AQ745" t="e">
        <f t="shared" ca="1" si="379"/>
        <v>#VALUE!</v>
      </c>
      <c r="AR745" t="e">
        <f t="shared" ca="1" si="380"/>
        <v>#VALUE!</v>
      </c>
      <c r="AS745" t="e">
        <f t="shared" ca="1" si="381"/>
        <v>#VALUE!</v>
      </c>
    </row>
    <row r="746" spans="1:45" x14ac:dyDescent="0.35">
      <c r="A746">
        <v>597</v>
      </c>
      <c r="B746">
        <v>595.89499999999998</v>
      </c>
      <c r="C746">
        <v>616158.84499999997</v>
      </c>
      <c r="D746">
        <v>3097392.216</v>
      </c>
      <c r="E746">
        <v>632.26400000000001</v>
      </c>
      <c r="F746">
        <v>5.2</v>
      </c>
      <c r="G746">
        <v>0</v>
      </c>
      <c r="H746" t="s">
        <v>191</v>
      </c>
      <c r="I746">
        <v>2.7E-2</v>
      </c>
      <c r="J746">
        <f t="shared" si="382"/>
        <v>0.99900000000002365</v>
      </c>
      <c r="K746">
        <f t="shared" si="383"/>
        <v>51</v>
      </c>
      <c r="L746" t="e">
        <f t="shared" ca="1" si="384"/>
        <v>#VALUE!</v>
      </c>
      <c r="M746" t="e">
        <f t="shared" ca="1" si="357"/>
        <v>#VALUE!</v>
      </c>
      <c r="N746" t="e">
        <f t="shared" ca="1" si="358"/>
        <v>#VALUE!</v>
      </c>
      <c r="O746" t="e">
        <f t="shared" ca="1" si="359"/>
        <v>#VALUE!</v>
      </c>
      <c r="P746" t="e">
        <f t="shared" ca="1" si="360"/>
        <v>#VALUE!</v>
      </c>
      <c r="Q746" t="e">
        <f t="shared" ca="1" si="361"/>
        <v>#VALUE!</v>
      </c>
      <c r="R746" t="e">
        <f t="shared" ca="1" si="362"/>
        <v>#VALUE!</v>
      </c>
      <c r="S746" t="e">
        <f t="shared" ca="1" si="363"/>
        <v>#VALUE!</v>
      </c>
      <c r="T746" t="e">
        <f t="shared" ca="1" si="364"/>
        <v>#VALUE!</v>
      </c>
      <c r="U746" t="e">
        <f t="shared" ca="1" si="385"/>
        <v>#VALUE!</v>
      </c>
      <c r="V746" t="e">
        <f t="shared" ca="1" si="386"/>
        <v>#VALUE!</v>
      </c>
      <c r="W746" t="e">
        <f t="shared" ca="1" si="365"/>
        <v>#VALUE!</v>
      </c>
      <c r="X746" t="e">
        <f t="shared" ca="1" si="366"/>
        <v>#VALUE!</v>
      </c>
      <c r="Y746" t="e">
        <f t="shared" ca="1" si="367"/>
        <v>#VALUE!</v>
      </c>
      <c r="Z746" t="e">
        <f t="shared" ca="1" si="368"/>
        <v>#VALUE!</v>
      </c>
      <c r="AA746" t="e">
        <f t="shared" ca="1" si="369"/>
        <v>#VALUE!</v>
      </c>
      <c r="AB746" t="e">
        <f t="shared" ca="1" si="370"/>
        <v>#VALUE!</v>
      </c>
      <c r="AC746" t="e">
        <f t="shared" ca="1" si="371"/>
        <v>#VALUE!</v>
      </c>
      <c r="AD746" t="e">
        <f t="shared" ca="1" si="372"/>
        <v>#VALUE!</v>
      </c>
      <c r="AE746" t="e">
        <f t="shared" ca="1" si="373"/>
        <v>#VALUE!</v>
      </c>
      <c r="AF746" t="e">
        <f t="shared" ca="1" si="374"/>
        <v>#VALUE!</v>
      </c>
      <c r="AG746" t="e">
        <f t="shared" ca="1" si="375"/>
        <v>#VALUE!</v>
      </c>
      <c r="AH746" t="e">
        <f ca="1">IF(V32="Supercritical",L746,IF(V32="Subcritical",W746,IF(AND(V746=1,AG746=1),IF(T746&gt;=AE746,L746,W746),IF(V746=1,L746,IF(AG746=1,W746,MAX($D$16,POWER((ABS(K746)^2)/($I$5*MAX(F746,0.1)^2),1/3)))))))</f>
        <v>#VALUE!</v>
      </c>
      <c r="AI746" t="e">
        <f t="shared" ca="1" si="376"/>
        <v>#VALUE!</v>
      </c>
      <c r="AJ746" t="e">
        <f t="shared" ca="1" si="377"/>
        <v>#VALUE!</v>
      </c>
      <c r="AM746">
        <v>0</v>
      </c>
      <c r="AN746">
        <v>0</v>
      </c>
      <c r="AO746">
        <f t="shared" si="378"/>
        <v>0</v>
      </c>
      <c r="AP746">
        <f t="shared" si="387"/>
        <v>0</v>
      </c>
      <c r="AQ746" t="e">
        <f t="shared" ca="1" si="379"/>
        <v>#VALUE!</v>
      </c>
      <c r="AR746" t="e">
        <f t="shared" ca="1" si="380"/>
        <v>#VALUE!</v>
      </c>
      <c r="AS746" t="e">
        <f t="shared" ca="1" si="381"/>
        <v>#VALUE!</v>
      </c>
    </row>
    <row r="747" spans="1:45" x14ac:dyDescent="0.35">
      <c r="A747">
        <v>598</v>
      </c>
      <c r="B747">
        <v>596.89499999999998</v>
      </c>
      <c r="C747">
        <v>616158.37100000004</v>
      </c>
      <c r="D747">
        <v>3097391.335</v>
      </c>
      <c r="E747">
        <v>632.26350000000002</v>
      </c>
      <c r="F747">
        <v>5.2</v>
      </c>
      <c r="G747">
        <v>0</v>
      </c>
      <c r="H747" t="s">
        <v>191</v>
      </c>
      <c r="I747">
        <v>7.8E-2</v>
      </c>
      <c r="J747">
        <f t="shared" si="382"/>
        <v>1</v>
      </c>
      <c r="K747">
        <f t="shared" si="383"/>
        <v>51</v>
      </c>
      <c r="L747" t="e">
        <f t="shared" ca="1" si="384"/>
        <v>#VALUE!</v>
      </c>
      <c r="M747" t="e">
        <f t="shared" ca="1" si="357"/>
        <v>#VALUE!</v>
      </c>
      <c r="N747" t="e">
        <f t="shared" ca="1" si="358"/>
        <v>#VALUE!</v>
      </c>
      <c r="O747" t="e">
        <f t="shared" ca="1" si="359"/>
        <v>#VALUE!</v>
      </c>
      <c r="P747" t="e">
        <f t="shared" ca="1" si="360"/>
        <v>#VALUE!</v>
      </c>
      <c r="Q747" t="e">
        <f t="shared" ca="1" si="361"/>
        <v>#VALUE!</v>
      </c>
      <c r="R747" t="e">
        <f t="shared" ca="1" si="362"/>
        <v>#VALUE!</v>
      </c>
      <c r="S747" t="e">
        <f t="shared" ca="1" si="363"/>
        <v>#VALUE!</v>
      </c>
      <c r="T747" t="e">
        <f t="shared" ca="1" si="364"/>
        <v>#VALUE!</v>
      </c>
      <c r="U747" t="e">
        <f t="shared" ca="1" si="385"/>
        <v>#VALUE!</v>
      </c>
      <c r="V747" t="e">
        <f t="shared" ca="1" si="386"/>
        <v>#VALUE!</v>
      </c>
      <c r="W747" t="e">
        <f t="shared" ca="1" si="365"/>
        <v>#VALUE!</v>
      </c>
      <c r="X747" t="e">
        <f t="shared" ca="1" si="366"/>
        <v>#VALUE!</v>
      </c>
      <c r="Y747" t="e">
        <f t="shared" ca="1" si="367"/>
        <v>#VALUE!</v>
      </c>
      <c r="Z747" t="e">
        <f t="shared" ca="1" si="368"/>
        <v>#VALUE!</v>
      </c>
      <c r="AA747" t="e">
        <f t="shared" ca="1" si="369"/>
        <v>#VALUE!</v>
      </c>
      <c r="AB747" t="e">
        <f t="shared" ca="1" si="370"/>
        <v>#VALUE!</v>
      </c>
      <c r="AC747" t="e">
        <f t="shared" ca="1" si="371"/>
        <v>#VALUE!</v>
      </c>
      <c r="AD747" t="e">
        <f t="shared" ca="1" si="372"/>
        <v>#VALUE!</v>
      </c>
      <c r="AE747" t="e">
        <f t="shared" ca="1" si="373"/>
        <v>#VALUE!</v>
      </c>
      <c r="AF747" t="e">
        <f t="shared" ca="1" si="374"/>
        <v>#VALUE!</v>
      </c>
      <c r="AG747" t="e">
        <f t="shared" ca="1" si="375"/>
        <v>#VALUE!</v>
      </c>
      <c r="AH747" t="e">
        <f ca="1">IF(V32="Supercritical",L747,IF(V32="Subcritical",W747,IF(AND(V747=1,AG747=1),IF(T747&gt;=AE747,L747,W747),IF(V747=1,L747,IF(AG747=1,W747,MAX($D$16,POWER((ABS(K747)^2)/($I$5*MAX(F747,0.1)^2),1/3)))))))</f>
        <v>#VALUE!</v>
      </c>
      <c r="AI747" t="e">
        <f t="shared" ca="1" si="376"/>
        <v>#VALUE!</v>
      </c>
      <c r="AJ747" t="e">
        <f t="shared" ca="1" si="377"/>
        <v>#VALUE!</v>
      </c>
      <c r="AM747">
        <v>0</v>
      </c>
      <c r="AN747">
        <v>0</v>
      </c>
      <c r="AO747">
        <f t="shared" si="378"/>
        <v>0</v>
      </c>
      <c r="AP747">
        <f t="shared" si="387"/>
        <v>0</v>
      </c>
      <c r="AQ747" t="e">
        <f t="shared" ca="1" si="379"/>
        <v>#VALUE!</v>
      </c>
      <c r="AR747" t="e">
        <f t="shared" ca="1" si="380"/>
        <v>#VALUE!</v>
      </c>
      <c r="AS747" t="e">
        <f t="shared" ca="1" si="381"/>
        <v>#VALUE!</v>
      </c>
    </row>
    <row r="748" spans="1:45" x14ac:dyDescent="0.35">
      <c r="A748">
        <v>599</v>
      </c>
      <c r="B748">
        <v>597.89599999999996</v>
      </c>
      <c r="C748">
        <v>616157.89599999995</v>
      </c>
      <c r="D748">
        <v>3097390.4550000001</v>
      </c>
      <c r="E748">
        <v>632.26300000000003</v>
      </c>
      <c r="F748">
        <v>5.2</v>
      </c>
      <c r="G748">
        <v>0</v>
      </c>
      <c r="H748" t="s">
        <v>191</v>
      </c>
      <c r="I748">
        <v>0.05</v>
      </c>
      <c r="J748">
        <f t="shared" si="382"/>
        <v>1.0009999999999764</v>
      </c>
      <c r="K748">
        <f t="shared" si="383"/>
        <v>51</v>
      </c>
      <c r="L748" t="e">
        <f t="shared" ca="1" si="384"/>
        <v>#VALUE!</v>
      </c>
      <c r="M748" t="e">
        <f t="shared" ca="1" si="357"/>
        <v>#VALUE!</v>
      </c>
      <c r="N748" t="e">
        <f t="shared" ca="1" si="358"/>
        <v>#VALUE!</v>
      </c>
      <c r="O748" t="e">
        <f t="shared" ca="1" si="359"/>
        <v>#VALUE!</v>
      </c>
      <c r="P748" t="e">
        <f t="shared" ca="1" si="360"/>
        <v>#VALUE!</v>
      </c>
      <c r="Q748" t="e">
        <f t="shared" ca="1" si="361"/>
        <v>#VALUE!</v>
      </c>
      <c r="R748" t="e">
        <f t="shared" ca="1" si="362"/>
        <v>#VALUE!</v>
      </c>
      <c r="S748" t="e">
        <f t="shared" ca="1" si="363"/>
        <v>#VALUE!</v>
      </c>
      <c r="T748" t="e">
        <f t="shared" ca="1" si="364"/>
        <v>#VALUE!</v>
      </c>
      <c r="U748" t="e">
        <f t="shared" ca="1" si="385"/>
        <v>#VALUE!</v>
      </c>
      <c r="V748" t="e">
        <f t="shared" ca="1" si="386"/>
        <v>#VALUE!</v>
      </c>
      <c r="W748" t="e">
        <f t="shared" ca="1" si="365"/>
        <v>#VALUE!</v>
      </c>
      <c r="X748" t="e">
        <f t="shared" ca="1" si="366"/>
        <v>#VALUE!</v>
      </c>
      <c r="Y748" t="e">
        <f t="shared" ca="1" si="367"/>
        <v>#VALUE!</v>
      </c>
      <c r="Z748" t="e">
        <f t="shared" ca="1" si="368"/>
        <v>#VALUE!</v>
      </c>
      <c r="AA748" t="e">
        <f t="shared" ca="1" si="369"/>
        <v>#VALUE!</v>
      </c>
      <c r="AB748" t="e">
        <f t="shared" ca="1" si="370"/>
        <v>#VALUE!</v>
      </c>
      <c r="AC748" t="e">
        <f t="shared" ca="1" si="371"/>
        <v>#VALUE!</v>
      </c>
      <c r="AD748" t="e">
        <f t="shared" ca="1" si="372"/>
        <v>#VALUE!</v>
      </c>
      <c r="AE748" t="e">
        <f t="shared" ca="1" si="373"/>
        <v>#VALUE!</v>
      </c>
      <c r="AF748" t="e">
        <f t="shared" ca="1" si="374"/>
        <v>#VALUE!</v>
      </c>
      <c r="AG748" t="e">
        <f t="shared" ca="1" si="375"/>
        <v>#VALUE!</v>
      </c>
      <c r="AH748" t="e">
        <f ca="1">IF(V32="Supercritical",L748,IF(V32="Subcritical",W748,IF(AND(V748=1,AG748=1),IF(T748&gt;=AE748,L748,W748),IF(V748=1,L748,IF(AG748=1,W748,MAX($D$16,POWER((ABS(K748)^2)/($I$5*MAX(F748,0.1)^2),1/3)))))))</f>
        <v>#VALUE!</v>
      </c>
      <c r="AI748" t="e">
        <f t="shared" ca="1" si="376"/>
        <v>#VALUE!</v>
      </c>
      <c r="AJ748" t="e">
        <f t="shared" ca="1" si="377"/>
        <v>#VALUE!</v>
      </c>
      <c r="AM748">
        <v>0</v>
      </c>
      <c r="AN748">
        <v>0</v>
      </c>
      <c r="AO748">
        <f t="shared" si="378"/>
        <v>0</v>
      </c>
      <c r="AP748">
        <f t="shared" si="387"/>
        <v>0</v>
      </c>
      <c r="AQ748" t="e">
        <f t="shared" ca="1" si="379"/>
        <v>#VALUE!</v>
      </c>
      <c r="AR748" t="e">
        <f t="shared" ca="1" si="380"/>
        <v>#VALUE!</v>
      </c>
      <c r="AS748" t="e">
        <f t="shared" ca="1" si="381"/>
        <v>#VALUE!</v>
      </c>
    </row>
    <row r="749" spans="1:45" x14ac:dyDescent="0.35">
      <c r="A749">
        <v>600</v>
      </c>
      <c r="B749">
        <v>598.89499999999998</v>
      </c>
      <c r="C749">
        <v>616157.42200000002</v>
      </c>
      <c r="D749">
        <v>3097389.5750000002</v>
      </c>
      <c r="E749">
        <v>632.26250000000005</v>
      </c>
      <c r="F749">
        <v>5.2</v>
      </c>
      <c r="G749">
        <v>0</v>
      </c>
      <c r="H749" t="s">
        <v>191</v>
      </c>
      <c r="I749">
        <v>2.7E-2</v>
      </c>
      <c r="J749">
        <f t="shared" si="382"/>
        <v>0.99900000000002365</v>
      </c>
      <c r="K749">
        <f t="shared" si="383"/>
        <v>51</v>
      </c>
      <c r="L749" t="e">
        <f t="shared" ca="1" si="384"/>
        <v>#VALUE!</v>
      </c>
      <c r="M749" t="e">
        <f t="shared" ca="1" si="357"/>
        <v>#VALUE!</v>
      </c>
      <c r="N749" t="e">
        <f t="shared" ca="1" si="358"/>
        <v>#VALUE!</v>
      </c>
      <c r="O749" t="e">
        <f t="shared" ca="1" si="359"/>
        <v>#VALUE!</v>
      </c>
      <c r="P749" t="e">
        <f t="shared" ca="1" si="360"/>
        <v>#VALUE!</v>
      </c>
      <c r="Q749" t="e">
        <f t="shared" ca="1" si="361"/>
        <v>#VALUE!</v>
      </c>
      <c r="R749" t="e">
        <f t="shared" ca="1" si="362"/>
        <v>#VALUE!</v>
      </c>
      <c r="S749" t="e">
        <f t="shared" ca="1" si="363"/>
        <v>#VALUE!</v>
      </c>
      <c r="T749" t="e">
        <f t="shared" ca="1" si="364"/>
        <v>#VALUE!</v>
      </c>
      <c r="U749" t="e">
        <f t="shared" ca="1" si="385"/>
        <v>#VALUE!</v>
      </c>
      <c r="V749" t="e">
        <f t="shared" ca="1" si="386"/>
        <v>#VALUE!</v>
      </c>
      <c r="W749" t="e">
        <f t="shared" ca="1" si="365"/>
        <v>#VALUE!</v>
      </c>
      <c r="X749" t="e">
        <f t="shared" ca="1" si="366"/>
        <v>#VALUE!</v>
      </c>
      <c r="Y749" t="e">
        <f t="shared" ca="1" si="367"/>
        <v>#VALUE!</v>
      </c>
      <c r="Z749" t="e">
        <f t="shared" ca="1" si="368"/>
        <v>#VALUE!</v>
      </c>
      <c r="AA749" t="e">
        <f t="shared" ca="1" si="369"/>
        <v>#VALUE!</v>
      </c>
      <c r="AB749" t="e">
        <f t="shared" ca="1" si="370"/>
        <v>#VALUE!</v>
      </c>
      <c r="AC749" t="e">
        <f t="shared" ca="1" si="371"/>
        <v>#VALUE!</v>
      </c>
      <c r="AD749" t="e">
        <f t="shared" ca="1" si="372"/>
        <v>#VALUE!</v>
      </c>
      <c r="AE749" t="e">
        <f t="shared" ca="1" si="373"/>
        <v>#VALUE!</v>
      </c>
      <c r="AF749" t="e">
        <f t="shared" ca="1" si="374"/>
        <v>#VALUE!</v>
      </c>
      <c r="AG749" t="e">
        <f t="shared" ca="1" si="375"/>
        <v>#VALUE!</v>
      </c>
      <c r="AH749" t="e">
        <f ca="1">IF(V32="Supercritical",L749,IF(V32="Subcritical",W749,IF(AND(V749=1,AG749=1),IF(T749&gt;=AE749,L749,W749),IF(V749=1,L749,IF(AG749=1,W749,MAX($D$16,POWER((ABS(K749)^2)/($I$5*MAX(F749,0.1)^2),1/3)))))))</f>
        <v>#VALUE!</v>
      </c>
      <c r="AI749" t="e">
        <f t="shared" ca="1" si="376"/>
        <v>#VALUE!</v>
      </c>
      <c r="AJ749" t="e">
        <f t="shared" ca="1" si="377"/>
        <v>#VALUE!</v>
      </c>
      <c r="AM749">
        <v>0</v>
      </c>
      <c r="AN749">
        <v>0</v>
      </c>
      <c r="AO749">
        <f t="shared" si="378"/>
        <v>0</v>
      </c>
      <c r="AP749">
        <f t="shared" si="387"/>
        <v>0</v>
      </c>
      <c r="AQ749" t="e">
        <f t="shared" ca="1" si="379"/>
        <v>#VALUE!</v>
      </c>
      <c r="AR749" t="e">
        <f t="shared" ca="1" si="380"/>
        <v>#VALUE!</v>
      </c>
      <c r="AS749" t="e">
        <f t="shared" ca="1" si="381"/>
        <v>#VALUE!</v>
      </c>
    </row>
    <row r="750" spans="1:45" x14ac:dyDescent="0.35">
      <c r="A750">
        <v>601</v>
      </c>
      <c r="B750">
        <v>599.89499999999998</v>
      </c>
      <c r="C750">
        <v>616156.94799999997</v>
      </c>
      <c r="D750">
        <v>3097388.6940000001</v>
      </c>
      <c r="E750">
        <v>632.26199999999994</v>
      </c>
      <c r="F750">
        <v>5.2</v>
      </c>
      <c r="G750">
        <v>0</v>
      </c>
      <c r="H750" t="s">
        <v>191</v>
      </c>
      <c r="I750">
        <v>2.7E-2</v>
      </c>
      <c r="J750">
        <f t="shared" si="382"/>
        <v>1</v>
      </c>
      <c r="K750">
        <f t="shared" si="383"/>
        <v>51</v>
      </c>
      <c r="L750" t="e">
        <f t="shared" ca="1" si="384"/>
        <v>#VALUE!</v>
      </c>
      <c r="M750" t="e">
        <f t="shared" ca="1" si="357"/>
        <v>#VALUE!</v>
      </c>
      <c r="N750" t="e">
        <f t="shared" ca="1" si="358"/>
        <v>#VALUE!</v>
      </c>
      <c r="O750" t="e">
        <f t="shared" ca="1" si="359"/>
        <v>#VALUE!</v>
      </c>
      <c r="P750" t="e">
        <f t="shared" ca="1" si="360"/>
        <v>#VALUE!</v>
      </c>
      <c r="Q750" t="e">
        <f t="shared" ca="1" si="361"/>
        <v>#VALUE!</v>
      </c>
      <c r="R750" t="e">
        <f t="shared" ca="1" si="362"/>
        <v>#VALUE!</v>
      </c>
      <c r="S750" t="e">
        <f t="shared" ca="1" si="363"/>
        <v>#VALUE!</v>
      </c>
      <c r="T750" t="e">
        <f t="shared" ca="1" si="364"/>
        <v>#VALUE!</v>
      </c>
      <c r="U750" t="e">
        <f t="shared" ca="1" si="385"/>
        <v>#VALUE!</v>
      </c>
      <c r="V750" t="e">
        <f t="shared" ca="1" si="386"/>
        <v>#VALUE!</v>
      </c>
      <c r="W750" t="e">
        <f t="shared" ca="1" si="365"/>
        <v>#VALUE!</v>
      </c>
      <c r="X750" t="e">
        <f t="shared" ca="1" si="366"/>
        <v>#VALUE!</v>
      </c>
      <c r="Y750" t="e">
        <f t="shared" ca="1" si="367"/>
        <v>#VALUE!</v>
      </c>
      <c r="Z750" t="e">
        <f t="shared" ca="1" si="368"/>
        <v>#VALUE!</v>
      </c>
      <c r="AA750" t="e">
        <f t="shared" ca="1" si="369"/>
        <v>#VALUE!</v>
      </c>
      <c r="AB750" t="e">
        <f t="shared" ca="1" si="370"/>
        <v>#VALUE!</v>
      </c>
      <c r="AC750" t="e">
        <f t="shared" ca="1" si="371"/>
        <v>#VALUE!</v>
      </c>
      <c r="AD750" t="e">
        <f t="shared" ca="1" si="372"/>
        <v>#VALUE!</v>
      </c>
      <c r="AE750" t="e">
        <f t="shared" ca="1" si="373"/>
        <v>#VALUE!</v>
      </c>
      <c r="AF750" t="e">
        <f t="shared" ca="1" si="374"/>
        <v>#VALUE!</v>
      </c>
      <c r="AG750" t="e">
        <f t="shared" ca="1" si="375"/>
        <v>#VALUE!</v>
      </c>
      <c r="AH750" t="e">
        <f ca="1">IF(V32="Supercritical",L750,IF(V32="Subcritical",W750,IF(AND(V750=1,AG750=1),IF(T750&gt;=AE750,L750,W750),IF(V750=1,L750,IF(AG750=1,W750,MAX($D$16,POWER((ABS(K750)^2)/($I$5*MAX(F750,0.1)^2),1/3)))))))</f>
        <v>#VALUE!</v>
      </c>
      <c r="AI750" t="e">
        <f t="shared" ca="1" si="376"/>
        <v>#VALUE!</v>
      </c>
      <c r="AJ750" t="e">
        <f t="shared" ca="1" si="377"/>
        <v>#VALUE!</v>
      </c>
      <c r="AM750">
        <v>0</v>
      </c>
      <c r="AN750">
        <v>0</v>
      </c>
      <c r="AO750">
        <f t="shared" si="378"/>
        <v>0</v>
      </c>
      <c r="AP750">
        <f t="shared" si="387"/>
        <v>0</v>
      </c>
      <c r="AQ750" t="e">
        <f t="shared" ca="1" si="379"/>
        <v>#VALUE!</v>
      </c>
      <c r="AR750" t="e">
        <f t="shared" ca="1" si="380"/>
        <v>#VALUE!</v>
      </c>
      <c r="AS750" t="e">
        <f t="shared" ca="1" si="381"/>
        <v>#VALUE!</v>
      </c>
    </row>
    <row r="751" spans="1:45" x14ac:dyDescent="0.35">
      <c r="A751">
        <v>602</v>
      </c>
      <c r="B751">
        <v>600.89499999999998</v>
      </c>
      <c r="C751">
        <v>616156.47400000005</v>
      </c>
      <c r="D751">
        <v>3097387.8139999998</v>
      </c>
      <c r="E751">
        <v>632.26149999999996</v>
      </c>
      <c r="F751">
        <v>5.2</v>
      </c>
      <c r="G751">
        <v>0</v>
      </c>
      <c r="H751" t="s">
        <v>191</v>
      </c>
      <c r="I751">
        <v>2.7E-2</v>
      </c>
      <c r="J751">
        <f t="shared" si="382"/>
        <v>1</v>
      </c>
      <c r="K751">
        <f t="shared" si="383"/>
        <v>51</v>
      </c>
      <c r="L751" t="e">
        <f t="shared" ca="1" si="384"/>
        <v>#VALUE!</v>
      </c>
      <c r="M751" t="e">
        <f t="shared" ca="1" si="357"/>
        <v>#VALUE!</v>
      </c>
      <c r="N751" t="e">
        <f t="shared" ca="1" si="358"/>
        <v>#VALUE!</v>
      </c>
      <c r="O751" t="e">
        <f t="shared" ca="1" si="359"/>
        <v>#VALUE!</v>
      </c>
      <c r="P751" t="e">
        <f t="shared" ca="1" si="360"/>
        <v>#VALUE!</v>
      </c>
      <c r="Q751" t="e">
        <f t="shared" ca="1" si="361"/>
        <v>#VALUE!</v>
      </c>
      <c r="R751" t="e">
        <f t="shared" ca="1" si="362"/>
        <v>#VALUE!</v>
      </c>
      <c r="S751" t="e">
        <f t="shared" ca="1" si="363"/>
        <v>#VALUE!</v>
      </c>
      <c r="T751" t="e">
        <f t="shared" ca="1" si="364"/>
        <v>#VALUE!</v>
      </c>
      <c r="U751" t="e">
        <f t="shared" ca="1" si="385"/>
        <v>#VALUE!</v>
      </c>
      <c r="V751" t="e">
        <f t="shared" ca="1" si="386"/>
        <v>#VALUE!</v>
      </c>
      <c r="W751" t="e">
        <f t="shared" ca="1" si="365"/>
        <v>#VALUE!</v>
      </c>
      <c r="X751" t="e">
        <f t="shared" ca="1" si="366"/>
        <v>#VALUE!</v>
      </c>
      <c r="Y751" t="e">
        <f t="shared" ca="1" si="367"/>
        <v>#VALUE!</v>
      </c>
      <c r="Z751" t="e">
        <f t="shared" ca="1" si="368"/>
        <v>#VALUE!</v>
      </c>
      <c r="AA751" t="e">
        <f t="shared" ca="1" si="369"/>
        <v>#VALUE!</v>
      </c>
      <c r="AB751" t="e">
        <f t="shared" ca="1" si="370"/>
        <v>#VALUE!</v>
      </c>
      <c r="AC751" t="e">
        <f t="shared" ca="1" si="371"/>
        <v>#VALUE!</v>
      </c>
      <c r="AD751" t="e">
        <f t="shared" ca="1" si="372"/>
        <v>#VALUE!</v>
      </c>
      <c r="AE751" t="e">
        <f t="shared" ca="1" si="373"/>
        <v>#VALUE!</v>
      </c>
      <c r="AF751" t="e">
        <f t="shared" ca="1" si="374"/>
        <v>#VALUE!</v>
      </c>
      <c r="AG751" t="e">
        <f t="shared" ca="1" si="375"/>
        <v>#VALUE!</v>
      </c>
      <c r="AH751" t="e">
        <f ca="1">IF(V32="Supercritical",L751,IF(V32="Subcritical",W751,IF(AND(V751=1,AG751=1),IF(T751&gt;=AE751,L751,W751),IF(V751=1,L751,IF(AG751=1,W751,MAX($D$16,POWER((ABS(K751)^2)/($I$5*MAX(F751,0.1)^2),1/3)))))))</f>
        <v>#VALUE!</v>
      </c>
      <c r="AI751" t="e">
        <f t="shared" ca="1" si="376"/>
        <v>#VALUE!</v>
      </c>
      <c r="AJ751" t="e">
        <f t="shared" ca="1" si="377"/>
        <v>#VALUE!</v>
      </c>
      <c r="AM751">
        <v>0</v>
      </c>
      <c r="AN751">
        <v>0</v>
      </c>
      <c r="AO751">
        <f t="shared" si="378"/>
        <v>0</v>
      </c>
      <c r="AP751">
        <f t="shared" si="387"/>
        <v>0</v>
      </c>
      <c r="AQ751" t="e">
        <f t="shared" ca="1" si="379"/>
        <v>#VALUE!</v>
      </c>
      <c r="AR751" t="e">
        <f t="shared" ca="1" si="380"/>
        <v>#VALUE!</v>
      </c>
      <c r="AS751" t="e">
        <f t="shared" ca="1" si="381"/>
        <v>#VALUE!</v>
      </c>
    </row>
    <row r="752" spans="1:45" x14ac:dyDescent="0.35">
      <c r="A752">
        <v>603</v>
      </c>
      <c r="B752">
        <v>601.89499999999998</v>
      </c>
      <c r="C752">
        <v>616156</v>
      </c>
      <c r="D752">
        <v>3097386.9330000002</v>
      </c>
      <c r="E752">
        <v>632.26099999999997</v>
      </c>
      <c r="F752">
        <v>5.2</v>
      </c>
      <c r="G752">
        <v>0</v>
      </c>
      <c r="H752" t="s">
        <v>191</v>
      </c>
      <c r="I752">
        <v>7.8E-2</v>
      </c>
      <c r="J752">
        <f t="shared" si="382"/>
        <v>1</v>
      </c>
      <c r="K752">
        <f t="shared" si="383"/>
        <v>51</v>
      </c>
      <c r="L752" t="e">
        <f t="shared" ca="1" si="384"/>
        <v>#VALUE!</v>
      </c>
      <c r="M752" t="e">
        <f t="shared" ca="1" si="357"/>
        <v>#VALUE!</v>
      </c>
      <c r="N752" t="e">
        <f t="shared" ca="1" si="358"/>
        <v>#VALUE!</v>
      </c>
      <c r="O752" t="e">
        <f t="shared" ca="1" si="359"/>
        <v>#VALUE!</v>
      </c>
      <c r="P752" t="e">
        <f t="shared" ca="1" si="360"/>
        <v>#VALUE!</v>
      </c>
      <c r="Q752" t="e">
        <f t="shared" ca="1" si="361"/>
        <v>#VALUE!</v>
      </c>
      <c r="R752" t="e">
        <f t="shared" ca="1" si="362"/>
        <v>#VALUE!</v>
      </c>
      <c r="S752" t="e">
        <f t="shared" ca="1" si="363"/>
        <v>#VALUE!</v>
      </c>
      <c r="T752" t="e">
        <f t="shared" ca="1" si="364"/>
        <v>#VALUE!</v>
      </c>
      <c r="U752" t="e">
        <f t="shared" ca="1" si="385"/>
        <v>#VALUE!</v>
      </c>
      <c r="V752" t="e">
        <f t="shared" ca="1" si="386"/>
        <v>#VALUE!</v>
      </c>
      <c r="W752" t="e">
        <f t="shared" ca="1" si="365"/>
        <v>#VALUE!</v>
      </c>
      <c r="X752" t="e">
        <f t="shared" ca="1" si="366"/>
        <v>#VALUE!</v>
      </c>
      <c r="Y752" t="e">
        <f t="shared" ca="1" si="367"/>
        <v>#VALUE!</v>
      </c>
      <c r="Z752" t="e">
        <f t="shared" ca="1" si="368"/>
        <v>#VALUE!</v>
      </c>
      <c r="AA752" t="e">
        <f t="shared" ca="1" si="369"/>
        <v>#VALUE!</v>
      </c>
      <c r="AB752" t="e">
        <f t="shared" ca="1" si="370"/>
        <v>#VALUE!</v>
      </c>
      <c r="AC752" t="e">
        <f t="shared" ca="1" si="371"/>
        <v>#VALUE!</v>
      </c>
      <c r="AD752" t="e">
        <f t="shared" ca="1" si="372"/>
        <v>#VALUE!</v>
      </c>
      <c r="AE752" t="e">
        <f t="shared" ca="1" si="373"/>
        <v>#VALUE!</v>
      </c>
      <c r="AF752" t="e">
        <f t="shared" ca="1" si="374"/>
        <v>#VALUE!</v>
      </c>
      <c r="AG752" t="e">
        <f t="shared" ca="1" si="375"/>
        <v>#VALUE!</v>
      </c>
      <c r="AH752" t="e">
        <f ca="1">IF(V32="Supercritical",L752,IF(V32="Subcritical",W752,IF(AND(V752=1,AG752=1),IF(T752&gt;=AE752,L752,W752),IF(V752=1,L752,IF(AG752=1,W752,MAX($D$16,POWER((ABS(K752)^2)/($I$5*MAX(F752,0.1)^2),1/3)))))))</f>
        <v>#VALUE!</v>
      </c>
      <c r="AI752" t="e">
        <f t="shared" ca="1" si="376"/>
        <v>#VALUE!</v>
      </c>
      <c r="AJ752" t="e">
        <f t="shared" ca="1" si="377"/>
        <v>#VALUE!</v>
      </c>
      <c r="AM752">
        <v>0</v>
      </c>
      <c r="AN752">
        <v>0</v>
      </c>
      <c r="AO752">
        <f t="shared" si="378"/>
        <v>0</v>
      </c>
      <c r="AP752">
        <f t="shared" si="387"/>
        <v>0</v>
      </c>
      <c r="AQ752" t="e">
        <f t="shared" ca="1" si="379"/>
        <v>#VALUE!</v>
      </c>
      <c r="AR752" t="e">
        <f t="shared" ca="1" si="380"/>
        <v>#VALUE!</v>
      </c>
      <c r="AS752" t="e">
        <f t="shared" ca="1" si="381"/>
        <v>#VALUE!</v>
      </c>
    </row>
    <row r="753" spans="1:45" x14ac:dyDescent="0.35">
      <c r="A753">
        <v>604</v>
      </c>
      <c r="B753">
        <v>602.89499999999998</v>
      </c>
      <c r="C753">
        <v>616155.52500000002</v>
      </c>
      <c r="D753">
        <v>3097386.0529999998</v>
      </c>
      <c r="E753">
        <v>632.26049999999998</v>
      </c>
      <c r="F753">
        <v>5.2</v>
      </c>
      <c r="G753">
        <v>0</v>
      </c>
      <c r="H753" t="s">
        <v>191</v>
      </c>
      <c r="I753">
        <v>0.05</v>
      </c>
      <c r="J753">
        <f t="shared" si="382"/>
        <v>1</v>
      </c>
      <c r="K753">
        <f t="shared" si="383"/>
        <v>51</v>
      </c>
      <c r="L753" t="e">
        <f t="shared" ca="1" si="384"/>
        <v>#VALUE!</v>
      </c>
      <c r="M753" t="e">
        <f t="shared" ca="1" si="357"/>
        <v>#VALUE!</v>
      </c>
      <c r="N753" t="e">
        <f t="shared" ca="1" si="358"/>
        <v>#VALUE!</v>
      </c>
      <c r="O753" t="e">
        <f t="shared" ca="1" si="359"/>
        <v>#VALUE!</v>
      </c>
      <c r="P753" t="e">
        <f t="shared" ca="1" si="360"/>
        <v>#VALUE!</v>
      </c>
      <c r="Q753" t="e">
        <f t="shared" ca="1" si="361"/>
        <v>#VALUE!</v>
      </c>
      <c r="R753" t="e">
        <f t="shared" ca="1" si="362"/>
        <v>#VALUE!</v>
      </c>
      <c r="S753" t="e">
        <f t="shared" ca="1" si="363"/>
        <v>#VALUE!</v>
      </c>
      <c r="T753" t="e">
        <f t="shared" ca="1" si="364"/>
        <v>#VALUE!</v>
      </c>
      <c r="U753" t="e">
        <f t="shared" ca="1" si="385"/>
        <v>#VALUE!</v>
      </c>
      <c r="V753" t="e">
        <f t="shared" ca="1" si="386"/>
        <v>#VALUE!</v>
      </c>
      <c r="W753" t="e">
        <f t="shared" ca="1" si="365"/>
        <v>#VALUE!</v>
      </c>
      <c r="X753" t="e">
        <f t="shared" ca="1" si="366"/>
        <v>#VALUE!</v>
      </c>
      <c r="Y753" t="e">
        <f t="shared" ca="1" si="367"/>
        <v>#VALUE!</v>
      </c>
      <c r="Z753" t="e">
        <f t="shared" ca="1" si="368"/>
        <v>#VALUE!</v>
      </c>
      <c r="AA753" t="e">
        <f t="shared" ca="1" si="369"/>
        <v>#VALUE!</v>
      </c>
      <c r="AB753" t="e">
        <f t="shared" ca="1" si="370"/>
        <v>#VALUE!</v>
      </c>
      <c r="AC753" t="e">
        <f t="shared" ca="1" si="371"/>
        <v>#VALUE!</v>
      </c>
      <c r="AD753" t="e">
        <f t="shared" ca="1" si="372"/>
        <v>#VALUE!</v>
      </c>
      <c r="AE753" t="e">
        <f t="shared" ca="1" si="373"/>
        <v>#VALUE!</v>
      </c>
      <c r="AF753" t="e">
        <f t="shared" ca="1" si="374"/>
        <v>#VALUE!</v>
      </c>
      <c r="AG753" t="e">
        <f t="shared" ca="1" si="375"/>
        <v>#VALUE!</v>
      </c>
      <c r="AH753" t="e">
        <f ca="1">IF(V32="Supercritical",L753,IF(V32="Subcritical",W753,IF(AND(V753=1,AG753=1),IF(T753&gt;=AE753,L753,W753),IF(V753=1,L753,IF(AG753=1,W753,MAX($D$16,POWER((ABS(K753)^2)/($I$5*MAX(F753,0.1)^2),1/3)))))))</f>
        <v>#VALUE!</v>
      </c>
      <c r="AI753" t="e">
        <f t="shared" ca="1" si="376"/>
        <v>#VALUE!</v>
      </c>
      <c r="AJ753" t="e">
        <f t="shared" ca="1" si="377"/>
        <v>#VALUE!</v>
      </c>
      <c r="AM753">
        <v>0</v>
      </c>
      <c r="AN753">
        <v>0</v>
      </c>
      <c r="AO753">
        <f t="shared" si="378"/>
        <v>0</v>
      </c>
      <c r="AP753">
        <f t="shared" si="387"/>
        <v>0</v>
      </c>
      <c r="AQ753" t="e">
        <f t="shared" ca="1" si="379"/>
        <v>#VALUE!</v>
      </c>
      <c r="AR753" t="e">
        <f t="shared" ca="1" si="380"/>
        <v>#VALUE!</v>
      </c>
      <c r="AS753" t="e">
        <f t="shared" ca="1" si="381"/>
        <v>#VALUE!</v>
      </c>
    </row>
    <row r="754" spans="1:45" x14ac:dyDescent="0.35">
      <c r="A754">
        <v>605</v>
      </c>
      <c r="B754">
        <v>603.89499999999998</v>
      </c>
      <c r="C754">
        <v>616155.05099999998</v>
      </c>
      <c r="D754">
        <v>3097385.173</v>
      </c>
      <c r="E754">
        <v>632.26</v>
      </c>
      <c r="F754">
        <v>5.2</v>
      </c>
      <c r="G754">
        <v>0</v>
      </c>
      <c r="H754" t="s">
        <v>191</v>
      </c>
      <c r="I754">
        <v>2.7E-2</v>
      </c>
      <c r="J754">
        <f t="shared" si="382"/>
        <v>1</v>
      </c>
      <c r="K754">
        <f t="shared" si="383"/>
        <v>51</v>
      </c>
      <c r="L754" t="e">
        <f t="shared" ca="1" si="384"/>
        <v>#VALUE!</v>
      </c>
      <c r="M754" t="e">
        <f t="shared" ca="1" si="357"/>
        <v>#VALUE!</v>
      </c>
      <c r="N754" t="e">
        <f t="shared" ca="1" si="358"/>
        <v>#VALUE!</v>
      </c>
      <c r="O754" t="e">
        <f t="shared" ca="1" si="359"/>
        <v>#VALUE!</v>
      </c>
      <c r="P754" t="e">
        <f t="shared" ca="1" si="360"/>
        <v>#VALUE!</v>
      </c>
      <c r="Q754" t="e">
        <f t="shared" ca="1" si="361"/>
        <v>#VALUE!</v>
      </c>
      <c r="R754" t="e">
        <f t="shared" ca="1" si="362"/>
        <v>#VALUE!</v>
      </c>
      <c r="S754" t="e">
        <f t="shared" ca="1" si="363"/>
        <v>#VALUE!</v>
      </c>
      <c r="T754" t="e">
        <f t="shared" ca="1" si="364"/>
        <v>#VALUE!</v>
      </c>
      <c r="U754" t="e">
        <f t="shared" ca="1" si="385"/>
        <v>#VALUE!</v>
      </c>
      <c r="V754" t="e">
        <f t="shared" ca="1" si="386"/>
        <v>#VALUE!</v>
      </c>
      <c r="W754" t="e">
        <f t="shared" ca="1" si="365"/>
        <v>#VALUE!</v>
      </c>
      <c r="X754" t="e">
        <f t="shared" ca="1" si="366"/>
        <v>#VALUE!</v>
      </c>
      <c r="Y754" t="e">
        <f t="shared" ca="1" si="367"/>
        <v>#VALUE!</v>
      </c>
      <c r="Z754" t="e">
        <f t="shared" ca="1" si="368"/>
        <v>#VALUE!</v>
      </c>
      <c r="AA754" t="e">
        <f t="shared" ca="1" si="369"/>
        <v>#VALUE!</v>
      </c>
      <c r="AB754" t="e">
        <f t="shared" ca="1" si="370"/>
        <v>#VALUE!</v>
      </c>
      <c r="AC754" t="e">
        <f t="shared" ca="1" si="371"/>
        <v>#VALUE!</v>
      </c>
      <c r="AD754" t="e">
        <f t="shared" ca="1" si="372"/>
        <v>#VALUE!</v>
      </c>
      <c r="AE754" t="e">
        <f t="shared" ca="1" si="373"/>
        <v>#VALUE!</v>
      </c>
      <c r="AF754" t="e">
        <f t="shared" ca="1" si="374"/>
        <v>#VALUE!</v>
      </c>
      <c r="AG754" t="e">
        <f t="shared" ca="1" si="375"/>
        <v>#VALUE!</v>
      </c>
      <c r="AH754" t="e">
        <f ca="1">IF(V32="Supercritical",L754,IF(V32="Subcritical",W754,IF(AND(V754=1,AG754=1),IF(T754&gt;=AE754,L754,W754),IF(V754=1,L754,IF(AG754=1,W754,MAX($D$16,POWER((ABS(K754)^2)/($I$5*MAX(F754,0.1)^2),1/3)))))))</f>
        <v>#VALUE!</v>
      </c>
      <c r="AI754" t="e">
        <f t="shared" ca="1" si="376"/>
        <v>#VALUE!</v>
      </c>
      <c r="AJ754" t="e">
        <f t="shared" ca="1" si="377"/>
        <v>#VALUE!</v>
      </c>
      <c r="AM754">
        <v>0</v>
      </c>
      <c r="AN754">
        <v>0</v>
      </c>
      <c r="AO754">
        <f t="shared" si="378"/>
        <v>0</v>
      </c>
      <c r="AP754">
        <f t="shared" si="387"/>
        <v>0</v>
      </c>
      <c r="AQ754" t="e">
        <f t="shared" ca="1" si="379"/>
        <v>#VALUE!</v>
      </c>
      <c r="AR754" t="e">
        <f t="shared" ca="1" si="380"/>
        <v>#VALUE!</v>
      </c>
      <c r="AS754" t="e">
        <f t="shared" ca="1" si="381"/>
        <v>#VALUE!</v>
      </c>
    </row>
    <row r="755" spans="1:45" x14ac:dyDescent="0.35">
      <c r="A755">
        <v>606</v>
      </c>
      <c r="B755">
        <v>604.89499999999998</v>
      </c>
      <c r="C755">
        <v>616154.57700000005</v>
      </c>
      <c r="D755">
        <v>3097384.2919999999</v>
      </c>
      <c r="E755">
        <v>632.2595</v>
      </c>
      <c r="F755">
        <v>5.2</v>
      </c>
      <c r="G755">
        <v>0</v>
      </c>
      <c r="H755" t="s">
        <v>191</v>
      </c>
      <c r="I755">
        <v>2.7E-2</v>
      </c>
      <c r="J755">
        <f t="shared" si="382"/>
        <v>1</v>
      </c>
      <c r="K755">
        <f t="shared" si="383"/>
        <v>51</v>
      </c>
      <c r="L755" t="e">
        <f t="shared" ca="1" si="384"/>
        <v>#VALUE!</v>
      </c>
      <c r="M755" t="e">
        <f t="shared" ca="1" si="357"/>
        <v>#VALUE!</v>
      </c>
      <c r="N755" t="e">
        <f t="shared" ca="1" si="358"/>
        <v>#VALUE!</v>
      </c>
      <c r="O755" t="e">
        <f t="shared" ca="1" si="359"/>
        <v>#VALUE!</v>
      </c>
      <c r="P755" t="e">
        <f t="shared" ca="1" si="360"/>
        <v>#VALUE!</v>
      </c>
      <c r="Q755" t="e">
        <f t="shared" ca="1" si="361"/>
        <v>#VALUE!</v>
      </c>
      <c r="R755" t="e">
        <f t="shared" ca="1" si="362"/>
        <v>#VALUE!</v>
      </c>
      <c r="S755" t="e">
        <f t="shared" ca="1" si="363"/>
        <v>#VALUE!</v>
      </c>
      <c r="T755" t="e">
        <f t="shared" ca="1" si="364"/>
        <v>#VALUE!</v>
      </c>
      <c r="U755" t="e">
        <f t="shared" ca="1" si="385"/>
        <v>#VALUE!</v>
      </c>
      <c r="V755" t="e">
        <f t="shared" ca="1" si="386"/>
        <v>#VALUE!</v>
      </c>
      <c r="W755" t="e">
        <f t="shared" ca="1" si="365"/>
        <v>#VALUE!</v>
      </c>
      <c r="X755" t="e">
        <f t="shared" ca="1" si="366"/>
        <v>#VALUE!</v>
      </c>
      <c r="Y755" t="e">
        <f t="shared" ca="1" si="367"/>
        <v>#VALUE!</v>
      </c>
      <c r="Z755" t="e">
        <f t="shared" ca="1" si="368"/>
        <v>#VALUE!</v>
      </c>
      <c r="AA755" t="e">
        <f t="shared" ca="1" si="369"/>
        <v>#VALUE!</v>
      </c>
      <c r="AB755" t="e">
        <f t="shared" ca="1" si="370"/>
        <v>#VALUE!</v>
      </c>
      <c r="AC755" t="e">
        <f t="shared" ca="1" si="371"/>
        <v>#VALUE!</v>
      </c>
      <c r="AD755" t="e">
        <f t="shared" ca="1" si="372"/>
        <v>#VALUE!</v>
      </c>
      <c r="AE755" t="e">
        <f t="shared" ca="1" si="373"/>
        <v>#VALUE!</v>
      </c>
      <c r="AF755" t="e">
        <f t="shared" ca="1" si="374"/>
        <v>#VALUE!</v>
      </c>
      <c r="AG755" t="e">
        <f t="shared" ca="1" si="375"/>
        <v>#VALUE!</v>
      </c>
      <c r="AH755" t="e">
        <f ca="1">IF(V32="Supercritical",L755,IF(V32="Subcritical",W755,IF(AND(V755=1,AG755=1),IF(T755&gt;=AE755,L755,W755),IF(V755=1,L755,IF(AG755=1,W755,MAX($D$16,POWER((ABS(K755)^2)/($I$5*MAX(F755,0.1)^2),1/3)))))))</f>
        <v>#VALUE!</v>
      </c>
      <c r="AI755" t="e">
        <f t="shared" ca="1" si="376"/>
        <v>#VALUE!</v>
      </c>
      <c r="AJ755" t="e">
        <f t="shared" ca="1" si="377"/>
        <v>#VALUE!</v>
      </c>
      <c r="AM755">
        <v>0</v>
      </c>
      <c r="AN755">
        <v>0</v>
      </c>
      <c r="AO755">
        <f t="shared" si="378"/>
        <v>0</v>
      </c>
      <c r="AP755">
        <f t="shared" si="387"/>
        <v>0</v>
      </c>
      <c r="AQ755" t="e">
        <f t="shared" ca="1" si="379"/>
        <v>#VALUE!</v>
      </c>
      <c r="AR755" t="e">
        <f t="shared" ca="1" si="380"/>
        <v>#VALUE!</v>
      </c>
      <c r="AS755" t="e">
        <f t="shared" ca="1" si="381"/>
        <v>#VALUE!</v>
      </c>
    </row>
    <row r="756" spans="1:45" x14ac:dyDescent="0.35">
      <c r="A756">
        <v>607</v>
      </c>
      <c r="B756">
        <v>605.89499999999998</v>
      </c>
      <c r="C756">
        <v>616154.103</v>
      </c>
      <c r="D756">
        <v>3097383.412</v>
      </c>
      <c r="E756">
        <v>632.25900000000001</v>
      </c>
      <c r="F756">
        <v>5.2</v>
      </c>
      <c r="G756">
        <v>0</v>
      </c>
      <c r="H756" t="s">
        <v>191</v>
      </c>
      <c r="I756">
        <v>2.3E-2</v>
      </c>
      <c r="J756">
        <f t="shared" si="382"/>
        <v>1</v>
      </c>
      <c r="K756">
        <f t="shared" si="383"/>
        <v>51</v>
      </c>
      <c r="L756" t="e">
        <f t="shared" ca="1" si="384"/>
        <v>#VALUE!</v>
      </c>
      <c r="M756" t="e">
        <f t="shared" ca="1" si="357"/>
        <v>#VALUE!</v>
      </c>
      <c r="N756" t="e">
        <f t="shared" ca="1" si="358"/>
        <v>#VALUE!</v>
      </c>
      <c r="O756" t="e">
        <f t="shared" ca="1" si="359"/>
        <v>#VALUE!</v>
      </c>
      <c r="P756" t="e">
        <f t="shared" ca="1" si="360"/>
        <v>#VALUE!</v>
      </c>
      <c r="Q756" t="e">
        <f t="shared" ca="1" si="361"/>
        <v>#VALUE!</v>
      </c>
      <c r="R756" t="e">
        <f t="shared" ca="1" si="362"/>
        <v>#VALUE!</v>
      </c>
      <c r="S756" t="e">
        <f t="shared" ca="1" si="363"/>
        <v>#VALUE!</v>
      </c>
      <c r="T756" t="e">
        <f t="shared" ca="1" si="364"/>
        <v>#VALUE!</v>
      </c>
      <c r="U756" t="e">
        <f t="shared" ca="1" si="385"/>
        <v>#VALUE!</v>
      </c>
      <c r="V756" t="e">
        <f t="shared" ca="1" si="386"/>
        <v>#VALUE!</v>
      </c>
      <c r="W756" t="e">
        <f t="shared" ca="1" si="365"/>
        <v>#VALUE!</v>
      </c>
      <c r="X756" t="e">
        <f t="shared" ca="1" si="366"/>
        <v>#VALUE!</v>
      </c>
      <c r="Y756" t="e">
        <f t="shared" ca="1" si="367"/>
        <v>#VALUE!</v>
      </c>
      <c r="Z756" t="e">
        <f t="shared" ca="1" si="368"/>
        <v>#VALUE!</v>
      </c>
      <c r="AA756" t="e">
        <f t="shared" ca="1" si="369"/>
        <v>#VALUE!</v>
      </c>
      <c r="AB756" t="e">
        <f t="shared" ca="1" si="370"/>
        <v>#VALUE!</v>
      </c>
      <c r="AC756" t="e">
        <f t="shared" ca="1" si="371"/>
        <v>#VALUE!</v>
      </c>
      <c r="AD756" t="e">
        <f t="shared" ca="1" si="372"/>
        <v>#VALUE!</v>
      </c>
      <c r="AE756" t="e">
        <f t="shared" ca="1" si="373"/>
        <v>#VALUE!</v>
      </c>
      <c r="AF756" t="e">
        <f t="shared" ca="1" si="374"/>
        <v>#VALUE!</v>
      </c>
      <c r="AG756" t="e">
        <f t="shared" ca="1" si="375"/>
        <v>#VALUE!</v>
      </c>
      <c r="AH756" t="e">
        <f ca="1">IF(V32="Supercritical",L756,IF(V32="Subcritical",W756,IF(AND(V756=1,AG756=1),IF(T756&gt;=AE756,L756,W756),IF(V756=1,L756,IF(AG756=1,W756,MAX($D$16,POWER((ABS(K756)^2)/($I$5*MAX(F756,0.1)^2),1/3)))))))</f>
        <v>#VALUE!</v>
      </c>
      <c r="AI756" t="e">
        <f t="shared" ca="1" si="376"/>
        <v>#VALUE!</v>
      </c>
      <c r="AJ756" t="e">
        <f t="shared" ca="1" si="377"/>
        <v>#VALUE!</v>
      </c>
      <c r="AM756">
        <v>0</v>
      </c>
      <c r="AN756">
        <v>0</v>
      </c>
      <c r="AO756">
        <f t="shared" si="378"/>
        <v>0</v>
      </c>
      <c r="AP756">
        <f t="shared" si="387"/>
        <v>0</v>
      </c>
      <c r="AQ756" t="e">
        <f t="shared" ca="1" si="379"/>
        <v>#VALUE!</v>
      </c>
      <c r="AR756" t="e">
        <f t="shared" ca="1" si="380"/>
        <v>#VALUE!</v>
      </c>
      <c r="AS756" t="e">
        <f t="shared" ca="1" si="381"/>
        <v>#VALUE!</v>
      </c>
    </row>
    <row r="757" spans="1:45" x14ac:dyDescent="0.35">
      <c r="A757">
        <v>608</v>
      </c>
      <c r="B757">
        <v>606.89599999999996</v>
      </c>
      <c r="C757">
        <v>616153.62800000003</v>
      </c>
      <c r="D757">
        <v>3097382.531</v>
      </c>
      <c r="E757">
        <v>632.25850000000003</v>
      </c>
      <c r="F757">
        <v>5.2</v>
      </c>
      <c r="G757">
        <v>0</v>
      </c>
      <c r="H757" t="s">
        <v>191</v>
      </c>
      <c r="I757">
        <v>2.3E-2</v>
      </c>
      <c r="J757">
        <f t="shared" si="382"/>
        <v>1.0009999999999764</v>
      </c>
      <c r="K757">
        <f t="shared" si="383"/>
        <v>51</v>
      </c>
      <c r="L757" t="e">
        <f t="shared" ca="1" si="384"/>
        <v>#VALUE!</v>
      </c>
      <c r="M757" t="e">
        <f t="shared" ca="1" si="357"/>
        <v>#VALUE!</v>
      </c>
      <c r="N757" t="e">
        <f t="shared" ca="1" si="358"/>
        <v>#VALUE!</v>
      </c>
      <c r="O757" t="e">
        <f t="shared" ca="1" si="359"/>
        <v>#VALUE!</v>
      </c>
      <c r="P757" t="e">
        <f t="shared" ca="1" si="360"/>
        <v>#VALUE!</v>
      </c>
      <c r="Q757" t="e">
        <f t="shared" ca="1" si="361"/>
        <v>#VALUE!</v>
      </c>
      <c r="R757" t="e">
        <f t="shared" ca="1" si="362"/>
        <v>#VALUE!</v>
      </c>
      <c r="S757" t="e">
        <f t="shared" ca="1" si="363"/>
        <v>#VALUE!</v>
      </c>
      <c r="T757" t="e">
        <f t="shared" ca="1" si="364"/>
        <v>#VALUE!</v>
      </c>
      <c r="U757" t="e">
        <f t="shared" ca="1" si="385"/>
        <v>#VALUE!</v>
      </c>
      <c r="V757" t="e">
        <f t="shared" ca="1" si="386"/>
        <v>#VALUE!</v>
      </c>
      <c r="W757" t="e">
        <f t="shared" ca="1" si="365"/>
        <v>#VALUE!</v>
      </c>
      <c r="X757" t="e">
        <f t="shared" ca="1" si="366"/>
        <v>#VALUE!</v>
      </c>
      <c r="Y757" t="e">
        <f t="shared" ca="1" si="367"/>
        <v>#VALUE!</v>
      </c>
      <c r="Z757" t="e">
        <f t="shared" ca="1" si="368"/>
        <v>#VALUE!</v>
      </c>
      <c r="AA757" t="e">
        <f t="shared" ca="1" si="369"/>
        <v>#VALUE!</v>
      </c>
      <c r="AB757" t="e">
        <f t="shared" ca="1" si="370"/>
        <v>#VALUE!</v>
      </c>
      <c r="AC757" t="e">
        <f t="shared" ca="1" si="371"/>
        <v>#VALUE!</v>
      </c>
      <c r="AD757" t="e">
        <f t="shared" ca="1" si="372"/>
        <v>#VALUE!</v>
      </c>
      <c r="AE757" t="e">
        <f t="shared" ca="1" si="373"/>
        <v>#VALUE!</v>
      </c>
      <c r="AF757" t="e">
        <f t="shared" ca="1" si="374"/>
        <v>#VALUE!</v>
      </c>
      <c r="AG757" t="e">
        <f t="shared" ca="1" si="375"/>
        <v>#VALUE!</v>
      </c>
      <c r="AH757" t="e">
        <f ca="1">IF(V32="Supercritical",L757,IF(V32="Subcritical",W757,IF(AND(V757=1,AG757=1),IF(T757&gt;=AE757,L757,W757),IF(V757=1,L757,IF(AG757=1,W757,MAX($D$16,POWER((ABS(K757)^2)/($I$5*MAX(F757,0.1)^2),1/3)))))))</f>
        <v>#VALUE!</v>
      </c>
      <c r="AI757" t="e">
        <f t="shared" ca="1" si="376"/>
        <v>#VALUE!</v>
      </c>
      <c r="AJ757" t="e">
        <f t="shared" ca="1" si="377"/>
        <v>#VALUE!</v>
      </c>
      <c r="AM757">
        <v>0</v>
      </c>
      <c r="AN757">
        <v>0</v>
      </c>
      <c r="AO757">
        <f t="shared" si="378"/>
        <v>0</v>
      </c>
      <c r="AP757">
        <f t="shared" si="387"/>
        <v>0</v>
      </c>
      <c r="AQ757" t="e">
        <f t="shared" ca="1" si="379"/>
        <v>#VALUE!</v>
      </c>
      <c r="AR757" t="e">
        <f t="shared" ca="1" si="380"/>
        <v>#VALUE!</v>
      </c>
      <c r="AS757" t="e">
        <f t="shared" ca="1" si="381"/>
        <v>#VALUE!</v>
      </c>
    </row>
    <row r="758" spans="1:45" x14ac:dyDescent="0.35">
      <c r="A758">
        <v>609</v>
      </c>
      <c r="B758">
        <v>607.89499999999998</v>
      </c>
      <c r="C758">
        <v>616153.15399999998</v>
      </c>
      <c r="D758">
        <v>3097381.6510000001</v>
      </c>
      <c r="E758">
        <v>632.25800000000004</v>
      </c>
      <c r="F758">
        <v>5.2</v>
      </c>
      <c r="G758">
        <v>0</v>
      </c>
      <c r="H758" t="s">
        <v>191</v>
      </c>
      <c r="I758">
        <v>0</v>
      </c>
      <c r="J758">
        <f t="shared" si="382"/>
        <v>0.99900000000002365</v>
      </c>
      <c r="K758">
        <f t="shared" si="383"/>
        <v>51</v>
      </c>
      <c r="L758" t="e">
        <f t="shared" ca="1" si="384"/>
        <v>#VALUE!</v>
      </c>
      <c r="M758" t="e">
        <f t="shared" ca="1" si="357"/>
        <v>#VALUE!</v>
      </c>
      <c r="N758" t="e">
        <f t="shared" ca="1" si="358"/>
        <v>#VALUE!</v>
      </c>
      <c r="O758" t="e">
        <f t="shared" ca="1" si="359"/>
        <v>#VALUE!</v>
      </c>
      <c r="P758" t="e">
        <f t="shared" ca="1" si="360"/>
        <v>#VALUE!</v>
      </c>
      <c r="Q758" t="e">
        <f t="shared" ca="1" si="361"/>
        <v>#VALUE!</v>
      </c>
      <c r="R758" t="e">
        <f t="shared" ca="1" si="362"/>
        <v>#VALUE!</v>
      </c>
      <c r="S758" t="e">
        <f t="shared" ca="1" si="363"/>
        <v>#VALUE!</v>
      </c>
      <c r="T758" t="e">
        <f t="shared" ca="1" si="364"/>
        <v>#VALUE!</v>
      </c>
      <c r="U758" t="e">
        <f t="shared" ca="1" si="385"/>
        <v>#VALUE!</v>
      </c>
      <c r="V758" t="e">
        <f t="shared" ca="1" si="386"/>
        <v>#VALUE!</v>
      </c>
      <c r="W758" t="e">
        <f t="shared" ca="1" si="365"/>
        <v>#VALUE!</v>
      </c>
      <c r="X758" t="e">
        <f t="shared" ca="1" si="366"/>
        <v>#VALUE!</v>
      </c>
      <c r="Y758" t="e">
        <f t="shared" ca="1" si="367"/>
        <v>#VALUE!</v>
      </c>
      <c r="Z758" t="e">
        <f t="shared" ca="1" si="368"/>
        <v>#VALUE!</v>
      </c>
      <c r="AA758" t="e">
        <f t="shared" ca="1" si="369"/>
        <v>#VALUE!</v>
      </c>
      <c r="AB758" t="e">
        <f t="shared" ca="1" si="370"/>
        <v>#VALUE!</v>
      </c>
      <c r="AC758" t="e">
        <f t="shared" ca="1" si="371"/>
        <v>#VALUE!</v>
      </c>
      <c r="AD758" t="e">
        <f t="shared" ca="1" si="372"/>
        <v>#VALUE!</v>
      </c>
      <c r="AE758" t="e">
        <f t="shared" ca="1" si="373"/>
        <v>#VALUE!</v>
      </c>
      <c r="AF758" t="e">
        <f t="shared" ca="1" si="374"/>
        <v>#VALUE!</v>
      </c>
      <c r="AG758" t="e">
        <f t="shared" ca="1" si="375"/>
        <v>#VALUE!</v>
      </c>
      <c r="AH758" t="e">
        <f ca="1">IF(V32="Supercritical",L758,IF(V32="Subcritical",W758,IF(AND(V758=1,AG758=1),IF(T758&gt;=AE758,L758,W758),IF(V758=1,L758,IF(AG758=1,W758,MAX($D$16,POWER((ABS(K758)^2)/($I$5*MAX(F758,0.1)^2),1/3)))))))</f>
        <v>#VALUE!</v>
      </c>
      <c r="AI758" t="e">
        <f t="shared" ca="1" si="376"/>
        <v>#VALUE!</v>
      </c>
      <c r="AJ758" t="e">
        <f t="shared" ca="1" si="377"/>
        <v>#VALUE!</v>
      </c>
      <c r="AM758">
        <v>0</v>
      </c>
      <c r="AN758">
        <v>0</v>
      </c>
      <c r="AO758">
        <f t="shared" si="378"/>
        <v>0</v>
      </c>
      <c r="AP758">
        <f t="shared" si="387"/>
        <v>0</v>
      </c>
      <c r="AQ758" t="e">
        <f t="shared" ca="1" si="379"/>
        <v>#VALUE!</v>
      </c>
      <c r="AR758" t="e">
        <f t="shared" ca="1" si="380"/>
        <v>#VALUE!</v>
      </c>
      <c r="AS758" t="e">
        <f t="shared" ca="1" si="381"/>
        <v>#VALUE!</v>
      </c>
    </row>
    <row r="759" spans="1:45" x14ac:dyDescent="0.35">
      <c r="A759">
        <v>610</v>
      </c>
      <c r="B759">
        <v>608.89499999999998</v>
      </c>
      <c r="C759">
        <v>616152.68000000005</v>
      </c>
      <c r="D759">
        <v>3097380.7710000002</v>
      </c>
      <c r="E759">
        <v>632.25750000000005</v>
      </c>
      <c r="F759">
        <v>5.2</v>
      </c>
      <c r="G759">
        <v>0</v>
      </c>
      <c r="H759" t="s">
        <v>191</v>
      </c>
      <c r="I759">
        <v>2.7E-2</v>
      </c>
      <c r="J759">
        <f t="shared" si="382"/>
        <v>1</v>
      </c>
      <c r="K759">
        <f t="shared" si="383"/>
        <v>51</v>
      </c>
      <c r="L759" t="e">
        <f t="shared" ca="1" si="384"/>
        <v>#VALUE!</v>
      </c>
      <c r="M759" t="e">
        <f t="shared" ca="1" si="357"/>
        <v>#VALUE!</v>
      </c>
      <c r="N759" t="e">
        <f t="shared" ca="1" si="358"/>
        <v>#VALUE!</v>
      </c>
      <c r="O759" t="e">
        <f t="shared" ca="1" si="359"/>
        <v>#VALUE!</v>
      </c>
      <c r="P759" t="e">
        <f t="shared" ca="1" si="360"/>
        <v>#VALUE!</v>
      </c>
      <c r="Q759" t="e">
        <f t="shared" ca="1" si="361"/>
        <v>#VALUE!</v>
      </c>
      <c r="R759" t="e">
        <f t="shared" ca="1" si="362"/>
        <v>#VALUE!</v>
      </c>
      <c r="S759" t="e">
        <f t="shared" ca="1" si="363"/>
        <v>#VALUE!</v>
      </c>
      <c r="T759" t="e">
        <f t="shared" ca="1" si="364"/>
        <v>#VALUE!</v>
      </c>
      <c r="U759" t="e">
        <f t="shared" ca="1" si="385"/>
        <v>#VALUE!</v>
      </c>
      <c r="V759" t="e">
        <f t="shared" ca="1" si="386"/>
        <v>#VALUE!</v>
      </c>
      <c r="W759" t="e">
        <f t="shared" ca="1" si="365"/>
        <v>#VALUE!</v>
      </c>
      <c r="X759" t="e">
        <f t="shared" ca="1" si="366"/>
        <v>#VALUE!</v>
      </c>
      <c r="Y759" t="e">
        <f t="shared" ca="1" si="367"/>
        <v>#VALUE!</v>
      </c>
      <c r="Z759" t="e">
        <f t="shared" ca="1" si="368"/>
        <v>#VALUE!</v>
      </c>
      <c r="AA759" t="e">
        <f t="shared" ca="1" si="369"/>
        <v>#VALUE!</v>
      </c>
      <c r="AB759" t="e">
        <f t="shared" ca="1" si="370"/>
        <v>#VALUE!</v>
      </c>
      <c r="AC759" t="e">
        <f t="shared" ca="1" si="371"/>
        <v>#VALUE!</v>
      </c>
      <c r="AD759" t="e">
        <f t="shared" ca="1" si="372"/>
        <v>#VALUE!</v>
      </c>
      <c r="AE759" t="e">
        <f t="shared" ca="1" si="373"/>
        <v>#VALUE!</v>
      </c>
      <c r="AF759" t="e">
        <f t="shared" ca="1" si="374"/>
        <v>#VALUE!</v>
      </c>
      <c r="AG759" t="e">
        <f t="shared" ca="1" si="375"/>
        <v>#VALUE!</v>
      </c>
      <c r="AH759" t="e">
        <f ca="1">IF(V32="Supercritical",L759,IF(V32="Subcritical",W759,IF(AND(V759=1,AG759=1),IF(T759&gt;=AE759,L759,W759),IF(V759=1,L759,IF(AG759=1,W759,MAX($D$16,POWER((ABS(K759)^2)/($I$5*MAX(F759,0.1)^2),1/3)))))))</f>
        <v>#VALUE!</v>
      </c>
      <c r="AI759" t="e">
        <f t="shared" ca="1" si="376"/>
        <v>#VALUE!</v>
      </c>
      <c r="AJ759" t="e">
        <f t="shared" ca="1" si="377"/>
        <v>#VALUE!</v>
      </c>
      <c r="AM759">
        <v>0</v>
      </c>
      <c r="AN759">
        <v>0</v>
      </c>
      <c r="AO759">
        <f t="shared" si="378"/>
        <v>0</v>
      </c>
      <c r="AP759">
        <f t="shared" si="387"/>
        <v>0</v>
      </c>
      <c r="AQ759" t="e">
        <f t="shared" ca="1" si="379"/>
        <v>#VALUE!</v>
      </c>
      <c r="AR759" t="e">
        <f t="shared" ca="1" si="380"/>
        <v>#VALUE!</v>
      </c>
      <c r="AS759" t="e">
        <f t="shared" ca="1" si="381"/>
        <v>#VALUE!</v>
      </c>
    </row>
    <row r="760" spans="1:45" x14ac:dyDescent="0.35">
      <c r="A760">
        <v>611</v>
      </c>
      <c r="B760">
        <v>609.89499999999998</v>
      </c>
      <c r="C760">
        <v>616152.20600000001</v>
      </c>
      <c r="D760">
        <v>3097379.89</v>
      </c>
      <c r="E760">
        <v>632.25699999999995</v>
      </c>
      <c r="F760">
        <v>5.2</v>
      </c>
      <c r="G760">
        <v>0</v>
      </c>
      <c r="H760" t="s">
        <v>191</v>
      </c>
      <c r="I760">
        <v>7.8E-2</v>
      </c>
      <c r="J760">
        <f t="shared" si="382"/>
        <v>1</v>
      </c>
      <c r="K760">
        <f t="shared" si="383"/>
        <v>51</v>
      </c>
      <c r="L760" t="e">
        <f t="shared" ca="1" si="384"/>
        <v>#VALUE!</v>
      </c>
      <c r="M760" t="e">
        <f t="shared" ca="1" si="357"/>
        <v>#VALUE!</v>
      </c>
      <c r="N760" t="e">
        <f t="shared" ca="1" si="358"/>
        <v>#VALUE!</v>
      </c>
      <c r="O760" t="e">
        <f t="shared" ca="1" si="359"/>
        <v>#VALUE!</v>
      </c>
      <c r="P760" t="e">
        <f t="shared" ca="1" si="360"/>
        <v>#VALUE!</v>
      </c>
      <c r="Q760" t="e">
        <f t="shared" ca="1" si="361"/>
        <v>#VALUE!</v>
      </c>
      <c r="R760" t="e">
        <f t="shared" ca="1" si="362"/>
        <v>#VALUE!</v>
      </c>
      <c r="S760" t="e">
        <f t="shared" ca="1" si="363"/>
        <v>#VALUE!</v>
      </c>
      <c r="T760" t="e">
        <f t="shared" ca="1" si="364"/>
        <v>#VALUE!</v>
      </c>
      <c r="U760" t="e">
        <f t="shared" ca="1" si="385"/>
        <v>#VALUE!</v>
      </c>
      <c r="V760" t="e">
        <f t="shared" ca="1" si="386"/>
        <v>#VALUE!</v>
      </c>
      <c r="W760" t="e">
        <f t="shared" ca="1" si="365"/>
        <v>#VALUE!</v>
      </c>
      <c r="X760" t="e">
        <f t="shared" ca="1" si="366"/>
        <v>#VALUE!</v>
      </c>
      <c r="Y760" t="e">
        <f t="shared" ca="1" si="367"/>
        <v>#VALUE!</v>
      </c>
      <c r="Z760" t="e">
        <f t="shared" ca="1" si="368"/>
        <v>#VALUE!</v>
      </c>
      <c r="AA760" t="e">
        <f t="shared" ca="1" si="369"/>
        <v>#VALUE!</v>
      </c>
      <c r="AB760" t="e">
        <f t="shared" ca="1" si="370"/>
        <v>#VALUE!</v>
      </c>
      <c r="AC760" t="e">
        <f t="shared" ca="1" si="371"/>
        <v>#VALUE!</v>
      </c>
      <c r="AD760" t="e">
        <f t="shared" ca="1" si="372"/>
        <v>#VALUE!</v>
      </c>
      <c r="AE760" t="e">
        <f t="shared" ca="1" si="373"/>
        <v>#VALUE!</v>
      </c>
      <c r="AF760" t="e">
        <f t="shared" ca="1" si="374"/>
        <v>#VALUE!</v>
      </c>
      <c r="AG760" t="e">
        <f t="shared" ca="1" si="375"/>
        <v>#VALUE!</v>
      </c>
      <c r="AH760" t="e">
        <f ca="1">IF(V32="Supercritical",L760,IF(V32="Subcritical",W760,IF(AND(V760=1,AG760=1),IF(T760&gt;=AE760,L760,W760),IF(V760=1,L760,IF(AG760=1,W760,MAX($D$16,POWER((ABS(K760)^2)/($I$5*MAX(F760,0.1)^2),1/3)))))))</f>
        <v>#VALUE!</v>
      </c>
      <c r="AI760" t="e">
        <f t="shared" ca="1" si="376"/>
        <v>#VALUE!</v>
      </c>
      <c r="AJ760" t="e">
        <f t="shared" ca="1" si="377"/>
        <v>#VALUE!</v>
      </c>
      <c r="AM760">
        <v>0</v>
      </c>
      <c r="AN760">
        <v>0</v>
      </c>
      <c r="AO760">
        <f t="shared" si="378"/>
        <v>0</v>
      </c>
      <c r="AP760">
        <f t="shared" si="387"/>
        <v>0</v>
      </c>
      <c r="AQ760" t="e">
        <f t="shared" ca="1" si="379"/>
        <v>#VALUE!</v>
      </c>
      <c r="AR760" t="e">
        <f t="shared" ca="1" si="380"/>
        <v>#VALUE!</v>
      </c>
      <c r="AS760" t="e">
        <f t="shared" ca="1" si="381"/>
        <v>#VALUE!</v>
      </c>
    </row>
    <row r="761" spans="1:45" x14ac:dyDescent="0.35">
      <c r="A761">
        <v>612</v>
      </c>
      <c r="B761">
        <v>610.89499999999998</v>
      </c>
      <c r="C761">
        <v>616151.73100000003</v>
      </c>
      <c r="D761">
        <v>3097379.01</v>
      </c>
      <c r="E761">
        <v>632.25649999999996</v>
      </c>
      <c r="F761">
        <v>5.2</v>
      </c>
      <c r="G761">
        <v>0</v>
      </c>
      <c r="H761" t="s">
        <v>191</v>
      </c>
      <c r="I761">
        <v>7.8E-2</v>
      </c>
      <c r="J761">
        <f t="shared" si="382"/>
        <v>1</v>
      </c>
      <c r="K761">
        <f t="shared" si="383"/>
        <v>51</v>
      </c>
      <c r="L761" t="e">
        <f t="shared" ca="1" si="384"/>
        <v>#VALUE!</v>
      </c>
      <c r="M761" t="e">
        <f t="shared" ca="1" si="357"/>
        <v>#VALUE!</v>
      </c>
      <c r="N761" t="e">
        <f t="shared" ca="1" si="358"/>
        <v>#VALUE!</v>
      </c>
      <c r="O761" t="e">
        <f t="shared" ca="1" si="359"/>
        <v>#VALUE!</v>
      </c>
      <c r="P761" t="e">
        <f t="shared" ca="1" si="360"/>
        <v>#VALUE!</v>
      </c>
      <c r="Q761" t="e">
        <f t="shared" ca="1" si="361"/>
        <v>#VALUE!</v>
      </c>
      <c r="R761" t="e">
        <f t="shared" ca="1" si="362"/>
        <v>#VALUE!</v>
      </c>
      <c r="S761" t="e">
        <f t="shared" ca="1" si="363"/>
        <v>#VALUE!</v>
      </c>
      <c r="T761" t="e">
        <f t="shared" ca="1" si="364"/>
        <v>#VALUE!</v>
      </c>
      <c r="U761" t="e">
        <f t="shared" ca="1" si="385"/>
        <v>#VALUE!</v>
      </c>
      <c r="V761" t="e">
        <f t="shared" ca="1" si="386"/>
        <v>#VALUE!</v>
      </c>
      <c r="W761" t="e">
        <f t="shared" ca="1" si="365"/>
        <v>#VALUE!</v>
      </c>
      <c r="X761" t="e">
        <f t="shared" ca="1" si="366"/>
        <v>#VALUE!</v>
      </c>
      <c r="Y761" t="e">
        <f t="shared" ca="1" si="367"/>
        <v>#VALUE!</v>
      </c>
      <c r="Z761" t="e">
        <f t="shared" ca="1" si="368"/>
        <v>#VALUE!</v>
      </c>
      <c r="AA761" t="e">
        <f t="shared" ca="1" si="369"/>
        <v>#VALUE!</v>
      </c>
      <c r="AB761" t="e">
        <f t="shared" ca="1" si="370"/>
        <v>#VALUE!</v>
      </c>
      <c r="AC761" t="e">
        <f t="shared" ca="1" si="371"/>
        <v>#VALUE!</v>
      </c>
      <c r="AD761" t="e">
        <f t="shared" ca="1" si="372"/>
        <v>#VALUE!</v>
      </c>
      <c r="AE761" t="e">
        <f t="shared" ca="1" si="373"/>
        <v>#VALUE!</v>
      </c>
      <c r="AF761" t="e">
        <f t="shared" ca="1" si="374"/>
        <v>#VALUE!</v>
      </c>
      <c r="AG761" t="e">
        <f t="shared" ca="1" si="375"/>
        <v>#VALUE!</v>
      </c>
      <c r="AH761" t="e">
        <f ca="1">IF(V32="Supercritical",L761,IF(V32="Subcritical",W761,IF(AND(V761=1,AG761=1),IF(T761&gt;=AE761,L761,W761),IF(V761=1,L761,IF(AG761=1,W761,MAX($D$16,POWER((ABS(K761)^2)/($I$5*MAX(F761,0.1)^2),1/3)))))))</f>
        <v>#VALUE!</v>
      </c>
      <c r="AI761" t="e">
        <f t="shared" ca="1" si="376"/>
        <v>#VALUE!</v>
      </c>
      <c r="AJ761" t="e">
        <f t="shared" ca="1" si="377"/>
        <v>#VALUE!</v>
      </c>
      <c r="AM761">
        <v>0</v>
      </c>
      <c r="AN761">
        <v>0</v>
      </c>
      <c r="AO761">
        <f t="shared" si="378"/>
        <v>0</v>
      </c>
      <c r="AP761">
        <f t="shared" si="387"/>
        <v>0</v>
      </c>
      <c r="AQ761" t="e">
        <f t="shared" ca="1" si="379"/>
        <v>#VALUE!</v>
      </c>
      <c r="AR761" t="e">
        <f t="shared" ca="1" si="380"/>
        <v>#VALUE!</v>
      </c>
      <c r="AS761" t="e">
        <f t="shared" ca="1" si="381"/>
        <v>#VALUE!</v>
      </c>
    </row>
    <row r="762" spans="1:45" x14ac:dyDescent="0.35">
      <c r="A762">
        <v>613</v>
      </c>
      <c r="B762">
        <v>611.89599999999996</v>
      </c>
      <c r="C762">
        <v>616151.25699999998</v>
      </c>
      <c r="D762">
        <v>3097378.1290000002</v>
      </c>
      <c r="E762">
        <v>632.25599999999997</v>
      </c>
      <c r="F762">
        <v>5.2</v>
      </c>
      <c r="G762">
        <v>0</v>
      </c>
      <c r="H762" t="s">
        <v>191</v>
      </c>
      <c r="I762">
        <v>2.7E-2</v>
      </c>
      <c r="J762">
        <f t="shared" si="382"/>
        <v>1.0009999999999764</v>
      </c>
      <c r="K762">
        <f t="shared" si="383"/>
        <v>51</v>
      </c>
      <c r="L762" t="e">
        <f t="shared" ca="1" si="384"/>
        <v>#VALUE!</v>
      </c>
      <c r="M762" t="e">
        <f t="shared" ca="1" si="357"/>
        <v>#VALUE!</v>
      </c>
      <c r="N762" t="e">
        <f t="shared" ca="1" si="358"/>
        <v>#VALUE!</v>
      </c>
      <c r="O762" t="e">
        <f t="shared" ca="1" si="359"/>
        <v>#VALUE!</v>
      </c>
      <c r="P762" t="e">
        <f t="shared" ca="1" si="360"/>
        <v>#VALUE!</v>
      </c>
      <c r="Q762" t="e">
        <f t="shared" ca="1" si="361"/>
        <v>#VALUE!</v>
      </c>
      <c r="R762" t="e">
        <f t="shared" ca="1" si="362"/>
        <v>#VALUE!</v>
      </c>
      <c r="S762" t="e">
        <f t="shared" ca="1" si="363"/>
        <v>#VALUE!</v>
      </c>
      <c r="T762" t="e">
        <f t="shared" ca="1" si="364"/>
        <v>#VALUE!</v>
      </c>
      <c r="U762" t="e">
        <f t="shared" ca="1" si="385"/>
        <v>#VALUE!</v>
      </c>
      <c r="V762" t="e">
        <f t="shared" ca="1" si="386"/>
        <v>#VALUE!</v>
      </c>
      <c r="W762" t="e">
        <f t="shared" ca="1" si="365"/>
        <v>#VALUE!</v>
      </c>
      <c r="X762" t="e">
        <f t="shared" ca="1" si="366"/>
        <v>#VALUE!</v>
      </c>
      <c r="Y762" t="e">
        <f t="shared" ca="1" si="367"/>
        <v>#VALUE!</v>
      </c>
      <c r="Z762" t="e">
        <f t="shared" ca="1" si="368"/>
        <v>#VALUE!</v>
      </c>
      <c r="AA762" t="e">
        <f t="shared" ca="1" si="369"/>
        <v>#VALUE!</v>
      </c>
      <c r="AB762" t="e">
        <f t="shared" ca="1" si="370"/>
        <v>#VALUE!</v>
      </c>
      <c r="AC762" t="e">
        <f t="shared" ca="1" si="371"/>
        <v>#VALUE!</v>
      </c>
      <c r="AD762" t="e">
        <f t="shared" ca="1" si="372"/>
        <v>#VALUE!</v>
      </c>
      <c r="AE762" t="e">
        <f t="shared" ca="1" si="373"/>
        <v>#VALUE!</v>
      </c>
      <c r="AF762" t="e">
        <f t="shared" ca="1" si="374"/>
        <v>#VALUE!</v>
      </c>
      <c r="AG762" t="e">
        <f t="shared" ca="1" si="375"/>
        <v>#VALUE!</v>
      </c>
      <c r="AH762" t="e">
        <f ca="1">IF(V32="Supercritical",L762,IF(V32="Subcritical",W762,IF(AND(V762=1,AG762=1),IF(T762&gt;=AE762,L762,W762),IF(V762=1,L762,IF(AG762=1,W762,MAX($D$16,POWER((ABS(K762)^2)/($I$5*MAX(F762,0.1)^2),1/3)))))))</f>
        <v>#VALUE!</v>
      </c>
      <c r="AI762" t="e">
        <f t="shared" ca="1" si="376"/>
        <v>#VALUE!</v>
      </c>
      <c r="AJ762" t="e">
        <f t="shared" ca="1" si="377"/>
        <v>#VALUE!</v>
      </c>
      <c r="AM762">
        <v>0</v>
      </c>
      <c r="AN762">
        <v>0</v>
      </c>
      <c r="AO762">
        <f t="shared" si="378"/>
        <v>0</v>
      </c>
      <c r="AP762">
        <f t="shared" si="387"/>
        <v>0</v>
      </c>
      <c r="AQ762" t="e">
        <f t="shared" ca="1" si="379"/>
        <v>#VALUE!</v>
      </c>
      <c r="AR762" t="e">
        <f t="shared" ca="1" si="380"/>
        <v>#VALUE!</v>
      </c>
      <c r="AS762" t="e">
        <f t="shared" ca="1" si="381"/>
        <v>#VALUE!</v>
      </c>
    </row>
    <row r="763" spans="1:45" x14ac:dyDescent="0.35">
      <c r="A763">
        <v>614</v>
      </c>
      <c r="B763">
        <v>612.89499999999998</v>
      </c>
      <c r="C763">
        <v>616150.78300000005</v>
      </c>
      <c r="D763">
        <v>3097377.2489999998</v>
      </c>
      <c r="E763">
        <v>632.25549999999998</v>
      </c>
      <c r="F763">
        <v>5.2</v>
      </c>
      <c r="G763">
        <v>0</v>
      </c>
      <c r="H763" t="s">
        <v>191</v>
      </c>
      <c r="I763">
        <v>0</v>
      </c>
      <c r="J763">
        <f t="shared" si="382"/>
        <v>0.99900000000002365</v>
      </c>
      <c r="K763">
        <f t="shared" si="383"/>
        <v>51</v>
      </c>
      <c r="L763" t="e">
        <f t="shared" ca="1" si="384"/>
        <v>#VALUE!</v>
      </c>
      <c r="M763" t="e">
        <f t="shared" ca="1" si="357"/>
        <v>#VALUE!</v>
      </c>
      <c r="N763" t="e">
        <f t="shared" ca="1" si="358"/>
        <v>#VALUE!</v>
      </c>
      <c r="O763" t="e">
        <f t="shared" ca="1" si="359"/>
        <v>#VALUE!</v>
      </c>
      <c r="P763" t="e">
        <f t="shared" ca="1" si="360"/>
        <v>#VALUE!</v>
      </c>
      <c r="Q763" t="e">
        <f t="shared" ca="1" si="361"/>
        <v>#VALUE!</v>
      </c>
      <c r="R763" t="e">
        <f t="shared" ca="1" si="362"/>
        <v>#VALUE!</v>
      </c>
      <c r="S763" t="e">
        <f t="shared" ca="1" si="363"/>
        <v>#VALUE!</v>
      </c>
      <c r="T763" t="e">
        <f t="shared" ca="1" si="364"/>
        <v>#VALUE!</v>
      </c>
      <c r="U763" t="e">
        <f t="shared" ca="1" si="385"/>
        <v>#VALUE!</v>
      </c>
      <c r="V763" t="e">
        <f t="shared" ca="1" si="386"/>
        <v>#VALUE!</v>
      </c>
      <c r="W763" t="e">
        <f t="shared" ca="1" si="365"/>
        <v>#VALUE!</v>
      </c>
      <c r="X763" t="e">
        <f t="shared" ca="1" si="366"/>
        <v>#VALUE!</v>
      </c>
      <c r="Y763" t="e">
        <f t="shared" ca="1" si="367"/>
        <v>#VALUE!</v>
      </c>
      <c r="Z763" t="e">
        <f t="shared" ca="1" si="368"/>
        <v>#VALUE!</v>
      </c>
      <c r="AA763" t="e">
        <f t="shared" ca="1" si="369"/>
        <v>#VALUE!</v>
      </c>
      <c r="AB763" t="e">
        <f t="shared" ca="1" si="370"/>
        <v>#VALUE!</v>
      </c>
      <c r="AC763" t="e">
        <f t="shared" ca="1" si="371"/>
        <v>#VALUE!</v>
      </c>
      <c r="AD763" t="e">
        <f t="shared" ca="1" si="372"/>
        <v>#VALUE!</v>
      </c>
      <c r="AE763" t="e">
        <f t="shared" ca="1" si="373"/>
        <v>#VALUE!</v>
      </c>
      <c r="AF763" t="e">
        <f t="shared" ca="1" si="374"/>
        <v>#VALUE!</v>
      </c>
      <c r="AG763" t="e">
        <f t="shared" ca="1" si="375"/>
        <v>#VALUE!</v>
      </c>
      <c r="AH763" t="e">
        <f ca="1">IF(V32="Supercritical",L763,IF(V32="Subcritical",W763,IF(AND(V763=1,AG763=1),IF(T763&gt;=AE763,L763,W763),IF(V763=1,L763,IF(AG763=1,W763,MAX($D$16,POWER((ABS(K763)^2)/($I$5*MAX(F763,0.1)^2),1/3)))))))</f>
        <v>#VALUE!</v>
      </c>
      <c r="AI763" t="e">
        <f t="shared" ca="1" si="376"/>
        <v>#VALUE!</v>
      </c>
      <c r="AJ763" t="e">
        <f t="shared" ca="1" si="377"/>
        <v>#VALUE!</v>
      </c>
      <c r="AM763">
        <v>0</v>
      </c>
      <c r="AN763">
        <v>0</v>
      </c>
      <c r="AO763">
        <f t="shared" si="378"/>
        <v>0</v>
      </c>
      <c r="AP763">
        <f t="shared" si="387"/>
        <v>0</v>
      </c>
      <c r="AQ763" t="e">
        <f t="shared" ca="1" si="379"/>
        <v>#VALUE!</v>
      </c>
      <c r="AR763" t="e">
        <f t="shared" ca="1" si="380"/>
        <v>#VALUE!</v>
      </c>
      <c r="AS763" t="e">
        <f t="shared" ca="1" si="381"/>
        <v>#VALUE!</v>
      </c>
    </row>
    <row r="764" spans="1:45" x14ac:dyDescent="0.35">
      <c r="A764">
        <v>615</v>
      </c>
      <c r="B764">
        <v>613.89499999999998</v>
      </c>
      <c r="C764">
        <v>616150.30900000001</v>
      </c>
      <c r="D764">
        <v>3097376.3689999999</v>
      </c>
      <c r="E764">
        <v>632.255</v>
      </c>
      <c r="F764">
        <v>5.2</v>
      </c>
      <c r="G764">
        <v>0</v>
      </c>
      <c r="H764" t="s">
        <v>191</v>
      </c>
      <c r="I764">
        <v>2.7E-2</v>
      </c>
      <c r="J764">
        <f t="shared" si="382"/>
        <v>1</v>
      </c>
      <c r="K764">
        <f t="shared" si="383"/>
        <v>51</v>
      </c>
      <c r="L764" t="e">
        <f t="shared" ca="1" si="384"/>
        <v>#VALUE!</v>
      </c>
      <c r="M764" t="e">
        <f t="shared" ca="1" si="357"/>
        <v>#VALUE!</v>
      </c>
      <c r="N764" t="e">
        <f t="shared" ca="1" si="358"/>
        <v>#VALUE!</v>
      </c>
      <c r="O764" t="e">
        <f t="shared" ca="1" si="359"/>
        <v>#VALUE!</v>
      </c>
      <c r="P764" t="e">
        <f t="shared" ca="1" si="360"/>
        <v>#VALUE!</v>
      </c>
      <c r="Q764" t="e">
        <f t="shared" ca="1" si="361"/>
        <v>#VALUE!</v>
      </c>
      <c r="R764" t="e">
        <f t="shared" ca="1" si="362"/>
        <v>#VALUE!</v>
      </c>
      <c r="S764" t="e">
        <f t="shared" ca="1" si="363"/>
        <v>#VALUE!</v>
      </c>
      <c r="T764" t="e">
        <f t="shared" ca="1" si="364"/>
        <v>#VALUE!</v>
      </c>
      <c r="U764" t="e">
        <f t="shared" ca="1" si="385"/>
        <v>#VALUE!</v>
      </c>
      <c r="V764" t="e">
        <f t="shared" ca="1" si="386"/>
        <v>#VALUE!</v>
      </c>
      <c r="W764" t="e">
        <f t="shared" ca="1" si="365"/>
        <v>#VALUE!</v>
      </c>
      <c r="X764" t="e">
        <f t="shared" ca="1" si="366"/>
        <v>#VALUE!</v>
      </c>
      <c r="Y764" t="e">
        <f t="shared" ca="1" si="367"/>
        <v>#VALUE!</v>
      </c>
      <c r="Z764" t="e">
        <f t="shared" ca="1" si="368"/>
        <v>#VALUE!</v>
      </c>
      <c r="AA764" t="e">
        <f t="shared" ca="1" si="369"/>
        <v>#VALUE!</v>
      </c>
      <c r="AB764" t="e">
        <f t="shared" ca="1" si="370"/>
        <v>#VALUE!</v>
      </c>
      <c r="AC764" t="e">
        <f t="shared" ca="1" si="371"/>
        <v>#VALUE!</v>
      </c>
      <c r="AD764" t="e">
        <f t="shared" ca="1" si="372"/>
        <v>#VALUE!</v>
      </c>
      <c r="AE764" t="e">
        <f t="shared" ca="1" si="373"/>
        <v>#VALUE!</v>
      </c>
      <c r="AF764" t="e">
        <f t="shared" ca="1" si="374"/>
        <v>#VALUE!</v>
      </c>
      <c r="AG764" t="e">
        <f t="shared" ca="1" si="375"/>
        <v>#VALUE!</v>
      </c>
      <c r="AH764" t="e">
        <f ca="1">IF(V32="Supercritical",L764,IF(V32="Subcritical",W764,IF(AND(V764=1,AG764=1),IF(T764&gt;=AE764,L764,W764),IF(V764=1,L764,IF(AG764=1,W764,MAX($D$16,POWER((ABS(K764)^2)/($I$5*MAX(F764,0.1)^2),1/3)))))))</f>
        <v>#VALUE!</v>
      </c>
      <c r="AI764" t="e">
        <f t="shared" ca="1" si="376"/>
        <v>#VALUE!</v>
      </c>
      <c r="AJ764" t="e">
        <f t="shared" ca="1" si="377"/>
        <v>#VALUE!</v>
      </c>
      <c r="AM764">
        <v>0</v>
      </c>
      <c r="AN764">
        <v>0</v>
      </c>
      <c r="AO764">
        <f t="shared" si="378"/>
        <v>0</v>
      </c>
      <c r="AP764">
        <f t="shared" si="387"/>
        <v>0</v>
      </c>
      <c r="AQ764" t="e">
        <f t="shared" ca="1" si="379"/>
        <v>#VALUE!</v>
      </c>
      <c r="AR764" t="e">
        <f t="shared" ca="1" si="380"/>
        <v>#VALUE!</v>
      </c>
      <c r="AS764" t="e">
        <f t="shared" ca="1" si="381"/>
        <v>#VALUE!</v>
      </c>
    </row>
    <row r="765" spans="1:45" x14ac:dyDescent="0.35">
      <c r="A765">
        <v>616</v>
      </c>
      <c r="B765">
        <v>614.89499999999998</v>
      </c>
      <c r="C765">
        <v>616149.83499999996</v>
      </c>
      <c r="D765">
        <v>3097375.4879999999</v>
      </c>
      <c r="E765">
        <v>632.25450000000001</v>
      </c>
      <c r="F765">
        <v>5.2</v>
      </c>
      <c r="G765">
        <v>0</v>
      </c>
      <c r="H765" t="s">
        <v>191</v>
      </c>
      <c r="I765">
        <v>7.8E-2</v>
      </c>
      <c r="J765">
        <f t="shared" si="382"/>
        <v>1</v>
      </c>
      <c r="K765">
        <f t="shared" si="383"/>
        <v>51</v>
      </c>
      <c r="L765" t="e">
        <f t="shared" ca="1" si="384"/>
        <v>#VALUE!</v>
      </c>
      <c r="M765" t="e">
        <f t="shared" ca="1" si="357"/>
        <v>#VALUE!</v>
      </c>
      <c r="N765" t="e">
        <f t="shared" ca="1" si="358"/>
        <v>#VALUE!</v>
      </c>
      <c r="O765" t="e">
        <f t="shared" ca="1" si="359"/>
        <v>#VALUE!</v>
      </c>
      <c r="P765" t="e">
        <f t="shared" ca="1" si="360"/>
        <v>#VALUE!</v>
      </c>
      <c r="Q765" t="e">
        <f t="shared" ca="1" si="361"/>
        <v>#VALUE!</v>
      </c>
      <c r="R765" t="e">
        <f t="shared" ca="1" si="362"/>
        <v>#VALUE!</v>
      </c>
      <c r="S765" t="e">
        <f t="shared" ca="1" si="363"/>
        <v>#VALUE!</v>
      </c>
      <c r="T765" t="e">
        <f t="shared" ca="1" si="364"/>
        <v>#VALUE!</v>
      </c>
      <c r="U765" t="e">
        <f t="shared" ca="1" si="385"/>
        <v>#VALUE!</v>
      </c>
      <c r="V765" t="e">
        <f t="shared" ca="1" si="386"/>
        <v>#VALUE!</v>
      </c>
      <c r="W765" t="e">
        <f t="shared" ca="1" si="365"/>
        <v>#VALUE!</v>
      </c>
      <c r="X765" t="e">
        <f t="shared" ca="1" si="366"/>
        <v>#VALUE!</v>
      </c>
      <c r="Y765" t="e">
        <f t="shared" ca="1" si="367"/>
        <v>#VALUE!</v>
      </c>
      <c r="Z765" t="e">
        <f t="shared" ca="1" si="368"/>
        <v>#VALUE!</v>
      </c>
      <c r="AA765" t="e">
        <f t="shared" ca="1" si="369"/>
        <v>#VALUE!</v>
      </c>
      <c r="AB765" t="e">
        <f t="shared" ca="1" si="370"/>
        <v>#VALUE!</v>
      </c>
      <c r="AC765" t="e">
        <f t="shared" ca="1" si="371"/>
        <v>#VALUE!</v>
      </c>
      <c r="AD765" t="e">
        <f t="shared" ca="1" si="372"/>
        <v>#VALUE!</v>
      </c>
      <c r="AE765" t="e">
        <f t="shared" ca="1" si="373"/>
        <v>#VALUE!</v>
      </c>
      <c r="AF765" t="e">
        <f t="shared" ca="1" si="374"/>
        <v>#VALUE!</v>
      </c>
      <c r="AG765" t="e">
        <f t="shared" ca="1" si="375"/>
        <v>#VALUE!</v>
      </c>
      <c r="AH765" t="e">
        <f ca="1">IF(V32="Supercritical",L765,IF(V32="Subcritical",W765,IF(AND(V765=1,AG765=1),IF(T765&gt;=AE765,L765,W765),IF(V765=1,L765,IF(AG765=1,W765,MAX($D$16,POWER((ABS(K765)^2)/($I$5*MAX(F765,0.1)^2),1/3)))))))</f>
        <v>#VALUE!</v>
      </c>
      <c r="AI765" t="e">
        <f t="shared" ca="1" si="376"/>
        <v>#VALUE!</v>
      </c>
      <c r="AJ765" t="e">
        <f t="shared" ca="1" si="377"/>
        <v>#VALUE!</v>
      </c>
      <c r="AM765">
        <v>0</v>
      </c>
      <c r="AN765">
        <v>0</v>
      </c>
      <c r="AO765">
        <f t="shared" si="378"/>
        <v>0</v>
      </c>
      <c r="AP765">
        <f t="shared" si="387"/>
        <v>0</v>
      </c>
      <c r="AQ765" t="e">
        <f t="shared" ca="1" si="379"/>
        <v>#VALUE!</v>
      </c>
      <c r="AR765" t="e">
        <f t="shared" ca="1" si="380"/>
        <v>#VALUE!</v>
      </c>
      <c r="AS765" t="e">
        <f t="shared" ca="1" si="381"/>
        <v>#VALUE!</v>
      </c>
    </row>
    <row r="766" spans="1:45" x14ac:dyDescent="0.35">
      <c r="A766">
        <v>617</v>
      </c>
      <c r="B766">
        <v>615.89499999999998</v>
      </c>
      <c r="C766">
        <v>616149.36</v>
      </c>
      <c r="D766">
        <v>3097374.608</v>
      </c>
      <c r="E766">
        <v>632.25400000000002</v>
      </c>
      <c r="F766">
        <v>5.2</v>
      </c>
      <c r="G766">
        <v>0</v>
      </c>
      <c r="H766" t="s">
        <v>191</v>
      </c>
      <c r="I766">
        <v>7.8E-2</v>
      </c>
      <c r="J766">
        <f t="shared" si="382"/>
        <v>1</v>
      </c>
      <c r="K766">
        <f t="shared" si="383"/>
        <v>51</v>
      </c>
      <c r="L766" t="e">
        <f t="shared" ca="1" si="384"/>
        <v>#VALUE!</v>
      </c>
      <c r="M766" t="e">
        <f t="shared" ca="1" si="357"/>
        <v>#VALUE!</v>
      </c>
      <c r="N766" t="e">
        <f t="shared" ca="1" si="358"/>
        <v>#VALUE!</v>
      </c>
      <c r="O766" t="e">
        <f t="shared" ca="1" si="359"/>
        <v>#VALUE!</v>
      </c>
      <c r="P766" t="e">
        <f t="shared" ca="1" si="360"/>
        <v>#VALUE!</v>
      </c>
      <c r="Q766" t="e">
        <f t="shared" ca="1" si="361"/>
        <v>#VALUE!</v>
      </c>
      <c r="R766" t="e">
        <f t="shared" ca="1" si="362"/>
        <v>#VALUE!</v>
      </c>
      <c r="S766" t="e">
        <f t="shared" ca="1" si="363"/>
        <v>#VALUE!</v>
      </c>
      <c r="T766" t="e">
        <f t="shared" ca="1" si="364"/>
        <v>#VALUE!</v>
      </c>
      <c r="U766" t="e">
        <f t="shared" ca="1" si="385"/>
        <v>#VALUE!</v>
      </c>
      <c r="V766" t="e">
        <f t="shared" ca="1" si="386"/>
        <v>#VALUE!</v>
      </c>
      <c r="W766" t="e">
        <f t="shared" ca="1" si="365"/>
        <v>#VALUE!</v>
      </c>
      <c r="X766" t="e">
        <f t="shared" ca="1" si="366"/>
        <v>#VALUE!</v>
      </c>
      <c r="Y766" t="e">
        <f t="shared" ca="1" si="367"/>
        <v>#VALUE!</v>
      </c>
      <c r="Z766" t="e">
        <f t="shared" ca="1" si="368"/>
        <v>#VALUE!</v>
      </c>
      <c r="AA766" t="e">
        <f t="shared" ca="1" si="369"/>
        <v>#VALUE!</v>
      </c>
      <c r="AB766" t="e">
        <f t="shared" ca="1" si="370"/>
        <v>#VALUE!</v>
      </c>
      <c r="AC766" t="e">
        <f t="shared" ca="1" si="371"/>
        <v>#VALUE!</v>
      </c>
      <c r="AD766" t="e">
        <f t="shared" ca="1" si="372"/>
        <v>#VALUE!</v>
      </c>
      <c r="AE766" t="e">
        <f t="shared" ca="1" si="373"/>
        <v>#VALUE!</v>
      </c>
      <c r="AF766" t="e">
        <f t="shared" ca="1" si="374"/>
        <v>#VALUE!</v>
      </c>
      <c r="AG766" t="e">
        <f t="shared" ca="1" si="375"/>
        <v>#VALUE!</v>
      </c>
      <c r="AH766" t="e">
        <f ca="1">IF(V32="Supercritical",L766,IF(V32="Subcritical",W766,IF(AND(V766=1,AG766=1),IF(T766&gt;=AE766,L766,W766),IF(V766=1,L766,IF(AG766=1,W766,MAX($D$16,POWER((ABS(K766)^2)/($I$5*MAX(F766,0.1)^2),1/3)))))))</f>
        <v>#VALUE!</v>
      </c>
      <c r="AI766" t="e">
        <f t="shared" ca="1" si="376"/>
        <v>#VALUE!</v>
      </c>
      <c r="AJ766" t="e">
        <f t="shared" ca="1" si="377"/>
        <v>#VALUE!</v>
      </c>
      <c r="AM766">
        <v>0</v>
      </c>
      <c r="AN766">
        <v>0</v>
      </c>
      <c r="AO766">
        <f t="shared" si="378"/>
        <v>0</v>
      </c>
      <c r="AP766">
        <f t="shared" si="387"/>
        <v>0</v>
      </c>
      <c r="AQ766" t="e">
        <f t="shared" ca="1" si="379"/>
        <v>#VALUE!</v>
      </c>
      <c r="AR766" t="e">
        <f t="shared" ca="1" si="380"/>
        <v>#VALUE!</v>
      </c>
      <c r="AS766" t="e">
        <f t="shared" ca="1" si="381"/>
        <v>#VALUE!</v>
      </c>
    </row>
    <row r="767" spans="1:45" x14ac:dyDescent="0.35">
      <c r="A767">
        <v>618</v>
      </c>
      <c r="B767">
        <v>616.89599999999996</v>
      </c>
      <c r="C767">
        <v>616148.88600000006</v>
      </c>
      <c r="D767">
        <v>3097373.727</v>
      </c>
      <c r="E767">
        <v>632.25350000000003</v>
      </c>
      <c r="F767">
        <v>5.2</v>
      </c>
      <c r="G767">
        <v>0</v>
      </c>
      <c r="H767" t="s">
        <v>191</v>
      </c>
      <c r="I767">
        <v>2.7E-2</v>
      </c>
      <c r="J767">
        <f t="shared" si="382"/>
        <v>1.0009999999999764</v>
      </c>
      <c r="K767">
        <f t="shared" si="383"/>
        <v>51</v>
      </c>
      <c r="L767" t="e">
        <f t="shared" ca="1" si="384"/>
        <v>#VALUE!</v>
      </c>
      <c r="M767" t="e">
        <f t="shared" ca="1" si="357"/>
        <v>#VALUE!</v>
      </c>
      <c r="N767" t="e">
        <f t="shared" ca="1" si="358"/>
        <v>#VALUE!</v>
      </c>
      <c r="O767" t="e">
        <f t="shared" ca="1" si="359"/>
        <v>#VALUE!</v>
      </c>
      <c r="P767" t="e">
        <f t="shared" ca="1" si="360"/>
        <v>#VALUE!</v>
      </c>
      <c r="Q767" t="e">
        <f t="shared" ca="1" si="361"/>
        <v>#VALUE!</v>
      </c>
      <c r="R767" t="e">
        <f t="shared" ca="1" si="362"/>
        <v>#VALUE!</v>
      </c>
      <c r="S767" t="e">
        <f t="shared" ca="1" si="363"/>
        <v>#VALUE!</v>
      </c>
      <c r="T767" t="e">
        <f t="shared" ca="1" si="364"/>
        <v>#VALUE!</v>
      </c>
      <c r="U767" t="e">
        <f t="shared" ca="1" si="385"/>
        <v>#VALUE!</v>
      </c>
      <c r="V767" t="e">
        <f t="shared" ca="1" si="386"/>
        <v>#VALUE!</v>
      </c>
      <c r="W767" t="e">
        <f t="shared" ca="1" si="365"/>
        <v>#VALUE!</v>
      </c>
      <c r="X767" t="e">
        <f t="shared" ca="1" si="366"/>
        <v>#VALUE!</v>
      </c>
      <c r="Y767" t="e">
        <f t="shared" ca="1" si="367"/>
        <v>#VALUE!</v>
      </c>
      <c r="Z767" t="e">
        <f t="shared" ca="1" si="368"/>
        <v>#VALUE!</v>
      </c>
      <c r="AA767" t="e">
        <f t="shared" ca="1" si="369"/>
        <v>#VALUE!</v>
      </c>
      <c r="AB767" t="e">
        <f t="shared" ca="1" si="370"/>
        <v>#VALUE!</v>
      </c>
      <c r="AC767" t="e">
        <f t="shared" ca="1" si="371"/>
        <v>#VALUE!</v>
      </c>
      <c r="AD767" t="e">
        <f t="shared" ca="1" si="372"/>
        <v>#VALUE!</v>
      </c>
      <c r="AE767" t="e">
        <f t="shared" ca="1" si="373"/>
        <v>#VALUE!</v>
      </c>
      <c r="AF767" t="e">
        <f t="shared" ca="1" si="374"/>
        <v>#VALUE!</v>
      </c>
      <c r="AG767" t="e">
        <f t="shared" ca="1" si="375"/>
        <v>#VALUE!</v>
      </c>
      <c r="AH767" t="e">
        <f ca="1">IF(V32="Supercritical",L767,IF(V32="Subcritical",W767,IF(AND(V767=1,AG767=1),IF(T767&gt;=AE767,L767,W767),IF(V767=1,L767,IF(AG767=1,W767,MAX($D$16,POWER((ABS(K767)^2)/($I$5*MAX(F767,0.1)^2),1/3)))))))</f>
        <v>#VALUE!</v>
      </c>
      <c r="AI767" t="e">
        <f t="shared" ca="1" si="376"/>
        <v>#VALUE!</v>
      </c>
      <c r="AJ767" t="e">
        <f t="shared" ca="1" si="377"/>
        <v>#VALUE!</v>
      </c>
      <c r="AM767">
        <v>0</v>
      </c>
      <c r="AN767">
        <v>0</v>
      </c>
      <c r="AO767">
        <f t="shared" si="378"/>
        <v>0</v>
      </c>
      <c r="AP767">
        <f t="shared" si="387"/>
        <v>0</v>
      </c>
      <c r="AQ767" t="e">
        <f t="shared" ca="1" si="379"/>
        <v>#VALUE!</v>
      </c>
      <c r="AR767" t="e">
        <f t="shared" ca="1" si="380"/>
        <v>#VALUE!</v>
      </c>
      <c r="AS767" t="e">
        <f t="shared" ca="1" si="381"/>
        <v>#VALUE!</v>
      </c>
    </row>
    <row r="768" spans="1:45" x14ac:dyDescent="0.35">
      <c r="A768">
        <v>619</v>
      </c>
      <c r="B768">
        <v>617.89499999999998</v>
      </c>
      <c r="C768">
        <v>616148.41200000001</v>
      </c>
      <c r="D768">
        <v>3097372.8470000001</v>
      </c>
      <c r="E768">
        <v>632.25300000000004</v>
      </c>
      <c r="F768">
        <v>5.2</v>
      </c>
      <c r="G768">
        <v>0</v>
      </c>
      <c r="H768" t="s">
        <v>191</v>
      </c>
      <c r="I768">
        <v>0</v>
      </c>
      <c r="J768">
        <f t="shared" si="382"/>
        <v>0.99900000000002365</v>
      </c>
      <c r="K768">
        <f t="shared" si="383"/>
        <v>51</v>
      </c>
      <c r="L768" t="e">
        <f t="shared" ca="1" si="384"/>
        <v>#VALUE!</v>
      </c>
      <c r="M768" t="e">
        <f t="shared" ca="1" si="357"/>
        <v>#VALUE!</v>
      </c>
      <c r="N768" t="e">
        <f t="shared" ca="1" si="358"/>
        <v>#VALUE!</v>
      </c>
      <c r="O768" t="e">
        <f t="shared" ca="1" si="359"/>
        <v>#VALUE!</v>
      </c>
      <c r="P768" t="e">
        <f t="shared" ca="1" si="360"/>
        <v>#VALUE!</v>
      </c>
      <c r="Q768" t="e">
        <f t="shared" ca="1" si="361"/>
        <v>#VALUE!</v>
      </c>
      <c r="R768" t="e">
        <f t="shared" ca="1" si="362"/>
        <v>#VALUE!</v>
      </c>
      <c r="S768" t="e">
        <f t="shared" ca="1" si="363"/>
        <v>#VALUE!</v>
      </c>
      <c r="T768" t="e">
        <f t="shared" ca="1" si="364"/>
        <v>#VALUE!</v>
      </c>
      <c r="U768" t="e">
        <f t="shared" ca="1" si="385"/>
        <v>#VALUE!</v>
      </c>
      <c r="V768" t="e">
        <f t="shared" ca="1" si="386"/>
        <v>#VALUE!</v>
      </c>
      <c r="W768" t="e">
        <f t="shared" ca="1" si="365"/>
        <v>#VALUE!</v>
      </c>
      <c r="X768" t="e">
        <f t="shared" ca="1" si="366"/>
        <v>#VALUE!</v>
      </c>
      <c r="Y768" t="e">
        <f t="shared" ca="1" si="367"/>
        <v>#VALUE!</v>
      </c>
      <c r="Z768" t="e">
        <f t="shared" ca="1" si="368"/>
        <v>#VALUE!</v>
      </c>
      <c r="AA768" t="e">
        <f t="shared" ca="1" si="369"/>
        <v>#VALUE!</v>
      </c>
      <c r="AB768" t="e">
        <f t="shared" ca="1" si="370"/>
        <v>#VALUE!</v>
      </c>
      <c r="AC768" t="e">
        <f t="shared" ca="1" si="371"/>
        <v>#VALUE!</v>
      </c>
      <c r="AD768" t="e">
        <f t="shared" ca="1" si="372"/>
        <v>#VALUE!</v>
      </c>
      <c r="AE768" t="e">
        <f t="shared" ca="1" si="373"/>
        <v>#VALUE!</v>
      </c>
      <c r="AF768" t="e">
        <f t="shared" ca="1" si="374"/>
        <v>#VALUE!</v>
      </c>
      <c r="AG768" t="e">
        <f t="shared" ca="1" si="375"/>
        <v>#VALUE!</v>
      </c>
      <c r="AH768" t="e">
        <f ca="1">IF(V32="Supercritical",L768,IF(V32="Subcritical",W768,IF(AND(V768=1,AG768=1),IF(T768&gt;=AE768,L768,W768),IF(V768=1,L768,IF(AG768=1,W768,MAX($D$16,POWER((ABS(K768)^2)/($I$5*MAX(F768,0.1)^2),1/3)))))))</f>
        <v>#VALUE!</v>
      </c>
      <c r="AI768" t="e">
        <f t="shared" ca="1" si="376"/>
        <v>#VALUE!</v>
      </c>
      <c r="AJ768" t="e">
        <f t="shared" ca="1" si="377"/>
        <v>#VALUE!</v>
      </c>
      <c r="AM768">
        <v>0</v>
      </c>
      <c r="AN768">
        <v>0</v>
      </c>
      <c r="AO768">
        <f t="shared" si="378"/>
        <v>0</v>
      </c>
      <c r="AP768">
        <f t="shared" si="387"/>
        <v>0</v>
      </c>
      <c r="AQ768" t="e">
        <f t="shared" ca="1" si="379"/>
        <v>#VALUE!</v>
      </c>
      <c r="AR768" t="e">
        <f t="shared" ca="1" si="380"/>
        <v>#VALUE!</v>
      </c>
      <c r="AS768" t="e">
        <f t="shared" ca="1" si="381"/>
        <v>#VALUE!</v>
      </c>
    </row>
    <row r="769" spans="1:45" x14ac:dyDescent="0.35">
      <c r="A769">
        <v>620</v>
      </c>
      <c r="B769">
        <v>618.89499999999998</v>
      </c>
      <c r="C769">
        <v>616147.93799999997</v>
      </c>
      <c r="D769">
        <v>3097371.9670000002</v>
      </c>
      <c r="E769">
        <v>632.25250000000005</v>
      </c>
      <c r="F769">
        <v>5.2</v>
      </c>
      <c r="G769">
        <v>0</v>
      </c>
      <c r="H769" t="s">
        <v>191</v>
      </c>
      <c r="I769">
        <v>2.3E-2</v>
      </c>
      <c r="J769">
        <f t="shared" si="382"/>
        <v>1</v>
      </c>
      <c r="K769">
        <f t="shared" si="383"/>
        <v>51</v>
      </c>
      <c r="L769" t="e">
        <f t="shared" ca="1" si="384"/>
        <v>#VALUE!</v>
      </c>
      <c r="M769" t="e">
        <f t="shared" ca="1" si="357"/>
        <v>#VALUE!</v>
      </c>
      <c r="N769" t="e">
        <f t="shared" ca="1" si="358"/>
        <v>#VALUE!</v>
      </c>
      <c r="O769" t="e">
        <f t="shared" ca="1" si="359"/>
        <v>#VALUE!</v>
      </c>
      <c r="P769" t="e">
        <f t="shared" ca="1" si="360"/>
        <v>#VALUE!</v>
      </c>
      <c r="Q769" t="e">
        <f t="shared" ca="1" si="361"/>
        <v>#VALUE!</v>
      </c>
      <c r="R769" t="e">
        <f t="shared" ca="1" si="362"/>
        <v>#VALUE!</v>
      </c>
      <c r="S769" t="e">
        <f t="shared" ca="1" si="363"/>
        <v>#VALUE!</v>
      </c>
      <c r="T769" t="e">
        <f t="shared" ca="1" si="364"/>
        <v>#VALUE!</v>
      </c>
      <c r="U769" t="e">
        <f t="shared" ca="1" si="385"/>
        <v>#VALUE!</v>
      </c>
      <c r="V769" t="e">
        <f t="shared" ca="1" si="386"/>
        <v>#VALUE!</v>
      </c>
      <c r="W769" t="e">
        <f t="shared" ca="1" si="365"/>
        <v>#VALUE!</v>
      </c>
      <c r="X769" t="e">
        <f t="shared" ca="1" si="366"/>
        <v>#VALUE!</v>
      </c>
      <c r="Y769" t="e">
        <f t="shared" ca="1" si="367"/>
        <v>#VALUE!</v>
      </c>
      <c r="Z769" t="e">
        <f t="shared" ca="1" si="368"/>
        <v>#VALUE!</v>
      </c>
      <c r="AA769" t="e">
        <f t="shared" ca="1" si="369"/>
        <v>#VALUE!</v>
      </c>
      <c r="AB769" t="e">
        <f t="shared" ca="1" si="370"/>
        <v>#VALUE!</v>
      </c>
      <c r="AC769" t="e">
        <f t="shared" ca="1" si="371"/>
        <v>#VALUE!</v>
      </c>
      <c r="AD769" t="e">
        <f t="shared" ca="1" si="372"/>
        <v>#VALUE!</v>
      </c>
      <c r="AE769" t="e">
        <f t="shared" ca="1" si="373"/>
        <v>#VALUE!</v>
      </c>
      <c r="AF769" t="e">
        <f t="shared" ca="1" si="374"/>
        <v>#VALUE!</v>
      </c>
      <c r="AG769" t="e">
        <f t="shared" ca="1" si="375"/>
        <v>#VALUE!</v>
      </c>
      <c r="AH769" t="e">
        <f ca="1">IF(V32="Supercritical",L769,IF(V32="Subcritical",W769,IF(AND(V769=1,AG769=1),IF(T769&gt;=AE769,L769,W769),IF(V769=1,L769,IF(AG769=1,W769,MAX($D$16,POWER((ABS(K769)^2)/($I$5*MAX(F769,0.1)^2),1/3)))))))</f>
        <v>#VALUE!</v>
      </c>
      <c r="AI769" t="e">
        <f t="shared" ca="1" si="376"/>
        <v>#VALUE!</v>
      </c>
      <c r="AJ769" t="e">
        <f t="shared" ca="1" si="377"/>
        <v>#VALUE!</v>
      </c>
      <c r="AM769">
        <v>0</v>
      </c>
      <c r="AN769">
        <v>0</v>
      </c>
      <c r="AO769">
        <f t="shared" si="378"/>
        <v>0</v>
      </c>
      <c r="AP769">
        <f t="shared" si="387"/>
        <v>0</v>
      </c>
      <c r="AQ769" t="e">
        <f t="shared" ca="1" si="379"/>
        <v>#VALUE!</v>
      </c>
      <c r="AR769" t="e">
        <f t="shared" ca="1" si="380"/>
        <v>#VALUE!</v>
      </c>
      <c r="AS769" t="e">
        <f t="shared" ca="1" si="381"/>
        <v>#VALUE!</v>
      </c>
    </row>
    <row r="770" spans="1:45" x14ac:dyDescent="0.35">
      <c r="A770">
        <v>621</v>
      </c>
      <c r="B770">
        <v>619.89599999999996</v>
      </c>
      <c r="C770">
        <v>616147.46299999999</v>
      </c>
      <c r="D770">
        <v>3097371.0860000001</v>
      </c>
      <c r="E770">
        <v>632.25199999999995</v>
      </c>
      <c r="F770">
        <v>5.2</v>
      </c>
      <c r="G770">
        <v>0</v>
      </c>
      <c r="H770" t="s">
        <v>191</v>
      </c>
      <c r="I770">
        <v>2.3E-2</v>
      </c>
      <c r="J770">
        <f t="shared" si="382"/>
        <v>1.0009999999999764</v>
      </c>
      <c r="K770">
        <f t="shared" si="383"/>
        <v>51</v>
      </c>
      <c r="L770" t="e">
        <f t="shared" ca="1" si="384"/>
        <v>#VALUE!</v>
      </c>
      <c r="M770" t="e">
        <f t="shared" ca="1" si="357"/>
        <v>#VALUE!</v>
      </c>
      <c r="N770" t="e">
        <f t="shared" ca="1" si="358"/>
        <v>#VALUE!</v>
      </c>
      <c r="O770" t="e">
        <f t="shared" ca="1" si="359"/>
        <v>#VALUE!</v>
      </c>
      <c r="P770" t="e">
        <f t="shared" ca="1" si="360"/>
        <v>#VALUE!</v>
      </c>
      <c r="Q770" t="e">
        <f t="shared" ca="1" si="361"/>
        <v>#VALUE!</v>
      </c>
      <c r="R770" t="e">
        <f t="shared" ca="1" si="362"/>
        <v>#VALUE!</v>
      </c>
      <c r="S770" t="e">
        <f t="shared" ca="1" si="363"/>
        <v>#VALUE!</v>
      </c>
      <c r="T770" t="e">
        <f t="shared" ca="1" si="364"/>
        <v>#VALUE!</v>
      </c>
      <c r="U770" t="e">
        <f t="shared" ca="1" si="385"/>
        <v>#VALUE!</v>
      </c>
      <c r="V770" t="e">
        <f t="shared" ca="1" si="386"/>
        <v>#VALUE!</v>
      </c>
      <c r="W770" t="e">
        <f t="shared" ca="1" si="365"/>
        <v>#VALUE!</v>
      </c>
      <c r="X770" t="e">
        <f t="shared" ca="1" si="366"/>
        <v>#VALUE!</v>
      </c>
      <c r="Y770" t="e">
        <f t="shared" ca="1" si="367"/>
        <v>#VALUE!</v>
      </c>
      <c r="Z770" t="e">
        <f t="shared" ca="1" si="368"/>
        <v>#VALUE!</v>
      </c>
      <c r="AA770" t="e">
        <f t="shared" ca="1" si="369"/>
        <v>#VALUE!</v>
      </c>
      <c r="AB770" t="e">
        <f t="shared" ca="1" si="370"/>
        <v>#VALUE!</v>
      </c>
      <c r="AC770" t="e">
        <f t="shared" ca="1" si="371"/>
        <v>#VALUE!</v>
      </c>
      <c r="AD770" t="e">
        <f t="shared" ca="1" si="372"/>
        <v>#VALUE!</v>
      </c>
      <c r="AE770" t="e">
        <f t="shared" ca="1" si="373"/>
        <v>#VALUE!</v>
      </c>
      <c r="AF770" t="e">
        <f t="shared" ca="1" si="374"/>
        <v>#VALUE!</v>
      </c>
      <c r="AG770" t="e">
        <f t="shared" ca="1" si="375"/>
        <v>#VALUE!</v>
      </c>
      <c r="AH770" t="e">
        <f ca="1">IF(V32="Supercritical",L770,IF(V32="Subcritical",W770,IF(AND(V770=1,AG770=1),IF(T770&gt;=AE770,L770,W770),IF(V770=1,L770,IF(AG770=1,W770,MAX($D$16,POWER((ABS(K770)^2)/($I$5*MAX(F770,0.1)^2),1/3)))))))</f>
        <v>#VALUE!</v>
      </c>
      <c r="AI770" t="e">
        <f t="shared" ca="1" si="376"/>
        <v>#VALUE!</v>
      </c>
      <c r="AJ770" t="e">
        <f t="shared" ca="1" si="377"/>
        <v>#VALUE!</v>
      </c>
      <c r="AM770">
        <v>0</v>
      </c>
      <c r="AN770">
        <v>0</v>
      </c>
      <c r="AO770">
        <f t="shared" si="378"/>
        <v>0</v>
      </c>
      <c r="AP770">
        <f t="shared" si="387"/>
        <v>0</v>
      </c>
      <c r="AQ770" t="e">
        <f t="shared" ca="1" si="379"/>
        <v>#VALUE!</v>
      </c>
      <c r="AR770" t="e">
        <f t="shared" ca="1" si="380"/>
        <v>#VALUE!</v>
      </c>
      <c r="AS770" t="e">
        <f t="shared" ca="1" si="381"/>
        <v>#VALUE!</v>
      </c>
    </row>
    <row r="771" spans="1:45" x14ac:dyDescent="0.35">
      <c r="A771">
        <v>622</v>
      </c>
      <c r="B771">
        <v>620.89499999999998</v>
      </c>
      <c r="C771">
        <v>616146.98899999994</v>
      </c>
      <c r="D771">
        <v>3097370.2059999998</v>
      </c>
      <c r="E771">
        <v>632.25149999999996</v>
      </c>
      <c r="F771">
        <v>5.2</v>
      </c>
      <c r="G771">
        <v>0</v>
      </c>
      <c r="H771" t="s">
        <v>191</v>
      </c>
      <c r="I771">
        <v>2.7E-2</v>
      </c>
      <c r="J771">
        <f t="shared" si="382"/>
        <v>0.99900000000002365</v>
      </c>
      <c r="K771">
        <f t="shared" si="383"/>
        <v>51</v>
      </c>
      <c r="L771" t="e">
        <f t="shared" ca="1" si="384"/>
        <v>#VALUE!</v>
      </c>
      <c r="M771" t="e">
        <f t="shared" ca="1" si="357"/>
        <v>#VALUE!</v>
      </c>
      <c r="N771" t="e">
        <f t="shared" ca="1" si="358"/>
        <v>#VALUE!</v>
      </c>
      <c r="O771" t="e">
        <f t="shared" ca="1" si="359"/>
        <v>#VALUE!</v>
      </c>
      <c r="P771" t="e">
        <f t="shared" ca="1" si="360"/>
        <v>#VALUE!</v>
      </c>
      <c r="Q771" t="e">
        <f t="shared" ca="1" si="361"/>
        <v>#VALUE!</v>
      </c>
      <c r="R771" t="e">
        <f t="shared" ca="1" si="362"/>
        <v>#VALUE!</v>
      </c>
      <c r="S771" t="e">
        <f t="shared" ca="1" si="363"/>
        <v>#VALUE!</v>
      </c>
      <c r="T771" t="e">
        <f t="shared" ca="1" si="364"/>
        <v>#VALUE!</v>
      </c>
      <c r="U771" t="e">
        <f t="shared" ca="1" si="385"/>
        <v>#VALUE!</v>
      </c>
      <c r="V771" t="e">
        <f t="shared" ca="1" si="386"/>
        <v>#VALUE!</v>
      </c>
      <c r="W771" t="e">
        <f t="shared" ca="1" si="365"/>
        <v>#VALUE!</v>
      </c>
      <c r="X771" t="e">
        <f t="shared" ca="1" si="366"/>
        <v>#VALUE!</v>
      </c>
      <c r="Y771" t="e">
        <f t="shared" ca="1" si="367"/>
        <v>#VALUE!</v>
      </c>
      <c r="Z771" t="e">
        <f t="shared" ca="1" si="368"/>
        <v>#VALUE!</v>
      </c>
      <c r="AA771" t="e">
        <f t="shared" ca="1" si="369"/>
        <v>#VALUE!</v>
      </c>
      <c r="AB771" t="e">
        <f t="shared" ca="1" si="370"/>
        <v>#VALUE!</v>
      </c>
      <c r="AC771" t="e">
        <f t="shared" ca="1" si="371"/>
        <v>#VALUE!</v>
      </c>
      <c r="AD771" t="e">
        <f t="shared" ca="1" si="372"/>
        <v>#VALUE!</v>
      </c>
      <c r="AE771" t="e">
        <f t="shared" ca="1" si="373"/>
        <v>#VALUE!</v>
      </c>
      <c r="AF771" t="e">
        <f t="shared" ca="1" si="374"/>
        <v>#VALUE!</v>
      </c>
      <c r="AG771" t="e">
        <f t="shared" ca="1" si="375"/>
        <v>#VALUE!</v>
      </c>
      <c r="AH771" t="e">
        <f ca="1">IF(V32="Supercritical",L771,IF(V32="Subcritical",W771,IF(AND(V771=1,AG771=1),IF(T771&gt;=AE771,L771,W771),IF(V771=1,L771,IF(AG771=1,W771,MAX($D$16,POWER((ABS(K771)^2)/($I$5*MAX(F771,0.1)^2),1/3)))))))</f>
        <v>#VALUE!</v>
      </c>
      <c r="AI771" t="e">
        <f t="shared" ca="1" si="376"/>
        <v>#VALUE!</v>
      </c>
      <c r="AJ771" t="e">
        <f t="shared" ca="1" si="377"/>
        <v>#VALUE!</v>
      </c>
      <c r="AM771">
        <v>0</v>
      </c>
      <c r="AN771">
        <v>0</v>
      </c>
      <c r="AO771">
        <f t="shared" si="378"/>
        <v>0</v>
      </c>
      <c r="AP771">
        <f t="shared" si="387"/>
        <v>0</v>
      </c>
      <c r="AQ771" t="e">
        <f t="shared" ca="1" si="379"/>
        <v>#VALUE!</v>
      </c>
      <c r="AR771" t="e">
        <f t="shared" ca="1" si="380"/>
        <v>#VALUE!</v>
      </c>
      <c r="AS771" t="e">
        <f t="shared" ca="1" si="381"/>
        <v>#VALUE!</v>
      </c>
    </row>
    <row r="772" spans="1:45" x14ac:dyDescent="0.35">
      <c r="A772">
        <v>623</v>
      </c>
      <c r="B772">
        <v>621.89599999999996</v>
      </c>
      <c r="C772">
        <v>616146.51500000001</v>
      </c>
      <c r="D772">
        <v>3097369.3250000002</v>
      </c>
      <c r="E772">
        <v>632.25099999999998</v>
      </c>
      <c r="F772">
        <v>5.2</v>
      </c>
      <c r="G772">
        <v>0</v>
      </c>
      <c r="H772" t="s">
        <v>191</v>
      </c>
      <c r="I772">
        <v>2.7E-2</v>
      </c>
      <c r="J772">
        <f t="shared" si="382"/>
        <v>1.0009999999999764</v>
      </c>
      <c r="K772">
        <f t="shared" si="383"/>
        <v>51</v>
      </c>
      <c r="L772" t="e">
        <f t="shared" ca="1" si="384"/>
        <v>#VALUE!</v>
      </c>
      <c r="M772" t="e">
        <f t="shared" ca="1" si="357"/>
        <v>#VALUE!</v>
      </c>
      <c r="N772" t="e">
        <f t="shared" ca="1" si="358"/>
        <v>#VALUE!</v>
      </c>
      <c r="O772" t="e">
        <f t="shared" ca="1" si="359"/>
        <v>#VALUE!</v>
      </c>
      <c r="P772" t="e">
        <f t="shared" ca="1" si="360"/>
        <v>#VALUE!</v>
      </c>
      <c r="Q772" t="e">
        <f t="shared" ca="1" si="361"/>
        <v>#VALUE!</v>
      </c>
      <c r="R772" t="e">
        <f t="shared" ca="1" si="362"/>
        <v>#VALUE!</v>
      </c>
      <c r="S772" t="e">
        <f t="shared" ca="1" si="363"/>
        <v>#VALUE!</v>
      </c>
      <c r="T772" t="e">
        <f t="shared" ca="1" si="364"/>
        <v>#VALUE!</v>
      </c>
      <c r="U772" t="e">
        <f t="shared" ca="1" si="385"/>
        <v>#VALUE!</v>
      </c>
      <c r="V772" t="e">
        <f t="shared" ca="1" si="386"/>
        <v>#VALUE!</v>
      </c>
      <c r="W772" t="e">
        <f t="shared" ca="1" si="365"/>
        <v>#VALUE!</v>
      </c>
      <c r="X772" t="e">
        <f t="shared" ca="1" si="366"/>
        <v>#VALUE!</v>
      </c>
      <c r="Y772" t="e">
        <f t="shared" ca="1" si="367"/>
        <v>#VALUE!</v>
      </c>
      <c r="Z772" t="e">
        <f t="shared" ca="1" si="368"/>
        <v>#VALUE!</v>
      </c>
      <c r="AA772" t="e">
        <f t="shared" ca="1" si="369"/>
        <v>#VALUE!</v>
      </c>
      <c r="AB772" t="e">
        <f t="shared" ca="1" si="370"/>
        <v>#VALUE!</v>
      </c>
      <c r="AC772" t="e">
        <f t="shared" ca="1" si="371"/>
        <v>#VALUE!</v>
      </c>
      <c r="AD772" t="e">
        <f t="shared" ca="1" si="372"/>
        <v>#VALUE!</v>
      </c>
      <c r="AE772" t="e">
        <f t="shared" ca="1" si="373"/>
        <v>#VALUE!</v>
      </c>
      <c r="AF772" t="e">
        <f t="shared" ca="1" si="374"/>
        <v>#VALUE!</v>
      </c>
      <c r="AG772" t="e">
        <f t="shared" ca="1" si="375"/>
        <v>#VALUE!</v>
      </c>
      <c r="AH772" t="e">
        <f ca="1">IF(V32="Supercritical",L772,IF(V32="Subcritical",W772,IF(AND(V772=1,AG772=1),IF(T772&gt;=AE772,L772,W772),IF(V772=1,L772,IF(AG772=1,W772,MAX($D$16,POWER((ABS(K772)^2)/($I$5*MAX(F772,0.1)^2),1/3)))))))</f>
        <v>#VALUE!</v>
      </c>
      <c r="AI772" t="e">
        <f t="shared" ca="1" si="376"/>
        <v>#VALUE!</v>
      </c>
      <c r="AJ772" t="e">
        <f t="shared" ca="1" si="377"/>
        <v>#VALUE!</v>
      </c>
      <c r="AM772">
        <v>0</v>
      </c>
      <c r="AN772">
        <v>0</v>
      </c>
      <c r="AO772">
        <f t="shared" si="378"/>
        <v>0</v>
      </c>
      <c r="AP772">
        <f t="shared" si="387"/>
        <v>0</v>
      </c>
      <c r="AQ772" t="e">
        <f t="shared" ca="1" si="379"/>
        <v>#VALUE!</v>
      </c>
      <c r="AR772" t="e">
        <f t="shared" ca="1" si="380"/>
        <v>#VALUE!</v>
      </c>
      <c r="AS772" t="e">
        <f t="shared" ca="1" si="381"/>
        <v>#VALUE!</v>
      </c>
    </row>
    <row r="773" spans="1:45" x14ac:dyDescent="0.35">
      <c r="A773">
        <v>624</v>
      </c>
      <c r="B773">
        <v>622.89499999999998</v>
      </c>
      <c r="C773">
        <v>616146.04099999997</v>
      </c>
      <c r="D773">
        <v>3097368.4449999998</v>
      </c>
      <c r="E773">
        <v>632.25049999999999</v>
      </c>
      <c r="F773">
        <v>5.2</v>
      </c>
      <c r="G773">
        <v>0</v>
      </c>
      <c r="H773" t="s">
        <v>191</v>
      </c>
      <c r="I773">
        <v>0.05</v>
      </c>
      <c r="J773">
        <f t="shared" si="382"/>
        <v>0.99900000000002365</v>
      </c>
      <c r="K773">
        <f t="shared" si="383"/>
        <v>51</v>
      </c>
      <c r="L773" t="e">
        <f t="shared" ca="1" si="384"/>
        <v>#VALUE!</v>
      </c>
      <c r="M773" t="e">
        <f t="shared" ca="1" si="357"/>
        <v>#VALUE!</v>
      </c>
      <c r="N773" t="e">
        <f t="shared" ca="1" si="358"/>
        <v>#VALUE!</v>
      </c>
      <c r="O773" t="e">
        <f t="shared" ca="1" si="359"/>
        <v>#VALUE!</v>
      </c>
      <c r="P773" t="e">
        <f t="shared" ca="1" si="360"/>
        <v>#VALUE!</v>
      </c>
      <c r="Q773" t="e">
        <f t="shared" ca="1" si="361"/>
        <v>#VALUE!</v>
      </c>
      <c r="R773" t="e">
        <f t="shared" ca="1" si="362"/>
        <v>#VALUE!</v>
      </c>
      <c r="S773" t="e">
        <f t="shared" ca="1" si="363"/>
        <v>#VALUE!</v>
      </c>
      <c r="T773" t="e">
        <f t="shared" ca="1" si="364"/>
        <v>#VALUE!</v>
      </c>
      <c r="U773" t="e">
        <f t="shared" ca="1" si="385"/>
        <v>#VALUE!</v>
      </c>
      <c r="V773" t="e">
        <f t="shared" ca="1" si="386"/>
        <v>#VALUE!</v>
      </c>
      <c r="W773" t="e">
        <f t="shared" ca="1" si="365"/>
        <v>#VALUE!</v>
      </c>
      <c r="X773" t="e">
        <f t="shared" ca="1" si="366"/>
        <v>#VALUE!</v>
      </c>
      <c r="Y773" t="e">
        <f t="shared" ca="1" si="367"/>
        <v>#VALUE!</v>
      </c>
      <c r="Z773" t="e">
        <f t="shared" ca="1" si="368"/>
        <v>#VALUE!</v>
      </c>
      <c r="AA773" t="e">
        <f t="shared" ca="1" si="369"/>
        <v>#VALUE!</v>
      </c>
      <c r="AB773" t="e">
        <f t="shared" ca="1" si="370"/>
        <v>#VALUE!</v>
      </c>
      <c r="AC773" t="e">
        <f t="shared" ca="1" si="371"/>
        <v>#VALUE!</v>
      </c>
      <c r="AD773" t="e">
        <f t="shared" ca="1" si="372"/>
        <v>#VALUE!</v>
      </c>
      <c r="AE773" t="e">
        <f t="shared" ca="1" si="373"/>
        <v>#VALUE!</v>
      </c>
      <c r="AF773" t="e">
        <f t="shared" ca="1" si="374"/>
        <v>#VALUE!</v>
      </c>
      <c r="AG773" t="e">
        <f t="shared" ca="1" si="375"/>
        <v>#VALUE!</v>
      </c>
      <c r="AH773" t="e">
        <f ca="1">IF(V32="Supercritical",L773,IF(V32="Subcritical",W773,IF(AND(V773=1,AG773=1),IF(T773&gt;=AE773,L773,W773),IF(V773=1,L773,IF(AG773=1,W773,MAX($D$16,POWER((ABS(K773)^2)/($I$5*MAX(F773,0.1)^2),1/3)))))))</f>
        <v>#VALUE!</v>
      </c>
      <c r="AI773" t="e">
        <f t="shared" ca="1" si="376"/>
        <v>#VALUE!</v>
      </c>
      <c r="AJ773" t="e">
        <f t="shared" ca="1" si="377"/>
        <v>#VALUE!</v>
      </c>
      <c r="AM773">
        <v>0</v>
      </c>
      <c r="AN773">
        <v>0</v>
      </c>
      <c r="AO773">
        <f t="shared" si="378"/>
        <v>0</v>
      </c>
      <c r="AP773">
        <f t="shared" si="387"/>
        <v>0</v>
      </c>
      <c r="AQ773" t="e">
        <f t="shared" ca="1" si="379"/>
        <v>#VALUE!</v>
      </c>
      <c r="AR773" t="e">
        <f t="shared" ca="1" si="380"/>
        <v>#VALUE!</v>
      </c>
      <c r="AS773" t="e">
        <f t="shared" ca="1" si="381"/>
        <v>#VALUE!</v>
      </c>
    </row>
    <row r="774" spans="1:45" x14ac:dyDescent="0.35">
      <c r="A774">
        <v>625</v>
      </c>
      <c r="B774">
        <v>623.89499999999998</v>
      </c>
      <c r="C774">
        <v>616145.56599999999</v>
      </c>
      <c r="D774">
        <v>3097367.5649999999</v>
      </c>
      <c r="E774">
        <v>632.25</v>
      </c>
      <c r="F774">
        <v>5.2</v>
      </c>
      <c r="G774">
        <v>0</v>
      </c>
      <c r="H774" t="s">
        <v>191</v>
      </c>
      <c r="I774">
        <v>7.8E-2</v>
      </c>
      <c r="J774">
        <f t="shared" si="382"/>
        <v>1</v>
      </c>
      <c r="K774">
        <f t="shared" si="383"/>
        <v>51</v>
      </c>
      <c r="L774" t="e">
        <f t="shared" ca="1" si="384"/>
        <v>#VALUE!</v>
      </c>
      <c r="M774" t="e">
        <f t="shared" ca="1" si="357"/>
        <v>#VALUE!</v>
      </c>
      <c r="N774" t="e">
        <f t="shared" ca="1" si="358"/>
        <v>#VALUE!</v>
      </c>
      <c r="O774" t="e">
        <f t="shared" ca="1" si="359"/>
        <v>#VALUE!</v>
      </c>
      <c r="P774" t="e">
        <f t="shared" ca="1" si="360"/>
        <v>#VALUE!</v>
      </c>
      <c r="Q774" t="e">
        <f t="shared" ca="1" si="361"/>
        <v>#VALUE!</v>
      </c>
      <c r="R774" t="e">
        <f t="shared" ca="1" si="362"/>
        <v>#VALUE!</v>
      </c>
      <c r="S774" t="e">
        <f t="shared" ca="1" si="363"/>
        <v>#VALUE!</v>
      </c>
      <c r="T774" t="e">
        <f t="shared" ca="1" si="364"/>
        <v>#VALUE!</v>
      </c>
      <c r="U774" t="e">
        <f t="shared" ca="1" si="385"/>
        <v>#VALUE!</v>
      </c>
      <c r="V774" t="e">
        <f t="shared" ca="1" si="386"/>
        <v>#VALUE!</v>
      </c>
      <c r="W774" t="e">
        <f t="shared" ca="1" si="365"/>
        <v>#VALUE!</v>
      </c>
      <c r="X774" t="e">
        <f t="shared" ca="1" si="366"/>
        <v>#VALUE!</v>
      </c>
      <c r="Y774" t="e">
        <f t="shared" ca="1" si="367"/>
        <v>#VALUE!</v>
      </c>
      <c r="Z774" t="e">
        <f t="shared" ca="1" si="368"/>
        <v>#VALUE!</v>
      </c>
      <c r="AA774" t="e">
        <f t="shared" ca="1" si="369"/>
        <v>#VALUE!</v>
      </c>
      <c r="AB774" t="e">
        <f t="shared" ca="1" si="370"/>
        <v>#VALUE!</v>
      </c>
      <c r="AC774" t="e">
        <f t="shared" ca="1" si="371"/>
        <v>#VALUE!</v>
      </c>
      <c r="AD774" t="e">
        <f t="shared" ca="1" si="372"/>
        <v>#VALUE!</v>
      </c>
      <c r="AE774" t="e">
        <f t="shared" ca="1" si="373"/>
        <v>#VALUE!</v>
      </c>
      <c r="AF774" t="e">
        <f t="shared" ca="1" si="374"/>
        <v>#VALUE!</v>
      </c>
      <c r="AG774" t="e">
        <f t="shared" ca="1" si="375"/>
        <v>#VALUE!</v>
      </c>
      <c r="AH774" t="e">
        <f ca="1">IF(V32="Supercritical",L774,IF(V32="Subcritical",W774,IF(AND(V774=1,AG774=1),IF(T774&gt;=AE774,L774,W774),IF(V774=1,L774,IF(AG774=1,W774,MAX($D$16,POWER((ABS(K774)^2)/($I$5*MAX(F774,0.1)^2),1/3)))))))</f>
        <v>#VALUE!</v>
      </c>
      <c r="AI774" t="e">
        <f t="shared" ca="1" si="376"/>
        <v>#VALUE!</v>
      </c>
      <c r="AJ774" t="e">
        <f t="shared" ca="1" si="377"/>
        <v>#VALUE!</v>
      </c>
      <c r="AM774">
        <v>0</v>
      </c>
      <c r="AN774">
        <v>0</v>
      </c>
      <c r="AO774">
        <f t="shared" si="378"/>
        <v>0</v>
      </c>
      <c r="AP774">
        <f t="shared" si="387"/>
        <v>0</v>
      </c>
      <c r="AQ774" t="e">
        <f t="shared" ca="1" si="379"/>
        <v>#VALUE!</v>
      </c>
      <c r="AR774" t="e">
        <f t="shared" ca="1" si="380"/>
        <v>#VALUE!</v>
      </c>
      <c r="AS774" t="e">
        <f t="shared" ca="1" si="381"/>
        <v>#VALUE!</v>
      </c>
    </row>
    <row r="775" spans="1:45" x14ac:dyDescent="0.35">
      <c r="A775">
        <v>626</v>
      </c>
      <c r="B775">
        <v>624.89599999999996</v>
      </c>
      <c r="C775">
        <v>616145.09199999995</v>
      </c>
      <c r="D775">
        <v>3097366.6839999999</v>
      </c>
      <c r="E775">
        <v>632.24950000000001</v>
      </c>
      <c r="F775">
        <v>5.2</v>
      </c>
      <c r="G775">
        <v>0</v>
      </c>
      <c r="H775" t="s">
        <v>191</v>
      </c>
      <c r="I775">
        <v>2.7E-2</v>
      </c>
      <c r="J775">
        <f t="shared" si="382"/>
        <v>1.0009999999999764</v>
      </c>
      <c r="K775">
        <f t="shared" si="383"/>
        <v>51</v>
      </c>
      <c r="L775" t="e">
        <f t="shared" ca="1" si="384"/>
        <v>#VALUE!</v>
      </c>
      <c r="M775" t="e">
        <f t="shared" ca="1" si="357"/>
        <v>#VALUE!</v>
      </c>
      <c r="N775" t="e">
        <f t="shared" ca="1" si="358"/>
        <v>#VALUE!</v>
      </c>
      <c r="O775" t="e">
        <f t="shared" ca="1" si="359"/>
        <v>#VALUE!</v>
      </c>
      <c r="P775" t="e">
        <f t="shared" ca="1" si="360"/>
        <v>#VALUE!</v>
      </c>
      <c r="Q775" t="e">
        <f t="shared" ca="1" si="361"/>
        <v>#VALUE!</v>
      </c>
      <c r="R775" t="e">
        <f t="shared" ca="1" si="362"/>
        <v>#VALUE!</v>
      </c>
      <c r="S775" t="e">
        <f t="shared" ca="1" si="363"/>
        <v>#VALUE!</v>
      </c>
      <c r="T775" t="e">
        <f t="shared" ca="1" si="364"/>
        <v>#VALUE!</v>
      </c>
      <c r="U775" t="e">
        <f t="shared" ca="1" si="385"/>
        <v>#VALUE!</v>
      </c>
      <c r="V775" t="e">
        <f t="shared" ca="1" si="386"/>
        <v>#VALUE!</v>
      </c>
      <c r="W775" t="e">
        <f t="shared" ca="1" si="365"/>
        <v>#VALUE!</v>
      </c>
      <c r="X775" t="e">
        <f t="shared" ca="1" si="366"/>
        <v>#VALUE!</v>
      </c>
      <c r="Y775" t="e">
        <f t="shared" ca="1" si="367"/>
        <v>#VALUE!</v>
      </c>
      <c r="Z775" t="e">
        <f t="shared" ca="1" si="368"/>
        <v>#VALUE!</v>
      </c>
      <c r="AA775" t="e">
        <f t="shared" ca="1" si="369"/>
        <v>#VALUE!</v>
      </c>
      <c r="AB775" t="e">
        <f t="shared" ca="1" si="370"/>
        <v>#VALUE!</v>
      </c>
      <c r="AC775" t="e">
        <f t="shared" ca="1" si="371"/>
        <v>#VALUE!</v>
      </c>
      <c r="AD775" t="e">
        <f t="shared" ca="1" si="372"/>
        <v>#VALUE!</v>
      </c>
      <c r="AE775" t="e">
        <f t="shared" ca="1" si="373"/>
        <v>#VALUE!</v>
      </c>
      <c r="AF775" t="e">
        <f t="shared" ca="1" si="374"/>
        <v>#VALUE!</v>
      </c>
      <c r="AG775" t="e">
        <f t="shared" ca="1" si="375"/>
        <v>#VALUE!</v>
      </c>
      <c r="AH775" t="e">
        <f ca="1">IF(V32="Supercritical",L775,IF(V32="Subcritical",W775,IF(AND(V775=1,AG775=1),IF(T775&gt;=AE775,L775,W775),IF(V775=1,L775,IF(AG775=1,W775,MAX($D$16,POWER((ABS(K775)^2)/($I$5*MAX(F775,0.1)^2),1/3)))))))</f>
        <v>#VALUE!</v>
      </c>
      <c r="AI775" t="e">
        <f t="shared" ca="1" si="376"/>
        <v>#VALUE!</v>
      </c>
      <c r="AJ775" t="e">
        <f t="shared" ca="1" si="377"/>
        <v>#VALUE!</v>
      </c>
      <c r="AM775">
        <v>0</v>
      </c>
      <c r="AN775">
        <v>0</v>
      </c>
      <c r="AO775">
        <f t="shared" si="378"/>
        <v>0</v>
      </c>
      <c r="AP775">
        <f t="shared" si="387"/>
        <v>0</v>
      </c>
      <c r="AQ775" t="e">
        <f t="shared" ca="1" si="379"/>
        <v>#VALUE!</v>
      </c>
      <c r="AR775" t="e">
        <f t="shared" ca="1" si="380"/>
        <v>#VALUE!</v>
      </c>
      <c r="AS775" t="e">
        <f t="shared" ca="1" si="381"/>
        <v>#VALUE!</v>
      </c>
    </row>
    <row r="776" spans="1:45" x14ac:dyDescent="0.35">
      <c r="A776">
        <v>627</v>
      </c>
      <c r="B776">
        <v>625.89499999999998</v>
      </c>
      <c r="C776">
        <v>616144.61800000002</v>
      </c>
      <c r="D776">
        <v>3097365.804</v>
      </c>
      <c r="E776">
        <v>632.24900000000002</v>
      </c>
      <c r="F776">
        <v>5.2</v>
      </c>
      <c r="G776">
        <v>0</v>
      </c>
      <c r="H776" t="s">
        <v>191</v>
      </c>
      <c r="I776">
        <v>2.7E-2</v>
      </c>
      <c r="J776">
        <f t="shared" si="382"/>
        <v>0.99900000000002365</v>
      </c>
      <c r="K776">
        <f t="shared" si="383"/>
        <v>51</v>
      </c>
      <c r="L776" t="e">
        <f t="shared" ca="1" si="384"/>
        <v>#VALUE!</v>
      </c>
      <c r="M776" t="e">
        <f t="shared" ca="1" si="357"/>
        <v>#VALUE!</v>
      </c>
      <c r="N776" t="e">
        <f t="shared" ca="1" si="358"/>
        <v>#VALUE!</v>
      </c>
      <c r="O776" t="e">
        <f t="shared" ca="1" si="359"/>
        <v>#VALUE!</v>
      </c>
      <c r="P776" t="e">
        <f t="shared" ca="1" si="360"/>
        <v>#VALUE!</v>
      </c>
      <c r="Q776" t="e">
        <f t="shared" ca="1" si="361"/>
        <v>#VALUE!</v>
      </c>
      <c r="R776" t="e">
        <f t="shared" ca="1" si="362"/>
        <v>#VALUE!</v>
      </c>
      <c r="S776" t="e">
        <f t="shared" ca="1" si="363"/>
        <v>#VALUE!</v>
      </c>
      <c r="T776" t="e">
        <f t="shared" ca="1" si="364"/>
        <v>#VALUE!</v>
      </c>
      <c r="U776" t="e">
        <f t="shared" ca="1" si="385"/>
        <v>#VALUE!</v>
      </c>
      <c r="V776" t="e">
        <f t="shared" ca="1" si="386"/>
        <v>#VALUE!</v>
      </c>
      <c r="W776" t="e">
        <f t="shared" ca="1" si="365"/>
        <v>#VALUE!</v>
      </c>
      <c r="X776" t="e">
        <f t="shared" ca="1" si="366"/>
        <v>#VALUE!</v>
      </c>
      <c r="Y776" t="e">
        <f t="shared" ca="1" si="367"/>
        <v>#VALUE!</v>
      </c>
      <c r="Z776" t="e">
        <f t="shared" ca="1" si="368"/>
        <v>#VALUE!</v>
      </c>
      <c r="AA776" t="e">
        <f t="shared" ca="1" si="369"/>
        <v>#VALUE!</v>
      </c>
      <c r="AB776" t="e">
        <f t="shared" ca="1" si="370"/>
        <v>#VALUE!</v>
      </c>
      <c r="AC776" t="e">
        <f t="shared" ca="1" si="371"/>
        <v>#VALUE!</v>
      </c>
      <c r="AD776" t="e">
        <f t="shared" ca="1" si="372"/>
        <v>#VALUE!</v>
      </c>
      <c r="AE776" t="e">
        <f t="shared" ca="1" si="373"/>
        <v>#VALUE!</v>
      </c>
      <c r="AF776" t="e">
        <f t="shared" ca="1" si="374"/>
        <v>#VALUE!</v>
      </c>
      <c r="AG776" t="e">
        <f t="shared" ca="1" si="375"/>
        <v>#VALUE!</v>
      </c>
      <c r="AH776" t="e">
        <f ca="1">IF(V32="Supercritical",L776,IF(V32="Subcritical",W776,IF(AND(V776=1,AG776=1),IF(T776&gt;=AE776,L776,W776),IF(V776=1,L776,IF(AG776=1,W776,MAX($D$16,POWER((ABS(K776)^2)/($I$5*MAX(F776,0.1)^2),1/3)))))))</f>
        <v>#VALUE!</v>
      </c>
      <c r="AI776" t="e">
        <f t="shared" ca="1" si="376"/>
        <v>#VALUE!</v>
      </c>
      <c r="AJ776" t="e">
        <f t="shared" ca="1" si="377"/>
        <v>#VALUE!</v>
      </c>
      <c r="AM776">
        <v>0</v>
      </c>
      <c r="AN776">
        <v>0</v>
      </c>
      <c r="AO776">
        <f t="shared" si="378"/>
        <v>0</v>
      </c>
      <c r="AP776">
        <f t="shared" si="387"/>
        <v>0</v>
      </c>
      <c r="AQ776" t="e">
        <f t="shared" ca="1" si="379"/>
        <v>#VALUE!</v>
      </c>
      <c r="AR776" t="e">
        <f t="shared" ca="1" si="380"/>
        <v>#VALUE!</v>
      </c>
      <c r="AS776" t="e">
        <f t="shared" ca="1" si="381"/>
        <v>#VALUE!</v>
      </c>
    </row>
    <row r="777" spans="1:45" x14ac:dyDescent="0.35">
      <c r="A777">
        <v>628</v>
      </c>
      <c r="B777">
        <v>626.89599999999996</v>
      </c>
      <c r="C777">
        <v>616144.14399999997</v>
      </c>
      <c r="D777">
        <v>3097364.923</v>
      </c>
      <c r="E777">
        <v>632.24850000000004</v>
      </c>
      <c r="F777">
        <v>5.2</v>
      </c>
      <c r="G777">
        <v>0</v>
      </c>
      <c r="H777" t="s">
        <v>191</v>
      </c>
      <c r="I777">
        <v>2.7E-2</v>
      </c>
      <c r="J777">
        <f t="shared" si="382"/>
        <v>1.0009999999999764</v>
      </c>
      <c r="K777">
        <f t="shared" si="383"/>
        <v>51</v>
      </c>
      <c r="L777" t="e">
        <f t="shared" ca="1" si="384"/>
        <v>#VALUE!</v>
      </c>
      <c r="M777" t="e">
        <f t="shared" ca="1" si="357"/>
        <v>#VALUE!</v>
      </c>
      <c r="N777" t="e">
        <f t="shared" ca="1" si="358"/>
        <v>#VALUE!</v>
      </c>
      <c r="O777" t="e">
        <f t="shared" ca="1" si="359"/>
        <v>#VALUE!</v>
      </c>
      <c r="P777" t="e">
        <f t="shared" ca="1" si="360"/>
        <v>#VALUE!</v>
      </c>
      <c r="Q777" t="e">
        <f t="shared" ca="1" si="361"/>
        <v>#VALUE!</v>
      </c>
      <c r="R777" t="e">
        <f t="shared" ca="1" si="362"/>
        <v>#VALUE!</v>
      </c>
      <c r="S777" t="e">
        <f t="shared" ca="1" si="363"/>
        <v>#VALUE!</v>
      </c>
      <c r="T777" t="e">
        <f t="shared" ca="1" si="364"/>
        <v>#VALUE!</v>
      </c>
      <c r="U777" t="e">
        <f t="shared" ca="1" si="385"/>
        <v>#VALUE!</v>
      </c>
      <c r="V777" t="e">
        <f t="shared" ca="1" si="386"/>
        <v>#VALUE!</v>
      </c>
      <c r="W777" t="e">
        <f t="shared" ca="1" si="365"/>
        <v>#VALUE!</v>
      </c>
      <c r="X777" t="e">
        <f t="shared" ca="1" si="366"/>
        <v>#VALUE!</v>
      </c>
      <c r="Y777" t="e">
        <f t="shared" ca="1" si="367"/>
        <v>#VALUE!</v>
      </c>
      <c r="Z777" t="e">
        <f t="shared" ca="1" si="368"/>
        <v>#VALUE!</v>
      </c>
      <c r="AA777" t="e">
        <f t="shared" ca="1" si="369"/>
        <v>#VALUE!</v>
      </c>
      <c r="AB777" t="e">
        <f t="shared" ca="1" si="370"/>
        <v>#VALUE!</v>
      </c>
      <c r="AC777" t="e">
        <f t="shared" ca="1" si="371"/>
        <v>#VALUE!</v>
      </c>
      <c r="AD777" t="e">
        <f t="shared" ca="1" si="372"/>
        <v>#VALUE!</v>
      </c>
      <c r="AE777" t="e">
        <f t="shared" ca="1" si="373"/>
        <v>#VALUE!</v>
      </c>
      <c r="AF777" t="e">
        <f t="shared" ca="1" si="374"/>
        <v>#VALUE!</v>
      </c>
      <c r="AG777" t="e">
        <f t="shared" ca="1" si="375"/>
        <v>#VALUE!</v>
      </c>
      <c r="AH777" t="e">
        <f ca="1">IF(V32="Supercritical",L777,IF(V32="Subcritical",W777,IF(AND(V777=1,AG777=1),IF(T777&gt;=AE777,L777,W777),IF(V777=1,L777,IF(AG777=1,W777,MAX($D$16,POWER((ABS(K777)^2)/($I$5*MAX(F777,0.1)^2),1/3)))))))</f>
        <v>#VALUE!</v>
      </c>
      <c r="AI777" t="e">
        <f t="shared" ca="1" si="376"/>
        <v>#VALUE!</v>
      </c>
      <c r="AJ777" t="e">
        <f t="shared" ca="1" si="377"/>
        <v>#VALUE!</v>
      </c>
      <c r="AM777">
        <v>0</v>
      </c>
      <c r="AN777">
        <v>0</v>
      </c>
      <c r="AO777">
        <f t="shared" si="378"/>
        <v>0</v>
      </c>
      <c r="AP777">
        <f t="shared" si="387"/>
        <v>0</v>
      </c>
      <c r="AQ777" t="e">
        <f t="shared" ca="1" si="379"/>
        <v>#VALUE!</v>
      </c>
      <c r="AR777" t="e">
        <f t="shared" ca="1" si="380"/>
        <v>#VALUE!</v>
      </c>
      <c r="AS777" t="e">
        <f t="shared" ca="1" si="381"/>
        <v>#VALUE!</v>
      </c>
    </row>
    <row r="778" spans="1:45" x14ac:dyDescent="0.35">
      <c r="A778">
        <v>629</v>
      </c>
      <c r="B778">
        <v>627.89499999999998</v>
      </c>
      <c r="C778">
        <v>616143.67000000004</v>
      </c>
      <c r="D778">
        <v>3097364.0430000001</v>
      </c>
      <c r="E778">
        <v>632.24800000000005</v>
      </c>
      <c r="F778">
        <v>5.2</v>
      </c>
      <c r="G778">
        <v>0</v>
      </c>
      <c r="H778" t="s">
        <v>191</v>
      </c>
      <c r="I778">
        <v>0.05</v>
      </c>
      <c r="J778">
        <f t="shared" si="382"/>
        <v>0.99900000000002365</v>
      </c>
      <c r="K778">
        <f t="shared" si="383"/>
        <v>51</v>
      </c>
      <c r="L778" t="e">
        <f t="shared" ca="1" si="384"/>
        <v>#VALUE!</v>
      </c>
      <c r="M778" t="e">
        <f t="shared" ca="1" si="357"/>
        <v>#VALUE!</v>
      </c>
      <c r="N778" t="e">
        <f t="shared" ca="1" si="358"/>
        <v>#VALUE!</v>
      </c>
      <c r="O778" t="e">
        <f t="shared" ca="1" si="359"/>
        <v>#VALUE!</v>
      </c>
      <c r="P778" t="e">
        <f t="shared" ca="1" si="360"/>
        <v>#VALUE!</v>
      </c>
      <c r="Q778" t="e">
        <f t="shared" ca="1" si="361"/>
        <v>#VALUE!</v>
      </c>
      <c r="R778" t="e">
        <f t="shared" ca="1" si="362"/>
        <v>#VALUE!</v>
      </c>
      <c r="S778" t="e">
        <f t="shared" ca="1" si="363"/>
        <v>#VALUE!</v>
      </c>
      <c r="T778" t="e">
        <f t="shared" ca="1" si="364"/>
        <v>#VALUE!</v>
      </c>
      <c r="U778" t="e">
        <f t="shared" ca="1" si="385"/>
        <v>#VALUE!</v>
      </c>
      <c r="V778" t="e">
        <f t="shared" ca="1" si="386"/>
        <v>#VALUE!</v>
      </c>
      <c r="W778" t="e">
        <f t="shared" ca="1" si="365"/>
        <v>#VALUE!</v>
      </c>
      <c r="X778" t="e">
        <f t="shared" ca="1" si="366"/>
        <v>#VALUE!</v>
      </c>
      <c r="Y778" t="e">
        <f t="shared" ca="1" si="367"/>
        <v>#VALUE!</v>
      </c>
      <c r="Z778" t="e">
        <f t="shared" ca="1" si="368"/>
        <v>#VALUE!</v>
      </c>
      <c r="AA778" t="e">
        <f t="shared" ca="1" si="369"/>
        <v>#VALUE!</v>
      </c>
      <c r="AB778" t="e">
        <f t="shared" ca="1" si="370"/>
        <v>#VALUE!</v>
      </c>
      <c r="AC778" t="e">
        <f t="shared" ca="1" si="371"/>
        <v>#VALUE!</v>
      </c>
      <c r="AD778" t="e">
        <f t="shared" ca="1" si="372"/>
        <v>#VALUE!</v>
      </c>
      <c r="AE778" t="e">
        <f t="shared" ca="1" si="373"/>
        <v>#VALUE!</v>
      </c>
      <c r="AF778" t="e">
        <f t="shared" ca="1" si="374"/>
        <v>#VALUE!</v>
      </c>
      <c r="AG778" t="e">
        <f t="shared" ca="1" si="375"/>
        <v>#VALUE!</v>
      </c>
      <c r="AH778" t="e">
        <f ca="1">IF(V32="Supercritical",L778,IF(V32="Subcritical",W778,IF(AND(V778=1,AG778=1),IF(T778&gt;=AE778,L778,W778),IF(V778=1,L778,IF(AG778=1,W778,MAX($D$16,POWER((ABS(K778)^2)/($I$5*MAX(F778,0.1)^2),1/3)))))))</f>
        <v>#VALUE!</v>
      </c>
      <c r="AI778" t="e">
        <f t="shared" ca="1" si="376"/>
        <v>#VALUE!</v>
      </c>
      <c r="AJ778" t="e">
        <f t="shared" ca="1" si="377"/>
        <v>#VALUE!</v>
      </c>
      <c r="AM778">
        <v>0</v>
      </c>
      <c r="AN778">
        <v>0</v>
      </c>
      <c r="AO778">
        <f t="shared" si="378"/>
        <v>0</v>
      </c>
      <c r="AP778">
        <f t="shared" si="387"/>
        <v>0</v>
      </c>
      <c r="AQ778" t="e">
        <f t="shared" ca="1" si="379"/>
        <v>#VALUE!</v>
      </c>
      <c r="AR778" t="e">
        <f t="shared" ca="1" si="380"/>
        <v>#VALUE!</v>
      </c>
      <c r="AS778" t="e">
        <f t="shared" ca="1" si="381"/>
        <v>#VALUE!</v>
      </c>
    </row>
    <row r="779" spans="1:45" x14ac:dyDescent="0.35">
      <c r="A779">
        <v>630</v>
      </c>
      <c r="B779">
        <v>628.89499999999998</v>
      </c>
      <c r="C779">
        <v>616143.19499999995</v>
      </c>
      <c r="D779">
        <v>3097363.1630000002</v>
      </c>
      <c r="E779">
        <v>632.24749999999995</v>
      </c>
      <c r="F779">
        <v>5.2</v>
      </c>
      <c r="G779">
        <v>0</v>
      </c>
      <c r="H779" t="s">
        <v>191</v>
      </c>
      <c r="I779">
        <v>7.8E-2</v>
      </c>
      <c r="J779">
        <f t="shared" si="382"/>
        <v>1</v>
      </c>
      <c r="K779">
        <f t="shared" si="383"/>
        <v>51</v>
      </c>
      <c r="L779" t="e">
        <f t="shared" ca="1" si="384"/>
        <v>#VALUE!</v>
      </c>
      <c r="M779" t="e">
        <f t="shared" ca="1" si="357"/>
        <v>#VALUE!</v>
      </c>
      <c r="N779" t="e">
        <f t="shared" ca="1" si="358"/>
        <v>#VALUE!</v>
      </c>
      <c r="O779" t="e">
        <f t="shared" ca="1" si="359"/>
        <v>#VALUE!</v>
      </c>
      <c r="P779" t="e">
        <f t="shared" ca="1" si="360"/>
        <v>#VALUE!</v>
      </c>
      <c r="Q779" t="e">
        <f t="shared" ca="1" si="361"/>
        <v>#VALUE!</v>
      </c>
      <c r="R779" t="e">
        <f t="shared" ca="1" si="362"/>
        <v>#VALUE!</v>
      </c>
      <c r="S779" t="e">
        <f t="shared" ca="1" si="363"/>
        <v>#VALUE!</v>
      </c>
      <c r="T779" t="e">
        <f t="shared" ca="1" si="364"/>
        <v>#VALUE!</v>
      </c>
      <c r="U779" t="e">
        <f t="shared" ca="1" si="385"/>
        <v>#VALUE!</v>
      </c>
      <c r="V779" t="e">
        <f t="shared" ca="1" si="386"/>
        <v>#VALUE!</v>
      </c>
      <c r="W779" t="e">
        <f t="shared" ca="1" si="365"/>
        <v>#VALUE!</v>
      </c>
      <c r="X779" t="e">
        <f t="shared" ca="1" si="366"/>
        <v>#VALUE!</v>
      </c>
      <c r="Y779" t="e">
        <f t="shared" ca="1" si="367"/>
        <v>#VALUE!</v>
      </c>
      <c r="Z779" t="e">
        <f t="shared" ca="1" si="368"/>
        <v>#VALUE!</v>
      </c>
      <c r="AA779" t="e">
        <f t="shared" ca="1" si="369"/>
        <v>#VALUE!</v>
      </c>
      <c r="AB779" t="e">
        <f t="shared" ca="1" si="370"/>
        <v>#VALUE!</v>
      </c>
      <c r="AC779" t="e">
        <f t="shared" ca="1" si="371"/>
        <v>#VALUE!</v>
      </c>
      <c r="AD779" t="e">
        <f t="shared" ca="1" si="372"/>
        <v>#VALUE!</v>
      </c>
      <c r="AE779" t="e">
        <f t="shared" ca="1" si="373"/>
        <v>#VALUE!</v>
      </c>
      <c r="AF779" t="e">
        <f t="shared" ca="1" si="374"/>
        <v>#VALUE!</v>
      </c>
      <c r="AG779" t="e">
        <f t="shared" ca="1" si="375"/>
        <v>#VALUE!</v>
      </c>
      <c r="AH779" t="e">
        <f ca="1">IF(V32="Supercritical",L779,IF(V32="Subcritical",W779,IF(AND(V779=1,AG779=1),IF(T779&gt;=AE779,L779,W779),IF(V779=1,L779,IF(AG779=1,W779,MAX($D$16,POWER((ABS(K779)^2)/($I$5*MAX(F779,0.1)^2),1/3)))))))</f>
        <v>#VALUE!</v>
      </c>
      <c r="AI779" t="e">
        <f t="shared" ca="1" si="376"/>
        <v>#VALUE!</v>
      </c>
      <c r="AJ779" t="e">
        <f t="shared" ca="1" si="377"/>
        <v>#VALUE!</v>
      </c>
      <c r="AM779">
        <v>0</v>
      </c>
      <c r="AN779">
        <v>0</v>
      </c>
      <c r="AO779">
        <f t="shared" si="378"/>
        <v>0</v>
      </c>
      <c r="AP779">
        <f t="shared" si="387"/>
        <v>0</v>
      </c>
      <c r="AQ779" t="e">
        <f t="shared" ca="1" si="379"/>
        <v>#VALUE!</v>
      </c>
      <c r="AR779" t="e">
        <f t="shared" ca="1" si="380"/>
        <v>#VALUE!</v>
      </c>
      <c r="AS779" t="e">
        <f t="shared" ca="1" si="381"/>
        <v>#VALUE!</v>
      </c>
    </row>
    <row r="780" spans="1:45" x14ac:dyDescent="0.35">
      <c r="A780">
        <v>631</v>
      </c>
      <c r="B780">
        <v>629.89499999999998</v>
      </c>
      <c r="C780">
        <v>616142.72100000002</v>
      </c>
      <c r="D780">
        <v>3097362.2820000001</v>
      </c>
      <c r="E780">
        <v>632.24699999999996</v>
      </c>
      <c r="F780">
        <v>5.2</v>
      </c>
      <c r="G780">
        <v>0</v>
      </c>
      <c r="H780" t="s">
        <v>191</v>
      </c>
      <c r="I780">
        <v>2.7E-2</v>
      </c>
      <c r="J780">
        <f t="shared" si="382"/>
        <v>1</v>
      </c>
      <c r="K780">
        <f t="shared" si="383"/>
        <v>51</v>
      </c>
      <c r="L780" t="e">
        <f t="shared" ca="1" si="384"/>
        <v>#VALUE!</v>
      </c>
      <c r="M780" t="e">
        <f t="shared" ca="1" si="357"/>
        <v>#VALUE!</v>
      </c>
      <c r="N780" t="e">
        <f t="shared" ca="1" si="358"/>
        <v>#VALUE!</v>
      </c>
      <c r="O780" t="e">
        <f t="shared" ca="1" si="359"/>
        <v>#VALUE!</v>
      </c>
      <c r="P780" t="e">
        <f t="shared" ca="1" si="360"/>
        <v>#VALUE!</v>
      </c>
      <c r="Q780" t="e">
        <f t="shared" ca="1" si="361"/>
        <v>#VALUE!</v>
      </c>
      <c r="R780" t="e">
        <f t="shared" ca="1" si="362"/>
        <v>#VALUE!</v>
      </c>
      <c r="S780" t="e">
        <f t="shared" ca="1" si="363"/>
        <v>#VALUE!</v>
      </c>
      <c r="T780" t="e">
        <f t="shared" ca="1" si="364"/>
        <v>#VALUE!</v>
      </c>
      <c r="U780" t="e">
        <f t="shared" ca="1" si="385"/>
        <v>#VALUE!</v>
      </c>
      <c r="V780" t="e">
        <f t="shared" ca="1" si="386"/>
        <v>#VALUE!</v>
      </c>
      <c r="W780" t="e">
        <f t="shared" ca="1" si="365"/>
        <v>#VALUE!</v>
      </c>
      <c r="X780" t="e">
        <f t="shared" ca="1" si="366"/>
        <v>#VALUE!</v>
      </c>
      <c r="Y780" t="e">
        <f t="shared" ca="1" si="367"/>
        <v>#VALUE!</v>
      </c>
      <c r="Z780" t="e">
        <f t="shared" ca="1" si="368"/>
        <v>#VALUE!</v>
      </c>
      <c r="AA780" t="e">
        <f t="shared" ca="1" si="369"/>
        <v>#VALUE!</v>
      </c>
      <c r="AB780" t="e">
        <f t="shared" ca="1" si="370"/>
        <v>#VALUE!</v>
      </c>
      <c r="AC780" t="e">
        <f t="shared" ca="1" si="371"/>
        <v>#VALUE!</v>
      </c>
      <c r="AD780" t="e">
        <f t="shared" ca="1" si="372"/>
        <v>#VALUE!</v>
      </c>
      <c r="AE780" t="e">
        <f t="shared" ca="1" si="373"/>
        <v>#VALUE!</v>
      </c>
      <c r="AF780" t="e">
        <f t="shared" ca="1" si="374"/>
        <v>#VALUE!</v>
      </c>
      <c r="AG780" t="e">
        <f t="shared" ca="1" si="375"/>
        <v>#VALUE!</v>
      </c>
      <c r="AH780" t="e">
        <f ca="1">IF(V32="Supercritical",L780,IF(V32="Subcritical",W780,IF(AND(V780=1,AG780=1),IF(T780&gt;=AE780,L780,W780),IF(V780=1,L780,IF(AG780=1,W780,MAX($D$16,POWER((ABS(K780)^2)/($I$5*MAX(F780,0.1)^2),1/3)))))))</f>
        <v>#VALUE!</v>
      </c>
      <c r="AI780" t="e">
        <f t="shared" ca="1" si="376"/>
        <v>#VALUE!</v>
      </c>
      <c r="AJ780" t="e">
        <f t="shared" ca="1" si="377"/>
        <v>#VALUE!</v>
      </c>
      <c r="AM780">
        <v>0</v>
      </c>
      <c r="AN780">
        <v>0</v>
      </c>
      <c r="AO780">
        <f t="shared" si="378"/>
        <v>0</v>
      </c>
      <c r="AP780">
        <f t="shared" si="387"/>
        <v>0</v>
      </c>
      <c r="AQ780" t="e">
        <f t="shared" ca="1" si="379"/>
        <v>#VALUE!</v>
      </c>
      <c r="AR780" t="e">
        <f t="shared" ca="1" si="380"/>
        <v>#VALUE!</v>
      </c>
      <c r="AS780" t="e">
        <f t="shared" ca="1" si="381"/>
        <v>#VALUE!</v>
      </c>
    </row>
    <row r="781" spans="1:45" x14ac:dyDescent="0.35">
      <c r="A781">
        <v>632</v>
      </c>
      <c r="B781">
        <v>630.89499999999998</v>
      </c>
      <c r="C781">
        <v>616142.24699999997</v>
      </c>
      <c r="D781">
        <v>3097361.4019999998</v>
      </c>
      <c r="E781">
        <v>632.24649999999997</v>
      </c>
      <c r="F781">
        <v>5.2</v>
      </c>
      <c r="G781">
        <v>0</v>
      </c>
      <c r="H781" t="s">
        <v>191</v>
      </c>
      <c r="I781">
        <v>2.7E-2</v>
      </c>
      <c r="J781">
        <f t="shared" si="382"/>
        <v>1</v>
      </c>
      <c r="K781">
        <f t="shared" si="383"/>
        <v>51</v>
      </c>
      <c r="L781" t="e">
        <f t="shared" ca="1" si="384"/>
        <v>#VALUE!</v>
      </c>
      <c r="M781" t="e">
        <f t="shared" ca="1" si="357"/>
        <v>#VALUE!</v>
      </c>
      <c r="N781" t="e">
        <f t="shared" ca="1" si="358"/>
        <v>#VALUE!</v>
      </c>
      <c r="O781" t="e">
        <f t="shared" ca="1" si="359"/>
        <v>#VALUE!</v>
      </c>
      <c r="P781" t="e">
        <f t="shared" ca="1" si="360"/>
        <v>#VALUE!</v>
      </c>
      <c r="Q781" t="e">
        <f t="shared" ca="1" si="361"/>
        <v>#VALUE!</v>
      </c>
      <c r="R781" t="e">
        <f t="shared" ca="1" si="362"/>
        <v>#VALUE!</v>
      </c>
      <c r="S781" t="e">
        <f t="shared" ca="1" si="363"/>
        <v>#VALUE!</v>
      </c>
      <c r="T781" t="e">
        <f t="shared" ca="1" si="364"/>
        <v>#VALUE!</v>
      </c>
      <c r="U781" t="e">
        <f t="shared" ca="1" si="385"/>
        <v>#VALUE!</v>
      </c>
      <c r="V781" t="e">
        <f t="shared" ca="1" si="386"/>
        <v>#VALUE!</v>
      </c>
      <c r="W781" t="e">
        <f t="shared" ca="1" si="365"/>
        <v>#VALUE!</v>
      </c>
      <c r="X781" t="e">
        <f t="shared" ca="1" si="366"/>
        <v>#VALUE!</v>
      </c>
      <c r="Y781" t="e">
        <f t="shared" ca="1" si="367"/>
        <v>#VALUE!</v>
      </c>
      <c r="Z781" t="e">
        <f t="shared" ca="1" si="368"/>
        <v>#VALUE!</v>
      </c>
      <c r="AA781" t="e">
        <f t="shared" ca="1" si="369"/>
        <v>#VALUE!</v>
      </c>
      <c r="AB781" t="e">
        <f t="shared" ca="1" si="370"/>
        <v>#VALUE!</v>
      </c>
      <c r="AC781" t="e">
        <f t="shared" ca="1" si="371"/>
        <v>#VALUE!</v>
      </c>
      <c r="AD781" t="e">
        <f t="shared" ca="1" si="372"/>
        <v>#VALUE!</v>
      </c>
      <c r="AE781" t="e">
        <f t="shared" ca="1" si="373"/>
        <v>#VALUE!</v>
      </c>
      <c r="AF781" t="e">
        <f t="shared" ca="1" si="374"/>
        <v>#VALUE!</v>
      </c>
      <c r="AG781" t="e">
        <f t="shared" ca="1" si="375"/>
        <v>#VALUE!</v>
      </c>
      <c r="AH781" t="e">
        <f ca="1">IF(V32="Supercritical",L781,IF(V32="Subcritical",W781,IF(AND(V781=1,AG781=1),IF(T781&gt;=AE781,L781,W781),IF(V781=1,L781,IF(AG781=1,W781,MAX($D$16,POWER((ABS(K781)^2)/($I$5*MAX(F781,0.1)^2),1/3)))))))</f>
        <v>#VALUE!</v>
      </c>
      <c r="AI781" t="e">
        <f t="shared" ca="1" si="376"/>
        <v>#VALUE!</v>
      </c>
      <c r="AJ781" t="e">
        <f t="shared" ca="1" si="377"/>
        <v>#VALUE!</v>
      </c>
      <c r="AM781">
        <v>0</v>
      </c>
      <c r="AN781">
        <v>0</v>
      </c>
      <c r="AO781">
        <f t="shared" si="378"/>
        <v>0</v>
      </c>
      <c r="AP781">
        <f t="shared" si="387"/>
        <v>0</v>
      </c>
      <c r="AQ781" t="e">
        <f t="shared" ca="1" si="379"/>
        <v>#VALUE!</v>
      </c>
      <c r="AR781" t="e">
        <f t="shared" ca="1" si="380"/>
        <v>#VALUE!</v>
      </c>
      <c r="AS781" t="e">
        <f t="shared" ca="1" si="381"/>
        <v>#VALUE!</v>
      </c>
    </row>
    <row r="782" spans="1:45" x14ac:dyDescent="0.35">
      <c r="A782">
        <v>633</v>
      </c>
      <c r="B782">
        <v>631.89499999999998</v>
      </c>
      <c r="C782">
        <v>616141.77300000004</v>
      </c>
      <c r="D782">
        <v>3097360.5210000002</v>
      </c>
      <c r="E782">
        <v>632.24599999999998</v>
      </c>
      <c r="F782">
        <v>5.2</v>
      </c>
      <c r="G782">
        <v>0</v>
      </c>
      <c r="H782" t="s">
        <v>191</v>
      </c>
      <c r="I782">
        <v>7.8E-2</v>
      </c>
      <c r="J782">
        <f t="shared" si="382"/>
        <v>1</v>
      </c>
      <c r="K782">
        <f t="shared" si="383"/>
        <v>51</v>
      </c>
      <c r="L782" t="e">
        <f t="shared" ca="1" si="384"/>
        <v>#VALUE!</v>
      </c>
      <c r="M782" t="e">
        <f t="shared" ca="1" si="357"/>
        <v>#VALUE!</v>
      </c>
      <c r="N782" t="e">
        <f t="shared" ca="1" si="358"/>
        <v>#VALUE!</v>
      </c>
      <c r="O782" t="e">
        <f t="shared" ca="1" si="359"/>
        <v>#VALUE!</v>
      </c>
      <c r="P782" t="e">
        <f t="shared" ca="1" si="360"/>
        <v>#VALUE!</v>
      </c>
      <c r="Q782" t="e">
        <f t="shared" ca="1" si="361"/>
        <v>#VALUE!</v>
      </c>
      <c r="R782" t="e">
        <f t="shared" ca="1" si="362"/>
        <v>#VALUE!</v>
      </c>
      <c r="S782" t="e">
        <f t="shared" ca="1" si="363"/>
        <v>#VALUE!</v>
      </c>
      <c r="T782" t="e">
        <f t="shared" ca="1" si="364"/>
        <v>#VALUE!</v>
      </c>
      <c r="U782" t="e">
        <f t="shared" ca="1" si="385"/>
        <v>#VALUE!</v>
      </c>
      <c r="V782" t="e">
        <f t="shared" ca="1" si="386"/>
        <v>#VALUE!</v>
      </c>
      <c r="W782" t="e">
        <f t="shared" ca="1" si="365"/>
        <v>#VALUE!</v>
      </c>
      <c r="X782" t="e">
        <f t="shared" ca="1" si="366"/>
        <v>#VALUE!</v>
      </c>
      <c r="Y782" t="e">
        <f t="shared" ca="1" si="367"/>
        <v>#VALUE!</v>
      </c>
      <c r="Z782" t="e">
        <f t="shared" ca="1" si="368"/>
        <v>#VALUE!</v>
      </c>
      <c r="AA782" t="e">
        <f t="shared" ca="1" si="369"/>
        <v>#VALUE!</v>
      </c>
      <c r="AB782" t="e">
        <f t="shared" ca="1" si="370"/>
        <v>#VALUE!</v>
      </c>
      <c r="AC782" t="e">
        <f t="shared" ca="1" si="371"/>
        <v>#VALUE!</v>
      </c>
      <c r="AD782" t="e">
        <f t="shared" ca="1" si="372"/>
        <v>#VALUE!</v>
      </c>
      <c r="AE782" t="e">
        <f t="shared" ca="1" si="373"/>
        <v>#VALUE!</v>
      </c>
      <c r="AF782" t="e">
        <f t="shared" ca="1" si="374"/>
        <v>#VALUE!</v>
      </c>
      <c r="AG782" t="e">
        <f t="shared" ca="1" si="375"/>
        <v>#VALUE!</v>
      </c>
      <c r="AH782" t="e">
        <f ca="1">IF(V32="Supercritical",L782,IF(V32="Subcritical",W782,IF(AND(V782=1,AG782=1),IF(T782&gt;=AE782,L782,W782),IF(V782=1,L782,IF(AG782=1,W782,MAX($D$16,POWER((ABS(K782)^2)/($I$5*MAX(F782,0.1)^2),1/3)))))))</f>
        <v>#VALUE!</v>
      </c>
      <c r="AI782" t="e">
        <f t="shared" ca="1" si="376"/>
        <v>#VALUE!</v>
      </c>
      <c r="AJ782" t="e">
        <f t="shared" ca="1" si="377"/>
        <v>#VALUE!</v>
      </c>
      <c r="AM782">
        <v>0</v>
      </c>
      <c r="AN782">
        <v>0</v>
      </c>
      <c r="AO782">
        <f t="shared" si="378"/>
        <v>0</v>
      </c>
      <c r="AP782">
        <f t="shared" si="387"/>
        <v>0</v>
      </c>
      <c r="AQ782" t="e">
        <f t="shared" ca="1" si="379"/>
        <v>#VALUE!</v>
      </c>
      <c r="AR782" t="e">
        <f t="shared" ca="1" si="380"/>
        <v>#VALUE!</v>
      </c>
      <c r="AS782" t="e">
        <f t="shared" ca="1" si="381"/>
        <v>#VALUE!</v>
      </c>
    </row>
    <row r="783" spans="1:45" x14ac:dyDescent="0.35">
      <c r="A783">
        <v>634</v>
      </c>
      <c r="B783">
        <v>632.89499999999998</v>
      </c>
      <c r="C783">
        <v>616141.29799999995</v>
      </c>
      <c r="D783">
        <v>3097359.6409999998</v>
      </c>
      <c r="E783">
        <v>632.24549999999999</v>
      </c>
      <c r="F783">
        <v>5.2</v>
      </c>
      <c r="G783">
        <v>0</v>
      </c>
      <c r="H783" t="s">
        <v>191</v>
      </c>
      <c r="I783">
        <v>0.05</v>
      </c>
      <c r="J783">
        <f t="shared" si="382"/>
        <v>1</v>
      </c>
      <c r="K783">
        <f t="shared" si="383"/>
        <v>51</v>
      </c>
      <c r="L783" t="e">
        <f t="shared" ca="1" si="384"/>
        <v>#VALUE!</v>
      </c>
      <c r="M783" t="e">
        <f t="shared" ca="1" si="357"/>
        <v>#VALUE!</v>
      </c>
      <c r="N783" t="e">
        <f t="shared" ca="1" si="358"/>
        <v>#VALUE!</v>
      </c>
      <c r="O783" t="e">
        <f t="shared" ca="1" si="359"/>
        <v>#VALUE!</v>
      </c>
      <c r="P783" t="e">
        <f t="shared" ca="1" si="360"/>
        <v>#VALUE!</v>
      </c>
      <c r="Q783" t="e">
        <f t="shared" ca="1" si="361"/>
        <v>#VALUE!</v>
      </c>
      <c r="R783" t="e">
        <f t="shared" ca="1" si="362"/>
        <v>#VALUE!</v>
      </c>
      <c r="S783" t="e">
        <f t="shared" ca="1" si="363"/>
        <v>#VALUE!</v>
      </c>
      <c r="T783" t="e">
        <f t="shared" ca="1" si="364"/>
        <v>#VALUE!</v>
      </c>
      <c r="U783" t="e">
        <f t="shared" ca="1" si="385"/>
        <v>#VALUE!</v>
      </c>
      <c r="V783" t="e">
        <f t="shared" ca="1" si="386"/>
        <v>#VALUE!</v>
      </c>
      <c r="W783" t="e">
        <f t="shared" ca="1" si="365"/>
        <v>#VALUE!</v>
      </c>
      <c r="X783" t="e">
        <f t="shared" ca="1" si="366"/>
        <v>#VALUE!</v>
      </c>
      <c r="Y783" t="e">
        <f t="shared" ca="1" si="367"/>
        <v>#VALUE!</v>
      </c>
      <c r="Z783" t="e">
        <f t="shared" ca="1" si="368"/>
        <v>#VALUE!</v>
      </c>
      <c r="AA783" t="e">
        <f t="shared" ca="1" si="369"/>
        <v>#VALUE!</v>
      </c>
      <c r="AB783" t="e">
        <f t="shared" ca="1" si="370"/>
        <v>#VALUE!</v>
      </c>
      <c r="AC783" t="e">
        <f t="shared" ca="1" si="371"/>
        <v>#VALUE!</v>
      </c>
      <c r="AD783" t="e">
        <f t="shared" ca="1" si="372"/>
        <v>#VALUE!</v>
      </c>
      <c r="AE783" t="e">
        <f t="shared" ca="1" si="373"/>
        <v>#VALUE!</v>
      </c>
      <c r="AF783" t="e">
        <f t="shared" ca="1" si="374"/>
        <v>#VALUE!</v>
      </c>
      <c r="AG783" t="e">
        <f t="shared" ca="1" si="375"/>
        <v>#VALUE!</v>
      </c>
      <c r="AH783" t="e">
        <f ca="1">IF(V32="Supercritical",L783,IF(V32="Subcritical",W783,IF(AND(V783=1,AG783=1),IF(T783&gt;=AE783,L783,W783),IF(V783=1,L783,IF(AG783=1,W783,MAX($D$16,POWER((ABS(K783)^2)/($I$5*MAX(F783,0.1)^2),1/3)))))))</f>
        <v>#VALUE!</v>
      </c>
      <c r="AI783" t="e">
        <f t="shared" ca="1" si="376"/>
        <v>#VALUE!</v>
      </c>
      <c r="AJ783" t="e">
        <f t="shared" ca="1" si="377"/>
        <v>#VALUE!</v>
      </c>
      <c r="AM783">
        <v>0</v>
      </c>
      <c r="AN783">
        <v>0</v>
      </c>
      <c r="AO783">
        <f t="shared" si="378"/>
        <v>0</v>
      </c>
      <c r="AP783">
        <f t="shared" si="387"/>
        <v>0</v>
      </c>
      <c r="AQ783" t="e">
        <f t="shared" ca="1" si="379"/>
        <v>#VALUE!</v>
      </c>
      <c r="AR783" t="e">
        <f t="shared" ca="1" si="380"/>
        <v>#VALUE!</v>
      </c>
      <c r="AS783" t="e">
        <f t="shared" ca="1" si="381"/>
        <v>#VALUE!</v>
      </c>
    </row>
    <row r="784" spans="1:45" x14ac:dyDescent="0.35">
      <c r="A784">
        <v>635</v>
      </c>
      <c r="B784">
        <v>633.89499999999998</v>
      </c>
      <c r="C784">
        <v>616140.82400000002</v>
      </c>
      <c r="D784">
        <v>3097358.7609999999</v>
      </c>
      <c r="E784">
        <v>632.245</v>
      </c>
      <c r="F784">
        <v>5.2</v>
      </c>
      <c r="G784">
        <v>0</v>
      </c>
      <c r="H784" t="s">
        <v>191</v>
      </c>
      <c r="I784">
        <v>2.7E-2</v>
      </c>
      <c r="J784">
        <f t="shared" si="382"/>
        <v>1</v>
      </c>
      <c r="K784">
        <f t="shared" si="383"/>
        <v>51</v>
      </c>
      <c r="L784" t="e">
        <f t="shared" ca="1" si="384"/>
        <v>#VALUE!</v>
      </c>
      <c r="M784" t="e">
        <f t="shared" ca="1" si="357"/>
        <v>#VALUE!</v>
      </c>
      <c r="N784" t="e">
        <f t="shared" ca="1" si="358"/>
        <v>#VALUE!</v>
      </c>
      <c r="O784" t="e">
        <f t="shared" ca="1" si="359"/>
        <v>#VALUE!</v>
      </c>
      <c r="P784" t="e">
        <f t="shared" ca="1" si="360"/>
        <v>#VALUE!</v>
      </c>
      <c r="Q784" t="e">
        <f t="shared" ca="1" si="361"/>
        <v>#VALUE!</v>
      </c>
      <c r="R784" t="e">
        <f t="shared" ca="1" si="362"/>
        <v>#VALUE!</v>
      </c>
      <c r="S784" t="e">
        <f t="shared" ca="1" si="363"/>
        <v>#VALUE!</v>
      </c>
      <c r="T784" t="e">
        <f t="shared" ca="1" si="364"/>
        <v>#VALUE!</v>
      </c>
      <c r="U784" t="e">
        <f t="shared" ca="1" si="385"/>
        <v>#VALUE!</v>
      </c>
      <c r="V784" t="e">
        <f t="shared" ca="1" si="386"/>
        <v>#VALUE!</v>
      </c>
      <c r="W784" t="e">
        <f t="shared" ca="1" si="365"/>
        <v>#VALUE!</v>
      </c>
      <c r="X784" t="e">
        <f t="shared" ca="1" si="366"/>
        <v>#VALUE!</v>
      </c>
      <c r="Y784" t="e">
        <f t="shared" ca="1" si="367"/>
        <v>#VALUE!</v>
      </c>
      <c r="Z784" t="e">
        <f t="shared" ca="1" si="368"/>
        <v>#VALUE!</v>
      </c>
      <c r="AA784" t="e">
        <f t="shared" ca="1" si="369"/>
        <v>#VALUE!</v>
      </c>
      <c r="AB784" t="e">
        <f t="shared" ca="1" si="370"/>
        <v>#VALUE!</v>
      </c>
      <c r="AC784" t="e">
        <f t="shared" ca="1" si="371"/>
        <v>#VALUE!</v>
      </c>
      <c r="AD784" t="e">
        <f t="shared" ca="1" si="372"/>
        <v>#VALUE!</v>
      </c>
      <c r="AE784" t="e">
        <f t="shared" ca="1" si="373"/>
        <v>#VALUE!</v>
      </c>
      <c r="AF784" t="e">
        <f t="shared" ca="1" si="374"/>
        <v>#VALUE!</v>
      </c>
      <c r="AG784" t="e">
        <f t="shared" ca="1" si="375"/>
        <v>#VALUE!</v>
      </c>
      <c r="AH784" t="e">
        <f ca="1">IF(V32="Supercritical",L784,IF(V32="Subcritical",W784,IF(AND(V784=1,AG784=1),IF(T784&gt;=AE784,L784,W784),IF(V784=1,L784,IF(AG784=1,W784,MAX($D$16,POWER((ABS(K784)^2)/($I$5*MAX(F784,0.1)^2),1/3)))))))</f>
        <v>#VALUE!</v>
      </c>
      <c r="AI784" t="e">
        <f t="shared" ca="1" si="376"/>
        <v>#VALUE!</v>
      </c>
      <c r="AJ784" t="e">
        <f t="shared" ca="1" si="377"/>
        <v>#VALUE!</v>
      </c>
      <c r="AM784">
        <v>0</v>
      </c>
      <c r="AN784">
        <v>0</v>
      </c>
      <c r="AO784">
        <f t="shared" si="378"/>
        <v>0</v>
      </c>
      <c r="AP784">
        <f t="shared" si="387"/>
        <v>0</v>
      </c>
      <c r="AQ784" t="e">
        <f t="shared" ca="1" si="379"/>
        <v>#VALUE!</v>
      </c>
      <c r="AR784" t="e">
        <f t="shared" ca="1" si="380"/>
        <v>#VALUE!</v>
      </c>
      <c r="AS784" t="e">
        <f t="shared" ca="1" si="381"/>
        <v>#VALUE!</v>
      </c>
    </row>
    <row r="785" spans="1:45" x14ac:dyDescent="0.35">
      <c r="A785">
        <v>636</v>
      </c>
      <c r="B785">
        <v>634.89499999999998</v>
      </c>
      <c r="C785">
        <v>616140.35</v>
      </c>
      <c r="D785">
        <v>3097357.88</v>
      </c>
      <c r="E785">
        <v>632.24450000000002</v>
      </c>
      <c r="F785">
        <v>5.2</v>
      </c>
      <c r="G785">
        <v>0</v>
      </c>
      <c r="H785" t="s">
        <v>191</v>
      </c>
      <c r="I785">
        <v>2.7E-2</v>
      </c>
      <c r="J785">
        <f t="shared" si="382"/>
        <v>1</v>
      </c>
      <c r="K785">
        <f t="shared" si="383"/>
        <v>51</v>
      </c>
      <c r="L785" t="e">
        <f t="shared" ca="1" si="384"/>
        <v>#VALUE!</v>
      </c>
      <c r="M785" t="e">
        <f t="shared" ca="1" si="357"/>
        <v>#VALUE!</v>
      </c>
      <c r="N785" t="e">
        <f t="shared" ca="1" si="358"/>
        <v>#VALUE!</v>
      </c>
      <c r="O785" t="e">
        <f t="shared" ca="1" si="359"/>
        <v>#VALUE!</v>
      </c>
      <c r="P785" t="e">
        <f t="shared" ca="1" si="360"/>
        <v>#VALUE!</v>
      </c>
      <c r="Q785" t="e">
        <f t="shared" ca="1" si="361"/>
        <v>#VALUE!</v>
      </c>
      <c r="R785" t="e">
        <f t="shared" ca="1" si="362"/>
        <v>#VALUE!</v>
      </c>
      <c r="S785" t="e">
        <f t="shared" ca="1" si="363"/>
        <v>#VALUE!</v>
      </c>
      <c r="T785" t="e">
        <f t="shared" ca="1" si="364"/>
        <v>#VALUE!</v>
      </c>
      <c r="U785" t="e">
        <f t="shared" ca="1" si="385"/>
        <v>#VALUE!</v>
      </c>
      <c r="V785" t="e">
        <f t="shared" ca="1" si="386"/>
        <v>#VALUE!</v>
      </c>
      <c r="W785" t="e">
        <f t="shared" ca="1" si="365"/>
        <v>#VALUE!</v>
      </c>
      <c r="X785" t="e">
        <f t="shared" ca="1" si="366"/>
        <v>#VALUE!</v>
      </c>
      <c r="Y785" t="e">
        <f t="shared" ca="1" si="367"/>
        <v>#VALUE!</v>
      </c>
      <c r="Z785" t="e">
        <f t="shared" ca="1" si="368"/>
        <v>#VALUE!</v>
      </c>
      <c r="AA785" t="e">
        <f t="shared" ca="1" si="369"/>
        <v>#VALUE!</v>
      </c>
      <c r="AB785" t="e">
        <f t="shared" ca="1" si="370"/>
        <v>#VALUE!</v>
      </c>
      <c r="AC785" t="e">
        <f t="shared" ca="1" si="371"/>
        <v>#VALUE!</v>
      </c>
      <c r="AD785" t="e">
        <f t="shared" ca="1" si="372"/>
        <v>#VALUE!</v>
      </c>
      <c r="AE785" t="e">
        <f t="shared" ca="1" si="373"/>
        <v>#VALUE!</v>
      </c>
      <c r="AF785" t="e">
        <f t="shared" ca="1" si="374"/>
        <v>#VALUE!</v>
      </c>
      <c r="AG785" t="e">
        <f t="shared" ca="1" si="375"/>
        <v>#VALUE!</v>
      </c>
      <c r="AH785" t="e">
        <f ca="1">IF(V32="Supercritical",L785,IF(V32="Subcritical",W785,IF(AND(V785=1,AG785=1),IF(T785&gt;=AE785,L785,W785),IF(V785=1,L785,IF(AG785=1,W785,MAX($D$16,POWER((ABS(K785)^2)/($I$5*MAX(F785,0.1)^2),1/3)))))))</f>
        <v>#VALUE!</v>
      </c>
      <c r="AI785" t="e">
        <f t="shared" ca="1" si="376"/>
        <v>#VALUE!</v>
      </c>
      <c r="AJ785" t="e">
        <f t="shared" ca="1" si="377"/>
        <v>#VALUE!</v>
      </c>
      <c r="AM785">
        <v>0</v>
      </c>
      <c r="AN785">
        <v>0</v>
      </c>
      <c r="AO785">
        <f t="shared" si="378"/>
        <v>0</v>
      </c>
      <c r="AP785">
        <f t="shared" si="387"/>
        <v>0</v>
      </c>
      <c r="AQ785" t="e">
        <f t="shared" ca="1" si="379"/>
        <v>#VALUE!</v>
      </c>
      <c r="AR785" t="e">
        <f t="shared" ca="1" si="380"/>
        <v>#VALUE!</v>
      </c>
      <c r="AS785" t="e">
        <f t="shared" ca="1" si="381"/>
        <v>#VALUE!</v>
      </c>
    </row>
    <row r="786" spans="1:45" x14ac:dyDescent="0.35">
      <c r="A786">
        <v>637</v>
      </c>
      <c r="B786">
        <v>635.89499999999998</v>
      </c>
      <c r="C786">
        <v>616139.87600000005</v>
      </c>
      <c r="D786">
        <v>3097357</v>
      </c>
      <c r="E786">
        <v>632.24400000000003</v>
      </c>
      <c r="F786">
        <v>5.2</v>
      </c>
      <c r="G786">
        <v>0</v>
      </c>
      <c r="H786" t="s">
        <v>191</v>
      </c>
      <c r="I786">
        <v>2.3E-2</v>
      </c>
      <c r="J786">
        <f t="shared" si="382"/>
        <v>1</v>
      </c>
      <c r="K786">
        <f t="shared" si="383"/>
        <v>51</v>
      </c>
      <c r="L786" t="e">
        <f t="shared" ca="1" si="384"/>
        <v>#VALUE!</v>
      </c>
      <c r="M786" t="e">
        <f t="shared" ca="1" si="357"/>
        <v>#VALUE!</v>
      </c>
      <c r="N786" t="e">
        <f t="shared" ca="1" si="358"/>
        <v>#VALUE!</v>
      </c>
      <c r="O786" t="e">
        <f t="shared" ca="1" si="359"/>
        <v>#VALUE!</v>
      </c>
      <c r="P786" t="e">
        <f t="shared" ca="1" si="360"/>
        <v>#VALUE!</v>
      </c>
      <c r="Q786" t="e">
        <f t="shared" ca="1" si="361"/>
        <v>#VALUE!</v>
      </c>
      <c r="R786" t="e">
        <f t="shared" ca="1" si="362"/>
        <v>#VALUE!</v>
      </c>
      <c r="S786" t="e">
        <f t="shared" ca="1" si="363"/>
        <v>#VALUE!</v>
      </c>
      <c r="T786" t="e">
        <f t="shared" ca="1" si="364"/>
        <v>#VALUE!</v>
      </c>
      <c r="U786" t="e">
        <f t="shared" ca="1" si="385"/>
        <v>#VALUE!</v>
      </c>
      <c r="V786" t="e">
        <f t="shared" ca="1" si="386"/>
        <v>#VALUE!</v>
      </c>
      <c r="W786" t="e">
        <f t="shared" ca="1" si="365"/>
        <v>#VALUE!</v>
      </c>
      <c r="X786" t="e">
        <f t="shared" ca="1" si="366"/>
        <v>#VALUE!</v>
      </c>
      <c r="Y786" t="e">
        <f t="shared" ca="1" si="367"/>
        <v>#VALUE!</v>
      </c>
      <c r="Z786" t="e">
        <f t="shared" ca="1" si="368"/>
        <v>#VALUE!</v>
      </c>
      <c r="AA786" t="e">
        <f t="shared" ca="1" si="369"/>
        <v>#VALUE!</v>
      </c>
      <c r="AB786" t="e">
        <f t="shared" ca="1" si="370"/>
        <v>#VALUE!</v>
      </c>
      <c r="AC786" t="e">
        <f t="shared" ca="1" si="371"/>
        <v>#VALUE!</v>
      </c>
      <c r="AD786" t="e">
        <f t="shared" ca="1" si="372"/>
        <v>#VALUE!</v>
      </c>
      <c r="AE786" t="e">
        <f t="shared" ca="1" si="373"/>
        <v>#VALUE!</v>
      </c>
      <c r="AF786" t="e">
        <f t="shared" ca="1" si="374"/>
        <v>#VALUE!</v>
      </c>
      <c r="AG786" t="e">
        <f t="shared" ca="1" si="375"/>
        <v>#VALUE!</v>
      </c>
      <c r="AH786" t="e">
        <f ca="1">IF(V32="Supercritical",L786,IF(V32="Subcritical",W786,IF(AND(V786=1,AG786=1),IF(T786&gt;=AE786,L786,W786),IF(V786=1,L786,IF(AG786=1,W786,MAX($D$16,POWER((ABS(K786)^2)/($I$5*MAX(F786,0.1)^2),1/3)))))))</f>
        <v>#VALUE!</v>
      </c>
      <c r="AI786" t="e">
        <f t="shared" ca="1" si="376"/>
        <v>#VALUE!</v>
      </c>
      <c r="AJ786" t="e">
        <f t="shared" ca="1" si="377"/>
        <v>#VALUE!</v>
      </c>
      <c r="AM786">
        <v>0</v>
      </c>
      <c r="AN786">
        <v>0</v>
      </c>
      <c r="AO786">
        <f t="shared" si="378"/>
        <v>0</v>
      </c>
      <c r="AP786">
        <f t="shared" si="387"/>
        <v>0</v>
      </c>
      <c r="AQ786" t="e">
        <f t="shared" ca="1" si="379"/>
        <v>#VALUE!</v>
      </c>
      <c r="AR786" t="e">
        <f t="shared" ca="1" si="380"/>
        <v>#VALUE!</v>
      </c>
      <c r="AS786" t="e">
        <f t="shared" ca="1" si="381"/>
        <v>#VALUE!</v>
      </c>
    </row>
    <row r="787" spans="1:45" x14ac:dyDescent="0.35">
      <c r="A787">
        <v>638</v>
      </c>
      <c r="B787">
        <v>636.89599999999996</v>
      </c>
      <c r="C787">
        <v>616139.40099999995</v>
      </c>
      <c r="D787">
        <v>3097356.1189999999</v>
      </c>
      <c r="E787">
        <v>632.24350000000004</v>
      </c>
      <c r="F787">
        <v>5.2</v>
      </c>
      <c r="G787">
        <v>0</v>
      </c>
      <c r="H787" t="s">
        <v>191</v>
      </c>
      <c r="I787">
        <v>2.3E-2</v>
      </c>
      <c r="J787">
        <f t="shared" si="382"/>
        <v>1.0009999999999764</v>
      </c>
      <c r="K787">
        <f t="shared" si="383"/>
        <v>51</v>
      </c>
      <c r="L787" t="e">
        <f t="shared" ca="1" si="384"/>
        <v>#VALUE!</v>
      </c>
      <c r="M787" t="e">
        <f t="shared" ca="1" si="357"/>
        <v>#VALUE!</v>
      </c>
      <c r="N787" t="e">
        <f t="shared" ca="1" si="358"/>
        <v>#VALUE!</v>
      </c>
      <c r="O787" t="e">
        <f t="shared" ca="1" si="359"/>
        <v>#VALUE!</v>
      </c>
      <c r="P787" t="e">
        <f t="shared" ca="1" si="360"/>
        <v>#VALUE!</v>
      </c>
      <c r="Q787" t="e">
        <f t="shared" ca="1" si="361"/>
        <v>#VALUE!</v>
      </c>
      <c r="R787" t="e">
        <f t="shared" ca="1" si="362"/>
        <v>#VALUE!</v>
      </c>
      <c r="S787" t="e">
        <f t="shared" ca="1" si="363"/>
        <v>#VALUE!</v>
      </c>
      <c r="T787" t="e">
        <f t="shared" ca="1" si="364"/>
        <v>#VALUE!</v>
      </c>
      <c r="U787" t="e">
        <f t="shared" ca="1" si="385"/>
        <v>#VALUE!</v>
      </c>
      <c r="V787" t="e">
        <f t="shared" ca="1" si="386"/>
        <v>#VALUE!</v>
      </c>
      <c r="W787" t="e">
        <f t="shared" ca="1" si="365"/>
        <v>#VALUE!</v>
      </c>
      <c r="X787" t="e">
        <f t="shared" ca="1" si="366"/>
        <v>#VALUE!</v>
      </c>
      <c r="Y787" t="e">
        <f t="shared" ca="1" si="367"/>
        <v>#VALUE!</v>
      </c>
      <c r="Z787" t="e">
        <f t="shared" ca="1" si="368"/>
        <v>#VALUE!</v>
      </c>
      <c r="AA787" t="e">
        <f t="shared" ca="1" si="369"/>
        <v>#VALUE!</v>
      </c>
      <c r="AB787" t="e">
        <f t="shared" ca="1" si="370"/>
        <v>#VALUE!</v>
      </c>
      <c r="AC787" t="e">
        <f t="shared" ca="1" si="371"/>
        <v>#VALUE!</v>
      </c>
      <c r="AD787" t="e">
        <f t="shared" ca="1" si="372"/>
        <v>#VALUE!</v>
      </c>
      <c r="AE787" t="e">
        <f t="shared" ca="1" si="373"/>
        <v>#VALUE!</v>
      </c>
      <c r="AF787" t="e">
        <f t="shared" ca="1" si="374"/>
        <v>#VALUE!</v>
      </c>
      <c r="AG787" t="e">
        <f t="shared" ca="1" si="375"/>
        <v>#VALUE!</v>
      </c>
      <c r="AH787" t="e">
        <f ca="1">IF(V32="Supercritical",L787,IF(V32="Subcritical",W787,IF(AND(V787=1,AG787=1),IF(T787&gt;=AE787,L787,W787),IF(V787=1,L787,IF(AG787=1,W787,MAX($D$16,POWER((ABS(K787)^2)/($I$5*MAX(F787,0.1)^2),1/3)))))))</f>
        <v>#VALUE!</v>
      </c>
      <c r="AI787" t="e">
        <f t="shared" ca="1" si="376"/>
        <v>#VALUE!</v>
      </c>
      <c r="AJ787" t="e">
        <f t="shared" ca="1" si="377"/>
        <v>#VALUE!</v>
      </c>
      <c r="AM787">
        <v>0</v>
      </c>
      <c r="AN787">
        <v>0</v>
      </c>
      <c r="AO787">
        <f t="shared" si="378"/>
        <v>0</v>
      </c>
      <c r="AP787">
        <f t="shared" si="387"/>
        <v>0</v>
      </c>
      <c r="AQ787" t="e">
        <f t="shared" ca="1" si="379"/>
        <v>#VALUE!</v>
      </c>
      <c r="AR787" t="e">
        <f t="shared" ca="1" si="380"/>
        <v>#VALUE!</v>
      </c>
      <c r="AS787" t="e">
        <f t="shared" ca="1" si="381"/>
        <v>#VALUE!</v>
      </c>
    </row>
    <row r="788" spans="1:45" x14ac:dyDescent="0.35">
      <c r="A788">
        <v>639</v>
      </c>
      <c r="B788">
        <v>637.89499999999998</v>
      </c>
      <c r="C788">
        <v>616138.92700000003</v>
      </c>
      <c r="D788">
        <v>3097355.2390000001</v>
      </c>
      <c r="E788">
        <v>632.24300000000005</v>
      </c>
      <c r="F788">
        <v>5.2</v>
      </c>
      <c r="G788">
        <v>0</v>
      </c>
      <c r="H788" t="s">
        <v>191</v>
      </c>
      <c r="I788">
        <v>0</v>
      </c>
      <c r="J788">
        <f t="shared" si="382"/>
        <v>0.99900000000002365</v>
      </c>
      <c r="K788">
        <f t="shared" si="383"/>
        <v>51</v>
      </c>
      <c r="L788" t="e">
        <f t="shared" ca="1" si="384"/>
        <v>#VALUE!</v>
      </c>
      <c r="M788" t="e">
        <f t="shared" ca="1" si="357"/>
        <v>#VALUE!</v>
      </c>
      <c r="N788" t="e">
        <f t="shared" ca="1" si="358"/>
        <v>#VALUE!</v>
      </c>
      <c r="O788" t="e">
        <f t="shared" ca="1" si="359"/>
        <v>#VALUE!</v>
      </c>
      <c r="P788" t="e">
        <f t="shared" ca="1" si="360"/>
        <v>#VALUE!</v>
      </c>
      <c r="Q788" t="e">
        <f t="shared" ca="1" si="361"/>
        <v>#VALUE!</v>
      </c>
      <c r="R788" t="e">
        <f t="shared" ca="1" si="362"/>
        <v>#VALUE!</v>
      </c>
      <c r="S788" t="e">
        <f t="shared" ca="1" si="363"/>
        <v>#VALUE!</v>
      </c>
      <c r="T788" t="e">
        <f t="shared" ca="1" si="364"/>
        <v>#VALUE!</v>
      </c>
      <c r="U788" t="e">
        <f t="shared" ca="1" si="385"/>
        <v>#VALUE!</v>
      </c>
      <c r="V788" t="e">
        <f t="shared" ca="1" si="386"/>
        <v>#VALUE!</v>
      </c>
      <c r="W788" t="e">
        <f t="shared" ca="1" si="365"/>
        <v>#VALUE!</v>
      </c>
      <c r="X788" t="e">
        <f t="shared" ca="1" si="366"/>
        <v>#VALUE!</v>
      </c>
      <c r="Y788" t="e">
        <f t="shared" ca="1" si="367"/>
        <v>#VALUE!</v>
      </c>
      <c r="Z788" t="e">
        <f t="shared" ca="1" si="368"/>
        <v>#VALUE!</v>
      </c>
      <c r="AA788" t="e">
        <f t="shared" ca="1" si="369"/>
        <v>#VALUE!</v>
      </c>
      <c r="AB788" t="e">
        <f t="shared" ca="1" si="370"/>
        <v>#VALUE!</v>
      </c>
      <c r="AC788" t="e">
        <f t="shared" ca="1" si="371"/>
        <v>#VALUE!</v>
      </c>
      <c r="AD788" t="e">
        <f t="shared" ca="1" si="372"/>
        <v>#VALUE!</v>
      </c>
      <c r="AE788" t="e">
        <f t="shared" ca="1" si="373"/>
        <v>#VALUE!</v>
      </c>
      <c r="AF788" t="e">
        <f t="shared" ca="1" si="374"/>
        <v>#VALUE!</v>
      </c>
      <c r="AG788" t="e">
        <f t="shared" ca="1" si="375"/>
        <v>#VALUE!</v>
      </c>
      <c r="AH788" t="e">
        <f ca="1">IF(V32="Supercritical",L788,IF(V32="Subcritical",W788,IF(AND(V788=1,AG788=1),IF(T788&gt;=AE788,L788,W788),IF(V788=1,L788,IF(AG788=1,W788,MAX($D$16,POWER((ABS(K788)^2)/($I$5*MAX(F788,0.1)^2),1/3)))))))</f>
        <v>#VALUE!</v>
      </c>
      <c r="AI788" t="e">
        <f t="shared" ca="1" si="376"/>
        <v>#VALUE!</v>
      </c>
      <c r="AJ788" t="e">
        <f t="shared" ca="1" si="377"/>
        <v>#VALUE!</v>
      </c>
      <c r="AM788">
        <v>0</v>
      </c>
      <c r="AN788">
        <v>0</v>
      </c>
      <c r="AO788">
        <f t="shared" si="378"/>
        <v>0</v>
      </c>
      <c r="AP788">
        <f t="shared" si="387"/>
        <v>0</v>
      </c>
      <c r="AQ788" t="e">
        <f t="shared" ca="1" si="379"/>
        <v>#VALUE!</v>
      </c>
      <c r="AR788" t="e">
        <f t="shared" ca="1" si="380"/>
        <v>#VALUE!</v>
      </c>
      <c r="AS788" t="e">
        <f t="shared" ca="1" si="381"/>
        <v>#VALUE!</v>
      </c>
    </row>
    <row r="789" spans="1:45" x14ac:dyDescent="0.35">
      <c r="A789">
        <v>640</v>
      </c>
      <c r="B789">
        <v>638.89499999999998</v>
      </c>
      <c r="C789">
        <v>616138.45299999998</v>
      </c>
      <c r="D789">
        <v>3097354.3590000002</v>
      </c>
      <c r="E789">
        <v>632.24249999999995</v>
      </c>
      <c r="F789">
        <v>5.2</v>
      </c>
      <c r="G789">
        <v>0</v>
      </c>
      <c r="H789" t="s">
        <v>191</v>
      </c>
      <c r="I789">
        <v>2.7E-2</v>
      </c>
      <c r="J789">
        <f t="shared" si="382"/>
        <v>1</v>
      </c>
      <c r="K789">
        <f t="shared" si="383"/>
        <v>51</v>
      </c>
      <c r="L789" t="e">
        <f t="shared" ca="1" si="384"/>
        <v>#VALUE!</v>
      </c>
      <c r="M789" t="e">
        <f t="shared" ca="1" si="357"/>
        <v>#VALUE!</v>
      </c>
      <c r="N789" t="e">
        <f t="shared" ca="1" si="358"/>
        <v>#VALUE!</v>
      </c>
      <c r="O789" t="e">
        <f t="shared" ca="1" si="359"/>
        <v>#VALUE!</v>
      </c>
      <c r="P789" t="e">
        <f t="shared" ca="1" si="360"/>
        <v>#VALUE!</v>
      </c>
      <c r="Q789" t="e">
        <f t="shared" ca="1" si="361"/>
        <v>#VALUE!</v>
      </c>
      <c r="R789" t="e">
        <f t="shared" ca="1" si="362"/>
        <v>#VALUE!</v>
      </c>
      <c r="S789" t="e">
        <f t="shared" ca="1" si="363"/>
        <v>#VALUE!</v>
      </c>
      <c r="T789" t="e">
        <f t="shared" ca="1" si="364"/>
        <v>#VALUE!</v>
      </c>
      <c r="U789" t="e">
        <f t="shared" ca="1" si="385"/>
        <v>#VALUE!</v>
      </c>
      <c r="V789" t="e">
        <f t="shared" ca="1" si="386"/>
        <v>#VALUE!</v>
      </c>
      <c r="W789" t="e">
        <f t="shared" ca="1" si="365"/>
        <v>#VALUE!</v>
      </c>
      <c r="X789" t="e">
        <f t="shared" ca="1" si="366"/>
        <v>#VALUE!</v>
      </c>
      <c r="Y789" t="e">
        <f t="shared" ca="1" si="367"/>
        <v>#VALUE!</v>
      </c>
      <c r="Z789" t="e">
        <f t="shared" ca="1" si="368"/>
        <v>#VALUE!</v>
      </c>
      <c r="AA789" t="e">
        <f t="shared" ca="1" si="369"/>
        <v>#VALUE!</v>
      </c>
      <c r="AB789" t="e">
        <f t="shared" ca="1" si="370"/>
        <v>#VALUE!</v>
      </c>
      <c r="AC789" t="e">
        <f t="shared" ca="1" si="371"/>
        <v>#VALUE!</v>
      </c>
      <c r="AD789" t="e">
        <f t="shared" ca="1" si="372"/>
        <v>#VALUE!</v>
      </c>
      <c r="AE789" t="e">
        <f t="shared" ca="1" si="373"/>
        <v>#VALUE!</v>
      </c>
      <c r="AF789" t="e">
        <f t="shared" ca="1" si="374"/>
        <v>#VALUE!</v>
      </c>
      <c r="AG789" t="e">
        <f t="shared" ca="1" si="375"/>
        <v>#VALUE!</v>
      </c>
      <c r="AH789" t="e">
        <f ca="1">IF(V32="Supercritical",L789,IF(V32="Subcritical",W789,IF(AND(V789=1,AG789=1),IF(T789&gt;=AE789,L789,W789),IF(V789=1,L789,IF(AG789=1,W789,MAX($D$16,POWER((ABS(K789)^2)/($I$5*MAX(F789,0.1)^2),1/3)))))))</f>
        <v>#VALUE!</v>
      </c>
      <c r="AI789" t="e">
        <f t="shared" ca="1" si="376"/>
        <v>#VALUE!</v>
      </c>
      <c r="AJ789" t="e">
        <f t="shared" ca="1" si="377"/>
        <v>#VALUE!</v>
      </c>
      <c r="AM789">
        <v>0</v>
      </c>
      <c r="AN789">
        <v>0</v>
      </c>
      <c r="AO789">
        <f t="shared" si="378"/>
        <v>0</v>
      </c>
      <c r="AP789">
        <f t="shared" si="387"/>
        <v>0</v>
      </c>
      <c r="AQ789" t="e">
        <f t="shared" ca="1" si="379"/>
        <v>#VALUE!</v>
      </c>
      <c r="AR789" t="e">
        <f t="shared" ca="1" si="380"/>
        <v>#VALUE!</v>
      </c>
      <c r="AS789" t="e">
        <f t="shared" ca="1" si="381"/>
        <v>#VALUE!</v>
      </c>
    </row>
    <row r="790" spans="1:45" x14ac:dyDescent="0.35">
      <c r="A790">
        <v>641</v>
      </c>
      <c r="B790">
        <v>639.89499999999998</v>
      </c>
      <c r="C790">
        <v>616137.97900000005</v>
      </c>
      <c r="D790">
        <v>3097353.4780000001</v>
      </c>
      <c r="E790">
        <v>632.24199999999996</v>
      </c>
      <c r="F790">
        <v>5.2</v>
      </c>
      <c r="G790">
        <v>0</v>
      </c>
      <c r="H790" t="s">
        <v>191</v>
      </c>
      <c r="I790">
        <v>2.7E-2</v>
      </c>
      <c r="J790">
        <f t="shared" si="382"/>
        <v>1</v>
      </c>
      <c r="K790">
        <f t="shared" si="383"/>
        <v>51</v>
      </c>
      <c r="L790" t="e">
        <f t="shared" ca="1" si="384"/>
        <v>#VALUE!</v>
      </c>
      <c r="M790" t="e">
        <f t="shared" ref="M790:M853" ca="1" si="388">((F790)+(G790)*(L790))*(L790)</f>
        <v>#VALUE!</v>
      </c>
      <c r="N790" t="e">
        <f t="shared" ref="N790:N853" ca="1" si="389">(((F790)+(G790)*(L790))*(L790))/MAX((F790)+2*(L790)*SQRT(1+(G790)^2),0.000001)</f>
        <v>#VALUE!</v>
      </c>
      <c r="O790" t="e">
        <f t="shared" ref="O790:O853" ca="1" si="390">ABS(K790)/MAX(((F790)+(G790)*(L790))*(L790),0.000001)</f>
        <v>#VALUE!</v>
      </c>
      <c r="P790" t="e">
        <f t="shared" ref="P790:P853" ca="1" si="391">E790+L790</f>
        <v>#VALUE!</v>
      </c>
      <c r="Q790" t="e">
        <f t="shared" ref="Q790:Q853" ca="1" si="392">P790+((ABS(K790)/MAX(((F790)+(G790)*(L790))*(L790),0.000001))^2)/(2*$I$5)</f>
        <v>#VALUE!</v>
      </c>
      <c r="R790" t="e">
        <f t="shared" ref="R790:R853" ca="1" si="393">((ABS(K790)*$D$6)/(MAX(((F790)+(G790)*(L790))*(L790),0.000001)*MAX(((((F790)+(G790)*(L790))*(L790))/MAX((F790)+2*(L790)*SQRT(1+(G790)^2),0.000001))^(2/3),0.000001)))^2</f>
        <v>#VALUE!</v>
      </c>
      <c r="S790" t="e">
        <f t="shared" ref="S790:S853" ca="1" si="394">ABS(ABS(K790)/MAX(((F790)+(G790)*(L790))*(L790),0.000001))/SQRT($I$5*MAX((((F790)+(G790)*(L790))*(L790))/MAX((F790)+2*(G790)*(L790),0.000001),0.000001))</f>
        <v>#VALUE!</v>
      </c>
      <c r="T790" t="e">
        <f t="shared" ref="T790:T853" ca="1" si="395">((F790)*(L790)^2)/2+(G790)*(L790)^3/3+(ABS(K790)^2)/($I$5*MAX(((F790)+(G790)*(L790))*(L790),0.000001))</f>
        <v>#VALUE!</v>
      </c>
      <c r="U790" t="e">
        <f t="shared" ca="1" si="385"/>
        <v>#VALUE!</v>
      </c>
      <c r="V790" t="e">
        <f t="shared" ca="1" si="386"/>
        <v>#VALUE!</v>
      </c>
      <c r="W790" t="e">
        <f t="shared" ref="W790:W853" ca="1" si="396">IF($D$20=0,W791,IF(AG791=0,W791,IF(W790=0,W791,IF(ABS(AF790)&gt;$D$19,MAX($D$16,W790+((AF790)*$D$18*IF((AD790)&lt;1,1,-1))),W790))))</f>
        <v>#VALUE!</v>
      </c>
      <c r="X790" t="e">
        <f t="shared" ref="X790:X853" ca="1" si="397">((F790)+(G790)*(W790))*(W790)</f>
        <v>#VALUE!</v>
      </c>
      <c r="Y790" t="e">
        <f t="shared" ref="Y790:Y853" ca="1" si="398">(((F790)+(G790)*(W790))*(W790))/MAX((F790)+2*(W790)*SQRT(1+(G790)^2),0.000001)</f>
        <v>#VALUE!</v>
      </c>
      <c r="Z790" t="e">
        <f t="shared" ref="Z790:Z853" ca="1" si="399">ABS(K790)/MAX(((F790)+(G790)*(W790))*(W790),0.000001)</f>
        <v>#VALUE!</v>
      </c>
      <c r="AA790" t="e">
        <f t="shared" ref="AA790:AA853" ca="1" si="400">E790+W790</f>
        <v>#VALUE!</v>
      </c>
      <c r="AB790" t="e">
        <f t="shared" ref="AB790:AB853" ca="1" si="401">AA790+((ABS(K790)/MAX(((F790)+(G790)*(W790))*(W790),0.000001))^2)/(2*$I$5)</f>
        <v>#VALUE!</v>
      </c>
      <c r="AC790" t="e">
        <f t="shared" ref="AC790:AC853" ca="1" si="402">((ABS(K790)*$D$6)/(MAX(((F790)+(G790)*(W790))*(W790),0.000001)*MAX(((((F790)+(G790)*(W790))*(W790))/MAX((F790)+2*(W790)*SQRT(1+(G790)^2),0.000001))^(2/3),0.000001)))^2</f>
        <v>#VALUE!</v>
      </c>
      <c r="AD790" t="e">
        <f t="shared" ref="AD790:AD853" ca="1" si="403">ABS(ABS(K790)/MAX(((F790)+(G790)*(W790))*(W790),0.000001))/SQRT($I$5*MAX((((F790)+(G790)*(W790))*(W790))/MAX((F790)+2*(G790)*(W790),0.000001),0.000001))</f>
        <v>#VALUE!</v>
      </c>
      <c r="AE790" t="e">
        <f t="shared" ref="AE790:AE853" ca="1" si="404">((F790)*(W790)^2)/2+(G790)*(W790)^3/3+(ABS(K790)^2)/($I$5*MAX(((F790)+(G790)*(W790))*(W790),0.000001))</f>
        <v>#VALUE!</v>
      </c>
      <c r="AF790" t="e">
        <f t="shared" ref="AF790:AF853" ca="1" si="405">AB791+(((AC790+AC791)/2)*J791)+(IF(Z790&gt;Z791,$D$8*((Z790^2-Z791^2)/(2*$I$5)),$D$9*((Z791^2-Z790^2)/(2*$I$5)))+($D$10*(ABS(I791)/90)*(MAX(Z790^2,Z791^2)/(2*$I$5))))-AB790</f>
        <v>#VALUE!</v>
      </c>
      <c r="AG790" t="e">
        <f t="shared" ref="AG790:AG853" ca="1" si="406">IF(ABS(AF790)&lt;$D$19,1,0)</f>
        <v>#VALUE!</v>
      </c>
      <c r="AH790" t="e">
        <f ca="1">IF(V32="Supercritical",L790,IF(V32="Subcritical",W790,IF(AND(V790=1,AG790=1),IF(T790&gt;=AE790,L790,W790),IF(V790=1,L790,IF(AG790=1,W790,MAX($D$16,POWER((ABS(K790)^2)/($I$5*MAX(F790,0.1)^2),1/3)))))))</f>
        <v>#VALUE!</v>
      </c>
      <c r="AI790" t="e">
        <f t="shared" ref="AI790:AI853" ca="1" si="407">E790+AH790</f>
        <v>#VALUE!</v>
      </c>
      <c r="AJ790" t="e">
        <f t="shared" ref="AJ790:AJ853" ca="1" si="408">AI790+((ABS(K790)/MAX(((F790)+(G790)*(AH790))*(AH790),0.000001))^2)/(2*$I$5)</f>
        <v>#VALUE!</v>
      </c>
      <c r="AM790">
        <v>0</v>
      </c>
      <c r="AN790">
        <v>0</v>
      </c>
      <c r="AO790">
        <f t="shared" ref="AO790:AO853" si="409">AM790+AN790</f>
        <v>0</v>
      </c>
      <c r="AP790">
        <f t="shared" si="387"/>
        <v>0</v>
      </c>
      <c r="AQ790" t="e">
        <f t="shared" ref="AQ790:AQ853" ca="1" si="410">ABS(ABS(K790)/MAX(((F790)+(G790)*(AH790))*(AH790),0.000001))/SQRT($I$5*MAX((((F790)+(G790)*(AH790))*(AH790))/MAX((F790)+2*(G790)*(AH790),0.000001),0.000001))</f>
        <v>#VALUE!</v>
      </c>
      <c r="AR790" t="e">
        <f t="shared" ref="AR790:AR853" ca="1" si="411">IF(AQ790&lt;1,"Subcritical","Supercritical")</f>
        <v>#VALUE!</v>
      </c>
      <c r="AS790" t="e">
        <f t="shared" ref="AS790:AS853" ca="1" si="412">((ABS(K790)*$D$6)/(MAX(((F790)+(G790)*(AH790))*(AH790),0.000001)*MAX(((((F790)+(G790)*(AH790))*(AH790))/MAX((F790)+2*(AH790)*SQRT(1+(G790)^2),0.000001))^(2/3),0.000001)))^2</f>
        <v>#VALUE!</v>
      </c>
    </row>
    <row r="791" spans="1:45" x14ac:dyDescent="0.35">
      <c r="A791">
        <v>642</v>
      </c>
      <c r="B791">
        <v>640.89499999999998</v>
      </c>
      <c r="C791">
        <v>616137.505</v>
      </c>
      <c r="D791">
        <v>3097352.5980000002</v>
      </c>
      <c r="E791">
        <v>632.24149999999997</v>
      </c>
      <c r="F791">
        <v>5.2</v>
      </c>
      <c r="G791">
        <v>0</v>
      </c>
      <c r="H791" t="s">
        <v>191</v>
      </c>
      <c r="I791">
        <v>2.3E-2</v>
      </c>
      <c r="J791">
        <f t="shared" ref="J791:J854" si="413">B791-B790</f>
        <v>1</v>
      </c>
      <c r="K791">
        <f t="shared" ref="K791:K854" si="414">MAX(0,K790-AO790)</f>
        <v>51</v>
      </c>
      <c r="L791" t="e">
        <f t="shared" ref="L791:L854" ca="1" si="415">IF($D$20=0,L790,IF(V790=0,L790,IF(L791=0,L790,IF(ABS(U791)&gt;$D$19,MAX($D$16,L791+((U791)*$D$18*IF((S791)&lt;1,1,-1))),L791))))</f>
        <v>#VALUE!</v>
      </c>
      <c r="M791" t="e">
        <f t="shared" ca="1" si="388"/>
        <v>#VALUE!</v>
      </c>
      <c r="N791" t="e">
        <f t="shared" ca="1" si="389"/>
        <v>#VALUE!</v>
      </c>
      <c r="O791" t="e">
        <f t="shared" ca="1" si="390"/>
        <v>#VALUE!</v>
      </c>
      <c r="P791" t="e">
        <f t="shared" ca="1" si="391"/>
        <v>#VALUE!</v>
      </c>
      <c r="Q791" t="e">
        <f t="shared" ca="1" si="392"/>
        <v>#VALUE!</v>
      </c>
      <c r="R791" t="e">
        <f t="shared" ca="1" si="393"/>
        <v>#VALUE!</v>
      </c>
      <c r="S791" t="e">
        <f t="shared" ca="1" si="394"/>
        <v>#VALUE!</v>
      </c>
      <c r="T791" t="e">
        <f t="shared" ca="1" si="395"/>
        <v>#VALUE!</v>
      </c>
      <c r="U791" t="e">
        <f t="shared" ref="U791:U854" ca="1" si="416">Q790-(((R790+R791)/2)*J791)-(IF(O790&gt;O791,$D$8*((O790^2-O791^2)/(2*$I$5)),$D$9*((O791^2-O790^2)/(2*$I$5)))+($D$10*(ABS(I791)/90)*(MAX(O790^2,O791^2)/(2*$I$5))))-Q791</f>
        <v>#VALUE!</v>
      </c>
      <c r="V791" t="e">
        <f t="shared" ref="V791:V854" ca="1" si="417">IF(ABS(U791)&lt;$D$19,1,0)</f>
        <v>#VALUE!</v>
      </c>
      <c r="W791" t="e">
        <f t="shared" ca="1" si="396"/>
        <v>#VALUE!</v>
      </c>
      <c r="X791" t="e">
        <f t="shared" ca="1" si="397"/>
        <v>#VALUE!</v>
      </c>
      <c r="Y791" t="e">
        <f t="shared" ca="1" si="398"/>
        <v>#VALUE!</v>
      </c>
      <c r="Z791" t="e">
        <f t="shared" ca="1" si="399"/>
        <v>#VALUE!</v>
      </c>
      <c r="AA791" t="e">
        <f t="shared" ca="1" si="400"/>
        <v>#VALUE!</v>
      </c>
      <c r="AB791" t="e">
        <f t="shared" ca="1" si="401"/>
        <v>#VALUE!</v>
      </c>
      <c r="AC791" t="e">
        <f t="shared" ca="1" si="402"/>
        <v>#VALUE!</v>
      </c>
      <c r="AD791" t="e">
        <f t="shared" ca="1" si="403"/>
        <v>#VALUE!</v>
      </c>
      <c r="AE791" t="e">
        <f t="shared" ca="1" si="404"/>
        <v>#VALUE!</v>
      </c>
      <c r="AF791" t="e">
        <f t="shared" ca="1" si="405"/>
        <v>#VALUE!</v>
      </c>
      <c r="AG791" t="e">
        <f t="shared" ca="1" si="406"/>
        <v>#VALUE!</v>
      </c>
      <c r="AH791" t="e">
        <f ca="1">IF(V32="Supercritical",L791,IF(V32="Subcritical",W791,IF(AND(V791=1,AG791=1),IF(T791&gt;=AE791,L791,W791),IF(V791=1,L791,IF(AG791=1,W791,MAX($D$16,POWER((ABS(K791)^2)/($I$5*MAX(F791,0.1)^2),1/3)))))))</f>
        <v>#VALUE!</v>
      </c>
      <c r="AI791" t="e">
        <f t="shared" ca="1" si="407"/>
        <v>#VALUE!</v>
      </c>
      <c r="AJ791" t="e">
        <f t="shared" ca="1" si="408"/>
        <v>#VALUE!</v>
      </c>
      <c r="AM791">
        <v>0</v>
      </c>
      <c r="AN791">
        <v>0</v>
      </c>
      <c r="AO791">
        <f t="shared" si="409"/>
        <v>0</v>
      </c>
      <c r="AP791">
        <f t="shared" ref="AP791:AP854" si="418">AP790+AO791</f>
        <v>0</v>
      </c>
      <c r="AQ791" t="e">
        <f t="shared" ca="1" si="410"/>
        <v>#VALUE!</v>
      </c>
      <c r="AR791" t="e">
        <f t="shared" ca="1" si="411"/>
        <v>#VALUE!</v>
      </c>
      <c r="AS791" t="e">
        <f t="shared" ca="1" si="412"/>
        <v>#VALUE!</v>
      </c>
    </row>
    <row r="792" spans="1:45" x14ac:dyDescent="0.35">
      <c r="A792">
        <v>643</v>
      </c>
      <c r="B792">
        <v>641.89599999999996</v>
      </c>
      <c r="C792">
        <v>616137.03</v>
      </c>
      <c r="D792">
        <v>3097351.7170000002</v>
      </c>
      <c r="E792">
        <v>632.24099999999999</v>
      </c>
      <c r="F792">
        <v>5.2</v>
      </c>
      <c r="G792">
        <v>0</v>
      </c>
      <c r="H792" t="s">
        <v>191</v>
      </c>
      <c r="I792">
        <v>2.3E-2</v>
      </c>
      <c r="J792">
        <f t="shared" si="413"/>
        <v>1.0009999999999764</v>
      </c>
      <c r="K792">
        <f t="shared" si="414"/>
        <v>51</v>
      </c>
      <c r="L792" t="e">
        <f t="shared" ca="1" si="415"/>
        <v>#VALUE!</v>
      </c>
      <c r="M792" t="e">
        <f t="shared" ca="1" si="388"/>
        <v>#VALUE!</v>
      </c>
      <c r="N792" t="e">
        <f t="shared" ca="1" si="389"/>
        <v>#VALUE!</v>
      </c>
      <c r="O792" t="e">
        <f t="shared" ca="1" si="390"/>
        <v>#VALUE!</v>
      </c>
      <c r="P792" t="e">
        <f t="shared" ca="1" si="391"/>
        <v>#VALUE!</v>
      </c>
      <c r="Q792" t="e">
        <f t="shared" ca="1" si="392"/>
        <v>#VALUE!</v>
      </c>
      <c r="R792" t="e">
        <f t="shared" ca="1" si="393"/>
        <v>#VALUE!</v>
      </c>
      <c r="S792" t="e">
        <f t="shared" ca="1" si="394"/>
        <v>#VALUE!</v>
      </c>
      <c r="T792" t="e">
        <f t="shared" ca="1" si="395"/>
        <v>#VALUE!</v>
      </c>
      <c r="U792" t="e">
        <f t="shared" ca="1" si="416"/>
        <v>#VALUE!</v>
      </c>
      <c r="V792" t="e">
        <f t="shared" ca="1" si="417"/>
        <v>#VALUE!</v>
      </c>
      <c r="W792" t="e">
        <f t="shared" ca="1" si="396"/>
        <v>#VALUE!</v>
      </c>
      <c r="X792" t="e">
        <f t="shared" ca="1" si="397"/>
        <v>#VALUE!</v>
      </c>
      <c r="Y792" t="e">
        <f t="shared" ca="1" si="398"/>
        <v>#VALUE!</v>
      </c>
      <c r="Z792" t="e">
        <f t="shared" ca="1" si="399"/>
        <v>#VALUE!</v>
      </c>
      <c r="AA792" t="e">
        <f t="shared" ca="1" si="400"/>
        <v>#VALUE!</v>
      </c>
      <c r="AB792" t="e">
        <f t="shared" ca="1" si="401"/>
        <v>#VALUE!</v>
      </c>
      <c r="AC792" t="e">
        <f t="shared" ca="1" si="402"/>
        <v>#VALUE!</v>
      </c>
      <c r="AD792" t="e">
        <f t="shared" ca="1" si="403"/>
        <v>#VALUE!</v>
      </c>
      <c r="AE792" t="e">
        <f t="shared" ca="1" si="404"/>
        <v>#VALUE!</v>
      </c>
      <c r="AF792" t="e">
        <f t="shared" ca="1" si="405"/>
        <v>#VALUE!</v>
      </c>
      <c r="AG792" t="e">
        <f t="shared" ca="1" si="406"/>
        <v>#VALUE!</v>
      </c>
      <c r="AH792" t="e">
        <f ca="1">IF(V32="Supercritical",L792,IF(V32="Subcritical",W792,IF(AND(V792=1,AG792=1),IF(T792&gt;=AE792,L792,W792),IF(V792=1,L792,IF(AG792=1,W792,MAX($D$16,POWER((ABS(K792)^2)/($I$5*MAX(F792,0.1)^2),1/3)))))))</f>
        <v>#VALUE!</v>
      </c>
      <c r="AI792" t="e">
        <f t="shared" ca="1" si="407"/>
        <v>#VALUE!</v>
      </c>
      <c r="AJ792" t="e">
        <f t="shared" ca="1" si="408"/>
        <v>#VALUE!</v>
      </c>
      <c r="AM792">
        <v>0</v>
      </c>
      <c r="AN792">
        <v>0</v>
      </c>
      <c r="AO792">
        <f t="shared" si="409"/>
        <v>0</v>
      </c>
      <c r="AP792">
        <f t="shared" si="418"/>
        <v>0</v>
      </c>
      <c r="AQ792" t="e">
        <f t="shared" ca="1" si="410"/>
        <v>#VALUE!</v>
      </c>
      <c r="AR792" t="e">
        <f t="shared" ca="1" si="411"/>
        <v>#VALUE!</v>
      </c>
      <c r="AS792" t="e">
        <f t="shared" ca="1" si="412"/>
        <v>#VALUE!</v>
      </c>
    </row>
    <row r="793" spans="1:45" x14ac:dyDescent="0.35">
      <c r="A793">
        <v>644</v>
      </c>
      <c r="B793">
        <v>642.89499999999998</v>
      </c>
      <c r="C793">
        <v>616136.55599999998</v>
      </c>
      <c r="D793">
        <v>3097350.8369999998</v>
      </c>
      <c r="E793">
        <v>632.2405</v>
      </c>
      <c r="F793">
        <v>5.2</v>
      </c>
      <c r="G793">
        <v>0</v>
      </c>
      <c r="H793" t="s">
        <v>191</v>
      </c>
      <c r="I793">
        <v>0</v>
      </c>
      <c r="J793">
        <f t="shared" si="413"/>
        <v>0.99900000000002365</v>
      </c>
      <c r="K793">
        <f t="shared" si="414"/>
        <v>51</v>
      </c>
      <c r="L793" t="e">
        <f t="shared" ca="1" si="415"/>
        <v>#VALUE!</v>
      </c>
      <c r="M793" t="e">
        <f t="shared" ca="1" si="388"/>
        <v>#VALUE!</v>
      </c>
      <c r="N793" t="e">
        <f t="shared" ca="1" si="389"/>
        <v>#VALUE!</v>
      </c>
      <c r="O793" t="e">
        <f t="shared" ca="1" si="390"/>
        <v>#VALUE!</v>
      </c>
      <c r="P793" t="e">
        <f t="shared" ca="1" si="391"/>
        <v>#VALUE!</v>
      </c>
      <c r="Q793" t="e">
        <f t="shared" ca="1" si="392"/>
        <v>#VALUE!</v>
      </c>
      <c r="R793" t="e">
        <f t="shared" ca="1" si="393"/>
        <v>#VALUE!</v>
      </c>
      <c r="S793" t="e">
        <f t="shared" ca="1" si="394"/>
        <v>#VALUE!</v>
      </c>
      <c r="T793" t="e">
        <f t="shared" ca="1" si="395"/>
        <v>#VALUE!</v>
      </c>
      <c r="U793" t="e">
        <f t="shared" ca="1" si="416"/>
        <v>#VALUE!</v>
      </c>
      <c r="V793" t="e">
        <f t="shared" ca="1" si="417"/>
        <v>#VALUE!</v>
      </c>
      <c r="W793" t="e">
        <f t="shared" ca="1" si="396"/>
        <v>#VALUE!</v>
      </c>
      <c r="X793" t="e">
        <f t="shared" ca="1" si="397"/>
        <v>#VALUE!</v>
      </c>
      <c r="Y793" t="e">
        <f t="shared" ca="1" si="398"/>
        <v>#VALUE!</v>
      </c>
      <c r="Z793" t="e">
        <f t="shared" ca="1" si="399"/>
        <v>#VALUE!</v>
      </c>
      <c r="AA793" t="e">
        <f t="shared" ca="1" si="400"/>
        <v>#VALUE!</v>
      </c>
      <c r="AB793" t="e">
        <f t="shared" ca="1" si="401"/>
        <v>#VALUE!</v>
      </c>
      <c r="AC793" t="e">
        <f t="shared" ca="1" si="402"/>
        <v>#VALUE!</v>
      </c>
      <c r="AD793" t="e">
        <f t="shared" ca="1" si="403"/>
        <v>#VALUE!</v>
      </c>
      <c r="AE793" t="e">
        <f t="shared" ca="1" si="404"/>
        <v>#VALUE!</v>
      </c>
      <c r="AF793" t="e">
        <f t="shared" ca="1" si="405"/>
        <v>#VALUE!</v>
      </c>
      <c r="AG793" t="e">
        <f t="shared" ca="1" si="406"/>
        <v>#VALUE!</v>
      </c>
      <c r="AH793" t="e">
        <f ca="1">IF(V32="Supercritical",L793,IF(V32="Subcritical",W793,IF(AND(V793=1,AG793=1),IF(T793&gt;=AE793,L793,W793),IF(V793=1,L793,IF(AG793=1,W793,MAX($D$16,POWER((ABS(K793)^2)/($I$5*MAX(F793,0.1)^2),1/3)))))))</f>
        <v>#VALUE!</v>
      </c>
      <c r="AI793" t="e">
        <f t="shared" ca="1" si="407"/>
        <v>#VALUE!</v>
      </c>
      <c r="AJ793" t="e">
        <f t="shared" ca="1" si="408"/>
        <v>#VALUE!</v>
      </c>
      <c r="AM793">
        <v>0</v>
      </c>
      <c r="AN793">
        <v>0</v>
      </c>
      <c r="AO793">
        <f t="shared" si="409"/>
        <v>0</v>
      </c>
      <c r="AP793">
        <f t="shared" si="418"/>
        <v>0</v>
      </c>
      <c r="AQ793" t="e">
        <f t="shared" ca="1" si="410"/>
        <v>#VALUE!</v>
      </c>
      <c r="AR793" t="e">
        <f t="shared" ca="1" si="411"/>
        <v>#VALUE!</v>
      </c>
      <c r="AS793" t="e">
        <f t="shared" ca="1" si="412"/>
        <v>#VALUE!</v>
      </c>
    </row>
    <row r="794" spans="1:45" x14ac:dyDescent="0.35">
      <c r="A794">
        <v>645</v>
      </c>
      <c r="B794">
        <v>643.89499999999998</v>
      </c>
      <c r="C794">
        <v>616136.08200000005</v>
      </c>
      <c r="D794">
        <v>3097349.9569999999</v>
      </c>
      <c r="E794">
        <v>632.24</v>
      </c>
      <c r="F794">
        <v>5.2</v>
      </c>
      <c r="G794">
        <v>0</v>
      </c>
      <c r="H794" t="s">
        <v>191</v>
      </c>
      <c r="I794">
        <v>2.7E-2</v>
      </c>
      <c r="J794">
        <f t="shared" si="413"/>
        <v>1</v>
      </c>
      <c r="K794">
        <f t="shared" si="414"/>
        <v>51</v>
      </c>
      <c r="L794" t="e">
        <f t="shared" ca="1" si="415"/>
        <v>#VALUE!</v>
      </c>
      <c r="M794" t="e">
        <f t="shared" ca="1" si="388"/>
        <v>#VALUE!</v>
      </c>
      <c r="N794" t="e">
        <f t="shared" ca="1" si="389"/>
        <v>#VALUE!</v>
      </c>
      <c r="O794" t="e">
        <f t="shared" ca="1" si="390"/>
        <v>#VALUE!</v>
      </c>
      <c r="P794" t="e">
        <f t="shared" ca="1" si="391"/>
        <v>#VALUE!</v>
      </c>
      <c r="Q794" t="e">
        <f t="shared" ca="1" si="392"/>
        <v>#VALUE!</v>
      </c>
      <c r="R794" t="e">
        <f t="shared" ca="1" si="393"/>
        <v>#VALUE!</v>
      </c>
      <c r="S794" t="e">
        <f t="shared" ca="1" si="394"/>
        <v>#VALUE!</v>
      </c>
      <c r="T794" t="e">
        <f t="shared" ca="1" si="395"/>
        <v>#VALUE!</v>
      </c>
      <c r="U794" t="e">
        <f t="shared" ca="1" si="416"/>
        <v>#VALUE!</v>
      </c>
      <c r="V794" t="e">
        <f t="shared" ca="1" si="417"/>
        <v>#VALUE!</v>
      </c>
      <c r="W794" t="e">
        <f t="shared" ca="1" si="396"/>
        <v>#VALUE!</v>
      </c>
      <c r="X794" t="e">
        <f t="shared" ca="1" si="397"/>
        <v>#VALUE!</v>
      </c>
      <c r="Y794" t="e">
        <f t="shared" ca="1" si="398"/>
        <v>#VALUE!</v>
      </c>
      <c r="Z794" t="e">
        <f t="shared" ca="1" si="399"/>
        <v>#VALUE!</v>
      </c>
      <c r="AA794" t="e">
        <f t="shared" ca="1" si="400"/>
        <v>#VALUE!</v>
      </c>
      <c r="AB794" t="e">
        <f t="shared" ca="1" si="401"/>
        <v>#VALUE!</v>
      </c>
      <c r="AC794" t="e">
        <f t="shared" ca="1" si="402"/>
        <v>#VALUE!</v>
      </c>
      <c r="AD794" t="e">
        <f t="shared" ca="1" si="403"/>
        <v>#VALUE!</v>
      </c>
      <c r="AE794" t="e">
        <f t="shared" ca="1" si="404"/>
        <v>#VALUE!</v>
      </c>
      <c r="AF794" t="e">
        <f t="shared" ca="1" si="405"/>
        <v>#VALUE!</v>
      </c>
      <c r="AG794" t="e">
        <f t="shared" ca="1" si="406"/>
        <v>#VALUE!</v>
      </c>
      <c r="AH794" t="e">
        <f ca="1">IF(V32="Supercritical",L794,IF(V32="Subcritical",W794,IF(AND(V794=1,AG794=1),IF(T794&gt;=AE794,L794,W794),IF(V794=1,L794,IF(AG794=1,W794,MAX($D$16,POWER((ABS(K794)^2)/($I$5*MAX(F794,0.1)^2),1/3)))))))</f>
        <v>#VALUE!</v>
      </c>
      <c r="AI794" t="e">
        <f t="shared" ca="1" si="407"/>
        <v>#VALUE!</v>
      </c>
      <c r="AJ794" t="e">
        <f t="shared" ca="1" si="408"/>
        <v>#VALUE!</v>
      </c>
      <c r="AM794">
        <v>0</v>
      </c>
      <c r="AN794">
        <v>0</v>
      </c>
      <c r="AO794">
        <f t="shared" si="409"/>
        <v>0</v>
      </c>
      <c r="AP794">
        <f t="shared" si="418"/>
        <v>0</v>
      </c>
      <c r="AQ794" t="e">
        <f t="shared" ca="1" si="410"/>
        <v>#VALUE!</v>
      </c>
      <c r="AR794" t="e">
        <f t="shared" ca="1" si="411"/>
        <v>#VALUE!</v>
      </c>
      <c r="AS794" t="e">
        <f t="shared" ca="1" si="412"/>
        <v>#VALUE!</v>
      </c>
    </row>
    <row r="795" spans="1:45" x14ac:dyDescent="0.35">
      <c r="A795">
        <v>646</v>
      </c>
      <c r="B795">
        <v>644.89499999999998</v>
      </c>
      <c r="C795">
        <v>616135.60800000001</v>
      </c>
      <c r="D795">
        <v>3097349.0759999999</v>
      </c>
      <c r="E795">
        <v>632.23950000000002</v>
      </c>
      <c r="F795">
        <v>5.2</v>
      </c>
      <c r="G795">
        <v>0</v>
      </c>
      <c r="H795" t="s">
        <v>191</v>
      </c>
      <c r="I795">
        <v>7.8E-2</v>
      </c>
      <c r="J795">
        <f t="shared" si="413"/>
        <v>1</v>
      </c>
      <c r="K795">
        <f t="shared" si="414"/>
        <v>51</v>
      </c>
      <c r="L795" t="e">
        <f t="shared" ca="1" si="415"/>
        <v>#VALUE!</v>
      </c>
      <c r="M795" t="e">
        <f t="shared" ca="1" si="388"/>
        <v>#VALUE!</v>
      </c>
      <c r="N795" t="e">
        <f t="shared" ca="1" si="389"/>
        <v>#VALUE!</v>
      </c>
      <c r="O795" t="e">
        <f t="shared" ca="1" si="390"/>
        <v>#VALUE!</v>
      </c>
      <c r="P795" t="e">
        <f t="shared" ca="1" si="391"/>
        <v>#VALUE!</v>
      </c>
      <c r="Q795" t="e">
        <f t="shared" ca="1" si="392"/>
        <v>#VALUE!</v>
      </c>
      <c r="R795" t="e">
        <f t="shared" ca="1" si="393"/>
        <v>#VALUE!</v>
      </c>
      <c r="S795" t="e">
        <f t="shared" ca="1" si="394"/>
        <v>#VALUE!</v>
      </c>
      <c r="T795" t="e">
        <f t="shared" ca="1" si="395"/>
        <v>#VALUE!</v>
      </c>
      <c r="U795" t="e">
        <f t="shared" ca="1" si="416"/>
        <v>#VALUE!</v>
      </c>
      <c r="V795" t="e">
        <f t="shared" ca="1" si="417"/>
        <v>#VALUE!</v>
      </c>
      <c r="W795" t="e">
        <f t="shared" ca="1" si="396"/>
        <v>#VALUE!</v>
      </c>
      <c r="X795" t="e">
        <f t="shared" ca="1" si="397"/>
        <v>#VALUE!</v>
      </c>
      <c r="Y795" t="e">
        <f t="shared" ca="1" si="398"/>
        <v>#VALUE!</v>
      </c>
      <c r="Z795" t="e">
        <f t="shared" ca="1" si="399"/>
        <v>#VALUE!</v>
      </c>
      <c r="AA795" t="e">
        <f t="shared" ca="1" si="400"/>
        <v>#VALUE!</v>
      </c>
      <c r="AB795" t="e">
        <f t="shared" ca="1" si="401"/>
        <v>#VALUE!</v>
      </c>
      <c r="AC795" t="e">
        <f t="shared" ca="1" si="402"/>
        <v>#VALUE!</v>
      </c>
      <c r="AD795" t="e">
        <f t="shared" ca="1" si="403"/>
        <v>#VALUE!</v>
      </c>
      <c r="AE795" t="e">
        <f t="shared" ca="1" si="404"/>
        <v>#VALUE!</v>
      </c>
      <c r="AF795" t="e">
        <f t="shared" ca="1" si="405"/>
        <v>#VALUE!</v>
      </c>
      <c r="AG795" t="e">
        <f t="shared" ca="1" si="406"/>
        <v>#VALUE!</v>
      </c>
      <c r="AH795" t="e">
        <f ca="1">IF(V32="Supercritical",L795,IF(V32="Subcritical",W795,IF(AND(V795=1,AG795=1),IF(T795&gt;=AE795,L795,W795),IF(V795=1,L795,IF(AG795=1,W795,MAX($D$16,POWER((ABS(K795)^2)/($I$5*MAX(F795,0.1)^2),1/3)))))))</f>
        <v>#VALUE!</v>
      </c>
      <c r="AI795" t="e">
        <f t="shared" ca="1" si="407"/>
        <v>#VALUE!</v>
      </c>
      <c r="AJ795" t="e">
        <f t="shared" ca="1" si="408"/>
        <v>#VALUE!</v>
      </c>
      <c r="AM795">
        <v>0</v>
      </c>
      <c r="AN795">
        <v>0</v>
      </c>
      <c r="AO795">
        <f t="shared" si="409"/>
        <v>0</v>
      </c>
      <c r="AP795">
        <f t="shared" si="418"/>
        <v>0</v>
      </c>
      <c r="AQ795" t="e">
        <f t="shared" ca="1" si="410"/>
        <v>#VALUE!</v>
      </c>
      <c r="AR795" t="e">
        <f t="shared" ca="1" si="411"/>
        <v>#VALUE!</v>
      </c>
      <c r="AS795" t="e">
        <f t="shared" ca="1" si="412"/>
        <v>#VALUE!</v>
      </c>
    </row>
    <row r="796" spans="1:45" x14ac:dyDescent="0.35">
      <c r="A796">
        <v>647</v>
      </c>
      <c r="B796">
        <v>645.89499999999998</v>
      </c>
      <c r="C796">
        <v>616135.13300000003</v>
      </c>
      <c r="D796">
        <v>3097348.196</v>
      </c>
      <c r="E796">
        <v>632.23900000000003</v>
      </c>
      <c r="F796">
        <v>5.2</v>
      </c>
      <c r="G796">
        <v>0</v>
      </c>
      <c r="H796" t="s">
        <v>191</v>
      </c>
      <c r="I796">
        <v>7.8E-2</v>
      </c>
      <c r="J796">
        <f t="shared" si="413"/>
        <v>1</v>
      </c>
      <c r="K796">
        <f t="shared" si="414"/>
        <v>51</v>
      </c>
      <c r="L796" t="e">
        <f t="shared" ca="1" si="415"/>
        <v>#VALUE!</v>
      </c>
      <c r="M796" t="e">
        <f t="shared" ca="1" si="388"/>
        <v>#VALUE!</v>
      </c>
      <c r="N796" t="e">
        <f t="shared" ca="1" si="389"/>
        <v>#VALUE!</v>
      </c>
      <c r="O796" t="e">
        <f t="shared" ca="1" si="390"/>
        <v>#VALUE!</v>
      </c>
      <c r="P796" t="e">
        <f t="shared" ca="1" si="391"/>
        <v>#VALUE!</v>
      </c>
      <c r="Q796" t="e">
        <f t="shared" ca="1" si="392"/>
        <v>#VALUE!</v>
      </c>
      <c r="R796" t="e">
        <f t="shared" ca="1" si="393"/>
        <v>#VALUE!</v>
      </c>
      <c r="S796" t="e">
        <f t="shared" ca="1" si="394"/>
        <v>#VALUE!</v>
      </c>
      <c r="T796" t="e">
        <f t="shared" ca="1" si="395"/>
        <v>#VALUE!</v>
      </c>
      <c r="U796" t="e">
        <f t="shared" ca="1" si="416"/>
        <v>#VALUE!</v>
      </c>
      <c r="V796" t="e">
        <f t="shared" ca="1" si="417"/>
        <v>#VALUE!</v>
      </c>
      <c r="W796" t="e">
        <f t="shared" ca="1" si="396"/>
        <v>#VALUE!</v>
      </c>
      <c r="X796" t="e">
        <f t="shared" ca="1" si="397"/>
        <v>#VALUE!</v>
      </c>
      <c r="Y796" t="e">
        <f t="shared" ca="1" si="398"/>
        <v>#VALUE!</v>
      </c>
      <c r="Z796" t="e">
        <f t="shared" ca="1" si="399"/>
        <v>#VALUE!</v>
      </c>
      <c r="AA796" t="e">
        <f t="shared" ca="1" si="400"/>
        <v>#VALUE!</v>
      </c>
      <c r="AB796" t="e">
        <f t="shared" ca="1" si="401"/>
        <v>#VALUE!</v>
      </c>
      <c r="AC796" t="e">
        <f t="shared" ca="1" si="402"/>
        <v>#VALUE!</v>
      </c>
      <c r="AD796" t="e">
        <f t="shared" ca="1" si="403"/>
        <v>#VALUE!</v>
      </c>
      <c r="AE796" t="e">
        <f t="shared" ca="1" si="404"/>
        <v>#VALUE!</v>
      </c>
      <c r="AF796" t="e">
        <f t="shared" ca="1" si="405"/>
        <v>#VALUE!</v>
      </c>
      <c r="AG796" t="e">
        <f t="shared" ca="1" si="406"/>
        <v>#VALUE!</v>
      </c>
      <c r="AH796" t="e">
        <f ca="1">IF(V32="Supercritical",L796,IF(V32="Subcritical",W796,IF(AND(V796=1,AG796=1),IF(T796&gt;=AE796,L796,W796),IF(V796=1,L796,IF(AG796=1,W796,MAX($D$16,POWER((ABS(K796)^2)/($I$5*MAX(F796,0.1)^2),1/3)))))))</f>
        <v>#VALUE!</v>
      </c>
      <c r="AI796" t="e">
        <f t="shared" ca="1" si="407"/>
        <v>#VALUE!</v>
      </c>
      <c r="AJ796" t="e">
        <f t="shared" ca="1" si="408"/>
        <v>#VALUE!</v>
      </c>
      <c r="AM796">
        <v>0</v>
      </c>
      <c r="AN796">
        <v>0</v>
      </c>
      <c r="AO796">
        <f t="shared" si="409"/>
        <v>0</v>
      </c>
      <c r="AP796">
        <f t="shared" si="418"/>
        <v>0</v>
      </c>
      <c r="AQ796" t="e">
        <f t="shared" ca="1" si="410"/>
        <v>#VALUE!</v>
      </c>
      <c r="AR796" t="e">
        <f t="shared" ca="1" si="411"/>
        <v>#VALUE!</v>
      </c>
      <c r="AS796" t="e">
        <f t="shared" ca="1" si="412"/>
        <v>#VALUE!</v>
      </c>
    </row>
    <row r="797" spans="1:45" x14ac:dyDescent="0.35">
      <c r="A797">
        <v>648</v>
      </c>
      <c r="B797">
        <v>646.89599999999996</v>
      </c>
      <c r="C797">
        <v>616134.65899999999</v>
      </c>
      <c r="D797">
        <v>3097347.3149999999</v>
      </c>
      <c r="E797">
        <v>632.23850000000004</v>
      </c>
      <c r="F797">
        <v>5.2</v>
      </c>
      <c r="G797">
        <v>0</v>
      </c>
      <c r="H797" t="s">
        <v>191</v>
      </c>
      <c r="I797">
        <v>2.7E-2</v>
      </c>
      <c r="J797">
        <f t="shared" si="413"/>
        <v>1.0009999999999764</v>
      </c>
      <c r="K797">
        <f t="shared" si="414"/>
        <v>51</v>
      </c>
      <c r="L797" t="e">
        <f t="shared" ca="1" si="415"/>
        <v>#VALUE!</v>
      </c>
      <c r="M797" t="e">
        <f t="shared" ca="1" si="388"/>
        <v>#VALUE!</v>
      </c>
      <c r="N797" t="e">
        <f t="shared" ca="1" si="389"/>
        <v>#VALUE!</v>
      </c>
      <c r="O797" t="e">
        <f t="shared" ca="1" si="390"/>
        <v>#VALUE!</v>
      </c>
      <c r="P797" t="e">
        <f t="shared" ca="1" si="391"/>
        <v>#VALUE!</v>
      </c>
      <c r="Q797" t="e">
        <f t="shared" ca="1" si="392"/>
        <v>#VALUE!</v>
      </c>
      <c r="R797" t="e">
        <f t="shared" ca="1" si="393"/>
        <v>#VALUE!</v>
      </c>
      <c r="S797" t="e">
        <f t="shared" ca="1" si="394"/>
        <v>#VALUE!</v>
      </c>
      <c r="T797" t="e">
        <f t="shared" ca="1" si="395"/>
        <v>#VALUE!</v>
      </c>
      <c r="U797" t="e">
        <f t="shared" ca="1" si="416"/>
        <v>#VALUE!</v>
      </c>
      <c r="V797" t="e">
        <f t="shared" ca="1" si="417"/>
        <v>#VALUE!</v>
      </c>
      <c r="W797" t="e">
        <f t="shared" ca="1" si="396"/>
        <v>#VALUE!</v>
      </c>
      <c r="X797" t="e">
        <f t="shared" ca="1" si="397"/>
        <v>#VALUE!</v>
      </c>
      <c r="Y797" t="e">
        <f t="shared" ca="1" si="398"/>
        <v>#VALUE!</v>
      </c>
      <c r="Z797" t="e">
        <f t="shared" ca="1" si="399"/>
        <v>#VALUE!</v>
      </c>
      <c r="AA797" t="e">
        <f t="shared" ca="1" si="400"/>
        <v>#VALUE!</v>
      </c>
      <c r="AB797" t="e">
        <f t="shared" ca="1" si="401"/>
        <v>#VALUE!</v>
      </c>
      <c r="AC797" t="e">
        <f t="shared" ca="1" si="402"/>
        <v>#VALUE!</v>
      </c>
      <c r="AD797" t="e">
        <f t="shared" ca="1" si="403"/>
        <v>#VALUE!</v>
      </c>
      <c r="AE797" t="e">
        <f t="shared" ca="1" si="404"/>
        <v>#VALUE!</v>
      </c>
      <c r="AF797" t="e">
        <f t="shared" ca="1" si="405"/>
        <v>#VALUE!</v>
      </c>
      <c r="AG797" t="e">
        <f t="shared" ca="1" si="406"/>
        <v>#VALUE!</v>
      </c>
      <c r="AH797" t="e">
        <f ca="1">IF(V32="Supercritical",L797,IF(V32="Subcritical",W797,IF(AND(V797=1,AG797=1),IF(T797&gt;=AE797,L797,W797),IF(V797=1,L797,IF(AG797=1,W797,MAX($D$16,POWER((ABS(K797)^2)/($I$5*MAX(F797,0.1)^2),1/3)))))))</f>
        <v>#VALUE!</v>
      </c>
      <c r="AI797" t="e">
        <f t="shared" ca="1" si="407"/>
        <v>#VALUE!</v>
      </c>
      <c r="AJ797" t="e">
        <f t="shared" ca="1" si="408"/>
        <v>#VALUE!</v>
      </c>
      <c r="AM797">
        <v>0</v>
      </c>
      <c r="AN797">
        <v>0</v>
      </c>
      <c r="AO797">
        <f t="shared" si="409"/>
        <v>0</v>
      </c>
      <c r="AP797">
        <f t="shared" si="418"/>
        <v>0</v>
      </c>
      <c r="AQ797" t="e">
        <f t="shared" ca="1" si="410"/>
        <v>#VALUE!</v>
      </c>
      <c r="AR797" t="e">
        <f t="shared" ca="1" si="411"/>
        <v>#VALUE!</v>
      </c>
      <c r="AS797" t="e">
        <f t="shared" ca="1" si="412"/>
        <v>#VALUE!</v>
      </c>
    </row>
    <row r="798" spans="1:45" x14ac:dyDescent="0.35">
      <c r="A798">
        <v>649</v>
      </c>
      <c r="B798">
        <v>647.89499999999998</v>
      </c>
      <c r="C798">
        <v>616134.18500000006</v>
      </c>
      <c r="D798">
        <v>3097346.4350000001</v>
      </c>
      <c r="E798">
        <v>632.23800000000006</v>
      </c>
      <c r="F798">
        <v>5.2</v>
      </c>
      <c r="G798">
        <v>0</v>
      </c>
      <c r="H798" t="s">
        <v>191</v>
      </c>
      <c r="I798">
        <v>0</v>
      </c>
      <c r="J798">
        <f t="shared" si="413"/>
        <v>0.99900000000002365</v>
      </c>
      <c r="K798">
        <f t="shared" si="414"/>
        <v>51</v>
      </c>
      <c r="L798" t="e">
        <f t="shared" ca="1" si="415"/>
        <v>#VALUE!</v>
      </c>
      <c r="M798" t="e">
        <f t="shared" ca="1" si="388"/>
        <v>#VALUE!</v>
      </c>
      <c r="N798" t="e">
        <f t="shared" ca="1" si="389"/>
        <v>#VALUE!</v>
      </c>
      <c r="O798" t="e">
        <f t="shared" ca="1" si="390"/>
        <v>#VALUE!</v>
      </c>
      <c r="P798" t="e">
        <f t="shared" ca="1" si="391"/>
        <v>#VALUE!</v>
      </c>
      <c r="Q798" t="e">
        <f t="shared" ca="1" si="392"/>
        <v>#VALUE!</v>
      </c>
      <c r="R798" t="e">
        <f t="shared" ca="1" si="393"/>
        <v>#VALUE!</v>
      </c>
      <c r="S798" t="e">
        <f t="shared" ca="1" si="394"/>
        <v>#VALUE!</v>
      </c>
      <c r="T798" t="e">
        <f t="shared" ca="1" si="395"/>
        <v>#VALUE!</v>
      </c>
      <c r="U798" t="e">
        <f t="shared" ca="1" si="416"/>
        <v>#VALUE!</v>
      </c>
      <c r="V798" t="e">
        <f t="shared" ca="1" si="417"/>
        <v>#VALUE!</v>
      </c>
      <c r="W798" t="e">
        <f t="shared" ca="1" si="396"/>
        <v>#VALUE!</v>
      </c>
      <c r="X798" t="e">
        <f t="shared" ca="1" si="397"/>
        <v>#VALUE!</v>
      </c>
      <c r="Y798" t="e">
        <f t="shared" ca="1" si="398"/>
        <v>#VALUE!</v>
      </c>
      <c r="Z798" t="e">
        <f t="shared" ca="1" si="399"/>
        <v>#VALUE!</v>
      </c>
      <c r="AA798" t="e">
        <f t="shared" ca="1" si="400"/>
        <v>#VALUE!</v>
      </c>
      <c r="AB798" t="e">
        <f t="shared" ca="1" si="401"/>
        <v>#VALUE!</v>
      </c>
      <c r="AC798" t="e">
        <f t="shared" ca="1" si="402"/>
        <v>#VALUE!</v>
      </c>
      <c r="AD798" t="e">
        <f t="shared" ca="1" si="403"/>
        <v>#VALUE!</v>
      </c>
      <c r="AE798" t="e">
        <f t="shared" ca="1" si="404"/>
        <v>#VALUE!</v>
      </c>
      <c r="AF798" t="e">
        <f t="shared" ca="1" si="405"/>
        <v>#VALUE!</v>
      </c>
      <c r="AG798" t="e">
        <f t="shared" ca="1" si="406"/>
        <v>#VALUE!</v>
      </c>
      <c r="AH798" t="e">
        <f ca="1">IF(V32="Supercritical",L798,IF(V32="Subcritical",W798,IF(AND(V798=1,AG798=1),IF(T798&gt;=AE798,L798,W798),IF(V798=1,L798,IF(AG798=1,W798,MAX($D$16,POWER((ABS(K798)^2)/($I$5*MAX(F798,0.1)^2),1/3)))))))</f>
        <v>#VALUE!</v>
      </c>
      <c r="AI798" t="e">
        <f t="shared" ca="1" si="407"/>
        <v>#VALUE!</v>
      </c>
      <c r="AJ798" t="e">
        <f t="shared" ca="1" si="408"/>
        <v>#VALUE!</v>
      </c>
      <c r="AM798">
        <v>0</v>
      </c>
      <c r="AN798">
        <v>0</v>
      </c>
      <c r="AO798">
        <f t="shared" si="409"/>
        <v>0</v>
      </c>
      <c r="AP798">
        <f t="shared" si="418"/>
        <v>0</v>
      </c>
      <c r="AQ798" t="e">
        <f t="shared" ca="1" si="410"/>
        <v>#VALUE!</v>
      </c>
      <c r="AR798" t="e">
        <f t="shared" ca="1" si="411"/>
        <v>#VALUE!</v>
      </c>
      <c r="AS798" t="e">
        <f t="shared" ca="1" si="412"/>
        <v>#VALUE!</v>
      </c>
    </row>
    <row r="799" spans="1:45" x14ac:dyDescent="0.35">
      <c r="A799">
        <v>650</v>
      </c>
      <c r="B799">
        <v>648.89499999999998</v>
      </c>
      <c r="C799">
        <v>616133.71100000001</v>
      </c>
      <c r="D799">
        <v>3097345.5550000002</v>
      </c>
      <c r="E799">
        <v>632.23749999999995</v>
      </c>
      <c r="F799">
        <v>5.2</v>
      </c>
      <c r="G799">
        <v>0</v>
      </c>
      <c r="H799" t="s">
        <v>191</v>
      </c>
      <c r="I799">
        <v>2.3E-2</v>
      </c>
      <c r="J799">
        <f t="shared" si="413"/>
        <v>1</v>
      </c>
      <c r="K799">
        <f t="shared" si="414"/>
        <v>51</v>
      </c>
      <c r="L799" t="e">
        <f t="shared" ca="1" si="415"/>
        <v>#VALUE!</v>
      </c>
      <c r="M799" t="e">
        <f t="shared" ca="1" si="388"/>
        <v>#VALUE!</v>
      </c>
      <c r="N799" t="e">
        <f t="shared" ca="1" si="389"/>
        <v>#VALUE!</v>
      </c>
      <c r="O799" t="e">
        <f t="shared" ca="1" si="390"/>
        <v>#VALUE!</v>
      </c>
      <c r="P799" t="e">
        <f t="shared" ca="1" si="391"/>
        <v>#VALUE!</v>
      </c>
      <c r="Q799" t="e">
        <f t="shared" ca="1" si="392"/>
        <v>#VALUE!</v>
      </c>
      <c r="R799" t="e">
        <f t="shared" ca="1" si="393"/>
        <v>#VALUE!</v>
      </c>
      <c r="S799" t="e">
        <f t="shared" ca="1" si="394"/>
        <v>#VALUE!</v>
      </c>
      <c r="T799" t="e">
        <f t="shared" ca="1" si="395"/>
        <v>#VALUE!</v>
      </c>
      <c r="U799" t="e">
        <f t="shared" ca="1" si="416"/>
        <v>#VALUE!</v>
      </c>
      <c r="V799" t="e">
        <f t="shared" ca="1" si="417"/>
        <v>#VALUE!</v>
      </c>
      <c r="W799" t="e">
        <f t="shared" ca="1" si="396"/>
        <v>#VALUE!</v>
      </c>
      <c r="X799" t="e">
        <f t="shared" ca="1" si="397"/>
        <v>#VALUE!</v>
      </c>
      <c r="Y799" t="e">
        <f t="shared" ca="1" si="398"/>
        <v>#VALUE!</v>
      </c>
      <c r="Z799" t="e">
        <f t="shared" ca="1" si="399"/>
        <v>#VALUE!</v>
      </c>
      <c r="AA799" t="e">
        <f t="shared" ca="1" si="400"/>
        <v>#VALUE!</v>
      </c>
      <c r="AB799" t="e">
        <f t="shared" ca="1" si="401"/>
        <v>#VALUE!</v>
      </c>
      <c r="AC799" t="e">
        <f t="shared" ca="1" si="402"/>
        <v>#VALUE!</v>
      </c>
      <c r="AD799" t="e">
        <f t="shared" ca="1" si="403"/>
        <v>#VALUE!</v>
      </c>
      <c r="AE799" t="e">
        <f t="shared" ca="1" si="404"/>
        <v>#VALUE!</v>
      </c>
      <c r="AF799" t="e">
        <f t="shared" ca="1" si="405"/>
        <v>#VALUE!</v>
      </c>
      <c r="AG799" t="e">
        <f t="shared" ca="1" si="406"/>
        <v>#VALUE!</v>
      </c>
      <c r="AH799" t="e">
        <f ca="1">IF(V32="Supercritical",L799,IF(V32="Subcritical",W799,IF(AND(V799=1,AG799=1),IF(T799&gt;=AE799,L799,W799),IF(V799=1,L799,IF(AG799=1,W799,MAX($D$16,POWER((ABS(K799)^2)/($I$5*MAX(F799,0.1)^2),1/3)))))))</f>
        <v>#VALUE!</v>
      </c>
      <c r="AI799" t="e">
        <f t="shared" ca="1" si="407"/>
        <v>#VALUE!</v>
      </c>
      <c r="AJ799" t="e">
        <f t="shared" ca="1" si="408"/>
        <v>#VALUE!</v>
      </c>
      <c r="AM799">
        <v>0</v>
      </c>
      <c r="AN799">
        <v>0</v>
      </c>
      <c r="AO799">
        <f t="shared" si="409"/>
        <v>0</v>
      </c>
      <c r="AP799">
        <f t="shared" si="418"/>
        <v>0</v>
      </c>
      <c r="AQ799" t="e">
        <f t="shared" ca="1" si="410"/>
        <v>#VALUE!</v>
      </c>
      <c r="AR799" t="e">
        <f t="shared" ca="1" si="411"/>
        <v>#VALUE!</v>
      </c>
      <c r="AS799" t="e">
        <f t="shared" ca="1" si="412"/>
        <v>#VALUE!</v>
      </c>
    </row>
    <row r="800" spans="1:45" x14ac:dyDescent="0.35">
      <c r="A800">
        <v>651</v>
      </c>
      <c r="B800">
        <v>649.89599999999996</v>
      </c>
      <c r="C800">
        <v>616133.23600000003</v>
      </c>
      <c r="D800">
        <v>3097344.6740000001</v>
      </c>
      <c r="E800">
        <v>632.23699999999997</v>
      </c>
      <c r="F800">
        <v>5.2</v>
      </c>
      <c r="G800">
        <v>0</v>
      </c>
      <c r="H800" t="s">
        <v>191</v>
      </c>
      <c r="I800">
        <v>2.3E-2</v>
      </c>
      <c r="J800">
        <f t="shared" si="413"/>
        <v>1.0009999999999764</v>
      </c>
      <c r="K800">
        <f t="shared" si="414"/>
        <v>51</v>
      </c>
      <c r="L800" t="e">
        <f t="shared" ca="1" si="415"/>
        <v>#VALUE!</v>
      </c>
      <c r="M800" t="e">
        <f t="shared" ca="1" si="388"/>
        <v>#VALUE!</v>
      </c>
      <c r="N800" t="e">
        <f t="shared" ca="1" si="389"/>
        <v>#VALUE!</v>
      </c>
      <c r="O800" t="e">
        <f t="shared" ca="1" si="390"/>
        <v>#VALUE!</v>
      </c>
      <c r="P800" t="e">
        <f t="shared" ca="1" si="391"/>
        <v>#VALUE!</v>
      </c>
      <c r="Q800" t="e">
        <f t="shared" ca="1" si="392"/>
        <v>#VALUE!</v>
      </c>
      <c r="R800" t="e">
        <f t="shared" ca="1" si="393"/>
        <v>#VALUE!</v>
      </c>
      <c r="S800" t="e">
        <f t="shared" ca="1" si="394"/>
        <v>#VALUE!</v>
      </c>
      <c r="T800" t="e">
        <f t="shared" ca="1" si="395"/>
        <v>#VALUE!</v>
      </c>
      <c r="U800" t="e">
        <f t="shared" ca="1" si="416"/>
        <v>#VALUE!</v>
      </c>
      <c r="V800" t="e">
        <f t="shared" ca="1" si="417"/>
        <v>#VALUE!</v>
      </c>
      <c r="W800" t="e">
        <f t="shared" ca="1" si="396"/>
        <v>#VALUE!</v>
      </c>
      <c r="X800" t="e">
        <f t="shared" ca="1" si="397"/>
        <v>#VALUE!</v>
      </c>
      <c r="Y800" t="e">
        <f t="shared" ca="1" si="398"/>
        <v>#VALUE!</v>
      </c>
      <c r="Z800" t="e">
        <f t="shared" ca="1" si="399"/>
        <v>#VALUE!</v>
      </c>
      <c r="AA800" t="e">
        <f t="shared" ca="1" si="400"/>
        <v>#VALUE!</v>
      </c>
      <c r="AB800" t="e">
        <f t="shared" ca="1" si="401"/>
        <v>#VALUE!</v>
      </c>
      <c r="AC800" t="e">
        <f t="shared" ca="1" si="402"/>
        <v>#VALUE!</v>
      </c>
      <c r="AD800" t="e">
        <f t="shared" ca="1" si="403"/>
        <v>#VALUE!</v>
      </c>
      <c r="AE800" t="e">
        <f t="shared" ca="1" si="404"/>
        <v>#VALUE!</v>
      </c>
      <c r="AF800" t="e">
        <f t="shared" ca="1" si="405"/>
        <v>#VALUE!</v>
      </c>
      <c r="AG800" t="e">
        <f t="shared" ca="1" si="406"/>
        <v>#VALUE!</v>
      </c>
      <c r="AH800" t="e">
        <f ca="1">IF(V32="Supercritical",L800,IF(V32="Subcritical",W800,IF(AND(V800=1,AG800=1),IF(T800&gt;=AE800,L800,W800),IF(V800=1,L800,IF(AG800=1,W800,MAX($D$16,POWER((ABS(K800)^2)/($I$5*MAX(F800,0.1)^2),1/3)))))))</f>
        <v>#VALUE!</v>
      </c>
      <c r="AI800" t="e">
        <f t="shared" ca="1" si="407"/>
        <v>#VALUE!</v>
      </c>
      <c r="AJ800" t="e">
        <f t="shared" ca="1" si="408"/>
        <v>#VALUE!</v>
      </c>
      <c r="AM800">
        <v>0</v>
      </c>
      <c r="AN800">
        <v>0</v>
      </c>
      <c r="AO800">
        <f t="shared" si="409"/>
        <v>0</v>
      </c>
      <c r="AP800">
        <f t="shared" si="418"/>
        <v>0</v>
      </c>
      <c r="AQ800" t="e">
        <f t="shared" ca="1" si="410"/>
        <v>#VALUE!</v>
      </c>
      <c r="AR800" t="e">
        <f t="shared" ca="1" si="411"/>
        <v>#VALUE!</v>
      </c>
      <c r="AS800" t="e">
        <f t="shared" ca="1" si="412"/>
        <v>#VALUE!</v>
      </c>
    </row>
    <row r="801" spans="1:45" x14ac:dyDescent="0.35">
      <c r="A801">
        <v>652</v>
      </c>
      <c r="B801">
        <v>650.89499999999998</v>
      </c>
      <c r="C801">
        <v>616132.76199999999</v>
      </c>
      <c r="D801">
        <v>3097343.7940000002</v>
      </c>
      <c r="E801">
        <v>632.23649999999998</v>
      </c>
      <c r="F801">
        <v>5.2</v>
      </c>
      <c r="G801">
        <v>0</v>
      </c>
      <c r="H801" t="s">
        <v>191</v>
      </c>
      <c r="I801">
        <v>2.7E-2</v>
      </c>
      <c r="J801">
        <f t="shared" si="413"/>
        <v>0.99900000000002365</v>
      </c>
      <c r="K801">
        <f t="shared" si="414"/>
        <v>51</v>
      </c>
      <c r="L801" t="e">
        <f t="shared" ca="1" si="415"/>
        <v>#VALUE!</v>
      </c>
      <c r="M801" t="e">
        <f t="shared" ca="1" si="388"/>
        <v>#VALUE!</v>
      </c>
      <c r="N801" t="e">
        <f t="shared" ca="1" si="389"/>
        <v>#VALUE!</v>
      </c>
      <c r="O801" t="e">
        <f t="shared" ca="1" si="390"/>
        <v>#VALUE!</v>
      </c>
      <c r="P801" t="e">
        <f t="shared" ca="1" si="391"/>
        <v>#VALUE!</v>
      </c>
      <c r="Q801" t="e">
        <f t="shared" ca="1" si="392"/>
        <v>#VALUE!</v>
      </c>
      <c r="R801" t="e">
        <f t="shared" ca="1" si="393"/>
        <v>#VALUE!</v>
      </c>
      <c r="S801" t="e">
        <f t="shared" ca="1" si="394"/>
        <v>#VALUE!</v>
      </c>
      <c r="T801" t="e">
        <f t="shared" ca="1" si="395"/>
        <v>#VALUE!</v>
      </c>
      <c r="U801" t="e">
        <f t="shared" ca="1" si="416"/>
        <v>#VALUE!</v>
      </c>
      <c r="V801" t="e">
        <f t="shared" ca="1" si="417"/>
        <v>#VALUE!</v>
      </c>
      <c r="W801" t="e">
        <f t="shared" ca="1" si="396"/>
        <v>#VALUE!</v>
      </c>
      <c r="X801" t="e">
        <f t="shared" ca="1" si="397"/>
        <v>#VALUE!</v>
      </c>
      <c r="Y801" t="e">
        <f t="shared" ca="1" si="398"/>
        <v>#VALUE!</v>
      </c>
      <c r="Z801" t="e">
        <f t="shared" ca="1" si="399"/>
        <v>#VALUE!</v>
      </c>
      <c r="AA801" t="e">
        <f t="shared" ca="1" si="400"/>
        <v>#VALUE!</v>
      </c>
      <c r="AB801" t="e">
        <f t="shared" ca="1" si="401"/>
        <v>#VALUE!</v>
      </c>
      <c r="AC801" t="e">
        <f t="shared" ca="1" si="402"/>
        <v>#VALUE!</v>
      </c>
      <c r="AD801" t="e">
        <f t="shared" ca="1" si="403"/>
        <v>#VALUE!</v>
      </c>
      <c r="AE801" t="e">
        <f t="shared" ca="1" si="404"/>
        <v>#VALUE!</v>
      </c>
      <c r="AF801" t="e">
        <f t="shared" ca="1" si="405"/>
        <v>#VALUE!</v>
      </c>
      <c r="AG801" t="e">
        <f t="shared" ca="1" si="406"/>
        <v>#VALUE!</v>
      </c>
      <c r="AH801" t="e">
        <f ca="1">IF(V32="Supercritical",L801,IF(V32="Subcritical",W801,IF(AND(V801=1,AG801=1),IF(T801&gt;=AE801,L801,W801),IF(V801=1,L801,IF(AG801=1,W801,MAX($D$16,POWER((ABS(K801)^2)/($I$5*MAX(F801,0.1)^2),1/3)))))))</f>
        <v>#VALUE!</v>
      </c>
      <c r="AI801" t="e">
        <f t="shared" ca="1" si="407"/>
        <v>#VALUE!</v>
      </c>
      <c r="AJ801" t="e">
        <f t="shared" ca="1" si="408"/>
        <v>#VALUE!</v>
      </c>
      <c r="AM801">
        <v>0</v>
      </c>
      <c r="AN801">
        <v>0</v>
      </c>
      <c r="AO801">
        <f t="shared" si="409"/>
        <v>0</v>
      </c>
      <c r="AP801">
        <f t="shared" si="418"/>
        <v>0</v>
      </c>
      <c r="AQ801" t="e">
        <f t="shared" ca="1" si="410"/>
        <v>#VALUE!</v>
      </c>
      <c r="AR801" t="e">
        <f t="shared" ca="1" si="411"/>
        <v>#VALUE!</v>
      </c>
      <c r="AS801" t="e">
        <f t="shared" ca="1" si="412"/>
        <v>#VALUE!</v>
      </c>
    </row>
    <row r="802" spans="1:45" x14ac:dyDescent="0.35">
      <c r="A802">
        <v>653</v>
      </c>
      <c r="B802">
        <v>651.89599999999996</v>
      </c>
      <c r="C802">
        <v>616132.28799999994</v>
      </c>
      <c r="D802">
        <v>3097342.9130000002</v>
      </c>
      <c r="E802">
        <v>632.23599999999999</v>
      </c>
      <c r="F802">
        <v>5.2</v>
      </c>
      <c r="G802">
        <v>0</v>
      </c>
      <c r="H802" t="s">
        <v>191</v>
      </c>
      <c r="I802">
        <v>2.7E-2</v>
      </c>
      <c r="J802">
        <f t="shared" si="413"/>
        <v>1.0009999999999764</v>
      </c>
      <c r="K802">
        <f t="shared" si="414"/>
        <v>51</v>
      </c>
      <c r="L802" t="e">
        <f t="shared" ca="1" si="415"/>
        <v>#VALUE!</v>
      </c>
      <c r="M802" t="e">
        <f t="shared" ca="1" si="388"/>
        <v>#VALUE!</v>
      </c>
      <c r="N802" t="e">
        <f t="shared" ca="1" si="389"/>
        <v>#VALUE!</v>
      </c>
      <c r="O802" t="e">
        <f t="shared" ca="1" si="390"/>
        <v>#VALUE!</v>
      </c>
      <c r="P802" t="e">
        <f t="shared" ca="1" si="391"/>
        <v>#VALUE!</v>
      </c>
      <c r="Q802" t="e">
        <f t="shared" ca="1" si="392"/>
        <v>#VALUE!</v>
      </c>
      <c r="R802" t="e">
        <f t="shared" ca="1" si="393"/>
        <v>#VALUE!</v>
      </c>
      <c r="S802" t="e">
        <f t="shared" ca="1" si="394"/>
        <v>#VALUE!</v>
      </c>
      <c r="T802" t="e">
        <f t="shared" ca="1" si="395"/>
        <v>#VALUE!</v>
      </c>
      <c r="U802" t="e">
        <f t="shared" ca="1" si="416"/>
        <v>#VALUE!</v>
      </c>
      <c r="V802" t="e">
        <f t="shared" ca="1" si="417"/>
        <v>#VALUE!</v>
      </c>
      <c r="W802" t="e">
        <f t="shared" ca="1" si="396"/>
        <v>#VALUE!</v>
      </c>
      <c r="X802" t="e">
        <f t="shared" ca="1" si="397"/>
        <v>#VALUE!</v>
      </c>
      <c r="Y802" t="e">
        <f t="shared" ca="1" si="398"/>
        <v>#VALUE!</v>
      </c>
      <c r="Z802" t="e">
        <f t="shared" ca="1" si="399"/>
        <v>#VALUE!</v>
      </c>
      <c r="AA802" t="e">
        <f t="shared" ca="1" si="400"/>
        <v>#VALUE!</v>
      </c>
      <c r="AB802" t="e">
        <f t="shared" ca="1" si="401"/>
        <v>#VALUE!</v>
      </c>
      <c r="AC802" t="e">
        <f t="shared" ca="1" si="402"/>
        <v>#VALUE!</v>
      </c>
      <c r="AD802" t="e">
        <f t="shared" ca="1" si="403"/>
        <v>#VALUE!</v>
      </c>
      <c r="AE802" t="e">
        <f t="shared" ca="1" si="404"/>
        <v>#VALUE!</v>
      </c>
      <c r="AF802" t="e">
        <f t="shared" ca="1" si="405"/>
        <v>#VALUE!</v>
      </c>
      <c r="AG802" t="e">
        <f t="shared" ca="1" si="406"/>
        <v>#VALUE!</v>
      </c>
      <c r="AH802" t="e">
        <f ca="1">IF(V32="Supercritical",L802,IF(V32="Subcritical",W802,IF(AND(V802=1,AG802=1),IF(T802&gt;=AE802,L802,W802),IF(V802=1,L802,IF(AG802=1,W802,MAX($D$16,POWER((ABS(K802)^2)/($I$5*MAX(F802,0.1)^2),1/3)))))))</f>
        <v>#VALUE!</v>
      </c>
      <c r="AI802" t="e">
        <f t="shared" ca="1" si="407"/>
        <v>#VALUE!</v>
      </c>
      <c r="AJ802" t="e">
        <f t="shared" ca="1" si="408"/>
        <v>#VALUE!</v>
      </c>
      <c r="AM802">
        <v>0</v>
      </c>
      <c r="AN802">
        <v>0</v>
      </c>
      <c r="AO802">
        <f t="shared" si="409"/>
        <v>0</v>
      </c>
      <c r="AP802">
        <f t="shared" si="418"/>
        <v>0</v>
      </c>
      <c r="AQ802" t="e">
        <f t="shared" ca="1" si="410"/>
        <v>#VALUE!</v>
      </c>
      <c r="AR802" t="e">
        <f t="shared" ca="1" si="411"/>
        <v>#VALUE!</v>
      </c>
      <c r="AS802" t="e">
        <f t="shared" ca="1" si="412"/>
        <v>#VALUE!</v>
      </c>
    </row>
    <row r="803" spans="1:45" x14ac:dyDescent="0.35">
      <c r="A803">
        <v>654</v>
      </c>
      <c r="B803">
        <v>652.89499999999998</v>
      </c>
      <c r="C803">
        <v>616131.81400000001</v>
      </c>
      <c r="D803">
        <v>3097342.0329999998</v>
      </c>
      <c r="E803">
        <v>632.2355</v>
      </c>
      <c r="F803">
        <v>5.2</v>
      </c>
      <c r="G803">
        <v>0</v>
      </c>
      <c r="H803" t="s">
        <v>191</v>
      </c>
      <c r="I803">
        <v>0</v>
      </c>
      <c r="J803">
        <f t="shared" si="413"/>
        <v>0.99900000000002365</v>
      </c>
      <c r="K803">
        <f t="shared" si="414"/>
        <v>51</v>
      </c>
      <c r="L803" t="e">
        <f t="shared" ca="1" si="415"/>
        <v>#VALUE!</v>
      </c>
      <c r="M803" t="e">
        <f t="shared" ca="1" si="388"/>
        <v>#VALUE!</v>
      </c>
      <c r="N803" t="e">
        <f t="shared" ca="1" si="389"/>
        <v>#VALUE!</v>
      </c>
      <c r="O803" t="e">
        <f t="shared" ca="1" si="390"/>
        <v>#VALUE!</v>
      </c>
      <c r="P803" t="e">
        <f t="shared" ca="1" si="391"/>
        <v>#VALUE!</v>
      </c>
      <c r="Q803" t="e">
        <f t="shared" ca="1" si="392"/>
        <v>#VALUE!</v>
      </c>
      <c r="R803" t="e">
        <f t="shared" ca="1" si="393"/>
        <v>#VALUE!</v>
      </c>
      <c r="S803" t="e">
        <f t="shared" ca="1" si="394"/>
        <v>#VALUE!</v>
      </c>
      <c r="T803" t="e">
        <f t="shared" ca="1" si="395"/>
        <v>#VALUE!</v>
      </c>
      <c r="U803" t="e">
        <f t="shared" ca="1" si="416"/>
        <v>#VALUE!</v>
      </c>
      <c r="V803" t="e">
        <f t="shared" ca="1" si="417"/>
        <v>#VALUE!</v>
      </c>
      <c r="W803" t="e">
        <f t="shared" ca="1" si="396"/>
        <v>#VALUE!</v>
      </c>
      <c r="X803" t="e">
        <f t="shared" ca="1" si="397"/>
        <v>#VALUE!</v>
      </c>
      <c r="Y803" t="e">
        <f t="shared" ca="1" si="398"/>
        <v>#VALUE!</v>
      </c>
      <c r="Z803" t="e">
        <f t="shared" ca="1" si="399"/>
        <v>#VALUE!</v>
      </c>
      <c r="AA803" t="e">
        <f t="shared" ca="1" si="400"/>
        <v>#VALUE!</v>
      </c>
      <c r="AB803" t="e">
        <f t="shared" ca="1" si="401"/>
        <v>#VALUE!</v>
      </c>
      <c r="AC803" t="e">
        <f t="shared" ca="1" si="402"/>
        <v>#VALUE!</v>
      </c>
      <c r="AD803" t="e">
        <f t="shared" ca="1" si="403"/>
        <v>#VALUE!</v>
      </c>
      <c r="AE803" t="e">
        <f t="shared" ca="1" si="404"/>
        <v>#VALUE!</v>
      </c>
      <c r="AF803" t="e">
        <f t="shared" ca="1" si="405"/>
        <v>#VALUE!</v>
      </c>
      <c r="AG803" t="e">
        <f t="shared" ca="1" si="406"/>
        <v>#VALUE!</v>
      </c>
      <c r="AH803" t="e">
        <f ca="1">IF(V32="Supercritical",L803,IF(V32="Subcritical",W803,IF(AND(V803=1,AG803=1),IF(T803&gt;=AE803,L803,W803),IF(V803=1,L803,IF(AG803=1,W803,MAX($D$16,POWER((ABS(K803)^2)/($I$5*MAX(F803,0.1)^2),1/3)))))))</f>
        <v>#VALUE!</v>
      </c>
      <c r="AI803" t="e">
        <f t="shared" ca="1" si="407"/>
        <v>#VALUE!</v>
      </c>
      <c r="AJ803" t="e">
        <f t="shared" ca="1" si="408"/>
        <v>#VALUE!</v>
      </c>
      <c r="AM803">
        <v>0</v>
      </c>
      <c r="AN803">
        <v>0</v>
      </c>
      <c r="AO803">
        <f t="shared" si="409"/>
        <v>0</v>
      </c>
      <c r="AP803">
        <f t="shared" si="418"/>
        <v>0</v>
      </c>
      <c r="AQ803" t="e">
        <f t="shared" ca="1" si="410"/>
        <v>#VALUE!</v>
      </c>
      <c r="AR803" t="e">
        <f t="shared" ca="1" si="411"/>
        <v>#VALUE!</v>
      </c>
      <c r="AS803" t="e">
        <f t="shared" ca="1" si="412"/>
        <v>#VALUE!</v>
      </c>
    </row>
    <row r="804" spans="1:45" x14ac:dyDescent="0.35">
      <c r="A804">
        <v>655</v>
      </c>
      <c r="B804">
        <v>653.89499999999998</v>
      </c>
      <c r="C804">
        <v>616131.34</v>
      </c>
      <c r="D804">
        <v>3097341.1529999999</v>
      </c>
      <c r="E804">
        <v>632.23500000000001</v>
      </c>
      <c r="F804">
        <v>5.2</v>
      </c>
      <c r="G804">
        <v>0</v>
      </c>
      <c r="H804" t="s">
        <v>191</v>
      </c>
      <c r="I804">
        <v>2.3E-2</v>
      </c>
      <c r="J804">
        <f t="shared" si="413"/>
        <v>1</v>
      </c>
      <c r="K804">
        <f t="shared" si="414"/>
        <v>51</v>
      </c>
      <c r="L804" t="e">
        <f t="shared" ca="1" si="415"/>
        <v>#VALUE!</v>
      </c>
      <c r="M804" t="e">
        <f t="shared" ca="1" si="388"/>
        <v>#VALUE!</v>
      </c>
      <c r="N804" t="e">
        <f t="shared" ca="1" si="389"/>
        <v>#VALUE!</v>
      </c>
      <c r="O804" t="e">
        <f t="shared" ca="1" si="390"/>
        <v>#VALUE!</v>
      </c>
      <c r="P804" t="e">
        <f t="shared" ca="1" si="391"/>
        <v>#VALUE!</v>
      </c>
      <c r="Q804" t="e">
        <f t="shared" ca="1" si="392"/>
        <v>#VALUE!</v>
      </c>
      <c r="R804" t="e">
        <f t="shared" ca="1" si="393"/>
        <v>#VALUE!</v>
      </c>
      <c r="S804" t="e">
        <f t="shared" ca="1" si="394"/>
        <v>#VALUE!</v>
      </c>
      <c r="T804" t="e">
        <f t="shared" ca="1" si="395"/>
        <v>#VALUE!</v>
      </c>
      <c r="U804" t="e">
        <f t="shared" ca="1" si="416"/>
        <v>#VALUE!</v>
      </c>
      <c r="V804" t="e">
        <f t="shared" ca="1" si="417"/>
        <v>#VALUE!</v>
      </c>
      <c r="W804" t="e">
        <f t="shared" ca="1" si="396"/>
        <v>#VALUE!</v>
      </c>
      <c r="X804" t="e">
        <f t="shared" ca="1" si="397"/>
        <v>#VALUE!</v>
      </c>
      <c r="Y804" t="e">
        <f t="shared" ca="1" si="398"/>
        <v>#VALUE!</v>
      </c>
      <c r="Z804" t="e">
        <f t="shared" ca="1" si="399"/>
        <v>#VALUE!</v>
      </c>
      <c r="AA804" t="e">
        <f t="shared" ca="1" si="400"/>
        <v>#VALUE!</v>
      </c>
      <c r="AB804" t="e">
        <f t="shared" ca="1" si="401"/>
        <v>#VALUE!</v>
      </c>
      <c r="AC804" t="e">
        <f t="shared" ca="1" si="402"/>
        <v>#VALUE!</v>
      </c>
      <c r="AD804" t="e">
        <f t="shared" ca="1" si="403"/>
        <v>#VALUE!</v>
      </c>
      <c r="AE804" t="e">
        <f t="shared" ca="1" si="404"/>
        <v>#VALUE!</v>
      </c>
      <c r="AF804" t="e">
        <f t="shared" ca="1" si="405"/>
        <v>#VALUE!</v>
      </c>
      <c r="AG804" t="e">
        <f t="shared" ca="1" si="406"/>
        <v>#VALUE!</v>
      </c>
      <c r="AH804" t="e">
        <f ca="1">IF(V32="Supercritical",L804,IF(V32="Subcritical",W804,IF(AND(V804=1,AG804=1),IF(T804&gt;=AE804,L804,W804),IF(V804=1,L804,IF(AG804=1,W804,MAX($D$16,POWER((ABS(K804)^2)/($I$5*MAX(F804,0.1)^2),1/3)))))))</f>
        <v>#VALUE!</v>
      </c>
      <c r="AI804" t="e">
        <f t="shared" ca="1" si="407"/>
        <v>#VALUE!</v>
      </c>
      <c r="AJ804" t="e">
        <f t="shared" ca="1" si="408"/>
        <v>#VALUE!</v>
      </c>
      <c r="AM804">
        <v>0</v>
      </c>
      <c r="AN804">
        <v>0</v>
      </c>
      <c r="AO804">
        <f t="shared" si="409"/>
        <v>0</v>
      </c>
      <c r="AP804">
        <f t="shared" si="418"/>
        <v>0</v>
      </c>
      <c r="AQ804" t="e">
        <f t="shared" ca="1" si="410"/>
        <v>#VALUE!</v>
      </c>
      <c r="AR804" t="e">
        <f t="shared" ca="1" si="411"/>
        <v>#VALUE!</v>
      </c>
      <c r="AS804" t="e">
        <f t="shared" ca="1" si="412"/>
        <v>#VALUE!</v>
      </c>
    </row>
    <row r="805" spans="1:45" x14ac:dyDescent="0.35">
      <c r="A805">
        <v>656</v>
      </c>
      <c r="B805">
        <v>654.89599999999996</v>
      </c>
      <c r="C805">
        <v>616130.86499999999</v>
      </c>
      <c r="D805">
        <v>3097340.2719999999</v>
      </c>
      <c r="E805">
        <v>632.23450000000003</v>
      </c>
      <c r="F805">
        <v>5.2</v>
      </c>
      <c r="G805">
        <v>0</v>
      </c>
      <c r="H805" t="s">
        <v>191</v>
      </c>
      <c r="I805">
        <v>2.3E-2</v>
      </c>
      <c r="J805">
        <f t="shared" si="413"/>
        <v>1.0009999999999764</v>
      </c>
      <c r="K805">
        <f t="shared" si="414"/>
        <v>51</v>
      </c>
      <c r="L805" t="e">
        <f t="shared" ca="1" si="415"/>
        <v>#VALUE!</v>
      </c>
      <c r="M805" t="e">
        <f t="shared" ca="1" si="388"/>
        <v>#VALUE!</v>
      </c>
      <c r="N805" t="e">
        <f t="shared" ca="1" si="389"/>
        <v>#VALUE!</v>
      </c>
      <c r="O805" t="e">
        <f t="shared" ca="1" si="390"/>
        <v>#VALUE!</v>
      </c>
      <c r="P805" t="e">
        <f t="shared" ca="1" si="391"/>
        <v>#VALUE!</v>
      </c>
      <c r="Q805" t="e">
        <f t="shared" ca="1" si="392"/>
        <v>#VALUE!</v>
      </c>
      <c r="R805" t="e">
        <f t="shared" ca="1" si="393"/>
        <v>#VALUE!</v>
      </c>
      <c r="S805" t="e">
        <f t="shared" ca="1" si="394"/>
        <v>#VALUE!</v>
      </c>
      <c r="T805" t="e">
        <f t="shared" ca="1" si="395"/>
        <v>#VALUE!</v>
      </c>
      <c r="U805" t="e">
        <f t="shared" ca="1" si="416"/>
        <v>#VALUE!</v>
      </c>
      <c r="V805" t="e">
        <f t="shared" ca="1" si="417"/>
        <v>#VALUE!</v>
      </c>
      <c r="W805" t="e">
        <f t="shared" ca="1" si="396"/>
        <v>#VALUE!</v>
      </c>
      <c r="X805" t="e">
        <f t="shared" ca="1" si="397"/>
        <v>#VALUE!</v>
      </c>
      <c r="Y805" t="e">
        <f t="shared" ca="1" si="398"/>
        <v>#VALUE!</v>
      </c>
      <c r="Z805" t="e">
        <f t="shared" ca="1" si="399"/>
        <v>#VALUE!</v>
      </c>
      <c r="AA805" t="e">
        <f t="shared" ca="1" si="400"/>
        <v>#VALUE!</v>
      </c>
      <c r="AB805" t="e">
        <f t="shared" ca="1" si="401"/>
        <v>#VALUE!</v>
      </c>
      <c r="AC805" t="e">
        <f t="shared" ca="1" si="402"/>
        <v>#VALUE!</v>
      </c>
      <c r="AD805" t="e">
        <f t="shared" ca="1" si="403"/>
        <v>#VALUE!</v>
      </c>
      <c r="AE805" t="e">
        <f t="shared" ca="1" si="404"/>
        <v>#VALUE!</v>
      </c>
      <c r="AF805" t="e">
        <f t="shared" ca="1" si="405"/>
        <v>#VALUE!</v>
      </c>
      <c r="AG805" t="e">
        <f t="shared" ca="1" si="406"/>
        <v>#VALUE!</v>
      </c>
      <c r="AH805" t="e">
        <f ca="1">IF(V32="Supercritical",L805,IF(V32="Subcritical",W805,IF(AND(V805=1,AG805=1),IF(T805&gt;=AE805,L805,W805),IF(V805=1,L805,IF(AG805=1,W805,MAX($D$16,POWER((ABS(K805)^2)/($I$5*MAX(F805,0.1)^2),1/3)))))))</f>
        <v>#VALUE!</v>
      </c>
      <c r="AI805" t="e">
        <f t="shared" ca="1" si="407"/>
        <v>#VALUE!</v>
      </c>
      <c r="AJ805" t="e">
        <f t="shared" ca="1" si="408"/>
        <v>#VALUE!</v>
      </c>
      <c r="AM805">
        <v>0</v>
      </c>
      <c r="AN805">
        <v>0</v>
      </c>
      <c r="AO805">
        <f t="shared" si="409"/>
        <v>0</v>
      </c>
      <c r="AP805">
        <f t="shared" si="418"/>
        <v>0</v>
      </c>
      <c r="AQ805" t="e">
        <f t="shared" ca="1" si="410"/>
        <v>#VALUE!</v>
      </c>
      <c r="AR805" t="e">
        <f t="shared" ca="1" si="411"/>
        <v>#VALUE!</v>
      </c>
      <c r="AS805" t="e">
        <f t="shared" ca="1" si="412"/>
        <v>#VALUE!</v>
      </c>
    </row>
    <row r="806" spans="1:45" x14ac:dyDescent="0.35">
      <c r="A806">
        <v>657</v>
      </c>
      <c r="B806">
        <v>655.89499999999998</v>
      </c>
      <c r="C806">
        <v>616130.39099999995</v>
      </c>
      <c r="D806">
        <v>3097339.392</v>
      </c>
      <c r="E806">
        <v>632.23400000000004</v>
      </c>
      <c r="F806">
        <v>5.2</v>
      </c>
      <c r="G806">
        <v>0</v>
      </c>
      <c r="H806" t="s">
        <v>191</v>
      </c>
      <c r="I806">
        <v>2.7E-2</v>
      </c>
      <c r="J806">
        <f t="shared" si="413"/>
        <v>0.99900000000002365</v>
      </c>
      <c r="K806">
        <f t="shared" si="414"/>
        <v>51</v>
      </c>
      <c r="L806" t="e">
        <f t="shared" ca="1" si="415"/>
        <v>#VALUE!</v>
      </c>
      <c r="M806" t="e">
        <f t="shared" ca="1" si="388"/>
        <v>#VALUE!</v>
      </c>
      <c r="N806" t="e">
        <f t="shared" ca="1" si="389"/>
        <v>#VALUE!</v>
      </c>
      <c r="O806" t="e">
        <f t="shared" ca="1" si="390"/>
        <v>#VALUE!</v>
      </c>
      <c r="P806" t="e">
        <f t="shared" ca="1" si="391"/>
        <v>#VALUE!</v>
      </c>
      <c r="Q806" t="e">
        <f t="shared" ca="1" si="392"/>
        <v>#VALUE!</v>
      </c>
      <c r="R806" t="e">
        <f t="shared" ca="1" si="393"/>
        <v>#VALUE!</v>
      </c>
      <c r="S806" t="e">
        <f t="shared" ca="1" si="394"/>
        <v>#VALUE!</v>
      </c>
      <c r="T806" t="e">
        <f t="shared" ca="1" si="395"/>
        <v>#VALUE!</v>
      </c>
      <c r="U806" t="e">
        <f t="shared" ca="1" si="416"/>
        <v>#VALUE!</v>
      </c>
      <c r="V806" t="e">
        <f t="shared" ca="1" si="417"/>
        <v>#VALUE!</v>
      </c>
      <c r="W806" t="e">
        <f t="shared" ca="1" si="396"/>
        <v>#VALUE!</v>
      </c>
      <c r="X806" t="e">
        <f t="shared" ca="1" si="397"/>
        <v>#VALUE!</v>
      </c>
      <c r="Y806" t="e">
        <f t="shared" ca="1" si="398"/>
        <v>#VALUE!</v>
      </c>
      <c r="Z806" t="e">
        <f t="shared" ca="1" si="399"/>
        <v>#VALUE!</v>
      </c>
      <c r="AA806" t="e">
        <f t="shared" ca="1" si="400"/>
        <v>#VALUE!</v>
      </c>
      <c r="AB806" t="e">
        <f t="shared" ca="1" si="401"/>
        <v>#VALUE!</v>
      </c>
      <c r="AC806" t="e">
        <f t="shared" ca="1" si="402"/>
        <v>#VALUE!</v>
      </c>
      <c r="AD806" t="e">
        <f t="shared" ca="1" si="403"/>
        <v>#VALUE!</v>
      </c>
      <c r="AE806" t="e">
        <f t="shared" ca="1" si="404"/>
        <v>#VALUE!</v>
      </c>
      <c r="AF806" t="e">
        <f t="shared" ca="1" si="405"/>
        <v>#VALUE!</v>
      </c>
      <c r="AG806" t="e">
        <f t="shared" ca="1" si="406"/>
        <v>#VALUE!</v>
      </c>
      <c r="AH806" t="e">
        <f ca="1">IF(V32="Supercritical",L806,IF(V32="Subcritical",W806,IF(AND(V806=1,AG806=1),IF(T806&gt;=AE806,L806,W806),IF(V806=1,L806,IF(AG806=1,W806,MAX($D$16,POWER((ABS(K806)^2)/($I$5*MAX(F806,0.1)^2),1/3)))))))</f>
        <v>#VALUE!</v>
      </c>
      <c r="AI806" t="e">
        <f t="shared" ca="1" si="407"/>
        <v>#VALUE!</v>
      </c>
      <c r="AJ806" t="e">
        <f t="shared" ca="1" si="408"/>
        <v>#VALUE!</v>
      </c>
      <c r="AM806">
        <v>0</v>
      </c>
      <c r="AN806">
        <v>0</v>
      </c>
      <c r="AO806">
        <f t="shared" si="409"/>
        <v>0</v>
      </c>
      <c r="AP806">
        <f t="shared" si="418"/>
        <v>0</v>
      </c>
      <c r="AQ806" t="e">
        <f t="shared" ca="1" si="410"/>
        <v>#VALUE!</v>
      </c>
      <c r="AR806" t="e">
        <f t="shared" ca="1" si="411"/>
        <v>#VALUE!</v>
      </c>
      <c r="AS806" t="e">
        <f t="shared" ca="1" si="412"/>
        <v>#VALUE!</v>
      </c>
    </row>
    <row r="807" spans="1:45" x14ac:dyDescent="0.35">
      <c r="A807">
        <v>658</v>
      </c>
      <c r="B807">
        <v>656.89599999999996</v>
      </c>
      <c r="C807">
        <v>616129.91700000002</v>
      </c>
      <c r="D807">
        <v>3097338.5109999999</v>
      </c>
      <c r="E807">
        <v>632.23350000000005</v>
      </c>
      <c r="F807">
        <v>5.2</v>
      </c>
      <c r="G807">
        <v>0</v>
      </c>
      <c r="H807" t="s">
        <v>191</v>
      </c>
      <c r="I807">
        <v>2.7E-2</v>
      </c>
      <c r="J807">
        <f t="shared" si="413"/>
        <v>1.0009999999999764</v>
      </c>
      <c r="K807">
        <f t="shared" si="414"/>
        <v>51</v>
      </c>
      <c r="L807" t="e">
        <f t="shared" ca="1" si="415"/>
        <v>#VALUE!</v>
      </c>
      <c r="M807" t="e">
        <f t="shared" ca="1" si="388"/>
        <v>#VALUE!</v>
      </c>
      <c r="N807" t="e">
        <f t="shared" ca="1" si="389"/>
        <v>#VALUE!</v>
      </c>
      <c r="O807" t="e">
        <f t="shared" ca="1" si="390"/>
        <v>#VALUE!</v>
      </c>
      <c r="P807" t="e">
        <f t="shared" ca="1" si="391"/>
        <v>#VALUE!</v>
      </c>
      <c r="Q807" t="e">
        <f t="shared" ca="1" si="392"/>
        <v>#VALUE!</v>
      </c>
      <c r="R807" t="e">
        <f t="shared" ca="1" si="393"/>
        <v>#VALUE!</v>
      </c>
      <c r="S807" t="e">
        <f t="shared" ca="1" si="394"/>
        <v>#VALUE!</v>
      </c>
      <c r="T807" t="e">
        <f t="shared" ca="1" si="395"/>
        <v>#VALUE!</v>
      </c>
      <c r="U807" t="e">
        <f t="shared" ca="1" si="416"/>
        <v>#VALUE!</v>
      </c>
      <c r="V807" t="e">
        <f t="shared" ca="1" si="417"/>
        <v>#VALUE!</v>
      </c>
      <c r="W807" t="e">
        <f t="shared" ca="1" si="396"/>
        <v>#VALUE!</v>
      </c>
      <c r="X807" t="e">
        <f t="shared" ca="1" si="397"/>
        <v>#VALUE!</v>
      </c>
      <c r="Y807" t="e">
        <f t="shared" ca="1" si="398"/>
        <v>#VALUE!</v>
      </c>
      <c r="Z807" t="e">
        <f t="shared" ca="1" si="399"/>
        <v>#VALUE!</v>
      </c>
      <c r="AA807" t="e">
        <f t="shared" ca="1" si="400"/>
        <v>#VALUE!</v>
      </c>
      <c r="AB807" t="e">
        <f t="shared" ca="1" si="401"/>
        <v>#VALUE!</v>
      </c>
      <c r="AC807" t="e">
        <f t="shared" ca="1" si="402"/>
        <v>#VALUE!</v>
      </c>
      <c r="AD807" t="e">
        <f t="shared" ca="1" si="403"/>
        <v>#VALUE!</v>
      </c>
      <c r="AE807" t="e">
        <f t="shared" ca="1" si="404"/>
        <v>#VALUE!</v>
      </c>
      <c r="AF807" t="e">
        <f t="shared" ca="1" si="405"/>
        <v>#VALUE!</v>
      </c>
      <c r="AG807" t="e">
        <f t="shared" ca="1" si="406"/>
        <v>#VALUE!</v>
      </c>
      <c r="AH807" t="e">
        <f ca="1">IF(V32="Supercritical",L807,IF(V32="Subcritical",W807,IF(AND(V807=1,AG807=1),IF(T807&gt;=AE807,L807,W807),IF(V807=1,L807,IF(AG807=1,W807,MAX($D$16,POWER((ABS(K807)^2)/($I$5*MAX(F807,0.1)^2),1/3)))))))</f>
        <v>#VALUE!</v>
      </c>
      <c r="AI807" t="e">
        <f t="shared" ca="1" si="407"/>
        <v>#VALUE!</v>
      </c>
      <c r="AJ807" t="e">
        <f t="shared" ca="1" si="408"/>
        <v>#VALUE!</v>
      </c>
      <c r="AM807">
        <v>0</v>
      </c>
      <c r="AN807">
        <v>0</v>
      </c>
      <c r="AO807">
        <f t="shared" si="409"/>
        <v>0</v>
      </c>
      <c r="AP807">
        <f t="shared" si="418"/>
        <v>0</v>
      </c>
      <c r="AQ807" t="e">
        <f t="shared" ca="1" si="410"/>
        <v>#VALUE!</v>
      </c>
      <c r="AR807" t="e">
        <f t="shared" ca="1" si="411"/>
        <v>#VALUE!</v>
      </c>
      <c r="AS807" t="e">
        <f t="shared" ca="1" si="412"/>
        <v>#VALUE!</v>
      </c>
    </row>
    <row r="808" spans="1:45" x14ac:dyDescent="0.35">
      <c r="A808">
        <v>659</v>
      </c>
      <c r="B808">
        <v>657.89499999999998</v>
      </c>
      <c r="C808">
        <v>616129.44299999997</v>
      </c>
      <c r="D808">
        <v>3097337.6310000001</v>
      </c>
      <c r="E808">
        <v>632.23299999999995</v>
      </c>
      <c r="F808">
        <v>5.2</v>
      </c>
      <c r="G808">
        <v>0</v>
      </c>
      <c r="H808" t="s">
        <v>191</v>
      </c>
      <c r="I808">
        <v>0.05</v>
      </c>
      <c r="J808">
        <f t="shared" si="413"/>
        <v>0.99900000000002365</v>
      </c>
      <c r="K808">
        <f t="shared" si="414"/>
        <v>51</v>
      </c>
      <c r="L808" t="e">
        <f t="shared" ca="1" si="415"/>
        <v>#VALUE!</v>
      </c>
      <c r="M808" t="e">
        <f t="shared" ca="1" si="388"/>
        <v>#VALUE!</v>
      </c>
      <c r="N808" t="e">
        <f t="shared" ca="1" si="389"/>
        <v>#VALUE!</v>
      </c>
      <c r="O808" t="e">
        <f t="shared" ca="1" si="390"/>
        <v>#VALUE!</v>
      </c>
      <c r="P808" t="e">
        <f t="shared" ca="1" si="391"/>
        <v>#VALUE!</v>
      </c>
      <c r="Q808" t="e">
        <f t="shared" ca="1" si="392"/>
        <v>#VALUE!</v>
      </c>
      <c r="R808" t="e">
        <f t="shared" ca="1" si="393"/>
        <v>#VALUE!</v>
      </c>
      <c r="S808" t="e">
        <f t="shared" ca="1" si="394"/>
        <v>#VALUE!</v>
      </c>
      <c r="T808" t="e">
        <f t="shared" ca="1" si="395"/>
        <v>#VALUE!</v>
      </c>
      <c r="U808" t="e">
        <f t="shared" ca="1" si="416"/>
        <v>#VALUE!</v>
      </c>
      <c r="V808" t="e">
        <f t="shared" ca="1" si="417"/>
        <v>#VALUE!</v>
      </c>
      <c r="W808" t="e">
        <f t="shared" ca="1" si="396"/>
        <v>#VALUE!</v>
      </c>
      <c r="X808" t="e">
        <f t="shared" ca="1" si="397"/>
        <v>#VALUE!</v>
      </c>
      <c r="Y808" t="e">
        <f t="shared" ca="1" si="398"/>
        <v>#VALUE!</v>
      </c>
      <c r="Z808" t="e">
        <f t="shared" ca="1" si="399"/>
        <v>#VALUE!</v>
      </c>
      <c r="AA808" t="e">
        <f t="shared" ca="1" si="400"/>
        <v>#VALUE!</v>
      </c>
      <c r="AB808" t="e">
        <f t="shared" ca="1" si="401"/>
        <v>#VALUE!</v>
      </c>
      <c r="AC808" t="e">
        <f t="shared" ca="1" si="402"/>
        <v>#VALUE!</v>
      </c>
      <c r="AD808" t="e">
        <f t="shared" ca="1" si="403"/>
        <v>#VALUE!</v>
      </c>
      <c r="AE808" t="e">
        <f t="shared" ca="1" si="404"/>
        <v>#VALUE!</v>
      </c>
      <c r="AF808" t="e">
        <f t="shared" ca="1" si="405"/>
        <v>#VALUE!</v>
      </c>
      <c r="AG808" t="e">
        <f t="shared" ca="1" si="406"/>
        <v>#VALUE!</v>
      </c>
      <c r="AH808" t="e">
        <f ca="1">IF(V32="Supercritical",L808,IF(V32="Subcritical",W808,IF(AND(V808=1,AG808=1),IF(T808&gt;=AE808,L808,W808),IF(V808=1,L808,IF(AG808=1,W808,MAX($D$16,POWER((ABS(K808)^2)/($I$5*MAX(F808,0.1)^2),1/3)))))))</f>
        <v>#VALUE!</v>
      </c>
      <c r="AI808" t="e">
        <f t="shared" ca="1" si="407"/>
        <v>#VALUE!</v>
      </c>
      <c r="AJ808" t="e">
        <f t="shared" ca="1" si="408"/>
        <v>#VALUE!</v>
      </c>
      <c r="AM808">
        <v>0</v>
      </c>
      <c r="AN808">
        <v>0</v>
      </c>
      <c r="AO808">
        <f t="shared" si="409"/>
        <v>0</v>
      </c>
      <c r="AP808">
        <f t="shared" si="418"/>
        <v>0</v>
      </c>
      <c r="AQ808" t="e">
        <f t="shared" ca="1" si="410"/>
        <v>#VALUE!</v>
      </c>
      <c r="AR808" t="e">
        <f t="shared" ca="1" si="411"/>
        <v>#VALUE!</v>
      </c>
      <c r="AS808" t="e">
        <f t="shared" ca="1" si="412"/>
        <v>#VALUE!</v>
      </c>
    </row>
    <row r="809" spans="1:45" x14ac:dyDescent="0.35">
      <c r="A809">
        <v>660</v>
      </c>
      <c r="B809">
        <v>658.89499999999998</v>
      </c>
      <c r="C809">
        <v>616128.96799999999</v>
      </c>
      <c r="D809">
        <v>3097336.7510000002</v>
      </c>
      <c r="E809">
        <v>632.23249999999996</v>
      </c>
      <c r="F809">
        <v>5.2</v>
      </c>
      <c r="G809">
        <v>0</v>
      </c>
      <c r="H809" t="s">
        <v>191</v>
      </c>
      <c r="I809">
        <v>7.8E-2</v>
      </c>
      <c r="J809">
        <f t="shared" si="413"/>
        <v>1</v>
      </c>
      <c r="K809">
        <f t="shared" si="414"/>
        <v>51</v>
      </c>
      <c r="L809" t="e">
        <f t="shared" ca="1" si="415"/>
        <v>#VALUE!</v>
      </c>
      <c r="M809" t="e">
        <f t="shared" ca="1" si="388"/>
        <v>#VALUE!</v>
      </c>
      <c r="N809" t="e">
        <f t="shared" ca="1" si="389"/>
        <v>#VALUE!</v>
      </c>
      <c r="O809" t="e">
        <f t="shared" ca="1" si="390"/>
        <v>#VALUE!</v>
      </c>
      <c r="P809" t="e">
        <f t="shared" ca="1" si="391"/>
        <v>#VALUE!</v>
      </c>
      <c r="Q809" t="e">
        <f t="shared" ca="1" si="392"/>
        <v>#VALUE!</v>
      </c>
      <c r="R809" t="e">
        <f t="shared" ca="1" si="393"/>
        <v>#VALUE!</v>
      </c>
      <c r="S809" t="e">
        <f t="shared" ca="1" si="394"/>
        <v>#VALUE!</v>
      </c>
      <c r="T809" t="e">
        <f t="shared" ca="1" si="395"/>
        <v>#VALUE!</v>
      </c>
      <c r="U809" t="e">
        <f t="shared" ca="1" si="416"/>
        <v>#VALUE!</v>
      </c>
      <c r="V809" t="e">
        <f t="shared" ca="1" si="417"/>
        <v>#VALUE!</v>
      </c>
      <c r="W809" t="e">
        <f t="shared" ca="1" si="396"/>
        <v>#VALUE!</v>
      </c>
      <c r="X809" t="e">
        <f t="shared" ca="1" si="397"/>
        <v>#VALUE!</v>
      </c>
      <c r="Y809" t="e">
        <f t="shared" ca="1" si="398"/>
        <v>#VALUE!</v>
      </c>
      <c r="Z809" t="e">
        <f t="shared" ca="1" si="399"/>
        <v>#VALUE!</v>
      </c>
      <c r="AA809" t="e">
        <f t="shared" ca="1" si="400"/>
        <v>#VALUE!</v>
      </c>
      <c r="AB809" t="e">
        <f t="shared" ca="1" si="401"/>
        <v>#VALUE!</v>
      </c>
      <c r="AC809" t="e">
        <f t="shared" ca="1" si="402"/>
        <v>#VALUE!</v>
      </c>
      <c r="AD809" t="e">
        <f t="shared" ca="1" si="403"/>
        <v>#VALUE!</v>
      </c>
      <c r="AE809" t="e">
        <f t="shared" ca="1" si="404"/>
        <v>#VALUE!</v>
      </c>
      <c r="AF809" t="e">
        <f t="shared" ca="1" si="405"/>
        <v>#VALUE!</v>
      </c>
      <c r="AG809" t="e">
        <f t="shared" ca="1" si="406"/>
        <v>#VALUE!</v>
      </c>
      <c r="AH809" t="e">
        <f ca="1">IF(V32="Supercritical",L809,IF(V32="Subcritical",W809,IF(AND(V809=1,AG809=1),IF(T809&gt;=AE809,L809,W809),IF(V809=1,L809,IF(AG809=1,W809,MAX($D$16,POWER((ABS(K809)^2)/($I$5*MAX(F809,0.1)^2),1/3)))))))</f>
        <v>#VALUE!</v>
      </c>
      <c r="AI809" t="e">
        <f t="shared" ca="1" si="407"/>
        <v>#VALUE!</v>
      </c>
      <c r="AJ809" t="e">
        <f t="shared" ca="1" si="408"/>
        <v>#VALUE!</v>
      </c>
      <c r="AM809">
        <v>0</v>
      </c>
      <c r="AN809">
        <v>0</v>
      </c>
      <c r="AO809">
        <f t="shared" si="409"/>
        <v>0</v>
      </c>
      <c r="AP809">
        <f t="shared" si="418"/>
        <v>0</v>
      </c>
      <c r="AQ809" t="e">
        <f t="shared" ca="1" si="410"/>
        <v>#VALUE!</v>
      </c>
      <c r="AR809" t="e">
        <f t="shared" ca="1" si="411"/>
        <v>#VALUE!</v>
      </c>
      <c r="AS809" t="e">
        <f t="shared" ca="1" si="412"/>
        <v>#VALUE!</v>
      </c>
    </row>
    <row r="810" spans="1:45" x14ac:dyDescent="0.35">
      <c r="A810">
        <v>661</v>
      </c>
      <c r="B810">
        <v>659.89599999999996</v>
      </c>
      <c r="C810">
        <v>616128.49399999995</v>
      </c>
      <c r="D810">
        <v>3097335.87</v>
      </c>
      <c r="E810">
        <v>632.23199999999997</v>
      </c>
      <c r="F810">
        <v>5.2</v>
      </c>
      <c r="G810">
        <v>0</v>
      </c>
      <c r="H810" t="s">
        <v>191</v>
      </c>
      <c r="I810">
        <v>2.7E-2</v>
      </c>
      <c r="J810">
        <f t="shared" si="413"/>
        <v>1.0009999999999764</v>
      </c>
      <c r="K810">
        <f t="shared" si="414"/>
        <v>51</v>
      </c>
      <c r="L810" t="e">
        <f t="shared" ca="1" si="415"/>
        <v>#VALUE!</v>
      </c>
      <c r="M810" t="e">
        <f t="shared" ca="1" si="388"/>
        <v>#VALUE!</v>
      </c>
      <c r="N810" t="e">
        <f t="shared" ca="1" si="389"/>
        <v>#VALUE!</v>
      </c>
      <c r="O810" t="e">
        <f t="shared" ca="1" si="390"/>
        <v>#VALUE!</v>
      </c>
      <c r="P810" t="e">
        <f t="shared" ca="1" si="391"/>
        <v>#VALUE!</v>
      </c>
      <c r="Q810" t="e">
        <f t="shared" ca="1" si="392"/>
        <v>#VALUE!</v>
      </c>
      <c r="R810" t="e">
        <f t="shared" ca="1" si="393"/>
        <v>#VALUE!</v>
      </c>
      <c r="S810" t="e">
        <f t="shared" ca="1" si="394"/>
        <v>#VALUE!</v>
      </c>
      <c r="T810" t="e">
        <f t="shared" ca="1" si="395"/>
        <v>#VALUE!</v>
      </c>
      <c r="U810" t="e">
        <f t="shared" ca="1" si="416"/>
        <v>#VALUE!</v>
      </c>
      <c r="V810" t="e">
        <f t="shared" ca="1" si="417"/>
        <v>#VALUE!</v>
      </c>
      <c r="W810" t="e">
        <f t="shared" ca="1" si="396"/>
        <v>#VALUE!</v>
      </c>
      <c r="X810" t="e">
        <f t="shared" ca="1" si="397"/>
        <v>#VALUE!</v>
      </c>
      <c r="Y810" t="e">
        <f t="shared" ca="1" si="398"/>
        <v>#VALUE!</v>
      </c>
      <c r="Z810" t="e">
        <f t="shared" ca="1" si="399"/>
        <v>#VALUE!</v>
      </c>
      <c r="AA810" t="e">
        <f t="shared" ca="1" si="400"/>
        <v>#VALUE!</v>
      </c>
      <c r="AB810" t="e">
        <f t="shared" ca="1" si="401"/>
        <v>#VALUE!</v>
      </c>
      <c r="AC810" t="e">
        <f t="shared" ca="1" si="402"/>
        <v>#VALUE!</v>
      </c>
      <c r="AD810" t="e">
        <f t="shared" ca="1" si="403"/>
        <v>#VALUE!</v>
      </c>
      <c r="AE810" t="e">
        <f t="shared" ca="1" si="404"/>
        <v>#VALUE!</v>
      </c>
      <c r="AF810" t="e">
        <f t="shared" ca="1" si="405"/>
        <v>#VALUE!</v>
      </c>
      <c r="AG810" t="e">
        <f t="shared" ca="1" si="406"/>
        <v>#VALUE!</v>
      </c>
      <c r="AH810" t="e">
        <f ca="1">IF(V32="Supercritical",L810,IF(V32="Subcritical",W810,IF(AND(V810=1,AG810=1),IF(T810&gt;=AE810,L810,W810),IF(V810=1,L810,IF(AG810=1,W810,MAX($D$16,POWER((ABS(K810)^2)/($I$5*MAX(F810,0.1)^2),1/3)))))))</f>
        <v>#VALUE!</v>
      </c>
      <c r="AI810" t="e">
        <f t="shared" ca="1" si="407"/>
        <v>#VALUE!</v>
      </c>
      <c r="AJ810" t="e">
        <f t="shared" ca="1" si="408"/>
        <v>#VALUE!</v>
      </c>
      <c r="AM810">
        <v>0</v>
      </c>
      <c r="AN810">
        <v>0</v>
      </c>
      <c r="AO810">
        <f t="shared" si="409"/>
        <v>0</v>
      </c>
      <c r="AP810">
        <f t="shared" si="418"/>
        <v>0</v>
      </c>
      <c r="AQ810" t="e">
        <f t="shared" ca="1" si="410"/>
        <v>#VALUE!</v>
      </c>
      <c r="AR810" t="e">
        <f t="shared" ca="1" si="411"/>
        <v>#VALUE!</v>
      </c>
      <c r="AS810" t="e">
        <f t="shared" ca="1" si="412"/>
        <v>#VALUE!</v>
      </c>
    </row>
    <row r="811" spans="1:45" x14ac:dyDescent="0.35">
      <c r="A811">
        <v>662</v>
      </c>
      <c r="B811">
        <v>660.89499999999998</v>
      </c>
      <c r="C811">
        <v>616128.02</v>
      </c>
      <c r="D811">
        <v>3097334.99</v>
      </c>
      <c r="E811">
        <v>632.23149999999998</v>
      </c>
      <c r="F811">
        <v>5.2</v>
      </c>
      <c r="G811">
        <v>0</v>
      </c>
      <c r="H811" t="s">
        <v>191</v>
      </c>
      <c r="I811">
        <v>2.7E-2</v>
      </c>
      <c r="J811">
        <f t="shared" si="413"/>
        <v>0.99900000000002365</v>
      </c>
      <c r="K811">
        <f t="shared" si="414"/>
        <v>51</v>
      </c>
      <c r="L811" t="e">
        <f t="shared" ca="1" si="415"/>
        <v>#VALUE!</v>
      </c>
      <c r="M811" t="e">
        <f t="shared" ca="1" si="388"/>
        <v>#VALUE!</v>
      </c>
      <c r="N811" t="e">
        <f t="shared" ca="1" si="389"/>
        <v>#VALUE!</v>
      </c>
      <c r="O811" t="e">
        <f t="shared" ca="1" si="390"/>
        <v>#VALUE!</v>
      </c>
      <c r="P811" t="e">
        <f t="shared" ca="1" si="391"/>
        <v>#VALUE!</v>
      </c>
      <c r="Q811" t="e">
        <f t="shared" ca="1" si="392"/>
        <v>#VALUE!</v>
      </c>
      <c r="R811" t="e">
        <f t="shared" ca="1" si="393"/>
        <v>#VALUE!</v>
      </c>
      <c r="S811" t="e">
        <f t="shared" ca="1" si="394"/>
        <v>#VALUE!</v>
      </c>
      <c r="T811" t="e">
        <f t="shared" ca="1" si="395"/>
        <v>#VALUE!</v>
      </c>
      <c r="U811" t="e">
        <f t="shared" ca="1" si="416"/>
        <v>#VALUE!</v>
      </c>
      <c r="V811" t="e">
        <f t="shared" ca="1" si="417"/>
        <v>#VALUE!</v>
      </c>
      <c r="W811" t="e">
        <f t="shared" ca="1" si="396"/>
        <v>#VALUE!</v>
      </c>
      <c r="X811" t="e">
        <f t="shared" ca="1" si="397"/>
        <v>#VALUE!</v>
      </c>
      <c r="Y811" t="e">
        <f t="shared" ca="1" si="398"/>
        <v>#VALUE!</v>
      </c>
      <c r="Z811" t="e">
        <f t="shared" ca="1" si="399"/>
        <v>#VALUE!</v>
      </c>
      <c r="AA811" t="e">
        <f t="shared" ca="1" si="400"/>
        <v>#VALUE!</v>
      </c>
      <c r="AB811" t="e">
        <f t="shared" ca="1" si="401"/>
        <v>#VALUE!</v>
      </c>
      <c r="AC811" t="e">
        <f t="shared" ca="1" si="402"/>
        <v>#VALUE!</v>
      </c>
      <c r="AD811" t="e">
        <f t="shared" ca="1" si="403"/>
        <v>#VALUE!</v>
      </c>
      <c r="AE811" t="e">
        <f t="shared" ca="1" si="404"/>
        <v>#VALUE!</v>
      </c>
      <c r="AF811" t="e">
        <f t="shared" ca="1" si="405"/>
        <v>#VALUE!</v>
      </c>
      <c r="AG811" t="e">
        <f t="shared" ca="1" si="406"/>
        <v>#VALUE!</v>
      </c>
      <c r="AH811" t="e">
        <f ca="1">IF(V32="Supercritical",L811,IF(V32="Subcritical",W811,IF(AND(V811=1,AG811=1),IF(T811&gt;=AE811,L811,W811),IF(V811=1,L811,IF(AG811=1,W811,MAX($D$16,POWER((ABS(K811)^2)/($I$5*MAX(F811,0.1)^2),1/3)))))))</f>
        <v>#VALUE!</v>
      </c>
      <c r="AI811" t="e">
        <f t="shared" ca="1" si="407"/>
        <v>#VALUE!</v>
      </c>
      <c r="AJ811" t="e">
        <f t="shared" ca="1" si="408"/>
        <v>#VALUE!</v>
      </c>
      <c r="AM811">
        <v>0</v>
      </c>
      <c r="AN811">
        <v>0</v>
      </c>
      <c r="AO811">
        <f t="shared" si="409"/>
        <v>0</v>
      </c>
      <c r="AP811">
        <f t="shared" si="418"/>
        <v>0</v>
      </c>
      <c r="AQ811" t="e">
        <f t="shared" ca="1" si="410"/>
        <v>#VALUE!</v>
      </c>
      <c r="AR811" t="e">
        <f t="shared" ca="1" si="411"/>
        <v>#VALUE!</v>
      </c>
      <c r="AS811" t="e">
        <f t="shared" ca="1" si="412"/>
        <v>#VALUE!</v>
      </c>
    </row>
    <row r="812" spans="1:45" x14ac:dyDescent="0.35">
      <c r="A812">
        <v>663</v>
      </c>
      <c r="B812">
        <v>661.89499999999998</v>
      </c>
      <c r="C812">
        <v>616127.54599999997</v>
      </c>
      <c r="D812">
        <v>3097334.1090000002</v>
      </c>
      <c r="E812">
        <v>632.23099999999999</v>
      </c>
      <c r="F812">
        <v>5.2</v>
      </c>
      <c r="G812">
        <v>0</v>
      </c>
      <c r="H812" t="s">
        <v>191</v>
      </c>
      <c r="I812">
        <v>7.8E-2</v>
      </c>
      <c r="J812">
        <f t="shared" si="413"/>
        <v>1</v>
      </c>
      <c r="K812">
        <f t="shared" si="414"/>
        <v>51</v>
      </c>
      <c r="L812" t="e">
        <f t="shared" ca="1" si="415"/>
        <v>#VALUE!</v>
      </c>
      <c r="M812" t="e">
        <f t="shared" ca="1" si="388"/>
        <v>#VALUE!</v>
      </c>
      <c r="N812" t="e">
        <f t="shared" ca="1" si="389"/>
        <v>#VALUE!</v>
      </c>
      <c r="O812" t="e">
        <f t="shared" ca="1" si="390"/>
        <v>#VALUE!</v>
      </c>
      <c r="P812" t="e">
        <f t="shared" ca="1" si="391"/>
        <v>#VALUE!</v>
      </c>
      <c r="Q812" t="e">
        <f t="shared" ca="1" si="392"/>
        <v>#VALUE!</v>
      </c>
      <c r="R812" t="e">
        <f t="shared" ca="1" si="393"/>
        <v>#VALUE!</v>
      </c>
      <c r="S812" t="e">
        <f t="shared" ca="1" si="394"/>
        <v>#VALUE!</v>
      </c>
      <c r="T812" t="e">
        <f t="shared" ca="1" si="395"/>
        <v>#VALUE!</v>
      </c>
      <c r="U812" t="e">
        <f t="shared" ca="1" si="416"/>
        <v>#VALUE!</v>
      </c>
      <c r="V812" t="e">
        <f t="shared" ca="1" si="417"/>
        <v>#VALUE!</v>
      </c>
      <c r="W812" t="e">
        <f t="shared" ca="1" si="396"/>
        <v>#VALUE!</v>
      </c>
      <c r="X812" t="e">
        <f t="shared" ca="1" si="397"/>
        <v>#VALUE!</v>
      </c>
      <c r="Y812" t="e">
        <f t="shared" ca="1" si="398"/>
        <v>#VALUE!</v>
      </c>
      <c r="Z812" t="e">
        <f t="shared" ca="1" si="399"/>
        <v>#VALUE!</v>
      </c>
      <c r="AA812" t="e">
        <f t="shared" ca="1" si="400"/>
        <v>#VALUE!</v>
      </c>
      <c r="AB812" t="e">
        <f t="shared" ca="1" si="401"/>
        <v>#VALUE!</v>
      </c>
      <c r="AC812" t="e">
        <f t="shared" ca="1" si="402"/>
        <v>#VALUE!</v>
      </c>
      <c r="AD812" t="e">
        <f t="shared" ca="1" si="403"/>
        <v>#VALUE!</v>
      </c>
      <c r="AE812" t="e">
        <f t="shared" ca="1" si="404"/>
        <v>#VALUE!</v>
      </c>
      <c r="AF812" t="e">
        <f t="shared" ca="1" si="405"/>
        <v>#VALUE!</v>
      </c>
      <c r="AG812" t="e">
        <f t="shared" ca="1" si="406"/>
        <v>#VALUE!</v>
      </c>
      <c r="AH812" t="e">
        <f ca="1">IF(V32="Supercritical",L812,IF(V32="Subcritical",W812,IF(AND(V812=1,AG812=1),IF(T812&gt;=AE812,L812,W812),IF(V812=1,L812,IF(AG812=1,W812,MAX($D$16,POWER((ABS(K812)^2)/($I$5*MAX(F812,0.1)^2),1/3)))))))</f>
        <v>#VALUE!</v>
      </c>
      <c r="AI812" t="e">
        <f t="shared" ca="1" si="407"/>
        <v>#VALUE!</v>
      </c>
      <c r="AJ812" t="e">
        <f t="shared" ca="1" si="408"/>
        <v>#VALUE!</v>
      </c>
      <c r="AM812">
        <v>0</v>
      </c>
      <c r="AN812">
        <v>0</v>
      </c>
      <c r="AO812">
        <f t="shared" si="409"/>
        <v>0</v>
      </c>
      <c r="AP812">
        <f t="shared" si="418"/>
        <v>0</v>
      </c>
      <c r="AQ812" t="e">
        <f t="shared" ca="1" si="410"/>
        <v>#VALUE!</v>
      </c>
      <c r="AR812" t="e">
        <f t="shared" ca="1" si="411"/>
        <v>#VALUE!</v>
      </c>
      <c r="AS812" t="e">
        <f t="shared" ca="1" si="412"/>
        <v>#VALUE!</v>
      </c>
    </row>
    <row r="813" spans="1:45" x14ac:dyDescent="0.35">
      <c r="A813">
        <v>664</v>
      </c>
      <c r="B813">
        <v>662.89499999999998</v>
      </c>
      <c r="C813">
        <v>616127.071</v>
      </c>
      <c r="D813">
        <v>3097333.2289999998</v>
      </c>
      <c r="E813">
        <v>632.23050000000001</v>
      </c>
      <c r="F813">
        <v>5.2</v>
      </c>
      <c r="G813">
        <v>0</v>
      </c>
      <c r="H813" t="s">
        <v>191</v>
      </c>
      <c r="I813">
        <v>0.05</v>
      </c>
      <c r="J813">
        <f t="shared" si="413"/>
        <v>1</v>
      </c>
      <c r="K813">
        <f t="shared" si="414"/>
        <v>51</v>
      </c>
      <c r="L813" t="e">
        <f t="shared" ca="1" si="415"/>
        <v>#VALUE!</v>
      </c>
      <c r="M813" t="e">
        <f t="shared" ca="1" si="388"/>
        <v>#VALUE!</v>
      </c>
      <c r="N813" t="e">
        <f t="shared" ca="1" si="389"/>
        <v>#VALUE!</v>
      </c>
      <c r="O813" t="e">
        <f t="shared" ca="1" si="390"/>
        <v>#VALUE!</v>
      </c>
      <c r="P813" t="e">
        <f t="shared" ca="1" si="391"/>
        <v>#VALUE!</v>
      </c>
      <c r="Q813" t="e">
        <f t="shared" ca="1" si="392"/>
        <v>#VALUE!</v>
      </c>
      <c r="R813" t="e">
        <f t="shared" ca="1" si="393"/>
        <v>#VALUE!</v>
      </c>
      <c r="S813" t="e">
        <f t="shared" ca="1" si="394"/>
        <v>#VALUE!</v>
      </c>
      <c r="T813" t="e">
        <f t="shared" ca="1" si="395"/>
        <v>#VALUE!</v>
      </c>
      <c r="U813" t="e">
        <f t="shared" ca="1" si="416"/>
        <v>#VALUE!</v>
      </c>
      <c r="V813" t="e">
        <f t="shared" ca="1" si="417"/>
        <v>#VALUE!</v>
      </c>
      <c r="W813" t="e">
        <f t="shared" ca="1" si="396"/>
        <v>#VALUE!</v>
      </c>
      <c r="X813" t="e">
        <f t="shared" ca="1" si="397"/>
        <v>#VALUE!</v>
      </c>
      <c r="Y813" t="e">
        <f t="shared" ca="1" si="398"/>
        <v>#VALUE!</v>
      </c>
      <c r="Z813" t="e">
        <f t="shared" ca="1" si="399"/>
        <v>#VALUE!</v>
      </c>
      <c r="AA813" t="e">
        <f t="shared" ca="1" si="400"/>
        <v>#VALUE!</v>
      </c>
      <c r="AB813" t="e">
        <f t="shared" ca="1" si="401"/>
        <v>#VALUE!</v>
      </c>
      <c r="AC813" t="e">
        <f t="shared" ca="1" si="402"/>
        <v>#VALUE!</v>
      </c>
      <c r="AD813" t="e">
        <f t="shared" ca="1" si="403"/>
        <v>#VALUE!</v>
      </c>
      <c r="AE813" t="e">
        <f t="shared" ca="1" si="404"/>
        <v>#VALUE!</v>
      </c>
      <c r="AF813" t="e">
        <f t="shared" ca="1" si="405"/>
        <v>#VALUE!</v>
      </c>
      <c r="AG813" t="e">
        <f t="shared" ca="1" si="406"/>
        <v>#VALUE!</v>
      </c>
      <c r="AH813" t="e">
        <f ca="1">IF(V32="Supercritical",L813,IF(V32="Subcritical",W813,IF(AND(V813=1,AG813=1),IF(T813&gt;=AE813,L813,W813),IF(V813=1,L813,IF(AG813=1,W813,MAX($D$16,POWER((ABS(K813)^2)/($I$5*MAX(F813,0.1)^2),1/3)))))))</f>
        <v>#VALUE!</v>
      </c>
      <c r="AI813" t="e">
        <f t="shared" ca="1" si="407"/>
        <v>#VALUE!</v>
      </c>
      <c r="AJ813" t="e">
        <f t="shared" ca="1" si="408"/>
        <v>#VALUE!</v>
      </c>
      <c r="AM813">
        <v>0</v>
      </c>
      <c r="AN813">
        <v>0</v>
      </c>
      <c r="AO813">
        <f t="shared" si="409"/>
        <v>0</v>
      </c>
      <c r="AP813">
        <f t="shared" si="418"/>
        <v>0</v>
      </c>
      <c r="AQ813" t="e">
        <f t="shared" ca="1" si="410"/>
        <v>#VALUE!</v>
      </c>
      <c r="AR813" t="e">
        <f t="shared" ca="1" si="411"/>
        <v>#VALUE!</v>
      </c>
      <c r="AS813" t="e">
        <f t="shared" ca="1" si="412"/>
        <v>#VALUE!</v>
      </c>
    </row>
    <row r="814" spans="1:45" x14ac:dyDescent="0.35">
      <c r="A814">
        <v>665</v>
      </c>
      <c r="B814">
        <v>663.89499999999998</v>
      </c>
      <c r="C814">
        <v>616126.59699999995</v>
      </c>
      <c r="D814">
        <v>3097332.3489999999</v>
      </c>
      <c r="E814">
        <v>632.23</v>
      </c>
      <c r="F814">
        <v>5.2</v>
      </c>
      <c r="G814">
        <v>0</v>
      </c>
      <c r="H814" t="s">
        <v>191</v>
      </c>
      <c r="I814">
        <v>2.7E-2</v>
      </c>
      <c r="J814">
        <f t="shared" si="413"/>
        <v>1</v>
      </c>
      <c r="K814">
        <f t="shared" si="414"/>
        <v>51</v>
      </c>
      <c r="L814" t="e">
        <f t="shared" ca="1" si="415"/>
        <v>#VALUE!</v>
      </c>
      <c r="M814" t="e">
        <f t="shared" ca="1" si="388"/>
        <v>#VALUE!</v>
      </c>
      <c r="N814" t="e">
        <f t="shared" ca="1" si="389"/>
        <v>#VALUE!</v>
      </c>
      <c r="O814" t="e">
        <f t="shared" ca="1" si="390"/>
        <v>#VALUE!</v>
      </c>
      <c r="P814" t="e">
        <f t="shared" ca="1" si="391"/>
        <v>#VALUE!</v>
      </c>
      <c r="Q814" t="e">
        <f t="shared" ca="1" si="392"/>
        <v>#VALUE!</v>
      </c>
      <c r="R814" t="e">
        <f t="shared" ca="1" si="393"/>
        <v>#VALUE!</v>
      </c>
      <c r="S814" t="e">
        <f t="shared" ca="1" si="394"/>
        <v>#VALUE!</v>
      </c>
      <c r="T814" t="e">
        <f t="shared" ca="1" si="395"/>
        <v>#VALUE!</v>
      </c>
      <c r="U814" t="e">
        <f t="shared" ca="1" si="416"/>
        <v>#VALUE!</v>
      </c>
      <c r="V814" t="e">
        <f t="shared" ca="1" si="417"/>
        <v>#VALUE!</v>
      </c>
      <c r="W814" t="e">
        <f t="shared" ca="1" si="396"/>
        <v>#VALUE!</v>
      </c>
      <c r="X814" t="e">
        <f t="shared" ca="1" si="397"/>
        <v>#VALUE!</v>
      </c>
      <c r="Y814" t="e">
        <f t="shared" ca="1" si="398"/>
        <v>#VALUE!</v>
      </c>
      <c r="Z814" t="e">
        <f t="shared" ca="1" si="399"/>
        <v>#VALUE!</v>
      </c>
      <c r="AA814" t="e">
        <f t="shared" ca="1" si="400"/>
        <v>#VALUE!</v>
      </c>
      <c r="AB814" t="e">
        <f t="shared" ca="1" si="401"/>
        <v>#VALUE!</v>
      </c>
      <c r="AC814" t="e">
        <f t="shared" ca="1" si="402"/>
        <v>#VALUE!</v>
      </c>
      <c r="AD814" t="e">
        <f t="shared" ca="1" si="403"/>
        <v>#VALUE!</v>
      </c>
      <c r="AE814" t="e">
        <f t="shared" ca="1" si="404"/>
        <v>#VALUE!</v>
      </c>
      <c r="AF814" t="e">
        <f t="shared" ca="1" si="405"/>
        <v>#VALUE!</v>
      </c>
      <c r="AG814" t="e">
        <f t="shared" ca="1" si="406"/>
        <v>#VALUE!</v>
      </c>
      <c r="AH814" t="e">
        <f ca="1">IF(V32="Supercritical",L814,IF(V32="Subcritical",W814,IF(AND(V814=1,AG814=1),IF(T814&gt;=AE814,L814,W814),IF(V814=1,L814,IF(AG814=1,W814,MAX($D$16,POWER((ABS(K814)^2)/($I$5*MAX(F814,0.1)^2),1/3)))))))</f>
        <v>#VALUE!</v>
      </c>
      <c r="AI814" t="e">
        <f t="shared" ca="1" si="407"/>
        <v>#VALUE!</v>
      </c>
      <c r="AJ814" t="e">
        <f t="shared" ca="1" si="408"/>
        <v>#VALUE!</v>
      </c>
      <c r="AM814">
        <v>0</v>
      </c>
      <c r="AN814">
        <v>0</v>
      </c>
      <c r="AO814">
        <f t="shared" si="409"/>
        <v>0</v>
      </c>
      <c r="AP814">
        <f t="shared" si="418"/>
        <v>0</v>
      </c>
      <c r="AQ814" t="e">
        <f t="shared" ca="1" si="410"/>
        <v>#VALUE!</v>
      </c>
      <c r="AR814" t="e">
        <f t="shared" ca="1" si="411"/>
        <v>#VALUE!</v>
      </c>
      <c r="AS814" t="e">
        <f t="shared" ca="1" si="412"/>
        <v>#VALUE!</v>
      </c>
    </row>
    <row r="815" spans="1:45" x14ac:dyDescent="0.35">
      <c r="A815">
        <v>666</v>
      </c>
      <c r="B815">
        <v>664.89499999999998</v>
      </c>
      <c r="C815">
        <v>616126.12300000002</v>
      </c>
      <c r="D815">
        <v>3097331.4679999999</v>
      </c>
      <c r="E815">
        <v>632.22950000000003</v>
      </c>
      <c r="F815">
        <v>5.2</v>
      </c>
      <c r="G815">
        <v>0</v>
      </c>
      <c r="H815" t="s">
        <v>191</v>
      </c>
      <c r="I815">
        <v>2.7E-2</v>
      </c>
      <c r="J815">
        <f t="shared" si="413"/>
        <v>1</v>
      </c>
      <c r="K815">
        <f t="shared" si="414"/>
        <v>51</v>
      </c>
      <c r="L815" t="e">
        <f t="shared" ca="1" si="415"/>
        <v>#VALUE!</v>
      </c>
      <c r="M815" t="e">
        <f t="shared" ca="1" si="388"/>
        <v>#VALUE!</v>
      </c>
      <c r="N815" t="e">
        <f t="shared" ca="1" si="389"/>
        <v>#VALUE!</v>
      </c>
      <c r="O815" t="e">
        <f t="shared" ca="1" si="390"/>
        <v>#VALUE!</v>
      </c>
      <c r="P815" t="e">
        <f t="shared" ca="1" si="391"/>
        <v>#VALUE!</v>
      </c>
      <c r="Q815" t="e">
        <f t="shared" ca="1" si="392"/>
        <v>#VALUE!</v>
      </c>
      <c r="R815" t="e">
        <f t="shared" ca="1" si="393"/>
        <v>#VALUE!</v>
      </c>
      <c r="S815" t="e">
        <f t="shared" ca="1" si="394"/>
        <v>#VALUE!</v>
      </c>
      <c r="T815" t="e">
        <f t="shared" ca="1" si="395"/>
        <v>#VALUE!</v>
      </c>
      <c r="U815" t="e">
        <f t="shared" ca="1" si="416"/>
        <v>#VALUE!</v>
      </c>
      <c r="V815" t="e">
        <f t="shared" ca="1" si="417"/>
        <v>#VALUE!</v>
      </c>
      <c r="W815" t="e">
        <f t="shared" ca="1" si="396"/>
        <v>#VALUE!</v>
      </c>
      <c r="X815" t="e">
        <f t="shared" ca="1" si="397"/>
        <v>#VALUE!</v>
      </c>
      <c r="Y815" t="e">
        <f t="shared" ca="1" si="398"/>
        <v>#VALUE!</v>
      </c>
      <c r="Z815" t="e">
        <f t="shared" ca="1" si="399"/>
        <v>#VALUE!</v>
      </c>
      <c r="AA815" t="e">
        <f t="shared" ca="1" si="400"/>
        <v>#VALUE!</v>
      </c>
      <c r="AB815" t="e">
        <f t="shared" ca="1" si="401"/>
        <v>#VALUE!</v>
      </c>
      <c r="AC815" t="e">
        <f t="shared" ca="1" si="402"/>
        <v>#VALUE!</v>
      </c>
      <c r="AD815" t="e">
        <f t="shared" ca="1" si="403"/>
        <v>#VALUE!</v>
      </c>
      <c r="AE815" t="e">
        <f t="shared" ca="1" si="404"/>
        <v>#VALUE!</v>
      </c>
      <c r="AF815" t="e">
        <f t="shared" ca="1" si="405"/>
        <v>#VALUE!</v>
      </c>
      <c r="AG815" t="e">
        <f t="shared" ca="1" si="406"/>
        <v>#VALUE!</v>
      </c>
      <c r="AH815" t="e">
        <f ca="1">IF(V32="Supercritical",L815,IF(V32="Subcritical",W815,IF(AND(V815=1,AG815=1),IF(T815&gt;=AE815,L815,W815),IF(V815=1,L815,IF(AG815=1,W815,MAX($D$16,POWER((ABS(K815)^2)/($I$5*MAX(F815,0.1)^2),1/3)))))))</f>
        <v>#VALUE!</v>
      </c>
      <c r="AI815" t="e">
        <f t="shared" ca="1" si="407"/>
        <v>#VALUE!</v>
      </c>
      <c r="AJ815" t="e">
        <f t="shared" ca="1" si="408"/>
        <v>#VALUE!</v>
      </c>
      <c r="AM815">
        <v>0</v>
      </c>
      <c r="AN815">
        <v>0</v>
      </c>
      <c r="AO815">
        <f t="shared" si="409"/>
        <v>0</v>
      </c>
      <c r="AP815">
        <f t="shared" si="418"/>
        <v>0</v>
      </c>
      <c r="AQ815" t="e">
        <f t="shared" ca="1" si="410"/>
        <v>#VALUE!</v>
      </c>
      <c r="AR815" t="e">
        <f t="shared" ca="1" si="411"/>
        <v>#VALUE!</v>
      </c>
      <c r="AS815" t="e">
        <f t="shared" ca="1" si="412"/>
        <v>#VALUE!</v>
      </c>
    </row>
    <row r="816" spans="1:45" x14ac:dyDescent="0.35">
      <c r="A816">
        <v>667</v>
      </c>
      <c r="B816">
        <v>665.89499999999998</v>
      </c>
      <c r="C816">
        <v>616125.64899999998</v>
      </c>
      <c r="D816">
        <v>3097330.588</v>
      </c>
      <c r="E816">
        <v>632.22900000000004</v>
      </c>
      <c r="F816">
        <v>5.2</v>
      </c>
      <c r="G816">
        <v>0</v>
      </c>
      <c r="H816" t="s">
        <v>191</v>
      </c>
      <c r="I816">
        <v>2.7E-2</v>
      </c>
      <c r="J816">
        <f t="shared" si="413"/>
        <v>1</v>
      </c>
      <c r="K816">
        <f t="shared" si="414"/>
        <v>51</v>
      </c>
      <c r="L816" t="e">
        <f t="shared" ca="1" si="415"/>
        <v>#VALUE!</v>
      </c>
      <c r="M816" t="e">
        <f t="shared" ca="1" si="388"/>
        <v>#VALUE!</v>
      </c>
      <c r="N816" t="e">
        <f t="shared" ca="1" si="389"/>
        <v>#VALUE!</v>
      </c>
      <c r="O816" t="e">
        <f t="shared" ca="1" si="390"/>
        <v>#VALUE!</v>
      </c>
      <c r="P816" t="e">
        <f t="shared" ca="1" si="391"/>
        <v>#VALUE!</v>
      </c>
      <c r="Q816" t="e">
        <f t="shared" ca="1" si="392"/>
        <v>#VALUE!</v>
      </c>
      <c r="R816" t="e">
        <f t="shared" ca="1" si="393"/>
        <v>#VALUE!</v>
      </c>
      <c r="S816" t="e">
        <f t="shared" ca="1" si="394"/>
        <v>#VALUE!</v>
      </c>
      <c r="T816" t="e">
        <f t="shared" ca="1" si="395"/>
        <v>#VALUE!</v>
      </c>
      <c r="U816" t="e">
        <f t="shared" ca="1" si="416"/>
        <v>#VALUE!</v>
      </c>
      <c r="V816" t="e">
        <f t="shared" ca="1" si="417"/>
        <v>#VALUE!</v>
      </c>
      <c r="W816" t="e">
        <f t="shared" ca="1" si="396"/>
        <v>#VALUE!</v>
      </c>
      <c r="X816" t="e">
        <f t="shared" ca="1" si="397"/>
        <v>#VALUE!</v>
      </c>
      <c r="Y816" t="e">
        <f t="shared" ca="1" si="398"/>
        <v>#VALUE!</v>
      </c>
      <c r="Z816" t="e">
        <f t="shared" ca="1" si="399"/>
        <v>#VALUE!</v>
      </c>
      <c r="AA816" t="e">
        <f t="shared" ca="1" si="400"/>
        <v>#VALUE!</v>
      </c>
      <c r="AB816" t="e">
        <f t="shared" ca="1" si="401"/>
        <v>#VALUE!</v>
      </c>
      <c r="AC816" t="e">
        <f t="shared" ca="1" si="402"/>
        <v>#VALUE!</v>
      </c>
      <c r="AD816" t="e">
        <f t="shared" ca="1" si="403"/>
        <v>#VALUE!</v>
      </c>
      <c r="AE816" t="e">
        <f t="shared" ca="1" si="404"/>
        <v>#VALUE!</v>
      </c>
      <c r="AF816" t="e">
        <f t="shared" ca="1" si="405"/>
        <v>#VALUE!</v>
      </c>
      <c r="AG816" t="e">
        <f t="shared" ca="1" si="406"/>
        <v>#VALUE!</v>
      </c>
      <c r="AH816" t="e">
        <f ca="1">IF(V32="Supercritical",L816,IF(V32="Subcritical",W816,IF(AND(V816=1,AG816=1),IF(T816&gt;=AE816,L816,W816),IF(V816=1,L816,IF(AG816=1,W816,MAX($D$16,POWER((ABS(K816)^2)/($I$5*MAX(F816,0.1)^2),1/3)))))))</f>
        <v>#VALUE!</v>
      </c>
      <c r="AI816" t="e">
        <f t="shared" ca="1" si="407"/>
        <v>#VALUE!</v>
      </c>
      <c r="AJ816" t="e">
        <f t="shared" ca="1" si="408"/>
        <v>#VALUE!</v>
      </c>
      <c r="AM816">
        <v>0</v>
      </c>
      <c r="AN816">
        <v>0</v>
      </c>
      <c r="AO816">
        <f t="shared" si="409"/>
        <v>0</v>
      </c>
      <c r="AP816">
        <f t="shared" si="418"/>
        <v>0</v>
      </c>
      <c r="AQ816" t="e">
        <f t="shared" ca="1" si="410"/>
        <v>#VALUE!</v>
      </c>
      <c r="AR816" t="e">
        <f t="shared" ca="1" si="411"/>
        <v>#VALUE!</v>
      </c>
      <c r="AS816" t="e">
        <f t="shared" ca="1" si="412"/>
        <v>#VALUE!</v>
      </c>
    </row>
    <row r="817" spans="1:45" x14ac:dyDescent="0.35">
      <c r="A817">
        <v>668</v>
      </c>
      <c r="B817">
        <v>666.89499999999998</v>
      </c>
      <c r="C817">
        <v>616125.17500000005</v>
      </c>
      <c r="D817">
        <v>3097329.7069999999</v>
      </c>
      <c r="E817">
        <v>632.22850000000005</v>
      </c>
      <c r="F817">
        <v>5.2</v>
      </c>
      <c r="G817">
        <v>0</v>
      </c>
      <c r="H817" t="s">
        <v>191</v>
      </c>
      <c r="I817">
        <v>7.8E-2</v>
      </c>
      <c r="J817">
        <f t="shared" si="413"/>
        <v>1</v>
      </c>
      <c r="K817">
        <f t="shared" si="414"/>
        <v>51</v>
      </c>
      <c r="L817" t="e">
        <f t="shared" ca="1" si="415"/>
        <v>#VALUE!</v>
      </c>
      <c r="M817" t="e">
        <f t="shared" ca="1" si="388"/>
        <v>#VALUE!</v>
      </c>
      <c r="N817" t="e">
        <f t="shared" ca="1" si="389"/>
        <v>#VALUE!</v>
      </c>
      <c r="O817" t="e">
        <f t="shared" ca="1" si="390"/>
        <v>#VALUE!</v>
      </c>
      <c r="P817" t="e">
        <f t="shared" ca="1" si="391"/>
        <v>#VALUE!</v>
      </c>
      <c r="Q817" t="e">
        <f t="shared" ca="1" si="392"/>
        <v>#VALUE!</v>
      </c>
      <c r="R817" t="e">
        <f t="shared" ca="1" si="393"/>
        <v>#VALUE!</v>
      </c>
      <c r="S817" t="e">
        <f t="shared" ca="1" si="394"/>
        <v>#VALUE!</v>
      </c>
      <c r="T817" t="e">
        <f t="shared" ca="1" si="395"/>
        <v>#VALUE!</v>
      </c>
      <c r="U817" t="e">
        <f t="shared" ca="1" si="416"/>
        <v>#VALUE!</v>
      </c>
      <c r="V817" t="e">
        <f t="shared" ca="1" si="417"/>
        <v>#VALUE!</v>
      </c>
      <c r="W817" t="e">
        <f t="shared" ca="1" si="396"/>
        <v>#VALUE!</v>
      </c>
      <c r="X817" t="e">
        <f t="shared" ca="1" si="397"/>
        <v>#VALUE!</v>
      </c>
      <c r="Y817" t="e">
        <f t="shared" ca="1" si="398"/>
        <v>#VALUE!</v>
      </c>
      <c r="Z817" t="e">
        <f t="shared" ca="1" si="399"/>
        <v>#VALUE!</v>
      </c>
      <c r="AA817" t="e">
        <f t="shared" ca="1" si="400"/>
        <v>#VALUE!</v>
      </c>
      <c r="AB817" t="e">
        <f t="shared" ca="1" si="401"/>
        <v>#VALUE!</v>
      </c>
      <c r="AC817" t="e">
        <f t="shared" ca="1" si="402"/>
        <v>#VALUE!</v>
      </c>
      <c r="AD817" t="e">
        <f t="shared" ca="1" si="403"/>
        <v>#VALUE!</v>
      </c>
      <c r="AE817" t="e">
        <f t="shared" ca="1" si="404"/>
        <v>#VALUE!</v>
      </c>
      <c r="AF817" t="e">
        <f t="shared" ca="1" si="405"/>
        <v>#VALUE!</v>
      </c>
      <c r="AG817" t="e">
        <f t="shared" ca="1" si="406"/>
        <v>#VALUE!</v>
      </c>
      <c r="AH817" t="e">
        <f ca="1">IF(V32="Supercritical",L817,IF(V32="Subcritical",W817,IF(AND(V817=1,AG817=1),IF(T817&gt;=AE817,L817,W817),IF(V817=1,L817,IF(AG817=1,W817,MAX($D$16,POWER((ABS(K817)^2)/($I$5*MAX(F817,0.1)^2),1/3)))))))</f>
        <v>#VALUE!</v>
      </c>
      <c r="AI817" t="e">
        <f t="shared" ca="1" si="407"/>
        <v>#VALUE!</v>
      </c>
      <c r="AJ817" t="e">
        <f t="shared" ca="1" si="408"/>
        <v>#VALUE!</v>
      </c>
      <c r="AM817">
        <v>0</v>
      </c>
      <c r="AN817">
        <v>0</v>
      </c>
      <c r="AO817">
        <f t="shared" si="409"/>
        <v>0</v>
      </c>
      <c r="AP817">
        <f t="shared" si="418"/>
        <v>0</v>
      </c>
      <c r="AQ817" t="e">
        <f t="shared" ca="1" si="410"/>
        <v>#VALUE!</v>
      </c>
      <c r="AR817" t="e">
        <f t="shared" ca="1" si="411"/>
        <v>#VALUE!</v>
      </c>
      <c r="AS817" t="e">
        <f t="shared" ca="1" si="412"/>
        <v>#VALUE!</v>
      </c>
    </row>
    <row r="818" spans="1:45" x14ac:dyDescent="0.35">
      <c r="A818">
        <v>669</v>
      </c>
      <c r="B818">
        <v>667.89499999999998</v>
      </c>
      <c r="C818">
        <v>616124.69999999995</v>
      </c>
      <c r="D818">
        <v>3097328.827</v>
      </c>
      <c r="E818">
        <v>632.22799999999995</v>
      </c>
      <c r="F818">
        <v>5.2</v>
      </c>
      <c r="G818">
        <v>0</v>
      </c>
      <c r="H818" t="s">
        <v>191</v>
      </c>
      <c r="I818">
        <v>0.05</v>
      </c>
      <c r="J818">
        <f t="shared" si="413"/>
        <v>1</v>
      </c>
      <c r="K818">
        <f t="shared" si="414"/>
        <v>51</v>
      </c>
      <c r="L818" t="e">
        <f t="shared" ca="1" si="415"/>
        <v>#VALUE!</v>
      </c>
      <c r="M818" t="e">
        <f t="shared" ca="1" si="388"/>
        <v>#VALUE!</v>
      </c>
      <c r="N818" t="e">
        <f t="shared" ca="1" si="389"/>
        <v>#VALUE!</v>
      </c>
      <c r="O818" t="e">
        <f t="shared" ca="1" si="390"/>
        <v>#VALUE!</v>
      </c>
      <c r="P818" t="e">
        <f t="shared" ca="1" si="391"/>
        <v>#VALUE!</v>
      </c>
      <c r="Q818" t="e">
        <f t="shared" ca="1" si="392"/>
        <v>#VALUE!</v>
      </c>
      <c r="R818" t="e">
        <f t="shared" ca="1" si="393"/>
        <v>#VALUE!</v>
      </c>
      <c r="S818" t="e">
        <f t="shared" ca="1" si="394"/>
        <v>#VALUE!</v>
      </c>
      <c r="T818" t="e">
        <f t="shared" ca="1" si="395"/>
        <v>#VALUE!</v>
      </c>
      <c r="U818" t="e">
        <f t="shared" ca="1" si="416"/>
        <v>#VALUE!</v>
      </c>
      <c r="V818" t="e">
        <f t="shared" ca="1" si="417"/>
        <v>#VALUE!</v>
      </c>
      <c r="W818" t="e">
        <f t="shared" ca="1" si="396"/>
        <v>#VALUE!</v>
      </c>
      <c r="X818" t="e">
        <f t="shared" ca="1" si="397"/>
        <v>#VALUE!</v>
      </c>
      <c r="Y818" t="e">
        <f t="shared" ca="1" si="398"/>
        <v>#VALUE!</v>
      </c>
      <c r="Z818" t="e">
        <f t="shared" ca="1" si="399"/>
        <v>#VALUE!</v>
      </c>
      <c r="AA818" t="e">
        <f t="shared" ca="1" si="400"/>
        <v>#VALUE!</v>
      </c>
      <c r="AB818" t="e">
        <f t="shared" ca="1" si="401"/>
        <v>#VALUE!</v>
      </c>
      <c r="AC818" t="e">
        <f t="shared" ca="1" si="402"/>
        <v>#VALUE!</v>
      </c>
      <c r="AD818" t="e">
        <f t="shared" ca="1" si="403"/>
        <v>#VALUE!</v>
      </c>
      <c r="AE818" t="e">
        <f t="shared" ca="1" si="404"/>
        <v>#VALUE!</v>
      </c>
      <c r="AF818" t="e">
        <f t="shared" ca="1" si="405"/>
        <v>#VALUE!</v>
      </c>
      <c r="AG818" t="e">
        <f t="shared" ca="1" si="406"/>
        <v>#VALUE!</v>
      </c>
      <c r="AH818" t="e">
        <f ca="1">IF(V32="Supercritical",L818,IF(V32="Subcritical",W818,IF(AND(V818=1,AG818=1),IF(T818&gt;=AE818,L818,W818),IF(V818=1,L818,IF(AG818=1,W818,MAX($D$16,POWER((ABS(K818)^2)/($I$5*MAX(F818,0.1)^2),1/3)))))))</f>
        <v>#VALUE!</v>
      </c>
      <c r="AI818" t="e">
        <f t="shared" ca="1" si="407"/>
        <v>#VALUE!</v>
      </c>
      <c r="AJ818" t="e">
        <f t="shared" ca="1" si="408"/>
        <v>#VALUE!</v>
      </c>
      <c r="AM818">
        <v>0</v>
      </c>
      <c r="AN818">
        <v>0</v>
      </c>
      <c r="AO818">
        <f t="shared" si="409"/>
        <v>0</v>
      </c>
      <c r="AP818">
        <f t="shared" si="418"/>
        <v>0</v>
      </c>
      <c r="AQ818" t="e">
        <f t="shared" ca="1" si="410"/>
        <v>#VALUE!</v>
      </c>
      <c r="AR818" t="e">
        <f t="shared" ca="1" si="411"/>
        <v>#VALUE!</v>
      </c>
      <c r="AS818" t="e">
        <f t="shared" ca="1" si="412"/>
        <v>#VALUE!</v>
      </c>
    </row>
    <row r="819" spans="1:45" x14ac:dyDescent="0.35">
      <c r="A819">
        <v>670</v>
      </c>
      <c r="B819">
        <v>668.89499999999998</v>
      </c>
      <c r="C819">
        <v>616124.22600000002</v>
      </c>
      <c r="D819">
        <v>3097327.9470000002</v>
      </c>
      <c r="E819">
        <v>632.22749999999996</v>
      </c>
      <c r="F819">
        <v>5.2</v>
      </c>
      <c r="G819">
        <v>0</v>
      </c>
      <c r="H819" t="s">
        <v>191</v>
      </c>
      <c r="I819">
        <v>2.7E-2</v>
      </c>
      <c r="J819">
        <f t="shared" si="413"/>
        <v>1</v>
      </c>
      <c r="K819">
        <f t="shared" si="414"/>
        <v>51</v>
      </c>
      <c r="L819" t="e">
        <f t="shared" ca="1" si="415"/>
        <v>#VALUE!</v>
      </c>
      <c r="M819" t="e">
        <f t="shared" ca="1" si="388"/>
        <v>#VALUE!</v>
      </c>
      <c r="N819" t="e">
        <f t="shared" ca="1" si="389"/>
        <v>#VALUE!</v>
      </c>
      <c r="O819" t="e">
        <f t="shared" ca="1" si="390"/>
        <v>#VALUE!</v>
      </c>
      <c r="P819" t="e">
        <f t="shared" ca="1" si="391"/>
        <v>#VALUE!</v>
      </c>
      <c r="Q819" t="e">
        <f t="shared" ca="1" si="392"/>
        <v>#VALUE!</v>
      </c>
      <c r="R819" t="e">
        <f t="shared" ca="1" si="393"/>
        <v>#VALUE!</v>
      </c>
      <c r="S819" t="e">
        <f t="shared" ca="1" si="394"/>
        <v>#VALUE!</v>
      </c>
      <c r="T819" t="e">
        <f t="shared" ca="1" si="395"/>
        <v>#VALUE!</v>
      </c>
      <c r="U819" t="e">
        <f t="shared" ca="1" si="416"/>
        <v>#VALUE!</v>
      </c>
      <c r="V819" t="e">
        <f t="shared" ca="1" si="417"/>
        <v>#VALUE!</v>
      </c>
      <c r="W819" t="e">
        <f t="shared" ca="1" si="396"/>
        <v>#VALUE!</v>
      </c>
      <c r="X819" t="e">
        <f t="shared" ca="1" si="397"/>
        <v>#VALUE!</v>
      </c>
      <c r="Y819" t="e">
        <f t="shared" ca="1" si="398"/>
        <v>#VALUE!</v>
      </c>
      <c r="Z819" t="e">
        <f t="shared" ca="1" si="399"/>
        <v>#VALUE!</v>
      </c>
      <c r="AA819" t="e">
        <f t="shared" ca="1" si="400"/>
        <v>#VALUE!</v>
      </c>
      <c r="AB819" t="e">
        <f t="shared" ca="1" si="401"/>
        <v>#VALUE!</v>
      </c>
      <c r="AC819" t="e">
        <f t="shared" ca="1" si="402"/>
        <v>#VALUE!</v>
      </c>
      <c r="AD819" t="e">
        <f t="shared" ca="1" si="403"/>
        <v>#VALUE!</v>
      </c>
      <c r="AE819" t="e">
        <f t="shared" ca="1" si="404"/>
        <v>#VALUE!</v>
      </c>
      <c r="AF819" t="e">
        <f t="shared" ca="1" si="405"/>
        <v>#VALUE!</v>
      </c>
      <c r="AG819" t="e">
        <f t="shared" ca="1" si="406"/>
        <v>#VALUE!</v>
      </c>
      <c r="AH819" t="e">
        <f ca="1">IF(V32="Supercritical",L819,IF(V32="Subcritical",W819,IF(AND(V819=1,AG819=1),IF(T819&gt;=AE819,L819,W819),IF(V819=1,L819,IF(AG819=1,W819,MAX($D$16,POWER((ABS(K819)^2)/($I$5*MAX(F819,0.1)^2),1/3)))))))</f>
        <v>#VALUE!</v>
      </c>
      <c r="AI819" t="e">
        <f t="shared" ca="1" si="407"/>
        <v>#VALUE!</v>
      </c>
      <c r="AJ819" t="e">
        <f t="shared" ca="1" si="408"/>
        <v>#VALUE!</v>
      </c>
      <c r="AM819">
        <v>0</v>
      </c>
      <c r="AN819">
        <v>0</v>
      </c>
      <c r="AO819">
        <f t="shared" si="409"/>
        <v>0</v>
      </c>
      <c r="AP819">
        <f t="shared" si="418"/>
        <v>0</v>
      </c>
      <c r="AQ819" t="e">
        <f t="shared" ca="1" si="410"/>
        <v>#VALUE!</v>
      </c>
      <c r="AR819" t="e">
        <f t="shared" ca="1" si="411"/>
        <v>#VALUE!</v>
      </c>
      <c r="AS819" t="e">
        <f t="shared" ca="1" si="412"/>
        <v>#VALUE!</v>
      </c>
    </row>
    <row r="820" spans="1:45" x14ac:dyDescent="0.35">
      <c r="A820">
        <v>671</v>
      </c>
      <c r="B820">
        <v>669.89499999999998</v>
      </c>
      <c r="C820">
        <v>616123.75199999998</v>
      </c>
      <c r="D820">
        <v>3097327.0660000001</v>
      </c>
      <c r="E820">
        <v>632.22699999999998</v>
      </c>
      <c r="F820">
        <v>5.2</v>
      </c>
      <c r="G820">
        <v>0</v>
      </c>
      <c r="H820" t="s">
        <v>191</v>
      </c>
      <c r="I820">
        <v>2.7E-2</v>
      </c>
      <c r="J820">
        <f t="shared" si="413"/>
        <v>1</v>
      </c>
      <c r="K820">
        <f t="shared" si="414"/>
        <v>51</v>
      </c>
      <c r="L820" t="e">
        <f t="shared" ca="1" si="415"/>
        <v>#VALUE!</v>
      </c>
      <c r="M820" t="e">
        <f t="shared" ca="1" si="388"/>
        <v>#VALUE!</v>
      </c>
      <c r="N820" t="e">
        <f t="shared" ca="1" si="389"/>
        <v>#VALUE!</v>
      </c>
      <c r="O820" t="e">
        <f t="shared" ca="1" si="390"/>
        <v>#VALUE!</v>
      </c>
      <c r="P820" t="e">
        <f t="shared" ca="1" si="391"/>
        <v>#VALUE!</v>
      </c>
      <c r="Q820" t="e">
        <f t="shared" ca="1" si="392"/>
        <v>#VALUE!</v>
      </c>
      <c r="R820" t="e">
        <f t="shared" ca="1" si="393"/>
        <v>#VALUE!</v>
      </c>
      <c r="S820" t="e">
        <f t="shared" ca="1" si="394"/>
        <v>#VALUE!</v>
      </c>
      <c r="T820" t="e">
        <f t="shared" ca="1" si="395"/>
        <v>#VALUE!</v>
      </c>
      <c r="U820" t="e">
        <f t="shared" ca="1" si="416"/>
        <v>#VALUE!</v>
      </c>
      <c r="V820" t="e">
        <f t="shared" ca="1" si="417"/>
        <v>#VALUE!</v>
      </c>
      <c r="W820" t="e">
        <f t="shared" ca="1" si="396"/>
        <v>#VALUE!</v>
      </c>
      <c r="X820" t="e">
        <f t="shared" ca="1" si="397"/>
        <v>#VALUE!</v>
      </c>
      <c r="Y820" t="e">
        <f t="shared" ca="1" si="398"/>
        <v>#VALUE!</v>
      </c>
      <c r="Z820" t="e">
        <f t="shared" ca="1" si="399"/>
        <v>#VALUE!</v>
      </c>
      <c r="AA820" t="e">
        <f t="shared" ca="1" si="400"/>
        <v>#VALUE!</v>
      </c>
      <c r="AB820" t="e">
        <f t="shared" ca="1" si="401"/>
        <v>#VALUE!</v>
      </c>
      <c r="AC820" t="e">
        <f t="shared" ca="1" si="402"/>
        <v>#VALUE!</v>
      </c>
      <c r="AD820" t="e">
        <f t="shared" ca="1" si="403"/>
        <v>#VALUE!</v>
      </c>
      <c r="AE820" t="e">
        <f t="shared" ca="1" si="404"/>
        <v>#VALUE!</v>
      </c>
      <c r="AF820" t="e">
        <f t="shared" ca="1" si="405"/>
        <v>#VALUE!</v>
      </c>
      <c r="AG820" t="e">
        <f t="shared" ca="1" si="406"/>
        <v>#VALUE!</v>
      </c>
      <c r="AH820" t="e">
        <f ca="1">IF(V32="Supercritical",L820,IF(V32="Subcritical",W820,IF(AND(V820=1,AG820=1),IF(T820&gt;=AE820,L820,W820),IF(V820=1,L820,IF(AG820=1,W820,MAX($D$16,POWER((ABS(K820)^2)/($I$5*MAX(F820,0.1)^2),1/3)))))))</f>
        <v>#VALUE!</v>
      </c>
      <c r="AI820" t="e">
        <f t="shared" ca="1" si="407"/>
        <v>#VALUE!</v>
      </c>
      <c r="AJ820" t="e">
        <f t="shared" ca="1" si="408"/>
        <v>#VALUE!</v>
      </c>
      <c r="AM820">
        <v>0</v>
      </c>
      <c r="AN820">
        <v>0</v>
      </c>
      <c r="AO820">
        <f t="shared" si="409"/>
        <v>0</v>
      </c>
      <c r="AP820">
        <f t="shared" si="418"/>
        <v>0</v>
      </c>
      <c r="AQ820" t="e">
        <f t="shared" ca="1" si="410"/>
        <v>#VALUE!</v>
      </c>
      <c r="AR820" t="e">
        <f t="shared" ca="1" si="411"/>
        <v>#VALUE!</v>
      </c>
      <c r="AS820" t="e">
        <f t="shared" ca="1" si="412"/>
        <v>#VALUE!</v>
      </c>
    </row>
    <row r="821" spans="1:45" x14ac:dyDescent="0.35">
      <c r="A821">
        <v>672</v>
      </c>
      <c r="B821">
        <v>670.89499999999998</v>
      </c>
      <c r="C821">
        <v>616123.27800000005</v>
      </c>
      <c r="D821">
        <v>3097326.1860000002</v>
      </c>
      <c r="E821">
        <v>632.22649999999999</v>
      </c>
      <c r="F821">
        <v>5.2</v>
      </c>
      <c r="G821">
        <v>0</v>
      </c>
      <c r="H821" t="s">
        <v>191</v>
      </c>
      <c r="I821">
        <v>2.3E-2</v>
      </c>
      <c r="J821">
        <f t="shared" si="413"/>
        <v>1</v>
      </c>
      <c r="K821">
        <f t="shared" si="414"/>
        <v>51</v>
      </c>
      <c r="L821" t="e">
        <f t="shared" ca="1" si="415"/>
        <v>#VALUE!</v>
      </c>
      <c r="M821" t="e">
        <f t="shared" ca="1" si="388"/>
        <v>#VALUE!</v>
      </c>
      <c r="N821" t="e">
        <f t="shared" ca="1" si="389"/>
        <v>#VALUE!</v>
      </c>
      <c r="O821" t="e">
        <f t="shared" ca="1" si="390"/>
        <v>#VALUE!</v>
      </c>
      <c r="P821" t="e">
        <f t="shared" ca="1" si="391"/>
        <v>#VALUE!</v>
      </c>
      <c r="Q821" t="e">
        <f t="shared" ca="1" si="392"/>
        <v>#VALUE!</v>
      </c>
      <c r="R821" t="e">
        <f t="shared" ca="1" si="393"/>
        <v>#VALUE!</v>
      </c>
      <c r="S821" t="e">
        <f t="shared" ca="1" si="394"/>
        <v>#VALUE!</v>
      </c>
      <c r="T821" t="e">
        <f t="shared" ca="1" si="395"/>
        <v>#VALUE!</v>
      </c>
      <c r="U821" t="e">
        <f t="shared" ca="1" si="416"/>
        <v>#VALUE!</v>
      </c>
      <c r="V821" t="e">
        <f t="shared" ca="1" si="417"/>
        <v>#VALUE!</v>
      </c>
      <c r="W821" t="e">
        <f t="shared" ca="1" si="396"/>
        <v>#VALUE!</v>
      </c>
      <c r="X821" t="e">
        <f t="shared" ca="1" si="397"/>
        <v>#VALUE!</v>
      </c>
      <c r="Y821" t="e">
        <f t="shared" ca="1" si="398"/>
        <v>#VALUE!</v>
      </c>
      <c r="Z821" t="e">
        <f t="shared" ca="1" si="399"/>
        <v>#VALUE!</v>
      </c>
      <c r="AA821" t="e">
        <f t="shared" ca="1" si="400"/>
        <v>#VALUE!</v>
      </c>
      <c r="AB821" t="e">
        <f t="shared" ca="1" si="401"/>
        <v>#VALUE!</v>
      </c>
      <c r="AC821" t="e">
        <f t="shared" ca="1" si="402"/>
        <v>#VALUE!</v>
      </c>
      <c r="AD821" t="e">
        <f t="shared" ca="1" si="403"/>
        <v>#VALUE!</v>
      </c>
      <c r="AE821" t="e">
        <f t="shared" ca="1" si="404"/>
        <v>#VALUE!</v>
      </c>
      <c r="AF821" t="e">
        <f t="shared" ca="1" si="405"/>
        <v>#VALUE!</v>
      </c>
      <c r="AG821" t="e">
        <f t="shared" ca="1" si="406"/>
        <v>#VALUE!</v>
      </c>
      <c r="AH821" t="e">
        <f ca="1">IF(V32="Supercritical",L821,IF(V32="Subcritical",W821,IF(AND(V821=1,AG821=1),IF(T821&gt;=AE821,L821,W821),IF(V821=1,L821,IF(AG821=1,W821,MAX($D$16,POWER((ABS(K821)^2)/($I$5*MAX(F821,0.1)^2),1/3)))))))</f>
        <v>#VALUE!</v>
      </c>
      <c r="AI821" t="e">
        <f t="shared" ca="1" si="407"/>
        <v>#VALUE!</v>
      </c>
      <c r="AJ821" t="e">
        <f t="shared" ca="1" si="408"/>
        <v>#VALUE!</v>
      </c>
      <c r="AM821">
        <v>0</v>
      </c>
      <c r="AN821">
        <v>0</v>
      </c>
      <c r="AO821">
        <f t="shared" si="409"/>
        <v>0</v>
      </c>
      <c r="AP821">
        <f t="shared" si="418"/>
        <v>0</v>
      </c>
      <c r="AQ821" t="e">
        <f t="shared" ca="1" si="410"/>
        <v>#VALUE!</v>
      </c>
      <c r="AR821" t="e">
        <f t="shared" ca="1" si="411"/>
        <v>#VALUE!</v>
      </c>
      <c r="AS821" t="e">
        <f t="shared" ca="1" si="412"/>
        <v>#VALUE!</v>
      </c>
    </row>
    <row r="822" spans="1:45" x14ac:dyDescent="0.35">
      <c r="A822">
        <v>673</v>
      </c>
      <c r="B822">
        <v>671.89599999999996</v>
      </c>
      <c r="C822">
        <v>616122.80299999996</v>
      </c>
      <c r="D822">
        <v>3097325.3050000002</v>
      </c>
      <c r="E822">
        <v>632.226</v>
      </c>
      <c r="F822">
        <v>5.2</v>
      </c>
      <c r="G822">
        <v>0</v>
      </c>
      <c r="H822" t="s">
        <v>191</v>
      </c>
      <c r="I822">
        <v>2.3E-2</v>
      </c>
      <c r="J822">
        <f t="shared" si="413"/>
        <v>1.0009999999999764</v>
      </c>
      <c r="K822">
        <f t="shared" si="414"/>
        <v>51</v>
      </c>
      <c r="L822" t="e">
        <f t="shared" ca="1" si="415"/>
        <v>#VALUE!</v>
      </c>
      <c r="M822" t="e">
        <f t="shared" ca="1" si="388"/>
        <v>#VALUE!</v>
      </c>
      <c r="N822" t="e">
        <f t="shared" ca="1" si="389"/>
        <v>#VALUE!</v>
      </c>
      <c r="O822" t="e">
        <f t="shared" ca="1" si="390"/>
        <v>#VALUE!</v>
      </c>
      <c r="P822" t="e">
        <f t="shared" ca="1" si="391"/>
        <v>#VALUE!</v>
      </c>
      <c r="Q822" t="e">
        <f t="shared" ca="1" si="392"/>
        <v>#VALUE!</v>
      </c>
      <c r="R822" t="e">
        <f t="shared" ca="1" si="393"/>
        <v>#VALUE!</v>
      </c>
      <c r="S822" t="e">
        <f t="shared" ca="1" si="394"/>
        <v>#VALUE!</v>
      </c>
      <c r="T822" t="e">
        <f t="shared" ca="1" si="395"/>
        <v>#VALUE!</v>
      </c>
      <c r="U822" t="e">
        <f t="shared" ca="1" si="416"/>
        <v>#VALUE!</v>
      </c>
      <c r="V822" t="e">
        <f t="shared" ca="1" si="417"/>
        <v>#VALUE!</v>
      </c>
      <c r="W822" t="e">
        <f t="shared" ca="1" si="396"/>
        <v>#VALUE!</v>
      </c>
      <c r="X822" t="e">
        <f t="shared" ca="1" si="397"/>
        <v>#VALUE!</v>
      </c>
      <c r="Y822" t="e">
        <f t="shared" ca="1" si="398"/>
        <v>#VALUE!</v>
      </c>
      <c r="Z822" t="e">
        <f t="shared" ca="1" si="399"/>
        <v>#VALUE!</v>
      </c>
      <c r="AA822" t="e">
        <f t="shared" ca="1" si="400"/>
        <v>#VALUE!</v>
      </c>
      <c r="AB822" t="e">
        <f t="shared" ca="1" si="401"/>
        <v>#VALUE!</v>
      </c>
      <c r="AC822" t="e">
        <f t="shared" ca="1" si="402"/>
        <v>#VALUE!</v>
      </c>
      <c r="AD822" t="e">
        <f t="shared" ca="1" si="403"/>
        <v>#VALUE!</v>
      </c>
      <c r="AE822" t="e">
        <f t="shared" ca="1" si="404"/>
        <v>#VALUE!</v>
      </c>
      <c r="AF822" t="e">
        <f t="shared" ca="1" si="405"/>
        <v>#VALUE!</v>
      </c>
      <c r="AG822" t="e">
        <f t="shared" ca="1" si="406"/>
        <v>#VALUE!</v>
      </c>
      <c r="AH822" t="e">
        <f ca="1">IF(V32="Supercritical",L822,IF(V32="Subcritical",W822,IF(AND(V822=1,AG822=1),IF(T822&gt;=AE822,L822,W822),IF(V822=1,L822,IF(AG822=1,W822,MAX($D$16,POWER((ABS(K822)^2)/($I$5*MAX(F822,0.1)^2),1/3)))))))</f>
        <v>#VALUE!</v>
      </c>
      <c r="AI822" t="e">
        <f t="shared" ca="1" si="407"/>
        <v>#VALUE!</v>
      </c>
      <c r="AJ822" t="e">
        <f t="shared" ca="1" si="408"/>
        <v>#VALUE!</v>
      </c>
      <c r="AM822">
        <v>0</v>
      </c>
      <c r="AN822">
        <v>0</v>
      </c>
      <c r="AO822">
        <f t="shared" si="409"/>
        <v>0</v>
      </c>
      <c r="AP822">
        <f t="shared" si="418"/>
        <v>0</v>
      </c>
      <c r="AQ822" t="e">
        <f t="shared" ca="1" si="410"/>
        <v>#VALUE!</v>
      </c>
      <c r="AR822" t="e">
        <f t="shared" ca="1" si="411"/>
        <v>#VALUE!</v>
      </c>
      <c r="AS822" t="e">
        <f t="shared" ca="1" si="412"/>
        <v>#VALUE!</v>
      </c>
    </row>
    <row r="823" spans="1:45" x14ac:dyDescent="0.35">
      <c r="A823">
        <v>674</v>
      </c>
      <c r="B823">
        <v>672.89499999999998</v>
      </c>
      <c r="C823">
        <v>616122.32900000003</v>
      </c>
      <c r="D823">
        <v>3097324.4249999998</v>
      </c>
      <c r="E823">
        <v>632.22550000000001</v>
      </c>
      <c r="F823">
        <v>5.2</v>
      </c>
      <c r="G823">
        <v>0</v>
      </c>
      <c r="H823" t="s">
        <v>191</v>
      </c>
      <c r="I823">
        <v>0</v>
      </c>
      <c r="J823">
        <f t="shared" si="413"/>
        <v>0.99900000000002365</v>
      </c>
      <c r="K823">
        <f t="shared" si="414"/>
        <v>51</v>
      </c>
      <c r="L823" t="e">
        <f t="shared" ca="1" si="415"/>
        <v>#VALUE!</v>
      </c>
      <c r="M823" t="e">
        <f t="shared" ca="1" si="388"/>
        <v>#VALUE!</v>
      </c>
      <c r="N823" t="e">
        <f t="shared" ca="1" si="389"/>
        <v>#VALUE!</v>
      </c>
      <c r="O823" t="e">
        <f t="shared" ca="1" si="390"/>
        <v>#VALUE!</v>
      </c>
      <c r="P823" t="e">
        <f t="shared" ca="1" si="391"/>
        <v>#VALUE!</v>
      </c>
      <c r="Q823" t="e">
        <f t="shared" ca="1" si="392"/>
        <v>#VALUE!</v>
      </c>
      <c r="R823" t="e">
        <f t="shared" ca="1" si="393"/>
        <v>#VALUE!</v>
      </c>
      <c r="S823" t="e">
        <f t="shared" ca="1" si="394"/>
        <v>#VALUE!</v>
      </c>
      <c r="T823" t="e">
        <f t="shared" ca="1" si="395"/>
        <v>#VALUE!</v>
      </c>
      <c r="U823" t="e">
        <f t="shared" ca="1" si="416"/>
        <v>#VALUE!</v>
      </c>
      <c r="V823" t="e">
        <f t="shared" ca="1" si="417"/>
        <v>#VALUE!</v>
      </c>
      <c r="W823" t="e">
        <f t="shared" ca="1" si="396"/>
        <v>#VALUE!</v>
      </c>
      <c r="X823" t="e">
        <f t="shared" ca="1" si="397"/>
        <v>#VALUE!</v>
      </c>
      <c r="Y823" t="e">
        <f t="shared" ca="1" si="398"/>
        <v>#VALUE!</v>
      </c>
      <c r="Z823" t="e">
        <f t="shared" ca="1" si="399"/>
        <v>#VALUE!</v>
      </c>
      <c r="AA823" t="e">
        <f t="shared" ca="1" si="400"/>
        <v>#VALUE!</v>
      </c>
      <c r="AB823" t="e">
        <f t="shared" ca="1" si="401"/>
        <v>#VALUE!</v>
      </c>
      <c r="AC823" t="e">
        <f t="shared" ca="1" si="402"/>
        <v>#VALUE!</v>
      </c>
      <c r="AD823" t="e">
        <f t="shared" ca="1" si="403"/>
        <v>#VALUE!</v>
      </c>
      <c r="AE823" t="e">
        <f t="shared" ca="1" si="404"/>
        <v>#VALUE!</v>
      </c>
      <c r="AF823" t="e">
        <f t="shared" ca="1" si="405"/>
        <v>#VALUE!</v>
      </c>
      <c r="AG823" t="e">
        <f t="shared" ca="1" si="406"/>
        <v>#VALUE!</v>
      </c>
      <c r="AH823" t="e">
        <f ca="1">IF(V32="Supercritical",L823,IF(V32="Subcritical",W823,IF(AND(V823=1,AG823=1),IF(T823&gt;=AE823,L823,W823),IF(V823=1,L823,IF(AG823=1,W823,MAX($D$16,POWER((ABS(K823)^2)/($I$5*MAX(F823,0.1)^2),1/3)))))))</f>
        <v>#VALUE!</v>
      </c>
      <c r="AI823" t="e">
        <f t="shared" ca="1" si="407"/>
        <v>#VALUE!</v>
      </c>
      <c r="AJ823" t="e">
        <f t="shared" ca="1" si="408"/>
        <v>#VALUE!</v>
      </c>
      <c r="AM823">
        <v>0</v>
      </c>
      <c r="AN823">
        <v>0</v>
      </c>
      <c r="AO823">
        <f t="shared" si="409"/>
        <v>0</v>
      </c>
      <c r="AP823">
        <f t="shared" si="418"/>
        <v>0</v>
      </c>
      <c r="AQ823" t="e">
        <f t="shared" ca="1" si="410"/>
        <v>#VALUE!</v>
      </c>
      <c r="AR823" t="e">
        <f t="shared" ca="1" si="411"/>
        <v>#VALUE!</v>
      </c>
      <c r="AS823" t="e">
        <f t="shared" ca="1" si="412"/>
        <v>#VALUE!</v>
      </c>
    </row>
    <row r="824" spans="1:45" x14ac:dyDescent="0.35">
      <c r="A824">
        <v>675</v>
      </c>
      <c r="B824">
        <v>673.89499999999998</v>
      </c>
      <c r="C824">
        <v>616121.85499999998</v>
      </c>
      <c r="D824">
        <v>3097323.5449999999</v>
      </c>
      <c r="E824">
        <v>632.22500000000002</v>
      </c>
      <c r="F824">
        <v>5.2</v>
      </c>
      <c r="G824">
        <v>0</v>
      </c>
      <c r="H824" t="s">
        <v>191</v>
      </c>
      <c r="I824">
        <v>2.7E-2</v>
      </c>
      <c r="J824">
        <f t="shared" si="413"/>
        <v>1</v>
      </c>
      <c r="K824">
        <f t="shared" si="414"/>
        <v>51</v>
      </c>
      <c r="L824" t="e">
        <f t="shared" ca="1" si="415"/>
        <v>#VALUE!</v>
      </c>
      <c r="M824" t="e">
        <f t="shared" ca="1" si="388"/>
        <v>#VALUE!</v>
      </c>
      <c r="N824" t="e">
        <f t="shared" ca="1" si="389"/>
        <v>#VALUE!</v>
      </c>
      <c r="O824" t="e">
        <f t="shared" ca="1" si="390"/>
        <v>#VALUE!</v>
      </c>
      <c r="P824" t="e">
        <f t="shared" ca="1" si="391"/>
        <v>#VALUE!</v>
      </c>
      <c r="Q824" t="e">
        <f t="shared" ca="1" si="392"/>
        <v>#VALUE!</v>
      </c>
      <c r="R824" t="e">
        <f t="shared" ca="1" si="393"/>
        <v>#VALUE!</v>
      </c>
      <c r="S824" t="e">
        <f t="shared" ca="1" si="394"/>
        <v>#VALUE!</v>
      </c>
      <c r="T824" t="e">
        <f t="shared" ca="1" si="395"/>
        <v>#VALUE!</v>
      </c>
      <c r="U824" t="e">
        <f t="shared" ca="1" si="416"/>
        <v>#VALUE!</v>
      </c>
      <c r="V824" t="e">
        <f t="shared" ca="1" si="417"/>
        <v>#VALUE!</v>
      </c>
      <c r="W824" t="e">
        <f t="shared" ca="1" si="396"/>
        <v>#VALUE!</v>
      </c>
      <c r="X824" t="e">
        <f t="shared" ca="1" si="397"/>
        <v>#VALUE!</v>
      </c>
      <c r="Y824" t="e">
        <f t="shared" ca="1" si="398"/>
        <v>#VALUE!</v>
      </c>
      <c r="Z824" t="e">
        <f t="shared" ca="1" si="399"/>
        <v>#VALUE!</v>
      </c>
      <c r="AA824" t="e">
        <f t="shared" ca="1" si="400"/>
        <v>#VALUE!</v>
      </c>
      <c r="AB824" t="e">
        <f t="shared" ca="1" si="401"/>
        <v>#VALUE!</v>
      </c>
      <c r="AC824" t="e">
        <f t="shared" ca="1" si="402"/>
        <v>#VALUE!</v>
      </c>
      <c r="AD824" t="e">
        <f t="shared" ca="1" si="403"/>
        <v>#VALUE!</v>
      </c>
      <c r="AE824" t="e">
        <f t="shared" ca="1" si="404"/>
        <v>#VALUE!</v>
      </c>
      <c r="AF824" t="e">
        <f t="shared" ca="1" si="405"/>
        <v>#VALUE!</v>
      </c>
      <c r="AG824" t="e">
        <f t="shared" ca="1" si="406"/>
        <v>#VALUE!</v>
      </c>
      <c r="AH824" t="e">
        <f ca="1">IF(V32="Supercritical",L824,IF(V32="Subcritical",W824,IF(AND(V824=1,AG824=1),IF(T824&gt;=AE824,L824,W824),IF(V824=1,L824,IF(AG824=1,W824,MAX($D$16,POWER((ABS(K824)^2)/($I$5*MAX(F824,0.1)^2),1/3)))))))</f>
        <v>#VALUE!</v>
      </c>
      <c r="AI824" t="e">
        <f t="shared" ca="1" si="407"/>
        <v>#VALUE!</v>
      </c>
      <c r="AJ824" t="e">
        <f t="shared" ca="1" si="408"/>
        <v>#VALUE!</v>
      </c>
      <c r="AM824">
        <v>0</v>
      </c>
      <c r="AN824">
        <v>0</v>
      </c>
      <c r="AO824">
        <f t="shared" si="409"/>
        <v>0</v>
      </c>
      <c r="AP824">
        <f t="shared" si="418"/>
        <v>0</v>
      </c>
      <c r="AQ824" t="e">
        <f t="shared" ca="1" si="410"/>
        <v>#VALUE!</v>
      </c>
      <c r="AR824" t="e">
        <f t="shared" ca="1" si="411"/>
        <v>#VALUE!</v>
      </c>
      <c r="AS824" t="e">
        <f t="shared" ca="1" si="412"/>
        <v>#VALUE!</v>
      </c>
    </row>
    <row r="825" spans="1:45" x14ac:dyDescent="0.35">
      <c r="A825">
        <v>676</v>
      </c>
      <c r="B825">
        <v>674.89499999999998</v>
      </c>
      <c r="C825">
        <v>616121.38100000005</v>
      </c>
      <c r="D825">
        <v>3097322.6639999999</v>
      </c>
      <c r="E825">
        <v>632.22450000000003</v>
      </c>
      <c r="F825">
        <v>5.2</v>
      </c>
      <c r="G825">
        <v>0</v>
      </c>
      <c r="H825" t="s">
        <v>191</v>
      </c>
      <c r="I825">
        <v>7.8E-2</v>
      </c>
      <c r="J825">
        <f t="shared" si="413"/>
        <v>1</v>
      </c>
      <c r="K825">
        <f t="shared" si="414"/>
        <v>51</v>
      </c>
      <c r="L825" t="e">
        <f t="shared" ca="1" si="415"/>
        <v>#VALUE!</v>
      </c>
      <c r="M825" t="e">
        <f t="shared" ca="1" si="388"/>
        <v>#VALUE!</v>
      </c>
      <c r="N825" t="e">
        <f t="shared" ca="1" si="389"/>
        <v>#VALUE!</v>
      </c>
      <c r="O825" t="e">
        <f t="shared" ca="1" si="390"/>
        <v>#VALUE!</v>
      </c>
      <c r="P825" t="e">
        <f t="shared" ca="1" si="391"/>
        <v>#VALUE!</v>
      </c>
      <c r="Q825" t="e">
        <f t="shared" ca="1" si="392"/>
        <v>#VALUE!</v>
      </c>
      <c r="R825" t="e">
        <f t="shared" ca="1" si="393"/>
        <v>#VALUE!</v>
      </c>
      <c r="S825" t="e">
        <f t="shared" ca="1" si="394"/>
        <v>#VALUE!</v>
      </c>
      <c r="T825" t="e">
        <f t="shared" ca="1" si="395"/>
        <v>#VALUE!</v>
      </c>
      <c r="U825" t="e">
        <f t="shared" ca="1" si="416"/>
        <v>#VALUE!</v>
      </c>
      <c r="V825" t="e">
        <f t="shared" ca="1" si="417"/>
        <v>#VALUE!</v>
      </c>
      <c r="W825" t="e">
        <f t="shared" ca="1" si="396"/>
        <v>#VALUE!</v>
      </c>
      <c r="X825" t="e">
        <f t="shared" ca="1" si="397"/>
        <v>#VALUE!</v>
      </c>
      <c r="Y825" t="e">
        <f t="shared" ca="1" si="398"/>
        <v>#VALUE!</v>
      </c>
      <c r="Z825" t="e">
        <f t="shared" ca="1" si="399"/>
        <v>#VALUE!</v>
      </c>
      <c r="AA825" t="e">
        <f t="shared" ca="1" si="400"/>
        <v>#VALUE!</v>
      </c>
      <c r="AB825" t="e">
        <f t="shared" ca="1" si="401"/>
        <v>#VALUE!</v>
      </c>
      <c r="AC825" t="e">
        <f t="shared" ca="1" si="402"/>
        <v>#VALUE!</v>
      </c>
      <c r="AD825" t="e">
        <f t="shared" ca="1" si="403"/>
        <v>#VALUE!</v>
      </c>
      <c r="AE825" t="e">
        <f t="shared" ca="1" si="404"/>
        <v>#VALUE!</v>
      </c>
      <c r="AF825" t="e">
        <f t="shared" ca="1" si="405"/>
        <v>#VALUE!</v>
      </c>
      <c r="AG825" t="e">
        <f t="shared" ca="1" si="406"/>
        <v>#VALUE!</v>
      </c>
      <c r="AH825" t="e">
        <f ca="1">IF(V32="Supercritical",L825,IF(V32="Subcritical",W825,IF(AND(V825=1,AG825=1),IF(T825&gt;=AE825,L825,W825),IF(V825=1,L825,IF(AG825=1,W825,MAX($D$16,POWER((ABS(K825)^2)/($I$5*MAX(F825,0.1)^2),1/3)))))))</f>
        <v>#VALUE!</v>
      </c>
      <c r="AI825" t="e">
        <f t="shared" ca="1" si="407"/>
        <v>#VALUE!</v>
      </c>
      <c r="AJ825" t="e">
        <f t="shared" ca="1" si="408"/>
        <v>#VALUE!</v>
      </c>
      <c r="AM825">
        <v>0</v>
      </c>
      <c r="AN825">
        <v>0</v>
      </c>
      <c r="AO825">
        <f t="shared" si="409"/>
        <v>0</v>
      </c>
      <c r="AP825">
        <f t="shared" si="418"/>
        <v>0</v>
      </c>
      <c r="AQ825" t="e">
        <f t="shared" ca="1" si="410"/>
        <v>#VALUE!</v>
      </c>
      <c r="AR825" t="e">
        <f t="shared" ca="1" si="411"/>
        <v>#VALUE!</v>
      </c>
      <c r="AS825" t="e">
        <f t="shared" ca="1" si="412"/>
        <v>#VALUE!</v>
      </c>
    </row>
    <row r="826" spans="1:45" x14ac:dyDescent="0.35">
      <c r="A826">
        <v>677</v>
      </c>
      <c r="B826">
        <v>675.89499999999998</v>
      </c>
      <c r="C826">
        <v>616120.90599999996</v>
      </c>
      <c r="D826">
        <v>3097321.784</v>
      </c>
      <c r="E826">
        <v>632.22400000000005</v>
      </c>
      <c r="F826">
        <v>5.2</v>
      </c>
      <c r="G826">
        <v>0</v>
      </c>
      <c r="H826" t="s">
        <v>191</v>
      </c>
      <c r="I826">
        <v>7.8E-2</v>
      </c>
      <c r="J826">
        <f t="shared" si="413"/>
        <v>1</v>
      </c>
      <c r="K826">
        <f t="shared" si="414"/>
        <v>51</v>
      </c>
      <c r="L826" t="e">
        <f t="shared" ca="1" si="415"/>
        <v>#VALUE!</v>
      </c>
      <c r="M826" t="e">
        <f t="shared" ca="1" si="388"/>
        <v>#VALUE!</v>
      </c>
      <c r="N826" t="e">
        <f t="shared" ca="1" si="389"/>
        <v>#VALUE!</v>
      </c>
      <c r="O826" t="e">
        <f t="shared" ca="1" si="390"/>
        <v>#VALUE!</v>
      </c>
      <c r="P826" t="e">
        <f t="shared" ca="1" si="391"/>
        <v>#VALUE!</v>
      </c>
      <c r="Q826" t="e">
        <f t="shared" ca="1" si="392"/>
        <v>#VALUE!</v>
      </c>
      <c r="R826" t="e">
        <f t="shared" ca="1" si="393"/>
        <v>#VALUE!</v>
      </c>
      <c r="S826" t="e">
        <f t="shared" ca="1" si="394"/>
        <v>#VALUE!</v>
      </c>
      <c r="T826" t="e">
        <f t="shared" ca="1" si="395"/>
        <v>#VALUE!</v>
      </c>
      <c r="U826" t="e">
        <f t="shared" ca="1" si="416"/>
        <v>#VALUE!</v>
      </c>
      <c r="V826" t="e">
        <f t="shared" ca="1" si="417"/>
        <v>#VALUE!</v>
      </c>
      <c r="W826" t="e">
        <f t="shared" ca="1" si="396"/>
        <v>#VALUE!</v>
      </c>
      <c r="X826" t="e">
        <f t="shared" ca="1" si="397"/>
        <v>#VALUE!</v>
      </c>
      <c r="Y826" t="e">
        <f t="shared" ca="1" si="398"/>
        <v>#VALUE!</v>
      </c>
      <c r="Z826" t="e">
        <f t="shared" ca="1" si="399"/>
        <v>#VALUE!</v>
      </c>
      <c r="AA826" t="e">
        <f t="shared" ca="1" si="400"/>
        <v>#VALUE!</v>
      </c>
      <c r="AB826" t="e">
        <f t="shared" ca="1" si="401"/>
        <v>#VALUE!</v>
      </c>
      <c r="AC826" t="e">
        <f t="shared" ca="1" si="402"/>
        <v>#VALUE!</v>
      </c>
      <c r="AD826" t="e">
        <f t="shared" ca="1" si="403"/>
        <v>#VALUE!</v>
      </c>
      <c r="AE826" t="e">
        <f t="shared" ca="1" si="404"/>
        <v>#VALUE!</v>
      </c>
      <c r="AF826" t="e">
        <f t="shared" ca="1" si="405"/>
        <v>#VALUE!</v>
      </c>
      <c r="AG826" t="e">
        <f t="shared" ca="1" si="406"/>
        <v>#VALUE!</v>
      </c>
      <c r="AH826" t="e">
        <f ca="1">IF(V32="Supercritical",L826,IF(V32="Subcritical",W826,IF(AND(V826=1,AG826=1),IF(T826&gt;=AE826,L826,W826),IF(V826=1,L826,IF(AG826=1,W826,MAX($D$16,POWER((ABS(K826)^2)/($I$5*MAX(F826,0.1)^2),1/3)))))))</f>
        <v>#VALUE!</v>
      </c>
      <c r="AI826" t="e">
        <f t="shared" ca="1" si="407"/>
        <v>#VALUE!</v>
      </c>
      <c r="AJ826" t="e">
        <f t="shared" ca="1" si="408"/>
        <v>#VALUE!</v>
      </c>
      <c r="AM826">
        <v>0</v>
      </c>
      <c r="AN826">
        <v>0</v>
      </c>
      <c r="AO826">
        <f t="shared" si="409"/>
        <v>0</v>
      </c>
      <c r="AP826">
        <f t="shared" si="418"/>
        <v>0</v>
      </c>
      <c r="AQ826" t="e">
        <f t="shared" ca="1" si="410"/>
        <v>#VALUE!</v>
      </c>
      <c r="AR826" t="e">
        <f t="shared" ca="1" si="411"/>
        <v>#VALUE!</v>
      </c>
      <c r="AS826" t="e">
        <f t="shared" ca="1" si="412"/>
        <v>#VALUE!</v>
      </c>
    </row>
    <row r="827" spans="1:45" x14ac:dyDescent="0.35">
      <c r="A827">
        <v>678</v>
      </c>
      <c r="B827">
        <v>676.89599999999996</v>
      </c>
      <c r="C827">
        <v>616120.43200000003</v>
      </c>
      <c r="D827">
        <v>3097320.9029999999</v>
      </c>
      <c r="E827">
        <v>632.22349999999994</v>
      </c>
      <c r="F827">
        <v>5.2</v>
      </c>
      <c r="G827">
        <v>0</v>
      </c>
      <c r="H827" t="s">
        <v>191</v>
      </c>
      <c r="I827">
        <v>2.7E-2</v>
      </c>
      <c r="J827">
        <f t="shared" si="413"/>
        <v>1.0009999999999764</v>
      </c>
      <c r="K827">
        <f t="shared" si="414"/>
        <v>51</v>
      </c>
      <c r="L827" t="e">
        <f t="shared" ca="1" si="415"/>
        <v>#VALUE!</v>
      </c>
      <c r="M827" t="e">
        <f t="shared" ca="1" si="388"/>
        <v>#VALUE!</v>
      </c>
      <c r="N827" t="e">
        <f t="shared" ca="1" si="389"/>
        <v>#VALUE!</v>
      </c>
      <c r="O827" t="e">
        <f t="shared" ca="1" si="390"/>
        <v>#VALUE!</v>
      </c>
      <c r="P827" t="e">
        <f t="shared" ca="1" si="391"/>
        <v>#VALUE!</v>
      </c>
      <c r="Q827" t="e">
        <f t="shared" ca="1" si="392"/>
        <v>#VALUE!</v>
      </c>
      <c r="R827" t="e">
        <f t="shared" ca="1" si="393"/>
        <v>#VALUE!</v>
      </c>
      <c r="S827" t="e">
        <f t="shared" ca="1" si="394"/>
        <v>#VALUE!</v>
      </c>
      <c r="T827" t="e">
        <f t="shared" ca="1" si="395"/>
        <v>#VALUE!</v>
      </c>
      <c r="U827" t="e">
        <f t="shared" ca="1" si="416"/>
        <v>#VALUE!</v>
      </c>
      <c r="V827" t="e">
        <f t="shared" ca="1" si="417"/>
        <v>#VALUE!</v>
      </c>
      <c r="W827" t="e">
        <f t="shared" ca="1" si="396"/>
        <v>#VALUE!</v>
      </c>
      <c r="X827" t="e">
        <f t="shared" ca="1" si="397"/>
        <v>#VALUE!</v>
      </c>
      <c r="Y827" t="e">
        <f t="shared" ca="1" si="398"/>
        <v>#VALUE!</v>
      </c>
      <c r="Z827" t="e">
        <f t="shared" ca="1" si="399"/>
        <v>#VALUE!</v>
      </c>
      <c r="AA827" t="e">
        <f t="shared" ca="1" si="400"/>
        <v>#VALUE!</v>
      </c>
      <c r="AB827" t="e">
        <f t="shared" ca="1" si="401"/>
        <v>#VALUE!</v>
      </c>
      <c r="AC827" t="e">
        <f t="shared" ca="1" si="402"/>
        <v>#VALUE!</v>
      </c>
      <c r="AD827" t="e">
        <f t="shared" ca="1" si="403"/>
        <v>#VALUE!</v>
      </c>
      <c r="AE827" t="e">
        <f t="shared" ca="1" si="404"/>
        <v>#VALUE!</v>
      </c>
      <c r="AF827" t="e">
        <f t="shared" ca="1" si="405"/>
        <v>#VALUE!</v>
      </c>
      <c r="AG827" t="e">
        <f t="shared" ca="1" si="406"/>
        <v>#VALUE!</v>
      </c>
      <c r="AH827" t="e">
        <f ca="1">IF(V32="Supercritical",L827,IF(V32="Subcritical",W827,IF(AND(V827=1,AG827=1),IF(T827&gt;=AE827,L827,W827),IF(V827=1,L827,IF(AG827=1,W827,MAX($D$16,POWER((ABS(K827)^2)/($I$5*MAX(F827,0.1)^2),1/3)))))))</f>
        <v>#VALUE!</v>
      </c>
      <c r="AI827" t="e">
        <f t="shared" ca="1" si="407"/>
        <v>#VALUE!</v>
      </c>
      <c r="AJ827" t="e">
        <f t="shared" ca="1" si="408"/>
        <v>#VALUE!</v>
      </c>
      <c r="AM827">
        <v>0</v>
      </c>
      <c r="AN827">
        <v>0</v>
      </c>
      <c r="AO827">
        <f t="shared" si="409"/>
        <v>0</v>
      </c>
      <c r="AP827">
        <f t="shared" si="418"/>
        <v>0</v>
      </c>
      <c r="AQ827" t="e">
        <f t="shared" ca="1" si="410"/>
        <v>#VALUE!</v>
      </c>
      <c r="AR827" t="e">
        <f t="shared" ca="1" si="411"/>
        <v>#VALUE!</v>
      </c>
      <c r="AS827" t="e">
        <f t="shared" ca="1" si="412"/>
        <v>#VALUE!</v>
      </c>
    </row>
    <row r="828" spans="1:45" x14ac:dyDescent="0.35">
      <c r="A828">
        <v>679</v>
      </c>
      <c r="B828">
        <v>677.89499999999998</v>
      </c>
      <c r="C828">
        <v>616119.95799999998</v>
      </c>
      <c r="D828">
        <v>3097320.023</v>
      </c>
      <c r="E828">
        <v>632.22299999999996</v>
      </c>
      <c r="F828">
        <v>5.2</v>
      </c>
      <c r="G828">
        <v>0</v>
      </c>
      <c r="H828" t="s">
        <v>191</v>
      </c>
      <c r="I828">
        <v>0</v>
      </c>
      <c r="J828">
        <f t="shared" si="413"/>
        <v>0.99900000000002365</v>
      </c>
      <c r="K828">
        <f t="shared" si="414"/>
        <v>51</v>
      </c>
      <c r="L828" t="e">
        <f t="shared" ca="1" si="415"/>
        <v>#VALUE!</v>
      </c>
      <c r="M828" t="e">
        <f t="shared" ca="1" si="388"/>
        <v>#VALUE!</v>
      </c>
      <c r="N828" t="e">
        <f t="shared" ca="1" si="389"/>
        <v>#VALUE!</v>
      </c>
      <c r="O828" t="e">
        <f t="shared" ca="1" si="390"/>
        <v>#VALUE!</v>
      </c>
      <c r="P828" t="e">
        <f t="shared" ca="1" si="391"/>
        <v>#VALUE!</v>
      </c>
      <c r="Q828" t="e">
        <f t="shared" ca="1" si="392"/>
        <v>#VALUE!</v>
      </c>
      <c r="R828" t="e">
        <f t="shared" ca="1" si="393"/>
        <v>#VALUE!</v>
      </c>
      <c r="S828" t="e">
        <f t="shared" ca="1" si="394"/>
        <v>#VALUE!</v>
      </c>
      <c r="T828" t="e">
        <f t="shared" ca="1" si="395"/>
        <v>#VALUE!</v>
      </c>
      <c r="U828" t="e">
        <f t="shared" ca="1" si="416"/>
        <v>#VALUE!</v>
      </c>
      <c r="V828" t="e">
        <f t="shared" ca="1" si="417"/>
        <v>#VALUE!</v>
      </c>
      <c r="W828" t="e">
        <f t="shared" ca="1" si="396"/>
        <v>#VALUE!</v>
      </c>
      <c r="X828" t="e">
        <f t="shared" ca="1" si="397"/>
        <v>#VALUE!</v>
      </c>
      <c r="Y828" t="e">
        <f t="shared" ca="1" si="398"/>
        <v>#VALUE!</v>
      </c>
      <c r="Z828" t="e">
        <f t="shared" ca="1" si="399"/>
        <v>#VALUE!</v>
      </c>
      <c r="AA828" t="e">
        <f t="shared" ca="1" si="400"/>
        <v>#VALUE!</v>
      </c>
      <c r="AB828" t="e">
        <f t="shared" ca="1" si="401"/>
        <v>#VALUE!</v>
      </c>
      <c r="AC828" t="e">
        <f t="shared" ca="1" si="402"/>
        <v>#VALUE!</v>
      </c>
      <c r="AD828" t="e">
        <f t="shared" ca="1" si="403"/>
        <v>#VALUE!</v>
      </c>
      <c r="AE828" t="e">
        <f t="shared" ca="1" si="404"/>
        <v>#VALUE!</v>
      </c>
      <c r="AF828" t="e">
        <f t="shared" ca="1" si="405"/>
        <v>#VALUE!</v>
      </c>
      <c r="AG828" t="e">
        <f t="shared" ca="1" si="406"/>
        <v>#VALUE!</v>
      </c>
      <c r="AH828" t="e">
        <f ca="1">IF(V32="Supercritical",L828,IF(V32="Subcritical",W828,IF(AND(V828=1,AG828=1),IF(T828&gt;=AE828,L828,W828),IF(V828=1,L828,IF(AG828=1,W828,MAX($D$16,POWER((ABS(K828)^2)/($I$5*MAX(F828,0.1)^2),1/3)))))))</f>
        <v>#VALUE!</v>
      </c>
      <c r="AI828" t="e">
        <f t="shared" ca="1" si="407"/>
        <v>#VALUE!</v>
      </c>
      <c r="AJ828" t="e">
        <f t="shared" ca="1" si="408"/>
        <v>#VALUE!</v>
      </c>
      <c r="AM828">
        <v>0</v>
      </c>
      <c r="AN828">
        <v>0</v>
      </c>
      <c r="AO828">
        <f t="shared" si="409"/>
        <v>0</v>
      </c>
      <c r="AP828">
        <f t="shared" si="418"/>
        <v>0</v>
      </c>
      <c r="AQ828" t="e">
        <f t="shared" ca="1" si="410"/>
        <v>#VALUE!</v>
      </c>
      <c r="AR828" t="e">
        <f t="shared" ca="1" si="411"/>
        <v>#VALUE!</v>
      </c>
      <c r="AS828" t="e">
        <f t="shared" ca="1" si="412"/>
        <v>#VALUE!</v>
      </c>
    </row>
    <row r="829" spans="1:45" x14ac:dyDescent="0.35">
      <c r="A829">
        <v>680</v>
      </c>
      <c r="B829">
        <v>678.89499999999998</v>
      </c>
      <c r="C829">
        <v>616119.48400000005</v>
      </c>
      <c r="D829">
        <v>3097319.1430000002</v>
      </c>
      <c r="E829">
        <v>632.22249999999997</v>
      </c>
      <c r="F829">
        <v>5.2</v>
      </c>
      <c r="G829">
        <v>0</v>
      </c>
      <c r="H829" t="s">
        <v>191</v>
      </c>
      <c r="I829">
        <v>2.7E-2</v>
      </c>
      <c r="J829">
        <f t="shared" si="413"/>
        <v>1</v>
      </c>
      <c r="K829">
        <f t="shared" si="414"/>
        <v>51</v>
      </c>
      <c r="L829" t="e">
        <f t="shared" ca="1" si="415"/>
        <v>#VALUE!</v>
      </c>
      <c r="M829" t="e">
        <f t="shared" ca="1" si="388"/>
        <v>#VALUE!</v>
      </c>
      <c r="N829" t="e">
        <f t="shared" ca="1" si="389"/>
        <v>#VALUE!</v>
      </c>
      <c r="O829" t="e">
        <f t="shared" ca="1" si="390"/>
        <v>#VALUE!</v>
      </c>
      <c r="P829" t="e">
        <f t="shared" ca="1" si="391"/>
        <v>#VALUE!</v>
      </c>
      <c r="Q829" t="e">
        <f t="shared" ca="1" si="392"/>
        <v>#VALUE!</v>
      </c>
      <c r="R829" t="e">
        <f t="shared" ca="1" si="393"/>
        <v>#VALUE!</v>
      </c>
      <c r="S829" t="e">
        <f t="shared" ca="1" si="394"/>
        <v>#VALUE!</v>
      </c>
      <c r="T829" t="e">
        <f t="shared" ca="1" si="395"/>
        <v>#VALUE!</v>
      </c>
      <c r="U829" t="e">
        <f t="shared" ca="1" si="416"/>
        <v>#VALUE!</v>
      </c>
      <c r="V829" t="e">
        <f t="shared" ca="1" si="417"/>
        <v>#VALUE!</v>
      </c>
      <c r="W829" t="e">
        <f t="shared" ca="1" si="396"/>
        <v>#VALUE!</v>
      </c>
      <c r="X829" t="e">
        <f t="shared" ca="1" si="397"/>
        <v>#VALUE!</v>
      </c>
      <c r="Y829" t="e">
        <f t="shared" ca="1" si="398"/>
        <v>#VALUE!</v>
      </c>
      <c r="Z829" t="e">
        <f t="shared" ca="1" si="399"/>
        <v>#VALUE!</v>
      </c>
      <c r="AA829" t="e">
        <f t="shared" ca="1" si="400"/>
        <v>#VALUE!</v>
      </c>
      <c r="AB829" t="e">
        <f t="shared" ca="1" si="401"/>
        <v>#VALUE!</v>
      </c>
      <c r="AC829" t="e">
        <f t="shared" ca="1" si="402"/>
        <v>#VALUE!</v>
      </c>
      <c r="AD829" t="e">
        <f t="shared" ca="1" si="403"/>
        <v>#VALUE!</v>
      </c>
      <c r="AE829" t="e">
        <f t="shared" ca="1" si="404"/>
        <v>#VALUE!</v>
      </c>
      <c r="AF829" t="e">
        <f t="shared" ca="1" si="405"/>
        <v>#VALUE!</v>
      </c>
      <c r="AG829" t="e">
        <f t="shared" ca="1" si="406"/>
        <v>#VALUE!</v>
      </c>
      <c r="AH829" t="e">
        <f ca="1">IF(V32="Supercritical",L829,IF(V32="Subcritical",W829,IF(AND(V829=1,AG829=1),IF(T829&gt;=AE829,L829,W829),IF(V829=1,L829,IF(AG829=1,W829,MAX($D$16,POWER((ABS(K829)^2)/($I$5*MAX(F829,0.1)^2),1/3)))))))</f>
        <v>#VALUE!</v>
      </c>
      <c r="AI829" t="e">
        <f t="shared" ca="1" si="407"/>
        <v>#VALUE!</v>
      </c>
      <c r="AJ829" t="e">
        <f t="shared" ca="1" si="408"/>
        <v>#VALUE!</v>
      </c>
      <c r="AM829">
        <v>0</v>
      </c>
      <c r="AN829">
        <v>0</v>
      </c>
      <c r="AO829">
        <f t="shared" si="409"/>
        <v>0</v>
      </c>
      <c r="AP829">
        <f t="shared" si="418"/>
        <v>0</v>
      </c>
      <c r="AQ829" t="e">
        <f t="shared" ca="1" si="410"/>
        <v>#VALUE!</v>
      </c>
      <c r="AR829" t="e">
        <f t="shared" ca="1" si="411"/>
        <v>#VALUE!</v>
      </c>
      <c r="AS829" t="e">
        <f t="shared" ca="1" si="412"/>
        <v>#VALUE!</v>
      </c>
    </row>
    <row r="830" spans="1:45" x14ac:dyDescent="0.35">
      <c r="A830">
        <v>681</v>
      </c>
      <c r="B830">
        <v>679.89499999999998</v>
      </c>
      <c r="C830">
        <v>616119.01</v>
      </c>
      <c r="D830">
        <v>3097318.2620000001</v>
      </c>
      <c r="E830">
        <v>632.22199999999998</v>
      </c>
      <c r="F830">
        <v>5.2</v>
      </c>
      <c r="G830">
        <v>0</v>
      </c>
      <c r="H830" t="s">
        <v>191</v>
      </c>
      <c r="I830">
        <v>7.8E-2</v>
      </c>
      <c r="J830">
        <f t="shared" si="413"/>
        <v>1</v>
      </c>
      <c r="K830">
        <f t="shared" si="414"/>
        <v>51</v>
      </c>
      <c r="L830" t="e">
        <f t="shared" ca="1" si="415"/>
        <v>#VALUE!</v>
      </c>
      <c r="M830" t="e">
        <f t="shared" ca="1" si="388"/>
        <v>#VALUE!</v>
      </c>
      <c r="N830" t="e">
        <f t="shared" ca="1" si="389"/>
        <v>#VALUE!</v>
      </c>
      <c r="O830" t="e">
        <f t="shared" ca="1" si="390"/>
        <v>#VALUE!</v>
      </c>
      <c r="P830" t="e">
        <f t="shared" ca="1" si="391"/>
        <v>#VALUE!</v>
      </c>
      <c r="Q830" t="e">
        <f t="shared" ca="1" si="392"/>
        <v>#VALUE!</v>
      </c>
      <c r="R830" t="e">
        <f t="shared" ca="1" si="393"/>
        <v>#VALUE!</v>
      </c>
      <c r="S830" t="e">
        <f t="shared" ca="1" si="394"/>
        <v>#VALUE!</v>
      </c>
      <c r="T830" t="e">
        <f t="shared" ca="1" si="395"/>
        <v>#VALUE!</v>
      </c>
      <c r="U830" t="e">
        <f t="shared" ca="1" si="416"/>
        <v>#VALUE!</v>
      </c>
      <c r="V830" t="e">
        <f t="shared" ca="1" si="417"/>
        <v>#VALUE!</v>
      </c>
      <c r="W830" t="e">
        <f t="shared" ca="1" si="396"/>
        <v>#VALUE!</v>
      </c>
      <c r="X830" t="e">
        <f t="shared" ca="1" si="397"/>
        <v>#VALUE!</v>
      </c>
      <c r="Y830" t="e">
        <f t="shared" ca="1" si="398"/>
        <v>#VALUE!</v>
      </c>
      <c r="Z830" t="e">
        <f t="shared" ca="1" si="399"/>
        <v>#VALUE!</v>
      </c>
      <c r="AA830" t="e">
        <f t="shared" ca="1" si="400"/>
        <v>#VALUE!</v>
      </c>
      <c r="AB830" t="e">
        <f t="shared" ca="1" si="401"/>
        <v>#VALUE!</v>
      </c>
      <c r="AC830" t="e">
        <f t="shared" ca="1" si="402"/>
        <v>#VALUE!</v>
      </c>
      <c r="AD830" t="e">
        <f t="shared" ca="1" si="403"/>
        <v>#VALUE!</v>
      </c>
      <c r="AE830" t="e">
        <f t="shared" ca="1" si="404"/>
        <v>#VALUE!</v>
      </c>
      <c r="AF830" t="e">
        <f t="shared" ca="1" si="405"/>
        <v>#VALUE!</v>
      </c>
      <c r="AG830" t="e">
        <f t="shared" ca="1" si="406"/>
        <v>#VALUE!</v>
      </c>
      <c r="AH830" t="e">
        <f ca="1">IF(V32="Supercritical",L830,IF(V32="Subcritical",W830,IF(AND(V830=1,AG830=1),IF(T830&gt;=AE830,L830,W830),IF(V830=1,L830,IF(AG830=1,W830,MAX($D$16,POWER((ABS(K830)^2)/($I$5*MAX(F830,0.1)^2),1/3)))))))</f>
        <v>#VALUE!</v>
      </c>
      <c r="AI830" t="e">
        <f t="shared" ca="1" si="407"/>
        <v>#VALUE!</v>
      </c>
      <c r="AJ830" t="e">
        <f t="shared" ca="1" si="408"/>
        <v>#VALUE!</v>
      </c>
      <c r="AM830">
        <v>0</v>
      </c>
      <c r="AN830">
        <v>0</v>
      </c>
      <c r="AO830">
        <f t="shared" si="409"/>
        <v>0</v>
      </c>
      <c r="AP830">
        <f t="shared" si="418"/>
        <v>0</v>
      </c>
      <c r="AQ830" t="e">
        <f t="shared" ca="1" si="410"/>
        <v>#VALUE!</v>
      </c>
      <c r="AR830" t="e">
        <f t="shared" ca="1" si="411"/>
        <v>#VALUE!</v>
      </c>
      <c r="AS830" t="e">
        <f t="shared" ca="1" si="412"/>
        <v>#VALUE!</v>
      </c>
    </row>
    <row r="831" spans="1:45" x14ac:dyDescent="0.35">
      <c r="A831">
        <v>682</v>
      </c>
      <c r="B831">
        <v>680.89499999999998</v>
      </c>
      <c r="C831">
        <v>616118.53500000003</v>
      </c>
      <c r="D831">
        <v>3097317.3820000002</v>
      </c>
      <c r="E831">
        <v>632.22149999999999</v>
      </c>
      <c r="F831">
        <v>5.2</v>
      </c>
      <c r="G831">
        <v>0</v>
      </c>
      <c r="H831" t="s">
        <v>191</v>
      </c>
      <c r="I831">
        <v>7.8E-2</v>
      </c>
      <c r="J831">
        <f t="shared" si="413"/>
        <v>1</v>
      </c>
      <c r="K831">
        <f t="shared" si="414"/>
        <v>51</v>
      </c>
      <c r="L831" t="e">
        <f t="shared" ca="1" si="415"/>
        <v>#VALUE!</v>
      </c>
      <c r="M831" t="e">
        <f t="shared" ca="1" si="388"/>
        <v>#VALUE!</v>
      </c>
      <c r="N831" t="e">
        <f t="shared" ca="1" si="389"/>
        <v>#VALUE!</v>
      </c>
      <c r="O831" t="e">
        <f t="shared" ca="1" si="390"/>
        <v>#VALUE!</v>
      </c>
      <c r="P831" t="e">
        <f t="shared" ca="1" si="391"/>
        <v>#VALUE!</v>
      </c>
      <c r="Q831" t="e">
        <f t="shared" ca="1" si="392"/>
        <v>#VALUE!</v>
      </c>
      <c r="R831" t="e">
        <f t="shared" ca="1" si="393"/>
        <v>#VALUE!</v>
      </c>
      <c r="S831" t="e">
        <f t="shared" ca="1" si="394"/>
        <v>#VALUE!</v>
      </c>
      <c r="T831" t="e">
        <f t="shared" ca="1" si="395"/>
        <v>#VALUE!</v>
      </c>
      <c r="U831" t="e">
        <f t="shared" ca="1" si="416"/>
        <v>#VALUE!</v>
      </c>
      <c r="V831" t="e">
        <f t="shared" ca="1" si="417"/>
        <v>#VALUE!</v>
      </c>
      <c r="W831" t="e">
        <f t="shared" ca="1" si="396"/>
        <v>#VALUE!</v>
      </c>
      <c r="X831" t="e">
        <f t="shared" ca="1" si="397"/>
        <v>#VALUE!</v>
      </c>
      <c r="Y831" t="e">
        <f t="shared" ca="1" si="398"/>
        <v>#VALUE!</v>
      </c>
      <c r="Z831" t="e">
        <f t="shared" ca="1" si="399"/>
        <v>#VALUE!</v>
      </c>
      <c r="AA831" t="e">
        <f t="shared" ca="1" si="400"/>
        <v>#VALUE!</v>
      </c>
      <c r="AB831" t="e">
        <f t="shared" ca="1" si="401"/>
        <v>#VALUE!</v>
      </c>
      <c r="AC831" t="e">
        <f t="shared" ca="1" si="402"/>
        <v>#VALUE!</v>
      </c>
      <c r="AD831" t="e">
        <f t="shared" ca="1" si="403"/>
        <v>#VALUE!</v>
      </c>
      <c r="AE831" t="e">
        <f t="shared" ca="1" si="404"/>
        <v>#VALUE!</v>
      </c>
      <c r="AF831" t="e">
        <f t="shared" ca="1" si="405"/>
        <v>#VALUE!</v>
      </c>
      <c r="AG831" t="e">
        <f t="shared" ca="1" si="406"/>
        <v>#VALUE!</v>
      </c>
      <c r="AH831" t="e">
        <f ca="1">IF(V32="Supercritical",L831,IF(V32="Subcritical",W831,IF(AND(V831=1,AG831=1),IF(T831&gt;=AE831,L831,W831),IF(V831=1,L831,IF(AG831=1,W831,MAX($D$16,POWER((ABS(K831)^2)/($I$5*MAX(F831,0.1)^2),1/3)))))))</f>
        <v>#VALUE!</v>
      </c>
      <c r="AI831" t="e">
        <f t="shared" ca="1" si="407"/>
        <v>#VALUE!</v>
      </c>
      <c r="AJ831" t="e">
        <f t="shared" ca="1" si="408"/>
        <v>#VALUE!</v>
      </c>
      <c r="AM831">
        <v>0</v>
      </c>
      <c r="AN831">
        <v>0</v>
      </c>
      <c r="AO831">
        <f t="shared" si="409"/>
        <v>0</v>
      </c>
      <c r="AP831">
        <f t="shared" si="418"/>
        <v>0</v>
      </c>
      <c r="AQ831" t="e">
        <f t="shared" ca="1" si="410"/>
        <v>#VALUE!</v>
      </c>
      <c r="AR831" t="e">
        <f t="shared" ca="1" si="411"/>
        <v>#VALUE!</v>
      </c>
      <c r="AS831" t="e">
        <f t="shared" ca="1" si="412"/>
        <v>#VALUE!</v>
      </c>
    </row>
    <row r="832" spans="1:45" x14ac:dyDescent="0.35">
      <c r="A832">
        <v>683</v>
      </c>
      <c r="B832">
        <v>681.89599999999996</v>
      </c>
      <c r="C832">
        <v>616118.06099999999</v>
      </c>
      <c r="D832">
        <v>3097316.5010000002</v>
      </c>
      <c r="E832">
        <v>632.221</v>
      </c>
      <c r="F832">
        <v>5.2</v>
      </c>
      <c r="G832">
        <v>0</v>
      </c>
      <c r="H832" t="s">
        <v>191</v>
      </c>
      <c r="I832">
        <v>2.7E-2</v>
      </c>
      <c r="J832">
        <f t="shared" si="413"/>
        <v>1.0009999999999764</v>
      </c>
      <c r="K832">
        <f t="shared" si="414"/>
        <v>51</v>
      </c>
      <c r="L832" t="e">
        <f t="shared" ca="1" si="415"/>
        <v>#VALUE!</v>
      </c>
      <c r="M832" t="e">
        <f t="shared" ca="1" si="388"/>
        <v>#VALUE!</v>
      </c>
      <c r="N832" t="e">
        <f t="shared" ca="1" si="389"/>
        <v>#VALUE!</v>
      </c>
      <c r="O832" t="e">
        <f t="shared" ca="1" si="390"/>
        <v>#VALUE!</v>
      </c>
      <c r="P832" t="e">
        <f t="shared" ca="1" si="391"/>
        <v>#VALUE!</v>
      </c>
      <c r="Q832" t="e">
        <f t="shared" ca="1" si="392"/>
        <v>#VALUE!</v>
      </c>
      <c r="R832" t="e">
        <f t="shared" ca="1" si="393"/>
        <v>#VALUE!</v>
      </c>
      <c r="S832" t="e">
        <f t="shared" ca="1" si="394"/>
        <v>#VALUE!</v>
      </c>
      <c r="T832" t="e">
        <f t="shared" ca="1" si="395"/>
        <v>#VALUE!</v>
      </c>
      <c r="U832" t="e">
        <f t="shared" ca="1" si="416"/>
        <v>#VALUE!</v>
      </c>
      <c r="V832" t="e">
        <f t="shared" ca="1" si="417"/>
        <v>#VALUE!</v>
      </c>
      <c r="W832" t="e">
        <f t="shared" ca="1" si="396"/>
        <v>#VALUE!</v>
      </c>
      <c r="X832" t="e">
        <f t="shared" ca="1" si="397"/>
        <v>#VALUE!</v>
      </c>
      <c r="Y832" t="e">
        <f t="shared" ca="1" si="398"/>
        <v>#VALUE!</v>
      </c>
      <c r="Z832" t="e">
        <f t="shared" ca="1" si="399"/>
        <v>#VALUE!</v>
      </c>
      <c r="AA832" t="e">
        <f t="shared" ca="1" si="400"/>
        <v>#VALUE!</v>
      </c>
      <c r="AB832" t="e">
        <f t="shared" ca="1" si="401"/>
        <v>#VALUE!</v>
      </c>
      <c r="AC832" t="e">
        <f t="shared" ca="1" si="402"/>
        <v>#VALUE!</v>
      </c>
      <c r="AD832" t="e">
        <f t="shared" ca="1" si="403"/>
        <v>#VALUE!</v>
      </c>
      <c r="AE832" t="e">
        <f t="shared" ca="1" si="404"/>
        <v>#VALUE!</v>
      </c>
      <c r="AF832" t="e">
        <f t="shared" ca="1" si="405"/>
        <v>#VALUE!</v>
      </c>
      <c r="AG832" t="e">
        <f t="shared" ca="1" si="406"/>
        <v>#VALUE!</v>
      </c>
      <c r="AH832" t="e">
        <f ca="1">IF(V32="Supercritical",L832,IF(V32="Subcritical",W832,IF(AND(V832=1,AG832=1),IF(T832&gt;=AE832,L832,W832),IF(V832=1,L832,IF(AG832=1,W832,MAX($D$16,POWER((ABS(K832)^2)/($I$5*MAX(F832,0.1)^2),1/3)))))))</f>
        <v>#VALUE!</v>
      </c>
      <c r="AI832" t="e">
        <f t="shared" ca="1" si="407"/>
        <v>#VALUE!</v>
      </c>
      <c r="AJ832" t="e">
        <f t="shared" ca="1" si="408"/>
        <v>#VALUE!</v>
      </c>
      <c r="AM832">
        <v>0</v>
      </c>
      <c r="AN832">
        <v>0</v>
      </c>
      <c r="AO832">
        <f t="shared" si="409"/>
        <v>0</v>
      </c>
      <c r="AP832">
        <f t="shared" si="418"/>
        <v>0</v>
      </c>
      <c r="AQ832" t="e">
        <f t="shared" ca="1" si="410"/>
        <v>#VALUE!</v>
      </c>
      <c r="AR832" t="e">
        <f t="shared" ca="1" si="411"/>
        <v>#VALUE!</v>
      </c>
      <c r="AS832" t="e">
        <f t="shared" ca="1" si="412"/>
        <v>#VALUE!</v>
      </c>
    </row>
    <row r="833" spans="1:45" x14ac:dyDescent="0.35">
      <c r="A833">
        <v>684</v>
      </c>
      <c r="B833">
        <v>682.89499999999998</v>
      </c>
      <c r="C833">
        <v>616117.58700000006</v>
      </c>
      <c r="D833">
        <v>3097315.6209999998</v>
      </c>
      <c r="E833">
        <v>632.22050000000002</v>
      </c>
      <c r="F833">
        <v>5.2</v>
      </c>
      <c r="G833">
        <v>0</v>
      </c>
      <c r="H833" t="s">
        <v>191</v>
      </c>
      <c r="I833">
        <v>0</v>
      </c>
      <c r="J833">
        <f t="shared" si="413"/>
        <v>0.99900000000002365</v>
      </c>
      <c r="K833">
        <f t="shared" si="414"/>
        <v>51</v>
      </c>
      <c r="L833" t="e">
        <f t="shared" ca="1" si="415"/>
        <v>#VALUE!</v>
      </c>
      <c r="M833" t="e">
        <f t="shared" ca="1" si="388"/>
        <v>#VALUE!</v>
      </c>
      <c r="N833" t="e">
        <f t="shared" ca="1" si="389"/>
        <v>#VALUE!</v>
      </c>
      <c r="O833" t="e">
        <f t="shared" ca="1" si="390"/>
        <v>#VALUE!</v>
      </c>
      <c r="P833" t="e">
        <f t="shared" ca="1" si="391"/>
        <v>#VALUE!</v>
      </c>
      <c r="Q833" t="e">
        <f t="shared" ca="1" si="392"/>
        <v>#VALUE!</v>
      </c>
      <c r="R833" t="e">
        <f t="shared" ca="1" si="393"/>
        <v>#VALUE!</v>
      </c>
      <c r="S833" t="e">
        <f t="shared" ca="1" si="394"/>
        <v>#VALUE!</v>
      </c>
      <c r="T833" t="e">
        <f t="shared" ca="1" si="395"/>
        <v>#VALUE!</v>
      </c>
      <c r="U833" t="e">
        <f t="shared" ca="1" si="416"/>
        <v>#VALUE!</v>
      </c>
      <c r="V833" t="e">
        <f t="shared" ca="1" si="417"/>
        <v>#VALUE!</v>
      </c>
      <c r="W833" t="e">
        <f t="shared" ca="1" si="396"/>
        <v>#VALUE!</v>
      </c>
      <c r="X833" t="e">
        <f t="shared" ca="1" si="397"/>
        <v>#VALUE!</v>
      </c>
      <c r="Y833" t="e">
        <f t="shared" ca="1" si="398"/>
        <v>#VALUE!</v>
      </c>
      <c r="Z833" t="e">
        <f t="shared" ca="1" si="399"/>
        <v>#VALUE!</v>
      </c>
      <c r="AA833" t="e">
        <f t="shared" ca="1" si="400"/>
        <v>#VALUE!</v>
      </c>
      <c r="AB833" t="e">
        <f t="shared" ca="1" si="401"/>
        <v>#VALUE!</v>
      </c>
      <c r="AC833" t="e">
        <f t="shared" ca="1" si="402"/>
        <v>#VALUE!</v>
      </c>
      <c r="AD833" t="e">
        <f t="shared" ca="1" si="403"/>
        <v>#VALUE!</v>
      </c>
      <c r="AE833" t="e">
        <f t="shared" ca="1" si="404"/>
        <v>#VALUE!</v>
      </c>
      <c r="AF833" t="e">
        <f t="shared" ca="1" si="405"/>
        <v>#VALUE!</v>
      </c>
      <c r="AG833" t="e">
        <f t="shared" ca="1" si="406"/>
        <v>#VALUE!</v>
      </c>
      <c r="AH833" t="e">
        <f ca="1">IF(V32="Supercritical",L833,IF(V32="Subcritical",W833,IF(AND(V833=1,AG833=1),IF(T833&gt;=AE833,L833,W833),IF(V833=1,L833,IF(AG833=1,W833,MAX($D$16,POWER((ABS(K833)^2)/($I$5*MAX(F833,0.1)^2),1/3)))))))</f>
        <v>#VALUE!</v>
      </c>
      <c r="AI833" t="e">
        <f t="shared" ca="1" si="407"/>
        <v>#VALUE!</v>
      </c>
      <c r="AJ833" t="e">
        <f t="shared" ca="1" si="408"/>
        <v>#VALUE!</v>
      </c>
      <c r="AM833">
        <v>0</v>
      </c>
      <c r="AN833">
        <v>0</v>
      </c>
      <c r="AO833">
        <f t="shared" si="409"/>
        <v>0</v>
      </c>
      <c r="AP833">
        <f t="shared" si="418"/>
        <v>0</v>
      </c>
      <c r="AQ833" t="e">
        <f t="shared" ca="1" si="410"/>
        <v>#VALUE!</v>
      </c>
      <c r="AR833" t="e">
        <f t="shared" ca="1" si="411"/>
        <v>#VALUE!</v>
      </c>
      <c r="AS833" t="e">
        <f t="shared" ca="1" si="412"/>
        <v>#VALUE!</v>
      </c>
    </row>
    <row r="834" spans="1:45" x14ac:dyDescent="0.35">
      <c r="A834">
        <v>685</v>
      </c>
      <c r="B834">
        <v>683.89499999999998</v>
      </c>
      <c r="C834">
        <v>616117.11300000001</v>
      </c>
      <c r="D834">
        <v>3097314.7409999999</v>
      </c>
      <c r="E834">
        <v>632.22</v>
      </c>
      <c r="F834">
        <v>5.2</v>
      </c>
      <c r="G834">
        <v>0</v>
      </c>
      <c r="H834" t="s">
        <v>191</v>
      </c>
      <c r="I834">
        <v>2.3E-2</v>
      </c>
      <c r="J834">
        <f t="shared" si="413"/>
        <v>1</v>
      </c>
      <c r="K834">
        <f t="shared" si="414"/>
        <v>51</v>
      </c>
      <c r="L834" t="e">
        <f t="shared" ca="1" si="415"/>
        <v>#VALUE!</v>
      </c>
      <c r="M834" t="e">
        <f t="shared" ca="1" si="388"/>
        <v>#VALUE!</v>
      </c>
      <c r="N834" t="e">
        <f t="shared" ca="1" si="389"/>
        <v>#VALUE!</v>
      </c>
      <c r="O834" t="e">
        <f t="shared" ca="1" si="390"/>
        <v>#VALUE!</v>
      </c>
      <c r="P834" t="e">
        <f t="shared" ca="1" si="391"/>
        <v>#VALUE!</v>
      </c>
      <c r="Q834" t="e">
        <f t="shared" ca="1" si="392"/>
        <v>#VALUE!</v>
      </c>
      <c r="R834" t="e">
        <f t="shared" ca="1" si="393"/>
        <v>#VALUE!</v>
      </c>
      <c r="S834" t="e">
        <f t="shared" ca="1" si="394"/>
        <v>#VALUE!</v>
      </c>
      <c r="T834" t="e">
        <f t="shared" ca="1" si="395"/>
        <v>#VALUE!</v>
      </c>
      <c r="U834" t="e">
        <f t="shared" ca="1" si="416"/>
        <v>#VALUE!</v>
      </c>
      <c r="V834" t="e">
        <f t="shared" ca="1" si="417"/>
        <v>#VALUE!</v>
      </c>
      <c r="W834" t="e">
        <f t="shared" ca="1" si="396"/>
        <v>#VALUE!</v>
      </c>
      <c r="X834" t="e">
        <f t="shared" ca="1" si="397"/>
        <v>#VALUE!</v>
      </c>
      <c r="Y834" t="e">
        <f t="shared" ca="1" si="398"/>
        <v>#VALUE!</v>
      </c>
      <c r="Z834" t="e">
        <f t="shared" ca="1" si="399"/>
        <v>#VALUE!</v>
      </c>
      <c r="AA834" t="e">
        <f t="shared" ca="1" si="400"/>
        <v>#VALUE!</v>
      </c>
      <c r="AB834" t="e">
        <f t="shared" ca="1" si="401"/>
        <v>#VALUE!</v>
      </c>
      <c r="AC834" t="e">
        <f t="shared" ca="1" si="402"/>
        <v>#VALUE!</v>
      </c>
      <c r="AD834" t="e">
        <f t="shared" ca="1" si="403"/>
        <v>#VALUE!</v>
      </c>
      <c r="AE834" t="e">
        <f t="shared" ca="1" si="404"/>
        <v>#VALUE!</v>
      </c>
      <c r="AF834" t="e">
        <f t="shared" ca="1" si="405"/>
        <v>#VALUE!</v>
      </c>
      <c r="AG834" t="e">
        <f t="shared" ca="1" si="406"/>
        <v>#VALUE!</v>
      </c>
      <c r="AH834" t="e">
        <f ca="1">IF(V32="Supercritical",L834,IF(V32="Subcritical",W834,IF(AND(V834=1,AG834=1),IF(T834&gt;=AE834,L834,W834),IF(V834=1,L834,IF(AG834=1,W834,MAX($D$16,POWER((ABS(K834)^2)/($I$5*MAX(F834,0.1)^2),1/3)))))))</f>
        <v>#VALUE!</v>
      </c>
      <c r="AI834" t="e">
        <f t="shared" ca="1" si="407"/>
        <v>#VALUE!</v>
      </c>
      <c r="AJ834" t="e">
        <f t="shared" ca="1" si="408"/>
        <v>#VALUE!</v>
      </c>
      <c r="AM834">
        <v>0</v>
      </c>
      <c r="AN834">
        <v>0</v>
      </c>
      <c r="AO834">
        <f t="shared" si="409"/>
        <v>0</v>
      </c>
      <c r="AP834">
        <f t="shared" si="418"/>
        <v>0</v>
      </c>
      <c r="AQ834" t="e">
        <f t="shared" ca="1" si="410"/>
        <v>#VALUE!</v>
      </c>
      <c r="AR834" t="e">
        <f t="shared" ca="1" si="411"/>
        <v>#VALUE!</v>
      </c>
      <c r="AS834" t="e">
        <f t="shared" ca="1" si="412"/>
        <v>#VALUE!</v>
      </c>
    </row>
    <row r="835" spans="1:45" x14ac:dyDescent="0.35">
      <c r="A835">
        <v>686</v>
      </c>
      <c r="B835">
        <v>684.89599999999996</v>
      </c>
      <c r="C835">
        <v>616116.63800000004</v>
      </c>
      <c r="D835">
        <v>3097313.86</v>
      </c>
      <c r="E835">
        <v>632.21950000000004</v>
      </c>
      <c r="F835">
        <v>5.2</v>
      </c>
      <c r="G835">
        <v>0</v>
      </c>
      <c r="H835" t="s">
        <v>191</v>
      </c>
      <c r="I835">
        <v>2.3E-2</v>
      </c>
      <c r="J835">
        <f t="shared" si="413"/>
        <v>1.0009999999999764</v>
      </c>
      <c r="K835">
        <f t="shared" si="414"/>
        <v>51</v>
      </c>
      <c r="L835" t="e">
        <f t="shared" ca="1" si="415"/>
        <v>#VALUE!</v>
      </c>
      <c r="M835" t="e">
        <f t="shared" ca="1" si="388"/>
        <v>#VALUE!</v>
      </c>
      <c r="N835" t="e">
        <f t="shared" ca="1" si="389"/>
        <v>#VALUE!</v>
      </c>
      <c r="O835" t="e">
        <f t="shared" ca="1" si="390"/>
        <v>#VALUE!</v>
      </c>
      <c r="P835" t="e">
        <f t="shared" ca="1" si="391"/>
        <v>#VALUE!</v>
      </c>
      <c r="Q835" t="e">
        <f t="shared" ca="1" si="392"/>
        <v>#VALUE!</v>
      </c>
      <c r="R835" t="e">
        <f t="shared" ca="1" si="393"/>
        <v>#VALUE!</v>
      </c>
      <c r="S835" t="e">
        <f t="shared" ca="1" si="394"/>
        <v>#VALUE!</v>
      </c>
      <c r="T835" t="e">
        <f t="shared" ca="1" si="395"/>
        <v>#VALUE!</v>
      </c>
      <c r="U835" t="e">
        <f t="shared" ca="1" si="416"/>
        <v>#VALUE!</v>
      </c>
      <c r="V835" t="e">
        <f t="shared" ca="1" si="417"/>
        <v>#VALUE!</v>
      </c>
      <c r="W835" t="e">
        <f t="shared" ca="1" si="396"/>
        <v>#VALUE!</v>
      </c>
      <c r="X835" t="e">
        <f t="shared" ca="1" si="397"/>
        <v>#VALUE!</v>
      </c>
      <c r="Y835" t="e">
        <f t="shared" ca="1" si="398"/>
        <v>#VALUE!</v>
      </c>
      <c r="Z835" t="e">
        <f t="shared" ca="1" si="399"/>
        <v>#VALUE!</v>
      </c>
      <c r="AA835" t="e">
        <f t="shared" ca="1" si="400"/>
        <v>#VALUE!</v>
      </c>
      <c r="AB835" t="e">
        <f t="shared" ca="1" si="401"/>
        <v>#VALUE!</v>
      </c>
      <c r="AC835" t="e">
        <f t="shared" ca="1" si="402"/>
        <v>#VALUE!</v>
      </c>
      <c r="AD835" t="e">
        <f t="shared" ca="1" si="403"/>
        <v>#VALUE!</v>
      </c>
      <c r="AE835" t="e">
        <f t="shared" ca="1" si="404"/>
        <v>#VALUE!</v>
      </c>
      <c r="AF835" t="e">
        <f t="shared" ca="1" si="405"/>
        <v>#VALUE!</v>
      </c>
      <c r="AG835" t="e">
        <f t="shared" ca="1" si="406"/>
        <v>#VALUE!</v>
      </c>
      <c r="AH835" t="e">
        <f ca="1">IF(V32="Supercritical",L835,IF(V32="Subcritical",W835,IF(AND(V835=1,AG835=1),IF(T835&gt;=AE835,L835,W835),IF(V835=1,L835,IF(AG835=1,W835,MAX($D$16,POWER((ABS(K835)^2)/($I$5*MAX(F835,0.1)^2),1/3)))))))</f>
        <v>#VALUE!</v>
      </c>
      <c r="AI835" t="e">
        <f t="shared" ca="1" si="407"/>
        <v>#VALUE!</v>
      </c>
      <c r="AJ835" t="e">
        <f t="shared" ca="1" si="408"/>
        <v>#VALUE!</v>
      </c>
      <c r="AM835">
        <v>0</v>
      </c>
      <c r="AN835">
        <v>0</v>
      </c>
      <c r="AO835">
        <f t="shared" si="409"/>
        <v>0</v>
      </c>
      <c r="AP835">
        <f t="shared" si="418"/>
        <v>0</v>
      </c>
      <c r="AQ835" t="e">
        <f t="shared" ca="1" si="410"/>
        <v>#VALUE!</v>
      </c>
      <c r="AR835" t="e">
        <f t="shared" ca="1" si="411"/>
        <v>#VALUE!</v>
      </c>
      <c r="AS835" t="e">
        <f t="shared" ca="1" si="412"/>
        <v>#VALUE!</v>
      </c>
    </row>
    <row r="836" spans="1:45" x14ac:dyDescent="0.35">
      <c r="A836">
        <v>687</v>
      </c>
      <c r="B836">
        <v>685.89499999999998</v>
      </c>
      <c r="C836">
        <v>616116.16399999999</v>
      </c>
      <c r="D836">
        <v>3097312.98</v>
      </c>
      <c r="E836">
        <v>632.21900000000005</v>
      </c>
      <c r="F836">
        <v>5.2</v>
      </c>
      <c r="G836">
        <v>0</v>
      </c>
      <c r="H836" t="s">
        <v>191</v>
      </c>
      <c r="I836">
        <v>2.7E-2</v>
      </c>
      <c r="J836">
        <f t="shared" si="413"/>
        <v>0.99900000000002365</v>
      </c>
      <c r="K836">
        <f t="shared" si="414"/>
        <v>51</v>
      </c>
      <c r="L836" t="e">
        <f t="shared" ca="1" si="415"/>
        <v>#VALUE!</v>
      </c>
      <c r="M836" t="e">
        <f t="shared" ca="1" si="388"/>
        <v>#VALUE!</v>
      </c>
      <c r="N836" t="e">
        <f t="shared" ca="1" si="389"/>
        <v>#VALUE!</v>
      </c>
      <c r="O836" t="e">
        <f t="shared" ca="1" si="390"/>
        <v>#VALUE!</v>
      </c>
      <c r="P836" t="e">
        <f t="shared" ca="1" si="391"/>
        <v>#VALUE!</v>
      </c>
      <c r="Q836" t="e">
        <f t="shared" ca="1" si="392"/>
        <v>#VALUE!</v>
      </c>
      <c r="R836" t="e">
        <f t="shared" ca="1" si="393"/>
        <v>#VALUE!</v>
      </c>
      <c r="S836" t="e">
        <f t="shared" ca="1" si="394"/>
        <v>#VALUE!</v>
      </c>
      <c r="T836" t="e">
        <f t="shared" ca="1" si="395"/>
        <v>#VALUE!</v>
      </c>
      <c r="U836" t="e">
        <f t="shared" ca="1" si="416"/>
        <v>#VALUE!</v>
      </c>
      <c r="V836" t="e">
        <f t="shared" ca="1" si="417"/>
        <v>#VALUE!</v>
      </c>
      <c r="W836" t="e">
        <f t="shared" ca="1" si="396"/>
        <v>#VALUE!</v>
      </c>
      <c r="X836" t="e">
        <f t="shared" ca="1" si="397"/>
        <v>#VALUE!</v>
      </c>
      <c r="Y836" t="e">
        <f t="shared" ca="1" si="398"/>
        <v>#VALUE!</v>
      </c>
      <c r="Z836" t="e">
        <f t="shared" ca="1" si="399"/>
        <v>#VALUE!</v>
      </c>
      <c r="AA836" t="e">
        <f t="shared" ca="1" si="400"/>
        <v>#VALUE!</v>
      </c>
      <c r="AB836" t="e">
        <f t="shared" ca="1" si="401"/>
        <v>#VALUE!</v>
      </c>
      <c r="AC836" t="e">
        <f t="shared" ca="1" si="402"/>
        <v>#VALUE!</v>
      </c>
      <c r="AD836" t="e">
        <f t="shared" ca="1" si="403"/>
        <v>#VALUE!</v>
      </c>
      <c r="AE836" t="e">
        <f t="shared" ca="1" si="404"/>
        <v>#VALUE!</v>
      </c>
      <c r="AF836" t="e">
        <f t="shared" ca="1" si="405"/>
        <v>#VALUE!</v>
      </c>
      <c r="AG836" t="e">
        <f t="shared" ca="1" si="406"/>
        <v>#VALUE!</v>
      </c>
      <c r="AH836" t="e">
        <f ca="1">IF(V32="Supercritical",L836,IF(V32="Subcritical",W836,IF(AND(V836=1,AG836=1),IF(T836&gt;=AE836,L836,W836),IF(V836=1,L836,IF(AG836=1,W836,MAX($D$16,POWER((ABS(K836)^2)/($I$5*MAX(F836,0.1)^2),1/3)))))))</f>
        <v>#VALUE!</v>
      </c>
      <c r="AI836" t="e">
        <f t="shared" ca="1" si="407"/>
        <v>#VALUE!</v>
      </c>
      <c r="AJ836" t="e">
        <f t="shared" ca="1" si="408"/>
        <v>#VALUE!</v>
      </c>
      <c r="AM836">
        <v>0</v>
      </c>
      <c r="AN836">
        <v>0</v>
      </c>
      <c r="AO836">
        <f t="shared" si="409"/>
        <v>0</v>
      </c>
      <c r="AP836">
        <f t="shared" si="418"/>
        <v>0</v>
      </c>
      <c r="AQ836" t="e">
        <f t="shared" ca="1" si="410"/>
        <v>#VALUE!</v>
      </c>
      <c r="AR836" t="e">
        <f t="shared" ca="1" si="411"/>
        <v>#VALUE!</v>
      </c>
      <c r="AS836" t="e">
        <f t="shared" ca="1" si="412"/>
        <v>#VALUE!</v>
      </c>
    </row>
    <row r="837" spans="1:45" x14ac:dyDescent="0.35">
      <c r="A837">
        <v>688</v>
      </c>
      <c r="B837">
        <v>686.89599999999996</v>
      </c>
      <c r="C837">
        <v>616115.68999999994</v>
      </c>
      <c r="D837">
        <v>3097312.0989999999</v>
      </c>
      <c r="E837">
        <v>632.21849999999995</v>
      </c>
      <c r="F837">
        <v>5.2</v>
      </c>
      <c r="G837">
        <v>0</v>
      </c>
      <c r="H837" t="s">
        <v>191</v>
      </c>
      <c r="I837">
        <v>2.7E-2</v>
      </c>
      <c r="J837">
        <f t="shared" si="413"/>
        <v>1.0009999999999764</v>
      </c>
      <c r="K837">
        <f t="shared" si="414"/>
        <v>51</v>
      </c>
      <c r="L837" t="e">
        <f t="shared" ca="1" si="415"/>
        <v>#VALUE!</v>
      </c>
      <c r="M837" t="e">
        <f t="shared" ca="1" si="388"/>
        <v>#VALUE!</v>
      </c>
      <c r="N837" t="e">
        <f t="shared" ca="1" si="389"/>
        <v>#VALUE!</v>
      </c>
      <c r="O837" t="e">
        <f t="shared" ca="1" si="390"/>
        <v>#VALUE!</v>
      </c>
      <c r="P837" t="e">
        <f t="shared" ca="1" si="391"/>
        <v>#VALUE!</v>
      </c>
      <c r="Q837" t="e">
        <f t="shared" ca="1" si="392"/>
        <v>#VALUE!</v>
      </c>
      <c r="R837" t="e">
        <f t="shared" ca="1" si="393"/>
        <v>#VALUE!</v>
      </c>
      <c r="S837" t="e">
        <f t="shared" ca="1" si="394"/>
        <v>#VALUE!</v>
      </c>
      <c r="T837" t="e">
        <f t="shared" ca="1" si="395"/>
        <v>#VALUE!</v>
      </c>
      <c r="U837" t="e">
        <f t="shared" ca="1" si="416"/>
        <v>#VALUE!</v>
      </c>
      <c r="V837" t="e">
        <f t="shared" ca="1" si="417"/>
        <v>#VALUE!</v>
      </c>
      <c r="W837" t="e">
        <f t="shared" ca="1" si="396"/>
        <v>#VALUE!</v>
      </c>
      <c r="X837" t="e">
        <f t="shared" ca="1" si="397"/>
        <v>#VALUE!</v>
      </c>
      <c r="Y837" t="e">
        <f t="shared" ca="1" si="398"/>
        <v>#VALUE!</v>
      </c>
      <c r="Z837" t="e">
        <f t="shared" ca="1" si="399"/>
        <v>#VALUE!</v>
      </c>
      <c r="AA837" t="e">
        <f t="shared" ca="1" si="400"/>
        <v>#VALUE!</v>
      </c>
      <c r="AB837" t="e">
        <f t="shared" ca="1" si="401"/>
        <v>#VALUE!</v>
      </c>
      <c r="AC837" t="e">
        <f t="shared" ca="1" si="402"/>
        <v>#VALUE!</v>
      </c>
      <c r="AD837" t="e">
        <f t="shared" ca="1" si="403"/>
        <v>#VALUE!</v>
      </c>
      <c r="AE837" t="e">
        <f t="shared" ca="1" si="404"/>
        <v>#VALUE!</v>
      </c>
      <c r="AF837" t="e">
        <f t="shared" ca="1" si="405"/>
        <v>#VALUE!</v>
      </c>
      <c r="AG837" t="e">
        <f t="shared" ca="1" si="406"/>
        <v>#VALUE!</v>
      </c>
      <c r="AH837" t="e">
        <f ca="1">IF(V32="Supercritical",L837,IF(V32="Subcritical",W837,IF(AND(V837=1,AG837=1),IF(T837&gt;=AE837,L837,W837),IF(V837=1,L837,IF(AG837=1,W837,MAX($D$16,POWER((ABS(K837)^2)/($I$5*MAX(F837,0.1)^2),1/3)))))))</f>
        <v>#VALUE!</v>
      </c>
      <c r="AI837" t="e">
        <f t="shared" ca="1" si="407"/>
        <v>#VALUE!</v>
      </c>
      <c r="AJ837" t="e">
        <f t="shared" ca="1" si="408"/>
        <v>#VALUE!</v>
      </c>
      <c r="AM837">
        <v>0</v>
      </c>
      <c r="AN837">
        <v>0</v>
      </c>
      <c r="AO837">
        <f t="shared" si="409"/>
        <v>0</v>
      </c>
      <c r="AP837">
        <f t="shared" si="418"/>
        <v>0</v>
      </c>
      <c r="AQ837" t="e">
        <f t="shared" ca="1" si="410"/>
        <v>#VALUE!</v>
      </c>
      <c r="AR837" t="e">
        <f t="shared" ca="1" si="411"/>
        <v>#VALUE!</v>
      </c>
      <c r="AS837" t="e">
        <f t="shared" ca="1" si="412"/>
        <v>#VALUE!</v>
      </c>
    </row>
    <row r="838" spans="1:45" x14ac:dyDescent="0.35">
      <c r="A838">
        <v>689</v>
      </c>
      <c r="B838">
        <v>687.89499999999998</v>
      </c>
      <c r="C838">
        <v>616115.21600000001</v>
      </c>
      <c r="D838">
        <v>3097311.219</v>
      </c>
      <c r="E838">
        <v>632.21799999999996</v>
      </c>
      <c r="F838">
        <v>5.2</v>
      </c>
      <c r="G838">
        <v>0</v>
      </c>
      <c r="H838" t="s">
        <v>191</v>
      </c>
      <c r="I838">
        <v>0.05</v>
      </c>
      <c r="J838">
        <f t="shared" si="413"/>
        <v>0.99900000000002365</v>
      </c>
      <c r="K838">
        <f t="shared" si="414"/>
        <v>51</v>
      </c>
      <c r="L838" t="e">
        <f t="shared" ca="1" si="415"/>
        <v>#VALUE!</v>
      </c>
      <c r="M838" t="e">
        <f t="shared" ca="1" si="388"/>
        <v>#VALUE!</v>
      </c>
      <c r="N838" t="e">
        <f t="shared" ca="1" si="389"/>
        <v>#VALUE!</v>
      </c>
      <c r="O838" t="e">
        <f t="shared" ca="1" si="390"/>
        <v>#VALUE!</v>
      </c>
      <c r="P838" t="e">
        <f t="shared" ca="1" si="391"/>
        <v>#VALUE!</v>
      </c>
      <c r="Q838" t="e">
        <f t="shared" ca="1" si="392"/>
        <v>#VALUE!</v>
      </c>
      <c r="R838" t="e">
        <f t="shared" ca="1" si="393"/>
        <v>#VALUE!</v>
      </c>
      <c r="S838" t="e">
        <f t="shared" ca="1" si="394"/>
        <v>#VALUE!</v>
      </c>
      <c r="T838" t="e">
        <f t="shared" ca="1" si="395"/>
        <v>#VALUE!</v>
      </c>
      <c r="U838" t="e">
        <f t="shared" ca="1" si="416"/>
        <v>#VALUE!</v>
      </c>
      <c r="V838" t="e">
        <f t="shared" ca="1" si="417"/>
        <v>#VALUE!</v>
      </c>
      <c r="W838" t="e">
        <f t="shared" ca="1" si="396"/>
        <v>#VALUE!</v>
      </c>
      <c r="X838" t="e">
        <f t="shared" ca="1" si="397"/>
        <v>#VALUE!</v>
      </c>
      <c r="Y838" t="e">
        <f t="shared" ca="1" si="398"/>
        <v>#VALUE!</v>
      </c>
      <c r="Z838" t="e">
        <f t="shared" ca="1" si="399"/>
        <v>#VALUE!</v>
      </c>
      <c r="AA838" t="e">
        <f t="shared" ca="1" si="400"/>
        <v>#VALUE!</v>
      </c>
      <c r="AB838" t="e">
        <f t="shared" ca="1" si="401"/>
        <v>#VALUE!</v>
      </c>
      <c r="AC838" t="e">
        <f t="shared" ca="1" si="402"/>
        <v>#VALUE!</v>
      </c>
      <c r="AD838" t="e">
        <f t="shared" ca="1" si="403"/>
        <v>#VALUE!</v>
      </c>
      <c r="AE838" t="e">
        <f t="shared" ca="1" si="404"/>
        <v>#VALUE!</v>
      </c>
      <c r="AF838" t="e">
        <f t="shared" ca="1" si="405"/>
        <v>#VALUE!</v>
      </c>
      <c r="AG838" t="e">
        <f t="shared" ca="1" si="406"/>
        <v>#VALUE!</v>
      </c>
      <c r="AH838" t="e">
        <f ca="1">IF(V32="Supercritical",L838,IF(V32="Subcritical",W838,IF(AND(V838=1,AG838=1),IF(T838&gt;=AE838,L838,W838),IF(V838=1,L838,IF(AG838=1,W838,MAX($D$16,POWER((ABS(K838)^2)/($I$5*MAX(F838,0.1)^2),1/3)))))))</f>
        <v>#VALUE!</v>
      </c>
      <c r="AI838" t="e">
        <f t="shared" ca="1" si="407"/>
        <v>#VALUE!</v>
      </c>
      <c r="AJ838" t="e">
        <f t="shared" ca="1" si="408"/>
        <v>#VALUE!</v>
      </c>
      <c r="AM838">
        <v>0</v>
      </c>
      <c r="AN838">
        <v>0</v>
      </c>
      <c r="AO838">
        <f t="shared" si="409"/>
        <v>0</v>
      </c>
      <c r="AP838">
        <f t="shared" si="418"/>
        <v>0</v>
      </c>
      <c r="AQ838" t="e">
        <f t="shared" ca="1" si="410"/>
        <v>#VALUE!</v>
      </c>
      <c r="AR838" t="e">
        <f t="shared" ca="1" si="411"/>
        <v>#VALUE!</v>
      </c>
      <c r="AS838" t="e">
        <f t="shared" ca="1" si="412"/>
        <v>#VALUE!</v>
      </c>
    </row>
    <row r="839" spans="1:45" x14ac:dyDescent="0.35">
      <c r="A839">
        <v>690</v>
      </c>
      <c r="B839">
        <v>688.89499999999998</v>
      </c>
      <c r="C839">
        <v>616114.74100000004</v>
      </c>
      <c r="D839">
        <v>3097310.3390000002</v>
      </c>
      <c r="E839">
        <v>632.21749999999997</v>
      </c>
      <c r="F839">
        <v>5.2</v>
      </c>
      <c r="G839">
        <v>0</v>
      </c>
      <c r="H839" t="s">
        <v>191</v>
      </c>
      <c r="I839">
        <v>7.8E-2</v>
      </c>
      <c r="J839">
        <f t="shared" si="413"/>
        <v>1</v>
      </c>
      <c r="K839">
        <f t="shared" si="414"/>
        <v>51</v>
      </c>
      <c r="L839" t="e">
        <f t="shared" ca="1" si="415"/>
        <v>#VALUE!</v>
      </c>
      <c r="M839" t="e">
        <f t="shared" ca="1" si="388"/>
        <v>#VALUE!</v>
      </c>
      <c r="N839" t="e">
        <f t="shared" ca="1" si="389"/>
        <v>#VALUE!</v>
      </c>
      <c r="O839" t="e">
        <f t="shared" ca="1" si="390"/>
        <v>#VALUE!</v>
      </c>
      <c r="P839" t="e">
        <f t="shared" ca="1" si="391"/>
        <v>#VALUE!</v>
      </c>
      <c r="Q839" t="e">
        <f t="shared" ca="1" si="392"/>
        <v>#VALUE!</v>
      </c>
      <c r="R839" t="e">
        <f t="shared" ca="1" si="393"/>
        <v>#VALUE!</v>
      </c>
      <c r="S839" t="e">
        <f t="shared" ca="1" si="394"/>
        <v>#VALUE!</v>
      </c>
      <c r="T839" t="e">
        <f t="shared" ca="1" si="395"/>
        <v>#VALUE!</v>
      </c>
      <c r="U839" t="e">
        <f t="shared" ca="1" si="416"/>
        <v>#VALUE!</v>
      </c>
      <c r="V839" t="e">
        <f t="shared" ca="1" si="417"/>
        <v>#VALUE!</v>
      </c>
      <c r="W839" t="e">
        <f t="shared" ca="1" si="396"/>
        <v>#VALUE!</v>
      </c>
      <c r="X839" t="e">
        <f t="shared" ca="1" si="397"/>
        <v>#VALUE!</v>
      </c>
      <c r="Y839" t="e">
        <f t="shared" ca="1" si="398"/>
        <v>#VALUE!</v>
      </c>
      <c r="Z839" t="e">
        <f t="shared" ca="1" si="399"/>
        <v>#VALUE!</v>
      </c>
      <c r="AA839" t="e">
        <f t="shared" ca="1" si="400"/>
        <v>#VALUE!</v>
      </c>
      <c r="AB839" t="e">
        <f t="shared" ca="1" si="401"/>
        <v>#VALUE!</v>
      </c>
      <c r="AC839" t="e">
        <f t="shared" ca="1" si="402"/>
        <v>#VALUE!</v>
      </c>
      <c r="AD839" t="e">
        <f t="shared" ca="1" si="403"/>
        <v>#VALUE!</v>
      </c>
      <c r="AE839" t="e">
        <f t="shared" ca="1" si="404"/>
        <v>#VALUE!</v>
      </c>
      <c r="AF839" t="e">
        <f t="shared" ca="1" si="405"/>
        <v>#VALUE!</v>
      </c>
      <c r="AG839" t="e">
        <f t="shared" ca="1" si="406"/>
        <v>#VALUE!</v>
      </c>
      <c r="AH839" t="e">
        <f ca="1">IF(V32="Supercritical",L839,IF(V32="Subcritical",W839,IF(AND(V839=1,AG839=1),IF(T839&gt;=AE839,L839,W839),IF(V839=1,L839,IF(AG839=1,W839,MAX($D$16,POWER((ABS(K839)^2)/($I$5*MAX(F839,0.1)^2),1/3)))))))</f>
        <v>#VALUE!</v>
      </c>
      <c r="AI839" t="e">
        <f t="shared" ca="1" si="407"/>
        <v>#VALUE!</v>
      </c>
      <c r="AJ839" t="e">
        <f t="shared" ca="1" si="408"/>
        <v>#VALUE!</v>
      </c>
      <c r="AM839">
        <v>0</v>
      </c>
      <c r="AN839">
        <v>0</v>
      </c>
      <c r="AO839">
        <f t="shared" si="409"/>
        <v>0</v>
      </c>
      <c r="AP839">
        <f t="shared" si="418"/>
        <v>0</v>
      </c>
      <c r="AQ839" t="e">
        <f t="shared" ca="1" si="410"/>
        <v>#VALUE!</v>
      </c>
      <c r="AR839" t="e">
        <f t="shared" ca="1" si="411"/>
        <v>#VALUE!</v>
      </c>
      <c r="AS839" t="e">
        <f t="shared" ca="1" si="412"/>
        <v>#VALUE!</v>
      </c>
    </row>
    <row r="840" spans="1:45" x14ac:dyDescent="0.35">
      <c r="A840">
        <v>691</v>
      </c>
      <c r="B840">
        <v>689.89599999999996</v>
      </c>
      <c r="C840">
        <v>616114.26699999999</v>
      </c>
      <c r="D840">
        <v>3097309.4580000001</v>
      </c>
      <c r="E840">
        <v>632.21699999999998</v>
      </c>
      <c r="F840">
        <v>5.2</v>
      </c>
      <c r="G840">
        <v>0</v>
      </c>
      <c r="H840" t="s">
        <v>191</v>
      </c>
      <c r="I840">
        <v>2.7E-2</v>
      </c>
      <c r="J840">
        <f t="shared" si="413"/>
        <v>1.0009999999999764</v>
      </c>
      <c r="K840">
        <f t="shared" si="414"/>
        <v>51</v>
      </c>
      <c r="L840" t="e">
        <f t="shared" ca="1" si="415"/>
        <v>#VALUE!</v>
      </c>
      <c r="M840" t="e">
        <f t="shared" ca="1" si="388"/>
        <v>#VALUE!</v>
      </c>
      <c r="N840" t="e">
        <f t="shared" ca="1" si="389"/>
        <v>#VALUE!</v>
      </c>
      <c r="O840" t="e">
        <f t="shared" ca="1" si="390"/>
        <v>#VALUE!</v>
      </c>
      <c r="P840" t="e">
        <f t="shared" ca="1" si="391"/>
        <v>#VALUE!</v>
      </c>
      <c r="Q840" t="e">
        <f t="shared" ca="1" si="392"/>
        <v>#VALUE!</v>
      </c>
      <c r="R840" t="e">
        <f t="shared" ca="1" si="393"/>
        <v>#VALUE!</v>
      </c>
      <c r="S840" t="e">
        <f t="shared" ca="1" si="394"/>
        <v>#VALUE!</v>
      </c>
      <c r="T840" t="e">
        <f t="shared" ca="1" si="395"/>
        <v>#VALUE!</v>
      </c>
      <c r="U840" t="e">
        <f t="shared" ca="1" si="416"/>
        <v>#VALUE!</v>
      </c>
      <c r="V840" t="e">
        <f t="shared" ca="1" si="417"/>
        <v>#VALUE!</v>
      </c>
      <c r="W840" t="e">
        <f t="shared" ca="1" si="396"/>
        <v>#VALUE!</v>
      </c>
      <c r="X840" t="e">
        <f t="shared" ca="1" si="397"/>
        <v>#VALUE!</v>
      </c>
      <c r="Y840" t="e">
        <f t="shared" ca="1" si="398"/>
        <v>#VALUE!</v>
      </c>
      <c r="Z840" t="e">
        <f t="shared" ca="1" si="399"/>
        <v>#VALUE!</v>
      </c>
      <c r="AA840" t="e">
        <f t="shared" ca="1" si="400"/>
        <v>#VALUE!</v>
      </c>
      <c r="AB840" t="e">
        <f t="shared" ca="1" si="401"/>
        <v>#VALUE!</v>
      </c>
      <c r="AC840" t="e">
        <f t="shared" ca="1" si="402"/>
        <v>#VALUE!</v>
      </c>
      <c r="AD840" t="e">
        <f t="shared" ca="1" si="403"/>
        <v>#VALUE!</v>
      </c>
      <c r="AE840" t="e">
        <f t="shared" ca="1" si="404"/>
        <v>#VALUE!</v>
      </c>
      <c r="AF840" t="e">
        <f t="shared" ca="1" si="405"/>
        <v>#VALUE!</v>
      </c>
      <c r="AG840" t="e">
        <f t="shared" ca="1" si="406"/>
        <v>#VALUE!</v>
      </c>
      <c r="AH840" t="e">
        <f ca="1">IF(V32="Supercritical",L840,IF(V32="Subcritical",W840,IF(AND(V840=1,AG840=1),IF(T840&gt;=AE840,L840,W840),IF(V840=1,L840,IF(AG840=1,W840,MAX($D$16,POWER((ABS(K840)^2)/($I$5*MAX(F840,0.1)^2),1/3)))))))</f>
        <v>#VALUE!</v>
      </c>
      <c r="AI840" t="e">
        <f t="shared" ca="1" si="407"/>
        <v>#VALUE!</v>
      </c>
      <c r="AJ840" t="e">
        <f t="shared" ca="1" si="408"/>
        <v>#VALUE!</v>
      </c>
      <c r="AM840">
        <v>0</v>
      </c>
      <c r="AN840">
        <v>0</v>
      </c>
      <c r="AO840">
        <f t="shared" si="409"/>
        <v>0</v>
      </c>
      <c r="AP840">
        <f t="shared" si="418"/>
        <v>0</v>
      </c>
      <c r="AQ840" t="e">
        <f t="shared" ca="1" si="410"/>
        <v>#VALUE!</v>
      </c>
      <c r="AR840" t="e">
        <f t="shared" ca="1" si="411"/>
        <v>#VALUE!</v>
      </c>
      <c r="AS840" t="e">
        <f t="shared" ca="1" si="412"/>
        <v>#VALUE!</v>
      </c>
    </row>
    <row r="841" spans="1:45" x14ac:dyDescent="0.35">
      <c r="A841">
        <v>692</v>
      </c>
      <c r="B841">
        <v>690.89499999999998</v>
      </c>
      <c r="C841">
        <v>616113.79299999995</v>
      </c>
      <c r="D841">
        <v>3097308.5780000002</v>
      </c>
      <c r="E841">
        <v>632.2165</v>
      </c>
      <c r="F841">
        <v>5.2</v>
      </c>
      <c r="G841">
        <v>0</v>
      </c>
      <c r="H841" t="s">
        <v>191</v>
      </c>
      <c r="I841">
        <v>2.7E-2</v>
      </c>
      <c r="J841">
        <f t="shared" si="413"/>
        <v>0.99900000000002365</v>
      </c>
      <c r="K841">
        <f t="shared" si="414"/>
        <v>51</v>
      </c>
      <c r="L841" t="e">
        <f t="shared" ca="1" si="415"/>
        <v>#VALUE!</v>
      </c>
      <c r="M841" t="e">
        <f t="shared" ca="1" si="388"/>
        <v>#VALUE!</v>
      </c>
      <c r="N841" t="e">
        <f t="shared" ca="1" si="389"/>
        <v>#VALUE!</v>
      </c>
      <c r="O841" t="e">
        <f t="shared" ca="1" si="390"/>
        <v>#VALUE!</v>
      </c>
      <c r="P841" t="e">
        <f t="shared" ca="1" si="391"/>
        <v>#VALUE!</v>
      </c>
      <c r="Q841" t="e">
        <f t="shared" ca="1" si="392"/>
        <v>#VALUE!</v>
      </c>
      <c r="R841" t="e">
        <f t="shared" ca="1" si="393"/>
        <v>#VALUE!</v>
      </c>
      <c r="S841" t="e">
        <f t="shared" ca="1" si="394"/>
        <v>#VALUE!</v>
      </c>
      <c r="T841" t="e">
        <f t="shared" ca="1" si="395"/>
        <v>#VALUE!</v>
      </c>
      <c r="U841" t="e">
        <f t="shared" ca="1" si="416"/>
        <v>#VALUE!</v>
      </c>
      <c r="V841" t="e">
        <f t="shared" ca="1" si="417"/>
        <v>#VALUE!</v>
      </c>
      <c r="W841" t="e">
        <f t="shared" ca="1" si="396"/>
        <v>#VALUE!</v>
      </c>
      <c r="X841" t="e">
        <f t="shared" ca="1" si="397"/>
        <v>#VALUE!</v>
      </c>
      <c r="Y841" t="e">
        <f t="shared" ca="1" si="398"/>
        <v>#VALUE!</v>
      </c>
      <c r="Z841" t="e">
        <f t="shared" ca="1" si="399"/>
        <v>#VALUE!</v>
      </c>
      <c r="AA841" t="e">
        <f t="shared" ca="1" si="400"/>
        <v>#VALUE!</v>
      </c>
      <c r="AB841" t="e">
        <f t="shared" ca="1" si="401"/>
        <v>#VALUE!</v>
      </c>
      <c r="AC841" t="e">
        <f t="shared" ca="1" si="402"/>
        <v>#VALUE!</v>
      </c>
      <c r="AD841" t="e">
        <f t="shared" ca="1" si="403"/>
        <v>#VALUE!</v>
      </c>
      <c r="AE841" t="e">
        <f t="shared" ca="1" si="404"/>
        <v>#VALUE!</v>
      </c>
      <c r="AF841" t="e">
        <f t="shared" ca="1" si="405"/>
        <v>#VALUE!</v>
      </c>
      <c r="AG841" t="e">
        <f t="shared" ca="1" si="406"/>
        <v>#VALUE!</v>
      </c>
      <c r="AH841" t="e">
        <f ca="1">IF(V32="Supercritical",L841,IF(V32="Subcritical",W841,IF(AND(V841=1,AG841=1),IF(T841&gt;=AE841,L841,W841),IF(V841=1,L841,IF(AG841=1,W841,MAX($D$16,POWER((ABS(K841)^2)/($I$5*MAX(F841,0.1)^2),1/3)))))))</f>
        <v>#VALUE!</v>
      </c>
      <c r="AI841" t="e">
        <f t="shared" ca="1" si="407"/>
        <v>#VALUE!</v>
      </c>
      <c r="AJ841" t="e">
        <f t="shared" ca="1" si="408"/>
        <v>#VALUE!</v>
      </c>
      <c r="AM841">
        <v>0</v>
      </c>
      <c r="AN841">
        <v>0</v>
      </c>
      <c r="AO841">
        <f t="shared" si="409"/>
        <v>0</v>
      </c>
      <c r="AP841">
        <f t="shared" si="418"/>
        <v>0</v>
      </c>
      <c r="AQ841" t="e">
        <f t="shared" ca="1" si="410"/>
        <v>#VALUE!</v>
      </c>
      <c r="AR841" t="e">
        <f t="shared" ca="1" si="411"/>
        <v>#VALUE!</v>
      </c>
      <c r="AS841" t="e">
        <f t="shared" ca="1" si="412"/>
        <v>#VALUE!</v>
      </c>
    </row>
    <row r="842" spans="1:45" x14ac:dyDescent="0.35">
      <c r="A842">
        <v>693</v>
      </c>
      <c r="B842">
        <v>691.89499999999998</v>
      </c>
      <c r="C842">
        <v>616113.31900000002</v>
      </c>
      <c r="D842">
        <v>3097307.6970000002</v>
      </c>
      <c r="E842">
        <v>632.21600000000001</v>
      </c>
      <c r="F842">
        <v>5.2</v>
      </c>
      <c r="G842">
        <v>0</v>
      </c>
      <c r="H842" t="s">
        <v>191</v>
      </c>
      <c r="I842">
        <v>2.7E-2</v>
      </c>
      <c r="J842">
        <f t="shared" si="413"/>
        <v>1</v>
      </c>
      <c r="K842">
        <f t="shared" si="414"/>
        <v>51</v>
      </c>
      <c r="L842" t="e">
        <f t="shared" ca="1" si="415"/>
        <v>#VALUE!</v>
      </c>
      <c r="M842" t="e">
        <f t="shared" ca="1" si="388"/>
        <v>#VALUE!</v>
      </c>
      <c r="N842" t="e">
        <f t="shared" ca="1" si="389"/>
        <v>#VALUE!</v>
      </c>
      <c r="O842" t="e">
        <f t="shared" ca="1" si="390"/>
        <v>#VALUE!</v>
      </c>
      <c r="P842" t="e">
        <f t="shared" ca="1" si="391"/>
        <v>#VALUE!</v>
      </c>
      <c r="Q842" t="e">
        <f t="shared" ca="1" si="392"/>
        <v>#VALUE!</v>
      </c>
      <c r="R842" t="e">
        <f t="shared" ca="1" si="393"/>
        <v>#VALUE!</v>
      </c>
      <c r="S842" t="e">
        <f t="shared" ca="1" si="394"/>
        <v>#VALUE!</v>
      </c>
      <c r="T842" t="e">
        <f t="shared" ca="1" si="395"/>
        <v>#VALUE!</v>
      </c>
      <c r="U842" t="e">
        <f t="shared" ca="1" si="416"/>
        <v>#VALUE!</v>
      </c>
      <c r="V842" t="e">
        <f t="shared" ca="1" si="417"/>
        <v>#VALUE!</v>
      </c>
      <c r="W842" t="e">
        <f t="shared" ca="1" si="396"/>
        <v>#VALUE!</v>
      </c>
      <c r="X842" t="e">
        <f t="shared" ca="1" si="397"/>
        <v>#VALUE!</v>
      </c>
      <c r="Y842" t="e">
        <f t="shared" ca="1" si="398"/>
        <v>#VALUE!</v>
      </c>
      <c r="Z842" t="e">
        <f t="shared" ca="1" si="399"/>
        <v>#VALUE!</v>
      </c>
      <c r="AA842" t="e">
        <f t="shared" ca="1" si="400"/>
        <v>#VALUE!</v>
      </c>
      <c r="AB842" t="e">
        <f t="shared" ca="1" si="401"/>
        <v>#VALUE!</v>
      </c>
      <c r="AC842" t="e">
        <f t="shared" ca="1" si="402"/>
        <v>#VALUE!</v>
      </c>
      <c r="AD842" t="e">
        <f t="shared" ca="1" si="403"/>
        <v>#VALUE!</v>
      </c>
      <c r="AE842" t="e">
        <f t="shared" ca="1" si="404"/>
        <v>#VALUE!</v>
      </c>
      <c r="AF842" t="e">
        <f t="shared" ca="1" si="405"/>
        <v>#VALUE!</v>
      </c>
      <c r="AG842" t="e">
        <f t="shared" ca="1" si="406"/>
        <v>#VALUE!</v>
      </c>
      <c r="AH842" t="e">
        <f ca="1">IF(V32="Supercritical",L842,IF(V32="Subcritical",W842,IF(AND(V842=1,AG842=1),IF(T842&gt;=AE842,L842,W842),IF(V842=1,L842,IF(AG842=1,W842,MAX($D$16,POWER((ABS(K842)^2)/($I$5*MAX(F842,0.1)^2),1/3)))))))</f>
        <v>#VALUE!</v>
      </c>
      <c r="AI842" t="e">
        <f t="shared" ca="1" si="407"/>
        <v>#VALUE!</v>
      </c>
      <c r="AJ842" t="e">
        <f t="shared" ca="1" si="408"/>
        <v>#VALUE!</v>
      </c>
      <c r="AM842">
        <v>0</v>
      </c>
      <c r="AN842">
        <v>0</v>
      </c>
      <c r="AO842">
        <f t="shared" si="409"/>
        <v>0</v>
      </c>
      <c r="AP842">
        <f t="shared" si="418"/>
        <v>0</v>
      </c>
      <c r="AQ842" t="e">
        <f t="shared" ca="1" si="410"/>
        <v>#VALUE!</v>
      </c>
      <c r="AR842" t="e">
        <f t="shared" ca="1" si="411"/>
        <v>#VALUE!</v>
      </c>
      <c r="AS842" t="e">
        <f t="shared" ca="1" si="412"/>
        <v>#VALUE!</v>
      </c>
    </row>
    <row r="843" spans="1:45" x14ac:dyDescent="0.35">
      <c r="A843">
        <v>694</v>
      </c>
      <c r="B843">
        <v>692.89499999999998</v>
      </c>
      <c r="C843">
        <v>616112.84499999997</v>
      </c>
      <c r="D843">
        <v>3097306.8169999998</v>
      </c>
      <c r="E843">
        <v>632.21550000000002</v>
      </c>
      <c r="F843">
        <v>5.2</v>
      </c>
      <c r="G843">
        <v>0</v>
      </c>
      <c r="H843" t="s">
        <v>191</v>
      </c>
      <c r="I843">
        <v>0.05</v>
      </c>
      <c r="J843">
        <f t="shared" si="413"/>
        <v>1</v>
      </c>
      <c r="K843">
        <f t="shared" si="414"/>
        <v>51</v>
      </c>
      <c r="L843" t="e">
        <f t="shared" ca="1" si="415"/>
        <v>#VALUE!</v>
      </c>
      <c r="M843" t="e">
        <f t="shared" ca="1" si="388"/>
        <v>#VALUE!</v>
      </c>
      <c r="N843" t="e">
        <f t="shared" ca="1" si="389"/>
        <v>#VALUE!</v>
      </c>
      <c r="O843" t="e">
        <f t="shared" ca="1" si="390"/>
        <v>#VALUE!</v>
      </c>
      <c r="P843" t="e">
        <f t="shared" ca="1" si="391"/>
        <v>#VALUE!</v>
      </c>
      <c r="Q843" t="e">
        <f t="shared" ca="1" si="392"/>
        <v>#VALUE!</v>
      </c>
      <c r="R843" t="e">
        <f t="shared" ca="1" si="393"/>
        <v>#VALUE!</v>
      </c>
      <c r="S843" t="e">
        <f t="shared" ca="1" si="394"/>
        <v>#VALUE!</v>
      </c>
      <c r="T843" t="e">
        <f t="shared" ca="1" si="395"/>
        <v>#VALUE!</v>
      </c>
      <c r="U843" t="e">
        <f t="shared" ca="1" si="416"/>
        <v>#VALUE!</v>
      </c>
      <c r="V843" t="e">
        <f t="shared" ca="1" si="417"/>
        <v>#VALUE!</v>
      </c>
      <c r="W843" t="e">
        <f t="shared" ca="1" si="396"/>
        <v>#VALUE!</v>
      </c>
      <c r="X843" t="e">
        <f t="shared" ca="1" si="397"/>
        <v>#VALUE!</v>
      </c>
      <c r="Y843" t="e">
        <f t="shared" ca="1" si="398"/>
        <v>#VALUE!</v>
      </c>
      <c r="Z843" t="e">
        <f t="shared" ca="1" si="399"/>
        <v>#VALUE!</v>
      </c>
      <c r="AA843" t="e">
        <f t="shared" ca="1" si="400"/>
        <v>#VALUE!</v>
      </c>
      <c r="AB843" t="e">
        <f t="shared" ca="1" si="401"/>
        <v>#VALUE!</v>
      </c>
      <c r="AC843" t="e">
        <f t="shared" ca="1" si="402"/>
        <v>#VALUE!</v>
      </c>
      <c r="AD843" t="e">
        <f t="shared" ca="1" si="403"/>
        <v>#VALUE!</v>
      </c>
      <c r="AE843" t="e">
        <f t="shared" ca="1" si="404"/>
        <v>#VALUE!</v>
      </c>
      <c r="AF843" t="e">
        <f t="shared" ca="1" si="405"/>
        <v>#VALUE!</v>
      </c>
      <c r="AG843" t="e">
        <f t="shared" ca="1" si="406"/>
        <v>#VALUE!</v>
      </c>
      <c r="AH843" t="e">
        <f ca="1">IF(V32="Supercritical",L843,IF(V32="Subcritical",W843,IF(AND(V843=1,AG843=1),IF(T843&gt;=AE843,L843,W843),IF(V843=1,L843,IF(AG843=1,W843,MAX($D$16,POWER((ABS(K843)^2)/($I$5*MAX(F843,0.1)^2),1/3)))))))</f>
        <v>#VALUE!</v>
      </c>
      <c r="AI843" t="e">
        <f t="shared" ca="1" si="407"/>
        <v>#VALUE!</v>
      </c>
      <c r="AJ843" t="e">
        <f t="shared" ca="1" si="408"/>
        <v>#VALUE!</v>
      </c>
      <c r="AM843">
        <v>0</v>
      </c>
      <c r="AN843">
        <v>0</v>
      </c>
      <c r="AO843">
        <f t="shared" si="409"/>
        <v>0</v>
      </c>
      <c r="AP843">
        <f t="shared" si="418"/>
        <v>0</v>
      </c>
      <c r="AQ843" t="e">
        <f t="shared" ca="1" si="410"/>
        <v>#VALUE!</v>
      </c>
      <c r="AR843" t="e">
        <f t="shared" ca="1" si="411"/>
        <v>#VALUE!</v>
      </c>
      <c r="AS843" t="e">
        <f t="shared" ca="1" si="412"/>
        <v>#VALUE!</v>
      </c>
    </row>
    <row r="844" spans="1:45" x14ac:dyDescent="0.35">
      <c r="A844">
        <v>695</v>
      </c>
      <c r="B844">
        <v>693.89499999999998</v>
      </c>
      <c r="C844">
        <v>616112.37</v>
      </c>
      <c r="D844">
        <v>3097305.9369999999</v>
      </c>
      <c r="E844">
        <v>632.21500000000003</v>
      </c>
      <c r="F844">
        <v>5.2</v>
      </c>
      <c r="G844">
        <v>0</v>
      </c>
      <c r="H844" t="s">
        <v>191</v>
      </c>
      <c r="I844">
        <v>7.8E-2</v>
      </c>
      <c r="J844">
        <f t="shared" si="413"/>
        <v>1</v>
      </c>
      <c r="K844">
        <f t="shared" si="414"/>
        <v>51</v>
      </c>
      <c r="L844" t="e">
        <f t="shared" ca="1" si="415"/>
        <v>#VALUE!</v>
      </c>
      <c r="M844" t="e">
        <f t="shared" ca="1" si="388"/>
        <v>#VALUE!</v>
      </c>
      <c r="N844" t="e">
        <f t="shared" ca="1" si="389"/>
        <v>#VALUE!</v>
      </c>
      <c r="O844" t="e">
        <f t="shared" ca="1" si="390"/>
        <v>#VALUE!</v>
      </c>
      <c r="P844" t="e">
        <f t="shared" ca="1" si="391"/>
        <v>#VALUE!</v>
      </c>
      <c r="Q844" t="e">
        <f t="shared" ca="1" si="392"/>
        <v>#VALUE!</v>
      </c>
      <c r="R844" t="e">
        <f t="shared" ca="1" si="393"/>
        <v>#VALUE!</v>
      </c>
      <c r="S844" t="e">
        <f t="shared" ca="1" si="394"/>
        <v>#VALUE!</v>
      </c>
      <c r="T844" t="e">
        <f t="shared" ca="1" si="395"/>
        <v>#VALUE!</v>
      </c>
      <c r="U844" t="e">
        <f t="shared" ca="1" si="416"/>
        <v>#VALUE!</v>
      </c>
      <c r="V844" t="e">
        <f t="shared" ca="1" si="417"/>
        <v>#VALUE!</v>
      </c>
      <c r="W844" t="e">
        <f t="shared" ca="1" si="396"/>
        <v>#VALUE!</v>
      </c>
      <c r="X844" t="e">
        <f t="shared" ca="1" si="397"/>
        <v>#VALUE!</v>
      </c>
      <c r="Y844" t="e">
        <f t="shared" ca="1" si="398"/>
        <v>#VALUE!</v>
      </c>
      <c r="Z844" t="e">
        <f t="shared" ca="1" si="399"/>
        <v>#VALUE!</v>
      </c>
      <c r="AA844" t="e">
        <f t="shared" ca="1" si="400"/>
        <v>#VALUE!</v>
      </c>
      <c r="AB844" t="e">
        <f t="shared" ca="1" si="401"/>
        <v>#VALUE!</v>
      </c>
      <c r="AC844" t="e">
        <f t="shared" ca="1" si="402"/>
        <v>#VALUE!</v>
      </c>
      <c r="AD844" t="e">
        <f t="shared" ca="1" si="403"/>
        <v>#VALUE!</v>
      </c>
      <c r="AE844" t="e">
        <f t="shared" ca="1" si="404"/>
        <v>#VALUE!</v>
      </c>
      <c r="AF844" t="e">
        <f t="shared" ca="1" si="405"/>
        <v>#VALUE!</v>
      </c>
      <c r="AG844" t="e">
        <f t="shared" ca="1" si="406"/>
        <v>#VALUE!</v>
      </c>
      <c r="AH844" t="e">
        <f ca="1">IF(V32="Supercritical",L844,IF(V32="Subcritical",W844,IF(AND(V844=1,AG844=1),IF(T844&gt;=AE844,L844,W844),IF(V844=1,L844,IF(AG844=1,W844,MAX($D$16,POWER((ABS(K844)^2)/($I$5*MAX(F844,0.1)^2),1/3)))))))</f>
        <v>#VALUE!</v>
      </c>
      <c r="AI844" t="e">
        <f t="shared" ca="1" si="407"/>
        <v>#VALUE!</v>
      </c>
      <c r="AJ844" t="e">
        <f t="shared" ca="1" si="408"/>
        <v>#VALUE!</v>
      </c>
      <c r="AM844">
        <v>0</v>
      </c>
      <c r="AN844">
        <v>0</v>
      </c>
      <c r="AO844">
        <f t="shared" si="409"/>
        <v>0</v>
      </c>
      <c r="AP844">
        <f t="shared" si="418"/>
        <v>0</v>
      </c>
      <c r="AQ844" t="e">
        <f t="shared" ca="1" si="410"/>
        <v>#VALUE!</v>
      </c>
      <c r="AR844" t="e">
        <f t="shared" ca="1" si="411"/>
        <v>#VALUE!</v>
      </c>
      <c r="AS844" t="e">
        <f t="shared" ca="1" si="412"/>
        <v>#VALUE!</v>
      </c>
    </row>
    <row r="845" spans="1:45" x14ac:dyDescent="0.35">
      <c r="A845">
        <v>696</v>
      </c>
      <c r="B845">
        <v>694.89499999999998</v>
      </c>
      <c r="C845">
        <v>616111.89599999995</v>
      </c>
      <c r="D845">
        <v>3097305.0559999999</v>
      </c>
      <c r="E845">
        <v>632.21450000000004</v>
      </c>
      <c r="F845">
        <v>5.2</v>
      </c>
      <c r="G845">
        <v>0</v>
      </c>
      <c r="H845" t="s">
        <v>191</v>
      </c>
      <c r="I845">
        <v>2.7E-2</v>
      </c>
      <c r="J845">
        <f t="shared" si="413"/>
        <v>1</v>
      </c>
      <c r="K845">
        <f t="shared" si="414"/>
        <v>51</v>
      </c>
      <c r="L845" t="e">
        <f t="shared" ca="1" si="415"/>
        <v>#VALUE!</v>
      </c>
      <c r="M845" t="e">
        <f t="shared" ca="1" si="388"/>
        <v>#VALUE!</v>
      </c>
      <c r="N845" t="e">
        <f t="shared" ca="1" si="389"/>
        <v>#VALUE!</v>
      </c>
      <c r="O845" t="e">
        <f t="shared" ca="1" si="390"/>
        <v>#VALUE!</v>
      </c>
      <c r="P845" t="e">
        <f t="shared" ca="1" si="391"/>
        <v>#VALUE!</v>
      </c>
      <c r="Q845" t="e">
        <f t="shared" ca="1" si="392"/>
        <v>#VALUE!</v>
      </c>
      <c r="R845" t="e">
        <f t="shared" ca="1" si="393"/>
        <v>#VALUE!</v>
      </c>
      <c r="S845" t="e">
        <f t="shared" ca="1" si="394"/>
        <v>#VALUE!</v>
      </c>
      <c r="T845" t="e">
        <f t="shared" ca="1" si="395"/>
        <v>#VALUE!</v>
      </c>
      <c r="U845" t="e">
        <f t="shared" ca="1" si="416"/>
        <v>#VALUE!</v>
      </c>
      <c r="V845" t="e">
        <f t="shared" ca="1" si="417"/>
        <v>#VALUE!</v>
      </c>
      <c r="W845" t="e">
        <f t="shared" ca="1" si="396"/>
        <v>#VALUE!</v>
      </c>
      <c r="X845" t="e">
        <f t="shared" ca="1" si="397"/>
        <v>#VALUE!</v>
      </c>
      <c r="Y845" t="e">
        <f t="shared" ca="1" si="398"/>
        <v>#VALUE!</v>
      </c>
      <c r="Z845" t="e">
        <f t="shared" ca="1" si="399"/>
        <v>#VALUE!</v>
      </c>
      <c r="AA845" t="e">
        <f t="shared" ca="1" si="400"/>
        <v>#VALUE!</v>
      </c>
      <c r="AB845" t="e">
        <f t="shared" ca="1" si="401"/>
        <v>#VALUE!</v>
      </c>
      <c r="AC845" t="e">
        <f t="shared" ca="1" si="402"/>
        <v>#VALUE!</v>
      </c>
      <c r="AD845" t="e">
        <f t="shared" ca="1" si="403"/>
        <v>#VALUE!</v>
      </c>
      <c r="AE845" t="e">
        <f t="shared" ca="1" si="404"/>
        <v>#VALUE!</v>
      </c>
      <c r="AF845" t="e">
        <f t="shared" ca="1" si="405"/>
        <v>#VALUE!</v>
      </c>
      <c r="AG845" t="e">
        <f t="shared" ca="1" si="406"/>
        <v>#VALUE!</v>
      </c>
      <c r="AH845" t="e">
        <f ca="1">IF(V32="Supercritical",L845,IF(V32="Subcritical",W845,IF(AND(V845=1,AG845=1),IF(T845&gt;=AE845,L845,W845),IF(V845=1,L845,IF(AG845=1,W845,MAX($D$16,POWER((ABS(K845)^2)/($I$5*MAX(F845,0.1)^2),1/3)))))))</f>
        <v>#VALUE!</v>
      </c>
      <c r="AI845" t="e">
        <f t="shared" ca="1" si="407"/>
        <v>#VALUE!</v>
      </c>
      <c r="AJ845" t="e">
        <f t="shared" ca="1" si="408"/>
        <v>#VALUE!</v>
      </c>
      <c r="AM845">
        <v>0</v>
      </c>
      <c r="AN845">
        <v>0</v>
      </c>
      <c r="AO845">
        <f t="shared" si="409"/>
        <v>0</v>
      </c>
      <c r="AP845">
        <f t="shared" si="418"/>
        <v>0</v>
      </c>
      <c r="AQ845" t="e">
        <f t="shared" ca="1" si="410"/>
        <v>#VALUE!</v>
      </c>
      <c r="AR845" t="e">
        <f t="shared" ca="1" si="411"/>
        <v>#VALUE!</v>
      </c>
      <c r="AS845" t="e">
        <f t="shared" ca="1" si="412"/>
        <v>#VALUE!</v>
      </c>
    </row>
    <row r="846" spans="1:45" x14ac:dyDescent="0.35">
      <c r="A846">
        <v>697</v>
      </c>
      <c r="B846">
        <v>695.89499999999998</v>
      </c>
      <c r="C846">
        <v>616111.42200000002</v>
      </c>
      <c r="D846">
        <v>3097304.176</v>
      </c>
      <c r="E846">
        <v>632.21400000000006</v>
      </c>
      <c r="F846">
        <v>5.2</v>
      </c>
      <c r="G846">
        <v>0</v>
      </c>
      <c r="H846" t="s">
        <v>191</v>
      </c>
      <c r="I846">
        <v>2.7E-2</v>
      </c>
      <c r="J846">
        <f t="shared" si="413"/>
        <v>1</v>
      </c>
      <c r="K846">
        <f t="shared" si="414"/>
        <v>51</v>
      </c>
      <c r="L846" t="e">
        <f t="shared" ca="1" si="415"/>
        <v>#VALUE!</v>
      </c>
      <c r="M846" t="e">
        <f t="shared" ca="1" si="388"/>
        <v>#VALUE!</v>
      </c>
      <c r="N846" t="e">
        <f t="shared" ca="1" si="389"/>
        <v>#VALUE!</v>
      </c>
      <c r="O846" t="e">
        <f t="shared" ca="1" si="390"/>
        <v>#VALUE!</v>
      </c>
      <c r="P846" t="e">
        <f t="shared" ca="1" si="391"/>
        <v>#VALUE!</v>
      </c>
      <c r="Q846" t="e">
        <f t="shared" ca="1" si="392"/>
        <v>#VALUE!</v>
      </c>
      <c r="R846" t="e">
        <f t="shared" ca="1" si="393"/>
        <v>#VALUE!</v>
      </c>
      <c r="S846" t="e">
        <f t="shared" ca="1" si="394"/>
        <v>#VALUE!</v>
      </c>
      <c r="T846" t="e">
        <f t="shared" ca="1" si="395"/>
        <v>#VALUE!</v>
      </c>
      <c r="U846" t="e">
        <f t="shared" ca="1" si="416"/>
        <v>#VALUE!</v>
      </c>
      <c r="V846" t="e">
        <f t="shared" ca="1" si="417"/>
        <v>#VALUE!</v>
      </c>
      <c r="W846" t="e">
        <f t="shared" ca="1" si="396"/>
        <v>#VALUE!</v>
      </c>
      <c r="X846" t="e">
        <f t="shared" ca="1" si="397"/>
        <v>#VALUE!</v>
      </c>
      <c r="Y846" t="e">
        <f t="shared" ca="1" si="398"/>
        <v>#VALUE!</v>
      </c>
      <c r="Z846" t="e">
        <f t="shared" ca="1" si="399"/>
        <v>#VALUE!</v>
      </c>
      <c r="AA846" t="e">
        <f t="shared" ca="1" si="400"/>
        <v>#VALUE!</v>
      </c>
      <c r="AB846" t="e">
        <f t="shared" ca="1" si="401"/>
        <v>#VALUE!</v>
      </c>
      <c r="AC846" t="e">
        <f t="shared" ca="1" si="402"/>
        <v>#VALUE!</v>
      </c>
      <c r="AD846" t="e">
        <f t="shared" ca="1" si="403"/>
        <v>#VALUE!</v>
      </c>
      <c r="AE846" t="e">
        <f t="shared" ca="1" si="404"/>
        <v>#VALUE!</v>
      </c>
      <c r="AF846" t="e">
        <f t="shared" ca="1" si="405"/>
        <v>#VALUE!</v>
      </c>
      <c r="AG846" t="e">
        <f t="shared" ca="1" si="406"/>
        <v>#VALUE!</v>
      </c>
      <c r="AH846" t="e">
        <f ca="1">IF(V32="Supercritical",L846,IF(V32="Subcritical",W846,IF(AND(V846=1,AG846=1),IF(T846&gt;=AE846,L846,W846),IF(V846=1,L846,IF(AG846=1,W846,MAX($D$16,POWER((ABS(K846)^2)/($I$5*MAX(F846,0.1)^2),1/3)))))))</f>
        <v>#VALUE!</v>
      </c>
      <c r="AI846" t="e">
        <f t="shared" ca="1" si="407"/>
        <v>#VALUE!</v>
      </c>
      <c r="AJ846" t="e">
        <f t="shared" ca="1" si="408"/>
        <v>#VALUE!</v>
      </c>
      <c r="AM846">
        <v>0</v>
      </c>
      <c r="AN846">
        <v>0</v>
      </c>
      <c r="AO846">
        <f t="shared" si="409"/>
        <v>0</v>
      </c>
      <c r="AP846">
        <f t="shared" si="418"/>
        <v>0</v>
      </c>
      <c r="AQ846" t="e">
        <f t="shared" ca="1" si="410"/>
        <v>#VALUE!</v>
      </c>
      <c r="AR846" t="e">
        <f t="shared" ca="1" si="411"/>
        <v>#VALUE!</v>
      </c>
      <c r="AS846" t="e">
        <f t="shared" ca="1" si="412"/>
        <v>#VALUE!</v>
      </c>
    </row>
    <row r="847" spans="1:45" x14ac:dyDescent="0.35">
      <c r="A847">
        <v>698</v>
      </c>
      <c r="B847">
        <v>696.89499999999998</v>
      </c>
      <c r="C847">
        <v>616110.94799999997</v>
      </c>
      <c r="D847">
        <v>3097303.2949999999</v>
      </c>
      <c r="E847">
        <v>632.21349999999995</v>
      </c>
      <c r="F847">
        <v>5.2</v>
      </c>
      <c r="G847">
        <v>0</v>
      </c>
      <c r="H847" t="s">
        <v>191</v>
      </c>
      <c r="I847">
        <v>7.8E-2</v>
      </c>
      <c r="J847">
        <f t="shared" si="413"/>
        <v>1</v>
      </c>
      <c r="K847">
        <f t="shared" si="414"/>
        <v>51</v>
      </c>
      <c r="L847" t="e">
        <f t="shared" ca="1" si="415"/>
        <v>#VALUE!</v>
      </c>
      <c r="M847" t="e">
        <f t="shared" ca="1" si="388"/>
        <v>#VALUE!</v>
      </c>
      <c r="N847" t="e">
        <f t="shared" ca="1" si="389"/>
        <v>#VALUE!</v>
      </c>
      <c r="O847" t="e">
        <f t="shared" ca="1" si="390"/>
        <v>#VALUE!</v>
      </c>
      <c r="P847" t="e">
        <f t="shared" ca="1" si="391"/>
        <v>#VALUE!</v>
      </c>
      <c r="Q847" t="e">
        <f t="shared" ca="1" si="392"/>
        <v>#VALUE!</v>
      </c>
      <c r="R847" t="e">
        <f t="shared" ca="1" si="393"/>
        <v>#VALUE!</v>
      </c>
      <c r="S847" t="e">
        <f t="shared" ca="1" si="394"/>
        <v>#VALUE!</v>
      </c>
      <c r="T847" t="e">
        <f t="shared" ca="1" si="395"/>
        <v>#VALUE!</v>
      </c>
      <c r="U847" t="e">
        <f t="shared" ca="1" si="416"/>
        <v>#VALUE!</v>
      </c>
      <c r="V847" t="e">
        <f t="shared" ca="1" si="417"/>
        <v>#VALUE!</v>
      </c>
      <c r="W847" t="e">
        <f t="shared" ca="1" si="396"/>
        <v>#VALUE!</v>
      </c>
      <c r="X847" t="e">
        <f t="shared" ca="1" si="397"/>
        <v>#VALUE!</v>
      </c>
      <c r="Y847" t="e">
        <f t="shared" ca="1" si="398"/>
        <v>#VALUE!</v>
      </c>
      <c r="Z847" t="e">
        <f t="shared" ca="1" si="399"/>
        <v>#VALUE!</v>
      </c>
      <c r="AA847" t="e">
        <f t="shared" ca="1" si="400"/>
        <v>#VALUE!</v>
      </c>
      <c r="AB847" t="e">
        <f t="shared" ca="1" si="401"/>
        <v>#VALUE!</v>
      </c>
      <c r="AC847" t="e">
        <f t="shared" ca="1" si="402"/>
        <v>#VALUE!</v>
      </c>
      <c r="AD847" t="e">
        <f t="shared" ca="1" si="403"/>
        <v>#VALUE!</v>
      </c>
      <c r="AE847" t="e">
        <f t="shared" ca="1" si="404"/>
        <v>#VALUE!</v>
      </c>
      <c r="AF847" t="e">
        <f t="shared" ca="1" si="405"/>
        <v>#VALUE!</v>
      </c>
      <c r="AG847" t="e">
        <f t="shared" ca="1" si="406"/>
        <v>#VALUE!</v>
      </c>
      <c r="AH847" t="e">
        <f ca="1">IF(V32="Supercritical",L847,IF(V32="Subcritical",W847,IF(AND(V847=1,AG847=1),IF(T847&gt;=AE847,L847,W847),IF(V847=1,L847,IF(AG847=1,W847,MAX($D$16,POWER((ABS(K847)^2)/($I$5*MAX(F847,0.1)^2),1/3)))))))</f>
        <v>#VALUE!</v>
      </c>
      <c r="AI847" t="e">
        <f t="shared" ca="1" si="407"/>
        <v>#VALUE!</v>
      </c>
      <c r="AJ847" t="e">
        <f t="shared" ca="1" si="408"/>
        <v>#VALUE!</v>
      </c>
      <c r="AM847">
        <v>0</v>
      </c>
      <c r="AN847">
        <v>0</v>
      </c>
      <c r="AO847">
        <f t="shared" si="409"/>
        <v>0</v>
      </c>
      <c r="AP847">
        <f t="shared" si="418"/>
        <v>0</v>
      </c>
      <c r="AQ847" t="e">
        <f t="shared" ca="1" si="410"/>
        <v>#VALUE!</v>
      </c>
      <c r="AR847" t="e">
        <f t="shared" ca="1" si="411"/>
        <v>#VALUE!</v>
      </c>
      <c r="AS847" t="e">
        <f t="shared" ca="1" si="412"/>
        <v>#VALUE!</v>
      </c>
    </row>
    <row r="848" spans="1:45" x14ac:dyDescent="0.35">
      <c r="A848">
        <v>699</v>
      </c>
      <c r="B848">
        <v>697.89499999999998</v>
      </c>
      <c r="C848">
        <v>616110.473</v>
      </c>
      <c r="D848">
        <v>3097302.415</v>
      </c>
      <c r="E848">
        <v>632.21299999999997</v>
      </c>
      <c r="F848">
        <v>5.2</v>
      </c>
      <c r="G848">
        <v>0</v>
      </c>
      <c r="H848" t="s">
        <v>191</v>
      </c>
      <c r="I848">
        <v>0.05</v>
      </c>
      <c r="J848">
        <f t="shared" si="413"/>
        <v>1</v>
      </c>
      <c r="K848">
        <f t="shared" si="414"/>
        <v>51</v>
      </c>
      <c r="L848" t="e">
        <f t="shared" ca="1" si="415"/>
        <v>#VALUE!</v>
      </c>
      <c r="M848" t="e">
        <f t="shared" ca="1" si="388"/>
        <v>#VALUE!</v>
      </c>
      <c r="N848" t="e">
        <f t="shared" ca="1" si="389"/>
        <v>#VALUE!</v>
      </c>
      <c r="O848" t="e">
        <f t="shared" ca="1" si="390"/>
        <v>#VALUE!</v>
      </c>
      <c r="P848" t="e">
        <f t="shared" ca="1" si="391"/>
        <v>#VALUE!</v>
      </c>
      <c r="Q848" t="e">
        <f t="shared" ca="1" si="392"/>
        <v>#VALUE!</v>
      </c>
      <c r="R848" t="e">
        <f t="shared" ca="1" si="393"/>
        <v>#VALUE!</v>
      </c>
      <c r="S848" t="e">
        <f t="shared" ca="1" si="394"/>
        <v>#VALUE!</v>
      </c>
      <c r="T848" t="e">
        <f t="shared" ca="1" si="395"/>
        <v>#VALUE!</v>
      </c>
      <c r="U848" t="e">
        <f t="shared" ca="1" si="416"/>
        <v>#VALUE!</v>
      </c>
      <c r="V848" t="e">
        <f t="shared" ca="1" si="417"/>
        <v>#VALUE!</v>
      </c>
      <c r="W848" t="e">
        <f t="shared" ca="1" si="396"/>
        <v>#VALUE!</v>
      </c>
      <c r="X848" t="e">
        <f t="shared" ca="1" si="397"/>
        <v>#VALUE!</v>
      </c>
      <c r="Y848" t="e">
        <f t="shared" ca="1" si="398"/>
        <v>#VALUE!</v>
      </c>
      <c r="Z848" t="e">
        <f t="shared" ca="1" si="399"/>
        <v>#VALUE!</v>
      </c>
      <c r="AA848" t="e">
        <f t="shared" ca="1" si="400"/>
        <v>#VALUE!</v>
      </c>
      <c r="AB848" t="e">
        <f t="shared" ca="1" si="401"/>
        <v>#VALUE!</v>
      </c>
      <c r="AC848" t="e">
        <f t="shared" ca="1" si="402"/>
        <v>#VALUE!</v>
      </c>
      <c r="AD848" t="e">
        <f t="shared" ca="1" si="403"/>
        <v>#VALUE!</v>
      </c>
      <c r="AE848" t="e">
        <f t="shared" ca="1" si="404"/>
        <v>#VALUE!</v>
      </c>
      <c r="AF848" t="e">
        <f t="shared" ca="1" si="405"/>
        <v>#VALUE!</v>
      </c>
      <c r="AG848" t="e">
        <f t="shared" ca="1" si="406"/>
        <v>#VALUE!</v>
      </c>
      <c r="AH848" t="e">
        <f ca="1">IF(V32="Supercritical",L848,IF(V32="Subcritical",W848,IF(AND(V848=1,AG848=1),IF(T848&gt;=AE848,L848,W848),IF(V848=1,L848,IF(AG848=1,W848,MAX($D$16,POWER((ABS(K848)^2)/($I$5*MAX(F848,0.1)^2),1/3)))))))</f>
        <v>#VALUE!</v>
      </c>
      <c r="AI848" t="e">
        <f t="shared" ca="1" si="407"/>
        <v>#VALUE!</v>
      </c>
      <c r="AJ848" t="e">
        <f t="shared" ca="1" si="408"/>
        <v>#VALUE!</v>
      </c>
      <c r="AM848">
        <v>0</v>
      </c>
      <c r="AN848">
        <v>0</v>
      </c>
      <c r="AO848">
        <f t="shared" si="409"/>
        <v>0</v>
      </c>
      <c r="AP848">
        <f t="shared" si="418"/>
        <v>0</v>
      </c>
      <c r="AQ848" t="e">
        <f t="shared" ca="1" si="410"/>
        <v>#VALUE!</v>
      </c>
      <c r="AR848" t="e">
        <f t="shared" ca="1" si="411"/>
        <v>#VALUE!</v>
      </c>
      <c r="AS848" t="e">
        <f t="shared" ca="1" si="412"/>
        <v>#VALUE!</v>
      </c>
    </row>
    <row r="849" spans="1:45" x14ac:dyDescent="0.35">
      <c r="A849">
        <v>700</v>
      </c>
      <c r="B849">
        <v>698.89499999999998</v>
      </c>
      <c r="C849">
        <v>616109.99899999995</v>
      </c>
      <c r="D849">
        <v>3097301.5350000001</v>
      </c>
      <c r="E849">
        <v>632.21249999999998</v>
      </c>
      <c r="F849">
        <v>5.2</v>
      </c>
      <c r="G849">
        <v>0</v>
      </c>
      <c r="H849" t="s">
        <v>191</v>
      </c>
      <c r="I849">
        <v>2.7E-2</v>
      </c>
      <c r="J849">
        <f t="shared" si="413"/>
        <v>1</v>
      </c>
      <c r="K849">
        <f t="shared" si="414"/>
        <v>51</v>
      </c>
      <c r="L849" t="e">
        <f t="shared" ca="1" si="415"/>
        <v>#VALUE!</v>
      </c>
      <c r="M849" t="e">
        <f t="shared" ca="1" si="388"/>
        <v>#VALUE!</v>
      </c>
      <c r="N849" t="e">
        <f t="shared" ca="1" si="389"/>
        <v>#VALUE!</v>
      </c>
      <c r="O849" t="e">
        <f t="shared" ca="1" si="390"/>
        <v>#VALUE!</v>
      </c>
      <c r="P849" t="e">
        <f t="shared" ca="1" si="391"/>
        <v>#VALUE!</v>
      </c>
      <c r="Q849" t="e">
        <f t="shared" ca="1" si="392"/>
        <v>#VALUE!</v>
      </c>
      <c r="R849" t="e">
        <f t="shared" ca="1" si="393"/>
        <v>#VALUE!</v>
      </c>
      <c r="S849" t="e">
        <f t="shared" ca="1" si="394"/>
        <v>#VALUE!</v>
      </c>
      <c r="T849" t="e">
        <f t="shared" ca="1" si="395"/>
        <v>#VALUE!</v>
      </c>
      <c r="U849" t="e">
        <f t="shared" ca="1" si="416"/>
        <v>#VALUE!</v>
      </c>
      <c r="V849" t="e">
        <f t="shared" ca="1" si="417"/>
        <v>#VALUE!</v>
      </c>
      <c r="W849" t="e">
        <f t="shared" ca="1" si="396"/>
        <v>#VALUE!</v>
      </c>
      <c r="X849" t="e">
        <f t="shared" ca="1" si="397"/>
        <v>#VALUE!</v>
      </c>
      <c r="Y849" t="e">
        <f t="shared" ca="1" si="398"/>
        <v>#VALUE!</v>
      </c>
      <c r="Z849" t="e">
        <f t="shared" ca="1" si="399"/>
        <v>#VALUE!</v>
      </c>
      <c r="AA849" t="e">
        <f t="shared" ca="1" si="400"/>
        <v>#VALUE!</v>
      </c>
      <c r="AB849" t="e">
        <f t="shared" ca="1" si="401"/>
        <v>#VALUE!</v>
      </c>
      <c r="AC849" t="e">
        <f t="shared" ca="1" si="402"/>
        <v>#VALUE!</v>
      </c>
      <c r="AD849" t="e">
        <f t="shared" ca="1" si="403"/>
        <v>#VALUE!</v>
      </c>
      <c r="AE849" t="e">
        <f t="shared" ca="1" si="404"/>
        <v>#VALUE!</v>
      </c>
      <c r="AF849" t="e">
        <f t="shared" ca="1" si="405"/>
        <v>#VALUE!</v>
      </c>
      <c r="AG849" t="e">
        <f t="shared" ca="1" si="406"/>
        <v>#VALUE!</v>
      </c>
      <c r="AH849" t="e">
        <f ca="1">IF(V32="Supercritical",L849,IF(V32="Subcritical",W849,IF(AND(V849=1,AG849=1),IF(T849&gt;=AE849,L849,W849),IF(V849=1,L849,IF(AG849=1,W849,MAX($D$16,POWER((ABS(K849)^2)/($I$5*MAX(F849,0.1)^2),1/3)))))))</f>
        <v>#VALUE!</v>
      </c>
      <c r="AI849" t="e">
        <f t="shared" ca="1" si="407"/>
        <v>#VALUE!</v>
      </c>
      <c r="AJ849" t="e">
        <f t="shared" ca="1" si="408"/>
        <v>#VALUE!</v>
      </c>
      <c r="AM849">
        <v>0</v>
      </c>
      <c r="AN849">
        <v>0</v>
      </c>
      <c r="AO849">
        <f t="shared" si="409"/>
        <v>0</v>
      </c>
      <c r="AP849">
        <f t="shared" si="418"/>
        <v>0</v>
      </c>
      <c r="AQ849" t="e">
        <f t="shared" ca="1" si="410"/>
        <v>#VALUE!</v>
      </c>
      <c r="AR849" t="e">
        <f t="shared" ca="1" si="411"/>
        <v>#VALUE!</v>
      </c>
      <c r="AS849" t="e">
        <f t="shared" ca="1" si="412"/>
        <v>#VALUE!</v>
      </c>
    </row>
    <row r="850" spans="1:45" x14ac:dyDescent="0.35">
      <c r="A850">
        <v>701</v>
      </c>
      <c r="B850">
        <v>699.89499999999998</v>
      </c>
      <c r="C850">
        <v>616109.52500000002</v>
      </c>
      <c r="D850">
        <v>3097300.6540000001</v>
      </c>
      <c r="E850">
        <v>632.21199999999999</v>
      </c>
      <c r="F850">
        <v>5.2</v>
      </c>
      <c r="G850">
        <v>0</v>
      </c>
      <c r="H850" t="s">
        <v>191</v>
      </c>
      <c r="I850">
        <v>2.7E-2</v>
      </c>
      <c r="J850">
        <f t="shared" si="413"/>
        <v>1</v>
      </c>
      <c r="K850">
        <f t="shared" si="414"/>
        <v>51</v>
      </c>
      <c r="L850" t="e">
        <f t="shared" ca="1" si="415"/>
        <v>#VALUE!</v>
      </c>
      <c r="M850" t="e">
        <f t="shared" ca="1" si="388"/>
        <v>#VALUE!</v>
      </c>
      <c r="N850" t="e">
        <f t="shared" ca="1" si="389"/>
        <v>#VALUE!</v>
      </c>
      <c r="O850" t="e">
        <f t="shared" ca="1" si="390"/>
        <v>#VALUE!</v>
      </c>
      <c r="P850" t="e">
        <f t="shared" ca="1" si="391"/>
        <v>#VALUE!</v>
      </c>
      <c r="Q850" t="e">
        <f t="shared" ca="1" si="392"/>
        <v>#VALUE!</v>
      </c>
      <c r="R850" t="e">
        <f t="shared" ca="1" si="393"/>
        <v>#VALUE!</v>
      </c>
      <c r="S850" t="e">
        <f t="shared" ca="1" si="394"/>
        <v>#VALUE!</v>
      </c>
      <c r="T850" t="e">
        <f t="shared" ca="1" si="395"/>
        <v>#VALUE!</v>
      </c>
      <c r="U850" t="e">
        <f t="shared" ca="1" si="416"/>
        <v>#VALUE!</v>
      </c>
      <c r="V850" t="e">
        <f t="shared" ca="1" si="417"/>
        <v>#VALUE!</v>
      </c>
      <c r="W850" t="e">
        <f t="shared" ca="1" si="396"/>
        <v>#VALUE!</v>
      </c>
      <c r="X850" t="e">
        <f t="shared" ca="1" si="397"/>
        <v>#VALUE!</v>
      </c>
      <c r="Y850" t="e">
        <f t="shared" ca="1" si="398"/>
        <v>#VALUE!</v>
      </c>
      <c r="Z850" t="e">
        <f t="shared" ca="1" si="399"/>
        <v>#VALUE!</v>
      </c>
      <c r="AA850" t="e">
        <f t="shared" ca="1" si="400"/>
        <v>#VALUE!</v>
      </c>
      <c r="AB850" t="e">
        <f t="shared" ca="1" si="401"/>
        <v>#VALUE!</v>
      </c>
      <c r="AC850" t="e">
        <f t="shared" ca="1" si="402"/>
        <v>#VALUE!</v>
      </c>
      <c r="AD850" t="e">
        <f t="shared" ca="1" si="403"/>
        <v>#VALUE!</v>
      </c>
      <c r="AE850" t="e">
        <f t="shared" ca="1" si="404"/>
        <v>#VALUE!</v>
      </c>
      <c r="AF850" t="e">
        <f t="shared" ca="1" si="405"/>
        <v>#VALUE!</v>
      </c>
      <c r="AG850" t="e">
        <f t="shared" ca="1" si="406"/>
        <v>#VALUE!</v>
      </c>
      <c r="AH850" t="e">
        <f ca="1">IF(V32="Supercritical",L850,IF(V32="Subcritical",W850,IF(AND(V850=1,AG850=1),IF(T850&gt;=AE850,L850,W850),IF(V850=1,L850,IF(AG850=1,W850,MAX($D$16,POWER((ABS(K850)^2)/($I$5*MAX(F850,0.1)^2),1/3)))))))</f>
        <v>#VALUE!</v>
      </c>
      <c r="AI850" t="e">
        <f t="shared" ca="1" si="407"/>
        <v>#VALUE!</v>
      </c>
      <c r="AJ850" t="e">
        <f t="shared" ca="1" si="408"/>
        <v>#VALUE!</v>
      </c>
      <c r="AM850">
        <v>0</v>
      </c>
      <c r="AN850">
        <v>0</v>
      </c>
      <c r="AO850">
        <f t="shared" si="409"/>
        <v>0</v>
      </c>
      <c r="AP850">
        <f t="shared" si="418"/>
        <v>0</v>
      </c>
      <c r="AQ850" t="e">
        <f t="shared" ca="1" si="410"/>
        <v>#VALUE!</v>
      </c>
      <c r="AR850" t="e">
        <f t="shared" ca="1" si="411"/>
        <v>#VALUE!</v>
      </c>
      <c r="AS850" t="e">
        <f t="shared" ca="1" si="412"/>
        <v>#VALUE!</v>
      </c>
    </row>
    <row r="851" spans="1:45" x14ac:dyDescent="0.35">
      <c r="A851">
        <v>702</v>
      </c>
      <c r="B851">
        <v>700.89499999999998</v>
      </c>
      <c r="C851">
        <v>616109.05099999998</v>
      </c>
      <c r="D851">
        <v>3097299.7740000002</v>
      </c>
      <c r="E851">
        <v>632.2115</v>
      </c>
      <c r="F851">
        <v>5.2</v>
      </c>
      <c r="G851">
        <v>0</v>
      </c>
      <c r="H851" t="s">
        <v>191</v>
      </c>
      <c r="I851">
        <v>2.3E-2</v>
      </c>
      <c r="J851">
        <f t="shared" si="413"/>
        <v>1</v>
      </c>
      <c r="K851">
        <f t="shared" si="414"/>
        <v>51</v>
      </c>
      <c r="L851" t="e">
        <f t="shared" ca="1" si="415"/>
        <v>#VALUE!</v>
      </c>
      <c r="M851" t="e">
        <f t="shared" ca="1" si="388"/>
        <v>#VALUE!</v>
      </c>
      <c r="N851" t="e">
        <f t="shared" ca="1" si="389"/>
        <v>#VALUE!</v>
      </c>
      <c r="O851" t="e">
        <f t="shared" ca="1" si="390"/>
        <v>#VALUE!</v>
      </c>
      <c r="P851" t="e">
        <f t="shared" ca="1" si="391"/>
        <v>#VALUE!</v>
      </c>
      <c r="Q851" t="e">
        <f t="shared" ca="1" si="392"/>
        <v>#VALUE!</v>
      </c>
      <c r="R851" t="e">
        <f t="shared" ca="1" si="393"/>
        <v>#VALUE!</v>
      </c>
      <c r="S851" t="e">
        <f t="shared" ca="1" si="394"/>
        <v>#VALUE!</v>
      </c>
      <c r="T851" t="e">
        <f t="shared" ca="1" si="395"/>
        <v>#VALUE!</v>
      </c>
      <c r="U851" t="e">
        <f t="shared" ca="1" si="416"/>
        <v>#VALUE!</v>
      </c>
      <c r="V851" t="e">
        <f t="shared" ca="1" si="417"/>
        <v>#VALUE!</v>
      </c>
      <c r="W851" t="e">
        <f t="shared" ca="1" si="396"/>
        <v>#VALUE!</v>
      </c>
      <c r="X851" t="e">
        <f t="shared" ca="1" si="397"/>
        <v>#VALUE!</v>
      </c>
      <c r="Y851" t="e">
        <f t="shared" ca="1" si="398"/>
        <v>#VALUE!</v>
      </c>
      <c r="Z851" t="e">
        <f t="shared" ca="1" si="399"/>
        <v>#VALUE!</v>
      </c>
      <c r="AA851" t="e">
        <f t="shared" ca="1" si="400"/>
        <v>#VALUE!</v>
      </c>
      <c r="AB851" t="e">
        <f t="shared" ca="1" si="401"/>
        <v>#VALUE!</v>
      </c>
      <c r="AC851" t="e">
        <f t="shared" ca="1" si="402"/>
        <v>#VALUE!</v>
      </c>
      <c r="AD851" t="e">
        <f t="shared" ca="1" si="403"/>
        <v>#VALUE!</v>
      </c>
      <c r="AE851" t="e">
        <f t="shared" ca="1" si="404"/>
        <v>#VALUE!</v>
      </c>
      <c r="AF851" t="e">
        <f t="shared" ca="1" si="405"/>
        <v>#VALUE!</v>
      </c>
      <c r="AG851" t="e">
        <f t="shared" ca="1" si="406"/>
        <v>#VALUE!</v>
      </c>
      <c r="AH851" t="e">
        <f ca="1">IF(V32="Supercritical",L851,IF(V32="Subcritical",W851,IF(AND(V851=1,AG851=1),IF(T851&gt;=AE851,L851,W851),IF(V851=1,L851,IF(AG851=1,W851,MAX($D$16,POWER((ABS(K851)^2)/($I$5*MAX(F851,0.1)^2),1/3)))))))</f>
        <v>#VALUE!</v>
      </c>
      <c r="AI851" t="e">
        <f t="shared" ca="1" si="407"/>
        <v>#VALUE!</v>
      </c>
      <c r="AJ851" t="e">
        <f t="shared" ca="1" si="408"/>
        <v>#VALUE!</v>
      </c>
      <c r="AM851">
        <v>0</v>
      </c>
      <c r="AN851">
        <v>0</v>
      </c>
      <c r="AO851">
        <f t="shared" si="409"/>
        <v>0</v>
      </c>
      <c r="AP851">
        <f t="shared" si="418"/>
        <v>0</v>
      </c>
      <c r="AQ851" t="e">
        <f t="shared" ca="1" si="410"/>
        <v>#VALUE!</v>
      </c>
      <c r="AR851" t="e">
        <f t="shared" ca="1" si="411"/>
        <v>#VALUE!</v>
      </c>
      <c r="AS851" t="e">
        <f t="shared" ca="1" si="412"/>
        <v>#VALUE!</v>
      </c>
    </row>
    <row r="852" spans="1:45" x14ac:dyDescent="0.35">
      <c r="A852">
        <v>703</v>
      </c>
      <c r="B852">
        <v>701.89599999999996</v>
      </c>
      <c r="C852">
        <v>616108.576</v>
      </c>
      <c r="D852">
        <v>3097298.8930000002</v>
      </c>
      <c r="E852">
        <v>632.21100000000001</v>
      </c>
      <c r="F852">
        <v>5.2</v>
      </c>
      <c r="G852">
        <v>0</v>
      </c>
      <c r="H852" t="s">
        <v>191</v>
      </c>
      <c r="I852">
        <v>2.3E-2</v>
      </c>
      <c r="J852">
        <f t="shared" si="413"/>
        <v>1.0009999999999764</v>
      </c>
      <c r="K852">
        <f t="shared" si="414"/>
        <v>51</v>
      </c>
      <c r="L852" t="e">
        <f t="shared" ca="1" si="415"/>
        <v>#VALUE!</v>
      </c>
      <c r="M852" t="e">
        <f t="shared" ca="1" si="388"/>
        <v>#VALUE!</v>
      </c>
      <c r="N852" t="e">
        <f t="shared" ca="1" si="389"/>
        <v>#VALUE!</v>
      </c>
      <c r="O852" t="e">
        <f t="shared" ca="1" si="390"/>
        <v>#VALUE!</v>
      </c>
      <c r="P852" t="e">
        <f t="shared" ca="1" si="391"/>
        <v>#VALUE!</v>
      </c>
      <c r="Q852" t="e">
        <f t="shared" ca="1" si="392"/>
        <v>#VALUE!</v>
      </c>
      <c r="R852" t="e">
        <f t="shared" ca="1" si="393"/>
        <v>#VALUE!</v>
      </c>
      <c r="S852" t="e">
        <f t="shared" ca="1" si="394"/>
        <v>#VALUE!</v>
      </c>
      <c r="T852" t="e">
        <f t="shared" ca="1" si="395"/>
        <v>#VALUE!</v>
      </c>
      <c r="U852" t="e">
        <f t="shared" ca="1" si="416"/>
        <v>#VALUE!</v>
      </c>
      <c r="V852" t="e">
        <f t="shared" ca="1" si="417"/>
        <v>#VALUE!</v>
      </c>
      <c r="W852" t="e">
        <f t="shared" ca="1" si="396"/>
        <v>#VALUE!</v>
      </c>
      <c r="X852" t="e">
        <f t="shared" ca="1" si="397"/>
        <v>#VALUE!</v>
      </c>
      <c r="Y852" t="e">
        <f t="shared" ca="1" si="398"/>
        <v>#VALUE!</v>
      </c>
      <c r="Z852" t="e">
        <f t="shared" ca="1" si="399"/>
        <v>#VALUE!</v>
      </c>
      <c r="AA852" t="e">
        <f t="shared" ca="1" si="400"/>
        <v>#VALUE!</v>
      </c>
      <c r="AB852" t="e">
        <f t="shared" ca="1" si="401"/>
        <v>#VALUE!</v>
      </c>
      <c r="AC852" t="e">
        <f t="shared" ca="1" si="402"/>
        <v>#VALUE!</v>
      </c>
      <c r="AD852" t="e">
        <f t="shared" ca="1" si="403"/>
        <v>#VALUE!</v>
      </c>
      <c r="AE852" t="e">
        <f t="shared" ca="1" si="404"/>
        <v>#VALUE!</v>
      </c>
      <c r="AF852" t="e">
        <f t="shared" ca="1" si="405"/>
        <v>#VALUE!</v>
      </c>
      <c r="AG852" t="e">
        <f t="shared" ca="1" si="406"/>
        <v>#VALUE!</v>
      </c>
      <c r="AH852" t="e">
        <f ca="1">IF(V32="Supercritical",L852,IF(V32="Subcritical",W852,IF(AND(V852=1,AG852=1),IF(T852&gt;=AE852,L852,W852),IF(V852=1,L852,IF(AG852=1,W852,MAX($D$16,POWER((ABS(K852)^2)/($I$5*MAX(F852,0.1)^2),1/3)))))))</f>
        <v>#VALUE!</v>
      </c>
      <c r="AI852" t="e">
        <f t="shared" ca="1" si="407"/>
        <v>#VALUE!</v>
      </c>
      <c r="AJ852" t="e">
        <f t="shared" ca="1" si="408"/>
        <v>#VALUE!</v>
      </c>
      <c r="AM852">
        <v>0</v>
      </c>
      <c r="AN852">
        <v>0</v>
      </c>
      <c r="AO852">
        <f t="shared" si="409"/>
        <v>0</v>
      </c>
      <c r="AP852">
        <f t="shared" si="418"/>
        <v>0</v>
      </c>
      <c r="AQ852" t="e">
        <f t="shared" ca="1" si="410"/>
        <v>#VALUE!</v>
      </c>
      <c r="AR852" t="e">
        <f t="shared" ca="1" si="411"/>
        <v>#VALUE!</v>
      </c>
      <c r="AS852" t="e">
        <f t="shared" ca="1" si="412"/>
        <v>#VALUE!</v>
      </c>
    </row>
    <row r="853" spans="1:45" x14ac:dyDescent="0.35">
      <c r="A853">
        <v>704</v>
      </c>
      <c r="B853">
        <v>702.89499999999998</v>
      </c>
      <c r="C853">
        <v>616108.10199999996</v>
      </c>
      <c r="D853">
        <v>3097298.0129999998</v>
      </c>
      <c r="E853">
        <v>632.21050000000002</v>
      </c>
      <c r="F853">
        <v>5.2</v>
      </c>
      <c r="G853">
        <v>0</v>
      </c>
      <c r="H853" t="s">
        <v>191</v>
      </c>
      <c r="I853">
        <v>0</v>
      </c>
      <c r="J853">
        <f t="shared" si="413"/>
        <v>0.99900000000002365</v>
      </c>
      <c r="K853">
        <f t="shared" si="414"/>
        <v>51</v>
      </c>
      <c r="L853" t="e">
        <f t="shared" ca="1" si="415"/>
        <v>#VALUE!</v>
      </c>
      <c r="M853" t="e">
        <f t="shared" ca="1" si="388"/>
        <v>#VALUE!</v>
      </c>
      <c r="N853" t="e">
        <f t="shared" ca="1" si="389"/>
        <v>#VALUE!</v>
      </c>
      <c r="O853" t="e">
        <f t="shared" ca="1" si="390"/>
        <v>#VALUE!</v>
      </c>
      <c r="P853" t="e">
        <f t="shared" ca="1" si="391"/>
        <v>#VALUE!</v>
      </c>
      <c r="Q853" t="e">
        <f t="shared" ca="1" si="392"/>
        <v>#VALUE!</v>
      </c>
      <c r="R853" t="e">
        <f t="shared" ca="1" si="393"/>
        <v>#VALUE!</v>
      </c>
      <c r="S853" t="e">
        <f t="shared" ca="1" si="394"/>
        <v>#VALUE!</v>
      </c>
      <c r="T853" t="e">
        <f t="shared" ca="1" si="395"/>
        <v>#VALUE!</v>
      </c>
      <c r="U853" t="e">
        <f t="shared" ca="1" si="416"/>
        <v>#VALUE!</v>
      </c>
      <c r="V853" t="e">
        <f t="shared" ca="1" si="417"/>
        <v>#VALUE!</v>
      </c>
      <c r="W853" t="e">
        <f t="shared" ca="1" si="396"/>
        <v>#VALUE!</v>
      </c>
      <c r="X853" t="e">
        <f t="shared" ca="1" si="397"/>
        <v>#VALUE!</v>
      </c>
      <c r="Y853" t="e">
        <f t="shared" ca="1" si="398"/>
        <v>#VALUE!</v>
      </c>
      <c r="Z853" t="e">
        <f t="shared" ca="1" si="399"/>
        <v>#VALUE!</v>
      </c>
      <c r="AA853" t="e">
        <f t="shared" ca="1" si="400"/>
        <v>#VALUE!</v>
      </c>
      <c r="AB853" t="e">
        <f t="shared" ca="1" si="401"/>
        <v>#VALUE!</v>
      </c>
      <c r="AC853" t="e">
        <f t="shared" ca="1" si="402"/>
        <v>#VALUE!</v>
      </c>
      <c r="AD853" t="e">
        <f t="shared" ca="1" si="403"/>
        <v>#VALUE!</v>
      </c>
      <c r="AE853" t="e">
        <f t="shared" ca="1" si="404"/>
        <v>#VALUE!</v>
      </c>
      <c r="AF853" t="e">
        <f t="shared" ca="1" si="405"/>
        <v>#VALUE!</v>
      </c>
      <c r="AG853" t="e">
        <f t="shared" ca="1" si="406"/>
        <v>#VALUE!</v>
      </c>
      <c r="AH853" t="e">
        <f ca="1">IF(V32="Supercritical",L853,IF(V32="Subcritical",W853,IF(AND(V853=1,AG853=1),IF(T853&gt;=AE853,L853,W853),IF(V853=1,L853,IF(AG853=1,W853,MAX($D$16,POWER((ABS(K853)^2)/($I$5*MAX(F853,0.1)^2),1/3)))))))</f>
        <v>#VALUE!</v>
      </c>
      <c r="AI853" t="e">
        <f t="shared" ca="1" si="407"/>
        <v>#VALUE!</v>
      </c>
      <c r="AJ853" t="e">
        <f t="shared" ca="1" si="408"/>
        <v>#VALUE!</v>
      </c>
      <c r="AM853">
        <v>0</v>
      </c>
      <c r="AN853">
        <v>0</v>
      </c>
      <c r="AO853">
        <f t="shared" si="409"/>
        <v>0</v>
      </c>
      <c r="AP853">
        <f t="shared" si="418"/>
        <v>0</v>
      </c>
      <c r="AQ853" t="e">
        <f t="shared" ca="1" si="410"/>
        <v>#VALUE!</v>
      </c>
      <c r="AR853" t="e">
        <f t="shared" ca="1" si="411"/>
        <v>#VALUE!</v>
      </c>
      <c r="AS853" t="e">
        <f t="shared" ca="1" si="412"/>
        <v>#VALUE!</v>
      </c>
    </row>
    <row r="854" spans="1:45" x14ac:dyDescent="0.35">
      <c r="A854">
        <v>705</v>
      </c>
      <c r="B854">
        <v>703.89499999999998</v>
      </c>
      <c r="C854">
        <v>616107.62800000003</v>
      </c>
      <c r="D854">
        <v>3097297.1329999999</v>
      </c>
      <c r="E854">
        <v>632.21</v>
      </c>
      <c r="F854">
        <v>5.2</v>
      </c>
      <c r="G854">
        <v>0</v>
      </c>
      <c r="H854" t="s">
        <v>191</v>
      </c>
      <c r="I854">
        <v>2.7E-2</v>
      </c>
      <c r="J854">
        <f t="shared" si="413"/>
        <v>1</v>
      </c>
      <c r="K854">
        <f t="shared" si="414"/>
        <v>51</v>
      </c>
      <c r="L854" t="e">
        <f t="shared" ca="1" si="415"/>
        <v>#VALUE!</v>
      </c>
      <c r="M854" t="e">
        <f t="shared" ref="M854:M917" ca="1" si="419">((F854)+(G854)*(L854))*(L854)</f>
        <v>#VALUE!</v>
      </c>
      <c r="N854" t="e">
        <f t="shared" ref="N854:N917" ca="1" si="420">(((F854)+(G854)*(L854))*(L854))/MAX((F854)+2*(L854)*SQRT(1+(G854)^2),0.000001)</f>
        <v>#VALUE!</v>
      </c>
      <c r="O854" t="e">
        <f t="shared" ref="O854:O917" ca="1" si="421">ABS(K854)/MAX(((F854)+(G854)*(L854))*(L854),0.000001)</f>
        <v>#VALUE!</v>
      </c>
      <c r="P854" t="e">
        <f t="shared" ref="P854:P917" ca="1" si="422">E854+L854</f>
        <v>#VALUE!</v>
      </c>
      <c r="Q854" t="e">
        <f t="shared" ref="Q854:Q917" ca="1" si="423">P854+((ABS(K854)/MAX(((F854)+(G854)*(L854))*(L854),0.000001))^2)/(2*$I$5)</f>
        <v>#VALUE!</v>
      </c>
      <c r="R854" t="e">
        <f t="shared" ref="R854:R917" ca="1" si="424">((ABS(K854)*$D$6)/(MAX(((F854)+(G854)*(L854))*(L854),0.000001)*MAX(((((F854)+(G854)*(L854))*(L854))/MAX((F854)+2*(L854)*SQRT(1+(G854)^2),0.000001))^(2/3),0.000001)))^2</f>
        <v>#VALUE!</v>
      </c>
      <c r="S854" t="e">
        <f t="shared" ref="S854:S917" ca="1" si="425">ABS(ABS(K854)/MAX(((F854)+(G854)*(L854))*(L854),0.000001))/SQRT($I$5*MAX((((F854)+(G854)*(L854))*(L854))/MAX((F854)+2*(G854)*(L854),0.000001),0.000001))</f>
        <v>#VALUE!</v>
      </c>
      <c r="T854" t="e">
        <f t="shared" ref="T854:T917" ca="1" si="426">((F854)*(L854)^2)/2+(G854)*(L854)^3/3+(ABS(K854)^2)/($I$5*MAX(((F854)+(G854)*(L854))*(L854),0.000001))</f>
        <v>#VALUE!</v>
      </c>
      <c r="U854" t="e">
        <f t="shared" ca="1" si="416"/>
        <v>#VALUE!</v>
      </c>
      <c r="V854" t="e">
        <f t="shared" ca="1" si="417"/>
        <v>#VALUE!</v>
      </c>
      <c r="W854" t="e">
        <f t="shared" ref="W854:W917" ca="1" si="427">IF($D$20=0,W855,IF(AG855=0,W855,IF(W854=0,W855,IF(ABS(AF854)&gt;$D$19,MAX($D$16,W854+((AF854)*$D$18*IF((AD854)&lt;1,1,-1))),W854))))</f>
        <v>#VALUE!</v>
      </c>
      <c r="X854" t="e">
        <f t="shared" ref="X854:X917" ca="1" si="428">((F854)+(G854)*(W854))*(W854)</f>
        <v>#VALUE!</v>
      </c>
      <c r="Y854" t="e">
        <f t="shared" ref="Y854:Y917" ca="1" si="429">(((F854)+(G854)*(W854))*(W854))/MAX((F854)+2*(W854)*SQRT(1+(G854)^2),0.000001)</f>
        <v>#VALUE!</v>
      </c>
      <c r="Z854" t="e">
        <f t="shared" ref="Z854:Z917" ca="1" si="430">ABS(K854)/MAX(((F854)+(G854)*(W854))*(W854),0.000001)</f>
        <v>#VALUE!</v>
      </c>
      <c r="AA854" t="e">
        <f t="shared" ref="AA854:AA917" ca="1" si="431">E854+W854</f>
        <v>#VALUE!</v>
      </c>
      <c r="AB854" t="e">
        <f t="shared" ref="AB854:AB917" ca="1" si="432">AA854+((ABS(K854)/MAX(((F854)+(G854)*(W854))*(W854),0.000001))^2)/(2*$I$5)</f>
        <v>#VALUE!</v>
      </c>
      <c r="AC854" t="e">
        <f t="shared" ref="AC854:AC917" ca="1" si="433">((ABS(K854)*$D$6)/(MAX(((F854)+(G854)*(W854))*(W854),0.000001)*MAX(((((F854)+(G854)*(W854))*(W854))/MAX((F854)+2*(W854)*SQRT(1+(G854)^2),0.000001))^(2/3),0.000001)))^2</f>
        <v>#VALUE!</v>
      </c>
      <c r="AD854" t="e">
        <f t="shared" ref="AD854:AD917" ca="1" si="434">ABS(ABS(K854)/MAX(((F854)+(G854)*(W854))*(W854),0.000001))/SQRT($I$5*MAX((((F854)+(G854)*(W854))*(W854))/MAX((F854)+2*(G854)*(W854),0.000001),0.000001))</f>
        <v>#VALUE!</v>
      </c>
      <c r="AE854" t="e">
        <f t="shared" ref="AE854:AE917" ca="1" si="435">((F854)*(W854)^2)/2+(G854)*(W854)^3/3+(ABS(K854)^2)/($I$5*MAX(((F854)+(G854)*(W854))*(W854),0.000001))</f>
        <v>#VALUE!</v>
      </c>
      <c r="AF854" t="e">
        <f t="shared" ref="AF854:AF917" ca="1" si="436">AB855+(((AC854+AC855)/2)*J855)+(IF(Z854&gt;Z855,$D$8*((Z854^2-Z855^2)/(2*$I$5)),$D$9*((Z855^2-Z854^2)/(2*$I$5)))+($D$10*(ABS(I855)/90)*(MAX(Z854^2,Z855^2)/(2*$I$5))))-AB854</f>
        <v>#VALUE!</v>
      </c>
      <c r="AG854" t="e">
        <f t="shared" ref="AG854:AG917" ca="1" si="437">IF(ABS(AF854)&lt;$D$19,1,0)</f>
        <v>#VALUE!</v>
      </c>
      <c r="AH854" t="e">
        <f ca="1">IF(V32="Supercritical",L854,IF(V32="Subcritical",W854,IF(AND(V854=1,AG854=1),IF(T854&gt;=AE854,L854,W854),IF(V854=1,L854,IF(AG854=1,W854,MAX($D$16,POWER((ABS(K854)^2)/($I$5*MAX(F854,0.1)^2),1/3)))))))</f>
        <v>#VALUE!</v>
      </c>
      <c r="AI854" t="e">
        <f t="shared" ref="AI854:AI917" ca="1" si="438">E854+AH854</f>
        <v>#VALUE!</v>
      </c>
      <c r="AJ854" t="e">
        <f t="shared" ref="AJ854:AJ917" ca="1" si="439">AI854+((ABS(K854)/MAX(((F854)+(G854)*(AH854))*(AH854),0.000001))^2)/(2*$I$5)</f>
        <v>#VALUE!</v>
      </c>
      <c r="AM854">
        <v>0</v>
      </c>
      <c r="AN854">
        <v>0</v>
      </c>
      <c r="AO854">
        <f t="shared" ref="AO854:AO917" si="440">AM854+AN854</f>
        <v>0</v>
      </c>
      <c r="AP854">
        <f t="shared" si="418"/>
        <v>0</v>
      </c>
      <c r="AQ854" t="e">
        <f t="shared" ref="AQ854:AQ917" ca="1" si="441">ABS(ABS(K854)/MAX(((F854)+(G854)*(AH854))*(AH854),0.000001))/SQRT($I$5*MAX((((F854)+(G854)*(AH854))*(AH854))/MAX((F854)+2*(G854)*(AH854),0.000001),0.000001))</f>
        <v>#VALUE!</v>
      </c>
      <c r="AR854" t="e">
        <f t="shared" ref="AR854:AR917" ca="1" si="442">IF(AQ854&lt;1,"Subcritical","Supercritical")</f>
        <v>#VALUE!</v>
      </c>
      <c r="AS854" t="e">
        <f t="shared" ref="AS854:AS917" ca="1" si="443">((ABS(K854)*$D$6)/(MAX(((F854)+(G854)*(AH854))*(AH854),0.000001)*MAX(((((F854)+(G854)*(AH854))*(AH854))/MAX((F854)+2*(AH854)*SQRT(1+(G854)^2),0.000001))^(2/3),0.000001)))^2</f>
        <v>#VALUE!</v>
      </c>
    </row>
    <row r="855" spans="1:45" x14ac:dyDescent="0.35">
      <c r="A855">
        <v>706</v>
      </c>
      <c r="B855">
        <v>704.89499999999998</v>
      </c>
      <c r="C855">
        <v>616107.15399999998</v>
      </c>
      <c r="D855">
        <v>3097296.2519999999</v>
      </c>
      <c r="E855">
        <v>632.20950000000005</v>
      </c>
      <c r="F855">
        <v>5.2</v>
      </c>
      <c r="G855">
        <v>0</v>
      </c>
      <c r="H855" t="s">
        <v>191</v>
      </c>
      <c r="I855">
        <v>2.7E-2</v>
      </c>
      <c r="J855">
        <f t="shared" ref="J855:J918" si="444">B855-B854</f>
        <v>1</v>
      </c>
      <c r="K855">
        <f t="shared" ref="K855:K918" si="445">MAX(0,K854-AO854)</f>
        <v>51</v>
      </c>
      <c r="L855" t="e">
        <f t="shared" ref="L855:L918" ca="1" si="446">IF($D$20=0,L854,IF(V854=0,L854,IF(L855=0,L854,IF(ABS(U855)&gt;$D$19,MAX($D$16,L855+((U855)*$D$18*IF((S855)&lt;1,1,-1))),L855))))</f>
        <v>#VALUE!</v>
      </c>
      <c r="M855" t="e">
        <f t="shared" ca="1" si="419"/>
        <v>#VALUE!</v>
      </c>
      <c r="N855" t="e">
        <f t="shared" ca="1" si="420"/>
        <v>#VALUE!</v>
      </c>
      <c r="O855" t="e">
        <f t="shared" ca="1" si="421"/>
        <v>#VALUE!</v>
      </c>
      <c r="P855" t="e">
        <f t="shared" ca="1" si="422"/>
        <v>#VALUE!</v>
      </c>
      <c r="Q855" t="e">
        <f t="shared" ca="1" si="423"/>
        <v>#VALUE!</v>
      </c>
      <c r="R855" t="e">
        <f t="shared" ca="1" si="424"/>
        <v>#VALUE!</v>
      </c>
      <c r="S855" t="e">
        <f t="shared" ca="1" si="425"/>
        <v>#VALUE!</v>
      </c>
      <c r="T855" t="e">
        <f t="shared" ca="1" si="426"/>
        <v>#VALUE!</v>
      </c>
      <c r="U855" t="e">
        <f t="shared" ref="U855:U918" ca="1" si="447">Q854-(((R854+R855)/2)*J855)-(IF(O854&gt;O855,$D$8*((O854^2-O855^2)/(2*$I$5)),$D$9*((O855^2-O854^2)/(2*$I$5)))+($D$10*(ABS(I855)/90)*(MAX(O854^2,O855^2)/(2*$I$5))))-Q855</f>
        <v>#VALUE!</v>
      </c>
      <c r="V855" t="e">
        <f t="shared" ref="V855:V918" ca="1" si="448">IF(ABS(U855)&lt;$D$19,1,0)</f>
        <v>#VALUE!</v>
      </c>
      <c r="W855" t="e">
        <f t="shared" ca="1" si="427"/>
        <v>#VALUE!</v>
      </c>
      <c r="X855" t="e">
        <f t="shared" ca="1" si="428"/>
        <v>#VALUE!</v>
      </c>
      <c r="Y855" t="e">
        <f t="shared" ca="1" si="429"/>
        <v>#VALUE!</v>
      </c>
      <c r="Z855" t="e">
        <f t="shared" ca="1" si="430"/>
        <v>#VALUE!</v>
      </c>
      <c r="AA855" t="e">
        <f t="shared" ca="1" si="431"/>
        <v>#VALUE!</v>
      </c>
      <c r="AB855" t="e">
        <f t="shared" ca="1" si="432"/>
        <v>#VALUE!</v>
      </c>
      <c r="AC855" t="e">
        <f t="shared" ca="1" si="433"/>
        <v>#VALUE!</v>
      </c>
      <c r="AD855" t="e">
        <f t="shared" ca="1" si="434"/>
        <v>#VALUE!</v>
      </c>
      <c r="AE855" t="e">
        <f t="shared" ca="1" si="435"/>
        <v>#VALUE!</v>
      </c>
      <c r="AF855" t="e">
        <f t="shared" ca="1" si="436"/>
        <v>#VALUE!</v>
      </c>
      <c r="AG855" t="e">
        <f t="shared" ca="1" si="437"/>
        <v>#VALUE!</v>
      </c>
      <c r="AH855" t="e">
        <f ca="1">IF(V32="Supercritical",L855,IF(V32="Subcritical",W855,IF(AND(V855=1,AG855=1),IF(T855&gt;=AE855,L855,W855),IF(V855=1,L855,IF(AG855=1,W855,MAX($D$16,POWER((ABS(K855)^2)/($I$5*MAX(F855,0.1)^2),1/3)))))))</f>
        <v>#VALUE!</v>
      </c>
      <c r="AI855" t="e">
        <f t="shared" ca="1" si="438"/>
        <v>#VALUE!</v>
      </c>
      <c r="AJ855" t="e">
        <f t="shared" ca="1" si="439"/>
        <v>#VALUE!</v>
      </c>
      <c r="AM855">
        <v>0</v>
      </c>
      <c r="AN855">
        <v>0</v>
      </c>
      <c r="AO855">
        <f t="shared" si="440"/>
        <v>0</v>
      </c>
      <c r="AP855">
        <f t="shared" ref="AP855:AP918" si="449">AP854+AO855</f>
        <v>0</v>
      </c>
      <c r="AQ855" t="e">
        <f t="shared" ca="1" si="441"/>
        <v>#VALUE!</v>
      </c>
      <c r="AR855" t="e">
        <f t="shared" ca="1" si="442"/>
        <v>#VALUE!</v>
      </c>
      <c r="AS855" t="e">
        <f t="shared" ca="1" si="443"/>
        <v>#VALUE!</v>
      </c>
    </row>
    <row r="856" spans="1:45" x14ac:dyDescent="0.35">
      <c r="A856">
        <v>707</v>
      </c>
      <c r="B856">
        <v>705.89499999999998</v>
      </c>
      <c r="C856">
        <v>616106.68000000005</v>
      </c>
      <c r="D856">
        <v>3097295.372</v>
      </c>
      <c r="E856">
        <v>632.20899999999995</v>
      </c>
      <c r="F856">
        <v>5.2</v>
      </c>
      <c r="G856">
        <v>0</v>
      </c>
      <c r="H856" t="s">
        <v>191</v>
      </c>
      <c r="I856">
        <v>2.3E-2</v>
      </c>
      <c r="J856">
        <f t="shared" si="444"/>
        <v>1</v>
      </c>
      <c r="K856">
        <f t="shared" si="445"/>
        <v>51</v>
      </c>
      <c r="L856" t="e">
        <f t="shared" ca="1" si="446"/>
        <v>#VALUE!</v>
      </c>
      <c r="M856" t="e">
        <f t="shared" ca="1" si="419"/>
        <v>#VALUE!</v>
      </c>
      <c r="N856" t="e">
        <f t="shared" ca="1" si="420"/>
        <v>#VALUE!</v>
      </c>
      <c r="O856" t="e">
        <f t="shared" ca="1" si="421"/>
        <v>#VALUE!</v>
      </c>
      <c r="P856" t="e">
        <f t="shared" ca="1" si="422"/>
        <v>#VALUE!</v>
      </c>
      <c r="Q856" t="e">
        <f t="shared" ca="1" si="423"/>
        <v>#VALUE!</v>
      </c>
      <c r="R856" t="e">
        <f t="shared" ca="1" si="424"/>
        <v>#VALUE!</v>
      </c>
      <c r="S856" t="e">
        <f t="shared" ca="1" si="425"/>
        <v>#VALUE!</v>
      </c>
      <c r="T856" t="e">
        <f t="shared" ca="1" si="426"/>
        <v>#VALUE!</v>
      </c>
      <c r="U856" t="e">
        <f t="shared" ca="1" si="447"/>
        <v>#VALUE!</v>
      </c>
      <c r="V856" t="e">
        <f t="shared" ca="1" si="448"/>
        <v>#VALUE!</v>
      </c>
      <c r="W856" t="e">
        <f t="shared" ca="1" si="427"/>
        <v>#VALUE!</v>
      </c>
      <c r="X856" t="e">
        <f t="shared" ca="1" si="428"/>
        <v>#VALUE!</v>
      </c>
      <c r="Y856" t="e">
        <f t="shared" ca="1" si="429"/>
        <v>#VALUE!</v>
      </c>
      <c r="Z856" t="e">
        <f t="shared" ca="1" si="430"/>
        <v>#VALUE!</v>
      </c>
      <c r="AA856" t="e">
        <f t="shared" ca="1" si="431"/>
        <v>#VALUE!</v>
      </c>
      <c r="AB856" t="e">
        <f t="shared" ca="1" si="432"/>
        <v>#VALUE!</v>
      </c>
      <c r="AC856" t="e">
        <f t="shared" ca="1" si="433"/>
        <v>#VALUE!</v>
      </c>
      <c r="AD856" t="e">
        <f t="shared" ca="1" si="434"/>
        <v>#VALUE!</v>
      </c>
      <c r="AE856" t="e">
        <f t="shared" ca="1" si="435"/>
        <v>#VALUE!</v>
      </c>
      <c r="AF856" t="e">
        <f t="shared" ca="1" si="436"/>
        <v>#VALUE!</v>
      </c>
      <c r="AG856" t="e">
        <f t="shared" ca="1" si="437"/>
        <v>#VALUE!</v>
      </c>
      <c r="AH856" t="e">
        <f ca="1">IF(V32="Supercritical",L856,IF(V32="Subcritical",W856,IF(AND(V856=1,AG856=1),IF(T856&gt;=AE856,L856,W856),IF(V856=1,L856,IF(AG856=1,W856,MAX($D$16,POWER((ABS(K856)^2)/($I$5*MAX(F856,0.1)^2),1/3)))))))</f>
        <v>#VALUE!</v>
      </c>
      <c r="AI856" t="e">
        <f t="shared" ca="1" si="438"/>
        <v>#VALUE!</v>
      </c>
      <c r="AJ856" t="e">
        <f t="shared" ca="1" si="439"/>
        <v>#VALUE!</v>
      </c>
      <c r="AM856">
        <v>0</v>
      </c>
      <c r="AN856">
        <v>0</v>
      </c>
      <c r="AO856">
        <f t="shared" si="440"/>
        <v>0</v>
      </c>
      <c r="AP856">
        <f t="shared" si="449"/>
        <v>0</v>
      </c>
      <c r="AQ856" t="e">
        <f t="shared" ca="1" si="441"/>
        <v>#VALUE!</v>
      </c>
      <c r="AR856" t="e">
        <f t="shared" ca="1" si="442"/>
        <v>#VALUE!</v>
      </c>
      <c r="AS856" t="e">
        <f t="shared" ca="1" si="443"/>
        <v>#VALUE!</v>
      </c>
    </row>
    <row r="857" spans="1:45" x14ac:dyDescent="0.35">
      <c r="A857">
        <v>708</v>
      </c>
      <c r="B857">
        <v>706.89599999999996</v>
      </c>
      <c r="C857">
        <v>616106.20499999996</v>
      </c>
      <c r="D857">
        <v>3097294.4909999999</v>
      </c>
      <c r="E857">
        <v>632.20849999999996</v>
      </c>
      <c r="F857">
        <v>5.2</v>
      </c>
      <c r="G857">
        <v>0</v>
      </c>
      <c r="H857" t="s">
        <v>191</v>
      </c>
      <c r="I857">
        <v>2.3E-2</v>
      </c>
      <c r="J857">
        <f t="shared" si="444"/>
        <v>1.0009999999999764</v>
      </c>
      <c r="K857">
        <f t="shared" si="445"/>
        <v>51</v>
      </c>
      <c r="L857" t="e">
        <f t="shared" ca="1" si="446"/>
        <v>#VALUE!</v>
      </c>
      <c r="M857" t="e">
        <f t="shared" ca="1" si="419"/>
        <v>#VALUE!</v>
      </c>
      <c r="N857" t="e">
        <f t="shared" ca="1" si="420"/>
        <v>#VALUE!</v>
      </c>
      <c r="O857" t="e">
        <f t="shared" ca="1" si="421"/>
        <v>#VALUE!</v>
      </c>
      <c r="P857" t="e">
        <f t="shared" ca="1" si="422"/>
        <v>#VALUE!</v>
      </c>
      <c r="Q857" t="e">
        <f t="shared" ca="1" si="423"/>
        <v>#VALUE!</v>
      </c>
      <c r="R857" t="e">
        <f t="shared" ca="1" si="424"/>
        <v>#VALUE!</v>
      </c>
      <c r="S857" t="e">
        <f t="shared" ca="1" si="425"/>
        <v>#VALUE!</v>
      </c>
      <c r="T857" t="e">
        <f t="shared" ca="1" si="426"/>
        <v>#VALUE!</v>
      </c>
      <c r="U857" t="e">
        <f t="shared" ca="1" si="447"/>
        <v>#VALUE!</v>
      </c>
      <c r="V857" t="e">
        <f t="shared" ca="1" si="448"/>
        <v>#VALUE!</v>
      </c>
      <c r="W857" t="e">
        <f t="shared" ca="1" si="427"/>
        <v>#VALUE!</v>
      </c>
      <c r="X857" t="e">
        <f t="shared" ca="1" si="428"/>
        <v>#VALUE!</v>
      </c>
      <c r="Y857" t="e">
        <f t="shared" ca="1" si="429"/>
        <v>#VALUE!</v>
      </c>
      <c r="Z857" t="e">
        <f t="shared" ca="1" si="430"/>
        <v>#VALUE!</v>
      </c>
      <c r="AA857" t="e">
        <f t="shared" ca="1" si="431"/>
        <v>#VALUE!</v>
      </c>
      <c r="AB857" t="e">
        <f t="shared" ca="1" si="432"/>
        <v>#VALUE!</v>
      </c>
      <c r="AC857" t="e">
        <f t="shared" ca="1" si="433"/>
        <v>#VALUE!</v>
      </c>
      <c r="AD857" t="e">
        <f t="shared" ca="1" si="434"/>
        <v>#VALUE!</v>
      </c>
      <c r="AE857" t="e">
        <f t="shared" ca="1" si="435"/>
        <v>#VALUE!</v>
      </c>
      <c r="AF857" t="e">
        <f t="shared" ca="1" si="436"/>
        <v>#VALUE!</v>
      </c>
      <c r="AG857" t="e">
        <f t="shared" ca="1" si="437"/>
        <v>#VALUE!</v>
      </c>
      <c r="AH857" t="e">
        <f ca="1">IF(V32="Supercritical",L857,IF(V32="Subcritical",W857,IF(AND(V857=1,AG857=1),IF(T857&gt;=AE857,L857,W857),IF(V857=1,L857,IF(AG857=1,W857,MAX($D$16,POWER((ABS(K857)^2)/($I$5*MAX(F857,0.1)^2),1/3)))))))</f>
        <v>#VALUE!</v>
      </c>
      <c r="AI857" t="e">
        <f t="shared" ca="1" si="438"/>
        <v>#VALUE!</v>
      </c>
      <c r="AJ857" t="e">
        <f t="shared" ca="1" si="439"/>
        <v>#VALUE!</v>
      </c>
      <c r="AM857">
        <v>0</v>
      </c>
      <c r="AN857">
        <v>0</v>
      </c>
      <c r="AO857">
        <f t="shared" si="440"/>
        <v>0</v>
      </c>
      <c r="AP857">
        <f t="shared" si="449"/>
        <v>0</v>
      </c>
      <c r="AQ857" t="e">
        <f t="shared" ca="1" si="441"/>
        <v>#VALUE!</v>
      </c>
      <c r="AR857" t="e">
        <f t="shared" ca="1" si="442"/>
        <v>#VALUE!</v>
      </c>
      <c r="AS857" t="e">
        <f t="shared" ca="1" si="443"/>
        <v>#VALUE!</v>
      </c>
    </row>
    <row r="858" spans="1:45" x14ac:dyDescent="0.35">
      <c r="A858">
        <v>709</v>
      </c>
      <c r="B858">
        <v>707.89499999999998</v>
      </c>
      <c r="C858">
        <v>616105.73100000003</v>
      </c>
      <c r="D858">
        <v>3097293.611</v>
      </c>
      <c r="E858">
        <v>632.20799999999997</v>
      </c>
      <c r="F858">
        <v>5.2</v>
      </c>
      <c r="G858">
        <v>0</v>
      </c>
      <c r="H858" t="s">
        <v>191</v>
      </c>
      <c r="I858">
        <v>0</v>
      </c>
      <c r="J858">
        <f t="shared" si="444"/>
        <v>0.99900000000002365</v>
      </c>
      <c r="K858">
        <f t="shared" si="445"/>
        <v>51</v>
      </c>
      <c r="L858" t="e">
        <f t="shared" ca="1" si="446"/>
        <v>#VALUE!</v>
      </c>
      <c r="M858" t="e">
        <f t="shared" ca="1" si="419"/>
        <v>#VALUE!</v>
      </c>
      <c r="N858" t="e">
        <f t="shared" ca="1" si="420"/>
        <v>#VALUE!</v>
      </c>
      <c r="O858" t="e">
        <f t="shared" ca="1" si="421"/>
        <v>#VALUE!</v>
      </c>
      <c r="P858" t="e">
        <f t="shared" ca="1" si="422"/>
        <v>#VALUE!</v>
      </c>
      <c r="Q858" t="e">
        <f t="shared" ca="1" si="423"/>
        <v>#VALUE!</v>
      </c>
      <c r="R858" t="e">
        <f t="shared" ca="1" si="424"/>
        <v>#VALUE!</v>
      </c>
      <c r="S858" t="e">
        <f t="shared" ca="1" si="425"/>
        <v>#VALUE!</v>
      </c>
      <c r="T858" t="e">
        <f t="shared" ca="1" si="426"/>
        <v>#VALUE!</v>
      </c>
      <c r="U858" t="e">
        <f t="shared" ca="1" si="447"/>
        <v>#VALUE!</v>
      </c>
      <c r="V858" t="e">
        <f t="shared" ca="1" si="448"/>
        <v>#VALUE!</v>
      </c>
      <c r="W858" t="e">
        <f t="shared" ca="1" si="427"/>
        <v>#VALUE!</v>
      </c>
      <c r="X858" t="e">
        <f t="shared" ca="1" si="428"/>
        <v>#VALUE!</v>
      </c>
      <c r="Y858" t="e">
        <f t="shared" ca="1" si="429"/>
        <v>#VALUE!</v>
      </c>
      <c r="Z858" t="e">
        <f t="shared" ca="1" si="430"/>
        <v>#VALUE!</v>
      </c>
      <c r="AA858" t="e">
        <f t="shared" ca="1" si="431"/>
        <v>#VALUE!</v>
      </c>
      <c r="AB858" t="e">
        <f t="shared" ca="1" si="432"/>
        <v>#VALUE!</v>
      </c>
      <c r="AC858" t="e">
        <f t="shared" ca="1" si="433"/>
        <v>#VALUE!</v>
      </c>
      <c r="AD858" t="e">
        <f t="shared" ca="1" si="434"/>
        <v>#VALUE!</v>
      </c>
      <c r="AE858" t="e">
        <f t="shared" ca="1" si="435"/>
        <v>#VALUE!</v>
      </c>
      <c r="AF858" t="e">
        <f t="shared" ca="1" si="436"/>
        <v>#VALUE!</v>
      </c>
      <c r="AG858" t="e">
        <f t="shared" ca="1" si="437"/>
        <v>#VALUE!</v>
      </c>
      <c r="AH858" t="e">
        <f ca="1">IF(V32="Supercritical",L858,IF(V32="Subcritical",W858,IF(AND(V858=1,AG858=1),IF(T858&gt;=AE858,L858,W858),IF(V858=1,L858,IF(AG858=1,W858,MAX($D$16,POWER((ABS(K858)^2)/($I$5*MAX(F858,0.1)^2),1/3)))))))</f>
        <v>#VALUE!</v>
      </c>
      <c r="AI858" t="e">
        <f t="shared" ca="1" si="438"/>
        <v>#VALUE!</v>
      </c>
      <c r="AJ858" t="e">
        <f t="shared" ca="1" si="439"/>
        <v>#VALUE!</v>
      </c>
      <c r="AM858">
        <v>0</v>
      </c>
      <c r="AN858">
        <v>0</v>
      </c>
      <c r="AO858">
        <f t="shared" si="440"/>
        <v>0</v>
      </c>
      <c r="AP858">
        <f t="shared" si="449"/>
        <v>0</v>
      </c>
      <c r="AQ858" t="e">
        <f t="shared" ca="1" si="441"/>
        <v>#VALUE!</v>
      </c>
      <c r="AR858" t="e">
        <f t="shared" ca="1" si="442"/>
        <v>#VALUE!</v>
      </c>
      <c r="AS858" t="e">
        <f t="shared" ca="1" si="443"/>
        <v>#VALUE!</v>
      </c>
    </row>
    <row r="859" spans="1:45" x14ac:dyDescent="0.35">
      <c r="A859">
        <v>710</v>
      </c>
      <c r="B859">
        <v>708.89499999999998</v>
      </c>
      <c r="C859">
        <v>616105.25699999998</v>
      </c>
      <c r="D859">
        <v>3097292.7310000001</v>
      </c>
      <c r="E859">
        <v>632.20749999999998</v>
      </c>
      <c r="F859">
        <v>5.2</v>
      </c>
      <c r="G859">
        <v>0</v>
      </c>
      <c r="H859" t="s">
        <v>191</v>
      </c>
      <c r="I859">
        <v>2.7E-2</v>
      </c>
      <c r="J859">
        <f t="shared" si="444"/>
        <v>1</v>
      </c>
      <c r="K859">
        <f t="shared" si="445"/>
        <v>51</v>
      </c>
      <c r="L859" t="e">
        <f t="shared" ca="1" si="446"/>
        <v>#VALUE!</v>
      </c>
      <c r="M859" t="e">
        <f t="shared" ca="1" si="419"/>
        <v>#VALUE!</v>
      </c>
      <c r="N859" t="e">
        <f t="shared" ca="1" si="420"/>
        <v>#VALUE!</v>
      </c>
      <c r="O859" t="e">
        <f t="shared" ca="1" si="421"/>
        <v>#VALUE!</v>
      </c>
      <c r="P859" t="e">
        <f t="shared" ca="1" si="422"/>
        <v>#VALUE!</v>
      </c>
      <c r="Q859" t="e">
        <f t="shared" ca="1" si="423"/>
        <v>#VALUE!</v>
      </c>
      <c r="R859" t="e">
        <f t="shared" ca="1" si="424"/>
        <v>#VALUE!</v>
      </c>
      <c r="S859" t="e">
        <f t="shared" ca="1" si="425"/>
        <v>#VALUE!</v>
      </c>
      <c r="T859" t="e">
        <f t="shared" ca="1" si="426"/>
        <v>#VALUE!</v>
      </c>
      <c r="U859" t="e">
        <f t="shared" ca="1" si="447"/>
        <v>#VALUE!</v>
      </c>
      <c r="V859" t="e">
        <f t="shared" ca="1" si="448"/>
        <v>#VALUE!</v>
      </c>
      <c r="W859" t="e">
        <f t="shared" ca="1" si="427"/>
        <v>#VALUE!</v>
      </c>
      <c r="X859" t="e">
        <f t="shared" ca="1" si="428"/>
        <v>#VALUE!</v>
      </c>
      <c r="Y859" t="e">
        <f t="shared" ca="1" si="429"/>
        <v>#VALUE!</v>
      </c>
      <c r="Z859" t="e">
        <f t="shared" ca="1" si="430"/>
        <v>#VALUE!</v>
      </c>
      <c r="AA859" t="e">
        <f t="shared" ca="1" si="431"/>
        <v>#VALUE!</v>
      </c>
      <c r="AB859" t="e">
        <f t="shared" ca="1" si="432"/>
        <v>#VALUE!</v>
      </c>
      <c r="AC859" t="e">
        <f t="shared" ca="1" si="433"/>
        <v>#VALUE!</v>
      </c>
      <c r="AD859" t="e">
        <f t="shared" ca="1" si="434"/>
        <v>#VALUE!</v>
      </c>
      <c r="AE859" t="e">
        <f t="shared" ca="1" si="435"/>
        <v>#VALUE!</v>
      </c>
      <c r="AF859" t="e">
        <f t="shared" ca="1" si="436"/>
        <v>#VALUE!</v>
      </c>
      <c r="AG859" t="e">
        <f t="shared" ca="1" si="437"/>
        <v>#VALUE!</v>
      </c>
      <c r="AH859" t="e">
        <f ca="1">IF(V32="Supercritical",L859,IF(V32="Subcritical",W859,IF(AND(V859=1,AG859=1),IF(T859&gt;=AE859,L859,W859),IF(V859=1,L859,IF(AG859=1,W859,MAX($D$16,POWER((ABS(K859)^2)/($I$5*MAX(F859,0.1)^2),1/3)))))))</f>
        <v>#VALUE!</v>
      </c>
      <c r="AI859" t="e">
        <f t="shared" ca="1" si="438"/>
        <v>#VALUE!</v>
      </c>
      <c r="AJ859" t="e">
        <f t="shared" ca="1" si="439"/>
        <v>#VALUE!</v>
      </c>
      <c r="AM859">
        <v>0</v>
      </c>
      <c r="AN859">
        <v>0</v>
      </c>
      <c r="AO859">
        <f t="shared" si="440"/>
        <v>0</v>
      </c>
      <c r="AP859">
        <f t="shared" si="449"/>
        <v>0</v>
      </c>
      <c r="AQ859" t="e">
        <f t="shared" ca="1" si="441"/>
        <v>#VALUE!</v>
      </c>
      <c r="AR859" t="e">
        <f t="shared" ca="1" si="442"/>
        <v>#VALUE!</v>
      </c>
      <c r="AS859" t="e">
        <f t="shared" ca="1" si="443"/>
        <v>#VALUE!</v>
      </c>
    </row>
    <row r="860" spans="1:45" x14ac:dyDescent="0.35">
      <c r="A860">
        <v>711</v>
      </c>
      <c r="B860">
        <v>709.89499999999998</v>
      </c>
      <c r="C860">
        <v>616104.78300000005</v>
      </c>
      <c r="D860">
        <v>3097291.85</v>
      </c>
      <c r="E860">
        <v>632.20699999999999</v>
      </c>
      <c r="F860">
        <v>5.2</v>
      </c>
      <c r="G860">
        <v>0</v>
      </c>
      <c r="H860" t="s">
        <v>191</v>
      </c>
      <c r="I860">
        <v>7.8E-2</v>
      </c>
      <c r="J860">
        <f t="shared" si="444"/>
        <v>1</v>
      </c>
      <c r="K860">
        <f t="shared" si="445"/>
        <v>51</v>
      </c>
      <c r="L860" t="e">
        <f t="shared" ca="1" si="446"/>
        <v>#VALUE!</v>
      </c>
      <c r="M860" t="e">
        <f t="shared" ca="1" si="419"/>
        <v>#VALUE!</v>
      </c>
      <c r="N860" t="e">
        <f t="shared" ca="1" si="420"/>
        <v>#VALUE!</v>
      </c>
      <c r="O860" t="e">
        <f t="shared" ca="1" si="421"/>
        <v>#VALUE!</v>
      </c>
      <c r="P860" t="e">
        <f t="shared" ca="1" si="422"/>
        <v>#VALUE!</v>
      </c>
      <c r="Q860" t="e">
        <f t="shared" ca="1" si="423"/>
        <v>#VALUE!</v>
      </c>
      <c r="R860" t="e">
        <f t="shared" ca="1" si="424"/>
        <v>#VALUE!</v>
      </c>
      <c r="S860" t="e">
        <f t="shared" ca="1" si="425"/>
        <v>#VALUE!</v>
      </c>
      <c r="T860" t="e">
        <f t="shared" ca="1" si="426"/>
        <v>#VALUE!</v>
      </c>
      <c r="U860" t="e">
        <f t="shared" ca="1" si="447"/>
        <v>#VALUE!</v>
      </c>
      <c r="V860" t="e">
        <f t="shared" ca="1" si="448"/>
        <v>#VALUE!</v>
      </c>
      <c r="W860" t="e">
        <f t="shared" ca="1" si="427"/>
        <v>#VALUE!</v>
      </c>
      <c r="X860" t="e">
        <f t="shared" ca="1" si="428"/>
        <v>#VALUE!</v>
      </c>
      <c r="Y860" t="e">
        <f t="shared" ca="1" si="429"/>
        <v>#VALUE!</v>
      </c>
      <c r="Z860" t="e">
        <f t="shared" ca="1" si="430"/>
        <v>#VALUE!</v>
      </c>
      <c r="AA860" t="e">
        <f t="shared" ca="1" si="431"/>
        <v>#VALUE!</v>
      </c>
      <c r="AB860" t="e">
        <f t="shared" ca="1" si="432"/>
        <v>#VALUE!</v>
      </c>
      <c r="AC860" t="e">
        <f t="shared" ca="1" si="433"/>
        <v>#VALUE!</v>
      </c>
      <c r="AD860" t="e">
        <f t="shared" ca="1" si="434"/>
        <v>#VALUE!</v>
      </c>
      <c r="AE860" t="e">
        <f t="shared" ca="1" si="435"/>
        <v>#VALUE!</v>
      </c>
      <c r="AF860" t="e">
        <f t="shared" ca="1" si="436"/>
        <v>#VALUE!</v>
      </c>
      <c r="AG860" t="e">
        <f t="shared" ca="1" si="437"/>
        <v>#VALUE!</v>
      </c>
      <c r="AH860" t="e">
        <f ca="1">IF(V32="Supercritical",L860,IF(V32="Subcritical",W860,IF(AND(V860=1,AG860=1),IF(T860&gt;=AE860,L860,W860),IF(V860=1,L860,IF(AG860=1,W860,MAX($D$16,POWER((ABS(K860)^2)/($I$5*MAX(F860,0.1)^2),1/3)))))))</f>
        <v>#VALUE!</v>
      </c>
      <c r="AI860" t="e">
        <f t="shared" ca="1" si="438"/>
        <v>#VALUE!</v>
      </c>
      <c r="AJ860" t="e">
        <f t="shared" ca="1" si="439"/>
        <v>#VALUE!</v>
      </c>
      <c r="AM860">
        <v>0</v>
      </c>
      <c r="AN860">
        <v>0</v>
      </c>
      <c r="AO860">
        <f t="shared" si="440"/>
        <v>0</v>
      </c>
      <c r="AP860">
        <f t="shared" si="449"/>
        <v>0</v>
      </c>
      <c r="AQ860" t="e">
        <f t="shared" ca="1" si="441"/>
        <v>#VALUE!</v>
      </c>
      <c r="AR860" t="e">
        <f t="shared" ca="1" si="442"/>
        <v>#VALUE!</v>
      </c>
      <c r="AS860" t="e">
        <f t="shared" ca="1" si="443"/>
        <v>#VALUE!</v>
      </c>
    </row>
    <row r="861" spans="1:45" x14ac:dyDescent="0.35">
      <c r="A861">
        <v>712</v>
      </c>
      <c r="B861">
        <v>710.89499999999998</v>
      </c>
      <c r="C861">
        <v>616104.30799999996</v>
      </c>
      <c r="D861">
        <v>3097290.97</v>
      </c>
      <c r="E861">
        <v>632.20650000000001</v>
      </c>
      <c r="F861">
        <v>5.2</v>
      </c>
      <c r="G861">
        <v>0</v>
      </c>
      <c r="H861" t="s">
        <v>191</v>
      </c>
      <c r="I861">
        <v>7.8E-2</v>
      </c>
      <c r="J861">
        <f t="shared" si="444"/>
        <v>1</v>
      </c>
      <c r="K861">
        <f t="shared" si="445"/>
        <v>51</v>
      </c>
      <c r="L861" t="e">
        <f t="shared" ca="1" si="446"/>
        <v>#VALUE!</v>
      </c>
      <c r="M861" t="e">
        <f t="shared" ca="1" si="419"/>
        <v>#VALUE!</v>
      </c>
      <c r="N861" t="e">
        <f t="shared" ca="1" si="420"/>
        <v>#VALUE!</v>
      </c>
      <c r="O861" t="e">
        <f t="shared" ca="1" si="421"/>
        <v>#VALUE!</v>
      </c>
      <c r="P861" t="e">
        <f t="shared" ca="1" si="422"/>
        <v>#VALUE!</v>
      </c>
      <c r="Q861" t="e">
        <f t="shared" ca="1" si="423"/>
        <v>#VALUE!</v>
      </c>
      <c r="R861" t="e">
        <f t="shared" ca="1" si="424"/>
        <v>#VALUE!</v>
      </c>
      <c r="S861" t="e">
        <f t="shared" ca="1" si="425"/>
        <v>#VALUE!</v>
      </c>
      <c r="T861" t="e">
        <f t="shared" ca="1" si="426"/>
        <v>#VALUE!</v>
      </c>
      <c r="U861" t="e">
        <f t="shared" ca="1" si="447"/>
        <v>#VALUE!</v>
      </c>
      <c r="V861" t="e">
        <f t="shared" ca="1" si="448"/>
        <v>#VALUE!</v>
      </c>
      <c r="W861" t="e">
        <f t="shared" ca="1" si="427"/>
        <v>#VALUE!</v>
      </c>
      <c r="X861" t="e">
        <f t="shared" ca="1" si="428"/>
        <v>#VALUE!</v>
      </c>
      <c r="Y861" t="e">
        <f t="shared" ca="1" si="429"/>
        <v>#VALUE!</v>
      </c>
      <c r="Z861" t="e">
        <f t="shared" ca="1" si="430"/>
        <v>#VALUE!</v>
      </c>
      <c r="AA861" t="e">
        <f t="shared" ca="1" si="431"/>
        <v>#VALUE!</v>
      </c>
      <c r="AB861" t="e">
        <f t="shared" ca="1" si="432"/>
        <v>#VALUE!</v>
      </c>
      <c r="AC861" t="e">
        <f t="shared" ca="1" si="433"/>
        <v>#VALUE!</v>
      </c>
      <c r="AD861" t="e">
        <f t="shared" ca="1" si="434"/>
        <v>#VALUE!</v>
      </c>
      <c r="AE861" t="e">
        <f t="shared" ca="1" si="435"/>
        <v>#VALUE!</v>
      </c>
      <c r="AF861" t="e">
        <f t="shared" ca="1" si="436"/>
        <v>#VALUE!</v>
      </c>
      <c r="AG861" t="e">
        <f t="shared" ca="1" si="437"/>
        <v>#VALUE!</v>
      </c>
      <c r="AH861" t="e">
        <f ca="1">IF(V32="Supercritical",L861,IF(V32="Subcritical",W861,IF(AND(V861=1,AG861=1),IF(T861&gt;=AE861,L861,W861),IF(V861=1,L861,IF(AG861=1,W861,MAX($D$16,POWER((ABS(K861)^2)/($I$5*MAX(F861,0.1)^2),1/3)))))))</f>
        <v>#VALUE!</v>
      </c>
      <c r="AI861" t="e">
        <f t="shared" ca="1" si="438"/>
        <v>#VALUE!</v>
      </c>
      <c r="AJ861" t="e">
        <f t="shared" ca="1" si="439"/>
        <v>#VALUE!</v>
      </c>
      <c r="AM861">
        <v>0</v>
      </c>
      <c r="AN861">
        <v>0</v>
      </c>
      <c r="AO861">
        <f t="shared" si="440"/>
        <v>0</v>
      </c>
      <c r="AP861">
        <f t="shared" si="449"/>
        <v>0</v>
      </c>
      <c r="AQ861" t="e">
        <f t="shared" ca="1" si="441"/>
        <v>#VALUE!</v>
      </c>
      <c r="AR861" t="e">
        <f t="shared" ca="1" si="442"/>
        <v>#VALUE!</v>
      </c>
      <c r="AS861" t="e">
        <f t="shared" ca="1" si="443"/>
        <v>#VALUE!</v>
      </c>
    </row>
    <row r="862" spans="1:45" x14ac:dyDescent="0.35">
      <c r="A862">
        <v>713</v>
      </c>
      <c r="B862">
        <v>711.89599999999996</v>
      </c>
      <c r="C862">
        <v>616103.83400000003</v>
      </c>
      <c r="D862">
        <v>3097290.0890000002</v>
      </c>
      <c r="E862">
        <v>632.20600000000002</v>
      </c>
      <c r="F862">
        <v>5.2</v>
      </c>
      <c r="G862">
        <v>0</v>
      </c>
      <c r="H862" t="s">
        <v>191</v>
      </c>
      <c r="I862">
        <v>2.7E-2</v>
      </c>
      <c r="J862">
        <f t="shared" si="444"/>
        <v>1.0009999999999764</v>
      </c>
      <c r="K862">
        <f t="shared" si="445"/>
        <v>51</v>
      </c>
      <c r="L862" t="e">
        <f t="shared" ca="1" si="446"/>
        <v>#VALUE!</v>
      </c>
      <c r="M862" t="e">
        <f t="shared" ca="1" si="419"/>
        <v>#VALUE!</v>
      </c>
      <c r="N862" t="e">
        <f t="shared" ca="1" si="420"/>
        <v>#VALUE!</v>
      </c>
      <c r="O862" t="e">
        <f t="shared" ca="1" si="421"/>
        <v>#VALUE!</v>
      </c>
      <c r="P862" t="e">
        <f t="shared" ca="1" si="422"/>
        <v>#VALUE!</v>
      </c>
      <c r="Q862" t="e">
        <f t="shared" ca="1" si="423"/>
        <v>#VALUE!</v>
      </c>
      <c r="R862" t="e">
        <f t="shared" ca="1" si="424"/>
        <v>#VALUE!</v>
      </c>
      <c r="S862" t="e">
        <f t="shared" ca="1" si="425"/>
        <v>#VALUE!</v>
      </c>
      <c r="T862" t="e">
        <f t="shared" ca="1" si="426"/>
        <v>#VALUE!</v>
      </c>
      <c r="U862" t="e">
        <f t="shared" ca="1" si="447"/>
        <v>#VALUE!</v>
      </c>
      <c r="V862" t="e">
        <f t="shared" ca="1" si="448"/>
        <v>#VALUE!</v>
      </c>
      <c r="W862" t="e">
        <f t="shared" ca="1" si="427"/>
        <v>#VALUE!</v>
      </c>
      <c r="X862" t="e">
        <f t="shared" ca="1" si="428"/>
        <v>#VALUE!</v>
      </c>
      <c r="Y862" t="e">
        <f t="shared" ca="1" si="429"/>
        <v>#VALUE!</v>
      </c>
      <c r="Z862" t="e">
        <f t="shared" ca="1" si="430"/>
        <v>#VALUE!</v>
      </c>
      <c r="AA862" t="e">
        <f t="shared" ca="1" si="431"/>
        <v>#VALUE!</v>
      </c>
      <c r="AB862" t="e">
        <f t="shared" ca="1" si="432"/>
        <v>#VALUE!</v>
      </c>
      <c r="AC862" t="e">
        <f t="shared" ca="1" si="433"/>
        <v>#VALUE!</v>
      </c>
      <c r="AD862" t="e">
        <f t="shared" ca="1" si="434"/>
        <v>#VALUE!</v>
      </c>
      <c r="AE862" t="e">
        <f t="shared" ca="1" si="435"/>
        <v>#VALUE!</v>
      </c>
      <c r="AF862" t="e">
        <f t="shared" ca="1" si="436"/>
        <v>#VALUE!</v>
      </c>
      <c r="AG862" t="e">
        <f t="shared" ca="1" si="437"/>
        <v>#VALUE!</v>
      </c>
      <c r="AH862" t="e">
        <f ca="1">IF(V32="Supercritical",L862,IF(V32="Subcritical",W862,IF(AND(V862=1,AG862=1),IF(T862&gt;=AE862,L862,W862),IF(V862=1,L862,IF(AG862=1,W862,MAX($D$16,POWER((ABS(K862)^2)/($I$5*MAX(F862,0.1)^2),1/3)))))))</f>
        <v>#VALUE!</v>
      </c>
      <c r="AI862" t="e">
        <f t="shared" ca="1" si="438"/>
        <v>#VALUE!</v>
      </c>
      <c r="AJ862" t="e">
        <f t="shared" ca="1" si="439"/>
        <v>#VALUE!</v>
      </c>
      <c r="AM862">
        <v>0</v>
      </c>
      <c r="AN862">
        <v>0</v>
      </c>
      <c r="AO862">
        <f t="shared" si="440"/>
        <v>0</v>
      </c>
      <c r="AP862">
        <f t="shared" si="449"/>
        <v>0</v>
      </c>
      <c r="AQ862" t="e">
        <f t="shared" ca="1" si="441"/>
        <v>#VALUE!</v>
      </c>
      <c r="AR862" t="e">
        <f t="shared" ca="1" si="442"/>
        <v>#VALUE!</v>
      </c>
      <c r="AS862" t="e">
        <f t="shared" ca="1" si="443"/>
        <v>#VALUE!</v>
      </c>
    </row>
    <row r="863" spans="1:45" x14ac:dyDescent="0.35">
      <c r="A863">
        <v>714</v>
      </c>
      <c r="B863">
        <v>712.89499999999998</v>
      </c>
      <c r="C863">
        <v>616103.36</v>
      </c>
      <c r="D863">
        <v>3097289.2089999998</v>
      </c>
      <c r="E863">
        <v>632.20550000000003</v>
      </c>
      <c r="F863">
        <v>5.2</v>
      </c>
      <c r="G863">
        <v>0</v>
      </c>
      <c r="H863" t="s">
        <v>191</v>
      </c>
      <c r="I863">
        <v>10.347</v>
      </c>
      <c r="J863">
        <f t="shared" si="444"/>
        <v>0.99900000000002365</v>
      </c>
      <c r="K863">
        <f t="shared" si="445"/>
        <v>51</v>
      </c>
      <c r="L863" t="e">
        <f t="shared" ca="1" si="446"/>
        <v>#VALUE!</v>
      </c>
      <c r="M863" t="e">
        <f t="shared" ca="1" si="419"/>
        <v>#VALUE!</v>
      </c>
      <c r="N863" t="e">
        <f t="shared" ca="1" si="420"/>
        <v>#VALUE!</v>
      </c>
      <c r="O863" t="e">
        <f t="shared" ca="1" si="421"/>
        <v>#VALUE!</v>
      </c>
      <c r="P863" t="e">
        <f t="shared" ca="1" si="422"/>
        <v>#VALUE!</v>
      </c>
      <c r="Q863" t="e">
        <f t="shared" ca="1" si="423"/>
        <v>#VALUE!</v>
      </c>
      <c r="R863" t="e">
        <f t="shared" ca="1" si="424"/>
        <v>#VALUE!</v>
      </c>
      <c r="S863" t="e">
        <f t="shared" ca="1" si="425"/>
        <v>#VALUE!</v>
      </c>
      <c r="T863" t="e">
        <f t="shared" ca="1" si="426"/>
        <v>#VALUE!</v>
      </c>
      <c r="U863" t="e">
        <f t="shared" ca="1" si="447"/>
        <v>#VALUE!</v>
      </c>
      <c r="V863" t="e">
        <f t="shared" ca="1" si="448"/>
        <v>#VALUE!</v>
      </c>
      <c r="W863" t="e">
        <f t="shared" ca="1" si="427"/>
        <v>#VALUE!</v>
      </c>
      <c r="X863" t="e">
        <f t="shared" ca="1" si="428"/>
        <v>#VALUE!</v>
      </c>
      <c r="Y863" t="e">
        <f t="shared" ca="1" si="429"/>
        <v>#VALUE!</v>
      </c>
      <c r="Z863" t="e">
        <f t="shared" ca="1" si="430"/>
        <v>#VALUE!</v>
      </c>
      <c r="AA863" t="e">
        <f t="shared" ca="1" si="431"/>
        <v>#VALUE!</v>
      </c>
      <c r="AB863" t="e">
        <f t="shared" ca="1" si="432"/>
        <v>#VALUE!</v>
      </c>
      <c r="AC863" t="e">
        <f t="shared" ca="1" si="433"/>
        <v>#VALUE!</v>
      </c>
      <c r="AD863" t="e">
        <f t="shared" ca="1" si="434"/>
        <v>#VALUE!</v>
      </c>
      <c r="AE863" t="e">
        <f t="shared" ca="1" si="435"/>
        <v>#VALUE!</v>
      </c>
      <c r="AF863" t="e">
        <f t="shared" ca="1" si="436"/>
        <v>#VALUE!</v>
      </c>
      <c r="AG863" t="e">
        <f t="shared" ca="1" si="437"/>
        <v>#VALUE!</v>
      </c>
      <c r="AH863" t="e">
        <f ca="1">IF(V32="Supercritical",L863,IF(V32="Subcritical",W863,IF(AND(V863=1,AG863=1),IF(T863&gt;=AE863,L863,W863),IF(V863=1,L863,IF(AG863=1,W863,MAX($D$16,POWER((ABS(K863)^2)/($I$5*MAX(F863,0.1)^2),1/3)))))))</f>
        <v>#VALUE!</v>
      </c>
      <c r="AI863" t="e">
        <f t="shared" ca="1" si="438"/>
        <v>#VALUE!</v>
      </c>
      <c r="AJ863" t="e">
        <f t="shared" ca="1" si="439"/>
        <v>#VALUE!</v>
      </c>
      <c r="AM863">
        <v>0</v>
      </c>
      <c r="AN863">
        <v>0</v>
      </c>
      <c r="AO863">
        <f t="shared" si="440"/>
        <v>0</v>
      </c>
      <c r="AP863">
        <f t="shared" si="449"/>
        <v>0</v>
      </c>
      <c r="AQ863" t="e">
        <f t="shared" ca="1" si="441"/>
        <v>#VALUE!</v>
      </c>
      <c r="AR863" t="e">
        <f t="shared" ca="1" si="442"/>
        <v>#VALUE!</v>
      </c>
      <c r="AS863" t="e">
        <f t="shared" ca="1" si="443"/>
        <v>#VALUE!</v>
      </c>
    </row>
    <row r="864" spans="1:45" x14ac:dyDescent="0.35">
      <c r="A864">
        <v>715</v>
      </c>
      <c r="B864">
        <v>713.89099999999996</v>
      </c>
      <c r="C864">
        <v>616103.05299999996</v>
      </c>
      <c r="D864">
        <v>3097288.2620000001</v>
      </c>
      <c r="E864">
        <v>632.20500000000004</v>
      </c>
      <c r="F864">
        <v>5.0670000000000002</v>
      </c>
      <c r="G864">
        <v>0</v>
      </c>
      <c r="H864" t="s">
        <v>191</v>
      </c>
      <c r="I864">
        <v>2.6059999999999999</v>
      </c>
      <c r="J864">
        <f t="shared" si="444"/>
        <v>0.9959999999999809</v>
      </c>
      <c r="K864">
        <f t="shared" si="445"/>
        <v>51</v>
      </c>
      <c r="L864" t="e">
        <f t="shared" ca="1" si="446"/>
        <v>#VALUE!</v>
      </c>
      <c r="M864" t="e">
        <f t="shared" ca="1" si="419"/>
        <v>#VALUE!</v>
      </c>
      <c r="N864" t="e">
        <f t="shared" ca="1" si="420"/>
        <v>#VALUE!</v>
      </c>
      <c r="O864" t="e">
        <f t="shared" ca="1" si="421"/>
        <v>#VALUE!</v>
      </c>
      <c r="P864" t="e">
        <f t="shared" ca="1" si="422"/>
        <v>#VALUE!</v>
      </c>
      <c r="Q864" t="e">
        <f t="shared" ca="1" si="423"/>
        <v>#VALUE!</v>
      </c>
      <c r="R864" t="e">
        <f t="shared" ca="1" si="424"/>
        <v>#VALUE!</v>
      </c>
      <c r="S864" t="e">
        <f t="shared" ca="1" si="425"/>
        <v>#VALUE!</v>
      </c>
      <c r="T864" t="e">
        <f t="shared" ca="1" si="426"/>
        <v>#VALUE!</v>
      </c>
      <c r="U864" t="e">
        <f t="shared" ca="1" si="447"/>
        <v>#VALUE!</v>
      </c>
      <c r="V864" t="e">
        <f t="shared" ca="1" si="448"/>
        <v>#VALUE!</v>
      </c>
      <c r="W864" t="e">
        <f t="shared" ca="1" si="427"/>
        <v>#VALUE!</v>
      </c>
      <c r="X864" t="e">
        <f t="shared" ca="1" si="428"/>
        <v>#VALUE!</v>
      </c>
      <c r="Y864" t="e">
        <f t="shared" ca="1" si="429"/>
        <v>#VALUE!</v>
      </c>
      <c r="Z864" t="e">
        <f t="shared" ca="1" si="430"/>
        <v>#VALUE!</v>
      </c>
      <c r="AA864" t="e">
        <f t="shared" ca="1" si="431"/>
        <v>#VALUE!</v>
      </c>
      <c r="AB864" t="e">
        <f t="shared" ca="1" si="432"/>
        <v>#VALUE!</v>
      </c>
      <c r="AC864" t="e">
        <f t="shared" ca="1" si="433"/>
        <v>#VALUE!</v>
      </c>
      <c r="AD864" t="e">
        <f t="shared" ca="1" si="434"/>
        <v>#VALUE!</v>
      </c>
      <c r="AE864" t="e">
        <f t="shared" ca="1" si="435"/>
        <v>#VALUE!</v>
      </c>
      <c r="AF864" t="e">
        <f t="shared" ca="1" si="436"/>
        <v>#VALUE!</v>
      </c>
      <c r="AG864" t="e">
        <f t="shared" ca="1" si="437"/>
        <v>#VALUE!</v>
      </c>
      <c r="AH864" t="e">
        <f ca="1">IF(V32="Supercritical",L864,IF(V32="Subcritical",W864,IF(AND(V864=1,AG864=1),IF(T864&gt;=AE864,L864,W864),IF(V864=1,L864,IF(AG864=1,W864,MAX($D$16,POWER((ABS(K864)^2)/($I$5*MAX(F864,0.1)^2),1/3)))))))</f>
        <v>#VALUE!</v>
      </c>
      <c r="AI864" t="e">
        <f t="shared" ca="1" si="438"/>
        <v>#VALUE!</v>
      </c>
      <c r="AJ864" t="e">
        <f t="shared" ca="1" si="439"/>
        <v>#VALUE!</v>
      </c>
      <c r="AM864">
        <v>0</v>
      </c>
      <c r="AN864">
        <v>0</v>
      </c>
      <c r="AO864">
        <f t="shared" si="440"/>
        <v>0</v>
      </c>
      <c r="AP864">
        <f t="shared" si="449"/>
        <v>0</v>
      </c>
      <c r="AQ864" t="e">
        <f t="shared" ca="1" si="441"/>
        <v>#VALUE!</v>
      </c>
      <c r="AR864" t="e">
        <f t="shared" ca="1" si="442"/>
        <v>#VALUE!</v>
      </c>
      <c r="AS864" t="e">
        <f t="shared" ca="1" si="443"/>
        <v>#VALUE!</v>
      </c>
    </row>
    <row r="865" spans="1:45" x14ac:dyDescent="0.35">
      <c r="A865">
        <v>716</v>
      </c>
      <c r="B865">
        <v>714.89099999999996</v>
      </c>
      <c r="C865">
        <v>616102.78799999994</v>
      </c>
      <c r="D865">
        <v>3097287.2969999998</v>
      </c>
      <c r="E865">
        <v>632.20450000000005</v>
      </c>
      <c r="F865">
        <v>5.0670000000000002</v>
      </c>
      <c r="G865">
        <v>0</v>
      </c>
      <c r="H865" t="s">
        <v>191</v>
      </c>
      <c r="I865">
        <v>1.4999999999999999E-2</v>
      </c>
      <c r="J865">
        <f t="shared" si="444"/>
        <v>1</v>
      </c>
      <c r="K865">
        <f t="shared" si="445"/>
        <v>51</v>
      </c>
      <c r="L865" t="e">
        <f t="shared" ca="1" si="446"/>
        <v>#VALUE!</v>
      </c>
      <c r="M865" t="e">
        <f t="shared" ca="1" si="419"/>
        <v>#VALUE!</v>
      </c>
      <c r="N865" t="e">
        <f t="shared" ca="1" si="420"/>
        <v>#VALUE!</v>
      </c>
      <c r="O865" t="e">
        <f t="shared" ca="1" si="421"/>
        <v>#VALUE!</v>
      </c>
      <c r="P865" t="e">
        <f t="shared" ca="1" si="422"/>
        <v>#VALUE!</v>
      </c>
      <c r="Q865" t="e">
        <f t="shared" ca="1" si="423"/>
        <v>#VALUE!</v>
      </c>
      <c r="R865" t="e">
        <f t="shared" ca="1" si="424"/>
        <v>#VALUE!</v>
      </c>
      <c r="S865" t="e">
        <f t="shared" ca="1" si="425"/>
        <v>#VALUE!</v>
      </c>
      <c r="T865" t="e">
        <f t="shared" ca="1" si="426"/>
        <v>#VALUE!</v>
      </c>
      <c r="U865" t="e">
        <f t="shared" ca="1" si="447"/>
        <v>#VALUE!</v>
      </c>
      <c r="V865" t="e">
        <f t="shared" ca="1" si="448"/>
        <v>#VALUE!</v>
      </c>
      <c r="W865" t="e">
        <f t="shared" ca="1" si="427"/>
        <v>#VALUE!</v>
      </c>
      <c r="X865" t="e">
        <f t="shared" ca="1" si="428"/>
        <v>#VALUE!</v>
      </c>
      <c r="Y865" t="e">
        <f t="shared" ca="1" si="429"/>
        <v>#VALUE!</v>
      </c>
      <c r="Z865" t="e">
        <f t="shared" ca="1" si="430"/>
        <v>#VALUE!</v>
      </c>
      <c r="AA865" t="e">
        <f t="shared" ca="1" si="431"/>
        <v>#VALUE!</v>
      </c>
      <c r="AB865" t="e">
        <f t="shared" ca="1" si="432"/>
        <v>#VALUE!</v>
      </c>
      <c r="AC865" t="e">
        <f t="shared" ca="1" si="433"/>
        <v>#VALUE!</v>
      </c>
      <c r="AD865" t="e">
        <f t="shared" ca="1" si="434"/>
        <v>#VALUE!</v>
      </c>
      <c r="AE865" t="e">
        <f t="shared" ca="1" si="435"/>
        <v>#VALUE!</v>
      </c>
      <c r="AF865" t="e">
        <f t="shared" ca="1" si="436"/>
        <v>#VALUE!</v>
      </c>
      <c r="AG865" t="e">
        <f t="shared" ca="1" si="437"/>
        <v>#VALUE!</v>
      </c>
      <c r="AH865" t="e">
        <f ca="1">IF(V32="Supercritical",L865,IF(V32="Subcritical",W865,IF(AND(V865=1,AG865=1),IF(T865&gt;=AE865,L865,W865),IF(V865=1,L865,IF(AG865=1,W865,MAX($D$16,POWER((ABS(K865)^2)/($I$5*MAX(F865,0.1)^2),1/3)))))))</f>
        <v>#VALUE!</v>
      </c>
      <c r="AI865" t="e">
        <f t="shared" ca="1" si="438"/>
        <v>#VALUE!</v>
      </c>
      <c r="AJ865" t="e">
        <f t="shared" ca="1" si="439"/>
        <v>#VALUE!</v>
      </c>
      <c r="AM865">
        <v>0</v>
      </c>
      <c r="AN865">
        <v>0</v>
      </c>
      <c r="AO865">
        <f t="shared" si="440"/>
        <v>0</v>
      </c>
      <c r="AP865">
        <f t="shared" si="449"/>
        <v>0</v>
      </c>
      <c r="AQ865" t="e">
        <f t="shared" ca="1" si="441"/>
        <v>#VALUE!</v>
      </c>
      <c r="AR865" t="e">
        <f t="shared" ca="1" si="442"/>
        <v>#VALUE!</v>
      </c>
      <c r="AS865" t="e">
        <f t="shared" ca="1" si="443"/>
        <v>#VALUE!</v>
      </c>
    </row>
    <row r="866" spans="1:45" x14ac:dyDescent="0.35">
      <c r="A866">
        <v>717</v>
      </c>
      <c r="B866">
        <v>715.89099999999996</v>
      </c>
      <c r="C866">
        <v>616102.52300000004</v>
      </c>
      <c r="D866">
        <v>3097286.3330000001</v>
      </c>
      <c r="E866">
        <v>632.20399999999995</v>
      </c>
      <c r="F866">
        <v>5.0670000000000002</v>
      </c>
      <c r="G866">
        <v>0</v>
      </c>
      <c r="H866" t="s">
        <v>191</v>
      </c>
      <c r="I866">
        <v>5.5E-2</v>
      </c>
      <c r="J866">
        <f t="shared" si="444"/>
        <v>1</v>
      </c>
      <c r="K866">
        <f t="shared" si="445"/>
        <v>51</v>
      </c>
      <c r="L866" t="e">
        <f t="shared" ca="1" si="446"/>
        <v>#VALUE!</v>
      </c>
      <c r="M866" t="e">
        <f t="shared" ca="1" si="419"/>
        <v>#VALUE!</v>
      </c>
      <c r="N866" t="e">
        <f t="shared" ca="1" si="420"/>
        <v>#VALUE!</v>
      </c>
      <c r="O866" t="e">
        <f t="shared" ca="1" si="421"/>
        <v>#VALUE!</v>
      </c>
      <c r="P866" t="e">
        <f t="shared" ca="1" si="422"/>
        <v>#VALUE!</v>
      </c>
      <c r="Q866" t="e">
        <f t="shared" ca="1" si="423"/>
        <v>#VALUE!</v>
      </c>
      <c r="R866" t="e">
        <f t="shared" ca="1" si="424"/>
        <v>#VALUE!</v>
      </c>
      <c r="S866" t="e">
        <f t="shared" ca="1" si="425"/>
        <v>#VALUE!</v>
      </c>
      <c r="T866" t="e">
        <f t="shared" ca="1" si="426"/>
        <v>#VALUE!</v>
      </c>
      <c r="U866" t="e">
        <f t="shared" ca="1" si="447"/>
        <v>#VALUE!</v>
      </c>
      <c r="V866" t="e">
        <f t="shared" ca="1" si="448"/>
        <v>#VALUE!</v>
      </c>
      <c r="W866" t="e">
        <f t="shared" ca="1" si="427"/>
        <v>#VALUE!</v>
      </c>
      <c r="X866" t="e">
        <f t="shared" ca="1" si="428"/>
        <v>#VALUE!</v>
      </c>
      <c r="Y866" t="e">
        <f t="shared" ca="1" si="429"/>
        <v>#VALUE!</v>
      </c>
      <c r="Z866" t="e">
        <f t="shared" ca="1" si="430"/>
        <v>#VALUE!</v>
      </c>
      <c r="AA866" t="e">
        <f t="shared" ca="1" si="431"/>
        <v>#VALUE!</v>
      </c>
      <c r="AB866" t="e">
        <f t="shared" ca="1" si="432"/>
        <v>#VALUE!</v>
      </c>
      <c r="AC866" t="e">
        <f t="shared" ca="1" si="433"/>
        <v>#VALUE!</v>
      </c>
      <c r="AD866" t="e">
        <f t="shared" ca="1" si="434"/>
        <v>#VALUE!</v>
      </c>
      <c r="AE866" t="e">
        <f t="shared" ca="1" si="435"/>
        <v>#VALUE!</v>
      </c>
      <c r="AF866" t="e">
        <f t="shared" ca="1" si="436"/>
        <v>#VALUE!</v>
      </c>
      <c r="AG866" t="e">
        <f t="shared" ca="1" si="437"/>
        <v>#VALUE!</v>
      </c>
      <c r="AH866" t="e">
        <f ca="1">IF(V32="Supercritical",L866,IF(V32="Subcritical",W866,IF(AND(V866=1,AG866=1),IF(T866&gt;=AE866,L866,W866),IF(V866=1,L866,IF(AG866=1,W866,MAX($D$16,POWER((ABS(K866)^2)/($I$5*MAX(F866,0.1)^2),1/3)))))))</f>
        <v>#VALUE!</v>
      </c>
      <c r="AI866" t="e">
        <f t="shared" ca="1" si="438"/>
        <v>#VALUE!</v>
      </c>
      <c r="AJ866" t="e">
        <f t="shared" ca="1" si="439"/>
        <v>#VALUE!</v>
      </c>
      <c r="AM866">
        <v>0</v>
      </c>
      <c r="AN866">
        <v>0</v>
      </c>
      <c r="AO866">
        <f t="shared" si="440"/>
        <v>0</v>
      </c>
      <c r="AP866">
        <f t="shared" si="449"/>
        <v>0</v>
      </c>
      <c r="AQ866" t="e">
        <f t="shared" ca="1" si="441"/>
        <v>#VALUE!</v>
      </c>
      <c r="AR866" t="e">
        <f t="shared" ca="1" si="442"/>
        <v>#VALUE!</v>
      </c>
      <c r="AS866" t="e">
        <f t="shared" ca="1" si="443"/>
        <v>#VALUE!</v>
      </c>
    </row>
    <row r="867" spans="1:45" x14ac:dyDescent="0.35">
      <c r="A867">
        <v>718</v>
      </c>
      <c r="B867">
        <v>716.89099999999996</v>
      </c>
      <c r="C867">
        <v>616102.25899999996</v>
      </c>
      <c r="D867">
        <v>3097285.3689999999</v>
      </c>
      <c r="E867">
        <v>632.20349999999996</v>
      </c>
      <c r="F867">
        <v>5.0670000000000002</v>
      </c>
      <c r="G867">
        <v>0</v>
      </c>
      <c r="H867" t="s">
        <v>191</v>
      </c>
      <c r="I867">
        <v>0.04</v>
      </c>
      <c r="J867">
        <f t="shared" si="444"/>
        <v>1</v>
      </c>
      <c r="K867">
        <f t="shared" si="445"/>
        <v>51</v>
      </c>
      <c r="L867" t="e">
        <f t="shared" ca="1" si="446"/>
        <v>#VALUE!</v>
      </c>
      <c r="M867" t="e">
        <f t="shared" ca="1" si="419"/>
        <v>#VALUE!</v>
      </c>
      <c r="N867" t="e">
        <f t="shared" ca="1" si="420"/>
        <v>#VALUE!</v>
      </c>
      <c r="O867" t="e">
        <f t="shared" ca="1" si="421"/>
        <v>#VALUE!</v>
      </c>
      <c r="P867" t="e">
        <f t="shared" ca="1" si="422"/>
        <v>#VALUE!</v>
      </c>
      <c r="Q867" t="e">
        <f t="shared" ca="1" si="423"/>
        <v>#VALUE!</v>
      </c>
      <c r="R867" t="e">
        <f t="shared" ca="1" si="424"/>
        <v>#VALUE!</v>
      </c>
      <c r="S867" t="e">
        <f t="shared" ca="1" si="425"/>
        <v>#VALUE!</v>
      </c>
      <c r="T867" t="e">
        <f t="shared" ca="1" si="426"/>
        <v>#VALUE!</v>
      </c>
      <c r="U867" t="e">
        <f t="shared" ca="1" si="447"/>
        <v>#VALUE!</v>
      </c>
      <c r="V867" t="e">
        <f t="shared" ca="1" si="448"/>
        <v>#VALUE!</v>
      </c>
      <c r="W867" t="e">
        <f t="shared" ca="1" si="427"/>
        <v>#VALUE!</v>
      </c>
      <c r="X867" t="e">
        <f t="shared" ca="1" si="428"/>
        <v>#VALUE!</v>
      </c>
      <c r="Y867" t="e">
        <f t="shared" ca="1" si="429"/>
        <v>#VALUE!</v>
      </c>
      <c r="Z867" t="e">
        <f t="shared" ca="1" si="430"/>
        <v>#VALUE!</v>
      </c>
      <c r="AA867" t="e">
        <f t="shared" ca="1" si="431"/>
        <v>#VALUE!</v>
      </c>
      <c r="AB867" t="e">
        <f t="shared" ca="1" si="432"/>
        <v>#VALUE!</v>
      </c>
      <c r="AC867" t="e">
        <f t="shared" ca="1" si="433"/>
        <v>#VALUE!</v>
      </c>
      <c r="AD867" t="e">
        <f t="shared" ca="1" si="434"/>
        <v>#VALUE!</v>
      </c>
      <c r="AE867" t="e">
        <f t="shared" ca="1" si="435"/>
        <v>#VALUE!</v>
      </c>
      <c r="AF867" t="e">
        <f t="shared" ca="1" si="436"/>
        <v>#VALUE!</v>
      </c>
      <c r="AG867" t="e">
        <f t="shared" ca="1" si="437"/>
        <v>#VALUE!</v>
      </c>
      <c r="AH867" t="e">
        <f ca="1">IF(V32="Supercritical",L867,IF(V32="Subcritical",W867,IF(AND(V867=1,AG867=1),IF(T867&gt;=AE867,L867,W867),IF(V867=1,L867,IF(AG867=1,W867,MAX($D$16,POWER((ABS(K867)^2)/($I$5*MAX(F867,0.1)^2),1/3)))))))</f>
        <v>#VALUE!</v>
      </c>
      <c r="AI867" t="e">
        <f t="shared" ca="1" si="438"/>
        <v>#VALUE!</v>
      </c>
      <c r="AJ867" t="e">
        <f t="shared" ca="1" si="439"/>
        <v>#VALUE!</v>
      </c>
      <c r="AM867">
        <v>0</v>
      </c>
      <c r="AN867">
        <v>0</v>
      </c>
      <c r="AO867">
        <f t="shared" si="440"/>
        <v>0</v>
      </c>
      <c r="AP867">
        <f t="shared" si="449"/>
        <v>0</v>
      </c>
      <c r="AQ867" t="e">
        <f t="shared" ca="1" si="441"/>
        <v>#VALUE!</v>
      </c>
      <c r="AR867" t="e">
        <f t="shared" ca="1" si="442"/>
        <v>#VALUE!</v>
      </c>
      <c r="AS867" t="e">
        <f t="shared" ca="1" si="443"/>
        <v>#VALUE!</v>
      </c>
    </row>
    <row r="868" spans="1:45" x14ac:dyDescent="0.35">
      <c r="A868">
        <v>719</v>
      </c>
      <c r="B868">
        <v>717.89099999999996</v>
      </c>
      <c r="C868">
        <v>616101.99399999995</v>
      </c>
      <c r="D868">
        <v>3097284.4040000001</v>
      </c>
      <c r="E868">
        <v>632.20299999999997</v>
      </c>
      <c r="F868">
        <v>5.0670000000000002</v>
      </c>
      <c r="G868">
        <v>0</v>
      </c>
      <c r="H868" t="s">
        <v>191</v>
      </c>
      <c r="I868">
        <v>0.04</v>
      </c>
      <c r="J868">
        <f t="shared" si="444"/>
        <v>1</v>
      </c>
      <c r="K868">
        <f t="shared" si="445"/>
        <v>51</v>
      </c>
      <c r="L868" t="e">
        <f t="shared" ca="1" si="446"/>
        <v>#VALUE!</v>
      </c>
      <c r="M868" t="e">
        <f t="shared" ca="1" si="419"/>
        <v>#VALUE!</v>
      </c>
      <c r="N868" t="e">
        <f t="shared" ca="1" si="420"/>
        <v>#VALUE!</v>
      </c>
      <c r="O868" t="e">
        <f t="shared" ca="1" si="421"/>
        <v>#VALUE!</v>
      </c>
      <c r="P868" t="e">
        <f t="shared" ca="1" si="422"/>
        <v>#VALUE!</v>
      </c>
      <c r="Q868" t="e">
        <f t="shared" ca="1" si="423"/>
        <v>#VALUE!</v>
      </c>
      <c r="R868" t="e">
        <f t="shared" ca="1" si="424"/>
        <v>#VALUE!</v>
      </c>
      <c r="S868" t="e">
        <f t="shared" ca="1" si="425"/>
        <v>#VALUE!</v>
      </c>
      <c r="T868" t="e">
        <f t="shared" ca="1" si="426"/>
        <v>#VALUE!</v>
      </c>
      <c r="U868" t="e">
        <f t="shared" ca="1" si="447"/>
        <v>#VALUE!</v>
      </c>
      <c r="V868" t="e">
        <f t="shared" ca="1" si="448"/>
        <v>#VALUE!</v>
      </c>
      <c r="W868" t="e">
        <f t="shared" ca="1" si="427"/>
        <v>#VALUE!</v>
      </c>
      <c r="X868" t="e">
        <f t="shared" ca="1" si="428"/>
        <v>#VALUE!</v>
      </c>
      <c r="Y868" t="e">
        <f t="shared" ca="1" si="429"/>
        <v>#VALUE!</v>
      </c>
      <c r="Z868" t="e">
        <f t="shared" ca="1" si="430"/>
        <v>#VALUE!</v>
      </c>
      <c r="AA868" t="e">
        <f t="shared" ca="1" si="431"/>
        <v>#VALUE!</v>
      </c>
      <c r="AB868" t="e">
        <f t="shared" ca="1" si="432"/>
        <v>#VALUE!</v>
      </c>
      <c r="AC868" t="e">
        <f t="shared" ca="1" si="433"/>
        <v>#VALUE!</v>
      </c>
      <c r="AD868" t="e">
        <f t="shared" ca="1" si="434"/>
        <v>#VALUE!</v>
      </c>
      <c r="AE868" t="e">
        <f t="shared" ca="1" si="435"/>
        <v>#VALUE!</v>
      </c>
      <c r="AF868" t="e">
        <f t="shared" ca="1" si="436"/>
        <v>#VALUE!</v>
      </c>
      <c r="AG868" t="e">
        <f t="shared" ca="1" si="437"/>
        <v>#VALUE!</v>
      </c>
      <c r="AH868" t="e">
        <f ca="1">IF(V32="Supercritical",L868,IF(V32="Subcritical",W868,IF(AND(V868=1,AG868=1),IF(T868&gt;=AE868,L868,W868),IF(V868=1,L868,IF(AG868=1,W868,MAX($D$16,POWER((ABS(K868)^2)/($I$5*MAX(F868,0.1)^2),1/3)))))))</f>
        <v>#VALUE!</v>
      </c>
      <c r="AI868" t="e">
        <f t="shared" ca="1" si="438"/>
        <v>#VALUE!</v>
      </c>
      <c r="AJ868" t="e">
        <f t="shared" ca="1" si="439"/>
        <v>#VALUE!</v>
      </c>
      <c r="AM868">
        <v>0</v>
      </c>
      <c r="AN868">
        <v>0</v>
      </c>
      <c r="AO868">
        <f t="shared" si="440"/>
        <v>0</v>
      </c>
      <c r="AP868">
        <f t="shared" si="449"/>
        <v>0</v>
      </c>
      <c r="AQ868" t="e">
        <f t="shared" ca="1" si="441"/>
        <v>#VALUE!</v>
      </c>
      <c r="AR868" t="e">
        <f t="shared" ca="1" si="442"/>
        <v>#VALUE!</v>
      </c>
      <c r="AS868" t="e">
        <f t="shared" ca="1" si="443"/>
        <v>#VALUE!</v>
      </c>
    </row>
    <row r="869" spans="1:45" x14ac:dyDescent="0.35">
      <c r="A869">
        <v>720</v>
      </c>
      <c r="B869">
        <v>718.89099999999996</v>
      </c>
      <c r="C869">
        <v>616101.73</v>
      </c>
      <c r="D869">
        <v>3097283.44</v>
      </c>
      <c r="E869">
        <v>632.20249999999999</v>
      </c>
      <c r="F869">
        <v>5.0670000000000002</v>
      </c>
      <c r="G869">
        <v>0</v>
      </c>
      <c r="H869" t="s">
        <v>191</v>
      </c>
      <c r="I869">
        <v>0.04</v>
      </c>
      <c r="J869">
        <f t="shared" si="444"/>
        <v>1</v>
      </c>
      <c r="K869">
        <f t="shared" si="445"/>
        <v>51</v>
      </c>
      <c r="L869" t="e">
        <f t="shared" ca="1" si="446"/>
        <v>#VALUE!</v>
      </c>
      <c r="M869" t="e">
        <f t="shared" ca="1" si="419"/>
        <v>#VALUE!</v>
      </c>
      <c r="N869" t="e">
        <f t="shared" ca="1" si="420"/>
        <v>#VALUE!</v>
      </c>
      <c r="O869" t="e">
        <f t="shared" ca="1" si="421"/>
        <v>#VALUE!</v>
      </c>
      <c r="P869" t="e">
        <f t="shared" ca="1" si="422"/>
        <v>#VALUE!</v>
      </c>
      <c r="Q869" t="e">
        <f t="shared" ca="1" si="423"/>
        <v>#VALUE!</v>
      </c>
      <c r="R869" t="e">
        <f t="shared" ca="1" si="424"/>
        <v>#VALUE!</v>
      </c>
      <c r="S869" t="e">
        <f t="shared" ca="1" si="425"/>
        <v>#VALUE!</v>
      </c>
      <c r="T869" t="e">
        <f t="shared" ca="1" si="426"/>
        <v>#VALUE!</v>
      </c>
      <c r="U869" t="e">
        <f t="shared" ca="1" si="447"/>
        <v>#VALUE!</v>
      </c>
      <c r="V869" t="e">
        <f t="shared" ca="1" si="448"/>
        <v>#VALUE!</v>
      </c>
      <c r="W869" t="e">
        <f t="shared" ca="1" si="427"/>
        <v>#VALUE!</v>
      </c>
      <c r="X869" t="e">
        <f t="shared" ca="1" si="428"/>
        <v>#VALUE!</v>
      </c>
      <c r="Y869" t="e">
        <f t="shared" ca="1" si="429"/>
        <v>#VALUE!</v>
      </c>
      <c r="Z869" t="e">
        <f t="shared" ca="1" si="430"/>
        <v>#VALUE!</v>
      </c>
      <c r="AA869" t="e">
        <f t="shared" ca="1" si="431"/>
        <v>#VALUE!</v>
      </c>
      <c r="AB869" t="e">
        <f t="shared" ca="1" si="432"/>
        <v>#VALUE!</v>
      </c>
      <c r="AC869" t="e">
        <f t="shared" ca="1" si="433"/>
        <v>#VALUE!</v>
      </c>
      <c r="AD869" t="e">
        <f t="shared" ca="1" si="434"/>
        <v>#VALUE!</v>
      </c>
      <c r="AE869" t="e">
        <f t="shared" ca="1" si="435"/>
        <v>#VALUE!</v>
      </c>
      <c r="AF869" t="e">
        <f t="shared" ca="1" si="436"/>
        <v>#VALUE!</v>
      </c>
      <c r="AG869" t="e">
        <f t="shared" ca="1" si="437"/>
        <v>#VALUE!</v>
      </c>
      <c r="AH869" t="e">
        <f ca="1">IF(V32="Supercritical",L869,IF(V32="Subcritical",W869,IF(AND(V869=1,AG869=1),IF(T869&gt;=AE869,L869,W869),IF(V869=1,L869,IF(AG869=1,W869,MAX($D$16,POWER((ABS(K869)^2)/($I$5*MAX(F869,0.1)^2),1/3)))))))</f>
        <v>#VALUE!</v>
      </c>
      <c r="AI869" t="e">
        <f t="shared" ca="1" si="438"/>
        <v>#VALUE!</v>
      </c>
      <c r="AJ869" t="e">
        <f t="shared" ca="1" si="439"/>
        <v>#VALUE!</v>
      </c>
      <c r="AM869">
        <v>0</v>
      </c>
      <c r="AN869">
        <v>0</v>
      </c>
      <c r="AO869">
        <f t="shared" si="440"/>
        <v>0</v>
      </c>
      <c r="AP869">
        <f t="shared" si="449"/>
        <v>0</v>
      </c>
      <c r="AQ869" t="e">
        <f t="shared" ca="1" si="441"/>
        <v>#VALUE!</v>
      </c>
      <c r="AR869" t="e">
        <f t="shared" ca="1" si="442"/>
        <v>#VALUE!</v>
      </c>
      <c r="AS869" t="e">
        <f t="shared" ca="1" si="443"/>
        <v>#VALUE!</v>
      </c>
    </row>
    <row r="870" spans="1:45" x14ac:dyDescent="0.35">
      <c r="A870">
        <v>721</v>
      </c>
      <c r="B870">
        <v>719.89200000000005</v>
      </c>
      <c r="C870">
        <v>616101.46499999997</v>
      </c>
      <c r="D870">
        <v>3097282.4750000001</v>
      </c>
      <c r="E870">
        <v>632.202</v>
      </c>
      <c r="F870">
        <v>5.0670000000000002</v>
      </c>
      <c r="G870">
        <v>0</v>
      </c>
      <c r="H870" t="s">
        <v>191</v>
      </c>
      <c r="I870">
        <v>1.4999999999999999E-2</v>
      </c>
      <c r="J870">
        <f t="shared" si="444"/>
        <v>1.00100000000009</v>
      </c>
      <c r="K870">
        <f t="shared" si="445"/>
        <v>51</v>
      </c>
      <c r="L870" t="e">
        <f t="shared" ca="1" si="446"/>
        <v>#VALUE!</v>
      </c>
      <c r="M870" t="e">
        <f t="shared" ca="1" si="419"/>
        <v>#VALUE!</v>
      </c>
      <c r="N870" t="e">
        <f t="shared" ca="1" si="420"/>
        <v>#VALUE!</v>
      </c>
      <c r="O870" t="e">
        <f t="shared" ca="1" si="421"/>
        <v>#VALUE!</v>
      </c>
      <c r="P870" t="e">
        <f t="shared" ca="1" si="422"/>
        <v>#VALUE!</v>
      </c>
      <c r="Q870" t="e">
        <f t="shared" ca="1" si="423"/>
        <v>#VALUE!</v>
      </c>
      <c r="R870" t="e">
        <f t="shared" ca="1" si="424"/>
        <v>#VALUE!</v>
      </c>
      <c r="S870" t="e">
        <f t="shared" ca="1" si="425"/>
        <v>#VALUE!</v>
      </c>
      <c r="T870" t="e">
        <f t="shared" ca="1" si="426"/>
        <v>#VALUE!</v>
      </c>
      <c r="U870" t="e">
        <f t="shared" ca="1" si="447"/>
        <v>#VALUE!</v>
      </c>
      <c r="V870" t="e">
        <f t="shared" ca="1" si="448"/>
        <v>#VALUE!</v>
      </c>
      <c r="W870" t="e">
        <f t="shared" ca="1" si="427"/>
        <v>#VALUE!</v>
      </c>
      <c r="X870" t="e">
        <f t="shared" ca="1" si="428"/>
        <v>#VALUE!</v>
      </c>
      <c r="Y870" t="e">
        <f t="shared" ca="1" si="429"/>
        <v>#VALUE!</v>
      </c>
      <c r="Z870" t="e">
        <f t="shared" ca="1" si="430"/>
        <v>#VALUE!</v>
      </c>
      <c r="AA870" t="e">
        <f t="shared" ca="1" si="431"/>
        <v>#VALUE!</v>
      </c>
      <c r="AB870" t="e">
        <f t="shared" ca="1" si="432"/>
        <v>#VALUE!</v>
      </c>
      <c r="AC870" t="e">
        <f t="shared" ca="1" si="433"/>
        <v>#VALUE!</v>
      </c>
      <c r="AD870" t="e">
        <f t="shared" ca="1" si="434"/>
        <v>#VALUE!</v>
      </c>
      <c r="AE870" t="e">
        <f t="shared" ca="1" si="435"/>
        <v>#VALUE!</v>
      </c>
      <c r="AF870" t="e">
        <f t="shared" ca="1" si="436"/>
        <v>#VALUE!</v>
      </c>
      <c r="AG870" t="e">
        <f t="shared" ca="1" si="437"/>
        <v>#VALUE!</v>
      </c>
      <c r="AH870" t="e">
        <f ca="1">IF(V32="Supercritical",L870,IF(V32="Subcritical",W870,IF(AND(V870=1,AG870=1),IF(T870&gt;=AE870,L870,W870),IF(V870=1,L870,IF(AG870=1,W870,MAX($D$16,POWER((ABS(K870)^2)/($I$5*MAX(F870,0.1)^2),1/3)))))))</f>
        <v>#VALUE!</v>
      </c>
      <c r="AI870" t="e">
        <f t="shared" ca="1" si="438"/>
        <v>#VALUE!</v>
      </c>
      <c r="AJ870" t="e">
        <f t="shared" ca="1" si="439"/>
        <v>#VALUE!</v>
      </c>
      <c r="AM870">
        <v>0</v>
      </c>
      <c r="AN870">
        <v>0</v>
      </c>
      <c r="AO870">
        <f t="shared" si="440"/>
        <v>0</v>
      </c>
      <c r="AP870">
        <f t="shared" si="449"/>
        <v>0</v>
      </c>
      <c r="AQ870" t="e">
        <f t="shared" ca="1" si="441"/>
        <v>#VALUE!</v>
      </c>
      <c r="AR870" t="e">
        <f t="shared" ca="1" si="442"/>
        <v>#VALUE!</v>
      </c>
      <c r="AS870" t="e">
        <f t="shared" ca="1" si="443"/>
        <v>#VALUE!</v>
      </c>
    </row>
    <row r="871" spans="1:45" x14ac:dyDescent="0.35">
      <c r="A871">
        <v>722</v>
      </c>
      <c r="B871">
        <v>720.89099999999996</v>
      </c>
      <c r="C871">
        <v>616101.19999999995</v>
      </c>
      <c r="D871">
        <v>3097281.5109999999</v>
      </c>
      <c r="E871">
        <v>632.20150000000001</v>
      </c>
      <c r="F871">
        <v>5.0670000000000002</v>
      </c>
      <c r="G871">
        <v>0</v>
      </c>
      <c r="H871" t="s">
        <v>191</v>
      </c>
      <c r="I871">
        <v>5.5E-2</v>
      </c>
      <c r="J871">
        <f t="shared" si="444"/>
        <v>0.99899999999990996</v>
      </c>
      <c r="K871">
        <f t="shared" si="445"/>
        <v>51</v>
      </c>
      <c r="L871" t="e">
        <f t="shared" ca="1" si="446"/>
        <v>#VALUE!</v>
      </c>
      <c r="M871" t="e">
        <f t="shared" ca="1" si="419"/>
        <v>#VALUE!</v>
      </c>
      <c r="N871" t="e">
        <f t="shared" ca="1" si="420"/>
        <v>#VALUE!</v>
      </c>
      <c r="O871" t="e">
        <f t="shared" ca="1" si="421"/>
        <v>#VALUE!</v>
      </c>
      <c r="P871" t="e">
        <f t="shared" ca="1" si="422"/>
        <v>#VALUE!</v>
      </c>
      <c r="Q871" t="e">
        <f t="shared" ca="1" si="423"/>
        <v>#VALUE!</v>
      </c>
      <c r="R871" t="e">
        <f t="shared" ca="1" si="424"/>
        <v>#VALUE!</v>
      </c>
      <c r="S871" t="e">
        <f t="shared" ca="1" si="425"/>
        <v>#VALUE!</v>
      </c>
      <c r="T871" t="e">
        <f t="shared" ca="1" si="426"/>
        <v>#VALUE!</v>
      </c>
      <c r="U871" t="e">
        <f t="shared" ca="1" si="447"/>
        <v>#VALUE!</v>
      </c>
      <c r="V871" t="e">
        <f t="shared" ca="1" si="448"/>
        <v>#VALUE!</v>
      </c>
      <c r="W871" t="e">
        <f t="shared" ca="1" si="427"/>
        <v>#VALUE!</v>
      </c>
      <c r="X871" t="e">
        <f t="shared" ca="1" si="428"/>
        <v>#VALUE!</v>
      </c>
      <c r="Y871" t="e">
        <f t="shared" ca="1" si="429"/>
        <v>#VALUE!</v>
      </c>
      <c r="Z871" t="e">
        <f t="shared" ca="1" si="430"/>
        <v>#VALUE!</v>
      </c>
      <c r="AA871" t="e">
        <f t="shared" ca="1" si="431"/>
        <v>#VALUE!</v>
      </c>
      <c r="AB871" t="e">
        <f t="shared" ca="1" si="432"/>
        <v>#VALUE!</v>
      </c>
      <c r="AC871" t="e">
        <f t="shared" ca="1" si="433"/>
        <v>#VALUE!</v>
      </c>
      <c r="AD871" t="e">
        <f t="shared" ca="1" si="434"/>
        <v>#VALUE!</v>
      </c>
      <c r="AE871" t="e">
        <f t="shared" ca="1" si="435"/>
        <v>#VALUE!</v>
      </c>
      <c r="AF871" t="e">
        <f t="shared" ca="1" si="436"/>
        <v>#VALUE!</v>
      </c>
      <c r="AG871" t="e">
        <f t="shared" ca="1" si="437"/>
        <v>#VALUE!</v>
      </c>
      <c r="AH871" t="e">
        <f ca="1">IF(V32="Supercritical",L871,IF(V32="Subcritical",W871,IF(AND(V871=1,AG871=1),IF(T871&gt;=AE871,L871,W871),IF(V871=1,L871,IF(AG871=1,W871,MAX($D$16,POWER((ABS(K871)^2)/($I$5*MAX(F871,0.1)^2),1/3)))))))</f>
        <v>#VALUE!</v>
      </c>
      <c r="AI871" t="e">
        <f t="shared" ca="1" si="438"/>
        <v>#VALUE!</v>
      </c>
      <c r="AJ871" t="e">
        <f t="shared" ca="1" si="439"/>
        <v>#VALUE!</v>
      </c>
      <c r="AM871">
        <v>0</v>
      </c>
      <c r="AN871">
        <v>0</v>
      </c>
      <c r="AO871">
        <f t="shared" si="440"/>
        <v>0</v>
      </c>
      <c r="AP871">
        <f t="shared" si="449"/>
        <v>0</v>
      </c>
      <c r="AQ871" t="e">
        <f t="shared" ca="1" si="441"/>
        <v>#VALUE!</v>
      </c>
      <c r="AR871" t="e">
        <f t="shared" ca="1" si="442"/>
        <v>#VALUE!</v>
      </c>
      <c r="AS871" t="e">
        <f t="shared" ca="1" si="443"/>
        <v>#VALUE!</v>
      </c>
    </row>
    <row r="872" spans="1:45" x14ac:dyDescent="0.35">
      <c r="A872">
        <v>723</v>
      </c>
      <c r="B872">
        <v>721.89099999999996</v>
      </c>
      <c r="C872">
        <v>616100.93599999999</v>
      </c>
      <c r="D872">
        <v>3097280.5469999998</v>
      </c>
      <c r="E872">
        <v>632.20100000000002</v>
      </c>
      <c r="F872">
        <v>5.0670000000000002</v>
      </c>
      <c r="G872">
        <v>0</v>
      </c>
      <c r="H872" t="s">
        <v>191</v>
      </c>
      <c r="I872">
        <v>0.04</v>
      </c>
      <c r="J872">
        <f t="shared" si="444"/>
        <v>1</v>
      </c>
      <c r="K872">
        <f t="shared" si="445"/>
        <v>51</v>
      </c>
      <c r="L872" t="e">
        <f t="shared" ca="1" si="446"/>
        <v>#VALUE!</v>
      </c>
      <c r="M872" t="e">
        <f t="shared" ca="1" si="419"/>
        <v>#VALUE!</v>
      </c>
      <c r="N872" t="e">
        <f t="shared" ca="1" si="420"/>
        <v>#VALUE!</v>
      </c>
      <c r="O872" t="e">
        <f t="shared" ca="1" si="421"/>
        <v>#VALUE!</v>
      </c>
      <c r="P872" t="e">
        <f t="shared" ca="1" si="422"/>
        <v>#VALUE!</v>
      </c>
      <c r="Q872" t="e">
        <f t="shared" ca="1" si="423"/>
        <v>#VALUE!</v>
      </c>
      <c r="R872" t="e">
        <f t="shared" ca="1" si="424"/>
        <v>#VALUE!</v>
      </c>
      <c r="S872" t="e">
        <f t="shared" ca="1" si="425"/>
        <v>#VALUE!</v>
      </c>
      <c r="T872" t="e">
        <f t="shared" ca="1" si="426"/>
        <v>#VALUE!</v>
      </c>
      <c r="U872" t="e">
        <f t="shared" ca="1" si="447"/>
        <v>#VALUE!</v>
      </c>
      <c r="V872" t="e">
        <f t="shared" ca="1" si="448"/>
        <v>#VALUE!</v>
      </c>
      <c r="W872" t="e">
        <f t="shared" ca="1" si="427"/>
        <v>#VALUE!</v>
      </c>
      <c r="X872" t="e">
        <f t="shared" ca="1" si="428"/>
        <v>#VALUE!</v>
      </c>
      <c r="Y872" t="e">
        <f t="shared" ca="1" si="429"/>
        <v>#VALUE!</v>
      </c>
      <c r="Z872" t="e">
        <f t="shared" ca="1" si="430"/>
        <v>#VALUE!</v>
      </c>
      <c r="AA872" t="e">
        <f t="shared" ca="1" si="431"/>
        <v>#VALUE!</v>
      </c>
      <c r="AB872" t="e">
        <f t="shared" ca="1" si="432"/>
        <v>#VALUE!</v>
      </c>
      <c r="AC872" t="e">
        <f t="shared" ca="1" si="433"/>
        <v>#VALUE!</v>
      </c>
      <c r="AD872" t="e">
        <f t="shared" ca="1" si="434"/>
        <v>#VALUE!</v>
      </c>
      <c r="AE872" t="e">
        <f t="shared" ca="1" si="435"/>
        <v>#VALUE!</v>
      </c>
      <c r="AF872" t="e">
        <f t="shared" ca="1" si="436"/>
        <v>#VALUE!</v>
      </c>
      <c r="AG872" t="e">
        <f t="shared" ca="1" si="437"/>
        <v>#VALUE!</v>
      </c>
      <c r="AH872" t="e">
        <f ca="1">IF(V32="Supercritical",L872,IF(V32="Subcritical",W872,IF(AND(V872=1,AG872=1),IF(T872&gt;=AE872,L872,W872),IF(V872=1,L872,IF(AG872=1,W872,MAX($D$16,POWER((ABS(K872)^2)/($I$5*MAX(F872,0.1)^2),1/3)))))))</f>
        <v>#VALUE!</v>
      </c>
      <c r="AI872" t="e">
        <f t="shared" ca="1" si="438"/>
        <v>#VALUE!</v>
      </c>
      <c r="AJ872" t="e">
        <f t="shared" ca="1" si="439"/>
        <v>#VALUE!</v>
      </c>
      <c r="AM872">
        <v>0</v>
      </c>
      <c r="AN872">
        <v>0</v>
      </c>
      <c r="AO872">
        <f t="shared" si="440"/>
        <v>0</v>
      </c>
      <c r="AP872">
        <f t="shared" si="449"/>
        <v>0</v>
      </c>
      <c r="AQ872" t="e">
        <f t="shared" ca="1" si="441"/>
        <v>#VALUE!</v>
      </c>
      <c r="AR872" t="e">
        <f t="shared" ca="1" si="442"/>
        <v>#VALUE!</v>
      </c>
      <c r="AS872" t="e">
        <f t="shared" ca="1" si="443"/>
        <v>#VALUE!</v>
      </c>
    </row>
    <row r="873" spans="1:45" x14ac:dyDescent="0.35">
      <c r="A873">
        <v>724</v>
      </c>
      <c r="B873">
        <v>722.89200000000005</v>
      </c>
      <c r="C873">
        <v>616100.67099999997</v>
      </c>
      <c r="D873">
        <v>3097279.5819999999</v>
      </c>
      <c r="E873">
        <v>632.20050000000003</v>
      </c>
      <c r="F873">
        <v>5.0670000000000002</v>
      </c>
      <c r="G873">
        <v>0</v>
      </c>
      <c r="H873" t="s">
        <v>191</v>
      </c>
      <c r="I873">
        <v>0.04</v>
      </c>
      <c r="J873">
        <f t="shared" si="444"/>
        <v>1.00100000000009</v>
      </c>
      <c r="K873">
        <f t="shared" si="445"/>
        <v>51</v>
      </c>
      <c r="L873" t="e">
        <f t="shared" ca="1" si="446"/>
        <v>#VALUE!</v>
      </c>
      <c r="M873" t="e">
        <f t="shared" ca="1" si="419"/>
        <v>#VALUE!</v>
      </c>
      <c r="N873" t="e">
        <f t="shared" ca="1" si="420"/>
        <v>#VALUE!</v>
      </c>
      <c r="O873" t="e">
        <f t="shared" ca="1" si="421"/>
        <v>#VALUE!</v>
      </c>
      <c r="P873" t="e">
        <f t="shared" ca="1" si="422"/>
        <v>#VALUE!</v>
      </c>
      <c r="Q873" t="e">
        <f t="shared" ca="1" si="423"/>
        <v>#VALUE!</v>
      </c>
      <c r="R873" t="e">
        <f t="shared" ca="1" si="424"/>
        <v>#VALUE!</v>
      </c>
      <c r="S873" t="e">
        <f t="shared" ca="1" si="425"/>
        <v>#VALUE!</v>
      </c>
      <c r="T873" t="e">
        <f t="shared" ca="1" si="426"/>
        <v>#VALUE!</v>
      </c>
      <c r="U873" t="e">
        <f t="shared" ca="1" si="447"/>
        <v>#VALUE!</v>
      </c>
      <c r="V873" t="e">
        <f t="shared" ca="1" si="448"/>
        <v>#VALUE!</v>
      </c>
      <c r="W873" t="e">
        <f t="shared" ca="1" si="427"/>
        <v>#VALUE!</v>
      </c>
      <c r="X873" t="e">
        <f t="shared" ca="1" si="428"/>
        <v>#VALUE!</v>
      </c>
      <c r="Y873" t="e">
        <f t="shared" ca="1" si="429"/>
        <v>#VALUE!</v>
      </c>
      <c r="Z873" t="e">
        <f t="shared" ca="1" si="430"/>
        <v>#VALUE!</v>
      </c>
      <c r="AA873" t="e">
        <f t="shared" ca="1" si="431"/>
        <v>#VALUE!</v>
      </c>
      <c r="AB873" t="e">
        <f t="shared" ca="1" si="432"/>
        <v>#VALUE!</v>
      </c>
      <c r="AC873" t="e">
        <f t="shared" ca="1" si="433"/>
        <v>#VALUE!</v>
      </c>
      <c r="AD873" t="e">
        <f t="shared" ca="1" si="434"/>
        <v>#VALUE!</v>
      </c>
      <c r="AE873" t="e">
        <f t="shared" ca="1" si="435"/>
        <v>#VALUE!</v>
      </c>
      <c r="AF873" t="e">
        <f t="shared" ca="1" si="436"/>
        <v>#VALUE!</v>
      </c>
      <c r="AG873" t="e">
        <f t="shared" ca="1" si="437"/>
        <v>#VALUE!</v>
      </c>
      <c r="AH873" t="e">
        <f ca="1">IF(V32="Supercritical",L873,IF(V32="Subcritical",W873,IF(AND(V873=1,AG873=1),IF(T873&gt;=AE873,L873,W873),IF(V873=1,L873,IF(AG873=1,W873,MAX($D$16,POWER((ABS(K873)^2)/($I$5*MAX(F873,0.1)^2),1/3)))))))</f>
        <v>#VALUE!</v>
      </c>
      <c r="AI873" t="e">
        <f t="shared" ca="1" si="438"/>
        <v>#VALUE!</v>
      </c>
      <c r="AJ873" t="e">
        <f t="shared" ca="1" si="439"/>
        <v>#VALUE!</v>
      </c>
      <c r="AM873">
        <v>0</v>
      </c>
      <c r="AN873">
        <v>0</v>
      </c>
      <c r="AO873">
        <f t="shared" si="440"/>
        <v>0</v>
      </c>
      <c r="AP873">
        <f t="shared" si="449"/>
        <v>0</v>
      </c>
      <c r="AQ873" t="e">
        <f t="shared" ca="1" si="441"/>
        <v>#VALUE!</v>
      </c>
      <c r="AR873" t="e">
        <f t="shared" ca="1" si="442"/>
        <v>#VALUE!</v>
      </c>
      <c r="AS873" t="e">
        <f t="shared" ca="1" si="443"/>
        <v>#VALUE!</v>
      </c>
    </row>
    <row r="874" spans="1:45" x14ac:dyDescent="0.35">
      <c r="A874">
        <v>725</v>
      </c>
      <c r="B874">
        <v>723.89099999999996</v>
      </c>
      <c r="C874">
        <v>616100.40700000001</v>
      </c>
      <c r="D874">
        <v>3097278.6179999998</v>
      </c>
      <c r="E874">
        <v>632.20000000000005</v>
      </c>
      <c r="F874">
        <v>5.0670000000000002</v>
      </c>
      <c r="G874">
        <v>0</v>
      </c>
      <c r="H874" t="s">
        <v>191</v>
      </c>
      <c r="I874">
        <v>5.5E-2</v>
      </c>
      <c r="J874">
        <f t="shared" si="444"/>
        <v>0.99899999999990996</v>
      </c>
      <c r="K874">
        <f t="shared" si="445"/>
        <v>51</v>
      </c>
      <c r="L874" t="e">
        <f t="shared" ca="1" si="446"/>
        <v>#VALUE!</v>
      </c>
      <c r="M874" t="e">
        <f t="shared" ca="1" si="419"/>
        <v>#VALUE!</v>
      </c>
      <c r="N874" t="e">
        <f t="shared" ca="1" si="420"/>
        <v>#VALUE!</v>
      </c>
      <c r="O874" t="e">
        <f t="shared" ca="1" si="421"/>
        <v>#VALUE!</v>
      </c>
      <c r="P874" t="e">
        <f t="shared" ca="1" si="422"/>
        <v>#VALUE!</v>
      </c>
      <c r="Q874" t="e">
        <f t="shared" ca="1" si="423"/>
        <v>#VALUE!</v>
      </c>
      <c r="R874" t="e">
        <f t="shared" ca="1" si="424"/>
        <v>#VALUE!</v>
      </c>
      <c r="S874" t="e">
        <f t="shared" ca="1" si="425"/>
        <v>#VALUE!</v>
      </c>
      <c r="T874" t="e">
        <f t="shared" ca="1" si="426"/>
        <v>#VALUE!</v>
      </c>
      <c r="U874" t="e">
        <f t="shared" ca="1" si="447"/>
        <v>#VALUE!</v>
      </c>
      <c r="V874" t="e">
        <f t="shared" ca="1" si="448"/>
        <v>#VALUE!</v>
      </c>
      <c r="W874" t="e">
        <f t="shared" ca="1" si="427"/>
        <v>#VALUE!</v>
      </c>
      <c r="X874" t="e">
        <f t="shared" ca="1" si="428"/>
        <v>#VALUE!</v>
      </c>
      <c r="Y874" t="e">
        <f t="shared" ca="1" si="429"/>
        <v>#VALUE!</v>
      </c>
      <c r="Z874" t="e">
        <f t="shared" ca="1" si="430"/>
        <v>#VALUE!</v>
      </c>
      <c r="AA874" t="e">
        <f t="shared" ca="1" si="431"/>
        <v>#VALUE!</v>
      </c>
      <c r="AB874" t="e">
        <f t="shared" ca="1" si="432"/>
        <v>#VALUE!</v>
      </c>
      <c r="AC874" t="e">
        <f t="shared" ca="1" si="433"/>
        <v>#VALUE!</v>
      </c>
      <c r="AD874" t="e">
        <f t="shared" ca="1" si="434"/>
        <v>#VALUE!</v>
      </c>
      <c r="AE874" t="e">
        <f t="shared" ca="1" si="435"/>
        <v>#VALUE!</v>
      </c>
      <c r="AF874" t="e">
        <f t="shared" ca="1" si="436"/>
        <v>#VALUE!</v>
      </c>
      <c r="AG874" t="e">
        <f t="shared" ca="1" si="437"/>
        <v>#VALUE!</v>
      </c>
      <c r="AH874" t="e">
        <f ca="1">IF(V32="Supercritical",L874,IF(V32="Subcritical",W874,IF(AND(V874=1,AG874=1),IF(T874&gt;=AE874,L874,W874),IF(V874=1,L874,IF(AG874=1,W874,MAX($D$16,POWER((ABS(K874)^2)/($I$5*MAX(F874,0.1)^2),1/3)))))))</f>
        <v>#VALUE!</v>
      </c>
      <c r="AI874" t="e">
        <f t="shared" ca="1" si="438"/>
        <v>#VALUE!</v>
      </c>
      <c r="AJ874" t="e">
        <f t="shared" ca="1" si="439"/>
        <v>#VALUE!</v>
      </c>
      <c r="AM874">
        <v>0</v>
      </c>
      <c r="AN874">
        <v>0</v>
      </c>
      <c r="AO874">
        <f t="shared" si="440"/>
        <v>0</v>
      </c>
      <c r="AP874">
        <f t="shared" si="449"/>
        <v>0</v>
      </c>
      <c r="AQ874" t="e">
        <f t="shared" ca="1" si="441"/>
        <v>#VALUE!</v>
      </c>
      <c r="AR874" t="e">
        <f t="shared" ca="1" si="442"/>
        <v>#VALUE!</v>
      </c>
      <c r="AS874" t="e">
        <f t="shared" ca="1" si="443"/>
        <v>#VALUE!</v>
      </c>
    </row>
    <row r="875" spans="1:45" x14ac:dyDescent="0.35">
      <c r="A875">
        <v>726</v>
      </c>
      <c r="B875">
        <v>724.89099999999996</v>
      </c>
      <c r="C875">
        <v>616100.14199999999</v>
      </c>
      <c r="D875">
        <v>3097277.6540000001</v>
      </c>
      <c r="E875">
        <v>632.19949999999994</v>
      </c>
      <c r="F875">
        <v>5.0670000000000002</v>
      </c>
      <c r="G875">
        <v>0</v>
      </c>
      <c r="H875" t="s">
        <v>191</v>
      </c>
      <c r="I875">
        <v>7.0000000000000007E-2</v>
      </c>
      <c r="J875">
        <f t="shared" si="444"/>
        <v>1</v>
      </c>
      <c r="K875">
        <f t="shared" si="445"/>
        <v>51</v>
      </c>
      <c r="L875" t="e">
        <f t="shared" ca="1" si="446"/>
        <v>#VALUE!</v>
      </c>
      <c r="M875" t="e">
        <f t="shared" ca="1" si="419"/>
        <v>#VALUE!</v>
      </c>
      <c r="N875" t="e">
        <f t="shared" ca="1" si="420"/>
        <v>#VALUE!</v>
      </c>
      <c r="O875" t="e">
        <f t="shared" ca="1" si="421"/>
        <v>#VALUE!</v>
      </c>
      <c r="P875" t="e">
        <f t="shared" ca="1" si="422"/>
        <v>#VALUE!</v>
      </c>
      <c r="Q875" t="e">
        <f t="shared" ca="1" si="423"/>
        <v>#VALUE!</v>
      </c>
      <c r="R875" t="e">
        <f t="shared" ca="1" si="424"/>
        <v>#VALUE!</v>
      </c>
      <c r="S875" t="e">
        <f t="shared" ca="1" si="425"/>
        <v>#VALUE!</v>
      </c>
      <c r="T875" t="e">
        <f t="shared" ca="1" si="426"/>
        <v>#VALUE!</v>
      </c>
      <c r="U875" t="e">
        <f t="shared" ca="1" si="447"/>
        <v>#VALUE!</v>
      </c>
      <c r="V875" t="e">
        <f t="shared" ca="1" si="448"/>
        <v>#VALUE!</v>
      </c>
      <c r="W875" t="e">
        <f t="shared" ca="1" si="427"/>
        <v>#VALUE!</v>
      </c>
      <c r="X875" t="e">
        <f t="shared" ca="1" si="428"/>
        <v>#VALUE!</v>
      </c>
      <c r="Y875" t="e">
        <f t="shared" ca="1" si="429"/>
        <v>#VALUE!</v>
      </c>
      <c r="Z875" t="e">
        <f t="shared" ca="1" si="430"/>
        <v>#VALUE!</v>
      </c>
      <c r="AA875" t="e">
        <f t="shared" ca="1" si="431"/>
        <v>#VALUE!</v>
      </c>
      <c r="AB875" t="e">
        <f t="shared" ca="1" si="432"/>
        <v>#VALUE!</v>
      </c>
      <c r="AC875" t="e">
        <f t="shared" ca="1" si="433"/>
        <v>#VALUE!</v>
      </c>
      <c r="AD875" t="e">
        <f t="shared" ca="1" si="434"/>
        <v>#VALUE!</v>
      </c>
      <c r="AE875" t="e">
        <f t="shared" ca="1" si="435"/>
        <v>#VALUE!</v>
      </c>
      <c r="AF875" t="e">
        <f t="shared" ca="1" si="436"/>
        <v>#VALUE!</v>
      </c>
      <c r="AG875" t="e">
        <f t="shared" ca="1" si="437"/>
        <v>#VALUE!</v>
      </c>
      <c r="AH875" t="e">
        <f ca="1">IF(V32="Supercritical",L875,IF(V32="Subcritical",W875,IF(AND(V875=1,AG875=1),IF(T875&gt;=AE875,L875,W875),IF(V875=1,L875,IF(AG875=1,W875,MAX($D$16,POWER((ABS(K875)^2)/($I$5*MAX(F875,0.1)^2),1/3)))))))</f>
        <v>#VALUE!</v>
      </c>
      <c r="AI875" t="e">
        <f t="shared" ca="1" si="438"/>
        <v>#VALUE!</v>
      </c>
      <c r="AJ875" t="e">
        <f t="shared" ca="1" si="439"/>
        <v>#VALUE!</v>
      </c>
      <c r="AM875">
        <v>0</v>
      </c>
      <c r="AN875">
        <v>0</v>
      </c>
      <c r="AO875">
        <f t="shared" si="440"/>
        <v>0</v>
      </c>
      <c r="AP875">
        <f t="shared" si="449"/>
        <v>0</v>
      </c>
      <c r="AQ875" t="e">
        <f t="shared" ca="1" si="441"/>
        <v>#VALUE!</v>
      </c>
      <c r="AR875" t="e">
        <f t="shared" ca="1" si="442"/>
        <v>#VALUE!</v>
      </c>
      <c r="AS875" t="e">
        <f t="shared" ca="1" si="443"/>
        <v>#VALUE!</v>
      </c>
    </row>
    <row r="876" spans="1:45" x14ac:dyDescent="0.35">
      <c r="A876">
        <v>727</v>
      </c>
      <c r="B876">
        <v>725.89099999999996</v>
      </c>
      <c r="C876">
        <v>616099.87800000003</v>
      </c>
      <c r="D876">
        <v>3097276.6889999998</v>
      </c>
      <c r="E876">
        <v>632.19899999999996</v>
      </c>
      <c r="F876">
        <v>5.0670000000000002</v>
      </c>
      <c r="G876">
        <v>0</v>
      </c>
      <c r="H876" t="s">
        <v>191</v>
      </c>
      <c r="I876">
        <v>7.0000000000000007E-2</v>
      </c>
      <c r="J876">
        <f t="shared" si="444"/>
        <v>1</v>
      </c>
      <c r="K876">
        <f t="shared" si="445"/>
        <v>51</v>
      </c>
      <c r="L876" t="e">
        <f t="shared" ca="1" si="446"/>
        <v>#VALUE!</v>
      </c>
      <c r="M876" t="e">
        <f t="shared" ca="1" si="419"/>
        <v>#VALUE!</v>
      </c>
      <c r="N876" t="e">
        <f t="shared" ca="1" si="420"/>
        <v>#VALUE!</v>
      </c>
      <c r="O876" t="e">
        <f t="shared" ca="1" si="421"/>
        <v>#VALUE!</v>
      </c>
      <c r="P876" t="e">
        <f t="shared" ca="1" si="422"/>
        <v>#VALUE!</v>
      </c>
      <c r="Q876" t="e">
        <f t="shared" ca="1" si="423"/>
        <v>#VALUE!</v>
      </c>
      <c r="R876" t="e">
        <f t="shared" ca="1" si="424"/>
        <v>#VALUE!</v>
      </c>
      <c r="S876" t="e">
        <f t="shared" ca="1" si="425"/>
        <v>#VALUE!</v>
      </c>
      <c r="T876" t="e">
        <f t="shared" ca="1" si="426"/>
        <v>#VALUE!</v>
      </c>
      <c r="U876" t="e">
        <f t="shared" ca="1" si="447"/>
        <v>#VALUE!</v>
      </c>
      <c r="V876" t="e">
        <f t="shared" ca="1" si="448"/>
        <v>#VALUE!</v>
      </c>
      <c r="W876" t="e">
        <f t="shared" ca="1" si="427"/>
        <v>#VALUE!</v>
      </c>
      <c r="X876" t="e">
        <f t="shared" ca="1" si="428"/>
        <v>#VALUE!</v>
      </c>
      <c r="Y876" t="e">
        <f t="shared" ca="1" si="429"/>
        <v>#VALUE!</v>
      </c>
      <c r="Z876" t="e">
        <f t="shared" ca="1" si="430"/>
        <v>#VALUE!</v>
      </c>
      <c r="AA876" t="e">
        <f t="shared" ca="1" si="431"/>
        <v>#VALUE!</v>
      </c>
      <c r="AB876" t="e">
        <f t="shared" ca="1" si="432"/>
        <v>#VALUE!</v>
      </c>
      <c r="AC876" t="e">
        <f t="shared" ca="1" si="433"/>
        <v>#VALUE!</v>
      </c>
      <c r="AD876" t="e">
        <f t="shared" ca="1" si="434"/>
        <v>#VALUE!</v>
      </c>
      <c r="AE876" t="e">
        <f t="shared" ca="1" si="435"/>
        <v>#VALUE!</v>
      </c>
      <c r="AF876" t="e">
        <f t="shared" ca="1" si="436"/>
        <v>#VALUE!</v>
      </c>
      <c r="AG876" t="e">
        <f t="shared" ca="1" si="437"/>
        <v>#VALUE!</v>
      </c>
      <c r="AH876" t="e">
        <f ca="1">IF(V32="Supercritical",L876,IF(V32="Subcritical",W876,IF(AND(V876=1,AG876=1),IF(T876&gt;=AE876,L876,W876),IF(V876=1,L876,IF(AG876=1,W876,MAX($D$16,POWER((ABS(K876)^2)/($I$5*MAX(F876,0.1)^2),1/3)))))))</f>
        <v>#VALUE!</v>
      </c>
      <c r="AI876" t="e">
        <f t="shared" ca="1" si="438"/>
        <v>#VALUE!</v>
      </c>
      <c r="AJ876" t="e">
        <f t="shared" ca="1" si="439"/>
        <v>#VALUE!</v>
      </c>
      <c r="AM876">
        <v>0</v>
      </c>
      <c r="AN876">
        <v>0</v>
      </c>
      <c r="AO876">
        <f t="shared" si="440"/>
        <v>0</v>
      </c>
      <c r="AP876">
        <f t="shared" si="449"/>
        <v>0</v>
      </c>
      <c r="AQ876" t="e">
        <f t="shared" ca="1" si="441"/>
        <v>#VALUE!</v>
      </c>
      <c r="AR876" t="e">
        <f t="shared" ca="1" si="442"/>
        <v>#VALUE!</v>
      </c>
      <c r="AS876" t="e">
        <f t="shared" ca="1" si="443"/>
        <v>#VALUE!</v>
      </c>
    </row>
    <row r="877" spans="1:45" x14ac:dyDescent="0.35">
      <c r="A877">
        <v>728</v>
      </c>
      <c r="B877">
        <v>726.89099999999996</v>
      </c>
      <c r="C877">
        <v>616099.61300000001</v>
      </c>
      <c r="D877">
        <v>3097275.7250000001</v>
      </c>
      <c r="E877">
        <v>632.19849999999997</v>
      </c>
      <c r="F877">
        <v>5.0670000000000002</v>
      </c>
      <c r="G877">
        <v>0</v>
      </c>
      <c r="H877" t="s">
        <v>191</v>
      </c>
      <c r="I877">
        <v>0</v>
      </c>
      <c r="J877">
        <f t="shared" si="444"/>
        <v>1</v>
      </c>
      <c r="K877">
        <f t="shared" si="445"/>
        <v>51</v>
      </c>
      <c r="L877" t="e">
        <f t="shared" ca="1" si="446"/>
        <v>#VALUE!</v>
      </c>
      <c r="M877" t="e">
        <f t="shared" ca="1" si="419"/>
        <v>#VALUE!</v>
      </c>
      <c r="N877" t="e">
        <f t="shared" ca="1" si="420"/>
        <v>#VALUE!</v>
      </c>
      <c r="O877" t="e">
        <f t="shared" ca="1" si="421"/>
        <v>#VALUE!</v>
      </c>
      <c r="P877" t="e">
        <f t="shared" ca="1" si="422"/>
        <v>#VALUE!</v>
      </c>
      <c r="Q877" t="e">
        <f t="shared" ca="1" si="423"/>
        <v>#VALUE!</v>
      </c>
      <c r="R877" t="e">
        <f t="shared" ca="1" si="424"/>
        <v>#VALUE!</v>
      </c>
      <c r="S877" t="e">
        <f t="shared" ca="1" si="425"/>
        <v>#VALUE!</v>
      </c>
      <c r="T877" t="e">
        <f t="shared" ca="1" si="426"/>
        <v>#VALUE!</v>
      </c>
      <c r="U877" t="e">
        <f t="shared" ca="1" si="447"/>
        <v>#VALUE!</v>
      </c>
      <c r="V877" t="e">
        <f t="shared" ca="1" si="448"/>
        <v>#VALUE!</v>
      </c>
      <c r="W877" t="e">
        <f t="shared" ca="1" si="427"/>
        <v>#VALUE!</v>
      </c>
      <c r="X877" t="e">
        <f t="shared" ca="1" si="428"/>
        <v>#VALUE!</v>
      </c>
      <c r="Y877" t="e">
        <f t="shared" ca="1" si="429"/>
        <v>#VALUE!</v>
      </c>
      <c r="Z877" t="e">
        <f t="shared" ca="1" si="430"/>
        <v>#VALUE!</v>
      </c>
      <c r="AA877" t="e">
        <f t="shared" ca="1" si="431"/>
        <v>#VALUE!</v>
      </c>
      <c r="AB877" t="e">
        <f t="shared" ca="1" si="432"/>
        <v>#VALUE!</v>
      </c>
      <c r="AC877" t="e">
        <f t="shared" ca="1" si="433"/>
        <v>#VALUE!</v>
      </c>
      <c r="AD877" t="e">
        <f t="shared" ca="1" si="434"/>
        <v>#VALUE!</v>
      </c>
      <c r="AE877" t="e">
        <f t="shared" ca="1" si="435"/>
        <v>#VALUE!</v>
      </c>
      <c r="AF877" t="e">
        <f t="shared" ca="1" si="436"/>
        <v>#VALUE!</v>
      </c>
      <c r="AG877" t="e">
        <f t="shared" ca="1" si="437"/>
        <v>#VALUE!</v>
      </c>
      <c r="AH877" t="e">
        <f ca="1">IF(V32="Supercritical",L877,IF(V32="Subcritical",W877,IF(AND(V877=1,AG877=1),IF(T877&gt;=AE877,L877,W877),IF(V877=1,L877,IF(AG877=1,W877,MAX($D$16,POWER((ABS(K877)^2)/($I$5*MAX(F877,0.1)^2),1/3)))))))</f>
        <v>#VALUE!</v>
      </c>
      <c r="AI877" t="e">
        <f t="shared" ca="1" si="438"/>
        <v>#VALUE!</v>
      </c>
      <c r="AJ877" t="e">
        <f t="shared" ca="1" si="439"/>
        <v>#VALUE!</v>
      </c>
      <c r="AM877">
        <v>0</v>
      </c>
      <c r="AN877">
        <v>0</v>
      </c>
      <c r="AO877">
        <f t="shared" si="440"/>
        <v>0</v>
      </c>
      <c r="AP877">
        <f t="shared" si="449"/>
        <v>0</v>
      </c>
      <c r="AQ877" t="e">
        <f t="shared" ca="1" si="441"/>
        <v>#VALUE!</v>
      </c>
      <c r="AR877" t="e">
        <f t="shared" ca="1" si="442"/>
        <v>#VALUE!</v>
      </c>
      <c r="AS877" t="e">
        <f t="shared" ca="1" si="443"/>
        <v>#VALUE!</v>
      </c>
    </row>
    <row r="878" spans="1:45" x14ac:dyDescent="0.35">
      <c r="A878">
        <v>729</v>
      </c>
      <c r="B878">
        <v>727.89099999999996</v>
      </c>
      <c r="C878">
        <v>616099.348</v>
      </c>
      <c r="D878">
        <v>3097274.7609999999</v>
      </c>
      <c r="E878">
        <v>632.19799999999998</v>
      </c>
      <c r="F878">
        <v>5.0670000000000002</v>
      </c>
      <c r="G878">
        <v>0</v>
      </c>
      <c r="H878" t="s">
        <v>191</v>
      </c>
      <c r="I878">
        <v>7.0000000000000007E-2</v>
      </c>
      <c r="J878">
        <f t="shared" si="444"/>
        <v>1</v>
      </c>
      <c r="K878">
        <f t="shared" si="445"/>
        <v>51</v>
      </c>
      <c r="L878" t="e">
        <f t="shared" ca="1" si="446"/>
        <v>#VALUE!</v>
      </c>
      <c r="M878" t="e">
        <f t="shared" ca="1" si="419"/>
        <v>#VALUE!</v>
      </c>
      <c r="N878" t="e">
        <f t="shared" ca="1" si="420"/>
        <v>#VALUE!</v>
      </c>
      <c r="O878" t="e">
        <f t="shared" ca="1" si="421"/>
        <v>#VALUE!</v>
      </c>
      <c r="P878" t="e">
        <f t="shared" ca="1" si="422"/>
        <v>#VALUE!</v>
      </c>
      <c r="Q878" t="e">
        <f t="shared" ca="1" si="423"/>
        <v>#VALUE!</v>
      </c>
      <c r="R878" t="e">
        <f t="shared" ca="1" si="424"/>
        <v>#VALUE!</v>
      </c>
      <c r="S878" t="e">
        <f t="shared" ca="1" si="425"/>
        <v>#VALUE!</v>
      </c>
      <c r="T878" t="e">
        <f t="shared" ca="1" si="426"/>
        <v>#VALUE!</v>
      </c>
      <c r="U878" t="e">
        <f t="shared" ca="1" si="447"/>
        <v>#VALUE!</v>
      </c>
      <c r="V878" t="e">
        <f t="shared" ca="1" si="448"/>
        <v>#VALUE!</v>
      </c>
      <c r="W878" t="e">
        <f t="shared" ca="1" si="427"/>
        <v>#VALUE!</v>
      </c>
      <c r="X878" t="e">
        <f t="shared" ca="1" si="428"/>
        <v>#VALUE!</v>
      </c>
      <c r="Y878" t="e">
        <f t="shared" ca="1" si="429"/>
        <v>#VALUE!</v>
      </c>
      <c r="Z878" t="e">
        <f t="shared" ca="1" si="430"/>
        <v>#VALUE!</v>
      </c>
      <c r="AA878" t="e">
        <f t="shared" ca="1" si="431"/>
        <v>#VALUE!</v>
      </c>
      <c r="AB878" t="e">
        <f t="shared" ca="1" si="432"/>
        <v>#VALUE!</v>
      </c>
      <c r="AC878" t="e">
        <f t="shared" ca="1" si="433"/>
        <v>#VALUE!</v>
      </c>
      <c r="AD878" t="e">
        <f t="shared" ca="1" si="434"/>
        <v>#VALUE!</v>
      </c>
      <c r="AE878" t="e">
        <f t="shared" ca="1" si="435"/>
        <v>#VALUE!</v>
      </c>
      <c r="AF878" t="e">
        <f t="shared" ca="1" si="436"/>
        <v>#VALUE!</v>
      </c>
      <c r="AG878" t="e">
        <f t="shared" ca="1" si="437"/>
        <v>#VALUE!</v>
      </c>
      <c r="AH878" t="e">
        <f ca="1">IF(V32="Supercritical",L878,IF(V32="Subcritical",W878,IF(AND(V878=1,AG878=1),IF(T878&gt;=AE878,L878,W878),IF(V878=1,L878,IF(AG878=1,W878,MAX($D$16,POWER((ABS(K878)^2)/($I$5*MAX(F878,0.1)^2),1/3)))))))</f>
        <v>#VALUE!</v>
      </c>
      <c r="AI878" t="e">
        <f t="shared" ca="1" si="438"/>
        <v>#VALUE!</v>
      </c>
      <c r="AJ878" t="e">
        <f t="shared" ca="1" si="439"/>
        <v>#VALUE!</v>
      </c>
      <c r="AM878">
        <v>0</v>
      </c>
      <c r="AN878">
        <v>0</v>
      </c>
      <c r="AO878">
        <f t="shared" si="440"/>
        <v>0</v>
      </c>
      <c r="AP878">
        <f t="shared" si="449"/>
        <v>0</v>
      </c>
      <c r="AQ878" t="e">
        <f t="shared" ca="1" si="441"/>
        <v>#VALUE!</v>
      </c>
      <c r="AR878" t="e">
        <f t="shared" ca="1" si="442"/>
        <v>#VALUE!</v>
      </c>
      <c r="AS878" t="e">
        <f t="shared" ca="1" si="443"/>
        <v>#VALUE!</v>
      </c>
    </row>
    <row r="879" spans="1:45" x14ac:dyDescent="0.35">
      <c r="A879">
        <v>730</v>
      </c>
      <c r="B879">
        <v>728.89099999999996</v>
      </c>
      <c r="C879">
        <v>616099.08400000003</v>
      </c>
      <c r="D879">
        <v>3097273.7960000001</v>
      </c>
      <c r="E879">
        <v>632.19749999999999</v>
      </c>
      <c r="F879">
        <v>5.0670000000000002</v>
      </c>
      <c r="G879">
        <v>0</v>
      </c>
      <c r="H879" t="s">
        <v>191</v>
      </c>
      <c r="I879">
        <v>7.0000000000000007E-2</v>
      </c>
      <c r="J879">
        <f t="shared" si="444"/>
        <v>1</v>
      </c>
      <c r="K879">
        <f t="shared" si="445"/>
        <v>51</v>
      </c>
      <c r="L879" t="e">
        <f t="shared" ca="1" si="446"/>
        <v>#VALUE!</v>
      </c>
      <c r="M879" t="e">
        <f t="shared" ca="1" si="419"/>
        <v>#VALUE!</v>
      </c>
      <c r="N879" t="e">
        <f t="shared" ca="1" si="420"/>
        <v>#VALUE!</v>
      </c>
      <c r="O879" t="e">
        <f t="shared" ca="1" si="421"/>
        <v>#VALUE!</v>
      </c>
      <c r="P879" t="e">
        <f t="shared" ca="1" si="422"/>
        <v>#VALUE!</v>
      </c>
      <c r="Q879" t="e">
        <f t="shared" ca="1" si="423"/>
        <v>#VALUE!</v>
      </c>
      <c r="R879" t="e">
        <f t="shared" ca="1" si="424"/>
        <v>#VALUE!</v>
      </c>
      <c r="S879" t="e">
        <f t="shared" ca="1" si="425"/>
        <v>#VALUE!</v>
      </c>
      <c r="T879" t="e">
        <f t="shared" ca="1" si="426"/>
        <v>#VALUE!</v>
      </c>
      <c r="U879" t="e">
        <f t="shared" ca="1" si="447"/>
        <v>#VALUE!</v>
      </c>
      <c r="V879" t="e">
        <f t="shared" ca="1" si="448"/>
        <v>#VALUE!</v>
      </c>
      <c r="W879" t="e">
        <f t="shared" ca="1" si="427"/>
        <v>#VALUE!</v>
      </c>
      <c r="X879" t="e">
        <f t="shared" ca="1" si="428"/>
        <v>#VALUE!</v>
      </c>
      <c r="Y879" t="e">
        <f t="shared" ca="1" si="429"/>
        <v>#VALUE!</v>
      </c>
      <c r="Z879" t="e">
        <f t="shared" ca="1" si="430"/>
        <v>#VALUE!</v>
      </c>
      <c r="AA879" t="e">
        <f t="shared" ca="1" si="431"/>
        <v>#VALUE!</v>
      </c>
      <c r="AB879" t="e">
        <f t="shared" ca="1" si="432"/>
        <v>#VALUE!</v>
      </c>
      <c r="AC879" t="e">
        <f t="shared" ca="1" si="433"/>
        <v>#VALUE!</v>
      </c>
      <c r="AD879" t="e">
        <f t="shared" ca="1" si="434"/>
        <v>#VALUE!</v>
      </c>
      <c r="AE879" t="e">
        <f t="shared" ca="1" si="435"/>
        <v>#VALUE!</v>
      </c>
      <c r="AF879" t="e">
        <f t="shared" ca="1" si="436"/>
        <v>#VALUE!</v>
      </c>
      <c r="AG879" t="e">
        <f t="shared" ca="1" si="437"/>
        <v>#VALUE!</v>
      </c>
      <c r="AH879" t="e">
        <f ca="1">IF(V32="Supercritical",L879,IF(V32="Subcritical",W879,IF(AND(V879=1,AG879=1),IF(T879&gt;=AE879,L879,W879),IF(V879=1,L879,IF(AG879=1,W879,MAX($D$16,POWER((ABS(K879)^2)/($I$5*MAX(F879,0.1)^2),1/3)))))))</f>
        <v>#VALUE!</v>
      </c>
      <c r="AI879" t="e">
        <f t="shared" ca="1" si="438"/>
        <v>#VALUE!</v>
      </c>
      <c r="AJ879" t="e">
        <f t="shared" ca="1" si="439"/>
        <v>#VALUE!</v>
      </c>
      <c r="AM879">
        <v>0</v>
      </c>
      <c r="AN879">
        <v>0</v>
      </c>
      <c r="AO879">
        <f t="shared" si="440"/>
        <v>0</v>
      </c>
      <c r="AP879">
        <f t="shared" si="449"/>
        <v>0</v>
      </c>
      <c r="AQ879" t="e">
        <f t="shared" ca="1" si="441"/>
        <v>#VALUE!</v>
      </c>
      <c r="AR879" t="e">
        <f t="shared" ca="1" si="442"/>
        <v>#VALUE!</v>
      </c>
      <c r="AS879" t="e">
        <f t="shared" ca="1" si="443"/>
        <v>#VALUE!</v>
      </c>
    </row>
    <row r="880" spans="1:45" x14ac:dyDescent="0.35">
      <c r="A880">
        <v>731</v>
      </c>
      <c r="B880">
        <v>729.89099999999996</v>
      </c>
      <c r="C880">
        <v>616098.81900000002</v>
      </c>
      <c r="D880">
        <v>3097272.8319999999</v>
      </c>
      <c r="E880">
        <v>632.197</v>
      </c>
      <c r="F880">
        <v>5.0670000000000002</v>
      </c>
      <c r="G880">
        <v>0</v>
      </c>
      <c r="H880" t="s">
        <v>191</v>
      </c>
      <c r="I880">
        <v>5.5E-2</v>
      </c>
      <c r="J880">
        <f t="shared" si="444"/>
        <v>1</v>
      </c>
      <c r="K880">
        <f t="shared" si="445"/>
        <v>51</v>
      </c>
      <c r="L880" t="e">
        <f t="shared" ca="1" si="446"/>
        <v>#VALUE!</v>
      </c>
      <c r="M880" t="e">
        <f t="shared" ca="1" si="419"/>
        <v>#VALUE!</v>
      </c>
      <c r="N880" t="e">
        <f t="shared" ca="1" si="420"/>
        <v>#VALUE!</v>
      </c>
      <c r="O880" t="e">
        <f t="shared" ca="1" si="421"/>
        <v>#VALUE!</v>
      </c>
      <c r="P880" t="e">
        <f t="shared" ca="1" si="422"/>
        <v>#VALUE!</v>
      </c>
      <c r="Q880" t="e">
        <f t="shared" ca="1" si="423"/>
        <v>#VALUE!</v>
      </c>
      <c r="R880" t="e">
        <f t="shared" ca="1" si="424"/>
        <v>#VALUE!</v>
      </c>
      <c r="S880" t="e">
        <f t="shared" ca="1" si="425"/>
        <v>#VALUE!</v>
      </c>
      <c r="T880" t="e">
        <f t="shared" ca="1" si="426"/>
        <v>#VALUE!</v>
      </c>
      <c r="U880" t="e">
        <f t="shared" ca="1" si="447"/>
        <v>#VALUE!</v>
      </c>
      <c r="V880" t="e">
        <f t="shared" ca="1" si="448"/>
        <v>#VALUE!</v>
      </c>
      <c r="W880" t="e">
        <f t="shared" ca="1" si="427"/>
        <v>#VALUE!</v>
      </c>
      <c r="X880" t="e">
        <f t="shared" ca="1" si="428"/>
        <v>#VALUE!</v>
      </c>
      <c r="Y880" t="e">
        <f t="shared" ca="1" si="429"/>
        <v>#VALUE!</v>
      </c>
      <c r="Z880" t="e">
        <f t="shared" ca="1" si="430"/>
        <v>#VALUE!</v>
      </c>
      <c r="AA880" t="e">
        <f t="shared" ca="1" si="431"/>
        <v>#VALUE!</v>
      </c>
      <c r="AB880" t="e">
        <f t="shared" ca="1" si="432"/>
        <v>#VALUE!</v>
      </c>
      <c r="AC880" t="e">
        <f t="shared" ca="1" si="433"/>
        <v>#VALUE!</v>
      </c>
      <c r="AD880" t="e">
        <f t="shared" ca="1" si="434"/>
        <v>#VALUE!</v>
      </c>
      <c r="AE880" t="e">
        <f t="shared" ca="1" si="435"/>
        <v>#VALUE!</v>
      </c>
      <c r="AF880" t="e">
        <f t="shared" ca="1" si="436"/>
        <v>#VALUE!</v>
      </c>
      <c r="AG880" t="e">
        <f t="shared" ca="1" si="437"/>
        <v>#VALUE!</v>
      </c>
      <c r="AH880" t="e">
        <f ca="1">IF(V32="Supercritical",L880,IF(V32="Subcritical",W880,IF(AND(V880=1,AG880=1),IF(T880&gt;=AE880,L880,W880),IF(V880=1,L880,IF(AG880=1,W880,MAX($D$16,POWER((ABS(K880)^2)/($I$5*MAX(F880,0.1)^2),1/3)))))))</f>
        <v>#VALUE!</v>
      </c>
      <c r="AI880" t="e">
        <f t="shared" ca="1" si="438"/>
        <v>#VALUE!</v>
      </c>
      <c r="AJ880" t="e">
        <f t="shared" ca="1" si="439"/>
        <v>#VALUE!</v>
      </c>
      <c r="AM880">
        <v>0</v>
      </c>
      <c r="AN880">
        <v>0</v>
      </c>
      <c r="AO880">
        <f t="shared" si="440"/>
        <v>0</v>
      </c>
      <c r="AP880">
        <f t="shared" si="449"/>
        <v>0</v>
      </c>
      <c r="AQ880" t="e">
        <f t="shared" ca="1" si="441"/>
        <v>#VALUE!</v>
      </c>
      <c r="AR880" t="e">
        <f t="shared" ca="1" si="442"/>
        <v>#VALUE!</v>
      </c>
      <c r="AS880" t="e">
        <f t="shared" ca="1" si="443"/>
        <v>#VALUE!</v>
      </c>
    </row>
    <row r="881" spans="1:45" x14ac:dyDescent="0.35">
      <c r="A881">
        <v>732</v>
      </c>
      <c r="B881">
        <v>730.89099999999996</v>
      </c>
      <c r="C881">
        <v>616098.55500000005</v>
      </c>
      <c r="D881">
        <v>3097271.8679999998</v>
      </c>
      <c r="E881">
        <v>632.19650000000001</v>
      </c>
      <c r="F881">
        <v>5.0670000000000002</v>
      </c>
      <c r="G881">
        <v>0</v>
      </c>
      <c r="H881" t="s">
        <v>191</v>
      </c>
      <c r="I881">
        <v>0.04</v>
      </c>
      <c r="J881">
        <f t="shared" si="444"/>
        <v>1</v>
      </c>
      <c r="K881">
        <f t="shared" si="445"/>
        <v>51</v>
      </c>
      <c r="L881" t="e">
        <f t="shared" ca="1" si="446"/>
        <v>#VALUE!</v>
      </c>
      <c r="M881" t="e">
        <f t="shared" ca="1" si="419"/>
        <v>#VALUE!</v>
      </c>
      <c r="N881" t="e">
        <f t="shared" ca="1" si="420"/>
        <v>#VALUE!</v>
      </c>
      <c r="O881" t="e">
        <f t="shared" ca="1" si="421"/>
        <v>#VALUE!</v>
      </c>
      <c r="P881" t="e">
        <f t="shared" ca="1" si="422"/>
        <v>#VALUE!</v>
      </c>
      <c r="Q881" t="e">
        <f t="shared" ca="1" si="423"/>
        <v>#VALUE!</v>
      </c>
      <c r="R881" t="e">
        <f t="shared" ca="1" si="424"/>
        <v>#VALUE!</v>
      </c>
      <c r="S881" t="e">
        <f t="shared" ca="1" si="425"/>
        <v>#VALUE!</v>
      </c>
      <c r="T881" t="e">
        <f t="shared" ca="1" si="426"/>
        <v>#VALUE!</v>
      </c>
      <c r="U881" t="e">
        <f t="shared" ca="1" si="447"/>
        <v>#VALUE!</v>
      </c>
      <c r="V881" t="e">
        <f t="shared" ca="1" si="448"/>
        <v>#VALUE!</v>
      </c>
      <c r="W881" t="e">
        <f t="shared" ca="1" si="427"/>
        <v>#VALUE!</v>
      </c>
      <c r="X881" t="e">
        <f t="shared" ca="1" si="428"/>
        <v>#VALUE!</v>
      </c>
      <c r="Y881" t="e">
        <f t="shared" ca="1" si="429"/>
        <v>#VALUE!</v>
      </c>
      <c r="Z881" t="e">
        <f t="shared" ca="1" si="430"/>
        <v>#VALUE!</v>
      </c>
      <c r="AA881" t="e">
        <f t="shared" ca="1" si="431"/>
        <v>#VALUE!</v>
      </c>
      <c r="AB881" t="e">
        <f t="shared" ca="1" si="432"/>
        <v>#VALUE!</v>
      </c>
      <c r="AC881" t="e">
        <f t="shared" ca="1" si="433"/>
        <v>#VALUE!</v>
      </c>
      <c r="AD881" t="e">
        <f t="shared" ca="1" si="434"/>
        <v>#VALUE!</v>
      </c>
      <c r="AE881" t="e">
        <f t="shared" ca="1" si="435"/>
        <v>#VALUE!</v>
      </c>
      <c r="AF881" t="e">
        <f t="shared" ca="1" si="436"/>
        <v>#VALUE!</v>
      </c>
      <c r="AG881" t="e">
        <f t="shared" ca="1" si="437"/>
        <v>#VALUE!</v>
      </c>
      <c r="AH881" t="e">
        <f ca="1">IF(V32="Supercritical",L881,IF(V32="Subcritical",W881,IF(AND(V881=1,AG881=1),IF(T881&gt;=AE881,L881,W881),IF(V881=1,L881,IF(AG881=1,W881,MAX($D$16,POWER((ABS(K881)^2)/($I$5*MAX(F881,0.1)^2),1/3)))))))</f>
        <v>#VALUE!</v>
      </c>
      <c r="AI881" t="e">
        <f t="shared" ca="1" si="438"/>
        <v>#VALUE!</v>
      </c>
      <c r="AJ881" t="e">
        <f t="shared" ca="1" si="439"/>
        <v>#VALUE!</v>
      </c>
      <c r="AM881">
        <v>0</v>
      </c>
      <c r="AN881">
        <v>0</v>
      </c>
      <c r="AO881">
        <f t="shared" si="440"/>
        <v>0</v>
      </c>
      <c r="AP881">
        <f t="shared" si="449"/>
        <v>0</v>
      </c>
      <c r="AQ881" t="e">
        <f t="shared" ca="1" si="441"/>
        <v>#VALUE!</v>
      </c>
      <c r="AR881" t="e">
        <f t="shared" ca="1" si="442"/>
        <v>#VALUE!</v>
      </c>
      <c r="AS881" t="e">
        <f t="shared" ca="1" si="443"/>
        <v>#VALUE!</v>
      </c>
    </row>
    <row r="882" spans="1:45" x14ac:dyDescent="0.35">
      <c r="A882">
        <v>733</v>
      </c>
      <c r="B882">
        <v>731.89099999999996</v>
      </c>
      <c r="C882">
        <v>616098.29</v>
      </c>
      <c r="D882">
        <v>3097270.9029999999</v>
      </c>
      <c r="E882">
        <v>632.19600000000003</v>
      </c>
      <c r="F882">
        <v>5.0670000000000002</v>
      </c>
      <c r="G882">
        <v>0</v>
      </c>
      <c r="H882" t="s">
        <v>191</v>
      </c>
      <c r="I882">
        <v>1.4999999999999999E-2</v>
      </c>
      <c r="J882">
        <f t="shared" si="444"/>
        <v>1</v>
      </c>
      <c r="K882">
        <f t="shared" si="445"/>
        <v>51</v>
      </c>
      <c r="L882" t="e">
        <f t="shared" ca="1" si="446"/>
        <v>#VALUE!</v>
      </c>
      <c r="M882" t="e">
        <f t="shared" ca="1" si="419"/>
        <v>#VALUE!</v>
      </c>
      <c r="N882" t="e">
        <f t="shared" ca="1" si="420"/>
        <v>#VALUE!</v>
      </c>
      <c r="O882" t="e">
        <f t="shared" ca="1" si="421"/>
        <v>#VALUE!</v>
      </c>
      <c r="P882" t="e">
        <f t="shared" ca="1" si="422"/>
        <v>#VALUE!</v>
      </c>
      <c r="Q882" t="e">
        <f t="shared" ca="1" si="423"/>
        <v>#VALUE!</v>
      </c>
      <c r="R882" t="e">
        <f t="shared" ca="1" si="424"/>
        <v>#VALUE!</v>
      </c>
      <c r="S882" t="e">
        <f t="shared" ca="1" si="425"/>
        <v>#VALUE!</v>
      </c>
      <c r="T882" t="e">
        <f t="shared" ca="1" si="426"/>
        <v>#VALUE!</v>
      </c>
      <c r="U882" t="e">
        <f t="shared" ca="1" si="447"/>
        <v>#VALUE!</v>
      </c>
      <c r="V882" t="e">
        <f t="shared" ca="1" si="448"/>
        <v>#VALUE!</v>
      </c>
      <c r="W882" t="e">
        <f t="shared" ca="1" si="427"/>
        <v>#VALUE!</v>
      </c>
      <c r="X882" t="e">
        <f t="shared" ca="1" si="428"/>
        <v>#VALUE!</v>
      </c>
      <c r="Y882" t="e">
        <f t="shared" ca="1" si="429"/>
        <v>#VALUE!</v>
      </c>
      <c r="Z882" t="e">
        <f t="shared" ca="1" si="430"/>
        <v>#VALUE!</v>
      </c>
      <c r="AA882" t="e">
        <f t="shared" ca="1" si="431"/>
        <v>#VALUE!</v>
      </c>
      <c r="AB882" t="e">
        <f t="shared" ca="1" si="432"/>
        <v>#VALUE!</v>
      </c>
      <c r="AC882" t="e">
        <f t="shared" ca="1" si="433"/>
        <v>#VALUE!</v>
      </c>
      <c r="AD882" t="e">
        <f t="shared" ca="1" si="434"/>
        <v>#VALUE!</v>
      </c>
      <c r="AE882" t="e">
        <f t="shared" ca="1" si="435"/>
        <v>#VALUE!</v>
      </c>
      <c r="AF882" t="e">
        <f t="shared" ca="1" si="436"/>
        <v>#VALUE!</v>
      </c>
      <c r="AG882" t="e">
        <f t="shared" ca="1" si="437"/>
        <v>#VALUE!</v>
      </c>
      <c r="AH882" t="e">
        <f ca="1">IF(V32="Supercritical",L882,IF(V32="Subcritical",W882,IF(AND(V882=1,AG882=1),IF(T882&gt;=AE882,L882,W882),IF(V882=1,L882,IF(AG882=1,W882,MAX($D$16,POWER((ABS(K882)^2)/($I$5*MAX(F882,0.1)^2),1/3)))))))</f>
        <v>#VALUE!</v>
      </c>
      <c r="AI882" t="e">
        <f t="shared" ca="1" si="438"/>
        <v>#VALUE!</v>
      </c>
      <c r="AJ882" t="e">
        <f t="shared" ca="1" si="439"/>
        <v>#VALUE!</v>
      </c>
      <c r="AM882">
        <v>0</v>
      </c>
      <c r="AN882">
        <v>0</v>
      </c>
      <c r="AO882">
        <f t="shared" si="440"/>
        <v>0</v>
      </c>
      <c r="AP882">
        <f t="shared" si="449"/>
        <v>0</v>
      </c>
      <c r="AQ882" t="e">
        <f t="shared" ca="1" si="441"/>
        <v>#VALUE!</v>
      </c>
      <c r="AR882" t="e">
        <f t="shared" ca="1" si="442"/>
        <v>#VALUE!</v>
      </c>
      <c r="AS882" t="e">
        <f t="shared" ca="1" si="443"/>
        <v>#VALUE!</v>
      </c>
    </row>
    <row r="883" spans="1:45" x14ac:dyDescent="0.35">
      <c r="A883">
        <v>734</v>
      </c>
      <c r="B883">
        <v>732.89099999999996</v>
      </c>
      <c r="C883">
        <v>616098.02500000002</v>
      </c>
      <c r="D883">
        <v>3097269.9389999998</v>
      </c>
      <c r="E883">
        <v>632.19550000000004</v>
      </c>
      <c r="F883">
        <v>5.0670000000000002</v>
      </c>
      <c r="G883">
        <v>0</v>
      </c>
      <c r="H883" t="s">
        <v>191</v>
      </c>
      <c r="I883">
        <v>7.0000000000000007E-2</v>
      </c>
      <c r="J883">
        <f t="shared" si="444"/>
        <v>1</v>
      </c>
      <c r="K883">
        <f t="shared" si="445"/>
        <v>51</v>
      </c>
      <c r="L883" t="e">
        <f t="shared" ca="1" si="446"/>
        <v>#VALUE!</v>
      </c>
      <c r="M883" t="e">
        <f t="shared" ca="1" si="419"/>
        <v>#VALUE!</v>
      </c>
      <c r="N883" t="e">
        <f t="shared" ca="1" si="420"/>
        <v>#VALUE!</v>
      </c>
      <c r="O883" t="e">
        <f t="shared" ca="1" si="421"/>
        <v>#VALUE!</v>
      </c>
      <c r="P883" t="e">
        <f t="shared" ca="1" si="422"/>
        <v>#VALUE!</v>
      </c>
      <c r="Q883" t="e">
        <f t="shared" ca="1" si="423"/>
        <v>#VALUE!</v>
      </c>
      <c r="R883" t="e">
        <f t="shared" ca="1" si="424"/>
        <v>#VALUE!</v>
      </c>
      <c r="S883" t="e">
        <f t="shared" ca="1" si="425"/>
        <v>#VALUE!</v>
      </c>
      <c r="T883" t="e">
        <f t="shared" ca="1" si="426"/>
        <v>#VALUE!</v>
      </c>
      <c r="U883" t="e">
        <f t="shared" ca="1" si="447"/>
        <v>#VALUE!</v>
      </c>
      <c r="V883" t="e">
        <f t="shared" ca="1" si="448"/>
        <v>#VALUE!</v>
      </c>
      <c r="W883" t="e">
        <f t="shared" ca="1" si="427"/>
        <v>#VALUE!</v>
      </c>
      <c r="X883" t="e">
        <f t="shared" ca="1" si="428"/>
        <v>#VALUE!</v>
      </c>
      <c r="Y883" t="e">
        <f t="shared" ca="1" si="429"/>
        <v>#VALUE!</v>
      </c>
      <c r="Z883" t="e">
        <f t="shared" ca="1" si="430"/>
        <v>#VALUE!</v>
      </c>
      <c r="AA883" t="e">
        <f t="shared" ca="1" si="431"/>
        <v>#VALUE!</v>
      </c>
      <c r="AB883" t="e">
        <f t="shared" ca="1" si="432"/>
        <v>#VALUE!</v>
      </c>
      <c r="AC883" t="e">
        <f t="shared" ca="1" si="433"/>
        <v>#VALUE!</v>
      </c>
      <c r="AD883" t="e">
        <f t="shared" ca="1" si="434"/>
        <v>#VALUE!</v>
      </c>
      <c r="AE883" t="e">
        <f t="shared" ca="1" si="435"/>
        <v>#VALUE!</v>
      </c>
      <c r="AF883" t="e">
        <f t="shared" ca="1" si="436"/>
        <v>#VALUE!</v>
      </c>
      <c r="AG883" t="e">
        <f t="shared" ca="1" si="437"/>
        <v>#VALUE!</v>
      </c>
      <c r="AH883" t="e">
        <f ca="1">IF(V32="Supercritical",L883,IF(V32="Subcritical",W883,IF(AND(V883=1,AG883=1),IF(T883&gt;=AE883,L883,W883),IF(V883=1,L883,IF(AG883=1,W883,MAX($D$16,POWER((ABS(K883)^2)/($I$5*MAX(F883,0.1)^2),1/3)))))))</f>
        <v>#VALUE!</v>
      </c>
      <c r="AI883" t="e">
        <f t="shared" ca="1" si="438"/>
        <v>#VALUE!</v>
      </c>
      <c r="AJ883" t="e">
        <f t="shared" ca="1" si="439"/>
        <v>#VALUE!</v>
      </c>
      <c r="AM883">
        <v>0</v>
      </c>
      <c r="AN883">
        <v>0</v>
      </c>
      <c r="AO883">
        <f t="shared" si="440"/>
        <v>0</v>
      </c>
      <c r="AP883">
        <f t="shared" si="449"/>
        <v>0</v>
      </c>
      <c r="AQ883" t="e">
        <f t="shared" ca="1" si="441"/>
        <v>#VALUE!</v>
      </c>
      <c r="AR883" t="e">
        <f t="shared" ca="1" si="442"/>
        <v>#VALUE!</v>
      </c>
      <c r="AS883" t="e">
        <f t="shared" ca="1" si="443"/>
        <v>#VALUE!</v>
      </c>
    </row>
    <row r="884" spans="1:45" x14ac:dyDescent="0.35">
      <c r="A884">
        <v>735</v>
      </c>
      <c r="B884">
        <v>733.89200000000005</v>
      </c>
      <c r="C884">
        <v>616097.76100000006</v>
      </c>
      <c r="D884">
        <v>3097268.9739999999</v>
      </c>
      <c r="E884">
        <v>632.19500000000005</v>
      </c>
      <c r="F884">
        <v>5.0670000000000002</v>
      </c>
      <c r="G884">
        <v>0</v>
      </c>
      <c r="H884" t="s">
        <v>191</v>
      </c>
      <c r="I884">
        <v>7.0000000000000007E-2</v>
      </c>
      <c r="J884">
        <f t="shared" si="444"/>
        <v>1.00100000000009</v>
      </c>
      <c r="K884">
        <f t="shared" si="445"/>
        <v>51</v>
      </c>
      <c r="L884" t="e">
        <f t="shared" ca="1" si="446"/>
        <v>#VALUE!</v>
      </c>
      <c r="M884" t="e">
        <f t="shared" ca="1" si="419"/>
        <v>#VALUE!</v>
      </c>
      <c r="N884" t="e">
        <f t="shared" ca="1" si="420"/>
        <v>#VALUE!</v>
      </c>
      <c r="O884" t="e">
        <f t="shared" ca="1" si="421"/>
        <v>#VALUE!</v>
      </c>
      <c r="P884" t="e">
        <f t="shared" ca="1" si="422"/>
        <v>#VALUE!</v>
      </c>
      <c r="Q884" t="e">
        <f t="shared" ca="1" si="423"/>
        <v>#VALUE!</v>
      </c>
      <c r="R884" t="e">
        <f t="shared" ca="1" si="424"/>
        <v>#VALUE!</v>
      </c>
      <c r="S884" t="e">
        <f t="shared" ca="1" si="425"/>
        <v>#VALUE!</v>
      </c>
      <c r="T884" t="e">
        <f t="shared" ca="1" si="426"/>
        <v>#VALUE!</v>
      </c>
      <c r="U884" t="e">
        <f t="shared" ca="1" si="447"/>
        <v>#VALUE!</v>
      </c>
      <c r="V884" t="e">
        <f t="shared" ca="1" si="448"/>
        <v>#VALUE!</v>
      </c>
      <c r="W884" t="e">
        <f t="shared" ca="1" si="427"/>
        <v>#VALUE!</v>
      </c>
      <c r="X884" t="e">
        <f t="shared" ca="1" si="428"/>
        <v>#VALUE!</v>
      </c>
      <c r="Y884" t="e">
        <f t="shared" ca="1" si="429"/>
        <v>#VALUE!</v>
      </c>
      <c r="Z884" t="e">
        <f t="shared" ca="1" si="430"/>
        <v>#VALUE!</v>
      </c>
      <c r="AA884" t="e">
        <f t="shared" ca="1" si="431"/>
        <v>#VALUE!</v>
      </c>
      <c r="AB884" t="e">
        <f t="shared" ca="1" si="432"/>
        <v>#VALUE!</v>
      </c>
      <c r="AC884" t="e">
        <f t="shared" ca="1" si="433"/>
        <v>#VALUE!</v>
      </c>
      <c r="AD884" t="e">
        <f t="shared" ca="1" si="434"/>
        <v>#VALUE!</v>
      </c>
      <c r="AE884" t="e">
        <f t="shared" ca="1" si="435"/>
        <v>#VALUE!</v>
      </c>
      <c r="AF884" t="e">
        <f t="shared" ca="1" si="436"/>
        <v>#VALUE!</v>
      </c>
      <c r="AG884" t="e">
        <f t="shared" ca="1" si="437"/>
        <v>#VALUE!</v>
      </c>
      <c r="AH884" t="e">
        <f ca="1">IF(V32="Supercritical",L884,IF(V32="Subcritical",W884,IF(AND(V884=1,AG884=1),IF(T884&gt;=AE884,L884,W884),IF(V884=1,L884,IF(AG884=1,W884,MAX($D$16,POWER((ABS(K884)^2)/($I$5*MAX(F884,0.1)^2),1/3)))))))</f>
        <v>#VALUE!</v>
      </c>
      <c r="AI884" t="e">
        <f t="shared" ca="1" si="438"/>
        <v>#VALUE!</v>
      </c>
      <c r="AJ884" t="e">
        <f t="shared" ca="1" si="439"/>
        <v>#VALUE!</v>
      </c>
      <c r="AM884">
        <v>0</v>
      </c>
      <c r="AN884">
        <v>0</v>
      </c>
      <c r="AO884">
        <f t="shared" si="440"/>
        <v>0</v>
      </c>
      <c r="AP884">
        <f t="shared" si="449"/>
        <v>0</v>
      </c>
      <c r="AQ884" t="e">
        <f t="shared" ca="1" si="441"/>
        <v>#VALUE!</v>
      </c>
      <c r="AR884" t="e">
        <f t="shared" ca="1" si="442"/>
        <v>#VALUE!</v>
      </c>
      <c r="AS884" t="e">
        <f t="shared" ca="1" si="443"/>
        <v>#VALUE!</v>
      </c>
    </row>
    <row r="885" spans="1:45" x14ac:dyDescent="0.35">
      <c r="A885">
        <v>736</v>
      </c>
      <c r="B885">
        <v>734.89099999999996</v>
      </c>
      <c r="C885">
        <v>616097.49600000004</v>
      </c>
      <c r="D885">
        <v>3097268.01</v>
      </c>
      <c r="E885">
        <v>632.19449999999995</v>
      </c>
      <c r="F885">
        <v>5.0670000000000002</v>
      </c>
      <c r="G885">
        <v>0</v>
      </c>
      <c r="H885" t="s">
        <v>191</v>
      </c>
      <c r="I885">
        <v>5.5E-2</v>
      </c>
      <c r="J885">
        <f t="shared" si="444"/>
        <v>0.99899999999990996</v>
      </c>
      <c r="K885">
        <f t="shared" si="445"/>
        <v>51</v>
      </c>
      <c r="L885" t="e">
        <f t="shared" ca="1" si="446"/>
        <v>#VALUE!</v>
      </c>
      <c r="M885" t="e">
        <f t="shared" ca="1" si="419"/>
        <v>#VALUE!</v>
      </c>
      <c r="N885" t="e">
        <f t="shared" ca="1" si="420"/>
        <v>#VALUE!</v>
      </c>
      <c r="O885" t="e">
        <f t="shared" ca="1" si="421"/>
        <v>#VALUE!</v>
      </c>
      <c r="P885" t="e">
        <f t="shared" ca="1" si="422"/>
        <v>#VALUE!</v>
      </c>
      <c r="Q885" t="e">
        <f t="shared" ca="1" si="423"/>
        <v>#VALUE!</v>
      </c>
      <c r="R885" t="e">
        <f t="shared" ca="1" si="424"/>
        <v>#VALUE!</v>
      </c>
      <c r="S885" t="e">
        <f t="shared" ca="1" si="425"/>
        <v>#VALUE!</v>
      </c>
      <c r="T885" t="e">
        <f t="shared" ca="1" si="426"/>
        <v>#VALUE!</v>
      </c>
      <c r="U885" t="e">
        <f t="shared" ca="1" si="447"/>
        <v>#VALUE!</v>
      </c>
      <c r="V885" t="e">
        <f t="shared" ca="1" si="448"/>
        <v>#VALUE!</v>
      </c>
      <c r="W885" t="e">
        <f t="shared" ca="1" si="427"/>
        <v>#VALUE!</v>
      </c>
      <c r="X885" t="e">
        <f t="shared" ca="1" si="428"/>
        <v>#VALUE!</v>
      </c>
      <c r="Y885" t="e">
        <f t="shared" ca="1" si="429"/>
        <v>#VALUE!</v>
      </c>
      <c r="Z885" t="e">
        <f t="shared" ca="1" si="430"/>
        <v>#VALUE!</v>
      </c>
      <c r="AA885" t="e">
        <f t="shared" ca="1" si="431"/>
        <v>#VALUE!</v>
      </c>
      <c r="AB885" t="e">
        <f t="shared" ca="1" si="432"/>
        <v>#VALUE!</v>
      </c>
      <c r="AC885" t="e">
        <f t="shared" ca="1" si="433"/>
        <v>#VALUE!</v>
      </c>
      <c r="AD885" t="e">
        <f t="shared" ca="1" si="434"/>
        <v>#VALUE!</v>
      </c>
      <c r="AE885" t="e">
        <f t="shared" ca="1" si="435"/>
        <v>#VALUE!</v>
      </c>
      <c r="AF885" t="e">
        <f t="shared" ca="1" si="436"/>
        <v>#VALUE!</v>
      </c>
      <c r="AG885" t="e">
        <f t="shared" ca="1" si="437"/>
        <v>#VALUE!</v>
      </c>
      <c r="AH885" t="e">
        <f ca="1">IF(V32="Supercritical",L885,IF(V32="Subcritical",W885,IF(AND(V885=1,AG885=1),IF(T885&gt;=AE885,L885,W885),IF(V885=1,L885,IF(AG885=1,W885,MAX($D$16,POWER((ABS(K885)^2)/($I$5*MAX(F885,0.1)^2),1/3)))))))</f>
        <v>#VALUE!</v>
      </c>
      <c r="AI885" t="e">
        <f t="shared" ca="1" si="438"/>
        <v>#VALUE!</v>
      </c>
      <c r="AJ885" t="e">
        <f t="shared" ca="1" si="439"/>
        <v>#VALUE!</v>
      </c>
      <c r="AM885">
        <v>0</v>
      </c>
      <c r="AN885">
        <v>0</v>
      </c>
      <c r="AO885">
        <f t="shared" si="440"/>
        <v>0</v>
      </c>
      <c r="AP885">
        <f t="shared" si="449"/>
        <v>0</v>
      </c>
      <c r="AQ885" t="e">
        <f t="shared" ca="1" si="441"/>
        <v>#VALUE!</v>
      </c>
      <c r="AR885" t="e">
        <f t="shared" ca="1" si="442"/>
        <v>#VALUE!</v>
      </c>
      <c r="AS885" t="e">
        <f t="shared" ca="1" si="443"/>
        <v>#VALUE!</v>
      </c>
    </row>
    <row r="886" spans="1:45" x14ac:dyDescent="0.35">
      <c r="A886">
        <v>737</v>
      </c>
      <c r="B886">
        <v>735.89099999999996</v>
      </c>
      <c r="C886">
        <v>616097.23199999996</v>
      </c>
      <c r="D886">
        <v>3097267.0460000001</v>
      </c>
      <c r="E886">
        <v>632.19399999999996</v>
      </c>
      <c r="F886">
        <v>5.0670000000000002</v>
      </c>
      <c r="G886">
        <v>0</v>
      </c>
      <c r="H886" t="s">
        <v>191</v>
      </c>
      <c r="I886">
        <v>0.04</v>
      </c>
      <c r="J886">
        <f t="shared" si="444"/>
        <v>1</v>
      </c>
      <c r="K886">
        <f t="shared" si="445"/>
        <v>51</v>
      </c>
      <c r="L886" t="e">
        <f t="shared" ca="1" si="446"/>
        <v>#VALUE!</v>
      </c>
      <c r="M886" t="e">
        <f t="shared" ca="1" si="419"/>
        <v>#VALUE!</v>
      </c>
      <c r="N886" t="e">
        <f t="shared" ca="1" si="420"/>
        <v>#VALUE!</v>
      </c>
      <c r="O886" t="e">
        <f t="shared" ca="1" si="421"/>
        <v>#VALUE!</v>
      </c>
      <c r="P886" t="e">
        <f t="shared" ca="1" si="422"/>
        <v>#VALUE!</v>
      </c>
      <c r="Q886" t="e">
        <f t="shared" ca="1" si="423"/>
        <v>#VALUE!</v>
      </c>
      <c r="R886" t="e">
        <f t="shared" ca="1" si="424"/>
        <v>#VALUE!</v>
      </c>
      <c r="S886" t="e">
        <f t="shared" ca="1" si="425"/>
        <v>#VALUE!</v>
      </c>
      <c r="T886" t="e">
        <f t="shared" ca="1" si="426"/>
        <v>#VALUE!</v>
      </c>
      <c r="U886" t="e">
        <f t="shared" ca="1" si="447"/>
        <v>#VALUE!</v>
      </c>
      <c r="V886" t="e">
        <f t="shared" ca="1" si="448"/>
        <v>#VALUE!</v>
      </c>
      <c r="W886" t="e">
        <f t="shared" ca="1" si="427"/>
        <v>#VALUE!</v>
      </c>
      <c r="X886" t="e">
        <f t="shared" ca="1" si="428"/>
        <v>#VALUE!</v>
      </c>
      <c r="Y886" t="e">
        <f t="shared" ca="1" si="429"/>
        <v>#VALUE!</v>
      </c>
      <c r="Z886" t="e">
        <f t="shared" ca="1" si="430"/>
        <v>#VALUE!</v>
      </c>
      <c r="AA886" t="e">
        <f t="shared" ca="1" si="431"/>
        <v>#VALUE!</v>
      </c>
      <c r="AB886" t="e">
        <f t="shared" ca="1" si="432"/>
        <v>#VALUE!</v>
      </c>
      <c r="AC886" t="e">
        <f t="shared" ca="1" si="433"/>
        <v>#VALUE!</v>
      </c>
      <c r="AD886" t="e">
        <f t="shared" ca="1" si="434"/>
        <v>#VALUE!</v>
      </c>
      <c r="AE886" t="e">
        <f t="shared" ca="1" si="435"/>
        <v>#VALUE!</v>
      </c>
      <c r="AF886" t="e">
        <f t="shared" ca="1" si="436"/>
        <v>#VALUE!</v>
      </c>
      <c r="AG886" t="e">
        <f t="shared" ca="1" si="437"/>
        <v>#VALUE!</v>
      </c>
      <c r="AH886" t="e">
        <f ca="1">IF(V32="Supercritical",L886,IF(V32="Subcritical",W886,IF(AND(V886=1,AG886=1),IF(T886&gt;=AE886,L886,W886),IF(V886=1,L886,IF(AG886=1,W886,MAX($D$16,POWER((ABS(K886)^2)/($I$5*MAX(F886,0.1)^2),1/3)))))))</f>
        <v>#VALUE!</v>
      </c>
      <c r="AI886" t="e">
        <f t="shared" ca="1" si="438"/>
        <v>#VALUE!</v>
      </c>
      <c r="AJ886" t="e">
        <f t="shared" ca="1" si="439"/>
        <v>#VALUE!</v>
      </c>
      <c r="AM886">
        <v>0</v>
      </c>
      <c r="AN886">
        <v>0</v>
      </c>
      <c r="AO886">
        <f t="shared" si="440"/>
        <v>0</v>
      </c>
      <c r="AP886">
        <f t="shared" si="449"/>
        <v>0</v>
      </c>
      <c r="AQ886" t="e">
        <f t="shared" ca="1" si="441"/>
        <v>#VALUE!</v>
      </c>
      <c r="AR886" t="e">
        <f t="shared" ca="1" si="442"/>
        <v>#VALUE!</v>
      </c>
      <c r="AS886" t="e">
        <f t="shared" ca="1" si="443"/>
        <v>#VALUE!</v>
      </c>
    </row>
    <row r="887" spans="1:45" x14ac:dyDescent="0.35">
      <c r="A887">
        <v>738</v>
      </c>
      <c r="B887">
        <v>736.89200000000005</v>
      </c>
      <c r="C887">
        <v>616096.96699999995</v>
      </c>
      <c r="D887">
        <v>3097266.0809999998</v>
      </c>
      <c r="E887">
        <v>632.19349999999997</v>
      </c>
      <c r="F887">
        <v>5.0670000000000002</v>
      </c>
      <c r="G887">
        <v>0</v>
      </c>
      <c r="H887" t="s">
        <v>191</v>
      </c>
      <c r="I887">
        <v>1.4999999999999999E-2</v>
      </c>
      <c r="J887">
        <f t="shared" si="444"/>
        <v>1.00100000000009</v>
      </c>
      <c r="K887">
        <f t="shared" si="445"/>
        <v>51</v>
      </c>
      <c r="L887" t="e">
        <f t="shared" ca="1" si="446"/>
        <v>#VALUE!</v>
      </c>
      <c r="M887" t="e">
        <f t="shared" ca="1" si="419"/>
        <v>#VALUE!</v>
      </c>
      <c r="N887" t="e">
        <f t="shared" ca="1" si="420"/>
        <v>#VALUE!</v>
      </c>
      <c r="O887" t="e">
        <f t="shared" ca="1" si="421"/>
        <v>#VALUE!</v>
      </c>
      <c r="P887" t="e">
        <f t="shared" ca="1" si="422"/>
        <v>#VALUE!</v>
      </c>
      <c r="Q887" t="e">
        <f t="shared" ca="1" si="423"/>
        <v>#VALUE!</v>
      </c>
      <c r="R887" t="e">
        <f t="shared" ca="1" si="424"/>
        <v>#VALUE!</v>
      </c>
      <c r="S887" t="e">
        <f t="shared" ca="1" si="425"/>
        <v>#VALUE!</v>
      </c>
      <c r="T887" t="e">
        <f t="shared" ca="1" si="426"/>
        <v>#VALUE!</v>
      </c>
      <c r="U887" t="e">
        <f t="shared" ca="1" si="447"/>
        <v>#VALUE!</v>
      </c>
      <c r="V887" t="e">
        <f t="shared" ca="1" si="448"/>
        <v>#VALUE!</v>
      </c>
      <c r="W887" t="e">
        <f t="shared" ca="1" si="427"/>
        <v>#VALUE!</v>
      </c>
      <c r="X887" t="e">
        <f t="shared" ca="1" si="428"/>
        <v>#VALUE!</v>
      </c>
      <c r="Y887" t="e">
        <f t="shared" ca="1" si="429"/>
        <v>#VALUE!</v>
      </c>
      <c r="Z887" t="e">
        <f t="shared" ca="1" si="430"/>
        <v>#VALUE!</v>
      </c>
      <c r="AA887" t="e">
        <f t="shared" ca="1" si="431"/>
        <v>#VALUE!</v>
      </c>
      <c r="AB887" t="e">
        <f t="shared" ca="1" si="432"/>
        <v>#VALUE!</v>
      </c>
      <c r="AC887" t="e">
        <f t="shared" ca="1" si="433"/>
        <v>#VALUE!</v>
      </c>
      <c r="AD887" t="e">
        <f t="shared" ca="1" si="434"/>
        <v>#VALUE!</v>
      </c>
      <c r="AE887" t="e">
        <f t="shared" ca="1" si="435"/>
        <v>#VALUE!</v>
      </c>
      <c r="AF887" t="e">
        <f t="shared" ca="1" si="436"/>
        <v>#VALUE!</v>
      </c>
      <c r="AG887" t="e">
        <f t="shared" ca="1" si="437"/>
        <v>#VALUE!</v>
      </c>
      <c r="AH887" t="e">
        <f ca="1">IF(V32="Supercritical",L887,IF(V32="Subcritical",W887,IF(AND(V887=1,AG887=1),IF(T887&gt;=AE887,L887,W887),IF(V887=1,L887,IF(AG887=1,W887,MAX($D$16,POWER((ABS(K887)^2)/($I$5*MAX(F887,0.1)^2),1/3)))))))</f>
        <v>#VALUE!</v>
      </c>
      <c r="AI887" t="e">
        <f t="shared" ca="1" si="438"/>
        <v>#VALUE!</v>
      </c>
      <c r="AJ887" t="e">
        <f t="shared" ca="1" si="439"/>
        <v>#VALUE!</v>
      </c>
      <c r="AM887">
        <v>0</v>
      </c>
      <c r="AN887">
        <v>0</v>
      </c>
      <c r="AO887">
        <f t="shared" si="440"/>
        <v>0</v>
      </c>
      <c r="AP887">
        <f t="shared" si="449"/>
        <v>0</v>
      </c>
      <c r="AQ887" t="e">
        <f t="shared" ca="1" si="441"/>
        <v>#VALUE!</v>
      </c>
      <c r="AR887" t="e">
        <f t="shared" ca="1" si="442"/>
        <v>#VALUE!</v>
      </c>
      <c r="AS887" t="e">
        <f t="shared" ca="1" si="443"/>
        <v>#VALUE!</v>
      </c>
    </row>
    <row r="888" spans="1:45" x14ac:dyDescent="0.35">
      <c r="A888">
        <v>739</v>
      </c>
      <c r="B888">
        <v>737.89099999999996</v>
      </c>
      <c r="C888">
        <v>616096.70200000005</v>
      </c>
      <c r="D888">
        <v>3097265.1170000001</v>
      </c>
      <c r="E888">
        <v>632.19299999999998</v>
      </c>
      <c r="F888">
        <v>5.0670000000000002</v>
      </c>
      <c r="G888">
        <v>0</v>
      </c>
      <c r="H888" t="s">
        <v>191</v>
      </c>
      <c r="I888">
        <v>5.5E-2</v>
      </c>
      <c r="J888">
        <f t="shared" si="444"/>
        <v>0.99899999999990996</v>
      </c>
      <c r="K888">
        <f t="shared" si="445"/>
        <v>51</v>
      </c>
      <c r="L888" t="e">
        <f t="shared" ca="1" si="446"/>
        <v>#VALUE!</v>
      </c>
      <c r="M888" t="e">
        <f t="shared" ca="1" si="419"/>
        <v>#VALUE!</v>
      </c>
      <c r="N888" t="e">
        <f t="shared" ca="1" si="420"/>
        <v>#VALUE!</v>
      </c>
      <c r="O888" t="e">
        <f t="shared" ca="1" si="421"/>
        <v>#VALUE!</v>
      </c>
      <c r="P888" t="e">
        <f t="shared" ca="1" si="422"/>
        <v>#VALUE!</v>
      </c>
      <c r="Q888" t="e">
        <f t="shared" ca="1" si="423"/>
        <v>#VALUE!</v>
      </c>
      <c r="R888" t="e">
        <f t="shared" ca="1" si="424"/>
        <v>#VALUE!</v>
      </c>
      <c r="S888" t="e">
        <f t="shared" ca="1" si="425"/>
        <v>#VALUE!</v>
      </c>
      <c r="T888" t="e">
        <f t="shared" ca="1" si="426"/>
        <v>#VALUE!</v>
      </c>
      <c r="U888" t="e">
        <f t="shared" ca="1" si="447"/>
        <v>#VALUE!</v>
      </c>
      <c r="V888" t="e">
        <f t="shared" ca="1" si="448"/>
        <v>#VALUE!</v>
      </c>
      <c r="W888" t="e">
        <f t="shared" ca="1" si="427"/>
        <v>#VALUE!</v>
      </c>
      <c r="X888" t="e">
        <f t="shared" ca="1" si="428"/>
        <v>#VALUE!</v>
      </c>
      <c r="Y888" t="e">
        <f t="shared" ca="1" si="429"/>
        <v>#VALUE!</v>
      </c>
      <c r="Z888" t="e">
        <f t="shared" ca="1" si="430"/>
        <v>#VALUE!</v>
      </c>
      <c r="AA888" t="e">
        <f t="shared" ca="1" si="431"/>
        <v>#VALUE!</v>
      </c>
      <c r="AB888" t="e">
        <f t="shared" ca="1" si="432"/>
        <v>#VALUE!</v>
      </c>
      <c r="AC888" t="e">
        <f t="shared" ca="1" si="433"/>
        <v>#VALUE!</v>
      </c>
      <c r="AD888" t="e">
        <f t="shared" ca="1" si="434"/>
        <v>#VALUE!</v>
      </c>
      <c r="AE888" t="e">
        <f t="shared" ca="1" si="435"/>
        <v>#VALUE!</v>
      </c>
      <c r="AF888" t="e">
        <f t="shared" ca="1" si="436"/>
        <v>#VALUE!</v>
      </c>
      <c r="AG888" t="e">
        <f t="shared" ca="1" si="437"/>
        <v>#VALUE!</v>
      </c>
      <c r="AH888" t="e">
        <f ca="1">IF(V32="Supercritical",L888,IF(V32="Subcritical",W888,IF(AND(V888=1,AG888=1),IF(T888&gt;=AE888,L888,W888),IF(V888=1,L888,IF(AG888=1,W888,MAX($D$16,POWER((ABS(K888)^2)/($I$5*MAX(F888,0.1)^2),1/3)))))))</f>
        <v>#VALUE!</v>
      </c>
      <c r="AI888" t="e">
        <f t="shared" ca="1" si="438"/>
        <v>#VALUE!</v>
      </c>
      <c r="AJ888" t="e">
        <f t="shared" ca="1" si="439"/>
        <v>#VALUE!</v>
      </c>
      <c r="AM888">
        <v>0</v>
      </c>
      <c r="AN888">
        <v>0</v>
      </c>
      <c r="AO888">
        <f t="shared" si="440"/>
        <v>0</v>
      </c>
      <c r="AP888">
        <f t="shared" si="449"/>
        <v>0</v>
      </c>
      <c r="AQ888" t="e">
        <f t="shared" ca="1" si="441"/>
        <v>#VALUE!</v>
      </c>
      <c r="AR888" t="e">
        <f t="shared" ca="1" si="442"/>
        <v>#VALUE!</v>
      </c>
      <c r="AS888" t="e">
        <f t="shared" ca="1" si="443"/>
        <v>#VALUE!</v>
      </c>
    </row>
    <row r="889" spans="1:45" x14ac:dyDescent="0.35">
      <c r="A889">
        <v>740</v>
      </c>
      <c r="B889">
        <v>738.89099999999996</v>
      </c>
      <c r="C889">
        <v>616096.43799999997</v>
      </c>
      <c r="D889">
        <v>3097264.1529999999</v>
      </c>
      <c r="E889">
        <v>632.1925</v>
      </c>
      <c r="F889">
        <v>5.0670000000000002</v>
      </c>
      <c r="G889">
        <v>0</v>
      </c>
      <c r="H889" t="s">
        <v>191</v>
      </c>
      <c r="I889">
        <v>0.04</v>
      </c>
      <c r="J889">
        <f t="shared" si="444"/>
        <v>1</v>
      </c>
      <c r="K889">
        <f t="shared" si="445"/>
        <v>51</v>
      </c>
      <c r="L889" t="e">
        <f t="shared" ca="1" si="446"/>
        <v>#VALUE!</v>
      </c>
      <c r="M889" t="e">
        <f t="shared" ca="1" si="419"/>
        <v>#VALUE!</v>
      </c>
      <c r="N889" t="e">
        <f t="shared" ca="1" si="420"/>
        <v>#VALUE!</v>
      </c>
      <c r="O889" t="e">
        <f t="shared" ca="1" si="421"/>
        <v>#VALUE!</v>
      </c>
      <c r="P889" t="e">
        <f t="shared" ca="1" si="422"/>
        <v>#VALUE!</v>
      </c>
      <c r="Q889" t="e">
        <f t="shared" ca="1" si="423"/>
        <v>#VALUE!</v>
      </c>
      <c r="R889" t="e">
        <f t="shared" ca="1" si="424"/>
        <v>#VALUE!</v>
      </c>
      <c r="S889" t="e">
        <f t="shared" ca="1" si="425"/>
        <v>#VALUE!</v>
      </c>
      <c r="T889" t="e">
        <f t="shared" ca="1" si="426"/>
        <v>#VALUE!</v>
      </c>
      <c r="U889" t="e">
        <f t="shared" ca="1" si="447"/>
        <v>#VALUE!</v>
      </c>
      <c r="V889" t="e">
        <f t="shared" ca="1" si="448"/>
        <v>#VALUE!</v>
      </c>
      <c r="W889" t="e">
        <f t="shared" ca="1" si="427"/>
        <v>#VALUE!</v>
      </c>
      <c r="X889" t="e">
        <f t="shared" ca="1" si="428"/>
        <v>#VALUE!</v>
      </c>
      <c r="Y889" t="e">
        <f t="shared" ca="1" si="429"/>
        <v>#VALUE!</v>
      </c>
      <c r="Z889" t="e">
        <f t="shared" ca="1" si="430"/>
        <v>#VALUE!</v>
      </c>
      <c r="AA889" t="e">
        <f t="shared" ca="1" si="431"/>
        <v>#VALUE!</v>
      </c>
      <c r="AB889" t="e">
        <f t="shared" ca="1" si="432"/>
        <v>#VALUE!</v>
      </c>
      <c r="AC889" t="e">
        <f t="shared" ca="1" si="433"/>
        <v>#VALUE!</v>
      </c>
      <c r="AD889" t="e">
        <f t="shared" ca="1" si="434"/>
        <v>#VALUE!</v>
      </c>
      <c r="AE889" t="e">
        <f t="shared" ca="1" si="435"/>
        <v>#VALUE!</v>
      </c>
      <c r="AF889" t="e">
        <f t="shared" ca="1" si="436"/>
        <v>#VALUE!</v>
      </c>
      <c r="AG889" t="e">
        <f t="shared" ca="1" si="437"/>
        <v>#VALUE!</v>
      </c>
      <c r="AH889" t="e">
        <f ca="1">IF(V32="Supercritical",L889,IF(V32="Subcritical",W889,IF(AND(V889=1,AG889=1),IF(T889&gt;=AE889,L889,W889),IF(V889=1,L889,IF(AG889=1,W889,MAX($D$16,POWER((ABS(K889)^2)/($I$5*MAX(F889,0.1)^2),1/3)))))))</f>
        <v>#VALUE!</v>
      </c>
      <c r="AI889" t="e">
        <f t="shared" ca="1" si="438"/>
        <v>#VALUE!</v>
      </c>
      <c r="AJ889" t="e">
        <f t="shared" ca="1" si="439"/>
        <v>#VALUE!</v>
      </c>
      <c r="AM889">
        <v>0</v>
      </c>
      <c r="AN889">
        <v>0</v>
      </c>
      <c r="AO889">
        <f t="shared" si="440"/>
        <v>0</v>
      </c>
      <c r="AP889">
        <f t="shared" si="449"/>
        <v>0</v>
      </c>
      <c r="AQ889" t="e">
        <f t="shared" ca="1" si="441"/>
        <v>#VALUE!</v>
      </c>
      <c r="AR889" t="e">
        <f t="shared" ca="1" si="442"/>
        <v>#VALUE!</v>
      </c>
      <c r="AS889" t="e">
        <f t="shared" ca="1" si="443"/>
        <v>#VALUE!</v>
      </c>
    </row>
    <row r="890" spans="1:45" x14ac:dyDescent="0.35">
      <c r="A890">
        <v>741</v>
      </c>
      <c r="B890">
        <v>739.89099999999996</v>
      </c>
      <c r="C890">
        <v>616096.17299999995</v>
      </c>
      <c r="D890">
        <v>3097263.1880000001</v>
      </c>
      <c r="E890">
        <v>632.19200000000001</v>
      </c>
      <c r="F890">
        <v>5.0670000000000002</v>
      </c>
      <c r="G890">
        <v>0</v>
      </c>
      <c r="H890" t="s">
        <v>191</v>
      </c>
      <c r="I890">
        <v>0.04</v>
      </c>
      <c r="J890">
        <f t="shared" si="444"/>
        <v>1</v>
      </c>
      <c r="K890">
        <f t="shared" si="445"/>
        <v>51</v>
      </c>
      <c r="L890" t="e">
        <f t="shared" ca="1" si="446"/>
        <v>#VALUE!</v>
      </c>
      <c r="M890" t="e">
        <f t="shared" ca="1" si="419"/>
        <v>#VALUE!</v>
      </c>
      <c r="N890" t="e">
        <f t="shared" ca="1" si="420"/>
        <v>#VALUE!</v>
      </c>
      <c r="O890" t="e">
        <f t="shared" ca="1" si="421"/>
        <v>#VALUE!</v>
      </c>
      <c r="P890" t="e">
        <f t="shared" ca="1" si="422"/>
        <v>#VALUE!</v>
      </c>
      <c r="Q890" t="e">
        <f t="shared" ca="1" si="423"/>
        <v>#VALUE!</v>
      </c>
      <c r="R890" t="e">
        <f t="shared" ca="1" si="424"/>
        <v>#VALUE!</v>
      </c>
      <c r="S890" t="e">
        <f t="shared" ca="1" si="425"/>
        <v>#VALUE!</v>
      </c>
      <c r="T890" t="e">
        <f t="shared" ca="1" si="426"/>
        <v>#VALUE!</v>
      </c>
      <c r="U890" t="e">
        <f t="shared" ca="1" si="447"/>
        <v>#VALUE!</v>
      </c>
      <c r="V890" t="e">
        <f t="shared" ca="1" si="448"/>
        <v>#VALUE!</v>
      </c>
      <c r="W890" t="e">
        <f t="shared" ca="1" si="427"/>
        <v>#VALUE!</v>
      </c>
      <c r="X890" t="e">
        <f t="shared" ca="1" si="428"/>
        <v>#VALUE!</v>
      </c>
      <c r="Y890" t="e">
        <f t="shared" ca="1" si="429"/>
        <v>#VALUE!</v>
      </c>
      <c r="Z890" t="e">
        <f t="shared" ca="1" si="430"/>
        <v>#VALUE!</v>
      </c>
      <c r="AA890" t="e">
        <f t="shared" ca="1" si="431"/>
        <v>#VALUE!</v>
      </c>
      <c r="AB890" t="e">
        <f t="shared" ca="1" si="432"/>
        <v>#VALUE!</v>
      </c>
      <c r="AC890" t="e">
        <f t="shared" ca="1" si="433"/>
        <v>#VALUE!</v>
      </c>
      <c r="AD890" t="e">
        <f t="shared" ca="1" si="434"/>
        <v>#VALUE!</v>
      </c>
      <c r="AE890" t="e">
        <f t="shared" ca="1" si="435"/>
        <v>#VALUE!</v>
      </c>
      <c r="AF890" t="e">
        <f t="shared" ca="1" si="436"/>
        <v>#VALUE!</v>
      </c>
      <c r="AG890" t="e">
        <f t="shared" ca="1" si="437"/>
        <v>#VALUE!</v>
      </c>
      <c r="AH890" t="e">
        <f ca="1">IF(V32="Supercritical",L890,IF(V32="Subcritical",W890,IF(AND(V890=1,AG890=1),IF(T890&gt;=AE890,L890,W890),IF(V890=1,L890,IF(AG890=1,W890,MAX($D$16,POWER((ABS(K890)^2)/($I$5*MAX(F890,0.1)^2),1/3)))))))</f>
        <v>#VALUE!</v>
      </c>
      <c r="AI890" t="e">
        <f t="shared" ca="1" si="438"/>
        <v>#VALUE!</v>
      </c>
      <c r="AJ890" t="e">
        <f t="shared" ca="1" si="439"/>
        <v>#VALUE!</v>
      </c>
      <c r="AM890">
        <v>0</v>
      </c>
      <c r="AN890">
        <v>0</v>
      </c>
      <c r="AO890">
        <f t="shared" si="440"/>
        <v>0</v>
      </c>
      <c r="AP890">
        <f t="shared" si="449"/>
        <v>0</v>
      </c>
      <c r="AQ890" t="e">
        <f t="shared" ca="1" si="441"/>
        <v>#VALUE!</v>
      </c>
      <c r="AR890" t="e">
        <f t="shared" ca="1" si="442"/>
        <v>#VALUE!</v>
      </c>
      <c r="AS890" t="e">
        <f t="shared" ca="1" si="443"/>
        <v>#VALUE!</v>
      </c>
    </row>
    <row r="891" spans="1:45" x14ac:dyDescent="0.35">
      <c r="A891">
        <v>742</v>
      </c>
      <c r="B891">
        <v>740.89099999999996</v>
      </c>
      <c r="C891">
        <v>616095.90899999999</v>
      </c>
      <c r="D891">
        <v>3097262.2239999999</v>
      </c>
      <c r="E891">
        <v>632.19150000000002</v>
      </c>
      <c r="F891">
        <v>5.0670000000000002</v>
      </c>
      <c r="G891">
        <v>0</v>
      </c>
      <c r="H891" t="s">
        <v>191</v>
      </c>
      <c r="I891">
        <v>5.5E-2</v>
      </c>
      <c r="J891">
        <f t="shared" si="444"/>
        <v>1</v>
      </c>
      <c r="K891">
        <f t="shared" si="445"/>
        <v>51</v>
      </c>
      <c r="L891" t="e">
        <f t="shared" ca="1" si="446"/>
        <v>#VALUE!</v>
      </c>
      <c r="M891" t="e">
        <f t="shared" ca="1" si="419"/>
        <v>#VALUE!</v>
      </c>
      <c r="N891" t="e">
        <f t="shared" ca="1" si="420"/>
        <v>#VALUE!</v>
      </c>
      <c r="O891" t="e">
        <f t="shared" ca="1" si="421"/>
        <v>#VALUE!</v>
      </c>
      <c r="P891" t="e">
        <f t="shared" ca="1" si="422"/>
        <v>#VALUE!</v>
      </c>
      <c r="Q891" t="e">
        <f t="shared" ca="1" si="423"/>
        <v>#VALUE!</v>
      </c>
      <c r="R891" t="e">
        <f t="shared" ca="1" si="424"/>
        <v>#VALUE!</v>
      </c>
      <c r="S891" t="e">
        <f t="shared" ca="1" si="425"/>
        <v>#VALUE!</v>
      </c>
      <c r="T891" t="e">
        <f t="shared" ca="1" si="426"/>
        <v>#VALUE!</v>
      </c>
      <c r="U891" t="e">
        <f t="shared" ca="1" si="447"/>
        <v>#VALUE!</v>
      </c>
      <c r="V891" t="e">
        <f t="shared" ca="1" si="448"/>
        <v>#VALUE!</v>
      </c>
      <c r="W891" t="e">
        <f t="shared" ca="1" si="427"/>
        <v>#VALUE!</v>
      </c>
      <c r="X891" t="e">
        <f t="shared" ca="1" si="428"/>
        <v>#VALUE!</v>
      </c>
      <c r="Y891" t="e">
        <f t="shared" ca="1" si="429"/>
        <v>#VALUE!</v>
      </c>
      <c r="Z891" t="e">
        <f t="shared" ca="1" si="430"/>
        <v>#VALUE!</v>
      </c>
      <c r="AA891" t="e">
        <f t="shared" ca="1" si="431"/>
        <v>#VALUE!</v>
      </c>
      <c r="AB891" t="e">
        <f t="shared" ca="1" si="432"/>
        <v>#VALUE!</v>
      </c>
      <c r="AC891" t="e">
        <f t="shared" ca="1" si="433"/>
        <v>#VALUE!</v>
      </c>
      <c r="AD891" t="e">
        <f t="shared" ca="1" si="434"/>
        <v>#VALUE!</v>
      </c>
      <c r="AE891" t="e">
        <f t="shared" ca="1" si="435"/>
        <v>#VALUE!</v>
      </c>
      <c r="AF891" t="e">
        <f t="shared" ca="1" si="436"/>
        <v>#VALUE!</v>
      </c>
      <c r="AG891" t="e">
        <f t="shared" ca="1" si="437"/>
        <v>#VALUE!</v>
      </c>
      <c r="AH891" t="e">
        <f ca="1">IF(V32="Supercritical",L891,IF(V32="Subcritical",W891,IF(AND(V891=1,AG891=1),IF(T891&gt;=AE891,L891,W891),IF(V891=1,L891,IF(AG891=1,W891,MAX($D$16,POWER((ABS(K891)^2)/($I$5*MAX(F891,0.1)^2),1/3)))))))</f>
        <v>#VALUE!</v>
      </c>
      <c r="AI891" t="e">
        <f t="shared" ca="1" si="438"/>
        <v>#VALUE!</v>
      </c>
      <c r="AJ891" t="e">
        <f t="shared" ca="1" si="439"/>
        <v>#VALUE!</v>
      </c>
      <c r="AM891">
        <v>0</v>
      </c>
      <c r="AN891">
        <v>0</v>
      </c>
      <c r="AO891">
        <f t="shared" si="440"/>
        <v>0</v>
      </c>
      <c r="AP891">
        <f t="shared" si="449"/>
        <v>0</v>
      </c>
      <c r="AQ891" t="e">
        <f t="shared" ca="1" si="441"/>
        <v>#VALUE!</v>
      </c>
      <c r="AR891" t="e">
        <f t="shared" ca="1" si="442"/>
        <v>#VALUE!</v>
      </c>
      <c r="AS891" t="e">
        <f t="shared" ca="1" si="443"/>
        <v>#VALUE!</v>
      </c>
    </row>
    <row r="892" spans="1:45" x14ac:dyDescent="0.35">
      <c r="A892">
        <v>743</v>
      </c>
      <c r="B892">
        <v>741.89099999999996</v>
      </c>
      <c r="C892">
        <v>616095.64399999997</v>
      </c>
      <c r="D892">
        <v>3097261.26</v>
      </c>
      <c r="E892">
        <v>632.19100000000003</v>
      </c>
      <c r="F892">
        <v>5.0670000000000002</v>
      </c>
      <c r="G892">
        <v>0</v>
      </c>
      <c r="H892" t="s">
        <v>191</v>
      </c>
      <c r="I892">
        <v>1.4999999999999999E-2</v>
      </c>
      <c r="J892">
        <f t="shared" si="444"/>
        <v>1</v>
      </c>
      <c r="K892">
        <f t="shared" si="445"/>
        <v>51</v>
      </c>
      <c r="L892" t="e">
        <f t="shared" ca="1" si="446"/>
        <v>#VALUE!</v>
      </c>
      <c r="M892" t="e">
        <f t="shared" ca="1" si="419"/>
        <v>#VALUE!</v>
      </c>
      <c r="N892" t="e">
        <f t="shared" ca="1" si="420"/>
        <v>#VALUE!</v>
      </c>
      <c r="O892" t="e">
        <f t="shared" ca="1" si="421"/>
        <v>#VALUE!</v>
      </c>
      <c r="P892" t="e">
        <f t="shared" ca="1" si="422"/>
        <v>#VALUE!</v>
      </c>
      <c r="Q892" t="e">
        <f t="shared" ca="1" si="423"/>
        <v>#VALUE!</v>
      </c>
      <c r="R892" t="e">
        <f t="shared" ca="1" si="424"/>
        <v>#VALUE!</v>
      </c>
      <c r="S892" t="e">
        <f t="shared" ca="1" si="425"/>
        <v>#VALUE!</v>
      </c>
      <c r="T892" t="e">
        <f t="shared" ca="1" si="426"/>
        <v>#VALUE!</v>
      </c>
      <c r="U892" t="e">
        <f t="shared" ca="1" si="447"/>
        <v>#VALUE!</v>
      </c>
      <c r="V892" t="e">
        <f t="shared" ca="1" si="448"/>
        <v>#VALUE!</v>
      </c>
      <c r="W892" t="e">
        <f t="shared" ca="1" si="427"/>
        <v>#VALUE!</v>
      </c>
      <c r="X892" t="e">
        <f t="shared" ca="1" si="428"/>
        <v>#VALUE!</v>
      </c>
      <c r="Y892" t="e">
        <f t="shared" ca="1" si="429"/>
        <v>#VALUE!</v>
      </c>
      <c r="Z892" t="e">
        <f t="shared" ca="1" si="430"/>
        <v>#VALUE!</v>
      </c>
      <c r="AA892" t="e">
        <f t="shared" ca="1" si="431"/>
        <v>#VALUE!</v>
      </c>
      <c r="AB892" t="e">
        <f t="shared" ca="1" si="432"/>
        <v>#VALUE!</v>
      </c>
      <c r="AC892" t="e">
        <f t="shared" ca="1" si="433"/>
        <v>#VALUE!</v>
      </c>
      <c r="AD892" t="e">
        <f t="shared" ca="1" si="434"/>
        <v>#VALUE!</v>
      </c>
      <c r="AE892" t="e">
        <f t="shared" ca="1" si="435"/>
        <v>#VALUE!</v>
      </c>
      <c r="AF892" t="e">
        <f t="shared" ca="1" si="436"/>
        <v>#VALUE!</v>
      </c>
      <c r="AG892" t="e">
        <f t="shared" ca="1" si="437"/>
        <v>#VALUE!</v>
      </c>
      <c r="AH892" t="e">
        <f ca="1">IF(V32="Supercritical",L892,IF(V32="Subcritical",W892,IF(AND(V892=1,AG892=1),IF(T892&gt;=AE892,L892,W892),IF(V892=1,L892,IF(AG892=1,W892,MAX($D$16,POWER((ABS(K892)^2)/($I$5*MAX(F892,0.1)^2),1/3)))))))</f>
        <v>#VALUE!</v>
      </c>
      <c r="AI892" t="e">
        <f t="shared" ca="1" si="438"/>
        <v>#VALUE!</v>
      </c>
      <c r="AJ892" t="e">
        <f t="shared" ca="1" si="439"/>
        <v>#VALUE!</v>
      </c>
      <c r="AM892">
        <v>0</v>
      </c>
      <c r="AN892">
        <v>0</v>
      </c>
      <c r="AO892">
        <f t="shared" si="440"/>
        <v>0</v>
      </c>
      <c r="AP892">
        <f t="shared" si="449"/>
        <v>0</v>
      </c>
      <c r="AQ892" t="e">
        <f t="shared" ca="1" si="441"/>
        <v>#VALUE!</v>
      </c>
      <c r="AR892" t="e">
        <f t="shared" ca="1" si="442"/>
        <v>#VALUE!</v>
      </c>
      <c r="AS892" t="e">
        <f t="shared" ca="1" si="443"/>
        <v>#VALUE!</v>
      </c>
    </row>
    <row r="893" spans="1:45" x14ac:dyDescent="0.35">
      <c r="A893">
        <v>744</v>
      </c>
      <c r="B893">
        <v>742.89099999999996</v>
      </c>
      <c r="C893">
        <v>616095.37899999996</v>
      </c>
      <c r="D893">
        <v>3097260.2949999999</v>
      </c>
      <c r="E893">
        <v>632.19050000000004</v>
      </c>
      <c r="F893">
        <v>5.0670000000000002</v>
      </c>
      <c r="G893">
        <v>0</v>
      </c>
      <c r="H893" t="s">
        <v>191</v>
      </c>
      <c r="I893">
        <v>0.04</v>
      </c>
      <c r="J893">
        <f t="shared" si="444"/>
        <v>1</v>
      </c>
      <c r="K893">
        <f t="shared" si="445"/>
        <v>51</v>
      </c>
      <c r="L893" t="e">
        <f t="shared" ca="1" si="446"/>
        <v>#VALUE!</v>
      </c>
      <c r="M893" t="e">
        <f t="shared" ca="1" si="419"/>
        <v>#VALUE!</v>
      </c>
      <c r="N893" t="e">
        <f t="shared" ca="1" si="420"/>
        <v>#VALUE!</v>
      </c>
      <c r="O893" t="e">
        <f t="shared" ca="1" si="421"/>
        <v>#VALUE!</v>
      </c>
      <c r="P893" t="e">
        <f t="shared" ca="1" si="422"/>
        <v>#VALUE!</v>
      </c>
      <c r="Q893" t="e">
        <f t="shared" ca="1" si="423"/>
        <v>#VALUE!</v>
      </c>
      <c r="R893" t="e">
        <f t="shared" ca="1" si="424"/>
        <v>#VALUE!</v>
      </c>
      <c r="S893" t="e">
        <f t="shared" ca="1" si="425"/>
        <v>#VALUE!</v>
      </c>
      <c r="T893" t="e">
        <f t="shared" ca="1" si="426"/>
        <v>#VALUE!</v>
      </c>
      <c r="U893" t="e">
        <f t="shared" ca="1" si="447"/>
        <v>#VALUE!</v>
      </c>
      <c r="V893" t="e">
        <f t="shared" ca="1" si="448"/>
        <v>#VALUE!</v>
      </c>
      <c r="W893" t="e">
        <f t="shared" ca="1" si="427"/>
        <v>#VALUE!</v>
      </c>
      <c r="X893" t="e">
        <f t="shared" ca="1" si="428"/>
        <v>#VALUE!</v>
      </c>
      <c r="Y893" t="e">
        <f t="shared" ca="1" si="429"/>
        <v>#VALUE!</v>
      </c>
      <c r="Z893" t="e">
        <f t="shared" ca="1" si="430"/>
        <v>#VALUE!</v>
      </c>
      <c r="AA893" t="e">
        <f t="shared" ca="1" si="431"/>
        <v>#VALUE!</v>
      </c>
      <c r="AB893" t="e">
        <f t="shared" ca="1" si="432"/>
        <v>#VALUE!</v>
      </c>
      <c r="AC893" t="e">
        <f t="shared" ca="1" si="433"/>
        <v>#VALUE!</v>
      </c>
      <c r="AD893" t="e">
        <f t="shared" ca="1" si="434"/>
        <v>#VALUE!</v>
      </c>
      <c r="AE893" t="e">
        <f t="shared" ca="1" si="435"/>
        <v>#VALUE!</v>
      </c>
      <c r="AF893" t="e">
        <f t="shared" ca="1" si="436"/>
        <v>#VALUE!</v>
      </c>
      <c r="AG893" t="e">
        <f t="shared" ca="1" si="437"/>
        <v>#VALUE!</v>
      </c>
      <c r="AH893" t="e">
        <f ca="1">IF(V32="Supercritical",L893,IF(V32="Subcritical",W893,IF(AND(V893=1,AG893=1),IF(T893&gt;=AE893,L893,W893),IF(V893=1,L893,IF(AG893=1,W893,MAX($D$16,POWER((ABS(K893)^2)/($I$5*MAX(F893,0.1)^2),1/3)))))))</f>
        <v>#VALUE!</v>
      </c>
      <c r="AI893" t="e">
        <f t="shared" ca="1" si="438"/>
        <v>#VALUE!</v>
      </c>
      <c r="AJ893" t="e">
        <f t="shared" ca="1" si="439"/>
        <v>#VALUE!</v>
      </c>
      <c r="AM893">
        <v>0</v>
      </c>
      <c r="AN893">
        <v>0</v>
      </c>
      <c r="AO893">
        <f t="shared" si="440"/>
        <v>0</v>
      </c>
      <c r="AP893">
        <f t="shared" si="449"/>
        <v>0</v>
      </c>
      <c r="AQ893" t="e">
        <f t="shared" ca="1" si="441"/>
        <v>#VALUE!</v>
      </c>
      <c r="AR893" t="e">
        <f t="shared" ca="1" si="442"/>
        <v>#VALUE!</v>
      </c>
      <c r="AS893" t="e">
        <f t="shared" ca="1" si="443"/>
        <v>#VALUE!</v>
      </c>
    </row>
    <row r="894" spans="1:45" x14ac:dyDescent="0.35">
      <c r="A894">
        <v>745</v>
      </c>
      <c r="B894">
        <v>743.89099999999996</v>
      </c>
      <c r="C894">
        <v>616095.11499999999</v>
      </c>
      <c r="D894">
        <v>3097259.3309999998</v>
      </c>
      <c r="E894">
        <v>632.19000000000005</v>
      </c>
      <c r="F894">
        <v>5.0670000000000002</v>
      </c>
      <c r="G894">
        <v>0</v>
      </c>
      <c r="H894" t="s">
        <v>191</v>
      </c>
      <c r="I894">
        <v>0.04</v>
      </c>
      <c r="J894">
        <f t="shared" si="444"/>
        <v>1</v>
      </c>
      <c r="K894">
        <f t="shared" si="445"/>
        <v>51</v>
      </c>
      <c r="L894" t="e">
        <f t="shared" ca="1" si="446"/>
        <v>#VALUE!</v>
      </c>
      <c r="M894" t="e">
        <f t="shared" ca="1" si="419"/>
        <v>#VALUE!</v>
      </c>
      <c r="N894" t="e">
        <f t="shared" ca="1" si="420"/>
        <v>#VALUE!</v>
      </c>
      <c r="O894" t="e">
        <f t="shared" ca="1" si="421"/>
        <v>#VALUE!</v>
      </c>
      <c r="P894" t="e">
        <f t="shared" ca="1" si="422"/>
        <v>#VALUE!</v>
      </c>
      <c r="Q894" t="e">
        <f t="shared" ca="1" si="423"/>
        <v>#VALUE!</v>
      </c>
      <c r="R894" t="e">
        <f t="shared" ca="1" si="424"/>
        <v>#VALUE!</v>
      </c>
      <c r="S894" t="e">
        <f t="shared" ca="1" si="425"/>
        <v>#VALUE!</v>
      </c>
      <c r="T894" t="e">
        <f t="shared" ca="1" si="426"/>
        <v>#VALUE!</v>
      </c>
      <c r="U894" t="e">
        <f t="shared" ca="1" si="447"/>
        <v>#VALUE!</v>
      </c>
      <c r="V894" t="e">
        <f t="shared" ca="1" si="448"/>
        <v>#VALUE!</v>
      </c>
      <c r="W894" t="e">
        <f t="shared" ca="1" si="427"/>
        <v>#VALUE!</v>
      </c>
      <c r="X894" t="e">
        <f t="shared" ca="1" si="428"/>
        <v>#VALUE!</v>
      </c>
      <c r="Y894" t="e">
        <f t="shared" ca="1" si="429"/>
        <v>#VALUE!</v>
      </c>
      <c r="Z894" t="e">
        <f t="shared" ca="1" si="430"/>
        <v>#VALUE!</v>
      </c>
      <c r="AA894" t="e">
        <f t="shared" ca="1" si="431"/>
        <v>#VALUE!</v>
      </c>
      <c r="AB894" t="e">
        <f t="shared" ca="1" si="432"/>
        <v>#VALUE!</v>
      </c>
      <c r="AC894" t="e">
        <f t="shared" ca="1" si="433"/>
        <v>#VALUE!</v>
      </c>
      <c r="AD894" t="e">
        <f t="shared" ca="1" si="434"/>
        <v>#VALUE!</v>
      </c>
      <c r="AE894" t="e">
        <f t="shared" ca="1" si="435"/>
        <v>#VALUE!</v>
      </c>
      <c r="AF894" t="e">
        <f t="shared" ca="1" si="436"/>
        <v>#VALUE!</v>
      </c>
      <c r="AG894" t="e">
        <f t="shared" ca="1" si="437"/>
        <v>#VALUE!</v>
      </c>
      <c r="AH894" t="e">
        <f ca="1">IF(V32="Supercritical",L894,IF(V32="Subcritical",W894,IF(AND(V894=1,AG894=1),IF(T894&gt;=AE894,L894,W894),IF(V894=1,L894,IF(AG894=1,W894,MAX($D$16,POWER((ABS(K894)^2)/($I$5*MAX(F894,0.1)^2),1/3)))))))</f>
        <v>#VALUE!</v>
      </c>
      <c r="AI894" t="e">
        <f t="shared" ca="1" si="438"/>
        <v>#VALUE!</v>
      </c>
      <c r="AJ894" t="e">
        <f t="shared" ca="1" si="439"/>
        <v>#VALUE!</v>
      </c>
      <c r="AM894">
        <v>0</v>
      </c>
      <c r="AN894">
        <v>0</v>
      </c>
      <c r="AO894">
        <f t="shared" si="440"/>
        <v>0</v>
      </c>
      <c r="AP894">
        <f t="shared" si="449"/>
        <v>0</v>
      </c>
      <c r="AQ894" t="e">
        <f t="shared" ca="1" si="441"/>
        <v>#VALUE!</v>
      </c>
      <c r="AR894" t="e">
        <f t="shared" ca="1" si="442"/>
        <v>#VALUE!</v>
      </c>
      <c r="AS894" t="e">
        <f t="shared" ca="1" si="443"/>
        <v>#VALUE!</v>
      </c>
    </row>
    <row r="895" spans="1:45" x14ac:dyDescent="0.35">
      <c r="A895">
        <v>746</v>
      </c>
      <c r="B895">
        <v>744.89200000000005</v>
      </c>
      <c r="C895">
        <v>616094.85</v>
      </c>
      <c r="D895">
        <v>3097258.3659999999</v>
      </c>
      <c r="E895">
        <v>632.18949999999995</v>
      </c>
      <c r="F895">
        <v>5.0670000000000002</v>
      </c>
      <c r="G895">
        <v>0</v>
      </c>
      <c r="H895" t="s">
        <v>191</v>
      </c>
      <c r="I895">
        <v>0.04</v>
      </c>
      <c r="J895">
        <f t="shared" si="444"/>
        <v>1.00100000000009</v>
      </c>
      <c r="K895">
        <f t="shared" si="445"/>
        <v>51</v>
      </c>
      <c r="L895" t="e">
        <f t="shared" ca="1" si="446"/>
        <v>#VALUE!</v>
      </c>
      <c r="M895" t="e">
        <f t="shared" ca="1" si="419"/>
        <v>#VALUE!</v>
      </c>
      <c r="N895" t="e">
        <f t="shared" ca="1" si="420"/>
        <v>#VALUE!</v>
      </c>
      <c r="O895" t="e">
        <f t="shared" ca="1" si="421"/>
        <v>#VALUE!</v>
      </c>
      <c r="P895" t="e">
        <f t="shared" ca="1" si="422"/>
        <v>#VALUE!</v>
      </c>
      <c r="Q895" t="e">
        <f t="shared" ca="1" si="423"/>
        <v>#VALUE!</v>
      </c>
      <c r="R895" t="e">
        <f t="shared" ca="1" si="424"/>
        <v>#VALUE!</v>
      </c>
      <c r="S895" t="e">
        <f t="shared" ca="1" si="425"/>
        <v>#VALUE!</v>
      </c>
      <c r="T895" t="e">
        <f t="shared" ca="1" si="426"/>
        <v>#VALUE!</v>
      </c>
      <c r="U895" t="e">
        <f t="shared" ca="1" si="447"/>
        <v>#VALUE!</v>
      </c>
      <c r="V895" t="e">
        <f t="shared" ca="1" si="448"/>
        <v>#VALUE!</v>
      </c>
      <c r="W895" t="e">
        <f t="shared" ca="1" si="427"/>
        <v>#VALUE!</v>
      </c>
      <c r="X895" t="e">
        <f t="shared" ca="1" si="428"/>
        <v>#VALUE!</v>
      </c>
      <c r="Y895" t="e">
        <f t="shared" ca="1" si="429"/>
        <v>#VALUE!</v>
      </c>
      <c r="Z895" t="e">
        <f t="shared" ca="1" si="430"/>
        <v>#VALUE!</v>
      </c>
      <c r="AA895" t="e">
        <f t="shared" ca="1" si="431"/>
        <v>#VALUE!</v>
      </c>
      <c r="AB895" t="e">
        <f t="shared" ca="1" si="432"/>
        <v>#VALUE!</v>
      </c>
      <c r="AC895" t="e">
        <f t="shared" ca="1" si="433"/>
        <v>#VALUE!</v>
      </c>
      <c r="AD895" t="e">
        <f t="shared" ca="1" si="434"/>
        <v>#VALUE!</v>
      </c>
      <c r="AE895" t="e">
        <f t="shared" ca="1" si="435"/>
        <v>#VALUE!</v>
      </c>
      <c r="AF895" t="e">
        <f t="shared" ca="1" si="436"/>
        <v>#VALUE!</v>
      </c>
      <c r="AG895" t="e">
        <f t="shared" ca="1" si="437"/>
        <v>#VALUE!</v>
      </c>
      <c r="AH895" t="e">
        <f ca="1">IF(V32="Supercritical",L895,IF(V32="Subcritical",W895,IF(AND(V895=1,AG895=1),IF(T895&gt;=AE895,L895,W895),IF(V895=1,L895,IF(AG895=1,W895,MAX($D$16,POWER((ABS(K895)^2)/($I$5*MAX(F895,0.1)^2),1/3)))))))</f>
        <v>#VALUE!</v>
      </c>
      <c r="AI895" t="e">
        <f t="shared" ca="1" si="438"/>
        <v>#VALUE!</v>
      </c>
      <c r="AJ895" t="e">
        <f t="shared" ca="1" si="439"/>
        <v>#VALUE!</v>
      </c>
      <c r="AM895">
        <v>0</v>
      </c>
      <c r="AN895">
        <v>0</v>
      </c>
      <c r="AO895">
        <f t="shared" si="440"/>
        <v>0</v>
      </c>
      <c r="AP895">
        <f t="shared" si="449"/>
        <v>0</v>
      </c>
      <c r="AQ895" t="e">
        <f t="shared" ca="1" si="441"/>
        <v>#VALUE!</v>
      </c>
      <c r="AR895" t="e">
        <f t="shared" ca="1" si="442"/>
        <v>#VALUE!</v>
      </c>
      <c r="AS895" t="e">
        <f t="shared" ca="1" si="443"/>
        <v>#VALUE!</v>
      </c>
    </row>
    <row r="896" spans="1:45" x14ac:dyDescent="0.35">
      <c r="A896">
        <v>747</v>
      </c>
      <c r="B896">
        <v>745.89099999999996</v>
      </c>
      <c r="C896">
        <v>616094.58600000001</v>
      </c>
      <c r="D896">
        <v>3097257.4019999998</v>
      </c>
      <c r="E896">
        <v>632.18899999999996</v>
      </c>
      <c r="F896">
        <v>5.0670000000000002</v>
      </c>
      <c r="G896">
        <v>0</v>
      </c>
      <c r="H896" t="s">
        <v>191</v>
      </c>
      <c r="I896">
        <v>5.5E-2</v>
      </c>
      <c r="J896">
        <f t="shared" si="444"/>
        <v>0.99899999999990996</v>
      </c>
      <c r="K896">
        <f t="shared" si="445"/>
        <v>51</v>
      </c>
      <c r="L896" t="e">
        <f t="shared" ca="1" si="446"/>
        <v>#VALUE!</v>
      </c>
      <c r="M896" t="e">
        <f t="shared" ca="1" si="419"/>
        <v>#VALUE!</v>
      </c>
      <c r="N896" t="e">
        <f t="shared" ca="1" si="420"/>
        <v>#VALUE!</v>
      </c>
      <c r="O896" t="e">
        <f t="shared" ca="1" si="421"/>
        <v>#VALUE!</v>
      </c>
      <c r="P896" t="e">
        <f t="shared" ca="1" si="422"/>
        <v>#VALUE!</v>
      </c>
      <c r="Q896" t="e">
        <f t="shared" ca="1" si="423"/>
        <v>#VALUE!</v>
      </c>
      <c r="R896" t="e">
        <f t="shared" ca="1" si="424"/>
        <v>#VALUE!</v>
      </c>
      <c r="S896" t="e">
        <f t="shared" ca="1" si="425"/>
        <v>#VALUE!</v>
      </c>
      <c r="T896" t="e">
        <f t="shared" ca="1" si="426"/>
        <v>#VALUE!</v>
      </c>
      <c r="U896" t="e">
        <f t="shared" ca="1" si="447"/>
        <v>#VALUE!</v>
      </c>
      <c r="V896" t="e">
        <f t="shared" ca="1" si="448"/>
        <v>#VALUE!</v>
      </c>
      <c r="W896" t="e">
        <f t="shared" ca="1" si="427"/>
        <v>#VALUE!</v>
      </c>
      <c r="X896" t="e">
        <f t="shared" ca="1" si="428"/>
        <v>#VALUE!</v>
      </c>
      <c r="Y896" t="e">
        <f t="shared" ca="1" si="429"/>
        <v>#VALUE!</v>
      </c>
      <c r="Z896" t="e">
        <f t="shared" ca="1" si="430"/>
        <v>#VALUE!</v>
      </c>
      <c r="AA896" t="e">
        <f t="shared" ca="1" si="431"/>
        <v>#VALUE!</v>
      </c>
      <c r="AB896" t="e">
        <f t="shared" ca="1" si="432"/>
        <v>#VALUE!</v>
      </c>
      <c r="AC896" t="e">
        <f t="shared" ca="1" si="433"/>
        <v>#VALUE!</v>
      </c>
      <c r="AD896" t="e">
        <f t="shared" ca="1" si="434"/>
        <v>#VALUE!</v>
      </c>
      <c r="AE896" t="e">
        <f t="shared" ca="1" si="435"/>
        <v>#VALUE!</v>
      </c>
      <c r="AF896" t="e">
        <f t="shared" ca="1" si="436"/>
        <v>#VALUE!</v>
      </c>
      <c r="AG896" t="e">
        <f t="shared" ca="1" si="437"/>
        <v>#VALUE!</v>
      </c>
      <c r="AH896" t="e">
        <f ca="1">IF(V32="Supercritical",L896,IF(V32="Subcritical",W896,IF(AND(V896=1,AG896=1),IF(T896&gt;=AE896,L896,W896),IF(V896=1,L896,IF(AG896=1,W896,MAX($D$16,POWER((ABS(K896)^2)/($I$5*MAX(F896,0.1)^2),1/3)))))))</f>
        <v>#VALUE!</v>
      </c>
      <c r="AI896" t="e">
        <f t="shared" ca="1" si="438"/>
        <v>#VALUE!</v>
      </c>
      <c r="AJ896" t="e">
        <f t="shared" ca="1" si="439"/>
        <v>#VALUE!</v>
      </c>
      <c r="AM896">
        <v>0</v>
      </c>
      <c r="AN896">
        <v>0</v>
      </c>
      <c r="AO896">
        <f t="shared" si="440"/>
        <v>0</v>
      </c>
      <c r="AP896">
        <f t="shared" si="449"/>
        <v>0</v>
      </c>
      <c r="AQ896" t="e">
        <f t="shared" ca="1" si="441"/>
        <v>#VALUE!</v>
      </c>
      <c r="AR896" t="e">
        <f t="shared" ca="1" si="442"/>
        <v>#VALUE!</v>
      </c>
      <c r="AS896" t="e">
        <f t="shared" ca="1" si="443"/>
        <v>#VALUE!</v>
      </c>
    </row>
    <row r="897" spans="1:45" x14ac:dyDescent="0.35">
      <c r="A897">
        <v>748</v>
      </c>
      <c r="B897">
        <v>746.89099999999996</v>
      </c>
      <c r="C897">
        <v>616094.321</v>
      </c>
      <c r="D897">
        <v>3097256.4380000001</v>
      </c>
      <c r="E897">
        <v>632.18849999999998</v>
      </c>
      <c r="F897">
        <v>5.0670000000000002</v>
      </c>
      <c r="G897">
        <v>0</v>
      </c>
      <c r="H897" t="s">
        <v>191</v>
      </c>
      <c r="I897">
        <v>7.0000000000000007E-2</v>
      </c>
      <c r="J897">
        <f t="shared" si="444"/>
        <v>1</v>
      </c>
      <c r="K897">
        <f t="shared" si="445"/>
        <v>51</v>
      </c>
      <c r="L897" t="e">
        <f t="shared" ca="1" si="446"/>
        <v>#VALUE!</v>
      </c>
      <c r="M897" t="e">
        <f t="shared" ca="1" si="419"/>
        <v>#VALUE!</v>
      </c>
      <c r="N897" t="e">
        <f t="shared" ca="1" si="420"/>
        <v>#VALUE!</v>
      </c>
      <c r="O897" t="e">
        <f t="shared" ca="1" si="421"/>
        <v>#VALUE!</v>
      </c>
      <c r="P897" t="e">
        <f t="shared" ca="1" si="422"/>
        <v>#VALUE!</v>
      </c>
      <c r="Q897" t="e">
        <f t="shared" ca="1" si="423"/>
        <v>#VALUE!</v>
      </c>
      <c r="R897" t="e">
        <f t="shared" ca="1" si="424"/>
        <v>#VALUE!</v>
      </c>
      <c r="S897" t="e">
        <f t="shared" ca="1" si="425"/>
        <v>#VALUE!</v>
      </c>
      <c r="T897" t="e">
        <f t="shared" ca="1" si="426"/>
        <v>#VALUE!</v>
      </c>
      <c r="U897" t="e">
        <f t="shared" ca="1" si="447"/>
        <v>#VALUE!</v>
      </c>
      <c r="V897" t="e">
        <f t="shared" ca="1" si="448"/>
        <v>#VALUE!</v>
      </c>
      <c r="W897" t="e">
        <f t="shared" ca="1" si="427"/>
        <v>#VALUE!</v>
      </c>
      <c r="X897" t="e">
        <f t="shared" ca="1" si="428"/>
        <v>#VALUE!</v>
      </c>
      <c r="Y897" t="e">
        <f t="shared" ca="1" si="429"/>
        <v>#VALUE!</v>
      </c>
      <c r="Z897" t="e">
        <f t="shared" ca="1" si="430"/>
        <v>#VALUE!</v>
      </c>
      <c r="AA897" t="e">
        <f t="shared" ca="1" si="431"/>
        <v>#VALUE!</v>
      </c>
      <c r="AB897" t="e">
        <f t="shared" ca="1" si="432"/>
        <v>#VALUE!</v>
      </c>
      <c r="AC897" t="e">
        <f t="shared" ca="1" si="433"/>
        <v>#VALUE!</v>
      </c>
      <c r="AD897" t="e">
        <f t="shared" ca="1" si="434"/>
        <v>#VALUE!</v>
      </c>
      <c r="AE897" t="e">
        <f t="shared" ca="1" si="435"/>
        <v>#VALUE!</v>
      </c>
      <c r="AF897" t="e">
        <f t="shared" ca="1" si="436"/>
        <v>#VALUE!</v>
      </c>
      <c r="AG897" t="e">
        <f t="shared" ca="1" si="437"/>
        <v>#VALUE!</v>
      </c>
      <c r="AH897" t="e">
        <f ca="1">IF(V32="Supercritical",L897,IF(V32="Subcritical",W897,IF(AND(V897=1,AG897=1),IF(T897&gt;=AE897,L897,W897),IF(V897=1,L897,IF(AG897=1,W897,MAX($D$16,POWER((ABS(K897)^2)/($I$5*MAX(F897,0.1)^2),1/3)))))))</f>
        <v>#VALUE!</v>
      </c>
      <c r="AI897" t="e">
        <f t="shared" ca="1" si="438"/>
        <v>#VALUE!</v>
      </c>
      <c r="AJ897" t="e">
        <f t="shared" ca="1" si="439"/>
        <v>#VALUE!</v>
      </c>
      <c r="AM897">
        <v>0</v>
      </c>
      <c r="AN897">
        <v>0</v>
      </c>
      <c r="AO897">
        <f t="shared" si="440"/>
        <v>0</v>
      </c>
      <c r="AP897">
        <f t="shared" si="449"/>
        <v>0</v>
      </c>
      <c r="AQ897" t="e">
        <f t="shared" ca="1" si="441"/>
        <v>#VALUE!</v>
      </c>
      <c r="AR897" t="e">
        <f t="shared" ca="1" si="442"/>
        <v>#VALUE!</v>
      </c>
      <c r="AS897" t="e">
        <f t="shared" ca="1" si="443"/>
        <v>#VALUE!</v>
      </c>
    </row>
    <row r="898" spans="1:45" x14ac:dyDescent="0.35">
      <c r="A898">
        <v>749</v>
      </c>
      <c r="B898">
        <v>747.89099999999996</v>
      </c>
      <c r="C898">
        <v>616094.05700000003</v>
      </c>
      <c r="D898">
        <v>3097255.4730000002</v>
      </c>
      <c r="E898">
        <v>632.18799999999999</v>
      </c>
      <c r="F898">
        <v>5.0670000000000002</v>
      </c>
      <c r="G898">
        <v>0</v>
      </c>
      <c r="H898" t="s">
        <v>191</v>
      </c>
      <c r="I898">
        <v>7.0000000000000007E-2</v>
      </c>
      <c r="J898">
        <f t="shared" si="444"/>
        <v>1</v>
      </c>
      <c r="K898">
        <f t="shared" si="445"/>
        <v>51</v>
      </c>
      <c r="L898" t="e">
        <f t="shared" ca="1" si="446"/>
        <v>#VALUE!</v>
      </c>
      <c r="M898" t="e">
        <f t="shared" ca="1" si="419"/>
        <v>#VALUE!</v>
      </c>
      <c r="N898" t="e">
        <f t="shared" ca="1" si="420"/>
        <v>#VALUE!</v>
      </c>
      <c r="O898" t="e">
        <f t="shared" ca="1" si="421"/>
        <v>#VALUE!</v>
      </c>
      <c r="P898" t="e">
        <f t="shared" ca="1" si="422"/>
        <v>#VALUE!</v>
      </c>
      <c r="Q898" t="e">
        <f t="shared" ca="1" si="423"/>
        <v>#VALUE!</v>
      </c>
      <c r="R898" t="e">
        <f t="shared" ca="1" si="424"/>
        <v>#VALUE!</v>
      </c>
      <c r="S898" t="e">
        <f t="shared" ca="1" si="425"/>
        <v>#VALUE!</v>
      </c>
      <c r="T898" t="e">
        <f t="shared" ca="1" si="426"/>
        <v>#VALUE!</v>
      </c>
      <c r="U898" t="e">
        <f t="shared" ca="1" si="447"/>
        <v>#VALUE!</v>
      </c>
      <c r="V898" t="e">
        <f t="shared" ca="1" si="448"/>
        <v>#VALUE!</v>
      </c>
      <c r="W898" t="e">
        <f t="shared" ca="1" si="427"/>
        <v>#VALUE!</v>
      </c>
      <c r="X898" t="e">
        <f t="shared" ca="1" si="428"/>
        <v>#VALUE!</v>
      </c>
      <c r="Y898" t="e">
        <f t="shared" ca="1" si="429"/>
        <v>#VALUE!</v>
      </c>
      <c r="Z898" t="e">
        <f t="shared" ca="1" si="430"/>
        <v>#VALUE!</v>
      </c>
      <c r="AA898" t="e">
        <f t="shared" ca="1" si="431"/>
        <v>#VALUE!</v>
      </c>
      <c r="AB898" t="e">
        <f t="shared" ca="1" si="432"/>
        <v>#VALUE!</v>
      </c>
      <c r="AC898" t="e">
        <f t="shared" ca="1" si="433"/>
        <v>#VALUE!</v>
      </c>
      <c r="AD898" t="e">
        <f t="shared" ca="1" si="434"/>
        <v>#VALUE!</v>
      </c>
      <c r="AE898" t="e">
        <f t="shared" ca="1" si="435"/>
        <v>#VALUE!</v>
      </c>
      <c r="AF898" t="e">
        <f t="shared" ca="1" si="436"/>
        <v>#VALUE!</v>
      </c>
      <c r="AG898" t="e">
        <f t="shared" ca="1" si="437"/>
        <v>#VALUE!</v>
      </c>
      <c r="AH898" t="e">
        <f ca="1">IF(V32="Supercritical",L898,IF(V32="Subcritical",W898,IF(AND(V898=1,AG898=1),IF(T898&gt;=AE898,L898,W898),IF(V898=1,L898,IF(AG898=1,W898,MAX($D$16,POWER((ABS(K898)^2)/($I$5*MAX(F898,0.1)^2),1/3)))))))</f>
        <v>#VALUE!</v>
      </c>
      <c r="AI898" t="e">
        <f t="shared" ca="1" si="438"/>
        <v>#VALUE!</v>
      </c>
      <c r="AJ898" t="e">
        <f t="shared" ca="1" si="439"/>
        <v>#VALUE!</v>
      </c>
      <c r="AM898">
        <v>0</v>
      </c>
      <c r="AN898">
        <v>0</v>
      </c>
      <c r="AO898">
        <f t="shared" si="440"/>
        <v>0</v>
      </c>
      <c r="AP898">
        <f t="shared" si="449"/>
        <v>0</v>
      </c>
      <c r="AQ898" t="e">
        <f t="shared" ca="1" si="441"/>
        <v>#VALUE!</v>
      </c>
      <c r="AR898" t="e">
        <f t="shared" ca="1" si="442"/>
        <v>#VALUE!</v>
      </c>
      <c r="AS898" t="e">
        <f t="shared" ca="1" si="443"/>
        <v>#VALUE!</v>
      </c>
    </row>
    <row r="899" spans="1:45" x14ac:dyDescent="0.35">
      <c r="A899">
        <v>750</v>
      </c>
      <c r="B899">
        <v>748.89099999999996</v>
      </c>
      <c r="C899">
        <v>616093.79200000002</v>
      </c>
      <c r="D899">
        <v>3097254.5090000001</v>
      </c>
      <c r="E899">
        <v>632.1875</v>
      </c>
      <c r="F899">
        <v>5.0670000000000002</v>
      </c>
      <c r="G899">
        <v>0</v>
      </c>
      <c r="H899" t="s">
        <v>191</v>
      </c>
      <c r="I899">
        <v>0</v>
      </c>
      <c r="J899">
        <f t="shared" si="444"/>
        <v>1</v>
      </c>
      <c r="K899">
        <f t="shared" si="445"/>
        <v>51</v>
      </c>
      <c r="L899" t="e">
        <f t="shared" ca="1" si="446"/>
        <v>#VALUE!</v>
      </c>
      <c r="M899" t="e">
        <f t="shared" ca="1" si="419"/>
        <v>#VALUE!</v>
      </c>
      <c r="N899" t="e">
        <f t="shared" ca="1" si="420"/>
        <v>#VALUE!</v>
      </c>
      <c r="O899" t="e">
        <f t="shared" ca="1" si="421"/>
        <v>#VALUE!</v>
      </c>
      <c r="P899" t="e">
        <f t="shared" ca="1" si="422"/>
        <v>#VALUE!</v>
      </c>
      <c r="Q899" t="e">
        <f t="shared" ca="1" si="423"/>
        <v>#VALUE!</v>
      </c>
      <c r="R899" t="e">
        <f t="shared" ca="1" si="424"/>
        <v>#VALUE!</v>
      </c>
      <c r="S899" t="e">
        <f t="shared" ca="1" si="425"/>
        <v>#VALUE!</v>
      </c>
      <c r="T899" t="e">
        <f t="shared" ca="1" si="426"/>
        <v>#VALUE!</v>
      </c>
      <c r="U899" t="e">
        <f t="shared" ca="1" si="447"/>
        <v>#VALUE!</v>
      </c>
      <c r="V899" t="e">
        <f t="shared" ca="1" si="448"/>
        <v>#VALUE!</v>
      </c>
      <c r="W899" t="e">
        <f t="shared" ca="1" si="427"/>
        <v>#VALUE!</v>
      </c>
      <c r="X899" t="e">
        <f t="shared" ca="1" si="428"/>
        <v>#VALUE!</v>
      </c>
      <c r="Y899" t="e">
        <f t="shared" ca="1" si="429"/>
        <v>#VALUE!</v>
      </c>
      <c r="Z899" t="e">
        <f t="shared" ca="1" si="430"/>
        <v>#VALUE!</v>
      </c>
      <c r="AA899" t="e">
        <f t="shared" ca="1" si="431"/>
        <v>#VALUE!</v>
      </c>
      <c r="AB899" t="e">
        <f t="shared" ca="1" si="432"/>
        <v>#VALUE!</v>
      </c>
      <c r="AC899" t="e">
        <f t="shared" ca="1" si="433"/>
        <v>#VALUE!</v>
      </c>
      <c r="AD899" t="e">
        <f t="shared" ca="1" si="434"/>
        <v>#VALUE!</v>
      </c>
      <c r="AE899" t="e">
        <f t="shared" ca="1" si="435"/>
        <v>#VALUE!</v>
      </c>
      <c r="AF899" t="e">
        <f t="shared" ca="1" si="436"/>
        <v>#VALUE!</v>
      </c>
      <c r="AG899" t="e">
        <f t="shared" ca="1" si="437"/>
        <v>#VALUE!</v>
      </c>
      <c r="AH899" t="e">
        <f ca="1">IF(V32="Supercritical",L899,IF(V32="Subcritical",W899,IF(AND(V899=1,AG899=1),IF(T899&gt;=AE899,L899,W899),IF(V899=1,L899,IF(AG899=1,W899,MAX($D$16,POWER((ABS(K899)^2)/($I$5*MAX(F899,0.1)^2),1/3)))))))</f>
        <v>#VALUE!</v>
      </c>
      <c r="AI899" t="e">
        <f t="shared" ca="1" si="438"/>
        <v>#VALUE!</v>
      </c>
      <c r="AJ899" t="e">
        <f t="shared" ca="1" si="439"/>
        <v>#VALUE!</v>
      </c>
      <c r="AM899">
        <v>0</v>
      </c>
      <c r="AN899">
        <v>0</v>
      </c>
      <c r="AO899">
        <f t="shared" si="440"/>
        <v>0</v>
      </c>
      <c r="AP899">
        <f t="shared" si="449"/>
        <v>0</v>
      </c>
      <c r="AQ899" t="e">
        <f t="shared" ca="1" si="441"/>
        <v>#VALUE!</v>
      </c>
      <c r="AR899" t="e">
        <f t="shared" ca="1" si="442"/>
        <v>#VALUE!</v>
      </c>
      <c r="AS899" t="e">
        <f t="shared" ca="1" si="443"/>
        <v>#VALUE!</v>
      </c>
    </row>
    <row r="900" spans="1:45" x14ac:dyDescent="0.35">
      <c r="A900">
        <v>751</v>
      </c>
      <c r="B900">
        <v>749.89099999999996</v>
      </c>
      <c r="C900">
        <v>616093.527</v>
      </c>
      <c r="D900">
        <v>3097253.5449999999</v>
      </c>
      <c r="E900">
        <v>632.18700000000001</v>
      </c>
      <c r="F900">
        <v>5.0670000000000002</v>
      </c>
      <c r="G900">
        <v>0</v>
      </c>
      <c r="H900" t="s">
        <v>191</v>
      </c>
      <c r="I900">
        <v>7.0000000000000007E-2</v>
      </c>
      <c r="J900">
        <f t="shared" si="444"/>
        <v>1</v>
      </c>
      <c r="K900">
        <f t="shared" si="445"/>
        <v>51</v>
      </c>
      <c r="L900" t="e">
        <f t="shared" ca="1" si="446"/>
        <v>#VALUE!</v>
      </c>
      <c r="M900" t="e">
        <f t="shared" ca="1" si="419"/>
        <v>#VALUE!</v>
      </c>
      <c r="N900" t="e">
        <f t="shared" ca="1" si="420"/>
        <v>#VALUE!</v>
      </c>
      <c r="O900" t="e">
        <f t="shared" ca="1" si="421"/>
        <v>#VALUE!</v>
      </c>
      <c r="P900" t="e">
        <f t="shared" ca="1" si="422"/>
        <v>#VALUE!</v>
      </c>
      <c r="Q900" t="e">
        <f t="shared" ca="1" si="423"/>
        <v>#VALUE!</v>
      </c>
      <c r="R900" t="e">
        <f t="shared" ca="1" si="424"/>
        <v>#VALUE!</v>
      </c>
      <c r="S900" t="e">
        <f t="shared" ca="1" si="425"/>
        <v>#VALUE!</v>
      </c>
      <c r="T900" t="e">
        <f t="shared" ca="1" si="426"/>
        <v>#VALUE!</v>
      </c>
      <c r="U900" t="e">
        <f t="shared" ca="1" si="447"/>
        <v>#VALUE!</v>
      </c>
      <c r="V900" t="e">
        <f t="shared" ca="1" si="448"/>
        <v>#VALUE!</v>
      </c>
      <c r="W900" t="e">
        <f t="shared" ca="1" si="427"/>
        <v>#VALUE!</v>
      </c>
      <c r="X900" t="e">
        <f t="shared" ca="1" si="428"/>
        <v>#VALUE!</v>
      </c>
      <c r="Y900" t="e">
        <f t="shared" ca="1" si="429"/>
        <v>#VALUE!</v>
      </c>
      <c r="Z900" t="e">
        <f t="shared" ca="1" si="430"/>
        <v>#VALUE!</v>
      </c>
      <c r="AA900" t="e">
        <f t="shared" ca="1" si="431"/>
        <v>#VALUE!</v>
      </c>
      <c r="AB900" t="e">
        <f t="shared" ca="1" si="432"/>
        <v>#VALUE!</v>
      </c>
      <c r="AC900" t="e">
        <f t="shared" ca="1" si="433"/>
        <v>#VALUE!</v>
      </c>
      <c r="AD900" t="e">
        <f t="shared" ca="1" si="434"/>
        <v>#VALUE!</v>
      </c>
      <c r="AE900" t="e">
        <f t="shared" ca="1" si="435"/>
        <v>#VALUE!</v>
      </c>
      <c r="AF900" t="e">
        <f t="shared" ca="1" si="436"/>
        <v>#VALUE!</v>
      </c>
      <c r="AG900" t="e">
        <f t="shared" ca="1" si="437"/>
        <v>#VALUE!</v>
      </c>
      <c r="AH900" t="e">
        <f ca="1">IF(V32="Supercritical",L900,IF(V32="Subcritical",W900,IF(AND(V900=1,AG900=1),IF(T900&gt;=AE900,L900,W900),IF(V900=1,L900,IF(AG900=1,W900,MAX($D$16,POWER((ABS(K900)^2)/($I$5*MAX(F900,0.1)^2),1/3)))))))</f>
        <v>#VALUE!</v>
      </c>
      <c r="AI900" t="e">
        <f t="shared" ca="1" si="438"/>
        <v>#VALUE!</v>
      </c>
      <c r="AJ900" t="e">
        <f t="shared" ca="1" si="439"/>
        <v>#VALUE!</v>
      </c>
      <c r="AM900">
        <v>0</v>
      </c>
      <c r="AN900">
        <v>0</v>
      </c>
      <c r="AO900">
        <f t="shared" si="440"/>
        <v>0</v>
      </c>
      <c r="AP900">
        <f t="shared" si="449"/>
        <v>0</v>
      </c>
      <c r="AQ900" t="e">
        <f t="shared" ca="1" si="441"/>
        <v>#VALUE!</v>
      </c>
      <c r="AR900" t="e">
        <f t="shared" ca="1" si="442"/>
        <v>#VALUE!</v>
      </c>
      <c r="AS900" t="e">
        <f t="shared" ca="1" si="443"/>
        <v>#VALUE!</v>
      </c>
    </row>
    <row r="901" spans="1:45" x14ac:dyDescent="0.35">
      <c r="A901">
        <v>752</v>
      </c>
      <c r="B901">
        <v>750.89099999999996</v>
      </c>
      <c r="C901">
        <v>616093.26300000004</v>
      </c>
      <c r="D901">
        <v>3097252.58</v>
      </c>
      <c r="E901">
        <v>632.18650000000002</v>
      </c>
      <c r="F901">
        <v>5.0670000000000002</v>
      </c>
      <c r="G901">
        <v>0</v>
      </c>
      <c r="H901" t="s">
        <v>191</v>
      </c>
      <c r="I901">
        <v>7.0000000000000007E-2</v>
      </c>
      <c r="J901">
        <f t="shared" si="444"/>
        <v>1</v>
      </c>
      <c r="K901">
        <f t="shared" si="445"/>
        <v>51</v>
      </c>
      <c r="L901" t="e">
        <f t="shared" ca="1" si="446"/>
        <v>#VALUE!</v>
      </c>
      <c r="M901" t="e">
        <f t="shared" ca="1" si="419"/>
        <v>#VALUE!</v>
      </c>
      <c r="N901" t="e">
        <f t="shared" ca="1" si="420"/>
        <v>#VALUE!</v>
      </c>
      <c r="O901" t="e">
        <f t="shared" ca="1" si="421"/>
        <v>#VALUE!</v>
      </c>
      <c r="P901" t="e">
        <f t="shared" ca="1" si="422"/>
        <v>#VALUE!</v>
      </c>
      <c r="Q901" t="e">
        <f t="shared" ca="1" si="423"/>
        <v>#VALUE!</v>
      </c>
      <c r="R901" t="e">
        <f t="shared" ca="1" si="424"/>
        <v>#VALUE!</v>
      </c>
      <c r="S901" t="e">
        <f t="shared" ca="1" si="425"/>
        <v>#VALUE!</v>
      </c>
      <c r="T901" t="e">
        <f t="shared" ca="1" si="426"/>
        <v>#VALUE!</v>
      </c>
      <c r="U901" t="e">
        <f t="shared" ca="1" si="447"/>
        <v>#VALUE!</v>
      </c>
      <c r="V901" t="e">
        <f t="shared" ca="1" si="448"/>
        <v>#VALUE!</v>
      </c>
      <c r="W901" t="e">
        <f t="shared" ca="1" si="427"/>
        <v>#VALUE!</v>
      </c>
      <c r="X901" t="e">
        <f t="shared" ca="1" si="428"/>
        <v>#VALUE!</v>
      </c>
      <c r="Y901" t="e">
        <f t="shared" ca="1" si="429"/>
        <v>#VALUE!</v>
      </c>
      <c r="Z901" t="e">
        <f t="shared" ca="1" si="430"/>
        <v>#VALUE!</v>
      </c>
      <c r="AA901" t="e">
        <f t="shared" ca="1" si="431"/>
        <v>#VALUE!</v>
      </c>
      <c r="AB901" t="e">
        <f t="shared" ca="1" si="432"/>
        <v>#VALUE!</v>
      </c>
      <c r="AC901" t="e">
        <f t="shared" ca="1" si="433"/>
        <v>#VALUE!</v>
      </c>
      <c r="AD901" t="e">
        <f t="shared" ca="1" si="434"/>
        <v>#VALUE!</v>
      </c>
      <c r="AE901" t="e">
        <f t="shared" ca="1" si="435"/>
        <v>#VALUE!</v>
      </c>
      <c r="AF901" t="e">
        <f t="shared" ca="1" si="436"/>
        <v>#VALUE!</v>
      </c>
      <c r="AG901" t="e">
        <f t="shared" ca="1" si="437"/>
        <v>#VALUE!</v>
      </c>
      <c r="AH901" t="e">
        <f ca="1">IF(V32="Supercritical",L901,IF(V32="Subcritical",W901,IF(AND(V901=1,AG901=1),IF(T901&gt;=AE901,L901,W901),IF(V901=1,L901,IF(AG901=1,W901,MAX($D$16,POWER((ABS(K901)^2)/($I$5*MAX(F901,0.1)^2),1/3)))))))</f>
        <v>#VALUE!</v>
      </c>
      <c r="AI901" t="e">
        <f t="shared" ca="1" si="438"/>
        <v>#VALUE!</v>
      </c>
      <c r="AJ901" t="e">
        <f t="shared" ca="1" si="439"/>
        <v>#VALUE!</v>
      </c>
      <c r="AM901">
        <v>0</v>
      </c>
      <c r="AN901">
        <v>0</v>
      </c>
      <c r="AO901">
        <f t="shared" si="440"/>
        <v>0</v>
      </c>
      <c r="AP901">
        <f t="shared" si="449"/>
        <v>0</v>
      </c>
      <c r="AQ901" t="e">
        <f t="shared" ca="1" si="441"/>
        <v>#VALUE!</v>
      </c>
      <c r="AR901" t="e">
        <f t="shared" ca="1" si="442"/>
        <v>#VALUE!</v>
      </c>
      <c r="AS901" t="e">
        <f t="shared" ca="1" si="443"/>
        <v>#VALUE!</v>
      </c>
    </row>
    <row r="902" spans="1:45" x14ac:dyDescent="0.35">
      <c r="A902">
        <v>753</v>
      </c>
      <c r="B902">
        <v>751.89099999999996</v>
      </c>
      <c r="C902">
        <v>616092.99800000002</v>
      </c>
      <c r="D902">
        <v>3097251.6159999999</v>
      </c>
      <c r="E902">
        <v>632.18600000000004</v>
      </c>
      <c r="F902">
        <v>5.0670000000000002</v>
      </c>
      <c r="G902">
        <v>0</v>
      </c>
      <c r="H902" t="s">
        <v>191</v>
      </c>
      <c r="I902">
        <v>5.5E-2</v>
      </c>
      <c r="J902">
        <f t="shared" si="444"/>
        <v>1</v>
      </c>
      <c r="K902">
        <f t="shared" si="445"/>
        <v>51</v>
      </c>
      <c r="L902" t="e">
        <f t="shared" ca="1" si="446"/>
        <v>#VALUE!</v>
      </c>
      <c r="M902" t="e">
        <f t="shared" ca="1" si="419"/>
        <v>#VALUE!</v>
      </c>
      <c r="N902" t="e">
        <f t="shared" ca="1" si="420"/>
        <v>#VALUE!</v>
      </c>
      <c r="O902" t="e">
        <f t="shared" ca="1" si="421"/>
        <v>#VALUE!</v>
      </c>
      <c r="P902" t="e">
        <f t="shared" ca="1" si="422"/>
        <v>#VALUE!</v>
      </c>
      <c r="Q902" t="e">
        <f t="shared" ca="1" si="423"/>
        <v>#VALUE!</v>
      </c>
      <c r="R902" t="e">
        <f t="shared" ca="1" si="424"/>
        <v>#VALUE!</v>
      </c>
      <c r="S902" t="e">
        <f t="shared" ca="1" si="425"/>
        <v>#VALUE!</v>
      </c>
      <c r="T902" t="e">
        <f t="shared" ca="1" si="426"/>
        <v>#VALUE!</v>
      </c>
      <c r="U902" t="e">
        <f t="shared" ca="1" si="447"/>
        <v>#VALUE!</v>
      </c>
      <c r="V902" t="e">
        <f t="shared" ca="1" si="448"/>
        <v>#VALUE!</v>
      </c>
      <c r="W902" t="e">
        <f t="shared" ca="1" si="427"/>
        <v>#VALUE!</v>
      </c>
      <c r="X902" t="e">
        <f t="shared" ca="1" si="428"/>
        <v>#VALUE!</v>
      </c>
      <c r="Y902" t="e">
        <f t="shared" ca="1" si="429"/>
        <v>#VALUE!</v>
      </c>
      <c r="Z902" t="e">
        <f t="shared" ca="1" si="430"/>
        <v>#VALUE!</v>
      </c>
      <c r="AA902" t="e">
        <f t="shared" ca="1" si="431"/>
        <v>#VALUE!</v>
      </c>
      <c r="AB902" t="e">
        <f t="shared" ca="1" si="432"/>
        <v>#VALUE!</v>
      </c>
      <c r="AC902" t="e">
        <f t="shared" ca="1" si="433"/>
        <v>#VALUE!</v>
      </c>
      <c r="AD902" t="e">
        <f t="shared" ca="1" si="434"/>
        <v>#VALUE!</v>
      </c>
      <c r="AE902" t="e">
        <f t="shared" ca="1" si="435"/>
        <v>#VALUE!</v>
      </c>
      <c r="AF902" t="e">
        <f t="shared" ca="1" si="436"/>
        <v>#VALUE!</v>
      </c>
      <c r="AG902" t="e">
        <f t="shared" ca="1" si="437"/>
        <v>#VALUE!</v>
      </c>
      <c r="AH902" t="e">
        <f ca="1">IF(V32="Supercritical",L902,IF(V32="Subcritical",W902,IF(AND(V902=1,AG902=1),IF(T902&gt;=AE902,L902,W902),IF(V902=1,L902,IF(AG902=1,W902,MAX($D$16,POWER((ABS(K902)^2)/($I$5*MAX(F902,0.1)^2),1/3)))))))</f>
        <v>#VALUE!</v>
      </c>
      <c r="AI902" t="e">
        <f t="shared" ca="1" si="438"/>
        <v>#VALUE!</v>
      </c>
      <c r="AJ902" t="e">
        <f t="shared" ca="1" si="439"/>
        <v>#VALUE!</v>
      </c>
      <c r="AM902">
        <v>0</v>
      </c>
      <c r="AN902">
        <v>0</v>
      </c>
      <c r="AO902">
        <f t="shared" si="440"/>
        <v>0</v>
      </c>
      <c r="AP902">
        <f t="shared" si="449"/>
        <v>0</v>
      </c>
      <c r="AQ902" t="e">
        <f t="shared" ca="1" si="441"/>
        <v>#VALUE!</v>
      </c>
      <c r="AR902" t="e">
        <f t="shared" ca="1" si="442"/>
        <v>#VALUE!</v>
      </c>
      <c r="AS902" t="e">
        <f t="shared" ca="1" si="443"/>
        <v>#VALUE!</v>
      </c>
    </row>
    <row r="903" spans="1:45" x14ac:dyDescent="0.35">
      <c r="A903">
        <v>754</v>
      </c>
      <c r="B903">
        <v>752.89099999999996</v>
      </c>
      <c r="C903">
        <v>616092.73400000005</v>
      </c>
      <c r="D903">
        <v>3097250.6519999998</v>
      </c>
      <c r="E903">
        <v>632.18550000000005</v>
      </c>
      <c r="F903">
        <v>5.0670000000000002</v>
      </c>
      <c r="G903">
        <v>0</v>
      </c>
      <c r="H903" t="s">
        <v>191</v>
      </c>
      <c r="I903">
        <v>0.04</v>
      </c>
      <c r="J903">
        <f t="shared" si="444"/>
        <v>1</v>
      </c>
      <c r="K903">
        <f t="shared" si="445"/>
        <v>51</v>
      </c>
      <c r="L903" t="e">
        <f t="shared" ca="1" si="446"/>
        <v>#VALUE!</v>
      </c>
      <c r="M903" t="e">
        <f t="shared" ca="1" si="419"/>
        <v>#VALUE!</v>
      </c>
      <c r="N903" t="e">
        <f t="shared" ca="1" si="420"/>
        <v>#VALUE!</v>
      </c>
      <c r="O903" t="e">
        <f t="shared" ca="1" si="421"/>
        <v>#VALUE!</v>
      </c>
      <c r="P903" t="e">
        <f t="shared" ca="1" si="422"/>
        <v>#VALUE!</v>
      </c>
      <c r="Q903" t="e">
        <f t="shared" ca="1" si="423"/>
        <v>#VALUE!</v>
      </c>
      <c r="R903" t="e">
        <f t="shared" ca="1" si="424"/>
        <v>#VALUE!</v>
      </c>
      <c r="S903" t="e">
        <f t="shared" ca="1" si="425"/>
        <v>#VALUE!</v>
      </c>
      <c r="T903" t="e">
        <f t="shared" ca="1" si="426"/>
        <v>#VALUE!</v>
      </c>
      <c r="U903" t="e">
        <f t="shared" ca="1" si="447"/>
        <v>#VALUE!</v>
      </c>
      <c r="V903" t="e">
        <f t="shared" ca="1" si="448"/>
        <v>#VALUE!</v>
      </c>
      <c r="W903" t="e">
        <f t="shared" ca="1" si="427"/>
        <v>#VALUE!</v>
      </c>
      <c r="X903" t="e">
        <f t="shared" ca="1" si="428"/>
        <v>#VALUE!</v>
      </c>
      <c r="Y903" t="e">
        <f t="shared" ca="1" si="429"/>
        <v>#VALUE!</v>
      </c>
      <c r="Z903" t="e">
        <f t="shared" ca="1" si="430"/>
        <v>#VALUE!</v>
      </c>
      <c r="AA903" t="e">
        <f t="shared" ca="1" si="431"/>
        <v>#VALUE!</v>
      </c>
      <c r="AB903" t="e">
        <f t="shared" ca="1" si="432"/>
        <v>#VALUE!</v>
      </c>
      <c r="AC903" t="e">
        <f t="shared" ca="1" si="433"/>
        <v>#VALUE!</v>
      </c>
      <c r="AD903" t="e">
        <f t="shared" ca="1" si="434"/>
        <v>#VALUE!</v>
      </c>
      <c r="AE903" t="e">
        <f t="shared" ca="1" si="435"/>
        <v>#VALUE!</v>
      </c>
      <c r="AF903" t="e">
        <f t="shared" ca="1" si="436"/>
        <v>#VALUE!</v>
      </c>
      <c r="AG903" t="e">
        <f t="shared" ca="1" si="437"/>
        <v>#VALUE!</v>
      </c>
      <c r="AH903" t="e">
        <f ca="1">IF(V32="Supercritical",L903,IF(V32="Subcritical",W903,IF(AND(V903=1,AG903=1),IF(T903&gt;=AE903,L903,W903),IF(V903=1,L903,IF(AG903=1,W903,MAX($D$16,POWER((ABS(K903)^2)/($I$5*MAX(F903,0.1)^2),1/3)))))))</f>
        <v>#VALUE!</v>
      </c>
      <c r="AI903" t="e">
        <f t="shared" ca="1" si="438"/>
        <v>#VALUE!</v>
      </c>
      <c r="AJ903" t="e">
        <f t="shared" ca="1" si="439"/>
        <v>#VALUE!</v>
      </c>
      <c r="AM903">
        <v>0</v>
      </c>
      <c r="AN903">
        <v>0</v>
      </c>
      <c r="AO903">
        <f t="shared" si="440"/>
        <v>0</v>
      </c>
      <c r="AP903">
        <f t="shared" si="449"/>
        <v>0</v>
      </c>
      <c r="AQ903" t="e">
        <f t="shared" ca="1" si="441"/>
        <v>#VALUE!</v>
      </c>
      <c r="AR903" t="e">
        <f t="shared" ca="1" si="442"/>
        <v>#VALUE!</v>
      </c>
      <c r="AS903" t="e">
        <f t="shared" ca="1" si="443"/>
        <v>#VALUE!</v>
      </c>
    </row>
    <row r="904" spans="1:45" x14ac:dyDescent="0.35">
      <c r="A904">
        <v>755</v>
      </c>
      <c r="B904">
        <v>753.89099999999996</v>
      </c>
      <c r="C904">
        <v>616092.46900000004</v>
      </c>
      <c r="D904">
        <v>3097249.6869999999</v>
      </c>
      <c r="E904">
        <v>632.18499999999995</v>
      </c>
      <c r="F904">
        <v>5.0670000000000002</v>
      </c>
      <c r="G904">
        <v>0</v>
      </c>
      <c r="H904" t="s">
        <v>191</v>
      </c>
      <c r="I904">
        <v>1.4999999999999999E-2</v>
      </c>
      <c r="J904">
        <f t="shared" si="444"/>
        <v>1</v>
      </c>
      <c r="K904">
        <f t="shared" si="445"/>
        <v>51</v>
      </c>
      <c r="L904" t="e">
        <f t="shared" ca="1" si="446"/>
        <v>#VALUE!</v>
      </c>
      <c r="M904" t="e">
        <f t="shared" ca="1" si="419"/>
        <v>#VALUE!</v>
      </c>
      <c r="N904" t="e">
        <f t="shared" ca="1" si="420"/>
        <v>#VALUE!</v>
      </c>
      <c r="O904" t="e">
        <f t="shared" ca="1" si="421"/>
        <v>#VALUE!</v>
      </c>
      <c r="P904" t="e">
        <f t="shared" ca="1" si="422"/>
        <v>#VALUE!</v>
      </c>
      <c r="Q904" t="e">
        <f t="shared" ca="1" si="423"/>
        <v>#VALUE!</v>
      </c>
      <c r="R904" t="e">
        <f t="shared" ca="1" si="424"/>
        <v>#VALUE!</v>
      </c>
      <c r="S904" t="e">
        <f t="shared" ca="1" si="425"/>
        <v>#VALUE!</v>
      </c>
      <c r="T904" t="e">
        <f t="shared" ca="1" si="426"/>
        <v>#VALUE!</v>
      </c>
      <c r="U904" t="e">
        <f t="shared" ca="1" si="447"/>
        <v>#VALUE!</v>
      </c>
      <c r="V904" t="e">
        <f t="shared" ca="1" si="448"/>
        <v>#VALUE!</v>
      </c>
      <c r="W904" t="e">
        <f t="shared" ca="1" si="427"/>
        <v>#VALUE!</v>
      </c>
      <c r="X904" t="e">
        <f t="shared" ca="1" si="428"/>
        <v>#VALUE!</v>
      </c>
      <c r="Y904" t="e">
        <f t="shared" ca="1" si="429"/>
        <v>#VALUE!</v>
      </c>
      <c r="Z904" t="e">
        <f t="shared" ca="1" si="430"/>
        <v>#VALUE!</v>
      </c>
      <c r="AA904" t="e">
        <f t="shared" ca="1" si="431"/>
        <v>#VALUE!</v>
      </c>
      <c r="AB904" t="e">
        <f t="shared" ca="1" si="432"/>
        <v>#VALUE!</v>
      </c>
      <c r="AC904" t="e">
        <f t="shared" ca="1" si="433"/>
        <v>#VALUE!</v>
      </c>
      <c r="AD904" t="e">
        <f t="shared" ca="1" si="434"/>
        <v>#VALUE!</v>
      </c>
      <c r="AE904" t="e">
        <f t="shared" ca="1" si="435"/>
        <v>#VALUE!</v>
      </c>
      <c r="AF904" t="e">
        <f t="shared" ca="1" si="436"/>
        <v>#VALUE!</v>
      </c>
      <c r="AG904" t="e">
        <f t="shared" ca="1" si="437"/>
        <v>#VALUE!</v>
      </c>
      <c r="AH904" t="e">
        <f ca="1">IF(V32="Supercritical",L904,IF(V32="Subcritical",W904,IF(AND(V904=1,AG904=1),IF(T904&gt;=AE904,L904,W904),IF(V904=1,L904,IF(AG904=1,W904,MAX($D$16,POWER((ABS(K904)^2)/($I$5*MAX(F904,0.1)^2),1/3)))))))</f>
        <v>#VALUE!</v>
      </c>
      <c r="AI904" t="e">
        <f t="shared" ca="1" si="438"/>
        <v>#VALUE!</v>
      </c>
      <c r="AJ904" t="e">
        <f t="shared" ca="1" si="439"/>
        <v>#VALUE!</v>
      </c>
      <c r="AM904">
        <v>0</v>
      </c>
      <c r="AN904">
        <v>0</v>
      </c>
      <c r="AO904">
        <f t="shared" si="440"/>
        <v>0</v>
      </c>
      <c r="AP904">
        <f t="shared" si="449"/>
        <v>0</v>
      </c>
      <c r="AQ904" t="e">
        <f t="shared" ca="1" si="441"/>
        <v>#VALUE!</v>
      </c>
      <c r="AR904" t="e">
        <f t="shared" ca="1" si="442"/>
        <v>#VALUE!</v>
      </c>
      <c r="AS904" t="e">
        <f t="shared" ca="1" si="443"/>
        <v>#VALUE!</v>
      </c>
    </row>
    <row r="905" spans="1:45" x14ac:dyDescent="0.35">
      <c r="A905">
        <v>756</v>
      </c>
      <c r="B905">
        <v>754.89099999999996</v>
      </c>
      <c r="C905">
        <v>616092.20400000003</v>
      </c>
      <c r="D905">
        <v>3097248.7230000002</v>
      </c>
      <c r="E905">
        <v>632.18449999999996</v>
      </c>
      <c r="F905">
        <v>5.0670000000000002</v>
      </c>
      <c r="G905">
        <v>0</v>
      </c>
      <c r="H905" t="s">
        <v>191</v>
      </c>
      <c r="I905">
        <v>7.0000000000000007E-2</v>
      </c>
      <c r="J905">
        <f t="shared" si="444"/>
        <v>1</v>
      </c>
      <c r="K905">
        <f t="shared" si="445"/>
        <v>51</v>
      </c>
      <c r="L905" t="e">
        <f t="shared" ca="1" si="446"/>
        <v>#VALUE!</v>
      </c>
      <c r="M905" t="e">
        <f t="shared" ca="1" si="419"/>
        <v>#VALUE!</v>
      </c>
      <c r="N905" t="e">
        <f t="shared" ca="1" si="420"/>
        <v>#VALUE!</v>
      </c>
      <c r="O905" t="e">
        <f t="shared" ca="1" si="421"/>
        <v>#VALUE!</v>
      </c>
      <c r="P905" t="e">
        <f t="shared" ca="1" si="422"/>
        <v>#VALUE!</v>
      </c>
      <c r="Q905" t="e">
        <f t="shared" ca="1" si="423"/>
        <v>#VALUE!</v>
      </c>
      <c r="R905" t="e">
        <f t="shared" ca="1" si="424"/>
        <v>#VALUE!</v>
      </c>
      <c r="S905" t="e">
        <f t="shared" ca="1" si="425"/>
        <v>#VALUE!</v>
      </c>
      <c r="T905" t="e">
        <f t="shared" ca="1" si="426"/>
        <v>#VALUE!</v>
      </c>
      <c r="U905" t="e">
        <f t="shared" ca="1" si="447"/>
        <v>#VALUE!</v>
      </c>
      <c r="V905" t="e">
        <f t="shared" ca="1" si="448"/>
        <v>#VALUE!</v>
      </c>
      <c r="W905" t="e">
        <f t="shared" ca="1" si="427"/>
        <v>#VALUE!</v>
      </c>
      <c r="X905" t="e">
        <f t="shared" ca="1" si="428"/>
        <v>#VALUE!</v>
      </c>
      <c r="Y905" t="e">
        <f t="shared" ca="1" si="429"/>
        <v>#VALUE!</v>
      </c>
      <c r="Z905" t="e">
        <f t="shared" ca="1" si="430"/>
        <v>#VALUE!</v>
      </c>
      <c r="AA905" t="e">
        <f t="shared" ca="1" si="431"/>
        <v>#VALUE!</v>
      </c>
      <c r="AB905" t="e">
        <f t="shared" ca="1" si="432"/>
        <v>#VALUE!</v>
      </c>
      <c r="AC905" t="e">
        <f t="shared" ca="1" si="433"/>
        <v>#VALUE!</v>
      </c>
      <c r="AD905" t="e">
        <f t="shared" ca="1" si="434"/>
        <v>#VALUE!</v>
      </c>
      <c r="AE905" t="e">
        <f t="shared" ca="1" si="435"/>
        <v>#VALUE!</v>
      </c>
      <c r="AF905" t="e">
        <f t="shared" ca="1" si="436"/>
        <v>#VALUE!</v>
      </c>
      <c r="AG905" t="e">
        <f t="shared" ca="1" si="437"/>
        <v>#VALUE!</v>
      </c>
      <c r="AH905" t="e">
        <f ca="1">IF(V32="Supercritical",L905,IF(V32="Subcritical",W905,IF(AND(V905=1,AG905=1),IF(T905&gt;=AE905,L905,W905),IF(V905=1,L905,IF(AG905=1,W905,MAX($D$16,POWER((ABS(K905)^2)/($I$5*MAX(F905,0.1)^2),1/3)))))))</f>
        <v>#VALUE!</v>
      </c>
      <c r="AI905" t="e">
        <f t="shared" ca="1" si="438"/>
        <v>#VALUE!</v>
      </c>
      <c r="AJ905" t="e">
        <f t="shared" ca="1" si="439"/>
        <v>#VALUE!</v>
      </c>
      <c r="AM905">
        <v>0</v>
      </c>
      <c r="AN905">
        <v>0</v>
      </c>
      <c r="AO905">
        <f t="shared" si="440"/>
        <v>0</v>
      </c>
      <c r="AP905">
        <f t="shared" si="449"/>
        <v>0</v>
      </c>
      <c r="AQ905" t="e">
        <f t="shared" ca="1" si="441"/>
        <v>#VALUE!</v>
      </c>
      <c r="AR905" t="e">
        <f t="shared" ca="1" si="442"/>
        <v>#VALUE!</v>
      </c>
      <c r="AS905" t="e">
        <f t="shared" ca="1" si="443"/>
        <v>#VALUE!</v>
      </c>
    </row>
    <row r="906" spans="1:45" x14ac:dyDescent="0.35">
      <c r="A906">
        <v>757</v>
      </c>
      <c r="B906">
        <v>755.89200000000005</v>
      </c>
      <c r="C906">
        <v>616091.93999999994</v>
      </c>
      <c r="D906">
        <v>3097247.7579999999</v>
      </c>
      <c r="E906">
        <v>632.18399999999997</v>
      </c>
      <c r="F906">
        <v>5.0670000000000002</v>
      </c>
      <c r="G906">
        <v>0</v>
      </c>
      <c r="H906" t="s">
        <v>191</v>
      </c>
      <c r="I906">
        <v>7.0000000000000007E-2</v>
      </c>
      <c r="J906">
        <f t="shared" si="444"/>
        <v>1.00100000000009</v>
      </c>
      <c r="K906">
        <f t="shared" si="445"/>
        <v>51</v>
      </c>
      <c r="L906" t="e">
        <f t="shared" ca="1" si="446"/>
        <v>#VALUE!</v>
      </c>
      <c r="M906" t="e">
        <f t="shared" ca="1" si="419"/>
        <v>#VALUE!</v>
      </c>
      <c r="N906" t="e">
        <f t="shared" ca="1" si="420"/>
        <v>#VALUE!</v>
      </c>
      <c r="O906" t="e">
        <f t="shared" ca="1" si="421"/>
        <v>#VALUE!</v>
      </c>
      <c r="P906" t="e">
        <f t="shared" ca="1" si="422"/>
        <v>#VALUE!</v>
      </c>
      <c r="Q906" t="e">
        <f t="shared" ca="1" si="423"/>
        <v>#VALUE!</v>
      </c>
      <c r="R906" t="e">
        <f t="shared" ca="1" si="424"/>
        <v>#VALUE!</v>
      </c>
      <c r="S906" t="e">
        <f t="shared" ca="1" si="425"/>
        <v>#VALUE!</v>
      </c>
      <c r="T906" t="e">
        <f t="shared" ca="1" si="426"/>
        <v>#VALUE!</v>
      </c>
      <c r="U906" t="e">
        <f t="shared" ca="1" si="447"/>
        <v>#VALUE!</v>
      </c>
      <c r="V906" t="e">
        <f t="shared" ca="1" si="448"/>
        <v>#VALUE!</v>
      </c>
      <c r="W906" t="e">
        <f t="shared" ca="1" si="427"/>
        <v>#VALUE!</v>
      </c>
      <c r="X906" t="e">
        <f t="shared" ca="1" si="428"/>
        <v>#VALUE!</v>
      </c>
      <c r="Y906" t="e">
        <f t="shared" ca="1" si="429"/>
        <v>#VALUE!</v>
      </c>
      <c r="Z906" t="e">
        <f t="shared" ca="1" si="430"/>
        <v>#VALUE!</v>
      </c>
      <c r="AA906" t="e">
        <f t="shared" ca="1" si="431"/>
        <v>#VALUE!</v>
      </c>
      <c r="AB906" t="e">
        <f t="shared" ca="1" si="432"/>
        <v>#VALUE!</v>
      </c>
      <c r="AC906" t="e">
        <f t="shared" ca="1" si="433"/>
        <v>#VALUE!</v>
      </c>
      <c r="AD906" t="e">
        <f t="shared" ca="1" si="434"/>
        <v>#VALUE!</v>
      </c>
      <c r="AE906" t="e">
        <f t="shared" ca="1" si="435"/>
        <v>#VALUE!</v>
      </c>
      <c r="AF906" t="e">
        <f t="shared" ca="1" si="436"/>
        <v>#VALUE!</v>
      </c>
      <c r="AG906" t="e">
        <f t="shared" ca="1" si="437"/>
        <v>#VALUE!</v>
      </c>
      <c r="AH906" t="e">
        <f ca="1">IF(V32="Supercritical",L906,IF(V32="Subcritical",W906,IF(AND(V906=1,AG906=1),IF(T906&gt;=AE906,L906,W906),IF(V906=1,L906,IF(AG906=1,W906,MAX($D$16,POWER((ABS(K906)^2)/($I$5*MAX(F906,0.1)^2),1/3)))))))</f>
        <v>#VALUE!</v>
      </c>
      <c r="AI906" t="e">
        <f t="shared" ca="1" si="438"/>
        <v>#VALUE!</v>
      </c>
      <c r="AJ906" t="e">
        <f t="shared" ca="1" si="439"/>
        <v>#VALUE!</v>
      </c>
      <c r="AM906">
        <v>0</v>
      </c>
      <c r="AN906">
        <v>0</v>
      </c>
      <c r="AO906">
        <f t="shared" si="440"/>
        <v>0</v>
      </c>
      <c r="AP906">
        <f t="shared" si="449"/>
        <v>0</v>
      </c>
      <c r="AQ906" t="e">
        <f t="shared" ca="1" si="441"/>
        <v>#VALUE!</v>
      </c>
      <c r="AR906" t="e">
        <f t="shared" ca="1" si="442"/>
        <v>#VALUE!</v>
      </c>
      <c r="AS906" t="e">
        <f t="shared" ca="1" si="443"/>
        <v>#VALUE!</v>
      </c>
    </row>
    <row r="907" spans="1:45" x14ac:dyDescent="0.35">
      <c r="A907">
        <v>758</v>
      </c>
      <c r="B907">
        <v>756.89099999999996</v>
      </c>
      <c r="C907">
        <v>616091.67500000005</v>
      </c>
      <c r="D907">
        <v>3097246.7940000002</v>
      </c>
      <c r="E907">
        <v>632.18349999999998</v>
      </c>
      <c r="F907">
        <v>5.0670000000000002</v>
      </c>
      <c r="G907">
        <v>0</v>
      </c>
      <c r="H907" t="s">
        <v>191</v>
      </c>
      <c r="I907">
        <v>5.5E-2</v>
      </c>
      <c r="J907">
        <f t="shared" si="444"/>
        <v>0.99899999999990996</v>
      </c>
      <c r="K907">
        <f t="shared" si="445"/>
        <v>51</v>
      </c>
      <c r="L907" t="e">
        <f t="shared" ca="1" si="446"/>
        <v>#VALUE!</v>
      </c>
      <c r="M907" t="e">
        <f t="shared" ca="1" si="419"/>
        <v>#VALUE!</v>
      </c>
      <c r="N907" t="e">
        <f t="shared" ca="1" si="420"/>
        <v>#VALUE!</v>
      </c>
      <c r="O907" t="e">
        <f t="shared" ca="1" si="421"/>
        <v>#VALUE!</v>
      </c>
      <c r="P907" t="e">
        <f t="shared" ca="1" si="422"/>
        <v>#VALUE!</v>
      </c>
      <c r="Q907" t="e">
        <f t="shared" ca="1" si="423"/>
        <v>#VALUE!</v>
      </c>
      <c r="R907" t="e">
        <f t="shared" ca="1" si="424"/>
        <v>#VALUE!</v>
      </c>
      <c r="S907" t="e">
        <f t="shared" ca="1" si="425"/>
        <v>#VALUE!</v>
      </c>
      <c r="T907" t="e">
        <f t="shared" ca="1" si="426"/>
        <v>#VALUE!</v>
      </c>
      <c r="U907" t="e">
        <f t="shared" ca="1" si="447"/>
        <v>#VALUE!</v>
      </c>
      <c r="V907" t="e">
        <f t="shared" ca="1" si="448"/>
        <v>#VALUE!</v>
      </c>
      <c r="W907" t="e">
        <f t="shared" ca="1" si="427"/>
        <v>#VALUE!</v>
      </c>
      <c r="X907" t="e">
        <f t="shared" ca="1" si="428"/>
        <v>#VALUE!</v>
      </c>
      <c r="Y907" t="e">
        <f t="shared" ca="1" si="429"/>
        <v>#VALUE!</v>
      </c>
      <c r="Z907" t="e">
        <f t="shared" ca="1" si="430"/>
        <v>#VALUE!</v>
      </c>
      <c r="AA907" t="e">
        <f t="shared" ca="1" si="431"/>
        <v>#VALUE!</v>
      </c>
      <c r="AB907" t="e">
        <f t="shared" ca="1" si="432"/>
        <v>#VALUE!</v>
      </c>
      <c r="AC907" t="e">
        <f t="shared" ca="1" si="433"/>
        <v>#VALUE!</v>
      </c>
      <c r="AD907" t="e">
        <f t="shared" ca="1" si="434"/>
        <v>#VALUE!</v>
      </c>
      <c r="AE907" t="e">
        <f t="shared" ca="1" si="435"/>
        <v>#VALUE!</v>
      </c>
      <c r="AF907" t="e">
        <f t="shared" ca="1" si="436"/>
        <v>#VALUE!</v>
      </c>
      <c r="AG907" t="e">
        <f t="shared" ca="1" si="437"/>
        <v>#VALUE!</v>
      </c>
      <c r="AH907" t="e">
        <f ca="1">IF(V32="Supercritical",L907,IF(V32="Subcritical",W907,IF(AND(V907=1,AG907=1),IF(T907&gt;=AE907,L907,W907),IF(V907=1,L907,IF(AG907=1,W907,MAX($D$16,POWER((ABS(K907)^2)/($I$5*MAX(F907,0.1)^2),1/3)))))))</f>
        <v>#VALUE!</v>
      </c>
      <c r="AI907" t="e">
        <f t="shared" ca="1" si="438"/>
        <v>#VALUE!</v>
      </c>
      <c r="AJ907" t="e">
        <f t="shared" ca="1" si="439"/>
        <v>#VALUE!</v>
      </c>
      <c r="AM907">
        <v>0</v>
      </c>
      <c r="AN907">
        <v>0</v>
      </c>
      <c r="AO907">
        <f t="shared" si="440"/>
        <v>0</v>
      </c>
      <c r="AP907">
        <f t="shared" si="449"/>
        <v>0</v>
      </c>
      <c r="AQ907" t="e">
        <f t="shared" ca="1" si="441"/>
        <v>#VALUE!</v>
      </c>
      <c r="AR907" t="e">
        <f t="shared" ca="1" si="442"/>
        <v>#VALUE!</v>
      </c>
      <c r="AS907" t="e">
        <f t="shared" ca="1" si="443"/>
        <v>#VALUE!</v>
      </c>
    </row>
    <row r="908" spans="1:45" x14ac:dyDescent="0.35">
      <c r="A908">
        <v>759</v>
      </c>
      <c r="B908">
        <v>757.89099999999996</v>
      </c>
      <c r="C908">
        <v>616091.41099999996</v>
      </c>
      <c r="D908">
        <v>3097245.83</v>
      </c>
      <c r="E908">
        <v>632.18299999999999</v>
      </c>
      <c r="F908">
        <v>5.1829999999999998</v>
      </c>
      <c r="G908">
        <v>0</v>
      </c>
      <c r="H908" t="s">
        <v>191</v>
      </c>
      <c r="I908">
        <v>11.814</v>
      </c>
      <c r="J908">
        <f t="shared" si="444"/>
        <v>1</v>
      </c>
      <c r="K908">
        <f t="shared" si="445"/>
        <v>51</v>
      </c>
      <c r="L908" t="e">
        <f t="shared" ca="1" si="446"/>
        <v>#VALUE!</v>
      </c>
      <c r="M908" t="e">
        <f t="shared" ca="1" si="419"/>
        <v>#VALUE!</v>
      </c>
      <c r="N908" t="e">
        <f t="shared" ca="1" si="420"/>
        <v>#VALUE!</v>
      </c>
      <c r="O908" t="e">
        <f t="shared" ca="1" si="421"/>
        <v>#VALUE!</v>
      </c>
      <c r="P908" t="e">
        <f t="shared" ca="1" si="422"/>
        <v>#VALUE!</v>
      </c>
      <c r="Q908" t="e">
        <f t="shared" ca="1" si="423"/>
        <v>#VALUE!</v>
      </c>
      <c r="R908" t="e">
        <f t="shared" ca="1" si="424"/>
        <v>#VALUE!</v>
      </c>
      <c r="S908" t="e">
        <f t="shared" ca="1" si="425"/>
        <v>#VALUE!</v>
      </c>
      <c r="T908" t="e">
        <f t="shared" ca="1" si="426"/>
        <v>#VALUE!</v>
      </c>
      <c r="U908" t="e">
        <f t="shared" ca="1" si="447"/>
        <v>#VALUE!</v>
      </c>
      <c r="V908" t="e">
        <f t="shared" ca="1" si="448"/>
        <v>#VALUE!</v>
      </c>
      <c r="W908" t="e">
        <f t="shared" ca="1" si="427"/>
        <v>#VALUE!</v>
      </c>
      <c r="X908" t="e">
        <f t="shared" ca="1" si="428"/>
        <v>#VALUE!</v>
      </c>
      <c r="Y908" t="e">
        <f t="shared" ca="1" si="429"/>
        <v>#VALUE!</v>
      </c>
      <c r="Z908" t="e">
        <f t="shared" ca="1" si="430"/>
        <v>#VALUE!</v>
      </c>
      <c r="AA908" t="e">
        <f t="shared" ca="1" si="431"/>
        <v>#VALUE!</v>
      </c>
      <c r="AB908" t="e">
        <f t="shared" ca="1" si="432"/>
        <v>#VALUE!</v>
      </c>
      <c r="AC908" t="e">
        <f t="shared" ca="1" si="433"/>
        <v>#VALUE!</v>
      </c>
      <c r="AD908" t="e">
        <f t="shared" ca="1" si="434"/>
        <v>#VALUE!</v>
      </c>
      <c r="AE908" t="e">
        <f t="shared" ca="1" si="435"/>
        <v>#VALUE!</v>
      </c>
      <c r="AF908" t="e">
        <f t="shared" ca="1" si="436"/>
        <v>#VALUE!</v>
      </c>
      <c r="AG908" t="e">
        <f t="shared" ca="1" si="437"/>
        <v>#VALUE!</v>
      </c>
      <c r="AH908" t="e">
        <f ca="1">IF(V32="Supercritical",L908,IF(V32="Subcritical",W908,IF(AND(V908=1,AG908=1),IF(T908&gt;=AE908,L908,W908),IF(V908=1,L908,IF(AG908=1,W908,MAX($D$16,POWER((ABS(K908)^2)/($I$5*MAX(F908,0.1)^2),1/3)))))))</f>
        <v>#VALUE!</v>
      </c>
      <c r="AI908" t="e">
        <f t="shared" ca="1" si="438"/>
        <v>#VALUE!</v>
      </c>
      <c r="AJ908" t="e">
        <f t="shared" ca="1" si="439"/>
        <v>#VALUE!</v>
      </c>
      <c r="AM908">
        <v>0</v>
      </c>
      <c r="AN908">
        <v>0</v>
      </c>
      <c r="AO908">
        <f t="shared" si="440"/>
        <v>0</v>
      </c>
      <c r="AP908">
        <f t="shared" si="449"/>
        <v>0</v>
      </c>
      <c r="AQ908" t="e">
        <f t="shared" ca="1" si="441"/>
        <v>#VALUE!</v>
      </c>
      <c r="AR908" t="e">
        <f t="shared" ca="1" si="442"/>
        <v>#VALUE!</v>
      </c>
      <c r="AS908" t="e">
        <f t="shared" ca="1" si="443"/>
        <v>#VALUE!</v>
      </c>
    </row>
    <row r="909" spans="1:45" x14ac:dyDescent="0.35">
      <c r="A909">
        <v>760</v>
      </c>
      <c r="B909">
        <v>758.89</v>
      </c>
      <c r="C909">
        <v>616091.35</v>
      </c>
      <c r="D909">
        <v>3097244.8330000001</v>
      </c>
      <c r="E909">
        <v>632.1825</v>
      </c>
      <c r="F909">
        <v>5.2</v>
      </c>
      <c r="G909">
        <v>0</v>
      </c>
      <c r="H909" t="s">
        <v>191</v>
      </c>
      <c r="I909">
        <v>1.0940000000000001</v>
      </c>
      <c r="J909">
        <f t="shared" si="444"/>
        <v>0.99900000000002365</v>
      </c>
      <c r="K909">
        <f t="shared" si="445"/>
        <v>51</v>
      </c>
      <c r="L909" t="e">
        <f t="shared" ca="1" si="446"/>
        <v>#VALUE!</v>
      </c>
      <c r="M909" t="e">
        <f t="shared" ca="1" si="419"/>
        <v>#VALUE!</v>
      </c>
      <c r="N909" t="e">
        <f t="shared" ca="1" si="420"/>
        <v>#VALUE!</v>
      </c>
      <c r="O909" t="e">
        <f t="shared" ca="1" si="421"/>
        <v>#VALUE!</v>
      </c>
      <c r="P909" t="e">
        <f t="shared" ca="1" si="422"/>
        <v>#VALUE!</v>
      </c>
      <c r="Q909" t="e">
        <f t="shared" ca="1" si="423"/>
        <v>#VALUE!</v>
      </c>
      <c r="R909" t="e">
        <f t="shared" ca="1" si="424"/>
        <v>#VALUE!</v>
      </c>
      <c r="S909" t="e">
        <f t="shared" ca="1" si="425"/>
        <v>#VALUE!</v>
      </c>
      <c r="T909" t="e">
        <f t="shared" ca="1" si="426"/>
        <v>#VALUE!</v>
      </c>
      <c r="U909" t="e">
        <f t="shared" ca="1" si="447"/>
        <v>#VALUE!</v>
      </c>
      <c r="V909" t="e">
        <f t="shared" ca="1" si="448"/>
        <v>#VALUE!</v>
      </c>
      <c r="W909" t="e">
        <f t="shared" ca="1" si="427"/>
        <v>#VALUE!</v>
      </c>
      <c r="X909" t="e">
        <f t="shared" ca="1" si="428"/>
        <v>#VALUE!</v>
      </c>
      <c r="Y909" t="e">
        <f t="shared" ca="1" si="429"/>
        <v>#VALUE!</v>
      </c>
      <c r="Z909" t="e">
        <f t="shared" ca="1" si="430"/>
        <v>#VALUE!</v>
      </c>
      <c r="AA909" t="e">
        <f t="shared" ca="1" si="431"/>
        <v>#VALUE!</v>
      </c>
      <c r="AB909" t="e">
        <f t="shared" ca="1" si="432"/>
        <v>#VALUE!</v>
      </c>
      <c r="AC909" t="e">
        <f t="shared" ca="1" si="433"/>
        <v>#VALUE!</v>
      </c>
      <c r="AD909" t="e">
        <f t="shared" ca="1" si="434"/>
        <v>#VALUE!</v>
      </c>
      <c r="AE909" t="e">
        <f t="shared" ca="1" si="435"/>
        <v>#VALUE!</v>
      </c>
      <c r="AF909" t="e">
        <f t="shared" ca="1" si="436"/>
        <v>#VALUE!</v>
      </c>
      <c r="AG909" t="e">
        <f t="shared" ca="1" si="437"/>
        <v>#VALUE!</v>
      </c>
      <c r="AH909" t="e">
        <f ca="1">IF(V32="Supercritical",L909,IF(V32="Subcritical",W909,IF(AND(V909=1,AG909=1),IF(T909&gt;=AE909,L909,W909),IF(V909=1,L909,IF(AG909=1,W909,MAX($D$16,POWER((ABS(K909)^2)/($I$5*MAX(F909,0.1)^2),1/3)))))))</f>
        <v>#VALUE!</v>
      </c>
      <c r="AI909" t="e">
        <f t="shared" ca="1" si="438"/>
        <v>#VALUE!</v>
      </c>
      <c r="AJ909" t="e">
        <f t="shared" ca="1" si="439"/>
        <v>#VALUE!</v>
      </c>
      <c r="AM909">
        <v>0</v>
      </c>
      <c r="AN909">
        <v>0</v>
      </c>
      <c r="AO909">
        <f t="shared" si="440"/>
        <v>0</v>
      </c>
      <c r="AP909">
        <f t="shared" si="449"/>
        <v>0</v>
      </c>
      <c r="AQ909" t="e">
        <f t="shared" ca="1" si="441"/>
        <v>#VALUE!</v>
      </c>
      <c r="AR909" t="e">
        <f t="shared" ca="1" si="442"/>
        <v>#VALUE!</v>
      </c>
      <c r="AS909" t="e">
        <f t="shared" ca="1" si="443"/>
        <v>#VALUE!</v>
      </c>
    </row>
    <row r="910" spans="1:45" x14ac:dyDescent="0.35">
      <c r="A910">
        <v>761</v>
      </c>
      <c r="B910">
        <v>759.89</v>
      </c>
      <c r="C910">
        <v>616091.30799999996</v>
      </c>
      <c r="D910">
        <v>3097243.8339999998</v>
      </c>
      <c r="E910">
        <v>632.18200000000002</v>
      </c>
      <c r="F910">
        <v>5.2</v>
      </c>
      <c r="G910">
        <v>0</v>
      </c>
      <c r="H910" t="s">
        <v>191</v>
      </c>
      <c r="I910">
        <v>0</v>
      </c>
      <c r="J910">
        <f t="shared" si="444"/>
        <v>1</v>
      </c>
      <c r="K910">
        <f t="shared" si="445"/>
        <v>51</v>
      </c>
      <c r="L910" t="e">
        <f t="shared" ca="1" si="446"/>
        <v>#VALUE!</v>
      </c>
      <c r="M910" t="e">
        <f t="shared" ca="1" si="419"/>
        <v>#VALUE!</v>
      </c>
      <c r="N910" t="e">
        <f t="shared" ca="1" si="420"/>
        <v>#VALUE!</v>
      </c>
      <c r="O910" t="e">
        <f t="shared" ca="1" si="421"/>
        <v>#VALUE!</v>
      </c>
      <c r="P910" t="e">
        <f t="shared" ca="1" si="422"/>
        <v>#VALUE!</v>
      </c>
      <c r="Q910" t="e">
        <f t="shared" ca="1" si="423"/>
        <v>#VALUE!</v>
      </c>
      <c r="R910" t="e">
        <f t="shared" ca="1" si="424"/>
        <v>#VALUE!</v>
      </c>
      <c r="S910" t="e">
        <f t="shared" ca="1" si="425"/>
        <v>#VALUE!</v>
      </c>
      <c r="T910" t="e">
        <f t="shared" ca="1" si="426"/>
        <v>#VALUE!</v>
      </c>
      <c r="U910" t="e">
        <f t="shared" ca="1" si="447"/>
        <v>#VALUE!</v>
      </c>
      <c r="V910" t="e">
        <f t="shared" ca="1" si="448"/>
        <v>#VALUE!</v>
      </c>
      <c r="W910" t="e">
        <f t="shared" ca="1" si="427"/>
        <v>#VALUE!</v>
      </c>
      <c r="X910" t="e">
        <f t="shared" ca="1" si="428"/>
        <v>#VALUE!</v>
      </c>
      <c r="Y910" t="e">
        <f t="shared" ca="1" si="429"/>
        <v>#VALUE!</v>
      </c>
      <c r="Z910" t="e">
        <f t="shared" ca="1" si="430"/>
        <v>#VALUE!</v>
      </c>
      <c r="AA910" t="e">
        <f t="shared" ca="1" si="431"/>
        <v>#VALUE!</v>
      </c>
      <c r="AB910" t="e">
        <f t="shared" ca="1" si="432"/>
        <v>#VALUE!</v>
      </c>
      <c r="AC910" t="e">
        <f t="shared" ca="1" si="433"/>
        <v>#VALUE!</v>
      </c>
      <c r="AD910" t="e">
        <f t="shared" ca="1" si="434"/>
        <v>#VALUE!</v>
      </c>
      <c r="AE910" t="e">
        <f t="shared" ca="1" si="435"/>
        <v>#VALUE!</v>
      </c>
      <c r="AF910" t="e">
        <f t="shared" ca="1" si="436"/>
        <v>#VALUE!</v>
      </c>
      <c r="AG910" t="e">
        <f t="shared" ca="1" si="437"/>
        <v>#VALUE!</v>
      </c>
      <c r="AH910" t="e">
        <f ca="1">IF(V32="Supercritical",L910,IF(V32="Subcritical",W910,IF(AND(V910=1,AG910=1),IF(T910&gt;=AE910,L910,W910),IF(V910=1,L910,IF(AG910=1,W910,MAX($D$16,POWER((ABS(K910)^2)/($I$5*MAX(F910,0.1)^2),1/3)))))))</f>
        <v>#VALUE!</v>
      </c>
      <c r="AI910" t="e">
        <f t="shared" ca="1" si="438"/>
        <v>#VALUE!</v>
      </c>
      <c r="AJ910" t="e">
        <f t="shared" ca="1" si="439"/>
        <v>#VALUE!</v>
      </c>
      <c r="AM910">
        <v>0</v>
      </c>
      <c r="AN910">
        <v>0</v>
      </c>
      <c r="AO910">
        <f t="shared" si="440"/>
        <v>0</v>
      </c>
      <c r="AP910">
        <f t="shared" si="449"/>
        <v>0</v>
      </c>
      <c r="AQ910" t="e">
        <f t="shared" ca="1" si="441"/>
        <v>#VALUE!</v>
      </c>
      <c r="AR910" t="e">
        <f t="shared" ca="1" si="442"/>
        <v>#VALUE!</v>
      </c>
      <c r="AS910" t="e">
        <f t="shared" ca="1" si="443"/>
        <v>#VALUE!</v>
      </c>
    </row>
    <row r="911" spans="1:45" x14ac:dyDescent="0.35">
      <c r="A911">
        <v>762</v>
      </c>
      <c r="B911">
        <v>760.88900000000001</v>
      </c>
      <c r="C911">
        <v>616091.26599999995</v>
      </c>
      <c r="D911">
        <v>3097242.835</v>
      </c>
      <c r="E911">
        <v>632.18150000000003</v>
      </c>
      <c r="F911">
        <v>5.2</v>
      </c>
      <c r="G911">
        <v>0</v>
      </c>
      <c r="H911" t="s">
        <v>191</v>
      </c>
      <c r="I911">
        <v>0</v>
      </c>
      <c r="J911">
        <f t="shared" si="444"/>
        <v>0.99900000000002365</v>
      </c>
      <c r="K911">
        <f t="shared" si="445"/>
        <v>51</v>
      </c>
      <c r="L911" t="e">
        <f t="shared" ca="1" si="446"/>
        <v>#VALUE!</v>
      </c>
      <c r="M911" t="e">
        <f t="shared" ca="1" si="419"/>
        <v>#VALUE!</v>
      </c>
      <c r="N911" t="e">
        <f t="shared" ca="1" si="420"/>
        <v>#VALUE!</v>
      </c>
      <c r="O911" t="e">
        <f t="shared" ca="1" si="421"/>
        <v>#VALUE!</v>
      </c>
      <c r="P911" t="e">
        <f t="shared" ca="1" si="422"/>
        <v>#VALUE!</v>
      </c>
      <c r="Q911" t="e">
        <f t="shared" ca="1" si="423"/>
        <v>#VALUE!</v>
      </c>
      <c r="R911" t="e">
        <f t="shared" ca="1" si="424"/>
        <v>#VALUE!</v>
      </c>
      <c r="S911" t="e">
        <f t="shared" ca="1" si="425"/>
        <v>#VALUE!</v>
      </c>
      <c r="T911" t="e">
        <f t="shared" ca="1" si="426"/>
        <v>#VALUE!</v>
      </c>
      <c r="U911" t="e">
        <f t="shared" ca="1" si="447"/>
        <v>#VALUE!</v>
      </c>
      <c r="V911" t="e">
        <f t="shared" ca="1" si="448"/>
        <v>#VALUE!</v>
      </c>
      <c r="W911" t="e">
        <f t="shared" ca="1" si="427"/>
        <v>#VALUE!</v>
      </c>
      <c r="X911" t="e">
        <f t="shared" ca="1" si="428"/>
        <v>#VALUE!</v>
      </c>
      <c r="Y911" t="e">
        <f t="shared" ca="1" si="429"/>
        <v>#VALUE!</v>
      </c>
      <c r="Z911" t="e">
        <f t="shared" ca="1" si="430"/>
        <v>#VALUE!</v>
      </c>
      <c r="AA911" t="e">
        <f t="shared" ca="1" si="431"/>
        <v>#VALUE!</v>
      </c>
      <c r="AB911" t="e">
        <f t="shared" ca="1" si="432"/>
        <v>#VALUE!</v>
      </c>
      <c r="AC911" t="e">
        <f t="shared" ca="1" si="433"/>
        <v>#VALUE!</v>
      </c>
      <c r="AD911" t="e">
        <f t="shared" ca="1" si="434"/>
        <v>#VALUE!</v>
      </c>
      <c r="AE911" t="e">
        <f t="shared" ca="1" si="435"/>
        <v>#VALUE!</v>
      </c>
      <c r="AF911" t="e">
        <f t="shared" ca="1" si="436"/>
        <v>#VALUE!</v>
      </c>
      <c r="AG911" t="e">
        <f t="shared" ca="1" si="437"/>
        <v>#VALUE!</v>
      </c>
      <c r="AH911" t="e">
        <f ca="1">IF(V32="Supercritical",L911,IF(V32="Subcritical",W911,IF(AND(V911=1,AG911=1),IF(T911&gt;=AE911,L911,W911),IF(V911=1,L911,IF(AG911=1,W911,MAX($D$16,POWER((ABS(K911)^2)/($I$5*MAX(F911,0.1)^2),1/3)))))))</f>
        <v>#VALUE!</v>
      </c>
      <c r="AI911" t="e">
        <f t="shared" ca="1" si="438"/>
        <v>#VALUE!</v>
      </c>
      <c r="AJ911" t="e">
        <f t="shared" ca="1" si="439"/>
        <v>#VALUE!</v>
      </c>
      <c r="AM911">
        <v>0</v>
      </c>
      <c r="AN911">
        <v>0</v>
      </c>
      <c r="AO911">
        <f t="shared" si="440"/>
        <v>0</v>
      </c>
      <c r="AP911">
        <f t="shared" si="449"/>
        <v>0</v>
      </c>
      <c r="AQ911" t="e">
        <f t="shared" ca="1" si="441"/>
        <v>#VALUE!</v>
      </c>
      <c r="AR911" t="e">
        <f t="shared" ca="1" si="442"/>
        <v>#VALUE!</v>
      </c>
      <c r="AS911" t="e">
        <f t="shared" ca="1" si="443"/>
        <v>#VALUE!</v>
      </c>
    </row>
    <row r="912" spans="1:45" x14ac:dyDescent="0.35">
      <c r="A912">
        <v>763</v>
      </c>
      <c r="B912">
        <v>761.88900000000001</v>
      </c>
      <c r="C912">
        <v>616091.22400000005</v>
      </c>
      <c r="D912">
        <v>3097241.8360000001</v>
      </c>
      <c r="E912">
        <v>632.18100000000004</v>
      </c>
      <c r="F912">
        <v>5.2</v>
      </c>
      <c r="G912">
        <v>0</v>
      </c>
      <c r="H912" t="s">
        <v>191</v>
      </c>
      <c r="I912">
        <v>5.7000000000000002E-2</v>
      </c>
      <c r="J912">
        <f t="shared" si="444"/>
        <v>1</v>
      </c>
      <c r="K912">
        <f t="shared" si="445"/>
        <v>51</v>
      </c>
      <c r="L912" t="e">
        <f t="shared" ca="1" si="446"/>
        <v>#VALUE!</v>
      </c>
      <c r="M912" t="e">
        <f t="shared" ca="1" si="419"/>
        <v>#VALUE!</v>
      </c>
      <c r="N912" t="e">
        <f t="shared" ca="1" si="420"/>
        <v>#VALUE!</v>
      </c>
      <c r="O912" t="e">
        <f t="shared" ca="1" si="421"/>
        <v>#VALUE!</v>
      </c>
      <c r="P912" t="e">
        <f t="shared" ca="1" si="422"/>
        <v>#VALUE!</v>
      </c>
      <c r="Q912" t="e">
        <f t="shared" ca="1" si="423"/>
        <v>#VALUE!</v>
      </c>
      <c r="R912" t="e">
        <f t="shared" ca="1" si="424"/>
        <v>#VALUE!</v>
      </c>
      <c r="S912" t="e">
        <f t="shared" ca="1" si="425"/>
        <v>#VALUE!</v>
      </c>
      <c r="T912" t="e">
        <f t="shared" ca="1" si="426"/>
        <v>#VALUE!</v>
      </c>
      <c r="U912" t="e">
        <f t="shared" ca="1" si="447"/>
        <v>#VALUE!</v>
      </c>
      <c r="V912" t="e">
        <f t="shared" ca="1" si="448"/>
        <v>#VALUE!</v>
      </c>
      <c r="W912" t="e">
        <f t="shared" ca="1" si="427"/>
        <v>#VALUE!</v>
      </c>
      <c r="X912" t="e">
        <f t="shared" ca="1" si="428"/>
        <v>#VALUE!</v>
      </c>
      <c r="Y912" t="e">
        <f t="shared" ca="1" si="429"/>
        <v>#VALUE!</v>
      </c>
      <c r="Z912" t="e">
        <f t="shared" ca="1" si="430"/>
        <v>#VALUE!</v>
      </c>
      <c r="AA912" t="e">
        <f t="shared" ca="1" si="431"/>
        <v>#VALUE!</v>
      </c>
      <c r="AB912" t="e">
        <f t="shared" ca="1" si="432"/>
        <v>#VALUE!</v>
      </c>
      <c r="AC912" t="e">
        <f t="shared" ca="1" si="433"/>
        <v>#VALUE!</v>
      </c>
      <c r="AD912" t="e">
        <f t="shared" ca="1" si="434"/>
        <v>#VALUE!</v>
      </c>
      <c r="AE912" t="e">
        <f t="shared" ca="1" si="435"/>
        <v>#VALUE!</v>
      </c>
      <c r="AF912" t="e">
        <f t="shared" ca="1" si="436"/>
        <v>#VALUE!</v>
      </c>
      <c r="AG912" t="e">
        <f t="shared" ca="1" si="437"/>
        <v>#VALUE!</v>
      </c>
      <c r="AH912" t="e">
        <f ca="1">IF(V32="Supercritical",L912,IF(V32="Subcritical",W912,IF(AND(V912=1,AG912=1),IF(T912&gt;=AE912,L912,W912),IF(V912=1,L912,IF(AG912=1,W912,MAX($D$16,POWER((ABS(K912)^2)/($I$5*MAX(F912,0.1)^2),1/3)))))))</f>
        <v>#VALUE!</v>
      </c>
      <c r="AI912" t="e">
        <f t="shared" ca="1" si="438"/>
        <v>#VALUE!</v>
      </c>
      <c r="AJ912" t="e">
        <f t="shared" ca="1" si="439"/>
        <v>#VALUE!</v>
      </c>
      <c r="AM912">
        <v>0</v>
      </c>
      <c r="AN912">
        <v>0</v>
      </c>
      <c r="AO912">
        <f t="shared" si="440"/>
        <v>0</v>
      </c>
      <c r="AP912">
        <f t="shared" si="449"/>
        <v>0</v>
      </c>
      <c r="AQ912" t="e">
        <f t="shared" ca="1" si="441"/>
        <v>#VALUE!</v>
      </c>
      <c r="AR912" t="e">
        <f t="shared" ca="1" si="442"/>
        <v>#VALUE!</v>
      </c>
      <c r="AS912" t="e">
        <f t="shared" ca="1" si="443"/>
        <v>#VALUE!</v>
      </c>
    </row>
    <row r="913" spans="1:45" x14ac:dyDescent="0.35">
      <c r="A913">
        <v>764</v>
      </c>
      <c r="B913">
        <v>762.88900000000001</v>
      </c>
      <c r="C913">
        <v>616091.18099999998</v>
      </c>
      <c r="D913">
        <v>3097240.8369999998</v>
      </c>
      <c r="E913">
        <v>632.18050000000005</v>
      </c>
      <c r="F913">
        <v>5.2</v>
      </c>
      <c r="G913">
        <v>0</v>
      </c>
      <c r="H913" t="s">
        <v>191</v>
      </c>
      <c r="I913">
        <v>5.7000000000000002E-2</v>
      </c>
      <c r="J913">
        <f t="shared" si="444"/>
        <v>1</v>
      </c>
      <c r="K913">
        <f t="shared" si="445"/>
        <v>51</v>
      </c>
      <c r="L913" t="e">
        <f t="shared" ca="1" si="446"/>
        <v>#VALUE!</v>
      </c>
      <c r="M913" t="e">
        <f t="shared" ca="1" si="419"/>
        <v>#VALUE!</v>
      </c>
      <c r="N913" t="e">
        <f t="shared" ca="1" si="420"/>
        <v>#VALUE!</v>
      </c>
      <c r="O913" t="e">
        <f t="shared" ca="1" si="421"/>
        <v>#VALUE!</v>
      </c>
      <c r="P913" t="e">
        <f t="shared" ca="1" si="422"/>
        <v>#VALUE!</v>
      </c>
      <c r="Q913" t="e">
        <f t="shared" ca="1" si="423"/>
        <v>#VALUE!</v>
      </c>
      <c r="R913" t="e">
        <f t="shared" ca="1" si="424"/>
        <v>#VALUE!</v>
      </c>
      <c r="S913" t="e">
        <f t="shared" ca="1" si="425"/>
        <v>#VALUE!</v>
      </c>
      <c r="T913" t="e">
        <f t="shared" ca="1" si="426"/>
        <v>#VALUE!</v>
      </c>
      <c r="U913" t="e">
        <f t="shared" ca="1" si="447"/>
        <v>#VALUE!</v>
      </c>
      <c r="V913" t="e">
        <f t="shared" ca="1" si="448"/>
        <v>#VALUE!</v>
      </c>
      <c r="W913" t="e">
        <f t="shared" ca="1" si="427"/>
        <v>#VALUE!</v>
      </c>
      <c r="X913" t="e">
        <f t="shared" ca="1" si="428"/>
        <v>#VALUE!</v>
      </c>
      <c r="Y913" t="e">
        <f t="shared" ca="1" si="429"/>
        <v>#VALUE!</v>
      </c>
      <c r="Z913" t="e">
        <f t="shared" ca="1" si="430"/>
        <v>#VALUE!</v>
      </c>
      <c r="AA913" t="e">
        <f t="shared" ca="1" si="431"/>
        <v>#VALUE!</v>
      </c>
      <c r="AB913" t="e">
        <f t="shared" ca="1" si="432"/>
        <v>#VALUE!</v>
      </c>
      <c r="AC913" t="e">
        <f t="shared" ca="1" si="433"/>
        <v>#VALUE!</v>
      </c>
      <c r="AD913" t="e">
        <f t="shared" ca="1" si="434"/>
        <v>#VALUE!</v>
      </c>
      <c r="AE913" t="e">
        <f t="shared" ca="1" si="435"/>
        <v>#VALUE!</v>
      </c>
      <c r="AF913" t="e">
        <f t="shared" ca="1" si="436"/>
        <v>#VALUE!</v>
      </c>
      <c r="AG913" t="e">
        <f t="shared" ca="1" si="437"/>
        <v>#VALUE!</v>
      </c>
      <c r="AH913" t="e">
        <f ca="1">IF(V32="Supercritical",L913,IF(V32="Subcritical",W913,IF(AND(V913=1,AG913=1),IF(T913&gt;=AE913,L913,W913),IF(V913=1,L913,IF(AG913=1,W913,MAX($D$16,POWER((ABS(K913)^2)/($I$5*MAX(F913,0.1)^2),1/3)))))))</f>
        <v>#VALUE!</v>
      </c>
      <c r="AI913" t="e">
        <f t="shared" ca="1" si="438"/>
        <v>#VALUE!</v>
      </c>
      <c r="AJ913" t="e">
        <f t="shared" ca="1" si="439"/>
        <v>#VALUE!</v>
      </c>
      <c r="AM913">
        <v>0</v>
      </c>
      <c r="AN913">
        <v>0</v>
      </c>
      <c r="AO913">
        <f t="shared" si="440"/>
        <v>0</v>
      </c>
      <c r="AP913">
        <f t="shared" si="449"/>
        <v>0</v>
      </c>
      <c r="AQ913" t="e">
        <f t="shared" ca="1" si="441"/>
        <v>#VALUE!</v>
      </c>
      <c r="AR913" t="e">
        <f t="shared" ca="1" si="442"/>
        <v>#VALUE!</v>
      </c>
      <c r="AS913" t="e">
        <f t="shared" ca="1" si="443"/>
        <v>#VALUE!</v>
      </c>
    </row>
    <row r="914" spans="1:45" x14ac:dyDescent="0.35">
      <c r="A914">
        <v>765</v>
      </c>
      <c r="B914">
        <v>763.88900000000001</v>
      </c>
      <c r="C914">
        <v>616091.13899999997</v>
      </c>
      <c r="D914">
        <v>3097239.838</v>
      </c>
      <c r="E914">
        <v>632.17999999999995</v>
      </c>
      <c r="F914">
        <v>5.2</v>
      </c>
      <c r="G914">
        <v>0</v>
      </c>
      <c r="H914" t="s">
        <v>191</v>
      </c>
      <c r="I914">
        <v>0</v>
      </c>
      <c r="J914">
        <f t="shared" si="444"/>
        <v>1</v>
      </c>
      <c r="K914">
        <f t="shared" si="445"/>
        <v>51</v>
      </c>
      <c r="L914" t="e">
        <f t="shared" ca="1" si="446"/>
        <v>#VALUE!</v>
      </c>
      <c r="M914" t="e">
        <f t="shared" ca="1" si="419"/>
        <v>#VALUE!</v>
      </c>
      <c r="N914" t="e">
        <f t="shared" ca="1" si="420"/>
        <v>#VALUE!</v>
      </c>
      <c r="O914" t="e">
        <f t="shared" ca="1" si="421"/>
        <v>#VALUE!</v>
      </c>
      <c r="P914" t="e">
        <f t="shared" ca="1" si="422"/>
        <v>#VALUE!</v>
      </c>
      <c r="Q914" t="e">
        <f t="shared" ca="1" si="423"/>
        <v>#VALUE!</v>
      </c>
      <c r="R914" t="e">
        <f t="shared" ca="1" si="424"/>
        <v>#VALUE!</v>
      </c>
      <c r="S914" t="e">
        <f t="shared" ca="1" si="425"/>
        <v>#VALUE!</v>
      </c>
      <c r="T914" t="e">
        <f t="shared" ca="1" si="426"/>
        <v>#VALUE!</v>
      </c>
      <c r="U914" t="e">
        <f t="shared" ca="1" si="447"/>
        <v>#VALUE!</v>
      </c>
      <c r="V914" t="e">
        <f t="shared" ca="1" si="448"/>
        <v>#VALUE!</v>
      </c>
      <c r="W914" t="e">
        <f t="shared" ca="1" si="427"/>
        <v>#VALUE!</v>
      </c>
      <c r="X914" t="e">
        <f t="shared" ca="1" si="428"/>
        <v>#VALUE!</v>
      </c>
      <c r="Y914" t="e">
        <f t="shared" ca="1" si="429"/>
        <v>#VALUE!</v>
      </c>
      <c r="Z914" t="e">
        <f t="shared" ca="1" si="430"/>
        <v>#VALUE!</v>
      </c>
      <c r="AA914" t="e">
        <f t="shared" ca="1" si="431"/>
        <v>#VALUE!</v>
      </c>
      <c r="AB914" t="e">
        <f t="shared" ca="1" si="432"/>
        <v>#VALUE!</v>
      </c>
      <c r="AC914" t="e">
        <f t="shared" ca="1" si="433"/>
        <v>#VALUE!</v>
      </c>
      <c r="AD914" t="e">
        <f t="shared" ca="1" si="434"/>
        <v>#VALUE!</v>
      </c>
      <c r="AE914" t="e">
        <f t="shared" ca="1" si="435"/>
        <v>#VALUE!</v>
      </c>
      <c r="AF914" t="e">
        <f t="shared" ca="1" si="436"/>
        <v>#VALUE!</v>
      </c>
      <c r="AG914" t="e">
        <f t="shared" ca="1" si="437"/>
        <v>#VALUE!</v>
      </c>
      <c r="AH914" t="e">
        <f ca="1">IF(V32="Supercritical",L914,IF(V32="Subcritical",W914,IF(AND(V914=1,AG914=1),IF(T914&gt;=AE914,L914,W914),IF(V914=1,L914,IF(AG914=1,W914,MAX($D$16,POWER((ABS(K914)^2)/($I$5*MAX(F914,0.1)^2),1/3)))))))</f>
        <v>#VALUE!</v>
      </c>
      <c r="AI914" t="e">
        <f t="shared" ca="1" si="438"/>
        <v>#VALUE!</v>
      </c>
      <c r="AJ914" t="e">
        <f t="shared" ca="1" si="439"/>
        <v>#VALUE!</v>
      </c>
      <c r="AM914">
        <v>0</v>
      </c>
      <c r="AN914">
        <v>0</v>
      </c>
      <c r="AO914">
        <f t="shared" si="440"/>
        <v>0</v>
      </c>
      <c r="AP914">
        <f t="shared" si="449"/>
        <v>0</v>
      </c>
      <c r="AQ914" t="e">
        <f t="shared" ca="1" si="441"/>
        <v>#VALUE!</v>
      </c>
      <c r="AR914" t="e">
        <f t="shared" ca="1" si="442"/>
        <v>#VALUE!</v>
      </c>
      <c r="AS914" t="e">
        <f t="shared" ca="1" si="443"/>
        <v>#VALUE!</v>
      </c>
    </row>
    <row r="915" spans="1:45" x14ac:dyDescent="0.35">
      <c r="A915">
        <v>766</v>
      </c>
      <c r="B915">
        <v>764.88900000000001</v>
      </c>
      <c r="C915">
        <v>616091.09699999995</v>
      </c>
      <c r="D915">
        <v>3097238.8390000002</v>
      </c>
      <c r="E915">
        <v>632.17949999999996</v>
      </c>
      <c r="F915">
        <v>5.2</v>
      </c>
      <c r="G915">
        <v>0</v>
      </c>
      <c r="H915" t="s">
        <v>191</v>
      </c>
      <c r="I915">
        <v>0</v>
      </c>
      <c r="J915">
        <f t="shared" si="444"/>
        <v>1</v>
      </c>
      <c r="K915">
        <f t="shared" si="445"/>
        <v>51</v>
      </c>
      <c r="L915" t="e">
        <f t="shared" ca="1" si="446"/>
        <v>#VALUE!</v>
      </c>
      <c r="M915" t="e">
        <f t="shared" ca="1" si="419"/>
        <v>#VALUE!</v>
      </c>
      <c r="N915" t="e">
        <f t="shared" ca="1" si="420"/>
        <v>#VALUE!</v>
      </c>
      <c r="O915" t="e">
        <f t="shared" ca="1" si="421"/>
        <v>#VALUE!</v>
      </c>
      <c r="P915" t="e">
        <f t="shared" ca="1" si="422"/>
        <v>#VALUE!</v>
      </c>
      <c r="Q915" t="e">
        <f t="shared" ca="1" si="423"/>
        <v>#VALUE!</v>
      </c>
      <c r="R915" t="e">
        <f t="shared" ca="1" si="424"/>
        <v>#VALUE!</v>
      </c>
      <c r="S915" t="e">
        <f t="shared" ca="1" si="425"/>
        <v>#VALUE!</v>
      </c>
      <c r="T915" t="e">
        <f t="shared" ca="1" si="426"/>
        <v>#VALUE!</v>
      </c>
      <c r="U915" t="e">
        <f t="shared" ca="1" si="447"/>
        <v>#VALUE!</v>
      </c>
      <c r="V915" t="e">
        <f t="shared" ca="1" si="448"/>
        <v>#VALUE!</v>
      </c>
      <c r="W915" t="e">
        <f t="shared" ca="1" si="427"/>
        <v>#VALUE!</v>
      </c>
      <c r="X915" t="e">
        <f t="shared" ca="1" si="428"/>
        <v>#VALUE!</v>
      </c>
      <c r="Y915" t="e">
        <f t="shared" ca="1" si="429"/>
        <v>#VALUE!</v>
      </c>
      <c r="Z915" t="e">
        <f t="shared" ca="1" si="430"/>
        <v>#VALUE!</v>
      </c>
      <c r="AA915" t="e">
        <f t="shared" ca="1" si="431"/>
        <v>#VALUE!</v>
      </c>
      <c r="AB915" t="e">
        <f t="shared" ca="1" si="432"/>
        <v>#VALUE!</v>
      </c>
      <c r="AC915" t="e">
        <f t="shared" ca="1" si="433"/>
        <v>#VALUE!</v>
      </c>
      <c r="AD915" t="e">
        <f t="shared" ca="1" si="434"/>
        <v>#VALUE!</v>
      </c>
      <c r="AE915" t="e">
        <f t="shared" ca="1" si="435"/>
        <v>#VALUE!</v>
      </c>
      <c r="AF915" t="e">
        <f t="shared" ca="1" si="436"/>
        <v>#VALUE!</v>
      </c>
      <c r="AG915" t="e">
        <f t="shared" ca="1" si="437"/>
        <v>#VALUE!</v>
      </c>
      <c r="AH915" t="e">
        <f ca="1">IF(V32="Supercritical",L915,IF(V32="Subcritical",W915,IF(AND(V915=1,AG915=1),IF(T915&gt;=AE915,L915,W915),IF(V915=1,L915,IF(AG915=1,W915,MAX($D$16,POWER((ABS(K915)^2)/($I$5*MAX(F915,0.1)^2),1/3)))))))</f>
        <v>#VALUE!</v>
      </c>
      <c r="AI915" t="e">
        <f t="shared" ca="1" si="438"/>
        <v>#VALUE!</v>
      </c>
      <c r="AJ915" t="e">
        <f t="shared" ca="1" si="439"/>
        <v>#VALUE!</v>
      </c>
      <c r="AM915">
        <v>0</v>
      </c>
      <c r="AN915">
        <v>0</v>
      </c>
      <c r="AO915">
        <f t="shared" si="440"/>
        <v>0</v>
      </c>
      <c r="AP915">
        <f t="shared" si="449"/>
        <v>0</v>
      </c>
      <c r="AQ915" t="e">
        <f t="shared" ca="1" si="441"/>
        <v>#VALUE!</v>
      </c>
      <c r="AR915" t="e">
        <f t="shared" ca="1" si="442"/>
        <v>#VALUE!</v>
      </c>
      <c r="AS915" t="e">
        <f t="shared" ca="1" si="443"/>
        <v>#VALUE!</v>
      </c>
    </row>
    <row r="916" spans="1:45" x14ac:dyDescent="0.35">
      <c r="A916">
        <v>767</v>
      </c>
      <c r="B916">
        <v>765.88900000000001</v>
      </c>
      <c r="C916">
        <v>616091.05500000005</v>
      </c>
      <c r="D916">
        <v>3097237.84</v>
      </c>
      <c r="E916">
        <v>632.17899999999997</v>
      </c>
      <c r="F916">
        <v>5.2</v>
      </c>
      <c r="G916">
        <v>0</v>
      </c>
      <c r="H916" t="s">
        <v>191</v>
      </c>
      <c r="I916">
        <v>5.7000000000000002E-2</v>
      </c>
      <c r="J916">
        <f t="shared" si="444"/>
        <v>1</v>
      </c>
      <c r="K916">
        <f t="shared" si="445"/>
        <v>51</v>
      </c>
      <c r="L916" t="e">
        <f t="shared" ca="1" si="446"/>
        <v>#VALUE!</v>
      </c>
      <c r="M916" t="e">
        <f t="shared" ca="1" si="419"/>
        <v>#VALUE!</v>
      </c>
      <c r="N916" t="e">
        <f t="shared" ca="1" si="420"/>
        <v>#VALUE!</v>
      </c>
      <c r="O916" t="e">
        <f t="shared" ca="1" si="421"/>
        <v>#VALUE!</v>
      </c>
      <c r="P916" t="e">
        <f t="shared" ca="1" si="422"/>
        <v>#VALUE!</v>
      </c>
      <c r="Q916" t="e">
        <f t="shared" ca="1" si="423"/>
        <v>#VALUE!</v>
      </c>
      <c r="R916" t="e">
        <f t="shared" ca="1" si="424"/>
        <v>#VALUE!</v>
      </c>
      <c r="S916" t="e">
        <f t="shared" ca="1" si="425"/>
        <v>#VALUE!</v>
      </c>
      <c r="T916" t="e">
        <f t="shared" ca="1" si="426"/>
        <v>#VALUE!</v>
      </c>
      <c r="U916" t="e">
        <f t="shared" ca="1" si="447"/>
        <v>#VALUE!</v>
      </c>
      <c r="V916" t="e">
        <f t="shared" ca="1" si="448"/>
        <v>#VALUE!</v>
      </c>
      <c r="W916" t="e">
        <f t="shared" ca="1" si="427"/>
        <v>#VALUE!</v>
      </c>
      <c r="X916" t="e">
        <f t="shared" ca="1" si="428"/>
        <v>#VALUE!</v>
      </c>
      <c r="Y916" t="e">
        <f t="shared" ca="1" si="429"/>
        <v>#VALUE!</v>
      </c>
      <c r="Z916" t="e">
        <f t="shared" ca="1" si="430"/>
        <v>#VALUE!</v>
      </c>
      <c r="AA916" t="e">
        <f t="shared" ca="1" si="431"/>
        <v>#VALUE!</v>
      </c>
      <c r="AB916" t="e">
        <f t="shared" ca="1" si="432"/>
        <v>#VALUE!</v>
      </c>
      <c r="AC916" t="e">
        <f t="shared" ca="1" si="433"/>
        <v>#VALUE!</v>
      </c>
      <c r="AD916" t="e">
        <f t="shared" ca="1" si="434"/>
        <v>#VALUE!</v>
      </c>
      <c r="AE916" t="e">
        <f t="shared" ca="1" si="435"/>
        <v>#VALUE!</v>
      </c>
      <c r="AF916" t="e">
        <f t="shared" ca="1" si="436"/>
        <v>#VALUE!</v>
      </c>
      <c r="AG916" t="e">
        <f t="shared" ca="1" si="437"/>
        <v>#VALUE!</v>
      </c>
      <c r="AH916" t="e">
        <f ca="1">IF(V32="Supercritical",L916,IF(V32="Subcritical",W916,IF(AND(V916=1,AG916=1),IF(T916&gt;=AE916,L916,W916),IF(V916=1,L916,IF(AG916=1,W916,MAX($D$16,POWER((ABS(K916)^2)/($I$5*MAX(F916,0.1)^2),1/3)))))))</f>
        <v>#VALUE!</v>
      </c>
      <c r="AI916" t="e">
        <f t="shared" ca="1" si="438"/>
        <v>#VALUE!</v>
      </c>
      <c r="AJ916" t="e">
        <f t="shared" ca="1" si="439"/>
        <v>#VALUE!</v>
      </c>
      <c r="AM916">
        <v>0</v>
      </c>
      <c r="AN916">
        <v>0</v>
      </c>
      <c r="AO916">
        <f t="shared" si="440"/>
        <v>0</v>
      </c>
      <c r="AP916">
        <f t="shared" si="449"/>
        <v>0</v>
      </c>
      <c r="AQ916" t="e">
        <f t="shared" ca="1" si="441"/>
        <v>#VALUE!</v>
      </c>
      <c r="AR916" t="e">
        <f t="shared" ca="1" si="442"/>
        <v>#VALUE!</v>
      </c>
      <c r="AS916" t="e">
        <f t="shared" ca="1" si="443"/>
        <v>#VALUE!</v>
      </c>
    </row>
    <row r="917" spans="1:45" x14ac:dyDescent="0.35">
      <c r="A917">
        <v>768</v>
      </c>
      <c r="B917">
        <v>766.88900000000001</v>
      </c>
      <c r="C917">
        <v>616091.01199999999</v>
      </c>
      <c r="D917">
        <v>3097236.841</v>
      </c>
      <c r="E917">
        <v>632.17849999999999</v>
      </c>
      <c r="F917">
        <v>5.2</v>
      </c>
      <c r="G917">
        <v>0</v>
      </c>
      <c r="H917" t="s">
        <v>191</v>
      </c>
      <c r="I917">
        <v>5.7000000000000002E-2</v>
      </c>
      <c r="J917">
        <f t="shared" si="444"/>
        <v>1</v>
      </c>
      <c r="K917">
        <f t="shared" si="445"/>
        <v>51</v>
      </c>
      <c r="L917" t="e">
        <f t="shared" ca="1" si="446"/>
        <v>#VALUE!</v>
      </c>
      <c r="M917" t="e">
        <f t="shared" ca="1" si="419"/>
        <v>#VALUE!</v>
      </c>
      <c r="N917" t="e">
        <f t="shared" ca="1" si="420"/>
        <v>#VALUE!</v>
      </c>
      <c r="O917" t="e">
        <f t="shared" ca="1" si="421"/>
        <v>#VALUE!</v>
      </c>
      <c r="P917" t="e">
        <f t="shared" ca="1" si="422"/>
        <v>#VALUE!</v>
      </c>
      <c r="Q917" t="e">
        <f t="shared" ca="1" si="423"/>
        <v>#VALUE!</v>
      </c>
      <c r="R917" t="e">
        <f t="shared" ca="1" si="424"/>
        <v>#VALUE!</v>
      </c>
      <c r="S917" t="e">
        <f t="shared" ca="1" si="425"/>
        <v>#VALUE!</v>
      </c>
      <c r="T917" t="e">
        <f t="shared" ca="1" si="426"/>
        <v>#VALUE!</v>
      </c>
      <c r="U917" t="e">
        <f t="shared" ca="1" si="447"/>
        <v>#VALUE!</v>
      </c>
      <c r="V917" t="e">
        <f t="shared" ca="1" si="448"/>
        <v>#VALUE!</v>
      </c>
      <c r="W917" t="e">
        <f t="shared" ca="1" si="427"/>
        <v>#VALUE!</v>
      </c>
      <c r="X917" t="e">
        <f t="shared" ca="1" si="428"/>
        <v>#VALUE!</v>
      </c>
      <c r="Y917" t="e">
        <f t="shared" ca="1" si="429"/>
        <v>#VALUE!</v>
      </c>
      <c r="Z917" t="e">
        <f t="shared" ca="1" si="430"/>
        <v>#VALUE!</v>
      </c>
      <c r="AA917" t="e">
        <f t="shared" ca="1" si="431"/>
        <v>#VALUE!</v>
      </c>
      <c r="AB917" t="e">
        <f t="shared" ca="1" si="432"/>
        <v>#VALUE!</v>
      </c>
      <c r="AC917" t="e">
        <f t="shared" ca="1" si="433"/>
        <v>#VALUE!</v>
      </c>
      <c r="AD917" t="e">
        <f t="shared" ca="1" si="434"/>
        <v>#VALUE!</v>
      </c>
      <c r="AE917" t="e">
        <f t="shared" ca="1" si="435"/>
        <v>#VALUE!</v>
      </c>
      <c r="AF917" t="e">
        <f t="shared" ca="1" si="436"/>
        <v>#VALUE!</v>
      </c>
      <c r="AG917" t="e">
        <f t="shared" ca="1" si="437"/>
        <v>#VALUE!</v>
      </c>
      <c r="AH917" t="e">
        <f ca="1">IF(V32="Supercritical",L917,IF(V32="Subcritical",W917,IF(AND(V917=1,AG917=1),IF(T917&gt;=AE917,L917,W917),IF(V917=1,L917,IF(AG917=1,W917,MAX($D$16,POWER((ABS(K917)^2)/($I$5*MAX(F917,0.1)^2),1/3)))))))</f>
        <v>#VALUE!</v>
      </c>
      <c r="AI917" t="e">
        <f t="shared" ca="1" si="438"/>
        <v>#VALUE!</v>
      </c>
      <c r="AJ917" t="e">
        <f t="shared" ca="1" si="439"/>
        <v>#VALUE!</v>
      </c>
      <c r="AM917">
        <v>0</v>
      </c>
      <c r="AN917">
        <v>0</v>
      </c>
      <c r="AO917">
        <f t="shared" si="440"/>
        <v>0</v>
      </c>
      <c r="AP917">
        <f t="shared" si="449"/>
        <v>0</v>
      </c>
      <c r="AQ917" t="e">
        <f t="shared" ca="1" si="441"/>
        <v>#VALUE!</v>
      </c>
      <c r="AR917" t="e">
        <f t="shared" ca="1" si="442"/>
        <v>#VALUE!</v>
      </c>
      <c r="AS917" t="e">
        <f t="shared" ca="1" si="443"/>
        <v>#VALUE!</v>
      </c>
    </row>
    <row r="918" spans="1:45" x14ac:dyDescent="0.35">
      <c r="A918">
        <v>769</v>
      </c>
      <c r="B918">
        <v>767.88900000000001</v>
      </c>
      <c r="C918">
        <v>616090.97</v>
      </c>
      <c r="D918">
        <v>3097235.8420000002</v>
      </c>
      <c r="E918">
        <v>632.178</v>
      </c>
      <c r="F918">
        <v>5.2</v>
      </c>
      <c r="G918">
        <v>0</v>
      </c>
      <c r="H918" t="s">
        <v>191</v>
      </c>
      <c r="I918">
        <v>2E-3</v>
      </c>
      <c r="J918">
        <f t="shared" si="444"/>
        <v>1</v>
      </c>
      <c r="K918">
        <f t="shared" si="445"/>
        <v>51</v>
      </c>
      <c r="L918" t="e">
        <f t="shared" ca="1" si="446"/>
        <v>#VALUE!</v>
      </c>
      <c r="M918" t="e">
        <f t="shared" ref="M918:M981" ca="1" si="450">((F918)+(G918)*(L918))*(L918)</f>
        <v>#VALUE!</v>
      </c>
      <c r="N918" t="e">
        <f t="shared" ref="N918:N981" ca="1" si="451">(((F918)+(G918)*(L918))*(L918))/MAX((F918)+2*(L918)*SQRT(1+(G918)^2),0.000001)</f>
        <v>#VALUE!</v>
      </c>
      <c r="O918" t="e">
        <f t="shared" ref="O918:O981" ca="1" si="452">ABS(K918)/MAX(((F918)+(G918)*(L918))*(L918),0.000001)</f>
        <v>#VALUE!</v>
      </c>
      <c r="P918" t="e">
        <f t="shared" ref="P918:P981" ca="1" si="453">E918+L918</f>
        <v>#VALUE!</v>
      </c>
      <c r="Q918" t="e">
        <f t="shared" ref="Q918:Q981" ca="1" si="454">P918+((ABS(K918)/MAX(((F918)+(G918)*(L918))*(L918),0.000001))^2)/(2*$I$5)</f>
        <v>#VALUE!</v>
      </c>
      <c r="R918" t="e">
        <f t="shared" ref="R918:R981" ca="1" si="455">((ABS(K918)*$D$6)/(MAX(((F918)+(G918)*(L918))*(L918),0.000001)*MAX(((((F918)+(G918)*(L918))*(L918))/MAX((F918)+2*(L918)*SQRT(1+(G918)^2),0.000001))^(2/3),0.000001)))^2</f>
        <v>#VALUE!</v>
      </c>
      <c r="S918" t="e">
        <f t="shared" ref="S918:S981" ca="1" si="456">ABS(ABS(K918)/MAX(((F918)+(G918)*(L918))*(L918),0.000001))/SQRT($I$5*MAX((((F918)+(G918)*(L918))*(L918))/MAX((F918)+2*(G918)*(L918),0.000001),0.000001))</f>
        <v>#VALUE!</v>
      </c>
      <c r="T918" t="e">
        <f t="shared" ref="T918:T981" ca="1" si="457">((F918)*(L918)^2)/2+(G918)*(L918)^3/3+(ABS(K918)^2)/($I$5*MAX(((F918)+(G918)*(L918))*(L918),0.000001))</f>
        <v>#VALUE!</v>
      </c>
      <c r="U918" t="e">
        <f t="shared" ca="1" si="447"/>
        <v>#VALUE!</v>
      </c>
      <c r="V918" t="e">
        <f t="shared" ca="1" si="448"/>
        <v>#VALUE!</v>
      </c>
      <c r="W918" t="e">
        <f t="shared" ref="W918:W981" ca="1" si="458">IF($D$20=0,W919,IF(AG919=0,W919,IF(W918=0,W919,IF(ABS(AF918)&gt;$D$19,MAX($D$16,W918+((AF918)*$D$18*IF((AD918)&lt;1,1,-1))),W918))))</f>
        <v>#VALUE!</v>
      </c>
      <c r="X918" t="e">
        <f t="shared" ref="X918:X981" ca="1" si="459">((F918)+(G918)*(W918))*(W918)</f>
        <v>#VALUE!</v>
      </c>
      <c r="Y918" t="e">
        <f t="shared" ref="Y918:Y981" ca="1" si="460">(((F918)+(G918)*(W918))*(W918))/MAX((F918)+2*(W918)*SQRT(1+(G918)^2),0.000001)</f>
        <v>#VALUE!</v>
      </c>
      <c r="Z918" t="e">
        <f t="shared" ref="Z918:Z981" ca="1" si="461">ABS(K918)/MAX(((F918)+(G918)*(W918))*(W918),0.000001)</f>
        <v>#VALUE!</v>
      </c>
      <c r="AA918" t="e">
        <f t="shared" ref="AA918:AA981" ca="1" si="462">E918+W918</f>
        <v>#VALUE!</v>
      </c>
      <c r="AB918" t="e">
        <f t="shared" ref="AB918:AB981" ca="1" si="463">AA918+((ABS(K918)/MAX(((F918)+(G918)*(W918))*(W918),0.000001))^2)/(2*$I$5)</f>
        <v>#VALUE!</v>
      </c>
      <c r="AC918" t="e">
        <f t="shared" ref="AC918:AC981" ca="1" si="464">((ABS(K918)*$D$6)/(MAX(((F918)+(G918)*(W918))*(W918),0.000001)*MAX(((((F918)+(G918)*(W918))*(W918))/MAX((F918)+2*(W918)*SQRT(1+(G918)^2),0.000001))^(2/3),0.000001)))^2</f>
        <v>#VALUE!</v>
      </c>
      <c r="AD918" t="e">
        <f t="shared" ref="AD918:AD981" ca="1" si="465">ABS(ABS(K918)/MAX(((F918)+(G918)*(W918))*(W918),0.000001))/SQRT($I$5*MAX((((F918)+(G918)*(W918))*(W918))/MAX((F918)+2*(G918)*(W918),0.000001),0.000001))</f>
        <v>#VALUE!</v>
      </c>
      <c r="AE918" t="e">
        <f t="shared" ref="AE918:AE981" ca="1" si="466">((F918)*(W918)^2)/2+(G918)*(W918)^3/3+(ABS(K918)^2)/($I$5*MAX(((F918)+(G918)*(W918))*(W918),0.000001))</f>
        <v>#VALUE!</v>
      </c>
      <c r="AF918" t="e">
        <f t="shared" ref="AF918:AF981" ca="1" si="467">AB919+(((AC918+AC919)/2)*J919)+(IF(Z918&gt;Z919,$D$8*((Z918^2-Z919^2)/(2*$I$5)),$D$9*((Z919^2-Z918^2)/(2*$I$5)))+($D$10*(ABS(I919)/90)*(MAX(Z918^2,Z919^2)/(2*$I$5))))-AB918</f>
        <v>#VALUE!</v>
      </c>
      <c r="AG918" t="e">
        <f t="shared" ref="AG918:AG981" ca="1" si="468">IF(ABS(AF918)&lt;$D$19,1,0)</f>
        <v>#VALUE!</v>
      </c>
      <c r="AH918" t="e">
        <f ca="1">IF(V32="Supercritical",L918,IF(V32="Subcritical",W918,IF(AND(V918=1,AG918=1),IF(T918&gt;=AE918,L918,W918),IF(V918=1,L918,IF(AG918=1,W918,MAX($D$16,POWER((ABS(K918)^2)/($I$5*MAX(F918,0.1)^2),1/3)))))))</f>
        <v>#VALUE!</v>
      </c>
      <c r="AI918" t="e">
        <f t="shared" ref="AI918:AI981" ca="1" si="469">E918+AH918</f>
        <v>#VALUE!</v>
      </c>
      <c r="AJ918" t="e">
        <f t="shared" ref="AJ918:AJ981" ca="1" si="470">AI918+((ABS(K918)/MAX(((F918)+(G918)*(AH918))*(AH918),0.000001))^2)/(2*$I$5)</f>
        <v>#VALUE!</v>
      </c>
      <c r="AM918">
        <v>0</v>
      </c>
      <c r="AN918">
        <v>0</v>
      </c>
      <c r="AO918">
        <f t="shared" ref="AO918:AO981" si="471">AM918+AN918</f>
        <v>0</v>
      </c>
      <c r="AP918">
        <f t="shared" si="449"/>
        <v>0</v>
      </c>
      <c r="AQ918" t="e">
        <f t="shared" ref="AQ918:AQ981" ca="1" si="472">ABS(ABS(K918)/MAX(((F918)+(G918)*(AH918))*(AH918),0.000001))/SQRT($I$5*MAX((((F918)+(G918)*(AH918))*(AH918))/MAX((F918)+2*(G918)*(AH918),0.000001),0.000001))</f>
        <v>#VALUE!</v>
      </c>
      <c r="AR918" t="e">
        <f t="shared" ref="AR918:AR981" ca="1" si="473">IF(AQ918&lt;1,"Subcritical","Supercritical")</f>
        <v>#VALUE!</v>
      </c>
      <c r="AS918" t="e">
        <f t="shared" ref="AS918:AS981" ca="1" si="474">((ABS(K918)*$D$6)/(MAX(((F918)+(G918)*(AH918))*(AH918),0.000001)*MAX(((((F918)+(G918)*(AH918))*(AH918))/MAX((F918)+2*(AH918)*SQRT(1+(G918)^2),0.000001))^(2/3),0.000001)))^2</f>
        <v>#VALUE!</v>
      </c>
    </row>
    <row r="919" spans="1:45" x14ac:dyDescent="0.35">
      <c r="A919">
        <v>770</v>
      </c>
      <c r="B919">
        <v>768.89</v>
      </c>
      <c r="C919">
        <v>616090.92799999996</v>
      </c>
      <c r="D919">
        <v>3097234.8420000002</v>
      </c>
      <c r="E919">
        <v>632.17750000000001</v>
      </c>
      <c r="F919">
        <v>5.2</v>
      </c>
      <c r="G919">
        <v>0</v>
      </c>
      <c r="H919" t="s">
        <v>191</v>
      </c>
      <c r="I919">
        <v>2E-3</v>
      </c>
      <c r="J919">
        <f t="shared" ref="J919:J982" si="475">B919-B918</f>
        <v>1.0009999999999764</v>
      </c>
      <c r="K919">
        <f t="shared" ref="K919:K982" si="476">MAX(0,K918-AO918)</f>
        <v>51</v>
      </c>
      <c r="L919" t="e">
        <f t="shared" ref="L919:L982" ca="1" si="477">IF($D$20=0,L918,IF(V918=0,L918,IF(L919=0,L918,IF(ABS(U919)&gt;$D$19,MAX($D$16,L919+((U919)*$D$18*IF((S919)&lt;1,1,-1))),L919))))</f>
        <v>#VALUE!</v>
      </c>
      <c r="M919" t="e">
        <f t="shared" ca="1" si="450"/>
        <v>#VALUE!</v>
      </c>
      <c r="N919" t="e">
        <f t="shared" ca="1" si="451"/>
        <v>#VALUE!</v>
      </c>
      <c r="O919" t="e">
        <f t="shared" ca="1" si="452"/>
        <v>#VALUE!</v>
      </c>
      <c r="P919" t="e">
        <f t="shared" ca="1" si="453"/>
        <v>#VALUE!</v>
      </c>
      <c r="Q919" t="e">
        <f t="shared" ca="1" si="454"/>
        <v>#VALUE!</v>
      </c>
      <c r="R919" t="e">
        <f t="shared" ca="1" si="455"/>
        <v>#VALUE!</v>
      </c>
      <c r="S919" t="e">
        <f t="shared" ca="1" si="456"/>
        <v>#VALUE!</v>
      </c>
      <c r="T919" t="e">
        <f t="shared" ca="1" si="457"/>
        <v>#VALUE!</v>
      </c>
      <c r="U919" t="e">
        <f t="shared" ref="U919:U982" ca="1" si="478">Q918-(((R918+R919)/2)*J919)-(IF(O918&gt;O919,$D$8*((O918^2-O919^2)/(2*$I$5)),$D$9*((O919^2-O918^2)/(2*$I$5)))+($D$10*(ABS(I919)/90)*(MAX(O918^2,O919^2)/(2*$I$5))))-Q919</f>
        <v>#VALUE!</v>
      </c>
      <c r="V919" t="e">
        <f t="shared" ref="V919:V982" ca="1" si="479">IF(ABS(U919)&lt;$D$19,1,0)</f>
        <v>#VALUE!</v>
      </c>
      <c r="W919" t="e">
        <f t="shared" ca="1" si="458"/>
        <v>#VALUE!</v>
      </c>
      <c r="X919" t="e">
        <f t="shared" ca="1" si="459"/>
        <v>#VALUE!</v>
      </c>
      <c r="Y919" t="e">
        <f t="shared" ca="1" si="460"/>
        <v>#VALUE!</v>
      </c>
      <c r="Z919" t="e">
        <f t="shared" ca="1" si="461"/>
        <v>#VALUE!</v>
      </c>
      <c r="AA919" t="e">
        <f t="shared" ca="1" si="462"/>
        <v>#VALUE!</v>
      </c>
      <c r="AB919" t="e">
        <f t="shared" ca="1" si="463"/>
        <v>#VALUE!</v>
      </c>
      <c r="AC919" t="e">
        <f t="shared" ca="1" si="464"/>
        <v>#VALUE!</v>
      </c>
      <c r="AD919" t="e">
        <f t="shared" ca="1" si="465"/>
        <v>#VALUE!</v>
      </c>
      <c r="AE919" t="e">
        <f t="shared" ca="1" si="466"/>
        <v>#VALUE!</v>
      </c>
      <c r="AF919" t="e">
        <f t="shared" ca="1" si="467"/>
        <v>#VALUE!</v>
      </c>
      <c r="AG919" t="e">
        <f t="shared" ca="1" si="468"/>
        <v>#VALUE!</v>
      </c>
      <c r="AH919" t="e">
        <f ca="1">IF(V32="Supercritical",L919,IF(V32="Subcritical",W919,IF(AND(V919=1,AG919=1),IF(T919&gt;=AE919,L919,W919),IF(V919=1,L919,IF(AG919=1,W919,MAX($D$16,POWER((ABS(K919)^2)/($I$5*MAX(F919,0.1)^2),1/3)))))))</f>
        <v>#VALUE!</v>
      </c>
      <c r="AI919" t="e">
        <f t="shared" ca="1" si="469"/>
        <v>#VALUE!</v>
      </c>
      <c r="AJ919" t="e">
        <f t="shared" ca="1" si="470"/>
        <v>#VALUE!</v>
      </c>
      <c r="AM919">
        <v>0</v>
      </c>
      <c r="AN919">
        <v>0</v>
      </c>
      <c r="AO919">
        <f t="shared" si="471"/>
        <v>0</v>
      </c>
      <c r="AP919">
        <f t="shared" ref="AP919:AP982" si="480">AP918+AO919</f>
        <v>0</v>
      </c>
      <c r="AQ919" t="e">
        <f t="shared" ca="1" si="472"/>
        <v>#VALUE!</v>
      </c>
      <c r="AR919" t="e">
        <f t="shared" ca="1" si="473"/>
        <v>#VALUE!</v>
      </c>
      <c r="AS919" t="e">
        <f t="shared" ca="1" si="474"/>
        <v>#VALUE!</v>
      </c>
    </row>
    <row r="920" spans="1:45" x14ac:dyDescent="0.35">
      <c r="A920">
        <v>771</v>
      </c>
      <c r="B920">
        <v>769.89</v>
      </c>
      <c r="C920">
        <v>616090.88600000006</v>
      </c>
      <c r="D920">
        <v>3097233.8429999999</v>
      </c>
      <c r="E920">
        <v>632.17700000000002</v>
      </c>
      <c r="F920">
        <v>5.2</v>
      </c>
      <c r="G920">
        <v>0</v>
      </c>
      <c r="H920" t="s">
        <v>191</v>
      </c>
      <c r="I920">
        <v>5.7000000000000002E-2</v>
      </c>
      <c r="J920">
        <f t="shared" si="475"/>
        <v>1</v>
      </c>
      <c r="K920">
        <f t="shared" si="476"/>
        <v>51</v>
      </c>
      <c r="L920" t="e">
        <f t="shared" ca="1" si="477"/>
        <v>#VALUE!</v>
      </c>
      <c r="M920" t="e">
        <f t="shared" ca="1" si="450"/>
        <v>#VALUE!</v>
      </c>
      <c r="N920" t="e">
        <f t="shared" ca="1" si="451"/>
        <v>#VALUE!</v>
      </c>
      <c r="O920" t="e">
        <f t="shared" ca="1" si="452"/>
        <v>#VALUE!</v>
      </c>
      <c r="P920" t="e">
        <f t="shared" ca="1" si="453"/>
        <v>#VALUE!</v>
      </c>
      <c r="Q920" t="e">
        <f t="shared" ca="1" si="454"/>
        <v>#VALUE!</v>
      </c>
      <c r="R920" t="e">
        <f t="shared" ca="1" si="455"/>
        <v>#VALUE!</v>
      </c>
      <c r="S920" t="e">
        <f t="shared" ca="1" si="456"/>
        <v>#VALUE!</v>
      </c>
      <c r="T920" t="e">
        <f t="shared" ca="1" si="457"/>
        <v>#VALUE!</v>
      </c>
      <c r="U920" t="e">
        <f t="shared" ca="1" si="478"/>
        <v>#VALUE!</v>
      </c>
      <c r="V920" t="e">
        <f t="shared" ca="1" si="479"/>
        <v>#VALUE!</v>
      </c>
      <c r="W920" t="e">
        <f t="shared" ca="1" si="458"/>
        <v>#VALUE!</v>
      </c>
      <c r="X920" t="e">
        <f t="shared" ca="1" si="459"/>
        <v>#VALUE!</v>
      </c>
      <c r="Y920" t="e">
        <f t="shared" ca="1" si="460"/>
        <v>#VALUE!</v>
      </c>
      <c r="Z920" t="e">
        <f t="shared" ca="1" si="461"/>
        <v>#VALUE!</v>
      </c>
      <c r="AA920" t="e">
        <f t="shared" ca="1" si="462"/>
        <v>#VALUE!</v>
      </c>
      <c r="AB920" t="e">
        <f t="shared" ca="1" si="463"/>
        <v>#VALUE!</v>
      </c>
      <c r="AC920" t="e">
        <f t="shared" ca="1" si="464"/>
        <v>#VALUE!</v>
      </c>
      <c r="AD920" t="e">
        <f t="shared" ca="1" si="465"/>
        <v>#VALUE!</v>
      </c>
      <c r="AE920" t="e">
        <f t="shared" ca="1" si="466"/>
        <v>#VALUE!</v>
      </c>
      <c r="AF920" t="e">
        <f t="shared" ca="1" si="467"/>
        <v>#VALUE!</v>
      </c>
      <c r="AG920" t="e">
        <f t="shared" ca="1" si="468"/>
        <v>#VALUE!</v>
      </c>
      <c r="AH920" t="e">
        <f ca="1">IF(V32="Supercritical",L920,IF(V32="Subcritical",W920,IF(AND(V920=1,AG920=1),IF(T920&gt;=AE920,L920,W920),IF(V920=1,L920,IF(AG920=1,W920,MAX($D$16,POWER((ABS(K920)^2)/($I$5*MAX(F920,0.1)^2),1/3)))))))</f>
        <v>#VALUE!</v>
      </c>
      <c r="AI920" t="e">
        <f t="shared" ca="1" si="469"/>
        <v>#VALUE!</v>
      </c>
      <c r="AJ920" t="e">
        <f t="shared" ca="1" si="470"/>
        <v>#VALUE!</v>
      </c>
      <c r="AM920">
        <v>0</v>
      </c>
      <c r="AN920">
        <v>0</v>
      </c>
      <c r="AO920">
        <f t="shared" si="471"/>
        <v>0</v>
      </c>
      <c r="AP920">
        <f t="shared" si="480"/>
        <v>0</v>
      </c>
      <c r="AQ920" t="e">
        <f t="shared" ca="1" si="472"/>
        <v>#VALUE!</v>
      </c>
      <c r="AR920" t="e">
        <f t="shared" ca="1" si="473"/>
        <v>#VALUE!</v>
      </c>
      <c r="AS920" t="e">
        <f t="shared" ca="1" si="474"/>
        <v>#VALUE!</v>
      </c>
    </row>
    <row r="921" spans="1:45" x14ac:dyDescent="0.35">
      <c r="A921">
        <v>772</v>
      </c>
      <c r="B921">
        <v>770.88900000000001</v>
      </c>
      <c r="C921">
        <v>616090.84299999999</v>
      </c>
      <c r="D921">
        <v>3097232.844</v>
      </c>
      <c r="E921">
        <v>632.17650000000003</v>
      </c>
      <c r="F921">
        <v>5.2</v>
      </c>
      <c r="G921">
        <v>0</v>
      </c>
      <c r="H921" t="s">
        <v>191</v>
      </c>
      <c r="I921">
        <v>5.7000000000000002E-2</v>
      </c>
      <c r="J921">
        <f t="shared" si="475"/>
        <v>0.99900000000002365</v>
      </c>
      <c r="K921">
        <f t="shared" si="476"/>
        <v>51</v>
      </c>
      <c r="L921" t="e">
        <f t="shared" ca="1" si="477"/>
        <v>#VALUE!</v>
      </c>
      <c r="M921" t="e">
        <f t="shared" ca="1" si="450"/>
        <v>#VALUE!</v>
      </c>
      <c r="N921" t="e">
        <f t="shared" ca="1" si="451"/>
        <v>#VALUE!</v>
      </c>
      <c r="O921" t="e">
        <f t="shared" ca="1" si="452"/>
        <v>#VALUE!</v>
      </c>
      <c r="P921" t="e">
        <f t="shared" ca="1" si="453"/>
        <v>#VALUE!</v>
      </c>
      <c r="Q921" t="e">
        <f t="shared" ca="1" si="454"/>
        <v>#VALUE!</v>
      </c>
      <c r="R921" t="e">
        <f t="shared" ca="1" si="455"/>
        <v>#VALUE!</v>
      </c>
      <c r="S921" t="e">
        <f t="shared" ca="1" si="456"/>
        <v>#VALUE!</v>
      </c>
      <c r="T921" t="e">
        <f t="shared" ca="1" si="457"/>
        <v>#VALUE!</v>
      </c>
      <c r="U921" t="e">
        <f t="shared" ca="1" si="478"/>
        <v>#VALUE!</v>
      </c>
      <c r="V921" t="e">
        <f t="shared" ca="1" si="479"/>
        <v>#VALUE!</v>
      </c>
      <c r="W921" t="e">
        <f t="shared" ca="1" si="458"/>
        <v>#VALUE!</v>
      </c>
      <c r="X921" t="e">
        <f t="shared" ca="1" si="459"/>
        <v>#VALUE!</v>
      </c>
      <c r="Y921" t="e">
        <f t="shared" ca="1" si="460"/>
        <v>#VALUE!</v>
      </c>
      <c r="Z921" t="e">
        <f t="shared" ca="1" si="461"/>
        <v>#VALUE!</v>
      </c>
      <c r="AA921" t="e">
        <f t="shared" ca="1" si="462"/>
        <v>#VALUE!</v>
      </c>
      <c r="AB921" t="e">
        <f t="shared" ca="1" si="463"/>
        <v>#VALUE!</v>
      </c>
      <c r="AC921" t="e">
        <f t="shared" ca="1" si="464"/>
        <v>#VALUE!</v>
      </c>
      <c r="AD921" t="e">
        <f t="shared" ca="1" si="465"/>
        <v>#VALUE!</v>
      </c>
      <c r="AE921" t="e">
        <f t="shared" ca="1" si="466"/>
        <v>#VALUE!</v>
      </c>
      <c r="AF921" t="e">
        <f t="shared" ca="1" si="467"/>
        <v>#VALUE!</v>
      </c>
      <c r="AG921" t="e">
        <f t="shared" ca="1" si="468"/>
        <v>#VALUE!</v>
      </c>
      <c r="AH921" t="e">
        <f ca="1">IF(V32="Supercritical",L921,IF(V32="Subcritical",W921,IF(AND(V921=1,AG921=1),IF(T921&gt;=AE921,L921,W921),IF(V921=1,L921,IF(AG921=1,W921,MAX($D$16,POWER((ABS(K921)^2)/($I$5*MAX(F921,0.1)^2),1/3)))))))</f>
        <v>#VALUE!</v>
      </c>
      <c r="AI921" t="e">
        <f t="shared" ca="1" si="469"/>
        <v>#VALUE!</v>
      </c>
      <c r="AJ921" t="e">
        <f t="shared" ca="1" si="470"/>
        <v>#VALUE!</v>
      </c>
      <c r="AM921">
        <v>0</v>
      </c>
      <c r="AN921">
        <v>0</v>
      </c>
      <c r="AO921">
        <f t="shared" si="471"/>
        <v>0</v>
      </c>
      <c r="AP921">
        <f t="shared" si="480"/>
        <v>0</v>
      </c>
      <c r="AQ921" t="e">
        <f t="shared" ca="1" si="472"/>
        <v>#VALUE!</v>
      </c>
      <c r="AR921" t="e">
        <f t="shared" ca="1" si="473"/>
        <v>#VALUE!</v>
      </c>
      <c r="AS921" t="e">
        <f t="shared" ca="1" si="474"/>
        <v>#VALUE!</v>
      </c>
    </row>
    <row r="922" spans="1:45" x14ac:dyDescent="0.35">
      <c r="A922">
        <v>773</v>
      </c>
      <c r="B922">
        <v>771.88900000000001</v>
      </c>
      <c r="C922">
        <v>616090.80099999998</v>
      </c>
      <c r="D922">
        <v>3097231.8450000002</v>
      </c>
      <c r="E922">
        <v>632.17600000000004</v>
      </c>
      <c r="F922">
        <v>5.2</v>
      </c>
      <c r="G922">
        <v>0</v>
      </c>
      <c r="H922" t="s">
        <v>191</v>
      </c>
      <c r="I922">
        <v>0</v>
      </c>
      <c r="J922">
        <f t="shared" si="475"/>
        <v>1</v>
      </c>
      <c r="K922">
        <f t="shared" si="476"/>
        <v>51</v>
      </c>
      <c r="L922" t="e">
        <f t="shared" ca="1" si="477"/>
        <v>#VALUE!</v>
      </c>
      <c r="M922" t="e">
        <f t="shared" ca="1" si="450"/>
        <v>#VALUE!</v>
      </c>
      <c r="N922" t="e">
        <f t="shared" ca="1" si="451"/>
        <v>#VALUE!</v>
      </c>
      <c r="O922" t="e">
        <f t="shared" ca="1" si="452"/>
        <v>#VALUE!</v>
      </c>
      <c r="P922" t="e">
        <f t="shared" ca="1" si="453"/>
        <v>#VALUE!</v>
      </c>
      <c r="Q922" t="e">
        <f t="shared" ca="1" si="454"/>
        <v>#VALUE!</v>
      </c>
      <c r="R922" t="e">
        <f t="shared" ca="1" si="455"/>
        <v>#VALUE!</v>
      </c>
      <c r="S922" t="e">
        <f t="shared" ca="1" si="456"/>
        <v>#VALUE!</v>
      </c>
      <c r="T922" t="e">
        <f t="shared" ca="1" si="457"/>
        <v>#VALUE!</v>
      </c>
      <c r="U922" t="e">
        <f t="shared" ca="1" si="478"/>
        <v>#VALUE!</v>
      </c>
      <c r="V922" t="e">
        <f t="shared" ca="1" si="479"/>
        <v>#VALUE!</v>
      </c>
      <c r="W922" t="e">
        <f t="shared" ca="1" si="458"/>
        <v>#VALUE!</v>
      </c>
      <c r="X922" t="e">
        <f t="shared" ca="1" si="459"/>
        <v>#VALUE!</v>
      </c>
      <c r="Y922" t="e">
        <f t="shared" ca="1" si="460"/>
        <v>#VALUE!</v>
      </c>
      <c r="Z922" t="e">
        <f t="shared" ca="1" si="461"/>
        <v>#VALUE!</v>
      </c>
      <c r="AA922" t="e">
        <f t="shared" ca="1" si="462"/>
        <v>#VALUE!</v>
      </c>
      <c r="AB922" t="e">
        <f t="shared" ca="1" si="463"/>
        <v>#VALUE!</v>
      </c>
      <c r="AC922" t="e">
        <f t="shared" ca="1" si="464"/>
        <v>#VALUE!</v>
      </c>
      <c r="AD922" t="e">
        <f t="shared" ca="1" si="465"/>
        <v>#VALUE!</v>
      </c>
      <c r="AE922" t="e">
        <f t="shared" ca="1" si="466"/>
        <v>#VALUE!</v>
      </c>
      <c r="AF922" t="e">
        <f t="shared" ca="1" si="467"/>
        <v>#VALUE!</v>
      </c>
      <c r="AG922" t="e">
        <f t="shared" ca="1" si="468"/>
        <v>#VALUE!</v>
      </c>
      <c r="AH922" t="e">
        <f ca="1">IF(V32="Supercritical",L922,IF(V32="Subcritical",W922,IF(AND(V922=1,AG922=1),IF(T922&gt;=AE922,L922,W922),IF(V922=1,L922,IF(AG922=1,W922,MAX($D$16,POWER((ABS(K922)^2)/($I$5*MAX(F922,0.1)^2),1/3)))))))</f>
        <v>#VALUE!</v>
      </c>
      <c r="AI922" t="e">
        <f t="shared" ca="1" si="469"/>
        <v>#VALUE!</v>
      </c>
      <c r="AJ922" t="e">
        <f t="shared" ca="1" si="470"/>
        <v>#VALUE!</v>
      </c>
      <c r="AM922">
        <v>0</v>
      </c>
      <c r="AN922">
        <v>0</v>
      </c>
      <c r="AO922">
        <f t="shared" si="471"/>
        <v>0</v>
      </c>
      <c r="AP922">
        <f t="shared" si="480"/>
        <v>0</v>
      </c>
      <c r="AQ922" t="e">
        <f t="shared" ca="1" si="472"/>
        <v>#VALUE!</v>
      </c>
      <c r="AR922" t="e">
        <f t="shared" ca="1" si="473"/>
        <v>#VALUE!</v>
      </c>
      <c r="AS922" t="e">
        <f t="shared" ca="1" si="474"/>
        <v>#VALUE!</v>
      </c>
    </row>
    <row r="923" spans="1:45" x14ac:dyDescent="0.35">
      <c r="A923">
        <v>774</v>
      </c>
      <c r="B923">
        <v>772.88900000000001</v>
      </c>
      <c r="C923">
        <v>616090.75899999996</v>
      </c>
      <c r="D923">
        <v>3097230.8459999999</v>
      </c>
      <c r="E923">
        <v>632.17550000000006</v>
      </c>
      <c r="F923">
        <v>5.2</v>
      </c>
      <c r="G923">
        <v>0</v>
      </c>
      <c r="H923" t="s">
        <v>191</v>
      </c>
      <c r="I923">
        <v>0</v>
      </c>
      <c r="J923">
        <f t="shared" si="475"/>
        <v>1</v>
      </c>
      <c r="K923">
        <f t="shared" si="476"/>
        <v>51</v>
      </c>
      <c r="L923" t="e">
        <f t="shared" ca="1" si="477"/>
        <v>#VALUE!</v>
      </c>
      <c r="M923" t="e">
        <f t="shared" ca="1" si="450"/>
        <v>#VALUE!</v>
      </c>
      <c r="N923" t="e">
        <f t="shared" ca="1" si="451"/>
        <v>#VALUE!</v>
      </c>
      <c r="O923" t="e">
        <f t="shared" ca="1" si="452"/>
        <v>#VALUE!</v>
      </c>
      <c r="P923" t="e">
        <f t="shared" ca="1" si="453"/>
        <v>#VALUE!</v>
      </c>
      <c r="Q923" t="e">
        <f t="shared" ca="1" si="454"/>
        <v>#VALUE!</v>
      </c>
      <c r="R923" t="e">
        <f t="shared" ca="1" si="455"/>
        <v>#VALUE!</v>
      </c>
      <c r="S923" t="e">
        <f t="shared" ca="1" si="456"/>
        <v>#VALUE!</v>
      </c>
      <c r="T923" t="e">
        <f t="shared" ca="1" si="457"/>
        <v>#VALUE!</v>
      </c>
      <c r="U923" t="e">
        <f t="shared" ca="1" si="478"/>
        <v>#VALUE!</v>
      </c>
      <c r="V923" t="e">
        <f t="shared" ca="1" si="479"/>
        <v>#VALUE!</v>
      </c>
      <c r="W923" t="e">
        <f t="shared" ca="1" si="458"/>
        <v>#VALUE!</v>
      </c>
      <c r="X923" t="e">
        <f t="shared" ca="1" si="459"/>
        <v>#VALUE!</v>
      </c>
      <c r="Y923" t="e">
        <f t="shared" ca="1" si="460"/>
        <v>#VALUE!</v>
      </c>
      <c r="Z923" t="e">
        <f t="shared" ca="1" si="461"/>
        <v>#VALUE!</v>
      </c>
      <c r="AA923" t="e">
        <f t="shared" ca="1" si="462"/>
        <v>#VALUE!</v>
      </c>
      <c r="AB923" t="e">
        <f t="shared" ca="1" si="463"/>
        <v>#VALUE!</v>
      </c>
      <c r="AC923" t="e">
        <f t="shared" ca="1" si="464"/>
        <v>#VALUE!</v>
      </c>
      <c r="AD923" t="e">
        <f t="shared" ca="1" si="465"/>
        <v>#VALUE!</v>
      </c>
      <c r="AE923" t="e">
        <f t="shared" ca="1" si="466"/>
        <v>#VALUE!</v>
      </c>
      <c r="AF923" t="e">
        <f t="shared" ca="1" si="467"/>
        <v>#VALUE!</v>
      </c>
      <c r="AG923" t="e">
        <f t="shared" ca="1" si="468"/>
        <v>#VALUE!</v>
      </c>
      <c r="AH923" t="e">
        <f ca="1">IF(V32="Supercritical",L923,IF(V32="Subcritical",W923,IF(AND(V923=1,AG923=1),IF(T923&gt;=AE923,L923,W923),IF(V923=1,L923,IF(AG923=1,W923,MAX($D$16,POWER((ABS(K923)^2)/($I$5*MAX(F923,0.1)^2),1/3)))))))</f>
        <v>#VALUE!</v>
      </c>
      <c r="AI923" t="e">
        <f t="shared" ca="1" si="469"/>
        <v>#VALUE!</v>
      </c>
      <c r="AJ923" t="e">
        <f t="shared" ca="1" si="470"/>
        <v>#VALUE!</v>
      </c>
      <c r="AM923">
        <v>0</v>
      </c>
      <c r="AN923">
        <v>0</v>
      </c>
      <c r="AO923">
        <f t="shared" si="471"/>
        <v>0</v>
      </c>
      <c r="AP923">
        <f t="shared" si="480"/>
        <v>0</v>
      </c>
      <c r="AQ923" t="e">
        <f t="shared" ca="1" si="472"/>
        <v>#VALUE!</v>
      </c>
      <c r="AR923" t="e">
        <f t="shared" ca="1" si="473"/>
        <v>#VALUE!</v>
      </c>
      <c r="AS923" t="e">
        <f t="shared" ca="1" si="474"/>
        <v>#VALUE!</v>
      </c>
    </row>
    <row r="924" spans="1:45" x14ac:dyDescent="0.35">
      <c r="A924">
        <v>775</v>
      </c>
      <c r="B924">
        <v>773.88900000000001</v>
      </c>
      <c r="C924">
        <v>616090.71699999995</v>
      </c>
      <c r="D924">
        <v>3097229.8470000001</v>
      </c>
      <c r="E924">
        <v>632.17499999999995</v>
      </c>
      <c r="F924">
        <v>5.2</v>
      </c>
      <c r="G924">
        <v>0</v>
      </c>
      <c r="H924" t="s">
        <v>191</v>
      </c>
      <c r="I924">
        <v>5.7000000000000002E-2</v>
      </c>
      <c r="J924">
        <f t="shared" si="475"/>
        <v>1</v>
      </c>
      <c r="K924">
        <f t="shared" si="476"/>
        <v>51</v>
      </c>
      <c r="L924" t="e">
        <f t="shared" ca="1" si="477"/>
        <v>#VALUE!</v>
      </c>
      <c r="M924" t="e">
        <f t="shared" ca="1" si="450"/>
        <v>#VALUE!</v>
      </c>
      <c r="N924" t="e">
        <f t="shared" ca="1" si="451"/>
        <v>#VALUE!</v>
      </c>
      <c r="O924" t="e">
        <f t="shared" ca="1" si="452"/>
        <v>#VALUE!</v>
      </c>
      <c r="P924" t="e">
        <f t="shared" ca="1" si="453"/>
        <v>#VALUE!</v>
      </c>
      <c r="Q924" t="e">
        <f t="shared" ca="1" si="454"/>
        <v>#VALUE!</v>
      </c>
      <c r="R924" t="e">
        <f t="shared" ca="1" si="455"/>
        <v>#VALUE!</v>
      </c>
      <c r="S924" t="e">
        <f t="shared" ca="1" si="456"/>
        <v>#VALUE!</v>
      </c>
      <c r="T924" t="e">
        <f t="shared" ca="1" si="457"/>
        <v>#VALUE!</v>
      </c>
      <c r="U924" t="e">
        <f t="shared" ca="1" si="478"/>
        <v>#VALUE!</v>
      </c>
      <c r="V924" t="e">
        <f t="shared" ca="1" si="479"/>
        <v>#VALUE!</v>
      </c>
      <c r="W924" t="e">
        <f t="shared" ca="1" si="458"/>
        <v>#VALUE!</v>
      </c>
      <c r="X924" t="e">
        <f t="shared" ca="1" si="459"/>
        <v>#VALUE!</v>
      </c>
      <c r="Y924" t="e">
        <f t="shared" ca="1" si="460"/>
        <v>#VALUE!</v>
      </c>
      <c r="Z924" t="e">
        <f t="shared" ca="1" si="461"/>
        <v>#VALUE!</v>
      </c>
      <c r="AA924" t="e">
        <f t="shared" ca="1" si="462"/>
        <v>#VALUE!</v>
      </c>
      <c r="AB924" t="e">
        <f t="shared" ca="1" si="463"/>
        <v>#VALUE!</v>
      </c>
      <c r="AC924" t="e">
        <f t="shared" ca="1" si="464"/>
        <v>#VALUE!</v>
      </c>
      <c r="AD924" t="e">
        <f t="shared" ca="1" si="465"/>
        <v>#VALUE!</v>
      </c>
      <c r="AE924" t="e">
        <f t="shared" ca="1" si="466"/>
        <v>#VALUE!</v>
      </c>
      <c r="AF924" t="e">
        <f t="shared" ca="1" si="467"/>
        <v>#VALUE!</v>
      </c>
      <c r="AG924" t="e">
        <f t="shared" ca="1" si="468"/>
        <v>#VALUE!</v>
      </c>
      <c r="AH924" t="e">
        <f ca="1">IF(V32="Supercritical",L924,IF(V32="Subcritical",W924,IF(AND(V924=1,AG924=1),IF(T924&gt;=AE924,L924,W924),IF(V924=1,L924,IF(AG924=1,W924,MAX($D$16,POWER((ABS(K924)^2)/($I$5*MAX(F924,0.1)^2),1/3)))))))</f>
        <v>#VALUE!</v>
      </c>
      <c r="AI924" t="e">
        <f t="shared" ca="1" si="469"/>
        <v>#VALUE!</v>
      </c>
      <c r="AJ924" t="e">
        <f t="shared" ca="1" si="470"/>
        <v>#VALUE!</v>
      </c>
      <c r="AM924">
        <v>0</v>
      </c>
      <c r="AN924">
        <v>0</v>
      </c>
      <c r="AO924">
        <f t="shared" si="471"/>
        <v>0</v>
      </c>
      <c r="AP924">
        <f t="shared" si="480"/>
        <v>0</v>
      </c>
      <c r="AQ924" t="e">
        <f t="shared" ca="1" si="472"/>
        <v>#VALUE!</v>
      </c>
      <c r="AR924" t="e">
        <f t="shared" ca="1" si="473"/>
        <v>#VALUE!</v>
      </c>
      <c r="AS924" t="e">
        <f t="shared" ca="1" si="474"/>
        <v>#VALUE!</v>
      </c>
    </row>
    <row r="925" spans="1:45" x14ac:dyDescent="0.35">
      <c r="A925">
        <v>776</v>
      </c>
      <c r="B925">
        <v>774.88900000000001</v>
      </c>
      <c r="C925">
        <v>616090.674</v>
      </c>
      <c r="D925">
        <v>3097228.8480000002</v>
      </c>
      <c r="E925">
        <v>632.17449999999997</v>
      </c>
      <c r="F925">
        <v>5.2</v>
      </c>
      <c r="G925">
        <v>0</v>
      </c>
      <c r="H925" t="s">
        <v>191</v>
      </c>
      <c r="I925">
        <v>5.7000000000000002E-2</v>
      </c>
      <c r="J925">
        <f t="shared" si="475"/>
        <v>1</v>
      </c>
      <c r="K925">
        <f t="shared" si="476"/>
        <v>51</v>
      </c>
      <c r="L925" t="e">
        <f t="shared" ca="1" si="477"/>
        <v>#VALUE!</v>
      </c>
      <c r="M925" t="e">
        <f t="shared" ca="1" si="450"/>
        <v>#VALUE!</v>
      </c>
      <c r="N925" t="e">
        <f t="shared" ca="1" si="451"/>
        <v>#VALUE!</v>
      </c>
      <c r="O925" t="e">
        <f t="shared" ca="1" si="452"/>
        <v>#VALUE!</v>
      </c>
      <c r="P925" t="e">
        <f t="shared" ca="1" si="453"/>
        <v>#VALUE!</v>
      </c>
      <c r="Q925" t="e">
        <f t="shared" ca="1" si="454"/>
        <v>#VALUE!</v>
      </c>
      <c r="R925" t="e">
        <f t="shared" ca="1" si="455"/>
        <v>#VALUE!</v>
      </c>
      <c r="S925" t="e">
        <f t="shared" ca="1" si="456"/>
        <v>#VALUE!</v>
      </c>
      <c r="T925" t="e">
        <f t="shared" ca="1" si="457"/>
        <v>#VALUE!</v>
      </c>
      <c r="U925" t="e">
        <f t="shared" ca="1" si="478"/>
        <v>#VALUE!</v>
      </c>
      <c r="V925" t="e">
        <f t="shared" ca="1" si="479"/>
        <v>#VALUE!</v>
      </c>
      <c r="W925" t="e">
        <f t="shared" ca="1" si="458"/>
        <v>#VALUE!</v>
      </c>
      <c r="X925" t="e">
        <f t="shared" ca="1" si="459"/>
        <v>#VALUE!</v>
      </c>
      <c r="Y925" t="e">
        <f t="shared" ca="1" si="460"/>
        <v>#VALUE!</v>
      </c>
      <c r="Z925" t="e">
        <f t="shared" ca="1" si="461"/>
        <v>#VALUE!</v>
      </c>
      <c r="AA925" t="e">
        <f t="shared" ca="1" si="462"/>
        <v>#VALUE!</v>
      </c>
      <c r="AB925" t="e">
        <f t="shared" ca="1" si="463"/>
        <v>#VALUE!</v>
      </c>
      <c r="AC925" t="e">
        <f t="shared" ca="1" si="464"/>
        <v>#VALUE!</v>
      </c>
      <c r="AD925" t="e">
        <f t="shared" ca="1" si="465"/>
        <v>#VALUE!</v>
      </c>
      <c r="AE925" t="e">
        <f t="shared" ca="1" si="466"/>
        <v>#VALUE!</v>
      </c>
      <c r="AF925" t="e">
        <f t="shared" ca="1" si="467"/>
        <v>#VALUE!</v>
      </c>
      <c r="AG925" t="e">
        <f t="shared" ca="1" si="468"/>
        <v>#VALUE!</v>
      </c>
      <c r="AH925" t="e">
        <f ca="1">IF(V32="Supercritical",L925,IF(V32="Subcritical",W925,IF(AND(V925=1,AG925=1),IF(T925&gt;=AE925,L925,W925),IF(V925=1,L925,IF(AG925=1,W925,MAX($D$16,POWER((ABS(K925)^2)/($I$5*MAX(F925,0.1)^2),1/3)))))))</f>
        <v>#VALUE!</v>
      </c>
      <c r="AI925" t="e">
        <f t="shared" ca="1" si="469"/>
        <v>#VALUE!</v>
      </c>
      <c r="AJ925" t="e">
        <f t="shared" ca="1" si="470"/>
        <v>#VALUE!</v>
      </c>
      <c r="AM925">
        <v>0</v>
      </c>
      <c r="AN925">
        <v>0</v>
      </c>
      <c r="AO925">
        <f t="shared" si="471"/>
        <v>0</v>
      </c>
      <c r="AP925">
        <f t="shared" si="480"/>
        <v>0</v>
      </c>
      <c r="AQ925" t="e">
        <f t="shared" ca="1" si="472"/>
        <v>#VALUE!</v>
      </c>
      <c r="AR925" t="e">
        <f t="shared" ca="1" si="473"/>
        <v>#VALUE!</v>
      </c>
      <c r="AS925" t="e">
        <f t="shared" ca="1" si="474"/>
        <v>#VALUE!</v>
      </c>
    </row>
    <row r="926" spans="1:45" x14ac:dyDescent="0.35">
      <c r="A926">
        <v>777</v>
      </c>
      <c r="B926">
        <v>775.88900000000001</v>
      </c>
      <c r="C926">
        <v>616090.63199999998</v>
      </c>
      <c r="D926">
        <v>3097227.8489999999</v>
      </c>
      <c r="E926">
        <v>632.17399999999998</v>
      </c>
      <c r="F926">
        <v>5.2</v>
      </c>
      <c r="G926">
        <v>0</v>
      </c>
      <c r="H926" t="s">
        <v>191</v>
      </c>
      <c r="I926">
        <v>0</v>
      </c>
      <c r="J926">
        <f t="shared" si="475"/>
        <v>1</v>
      </c>
      <c r="K926">
        <f t="shared" si="476"/>
        <v>51</v>
      </c>
      <c r="L926" t="e">
        <f t="shared" ca="1" si="477"/>
        <v>#VALUE!</v>
      </c>
      <c r="M926" t="e">
        <f t="shared" ca="1" si="450"/>
        <v>#VALUE!</v>
      </c>
      <c r="N926" t="e">
        <f t="shared" ca="1" si="451"/>
        <v>#VALUE!</v>
      </c>
      <c r="O926" t="e">
        <f t="shared" ca="1" si="452"/>
        <v>#VALUE!</v>
      </c>
      <c r="P926" t="e">
        <f t="shared" ca="1" si="453"/>
        <v>#VALUE!</v>
      </c>
      <c r="Q926" t="e">
        <f t="shared" ca="1" si="454"/>
        <v>#VALUE!</v>
      </c>
      <c r="R926" t="e">
        <f t="shared" ca="1" si="455"/>
        <v>#VALUE!</v>
      </c>
      <c r="S926" t="e">
        <f t="shared" ca="1" si="456"/>
        <v>#VALUE!</v>
      </c>
      <c r="T926" t="e">
        <f t="shared" ca="1" si="457"/>
        <v>#VALUE!</v>
      </c>
      <c r="U926" t="e">
        <f t="shared" ca="1" si="478"/>
        <v>#VALUE!</v>
      </c>
      <c r="V926" t="e">
        <f t="shared" ca="1" si="479"/>
        <v>#VALUE!</v>
      </c>
      <c r="W926" t="e">
        <f t="shared" ca="1" si="458"/>
        <v>#VALUE!</v>
      </c>
      <c r="X926" t="e">
        <f t="shared" ca="1" si="459"/>
        <v>#VALUE!</v>
      </c>
      <c r="Y926" t="e">
        <f t="shared" ca="1" si="460"/>
        <v>#VALUE!</v>
      </c>
      <c r="Z926" t="e">
        <f t="shared" ca="1" si="461"/>
        <v>#VALUE!</v>
      </c>
      <c r="AA926" t="e">
        <f t="shared" ca="1" si="462"/>
        <v>#VALUE!</v>
      </c>
      <c r="AB926" t="e">
        <f t="shared" ca="1" si="463"/>
        <v>#VALUE!</v>
      </c>
      <c r="AC926" t="e">
        <f t="shared" ca="1" si="464"/>
        <v>#VALUE!</v>
      </c>
      <c r="AD926" t="e">
        <f t="shared" ca="1" si="465"/>
        <v>#VALUE!</v>
      </c>
      <c r="AE926" t="e">
        <f t="shared" ca="1" si="466"/>
        <v>#VALUE!</v>
      </c>
      <c r="AF926" t="e">
        <f t="shared" ca="1" si="467"/>
        <v>#VALUE!</v>
      </c>
      <c r="AG926" t="e">
        <f t="shared" ca="1" si="468"/>
        <v>#VALUE!</v>
      </c>
      <c r="AH926" t="e">
        <f ca="1">IF(V32="Supercritical",L926,IF(V32="Subcritical",W926,IF(AND(V926=1,AG926=1),IF(T926&gt;=AE926,L926,W926),IF(V926=1,L926,IF(AG926=1,W926,MAX($D$16,POWER((ABS(K926)^2)/($I$5*MAX(F926,0.1)^2),1/3)))))))</f>
        <v>#VALUE!</v>
      </c>
      <c r="AI926" t="e">
        <f t="shared" ca="1" si="469"/>
        <v>#VALUE!</v>
      </c>
      <c r="AJ926" t="e">
        <f t="shared" ca="1" si="470"/>
        <v>#VALUE!</v>
      </c>
      <c r="AM926">
        <v>0</v>
      </c>
      <c r="AN926">
        <v>0</v>
      </c>
      <c r="AO926">
        <f t="shared" si="471"/>
        <v>0</v>
      </c>
      <c r="AP926">
        <f t="shared" si="480"/>
        <v>0</v>
      </c>
      <c r="AQ926" t="e">
        <f t="shared" ca="1" si="472"/>
        <v>#VALUE!</v>
      </c>
      <c r="AR926" t="e">
        <f t="shared" ca="1" si="473"/>
        <v>#VALUE!</v>
      </c>
      <c r="AS926" t="e">
        <f t="shared" ca="1" si="474"/>
        <v>#VALUE!</v>
      </c>
    </row>
    <row r="927" spans="1:45" x14ac:dyDescent="0.35">
      <c r="A927">
        <v>778</v>
      </c>
      <c r="B927">
        <v>776.88900000000001</v>
      </c>
      <c r="C927">
        <v>616090.59</v>
      </c>
      <c r="D927">
        <v>3097226.85</v>
      </c>
      <c r="E927">
        <v>632.17349999999999</v>
      </c>
      <c r="F927">
        <v>5.2</v>
      </c>
      <c r="G927">
        <v>0</v>
      </c>
      <c r="H927" t="s">
        <v>191</v>
      </c>
      <c r="I927">
        <v>2E-3</v>
      </c>
      <c r="J927">
        <f t="shared" si="475"/>
        <v>1</v>
      </c>
      <c r="K927">
        <f t="shared" si="476"/>
        <v>51</v>
      </c>
      <c r="L927" t="e">
        <f t="shared" ca="1" si="477"/>
        <v>#VALUE!</v>
      </c>
      <c r="M927" t="e">
        <f t="shared" ca="1" si="450"/>
        <v>#VALUE!</v>
      </c>
      <c r="N927" t="e">
        <f t="shared" ca="1" si="451"/>
        <v>#VALUE!</v>
      </c>
      <c r="O927" t="e">
        <f t="shared" ca="1" si="452"/>
        <v>#VALUE!</v>
      </c>
      <c r="P927" t="e">
        <f t="shared" ca="1" si="453"/>
        <v>#VALUE!</v>
      </c>
      <c r="Q927" t="e">
        <f t="shared" ca="1" si="454"/>
        <v>#VALUE!</v>
      </c>
      <c r="R927" t="e">
        <f t="shared" ca="1" si="455"/>
        <v>#VALUE!</v>
      </c>
      <c r="S927" t="e">
        <f t="shared" ca="1" si="456"/>
        <v>#VALUE!</v>
      </c>
      <c r="T927" t="e">
        <f t="shared" ca="1" si="457"/>
        <v>#VALUE!</v>
      </c>
      <c r="U927" t="e">
        <f t="shared" ca="1" si="478"/>
        <v>#VALUE!</v>
      </c>
      <c r="V927" t="e">
        <f t="shared" ca="1" si="479"/>
        <v>#VALUE!</v>
      </c>
      <c r="W927" t="e">
        <f t="shared" ca="1" si="458"/>
        <v>#VALUE!</v>
      </c>
      <c r="X927" t="e">
        <f t="shared" ca="1" si="459"/>
        <v>#VALUE!</v>
      </c>
      <c r="Y927" t="e">
        <f t="shared" ca="1" si="460"/>
        <v>#VALUE!</v>
      </c>
      <c r="Z927" t="e">
        <f t="shared" ca="1" si="461"/>
        <v>#VALUE!</v>
      </c>
      <c r="AA927" t="e">
        <f t="shared" ca="1" si="462"/>
        <v>#VALUE!</v>
      </c>
      <c r="AB927" t="e">
        <f t="shared" ca="1" si="463"/>
        <v>#VALUE!</v>
      </c>
      <c r="AC927" t="e">
        <f t="shared" ca="1" si="464"/>
        <v>#VALUE!</v>
      </c>
      <c r="AD927" t="e">
        <f t="shared" ca="1" si="465"/>
        <v>#VALUE!</v>
      </c>
      <c r="AE927" t="e">
        <f t="shared" ca="1" si="466"/>
        <v>#VALUE!</v>
      </c>
      <c r="AF927" t="e">
        <f t="shared" ca="1" si="467"/>
        <v>#VALUE!</v>
      </c>
      <c r="AG927" t="e">
        <f t="shared" ca="1" si="468"/>
        <v>#VALUE!</v>
      </c>
      <c r="AH927" t="e">
        <f ca="1">IF(V32="Supercritical",L927,IF(V32="Subcritical",W927,IF(AND(V927=1,AG927=1),IF(T927&gt;=AE927,L927,W927),IF(V927=1,L927,IF(AG927=1,W927,MAX($D$16,POWER((ABS(K927)^2)/($I$5*MAX(F927,0.1)^2),1/3)))))))</f>
        <v>#VALUE!</v>
      </c>
      <c r="AI927" t="e">
        <f t="shared" ca="1" si="469"/>
        <v>#VALUE!</v>
      </c>
      <c r="AJ927" t="e">
        <f t="shared" ca="1" si="470"/>
        <v>#VALUE!</v>
      </c>
      <c r="AM927">
        <v>0</v>
      </c>
      <c r="AN927">
        <v>0</v>
      </c>
      <c r="AO927">
        <f t="shared" si="471"/>
        <v>0</v>
      </c>
      <c r="AP927">
        <f t="shared" si="480"/>
        <v>0</v>
      </c>
      <c r="AQ927" t="e">
        <f t="shared" ca="1" si="472"/>
        <v>#VALUE!</v>
      </c>
      <c r="AR927" t="e">
        <f t="shared" ca="1" si="473"/>
        <v>#VALUE!</v>
      </c>
      <c r="AS927" t="e">
        <f t="shared" ca="1" si="474"/>
        <v>#VALUE!</v>
      </c>
    </row>
    <row r="928" spans="1:45" x14ac:dyDescent="0.35">
      <c r="A928">
        <v>779</v>
      </c>
      <c r="B928">
        <v>777.89</v>
      </c>
      <c r="C928">
        <v>616090.54799999995</v>
      </c>
      <c r="D928">
        <v>3097225.85</v>
      </c>
      <c r="E928">
        <v>632.173</v>
      </c>
      <c r="F928">
        <v>5.2</v>
      </c>
      <c r="G928">
        <v>0</v>
      </c>
      <c r="H928" t="s">
        <v>191</v>
      </c>
      <c r="I928">
        <v>0.06</v>
      </c>
      <c r="J928">
        <f t="shared" si="475"/>
        <v>1.0009999999999764</v>
      </c>
      <c r="K928">
        <f t="shared" si="476"/>
        <v>51</v>
      </c>
      <c r="L928" t="e">
        <f t="shared" ca="1" si="477"/>
        <v>#VALUE!</v>
      </c>
      <c r="M928" t="e">
        <f t="shared" ca="1" si="450"/>
        <v>#VALUE!</v>
      </c>
      <c r="N928" t="e">
        <f t="shared" ca="1" si="451"/>
        <v>#VALUE!</v>
      </c>
      <c r="O928" t="e">
        <f t="shared" ca="1" si="452"/>
        <v>#VALUE!</v>
      </c>
      <c r="P928" t="e">
        <f t="shared" ca="1" si="453"/>
        <v>#VALUE!</v>
      </c>
      <c r="Q928" t="e">
        <f t="shared" ca="1" si="454"/>
        <v>#VALUE!</v>
      </c>
      <c r="R928" t="e">
        <f t="shared" ca="1" si="455"/>
        <v>#VALUE!</v>
      </c>
      <c r="S928" t="e">
        <f t="shared" ca="1" si="456"/>
        <v>#VALUE!</v>
      </c>
      <c r="T928" t="e">
        <f t="shared" ca="1" si="457"/>
        <v>#VALUE!</v>
      </c>
      <c r="U928" t="e">
        <f t="shared" ca="1" si="478"/>
        <v>#VALUE!</v>
      </c>
      <c r="V928" t="e">
        <f t="shared" ca="1" si="479"/>
        <v>#VALUE!</v>
      </c>
      <c r="W928" t="e">
        <f t="shared" ca="1" si="458"/>
        <v>#VALUE!</v>
      </c>
      <c r="X928" t="e">
        <f t="shared" ca="1" si="459"/>
        <v>#VALUE!</v>
      </c>
      <c r="Y928" t="e">
        <f t="shared" ca="1" si="460"/>
        <v>#VALUE!</v>
      </c>
      <c r="Z928" t="e">
        <f t="shared" ca="1" si="461"/>
        <v>#VALUE!</v>
      </c>
      <c r="AA928" t="e">
        <f t="shared" ca="1" si="462"/>
        <v>#VALUE!</v>
      </c>
      <c r="AB928" t="e">
        <f t="shared" ca="1" si="463"/>
        <v>#VALUE!</v>
      </c>
      <c r="AC928" t="e">
        <f t="shared" ca="1" si="464"/>
        <v>#VALUE!</v>
      </c>
      <c r="AD928" t="e">
        <f t="shared" ca="1" si="465"/>
        <v>#VALUE!</v>
      </c>
      <c r="AE928" t="e">
        <f t="shared" ca="1" si="466"/>
        <v>#VALUE!</v>
      </c>
      <c r="AF928" t="e">
        <f t="shared" ca="1" si="467"/>
        <v>#VALUE!</v>
      </c>
      <c r="AG928" t="e">
        <f t="shared" ca="1" si="468"/>
        <v>#VALUE!</v>
      </c>
      <c r="AH928" t="e">
        <f ca="1">IF(V32="Supercritical",L928,IF(V32="Subcritical",W928,IF(AND(V928=1,AG928=1),IF(T928&gt;=AE928,L928,W928),IF(V928=1,L928,IF(AG928=1,W928,MAX($D$16,POWER((ABS(K928)^2)/($I$5*MAX(F928,0.1)^2),1/3)))))))</f>
        <v>#VALUE!</v>
      </c>
      <c r="AI928" t="e">
        <f t="shared" ca="1" si="469"/>
        <v>#VALUE!</v>
      </c>
      <c r="AJ928" t="e">
        <f t="shared" ca="1" si="470"/>
        <v>#VALUE!</v>
      </c>
      <c r="AM928">
        <v>0</v>
      </c>
      <c r="AN928">
        <v>0</v>
      </c>
      <c r="AO928">
        <f t="shared" si="471"/>
        <v>0</v>
      </c>
      <c r="AP928">
        <f t="shared" si="480"/>
        <v>0</v>
      </c>
      <c r="AQ928" t="e">
        <f t="shared" ca="1" si="472"/>
        <v>#VALUE!</v>
      </c>
      <c r="AR928" t="e">
        <f t="shared" ca="1" si="473"/>
        <v>#VALUE!</v>
      </c>
      <c r="AS928" t="e">
        <f t="shared" ca="1" si="474"/>
        <v>#VALUE!</v>
      </c>
    </row>
    <row r="929" spans="1:45" x14ac:dyDescent="0.35">
      <c r="A929">
        <v>780</v>
      </c>
      <c r="B929">
        <v>778.89</v>
      </c>
      <c r="C929">
        <v>616090.505</v>
      </c>
      <c r="D929">
        <v>3097224.8509999998</v>
      </c>
      <c r="E929">
        <v>632.17250000000001</v>
      </c>
      <c r="F929">
        <v>5.2</v>
      </c>
      <c r="G929">
        <v>0</v>
      </c>
      <c r="H929" t="s">
        <v>191</v>
      </c>
      <c r="I929">
        <v>5.7000000000000002E-2</v>
      </c>
      <c r="J929">
        <f t="shared" si="475"/>
        <v>1</v>
      </c>
      <c r="K929">
        <f t="shared" si="476"/>
        <v>51</v>
      </c>
      <c r="L929" t="e">
        <f t="shared" ca="1" si="477"/>
        <v>#VALUE!</v>
      </c>
      <c r="M929" t="e">
        <f t="shared" ca="1" si="450"/>
        <v>#VALUE!</v>
      </c>
      <c r="N929" t="e">
        <f t="shared" ca="1" si="451"/>
        <v>#VALUE!</v>
      </c>
      <c r="O929" t="e">
        <f t="shared" ca="1" si="452"/>
        <v>#VALUE!</v>
      </c>
      <c r="P929" t="e">
        <f t="shared" ca="1" si="453"/>
        <v>#VALUE!</v>
      </c>
      <c r="Q929" t="e">
        <f t="shared" ca="1" si="454"/>
        <v>#VALUE!</v>
      </c>
      <c r="R929" t="e">
        <f t="shared" ca="1" si="455"/>
        <v>#VALUE!</v>
      </c>
      <c r="S929" t="e">
        <f t="shared" ca="1" si="456"/>
        <v>#VALUE!</v>
      </c>
      <c r="T929" t="e">
        <f t="shared" ca="1" si="457"/>
        <v>#VALUE!</v>
      </c>
      <c r="U929" t="e">
        <f t="shared" ca="1" si="478"/>
        <v>#VALUE!</v>
      </c>
      <c r="V929" t="e">
        <f t="shared" ca="1" si="479"/>
        <v>#VALUE!</v>
      </c>
      <c r="W929" t="e">
        <f t="shared" ca="1" si="458"/>
        <v>#VALUE!</v>
      </c>
      <c r="X929" t="e">
        <f t="shared" ca="1" si="459"/>
        <v>#VALUE!</v>
      </c>
      <c r="Y929" t="e">
        <f t="shared" ca="1" si="460"/>
        <v>#VALUE!</v>
      </c>
      <c r="Z929" t="e">
        <f t="shared" ca="1" si="461"/>
        <v>#VALUE!</v>
      </c>
      <c r="AA929" t="e">
        <f t="shared" ca="1" si="462"/>
        <v>#VALUE!</v>
      </c>
      <c r="AB929" t="e">
        <f t="shared" ca="1" si="463"/>
        <v>#VALUE!</v>
      </c>
      <c r="AC929" t="e">
        <f t="shared" ca="1" si="464"/>
        <v>#VALUE!</v>
      </c>
      <c r="AD929" t="e">
        <f t="shared" ca="1" si="465"/>
        <v>#VALUE!</v>
      </c>
      <c r="AE929" t="e">
        <f t="shared" ca="1" si="466"/>
        <v>#VALUE!</v>
      </c>
      <c r="AF929" t="e">
        <f t="shared" ca="1" si="467"/>
        <v>#VALUE!</v>
      </c>
      <c r="AG929" t="e">
        <f t="shared" ca="1" si="468"/>
        <v>#VALUE!</v>
      </c>
      <c r="AH929" t="e">
        <f ca="1">IF(V32="Supercritical",L929,IF(V32="Subcritical",W929,IF(AND(V929=1,AG929=1),IF(T929&gt;=AE929,L929,W929),IF(V929=1,L929,IF(AG929=1,W929,MAX($D$16,POWER((ABS(K929)^2)/($I$5*MAX(F929,0.1)^2),1/3)))))))</f>
        <v>#VALUE!</v>
      </c>
      <c r="AI929" t="e">
        <f t="shared" ca="1" si="469"/>
        <v>#VALUE!</v>
      </c>
      <c r="AJ929" t="e">
        <f t="shared" ca="1" si="470"/>
        <v>#VALUE!</v>
      </c>
      <c r="AM929">
        <v>0</v>
      </c>
      <c r="AN929">
        <v>0</v>
      </c>
      <c r="AO929">
        <f t="shared" si="471"/>
        <v>0</v>
      </c>
      <c r="AP929">
        <f t="shared" si="480"/>
        <v>0</v>
      </c>
      <c r="AQ929" t="e">
        <f t="shared" ca="1" si="472"/>
        <v>#VALUE!</v>
      </c>
      <c r="AR929" t="e">
        <f t="shared" ca="1" si="473"/>
        <v>#VALUE!</v>
      </c>
      <c r="AS929" t="e">
        <f t="shared" ca="1" si="474"/>
        <v>#VALUE!</v>
      </c>
    </row>
    <row r="930" spans="1:45" x14ac:dyDescent="0.35">
      <c r="A930">
        <v>781</v>
      </c>
      <c r="B930">
        <v>779.88900000000001</v>
      </c>
      <c r="C930">
        <v>616090.46299999999</v>
      </c>
      <c r="D930">
        <v>3097223.852</v>
      </c>
      <c r="E930">
        <v>632.17200000000003</v>
      </c>
      <c r="F930">
        <v>5.2</v>
      </c>
      <c r="G930">
        <v>0</v>
      </c>
      <c r="H930" t="s">
        <v>191</v>
      </c>
      <c r="I930">
        <v>0</v>
      </c>
      <c r="J930">
        <f t="shared" si="475"/>
        <v>0.99900000000002365</v>
      </c>
      <c r="K930">
        <f t="shared" si="476"/>
        <v>51</v>
      </c>
      <c r="L930" t="e">
        <f t="shared" ca="1" si="477"/>
        <v>#VALUE!</v>
      </c>
      <c r="M930" t="e">
        <f t="shared" ca="1" si="450"/>
        <v>#VALUE!</v>
      </c>
      <c r="N930" t="e">
        <f t="shared" ca="1" si="451"/>
        <v>#VALUE!</v>
      </c>
      <c r="O930" t="e">
        <f t="shared" ca="1" si="452"/>
        <v>#VALUE!</v>
      </c>
      <c r="P930" t="e">
        <f t="shared" ca="1" si="453"/>
        <v>#VALUE!</v>
      </c>
      <c r="Q930" t="e">
        <f t="shared" ca="1" si="454"/>
        <v>#VALUE!</v>
      </c>
      <c r="R930" t="e">
        <f t="shared" ca="1" si="455"/>
        <v>#VALUE!</v>
      </c>
      <c r="S930" t="e">
        <f t="shared" ca="1" si="456"/>
        <v>#VALUE!</v>
      </c>
      <c r="T930" t="e">
        <f t="shared" ca="1" si="457"/>
        <v>#VALUE!</v>
      </c>
      <c r="U930" t="e">
        <f t="shared" ca="1" si="478"/>
        <v>#VALUE!</v>
      </c>
      <c r="V930" t="e">
        <f t="shared" ca="1" si="479"/>
        <v>#VALUE!</v>
      </c>
      <c r="W930" t="e">
        <f t="shared" ca="1" si="458"/>
        <v>#VALUE!</v>
      </c>
      <c r="X930" t="e">
        <f t="shared" ca="1" si="459"/>
        <v>#VALUE!</v>
      </c>
      <c r="Y930" t="e">
        <f t="shared" ca="1" si="460"/>
        <v>#VALUE!</v>
      </c>
      <c r="Z930" t="e">
        <f t="shared" ca="1" si="461"/>
        <v>#VALUE!</v>
      </c>
      <c r="AA930" t="e">
        <f t="shared" ca="1" si="462"/>
        <v>#VALUE!</v>
      </c>
      <c r="AB930" t="e">
        <f t="shared" ca="1" si="463"/>
        <v>#VALUE!</v>
      </c>
      <c r="AC930" t="e">
        <f t="shared" ca="1" si="464"/>
        <v>#VALUE!</v>
      </c>
      <c r="AD930" t="e">
        <f t="shared" ca="1" si="465"/>
        <v>#VALUE!</v>
      </c>
      <c r="AE930" t="e">
        <f t="shared" ca="1" si="466"/>
        <v>#VALUE!</v>
      </c>
      <c r="AF930" t="e">
        <f t="shared" ca="1" si="467"/>
        <v>#VALUE!</v>
      </c>
      <c r="AG930" t="e">
        <f t="shared" ca="1" si="468"/>
        <v>#VALUE!</v>
      </c>
      <c r="AH930" t="e">
        <f ca="1">IF(V32="Supercritical",L930,IF(V32="Subcritical",W930,IF(AND(V930=1,AG930=1),IF(T930&gt;=AE930,L930,W930),IF(V930=1,L930,IF(AG930=1,W930,MAX($D$16,POWER((ABS(K930)^2)/($I$5*MAX(F930,0.1)^2),1/3)))))))</f>
        <v>#VALUE!</v>
      </c>
      <c r="AI930" t="e">
        <f t="shared" ca="1" si="469"/>
        <v>#VALUE!</v>
      </c>
      <c r="AJ930" t="e">
        <f t="shared" ca="1" si="470"/>
        <v>#VALUE!</v>
      </c>
      <c r="AM930">
        <v>0</v>
      </c>
      <c r="AN930">
        <v>0</v>
      </c>
      <c r="AO930">
        <f t="shared" si="471"/>
        <v>0</v>
      </c>
      <c r="AP930">
        <f t="shared" si="480"/>
        <v>0</v>
      </c>
      <c r="AQ930" t="e">
        <f t="shared" ca="1" si="472"/>
        <v>#VALUE!</v>
      </c>
      <c r="AR930" t="e">
        <f t="shared" ca="1" si="473"/>
        <v>#VALUE!</v>
      </c>
      <c r="AS930" t="e">
        <f t="shared" ca="1" si="474"/>
        <v>#VALUE!</v>
      </c>
    </row>
    <row r="931" spans="1:45" x14ac:dyDescent="0.35">
      <c r="A931">
        <v>782</v>
      </c>
      <c r="B931">
        <v>780.88900000000001</v>
      </c>
      <c r="C931">
        <v>616090.42099999997</v>
      </c>
      <c r="D931">
        <v>3097222.8530000001</v>
      </c>
      <c r="E931">
        <v>632.17150000000004</v>
      </c>
      <c r="F931">
        <v>5.2</v>
      </c>
      <c r="G931">
        <v>0</v>
      </c>
      <c r="H931" t="s">
        <v>191</v>
      </c>
      <c r="I931">
        <v>5.7000000000000002E-2</v>
      </c>
      <c r="J931">
        <f t="shared" si="475"/>
        <v>1</v>
      </c>
      <c r="K931">
        <f t="shared" si="476"/>
        <v>51</v>
      </c>
      <c r="L931" t="e">
        <f t="shared" ca="1" si="477"/>
        <v>#VALUE!</v>
      </c>
      <c r="M931" t="e">
        <f t="shared" ca="1" si="450"/>
        <v>#VALUE!</v>
      </c>
      <c r="N931" t="e">
        <f t="shared" ca="1" si="451"/>
        <v>#VALUE!</v>
      </c>
      <c r="O931" t="e">
        <f t="shared" ca="1" si="452"/>
        <v>#VALUE!</v>
      </c>
      <c r="P931" t="e">
        <f t="shared" ca="1" si="453"/>
        <v>#VALUE!</v>
      </c>
      <c r="Q931" t="e">
        <f t="shared" ca="1" si="454"/>
        <v>#VALUE!</v>
      </c>
      <c r="R931" t="e">
        <f t="shared" ca="1" si="455"/>
        <v>#VALUE!</v>
      </c>
      <c r="S931" t="e">
        <f t="shared" ca="1" si="456"/>
        <v>#VALUE!</v>
      </c>
      <c r="T931" t="e">
        <f t="shared" ca="1" si="457"/>
        <v>#VALUE!</v>
      </c>
      <c r="U931" t="e">
        <f t="shared" ca="1" si="478"/>
        <v>#VALUE!</v>
      </c>
      <c r="V931" t="e">
        <f t="shared" ca="1" si="479"/>
        <v>#VALUE!</v>
      </c>
      <c r="W931" t="e">
        <f t="shared" ca="1" si="458"/>
        <v>#VALUE!</v>
      </c>
      <c r="X931" t="e">
        <f t="shared" ca="1" si="459"/>
        <v>#VALUE!</v>
      </c>
      <c r="Y931" t="e">
        <f t="shared" ca="1" si="460"/>
        <v>#VALUE!</v>
      </c>
      <c r="Z931" t="e">
        <f t="shared" ca="1" si="461"/>
        <v>#VALUE!</v>
      </c>
      <c r="AA931" t="e">
        <f t="shared" ca="1" si="462"/>
        <v>#VALUE!</v>
      </c>
      <c r="AB931" t="e">
        <f t="shared" ca="1" si="463"/>
        <v>#VALUE!</v>
      </c>
      <c r="AC931" t="e">
        <f t="shared" ca="1" si="464"/>
        <v>#VALUE!</v>
      </c>
      <c r="AD931" t="e">
        <f t="shared" ca="1" si="465"/>
        <v>#VALUE!</v>
      </c>
      <c r="AE931" t="e">
        <f t="shared" ca="1" si="466"/>
        <v>#VALUE!</v>
      </c>
      <c r="AF931" t="e">
        <f t="shared" ca="1" si="467"/>
        <v>#VALUE!</v>
      </c>
      <c r="AG931" t="e">
        <f t="shared" ca="1" si="468"/>
        <v>#VALUE!</v>
      </c>
      <c r="AH931" t="e">
        <f ca="1">IF(V32="Supercritical",L931,IF(V32="Subcritical",W931,IF(AND(V931=1,AG931=1),IF(T931&gt;=AE931,L931,W931),IF(V931=1,L931,IF(AG931=1,W931,MAX($D$16,POWER((ABS(K931)^2)/($I$5*MAX(F931,0.1)^2),1/3)))))))</f>
        <v>#VALUE!</v>
      </c>
      <c r="AI931" t="e">
        <f t="shared" ca="1" si="469"/>
        <v>#VALUE!</v>
      </c>
      <c r="AJ931" t="e">
        <f t="shared" ca="1" si="470"/>
        <v>#VALUE!</v>
      </c>
      <c r="AM931">
        <v>0</v>
      </c>
      <c r="AN931">
        <v>0</v>
      </c>
      <c r="AO931">
        <f t="shared" si="471"/>
        <v>0</v>
      </c>
      <c r="AP931">
        <f t="shared" si="480"/>
        <v>0</v>
      </c>
      <c r="AQ931" t="e">
        <f t="shared" ca="1" si="472"/>
        <v>#VALUE!</v>
      </c>
      <c r="AR931" t="e">
        <f t="shared" ca="1" si="473"/>
        <v>#VALUE!</v>
      </c>
      <c r="AS931" t="e">
        <f t="shared" ca="1" si="474"/>
        <v>#VALUE!</v>
      </c>
    </row>
    <row r="932" spans="1:45" x14ac:dyDescent="0.35">
      <c r="A932">
        <v>783</v>
      </c>
      <c r="B932">
        <v>781.88900000000001</v>
      </c>
      <c r="C932">
        <v>616090.37800000003</v>
      </c>
      <c r="D932">
        <v>3097221.8539999998</v>
      </c>
      <c r="E932">
        <v>632.17100000000005</v>
      </c>
      <c r="F932">
        <v>5.2</v>
      </c>
      <c r="G932">
        <v>0</v>
      </c>
      <c r="H932" t="s">
        <v>191</v>
      </c>
      <c r="I932">
        <v>5.7000000000000002E-2</v>
      </c>
      <c r="J932">
        <f t="shared" si="475"/>
        <v>1</v>
      </c>
      <c r="K932">
        <f t="shared" si="476"/>
        <v>51</v>
      </c>
      <c r="L932" t="e">
        <f t="shared" ca="1" si="477"/>
        <v>#VALUE!</v>
      </c>
      <c r="M932" t="e">
        <f t="shared" ca="1" si="450"/>
        <v>#VALUE!</v>
      </c>
      <c r="N932" t="e">
        <f t="shared" ca="1" si="451"/>
        <v>#VALUE!</v>
      </c>
      <c r="O932" t="e">
        <f t="shared" ca="1" si="452"/>
        <v>#VALUE!</v>
      </c>
      <c r="P932" t="e">
        <f t="shared" ca="1" si="453"/>
        <v>#VALUE!</v>
      </c>
      <c r="Q932" t="e">
        <f t="shared" ca="1" si="454"/>
        <v>#VALUE!</v>
      </c>
      <c r="R932" t="e">
        <f t="shared" ca="1" si="455"/>
        <v>#VALUE!</v>
      </c>
      <c r="S932" t="e">
        <f t="shared" ca="1" si="456"/>
        <v>#VALUE!</v>
      </c>
      <c r="T932" t="e">
        <f t="shared" ca="1" si="457"/>
        <v>#VALUE!</v>
      </c>
      <c r="U932" t="e">
        <f t="shared" ca="1" si="478"/>
        <v>#VALUE!</v>
      </c>
      <c r="V932" t="e">
        <f t="shared" ca="1" si="479"/>
        <v>#VALUE!</v>
      </c>
      <c r="W932" t="e">
        <f t="shared" ca="1" si="458"/>
        <v>#VALUE!</v>
      </c>
      <c r="X932" t="e">
        <f t="shared" ca="1" si="459"/>
        <v>#VALUE!</v>
      </c>
      <c r="Y932" t="e">
        <f t="shared" ca="1" si="460"/>
        <v>#VALUE!</v>
      </c>
      <c r="Z932" t="e">
        <f t="shared" ca="1" si="461"/>
        <v>#VALUE!</v>
      </c>
      <c r="AA932" t="e">
        <f t="shared" ca="1" si="462"/>
        <v>#VALUE!</v>
      </c>
      <c r="AB932" t="e">
        <f t="shared" ca="1" si="463"/>
        <v>#VALUE!</v>
      </c>
      <c r="AC932" t="e">
        <f t="shared" ca="1" si="464"/>
        <v>#VALUE!</v>
      </c>
      <c r="AD932" t="e">
        <f t="shared" ca="1" si="465"/>
        <v>#VALUE!</v>
      </c>
      <c r="AE932" t="e">
        <f t="shared" ca="1" si="466"/>
        <v>#VALUE!</v>
      </c>
      <c r="AF932" t="e">
        <f t="shared" ca="1" si="467"/>
        <v>#VALUE!</v>
      </c>
      <c r="AG932" t="e">
        <f t="shared" ca="1" si="468"/>
        <v>#VALUE!</v>
      </c>
      <c r="AH932" t="e">
        <f ca="1">IF(V32="Supercritical",L932,IF(V32="Subcritical",W932,IF(AND(V932=1,AG932=1),IF(T932&gt;=AE932,L932,W932),IF(V932=1,L932,IF(AG932=1,W932,MAX($D$16,POWER((ABS(K932)^2)/($I$5*MAX(F932,0.1)^2),1/3)))))))</f>
        <v>#VALUE!</v>
      </c>
      <c r="AI932" t="e">
        <f t="shared" ca="1" si="469"/>
        <v>#VALUE!</v>
      </c>
      <c r="AJ932" t="e">
        <f t="shared" ca="1" si="470"/>
        <v>#VALUE!</v>
      </c>
      <c r="AM932">
        <v>0</v>
      </c>
      <c r="AN932">
        <v>0</v>
      </c>
      <c r="AO932">
        <f t="shared" si="471"/>
        <v>0</v>
      </c>
      <c r="AP932">
        <f t="shared" si="480"/>
        <v>0</v>
      </c>
      <c r="AQ932" t="e">
        <f t="shared" ca="1" si="472"/>
        <v>#VALUE!</v>
      </c>
      <c r="AR932" t="e">
        <f t="shared" ca="1" si="473"/>
        <v>#VALUE!</v>
      </c>
      <c r="AS932" t="e">
        <f t="shared" ca="1" si="474"/>
        <v>#VALUE!</v>
      </c>
    </row>
    <row r="933" spans="1:45" x14ac:dyDescent="0.35">
      <c r="A933">
        <v>784</v>
      </c>
      <c r="B933">
        <v>782.88900000000001</v>
      </c>
      <c r="C933">
        <v>616090.33600000001</v>
      </c>
      <c r="D933">
        <v>3097220.855</v>
      </c>
      <c r="E933">
        <v>632.17049999999995</v>
      </c>
      <c r="F933">
        <v>5.2</v>
      </c>
      <c r="G933">
        <v>0</v>
      </c>
      <c r="H933" t="s">
        <v>191</v>
      </c>
      <c r="I933">
        <v>0</v>
      </c>
      <c r="J933">
        <f t="shared" si="475"/>
        <v>1</v>
      </c>
      <c r="K933">
        <f t="shared" si="476"/>
        <v>51</v>
      </c>
      <c r="L933" t="e">
        <f t="shared" ca="1" si="477"/>
        <v>#VALUE!</v>
      </c>
      <c r="M933" t="e">
        <f t="shared" ca="1" si="450"/>
        <v>#VALUE!</v>
      </c>
      <c r="N933" t="e">
        <f t="shared" ca="1" si="451"/>
        <v>#VALUE!</v>
      </c>
      <c r="O933" t="e">
        <f t="shared" ca="1" si="452"/>
        <v>#VALUE!</v>
      </c>
      <c r="P933" t="e">
        <f t="shared" ca="1" si="453"/>
        <v>#VALUE!</v>
      </c>
      <c r="Q933" t="e">
        <f t="shared" ca="1" si="454"/>
        <v>#VALUE!</v>
      </c>
      <c r="R933" t="e">
        <f t="shared" ca="1" si="455"/>
        <v>#VALUE!</v>
      </c>
      <c r="S933" t="e">
        <f t="shared" ca="1" si="456"/>
        <v>#VALUE!</v>
      </c>
      <c r="T933" t="e">
        <f t="shared" ca="1" si="457"/>
        <v>#VALUE!</v>
      </c>
      <c r="U933" t="e">
        <f t="shared" ca="1" si="478"/>
        <v>#VALUE!</v>
      </c>
      <c r="V933" t="e">
        <f t="shared" ca="1" si="479"/>
        <v>#VALUE!</v>
      </c>
      <c r="W933" t="e">
        <f t="shared" ca="1" si="458"/>
        <v>#VALUE!</v>
      </c>
      <c r="X933" t="e">
        <f t="shared" ca="1" si="459"/>
        <v>#VALUE!</v>
      </c>
      <c r="Y933" t="e">
        <f t="shared" ca="1" si="460"/>
        <v>#VALUE!</v>
      </c>
      <c r="Z933" t="e">
        <f t="shared" ca="1" si="461"/>
        <v>#VALUE!</v>
      </c>
      <c r="AA933" t="e">
        <f t="shared" ca="1" si="462"/>
        <v>#VALUE!</v>
      </c>
      <c r="AB933" t="e">
        <f t="shared" ca="1" si="463"/>
        <v>#VALUE!</v>
      </c>
      <c r="AC933" t="e">
        <f t="shared" ca="1" si="464"/>
        <v>#VALUE!</v>
      </c>
      <c r="AD933" t="e">
        <f t="shared" ca="1" si="465"/>
        <v>#VALUE!</v>
      </c>
      <c r="AE933" t="e">
        <f t="shared" ca="1" si="466"/>
        <v>#VALUE!</v>
      </c>
      <c r="AF933" t="e">
        <f t="shared" ca="1" si="467"/>
        <v>#VALUE!</v>
      </c>
      <c r="AG933" t="e">
        <f t="shared" ca="1" si="468"/>
        <v>#VALUE!</v>
      </c>
      <c r="AH933" t="e">
        <f ca="1">IF(V32="Supercritical",L933,IF(V32="Subcritical",W933,IF(AND(V933=1,AG933=1),IF(T933&gt;=AE933,L933,W933),IF(V933=1,L933,IF(AG933=1,W933,MAX($D$16,POWER((ABS(K933)^2)/($I$5*MAX(F933,0.1)^2),1/3)))))))</f>
        <v>#VALUE!</v>
      </c>
      <c r="AI933" t="e">
        <f t="shared" ca="1" si="469"/>
        <v>#VALUE!</v>
      </c>
      <c r="AJ933" t="e">
        <f t="shared" ca="1" si="470"/>
        <v>#VALUE!</v>
      </c>
      <c r="AM933">
        <v>0</v>
      </c>
      <c r="AN933">
        <v>0</v>
      </c>
      <c r="AO933">
        <f t="shared" si="471"/>
        <v>0</v>
      </c>
      <c r="AP933">
        <f t="shared" si="480"/>
        <v>0</v>
      </c>
      <c r="AQ933" t="e">
        <f t="shared" ca="1" si="472"/>
        <v>#VALUE!</v>
      </c>
      <c r="AR933" t="e">
        <f t="shared" ca="1" si="473"/>
        <v>#VALUE!</v>
      </c>
      <c r="AS933" t="e">
        <f t="shared" ca="1" si="474"/>
        <v>#VALUE!</v>
      </c>
    </row>
    <row r="934" spans="1:45" x14ac:dyDescent="0.35">
      <c r="A934">
        <v>785</v>
      </c>
      <c r="B934">
        <v>783.88900000000001</v>
      </c>
      <c r="C934">
        <v>616090.29399999999</v>
      </c>
      <c r="D934">
        <v>3097219.8560000001</v>
      </c>
      <c r="E934">
        <v>632.16999999999996</v>
      </c>
      <c r="F934">
        <v>5.2</v>
      </c>
      <c r="G934">
        <v>0</v>
      </c>
      <c r="H934" t="s">
        <v>191</v>
      </c>
      <c r="I934">
        <v>0</v>
      </c>
      <c r="J934">
        <f t="shared" si="475"/>
        <v>1</v>
      </c>
      <c r="K934">
        <f t="shared" si="476"/>
        <v>51</v>
      </c>
      <c r="L934" t="e">
        <f t="shared" ca="1" si="477"/>
        <v>#VALUE!</v>
      </c>
      <c r="M934" t="e">
        <f t="shared" ca="1" si="450"/>
        <v>#VALUE!</v>
      </c>
      <c r="N934" t="e">
        <f t="shared" ca="1" si="451"/>
        <v>#VALUE!</v>
      </c>
      <c r="O934" t="e">
        <f t="shared" ca="1" si="452"/>
        <v>#VALUE!</v>
      </c>
      <c r="P934" t="e">
        <f t="shared" ca="1" si="453"/>
        <v>#VALUE!</v>
      </c>
      <c r="Q934" t="e">
        <f t="shared" ca="1" si="454"/>
        <v>#VALUE!</v>
      </c>
      <c r="R934" t="e">
        <f t="shared" ca="1" si="455"/>
        <v>#VALUE!</v>
      </c>
      <c r="S934" t="e">
        <f t="shared" ca="1" si="456"/>
        <v>#VALUE!</v>
      </c>
      <c r="T934" t="e">
        <f t="shared" ca="1" si="457"/>
        <v>#VALUE!</v>
      </c>
      <c r="U934" t="e">
        <f t="shared" ca="1" si="478"/>
        <v>#VALUE!</v>
      </c>
      <c r="V934" t="e">
        <f t="shared" ca="1" si="479"/>
        <v>#VALUE!</v>
      </c>
      <c r="W934" t="e">
        <f t="shared" ca="1" si="458"/>
        <v>#VALUE!</v>
      </c>
      <c r="X934" t="e">
        <f t="shared" ca="1" si="459"/>
        <v>#VALUE!</v>
      </c>
      <c r="Y934" t="e">
        <f t="shared" ca="1" si="460"/>
        <v>#VALUE!</v>
      </c>
      <c r="Z934" t="e">
        <f t="shared" ca="1" si="461"/>
        <v>#VALUE!</v>
      </c>
      <c r="AA934" t="e">
        <f t="shared" ca="1" si="462"/>
        <v>#VALUE!</v>
      </c>
      <c r="AB934" t="e">
        <f t="shared" ca="1" si="463"/>
        <v>#VALUE!</v>
      </c>
      <c r="AC934" t="e">
        <f t="shared" ca="1" si="464"/>
        <v>#VALUE!</v>
      </c>
      <c r="AD934" t="e">
        <f t="shared" ca="1" si="465"/>
        <v>#VALUE!</v>
      </c>
      <c r="AE934" t="e">
        <f t="shared" ca="1" si="466"/>
        <v>#VALUE!</v>
      </c>
      <c r="AF934" t="e">
        <f t="shared" ca="1" si="467"/>
        <v>#VALUE!</v>
      </c>
      <c r="AG934" t="e">
        <f t="shared" ca="1" si="468"/>
        <v>#VALUE!</v>
      </c>
      <c r="AH934" t="e">
        <f ca="1">IF(V32="Supercritical",L934,IF(V32="Subcritical",W934,IF(AND(V934=1,AG934=1),IF(T934&gt;=AE934,L934,W934),IF(V934=1,L934,IF(AG934=1,W934,MAX($D$16,POWER((ABS(K934)^2)/($I$5*MAX(F934,0.1)^2),1/3)))))))</f>
        <v>#VALUE!</v>
      </c>
      <c r="AI934" t="e">
        <f t="shared" ca="1" si="469"/>
        <v>#VALUE!</v>
      </c>
      <c r="AJ934" t="e">
        <f t="shared" ca="1" si="470"/>
        <v>#VALUE!</v>
      </c>
      <c r="AM934">
        <v>0</v>
      </c>
      <c r="AN934">
        <v>0</v>
      </c>
      <c r="AO934">
        <f t="shared" si="471"/>
        <v>0</v>
      </c>
      <c r="AP934">
        <f t="shared" si="480"/>
        <v>0</v>
      </c>
      <c r="AQ934" t="e">
        <f t="shared" ca="1" si="472"/>
        <v>#VALUE!</v>
      </c>
      <c r="AR934" t="e">
        <f t="shared" ca="1" si="473"/>
        <v>#VALUE!</v>
      </c>
      <c r="AS934" t="e">
        <f t="shared" ca="1" si="474"/>
        <v>#VALUE!</v>
      </c>
    </row>
    <row r="935" spans="1:45" x14ac:dyDescent="0.35">
      <c r="A935">
        <v>786</v>
      </c>
      <c r="B935">
        <v>784.88900000000001</v>
      </c>
      <c r="C935">
        <v>616090.25199999998</v>
      </c>
      <c r="D935">
        <v>3097218.8569999998</v>
      </c>
      <c r="E935">
        <v>632.16949999999997</v>
      </c>
      <c r="F935">
        <v>5.2</v>
      </c>
      <c r="G935">
        <v>0</v>
      </c>
      <c r="H935" t="s">
        <v>191</v>
      </c>
      <c r="I935">
        <v>5.7000000000000002E-2</v>
      </c>
      <c r="J935">
        <f t="shared" si="475"/>
        <v>1</v>
      </c>
      <c r="K935">
        <f t="shared" si="476"/>
        <v>51</v>
      </c>
      <c r="L935" t="e">
        <f t="shared" ca="1" si="477"/>
        <v>#VALUE!</v>
      </c>
      <c r="M935" t="e">
        <f t="shared" ca="1" si="450"/>
        <v>#VALUE!</v>
      </c>
      <c r="N935" t="e">
        <f t="shared" ca="1" si="451"/>
        <v>#VALUE!</v>
      </c>
      <c r="O935" t="e">
        <f t="shared" ca="1" si="452"/>
        <v>#VALUE!</v>
      </c>
      <c r="P935" t="e">
        <f t="shared" ca="1" si="453"/>
        <v>#VALUE!</v>
      </c>
      <c r="Q935" t="e">
        <f t="shared" ca="1" si="454"/>
        <v>#VALUE!</v>
      </c>
      <c r="R935" t="e">
        <f t="shared" ca="1" si="455"/>
        <v>#VALUE!</v>
      </c>
      <c r="S935" t="e">
        <f t="shared" ca="1" si="456"/>
        <v>#VALUE!</v>
      </c>
      <c r="T935" t="e">
        <f t="shared" ca="1" si="457"/>
        <v>#VALUE!</v>
      </c>
      <c r="U935" t="e">
        <f t="shared" ca="1" si="478"/>
        <v>#VALUE!</v>
      </c>
      <c r="V935" t="e">
        <f t="shared" ca="1" si="479"/>
        <v>#VALUE!</v>
      </c>
      <c r="W935" t="e">
        <f t="shared" ca="1" si="458"/>
        <v>#VALUE!</v>
      </c>
      <c r="X935" t="e">
        <f t="shared" ca="1" si="459"/>
        <v>#VALUE!</v>
      </c>
      <c r="Y935" t="e">
        <f t="shared" ca="1" si="460"/>
        <v>#VALUE!</v>
      </c>
      <c r="Z935" t="e">
        <f t="shared" ca="1" si="461"/>
        <v>#VALUE!</v>
      </c>
      <c r="AA935" t="e">
        <f t="shared" ca="1" si="462"/>
        <v>#VALUE!</v>
      </c>
      <c r="AB935" t="e">
        <f t="shared" ca="1" si="463"/>
        <v>#VALUE!</v>
      </c>
      <c r="AC935" t="e">
        <f t="shared" ca="1" si="464"/>
        <v>#VALUE!</v>
      </c>
      <c r="AD935" t="e">
        <f t="shared" ca="1" si="465"/>
        <v>#VALUE!</v>
      </c>
      <c r="AE935" t="e">
        <f t="shared" ca="1" si="466"/>
        <v>#VALUE!</v>
      </c>
      <c r="AF935" t="e">
        <f t="shared" ca="1" si="467"/>
        <v>#VALUE!</v>
      </c>
      <c r="AG935" t="e">
        <f t="shared" ca="1" si="468"/>
        <v>#VALUE!</v>
      </c>
      <c r="AH935" t="e">
        <f ca="1">IF(V32="Supercritical",L935,IF(V32="Subcritical",W935,IF(AND(V935=1,AG935=1),IF(T935&gt;=AE935,L935,W935),IF(V935=1,L935,IF(AG935=1,W935,MAX($D$16,POWER((ABS(K935)^2)/($I$5*MAX(F935,0.1)^2),1/3)))))))</f>
        <v>#VALUE!</v>
      </c>
      <c r="AI935" t="e">
        <f t="shared" ca="1" si="469"/>
        <v>#VALUE!</v>
      </c>
      <c r="AJ935" t="e">
        <f t="shared" ca="1" si="470"/>
        <v>#VALUE!</v>
      </c>
      <c r="AM935">
        <v>0</v>
      </c>
      <c r="AN935">
        <v>0</v>
      </c>
      <c r="AO935">
        <f t="shared" si="471"/>
        <v>0</v>
      </c>
      <c r="AP935">
        <f t="shared" si="480"/>
        <v>0</v>
      </c>
      <c r="AQ935" t="e">
        <f t="shared" ca="1" si="472"/>
        <v>#VALUE!</v>
      </c>
      <c r="AR935" t="e">
        <f t="shared" ca="1" si="473"/>
        <v>#VALUE!</v>
      </c>
      <c r="AS935" t="e">
        <f t="shared" ca="1" si="474"/>
        <v>#VALUE!</v>
      </c>
    </row>
    <row r="936" spans="1:45" x14ac:dyDescent="0.35">
      <c r="A936">
        <v>787</v>
      </c>
      <c r="B936">
        <v>785.88900000000001</v>
      </c>
      <c r="C936">
        <v>616090.20900000003</v>
      </c>
      <c r="D936">
        <v>3097217.858</v>
      </c>
      <c r="E936">
        <v>632.16899999999998</v>
      </c>
      <c r="F936">
        <v>5.2</v>
      </c>
      <c r="G936">
        <v>0</v>
      </c>
      <c r="H936" t="s">
        <v>191</v>
      </c>
      <c r="I936">
        <v>0.06</v>
      </c>
      <c r="J936">
        <f t="shared" si="475"/>
        <v>1</v>
      </c>
      <c r="K936">
        <f t="shared" si="476"/>
        <v>51</v>
      </c>
      <c r="L936" t="e">
        <f t="shared" ca="1" si="477"/>
        <v>#VALUE!</v>
      </c>
      <c r="M936" t="e">
        <f t="shared" ca="1" si="450"/>
        <v>#VALUE!</v>
      </c>
      <c r="N936" t="e">
        <f t="shared" ca="1" si="451"/>
        <v>#VALUE!</v>
      </c>
      <c r="O936" t="e">
        <f t="shared" ca="1" si="452"/>
        <v>#VALUE!</v>
      </c>
      <c r="P936" t="e">
        <f t="shared" ca="1" si="453"/>
        <v>#VALUE!</v>
      </c>
      <c r="Q936" t="e">
        <f t="shared" ca="1" si="454"/>
        <v>#VALUE!</v>
      </c>
      <c r="R936" t="e">
        <f t="shared" ca="1" si="455"/>
        <v>#VALUE!</v>
      </c>
      <c r="S936" t="e">
        <f t="shared" ca="1" si="456"/>
        <v>#VALUE!</v>
      </c>
      <c r="T936" t="e">
        <f t="shared" ca="1" si="457"/>
        <v>#VALUE!</v>
      </c>
      <c r="U936" t="e">
        <f t="shared" ca="1" si="478"/>
        <v>#VALUE!</v>
      </c>
      <c r="V936" t="e">
        <f t="shared" ca="1" si="479"/>
        <v>#VALUE!</v>
      </c>
      <c r="W936" t="e">
        <f t="shared" ca="1" si="458"/>
        <v>#VALUE!</v>
      </c>
      <c r="X936" t="e">
        <f t="shared" ca="1" si="459"/>
        <v>#VALUE!</v>
      </c>
      <c r="Y936" t="e">
        <f t="shared" ca="1" si="460"/>
        <v>#VALUE!</v>
      </c>
      <c r="Z936" t="e">
        <f t="shared" ca="1" si="461"/>
        <v>#VALUE!</v>
      </c>
      <c r="AA936" t="e">
        <f t="shared" ca="1" si="462"/>
        <v>#VALUE!</v>
      </c>
      <c r="AB936" t="e">
        <f t="shared" ca="1" si="463"/>
        <v>#VALUE!</v>
      </c>
      <c r="AC936" t="e">
        <f t="shared" ca="1" si="464"/>
        <v>#VALUE!</v>
      </c>
      <c r="AD936" t="e">
        <f t="shared" ca="1" si="465"/>
        <v>#VALUE!</v>
      </c>
      <c r="AE936" t="e">
        <f t="shared" ca="1" si="466"/>
        <v>#VALUE!</v>
      </c>
      <c r="AF936" t="e">
        <f t="shared" ca="1" si="467"/>
        <v>#VALUE!</v>
      </c>
      <c r="AG936" t="e">
        <f t="shared" ca="1" si="468"/>
        <v>#VALUE!</v>
      </c>
      <c r="AH936" t="e">
        <f ca="1">IF(V32="Supercritical",L936,IF(V32="Subcritical",W936,IF(AND(V936=1,AG936=1),IF(T936&gt;=AE936,L936,W936),IF(V936=1,L936,IF(AG936=1,W936,MAX($D$16,POWER((ABS(K936)^2)/($I$5*MAX(F936,0.1)^2),1/3)))))))</f>
        <v>#VALUE!</v>
      </c>
      <c r="AI936" t="e">
        <f t="shared" ca="1" si="469"/>
        <v>#VALUE!</v>
      </c>
      <c r="AJ936" t="e">
        <f t="shared" ca="1" si="470"/>
        <v>#VALUE!</v>
      </c>
      <c r="AM936">
        <v>0</v>
      </c>
      <c r="AN936">
        <v>0</v>
      </c>
      <c r="AO936">
        <f t="shared" si="471"/>
        <v>0</v>
      </c>
      <c r="AP936">
        <f t="shared" si="480"/>
        <v>0</v>
      </c>
      <c r="AQ936" t="e">
        <f t="shared" ca="1" si="472"/>
        <v>#VALUE!</v>
      </c>
      <c r="AR936" t="e">
        <f t="shared" ca="1" si="473"/>
        <v>#VALUE!</v>
      </c>
      <c r="AS936" t="e">
        <f t="shared" ca="1" si="474"/>
        <v>#VALUE!</v>
      </c>
    </row>
    <row r="937" spans="1:45" x14ac:dyDescent="0.35">
      <c r="A937">
        <v>788</v>
      </c>
      <c r="B937">
        <v>786.89</v>
      </c>
      <c r="C937">
        <v>616090.16700000002</v>
      </c>
      <c r="D937">
        <v>3097216.858</v>
      </c>
      <c r="E937">
        <v>632.16849999999999</v>
      </c>
      <c r="F937">
        <v>5.2</v>
      </c>
      <c r="G937">
        <v>0</v>
      </c>
      <c r="H937" t="s">
        <v>191</v>
      </c>
      <c r="I937">
        <v>2E-3</v>
      </c>
      <c r="J937">
        <f t="shared" si="475"/>
        <v>1.0009999999999764</v>
      </c>
      <c r="K937">
        <f t="shared" si="476"/>
        <v>51</v>
      </c>
      <c r="L937" t="e">
        <f t="shared" ca="1" si="477"/>
        <v>#VALUE!</v>
      </c>
      <c r="M937" t="e">
        <f t="shared" ca="1" si="450"/>
        <v>#VALUE!</v>
      </c>
      <c r="N937" t="e">
        <f t="shared" ca="1" si="451"/>
        <v>#VALUE!</v>
      </c>
      <c r="O937" t="e">
        <f t="shared" ca="1" si="452"/>
        <v>#VALUE!</v>
      </c>
      <c r="P937" t="e">
        <f t="shared" ca="1" si="453"/>
        <v>#VALUE!</v>
      </c>
      <c r="Q937" t="e">
        <f t="shared" ca="1" si="454"/>
        <v>#VALUE!</v>
      </c>
      <c r="R937" t="e">
        <f t="shared" ca="1" si="455"/>
        <v>#VALUE!</v>
      </c>
      <c r="S937" t="e">
        <f t="shared" ca="1" si="456"/>
        <v>#VALUE!</v>
      </c>
      <c r="T937" t="e">
        <f t="shared" ca="1" si="457"/>
        <v>#VALUE!</v>
      </c>
      <c r="U937" t="e">
        <f t="shared" ca="1" si="478"/>
        <v>#VALUE!</v>
      </c>
      <c r="V937" t="e">
        <f t="shared" ca="1" si="479"/>
        <v>#VALUE!</v>
      </c>
      <c r="W937" t="e">
        <f t="shared" ca="1" si="458"/>
        <v>#VALUE!</v>
      </c>
      <c r="X937" t="e">
        <f t="shared" ca="1" si="459"/>
        <v>#VALUE!</v>
      </c>
      <c r="Y937" t="e">
        <f t="shared" ca="1" si="460"/>
        <v>#VALUE!</v>
      </c>
      <c r="Z937" t="e">
        <f t="shared" ca="1" si="461"/>
        <v>#VALUE!</v>
      </c>
      <c r="AA937" t="e">
        <f t="shared" ca="1" si="462"/>
        <v>#VALUE!</v>
      </c>
      <c r="AB937" t="e">
        <f t="shared" ca="1" si="463"/>
        <v>#VALUE!</v>
      </c>
      <c r="AC937" t="e">
        <f t="shared" ca="1" si="464"/>
        <v>#VALUE!</v>
      </c>
      <c r="AD937" t="e">
        <f t="shared" ca="1" si="465"/>
        <v>#VALUE!</v>
      </c>
      <c r="AE937" t="e">
        <f t="shared" ca="1" si="466"/>
        <v>#VALUE!</v>
      </c>
      <c r="AF937" t="e">
        <f t="shared" ca="1" si="467"/>
        <v>#VALUE!</v>
      </c>
      <c r="AG937" t="e">
        <f t="shared" ca="1" si="468"/>
        <v>#VALUE!</v>
      </c>
      <c r="AH937" t="e">
        <f ca="1">IF(V32="Supercritical",L937,IF(V32="Subcritical",W937,IF(AND(V937=1,AG937=1),IF(T937&gt;=AE937,L937,W937),IF(V937=1,L937,IF(AG937=1,W937,MAX($D$16,POWER((ABS(K937)^2)/($I$5*MAX(F937,0.1)^2),1/3)))))))</f>
        <v>#VALUE!</v>
      </c>
      <c r="AI937" t="e">
        <f t="shared" ca="1" si="469"/>
        <v>#VALUE!</v>
      </c>
      <c r="AJ937" t="e">
        <f t="shared" ca="1" si="470"/>
        <v>#VALUE!</v>
      </c>
      <c r="AM937">
        <v>0</v>
      </c>
      <c r="AN937">
        <v>0</v>
      </c>
      <c r="AO937">
        <f t="shared" si="471"/>
        <v>0</v>
      </c>
      <c r="AP937">
        <f t="shared" si="480"/>
        <v>0</v>
      </c>
      <c r="AQ937" t="e">
        <f t="shared" ca="1" si="472"/>
        <v>#VALUE!</v>
      </c>
      <c r="AR937" t="e">
        <f t="shared" ca="1" si="473"/>
        <v>#VALUE!</v>
      </c>
      <c r="AS937" t="e">
        <f t="shared" ca="1" si="474"/>
        <v>#VALUE!</v>
      </c>
    </row>
    <row r="938" spans="1:45" x14ac:dyDescent="0.35">
      <c r="A938">
        <v>789</v>
      </c>
      <c r="B938">
        <v>787.89</v>
      </c>
      <c r="C938">
        <v>616090.125</v>
      </c>
      <c r="D938">
        <v>3097215.8590000002</v>
      </c>
      <c r="E938">
        <v>632.16800000000001</v>
      </c>
      <c r="F938">
        <v>5.2</v>
      </c>
      <c r="G938">
        <v>0</v>
      </c>
      <c r="H938" t="s">
        <v>191</v>
      </c>
      <c r="I938">
        <v>0</v>
      </c>
      <c r="J938">
        <f t="shared" si="475"/>
        <v>1</v>
      </c>
      <c r="K938">
        <f t="shared" si="476"/>
        <v>51</v>
      </c>
      <c r="L938" t="e">
        <f t="shared" ca="1" si="477"/>
        <v>#VALUE!</v>
      </c>
      <c r="M938" t="e">
        <f t="shared" ca="1" si="450"/>
        <v>#VALUE!</v>
      </c>
      <c r="N938" t="e">
        <f t="shared" ca="1" si="451"/>
        <v>#VALUE!</v>
      </c>
      <c r="O938" t="e">
        <f t="shared" ca="1" si="452"/>
        <v>#VALUE!</v>
      </c>
      <c r="P938" t="e">
        <f t="shared" ca="1" si="453"/>
        <v>#VALUE!</v>
      </c>
      <c r="Q938" t="e">
        <f t="shared" ca="1" si="454"/>
        <v>#VALUE!</v>
      </c>
      <c r="R938" t="e">
        <f t="shared" ca="1" si="455"/>
        <v>#VALUE!</v>
      </c>
      <c r="S938" t="e">
        <f t="shared" ca="1" si="456"/>
        <v>#VALUE!</v>
      </c>
      <c r="T938" t="e">
        <f t="shared" ca="1" si="457"/>
        <v>#VALUE!</v>
      </c>
      <c r="U938" t="e">
        <f t="shared" ca="1" si="478"/>
        <v>#VALUE!</v>
      </c>
      <c r="V938" t="e">
        <f t="shared" ca="1" si="479"/>
        <v>#VALUE!</v>
      </c>
      <c r="W938" t="e">
        <f t="shared" ca="1" si="458"/>
        <v>#VALUE!</v>
      </c>
      <c r="X938" t="e">
        <f t="shared" ca="1" si="459"/>
        <v>#VALUE!</v>
      </c>
      <c r="Y938" t="e">
        <f t="shared" ca="1" si="460"/>
        <v>#VALUE!</v>
      </c>
      <c r="Z938" t="e">
        <f t="shared" ca="1" si="461"/>
        <v>#VALUE!</v>
      </c>
      <c r="AA938" t="e">
        <f t="shared" ca="1" si="462"/>
        <v>#VALUE!</v>
      </c>
      <c r="AB938" t="e">
        <f t="shared" ca="1" si="463"/>
        <v>#VALUE!</v>
      </c>
      <c r="AC938" t="e">
        <f t="shared" ca="1" si="464"/>
        <v>#VALUE!</v>
      </c>
      <c r="AD938" t="e">
        <f t="shared" ca="1" si="465"/>
        <v>#VALUE!</v>
      </c>
      <c r="AE938" t="e">
        <f t="shared" ca="1" si="466"/>
        <v>#VALUE!</v>
      </c>
      <c r="AF938" t="e">
        <f t="shared" ca="1" si="467"/>
        <v>#VALUE!</v>
      </c>
      <c r="AG938" t="e">
        <f t="shared" ca="1" si="468"/>
        <v>#VALUE!</v>
      </c>
      <c r="AH938" t="e">
        <f ca="1">IF(V32="Supercritical",L938,IF(V32="Subcritical",W938,IF(AND(V938=1,AG938=1),IF(T938&gt;=AE938,L938,W938),IF(V938=1,L938,IF(AG938=1,W938,MAX($D$16,POWER((ABS(K938)^2)/($I$5*MAX(F938,0.1)^2),1/3)))))))</f>
        <v>#VALUE!</v>
      </c>
      <c r="AI938" t="e">
        <f t="shared" ca="1" si="469"/>
        <v>#VALUE!</v>
      </c>
      <c r="AJ938" t="e">
        <f t="shared" ca="1" si="470"/>
        <v>#VALUE!</v>
      </c>
      <c r="AM938">
        <v>0</v>
      </c>
      <c r="AN938">
        <v>0</v>
      </c>
      <c r="AO938">
        <f t="shared" si="471"/>
        <v>0</v>
      </c>
      <c r="AP938">
        <f t="shared" si="480"/>
        <v>0</v>
      </c>
      <c r="AQ938" t="e">
        <f t="shared" ca="1" si="472"/>
        <v>#VALUE!</v>
      </c>
      <c r="AR938" t="e">
        <f t="shared" ca="1" si="473"/>
        <v>#VALUE!</v>
      </c>
      <c r="AS938" t="e">
        <f t="shared" ca="1" si="474"/>
        <v>#VALUE!</v>
      </c>
    </row>
    <row r="939" spans="1:45" x14ac:dyDescent="0.35">
      <c r="A939">
        <v>790</v>
      </c>
      <c r="B939">
        <v>788.88900000000001</v>
      </c>
      <c r="C939">
        <v>616090.08299999998</v>
      </c>
      <c r="D939">
        <v>3097214.86</v>
      </c>
      <c r="E939">
        <v>632.16750000000002</v>
      </c>
      <c r="F939">
        <v>5.2</v>
      </c>
      <c r="G939">
        <v>0</v>
      </c>
      <c r="H939" t="s">
        <v>191</v>
      </c>
      <c r="I939">
        <v>5.7000000000000002E-2</v>
      </c>
      <c r="J939">
        <f t="shared" si="475"/>
        <v>0.99900000000002365</v>
      </c>
      <c r="K939">
        <f t="shared" si="476"/>
        <v>51</v>
      </c>
      <c r="L939" t="e">
        <f t="shared" ca="1" si="477"/>
        <v>#VALUE!</v>
      </c>
      <c r="M939" t="e">
        <f t="shared" ca="1" si="450"/>
        <v>#VALUE!</v>
      </c>
      <c r="N939" t="e">
        <f t="shared" ca="1" si="451"/>
        <v>#VALUE!</v>
      </c>
      <c r="O939" t="e">
        <f t="shared" ca="1" si="452"/>
        <v>#VALUE!</v>
      </c>
      <c r="P939" t="e">
        <f t="shared" ca="1" si="453"/>
        <v>#VALUE!</v>
      </c>
      <c r="Q939" t="e">
        <f t="shared" ca="1" si="454"/>
        <v>#VALUE!</v>
      </c>
      <c r="R939" t="e">
        <f t="shared" ca="1" si="455"/>
        <v>#VALUE!</v>
      </c>
      <c r="S939" t="e">
        <f t="shared" ca="1" si="456"/>
        <v>#VALUE!</v>
      </c>
      <c r="T939" t="e">
        <f t="shared" ca="1" si="457"/>
        <v>#VALUE!</v>
      </c>
      <c r="U939" t="e">
        <f t="shared" ca="1" si="478"/>
        <v>#VALUE!</v>
      </c>
      <c r="V939" t="e">
        <f t="shared" ca="1" si="479"/>
        <v>#VALUE!</v>
      </c>
      <c r="W939" t="e">
        <f t="shared" ca="1" si="458"/>
        <v>#VALUE!</v>
      </c>
      <c r="X939" t="e">
        <f t="shared" ca="1" si="459"/>
        <v>#VALUE!</v>
      </c>
      <c r="Y939" t="e">
        <f t="shared" ca="1" si="460"/>
        <v>#VALUE!</v>
      </c>
      <c r="Z939" t="e">
        <f t="shared" ca="1" si="461"/>
        <v>#VALUE!</v>
      </c>
      <c r="AA939" t="e">
        <f t="shared" ca="1" si="462"/>
        <v>#VALUE!</v>
      </c>
      <c r="AB939" t="e">
        <f t="shared" ca="1" si="463"/>
        <v>#VALUE!</v>
      </c>
      <c r="AC939" t="e">
        <f t="shared" ca="1" si="464"/>
        <v>#VALUE!</v>
      </c>
      <c r="AD939" t="e">
        <f t="shared" ca="1" si="465"/>
        <v>#VALUE!</v>
      </c>
      <c r="AE939" t="e">
        <f t="shared" ca="1" si="466"/>
        <v>#VALUE!</v>
      </c>
      <c r="AF939" t="e">
        <f t="shared" ca="1" si="467"/>
        <v>#VALUE!</v>
      </c>
      <c r="AG939" t="e">
        <f t="shared" ca="1" si="468"/>
        <v>#VALUE!</v>
      </c>
      <c r="AH939" t="e">
        <f ca="1">IF(V32="Supercritical",L939,IF(V32="Subcritical",W939,IF(AND(V939=1,AG939=1),IF(T939&gt;=AE939,L939,W939),IF(V939=1,L939,IF(AG939=1,W939,MAX($D$16,POWER((ABS(K939)^2)/($I$5*MAX(F939,0.1)^2),1/3)))))))</f>
        <v>#VALUE!</v>
      </c>
      <c r="AI939" t="e">
        <f t="shared" ca="1" si="469"/>
        <v>#VALUE!</v>
      </c>
      <c r="AJ939" t="e">
        <f t="shared" ca="1" si="470"/>
        <v>#VALUE!</v>
      </c>
      <c r="AM939">
        <v>0</v>
      </c>
      <c r="AN939">
        <v>0</v>
      </c>
      <c r="AO939">
        <f t="shared" si="471"/>
        <v>0</v>
      </c>
      <c r="AP939">
        <f t="shared" si="480"/>
        <v>0</v>
      </c>
      <c r="AQ939" t="e">
        <f t="shared" ca="1" si="472"/>
        <v>#VALUE!</v>
      </c>
      <c r="AR939" t="e">
        <f t="shared" ca="1" si="473"/>
        <v>#VALUE!</v>
      </c>
      <c r="AS939" t="e">
        <f t="shared" ca="1" si="474"/>
        <v>#VALUE!</v>
      </c>
    </row>
    <row r="940" spans="1:45" x14ac:dyDescent="0.35">
      <c r="A940">
        <v>791</v>
      </c>
      <c r="B940">
        <v>789.88900000000001</v>
      </c>
      <c r="C940">
        <v>616090.04</v>
      </c>
      <c r="D940">
        <v>3097213.861</v>
      </c>
      <c r="E940">
        <v>632.16700000000003</v>
      </c>
      <c r="F940">
        <v>5.2</v>
      </c>
      <c r="G940">
        <v>0</v>
      </c>
      <c r="H940" t="s">
        <v>191</v>
      </c>
      <c r="I940">
        <v>5.7000000000000002E-2</v>
      </c>
      <c r="J940">
        <f t="shared" si="475"/>
        <v>1</v>
      </c>
      <c r="K940">
        <f t="shared" si="476"/>
        <v>51</v>
      </c>
      <c r="L940" t="e">
        <f t="shared" ca="1" si="477"/>
        <v>#VALUE!</v>
      </c>
      <c r="M940" t="e">
        <f t="shared" ca="1" si="450"/>
        <v>#VALUE!</v>
      </c>
      <c r="N940" t="e">
        <f t="shared" ca="1" si="451"/>
        <v>#VALUE!</v>
      </c>
      <c r="O940" t="e">
        <f t="shared" ca="1" si="452"/>
        <v>#VALUE!</v>
      </c>
      <c r="P940" t="e">
        <f t="shared" ca="1" si="453"/>
        <v>#VALUE!</v>
      </c>
      <c r="Q940" t="e">
        <f t="shared" ca="1" si="454"/>
        <v>#VALUE!</v>
      </c>
      <c r="R940" t="e">
        <f t="shared" ca="1" si="455"/>
        <v>#VALUE!</v>
      </c>
      <c r="S940" t="e">
        <f t="shared" ca="1" si="456"/>
        <v>#VALUE!</v>
      </c>
      <c r="T940" t="e">
        <f t="shared" ca="1" si="457"/>
        <v>#VALUE!</v>
      </c>
      <c r="U940" t="e">
        <f t="shared" ca="1" si="478"/>
        <v>#VALUE!</v>
      </c>
      <c r="V940" t="e">
        <f t="shared" ca="1" si="479"/>
        <v>#VALUE!</v>
      </c>
      <c r="W940" t="e">
        <f t="shared" ca="1" si="458"/>
        <v>#VALUE!</v>
      </c>
      <c r="X940" t="e">
        <f t="shared" ca="1" si="459"/>
        <v>#VALUE!</v>
      </c>
      <c r="Y940" t="e">
        <f t="shared" ca="1" si="460"/>
        <v>#VALUE!</v>
      </c>
      <c r="Z940" t="e">
        <f t="shared" ca="1" si="461"/>
        <v>#VALUE!</v>
      </c>
      <c r="AA940" t="e">
        <f t="shared" ca="1" si="462"/>
        <v>#VALUE!</v>
      </c>
      <c r="AB940" t="e">
        <f t="shared" ca="1" si="463"/>
        <v>#VALUE!</v>
      </c>
      <c r="AC940" t="e">
        <f t="shared" ca="1" si="464"/>
        <v>#VALUE!</v>
      </c>
      <c r="AD940" t="e">
        <f t="shared" ca="1" si="465"/>
        <v>#VALUE!</v>
      </c>
      <c r="AE940" t="e">
        <f t="shared" ca="1" si="466"/>
        <v>#VALUE!</v>
      </c>
      <c r="AF940" t="e">
        <f t="shared" ca="1" si="467"/>
        <v>#VALUE!</v>
      </c>
      <c r="AG940" t="e">
        <f t="shared" ca="1" si="468"/>
        <v>#VALUE!</v>
      </c>
      <c r="AH940" t="e">
        <f ca="1">IF(V32="Supercritical",L940,IF(V32="Subcritical",W940,IF(AND(V940=1,AG940=1),IF(T940&gt;=AE940,L940,W940),IF(V940=1,L940,IF(AG940=1,W940,MAX($D$16,POWER((ABS(K940)^2)/($I$5*MAX(F940,0.1)^2),1/3)))))))</f>
        <v>#VALUE!</v>
      </c>
      <c r="AI940" t="e">
        <f t="shared" ca="1" si="469"/>
        <v>#VALUE!</v>
      </c>
      <c r="AJ940" t="e">
        <f t="shared" ca="1" si="470"/>
        <v>#VALUE!</v>
      </c>
      <c r="AM940">
        <v>0</v>
      </c>
      <c r="AN940">
        <v>0</v>
      </c>
      <c r="AO940">
        <f t="shared" si="471"/>
        <v>0</v>
      </c>
      <c r="AP940">
        <f t="shared" si="480"/>
        <v>0</v>
      </c>
      <c r="AQ940" t="e">
        <f t="shared" ca="1" si="472"/>
        <v>#VALUE!</v>
      </c>
      <c r="AR940" t="e">
        <f t="shared" ca="1" si="473"/>
        <v>#VALUE!</v>
      </c>
      <c r="AS940" t="e">
        <f t="shared" ca="1" si="474"/>
        <v>#VALUE!</v>
      </c>
    </row>
    <row r="941" spans="1:45" x14ac:dyDescent="0.35">
      <c r="A941">
        <v>792</v>
      </c>
      <c r="B941">
        <v>790.88900000000001</v>
      </c>
      <c r="C941">
        <v>616089.99800000002</v>
      </c>
      <c r="D941">
        <v>3097212.8620000002</v>
      </c>
      <c r="E941">
        <v>632.16650000000004</v>
      </c>
      <c r="F941">
        <v>5.2</v>
      </c>
      <c r="G941">
        <v>0</v>
      </c>
      <c r="H941" t="s">
        <v>191</v>
      </c>
      <c r="I941">
        <v>0</v>
      </c>
      <c r="J941">
        <f t="shared" si="475"/>
        <v>1</v>
      </c>
      <c r="K941">
        <f t="shared" si="476"/>
        <v>51</v>
      </c>
      <c r="L941" t="e">
        <f t="shared" ca="1" si="477"/>
        <v>#VALUE!</v>
      </c>
      <c r="M941" t="e">
        <f t="shared" ca="1" si="450"/>
        <v>#VALUE!</v>
      </c>
      <c r="N941" t="e">
        <f t="shared" ca="1" si="451"/>
        <v>#VALUE!</v>
      </c>
      <c r="O941" t="e">
        <f t="shared" ca="1" si="452"/>
        <v>#VALUE!</v>
      </c>
      <c r="P941" t="e">
        <f t="shared" ca="1" si="453"/>
        <v>#VALUE!</v>
      </c>
      <c r="Q941" t="e">
        <f t="shared" ca="1" si="454"/>
        <v>#VALUE!</v>
      </c>
      <c r="R941" t="e">
        <f t="shared" ca="1" si="455"/>
        <v>#VALUE!</v>
      </c>
      <c r="S941" t="e">
        <f t="shared" ca="1" si="456"/>
        <v>#VALUE!</v>
      </c>
      <c r="T941" t="e">
        <f t="shared" ca="1" si="457"/>
        <v>#VALUE!</v>
      </c>
      <c r="U941" t="e">
        <f t="shared" ca="1" si="478"/>
        <v>#VALUE!</v>
      </c>
      <c r="V941" t="e">
        <f t="shared" ca="1" si="479"/>
        <v>#VALUE!</v>
      </c>
      <c r="W941" t="e">
        <f t="shared" ca="1" si="458"/>
        <v>#VALUE!</v>
      </c>
      <c r="X941" t="e">
        <f t="shared" ca="1" si="459"/>
        <v>#VALUE!</v>
      </c>
      <c r="Y941" t="e">
        <f t="shared" ca="1" si="460"/>
        <v>#VALUE!</v>
      </c>
      <c r="Z941" t="e">
        <f t="shared" ca="1" si="461"/>
        <v>#VALUE!</v>
      </c>
      <c r="AA941" t="e">
        <f t="shared" ca="1" si="462"/>
        <v>#VALUE!</v>
      </c>
      <c r="AB941" t="e">
        <f t="shared" ca="1" si="463"/>
        <v>#VALUE!</v>
      </c>
      <c r="AC941" t="e">
        <f t="shared" ca="1" si="464"/>
        <v>#VALUE!</v>
      </c>
      <c r="AD941" t="e">
        <f t="shared" ca="1" si="465"/>
        <v>#VALUE!</v>
      </c>
      <c r="AE941" t="e">
        <f t="shared" ca="1" si="466"/>
        <v>#VALUE!</v>
      </c>
      <c r="AF941" t="e">
        <f t="shared" ca="1" si="467"/>
        <v>#VALUE!</v>
      </c>
      <c r="AG941" t="e">
        <f t="shared" ca="1" si="468"/>
        <v>#VALUE!</v>
      </c>
      <c r="AH941" t="e">
        <f ca="1">IF(V32="Supercritical",L941,IF(V32="Subcritical",W941,IF(AND(V941=1,AG941=1),IF(T941&gt;=AE941,L941,W941),IF(V941=1,L941,IF(AG941=1,W941,MAX($D$16,POWER((ABS(K941)^2)/($I$5*MAX(F941,0.1)^2),1/3)))))))</f>
        <v>#VALUE!</v>
      </c>
      <c r="AI941" t="e">
        <f t="shared" ca="1" si="469"/>
        <v>#VALUE!</v>
      </c>
      <c r="AJ941" t="e">
        <f t="shared" ca="1" si="470"/>
        <v>#VALUE!</v>
      </c>
      <c r="AM941">
        <v>0</v>
      </c>
      <c r="AN941">
        <v>0</v>
      </c>
      <c r="AO941">
        <f t="shared" si="471"/>
        <v>0</v>
      </c>
      <c r="AP941">
        <f t="shared" si="480"/>
        <v>0</v>
      </c>
      <c r="AQ941" t="e">
        <f t="shared" ca="1" si="472"/>
        <v>#VALUE!</v>
      </c>
      <c r="AR941" t="e">
        <f t="shared" ca="1" si="473"/>
        <v>#VALUE!</v>
      </c>
      <c r="AS941" t="e">
        <f t="shared" ca="1" si="474"/>
        <v>#VALUE!</v>
      </c>
    </row>
    <row r="942" spans="1:45" x14ac:dyDescent="0.35">
      <c r="A942">
        <v>793</v>
      </c>
      <c r="B942">
        <v>791.88900000000001</v>
      </c>
      <c r="C942">
        <v>616089.95600000001</v>
      </c>
      <c r="D942">
        <v>3097211.8629999999</v>
      </c>
      <c r="E942">
        <v>632.16600000000005</v>
      </c>
      <c r="F942">
        <v>5.2</v>
      </c>
      <c r="G942">
        <v>0</v>
      </c>
      <c r="H942" t="s">
        <v>191</v>
      </c>
      <c r="I942">
        <v>0</v>
      </c>
      <c r="J942">
        <f t="shared" si="475"/>
        <v>1</v>
      </c>
      <c r="K942">
        <f t="shared" si="476"/>
        <v>51</v>
      </c>
      <c r="L942" t="e">
        <f t="shared" ca="1" si="477"/>
        <v>#VALUE!</v>
      </c>
      <c r="M942" t="e">
        <f t="shared" ca="1" si="450"/>
        <v>#VALUE!</v>
      </c>
      <c r="N942" t="e">
        <f t="shared" ca="1" si="451"/>
        <v>#VALUE!</v>
      </c>
      <c r="O942" t="e">
        <f t="shared" ca="1" si="452"/>
        <v>#VALUE!</v>
      </c>
      <c r="P942" t="e">
        <f t="shared" ca="1" si="453"/>
        <v>#VALUE!</v>
      </c>
      <c r="Q942" t="e">
        <f t="shared" ca="1" si="454"/>
        <v>#VALUE!</v>
      </c>
      <c r="R942" t="e">
        <f t="shared" ca="1" si="455"/>
        <v>#VALUE!</v>
      </c>
      <c r="S942" t="e">
        <f t="shared" ca="1" si="456"/>
        <v>#VALUE!</v>
      </c>
      <c r="T942" t="e">
        <f t="shared" ca="1" si="457"/>
        <v>#VALUE!</v>
      </c>
      <c r="U942" t="e">
        <f t="shared" ca="1" si="478"/>
        <v>#VALUE!</v>
      </c>
      <c r="V942" t="e">
        <f t="shared" ca="1" si="479"/>
        <v>#VALUE!</v>
      </c>
      <c r="W942" t="e">
        <f t="shared" ca="1" si="458"/>
        <v>#VALUE!</v>
      </c>
      <c r="X942" t="e">
        <f t="shared" ca="1" si="459"/>
        <v>#VALUE!</v>
      </c>
      <c r="Y942" t="e">
        <f t="shared" ca="1" si="460"/>
        <v>#VALUE!</v>
      </c>
      <c r="Z942" t="e">
        <f t="shared" ca="1" si="461"/>
        <v>#VALUE!</v>
      </c>
      <c r="AA942" t="e">
        <f t="shared" ca="1" si="462"/>
        <v>#VALUE!</v>
      </c>
      <c r="AB942" t="e">
        <f t="shared" ca="1" si="463"/>
        <v>#VALUE!</v>
      </c>
      <c r="AC942" t="e">
        <f t="shared" ca="1" si="464"/>
        <v>#VALUE!</v>
      </c>
      <c r="AD942" t="e">
        <f t="shared" ca="1" si="465"/>
        <v>#VALUE!</v>
      </c>
      <c r="AE942" t="e">
        <f t="shared" ca="1" si="466"/>
        <v>#VALUE!</v>
      </c>
      <c r="AF942" t="e">
        <f t="shared" ca="1" si="467"/>
        <v>#VALUE!</v>
      </c>
      <c r="AG942" t="e">
        <f t="shared" ca="1" si="468"/>
        <v>#VALUE!</v>
      </c>
      <c r="AH942" t="e">
        <f ca="1">IF(V32="Supercritical",L942,IF(V32="Subcritical",W942,IF(AND(V942=1,AG942=1),IF(T942&gt;=AE942,L942,W942),IF(V942=1,L942,IF(AG942=1,W942,MAX($D$16,POWER((ABS(K942)^2)/($I$5*MAX(F942,0.1)^2),1/3)))))))</f>
        <v>#VALUE!</v>
      </c>
      <c r="AI942" t="e">
        <f t="shared" ca="1" si="469"/>
        <v>#VALUE!</v>
      </c>
      <c r="AJ942" t="e">
        <f t="shared" ca="1" si="470"/>
        <v>#VALUE!</v>
      </c>
      <c r="AM942">
        <v>0</v>
      </c>
      <c r="AN942">
        <v>0</v>
      </c>
      <c r="AO942">
        <f t="shared" si="471"/>
        <v>0</v>
      </c>
      <c r="AP942">
        <f t="shared" si="480"/>
        <v>0</v>
      </c>
      <c r="AQ942" t="e">
        <f t="shared" ca="1" si="472"/>
        <v>#VALUE!</v>
      </c>
      <c r="AR942" t="e">
        <f t="shared" ca="1" si="473"/>
        <v>#VALUE!</v>
      </c>
      <c r="AS942" t="e">
        <f t="shared" ca="1" si="474"/>
        <v>#VALUE!</v>
      </c>
    </row>
    <row r="943" spans="1:45" x14ac:dyDescent="0.35">
      <c r="A943">
        <v>794</v>
      </c>
      <c r="B943">
        <v>792.88900000000001</v>
      </c>
      <c r="C943">
        <v>616089.91399999999</v>
      </c>
      <c r="D943">
        <v>3097210.8640000001</v>
      </c>
      <c r="E943">
        <v>632.16549999999995</v>
      </c>
      <c r="F943">
        <v>5.2</v>
      </c>
      <c r="G943">
        <v>0</v>
      </c>
      <c r="H943" t="s">
        <v>191</v>
      </c>
      <c r="I943">
        <v>5.7000000000000002E-2</v>
      </c>
      <c r="J943">
        <f t="shared" si="475"/>
        <v>1</v>
      </c>
      <c r="K943">
        <f t="shared" si="476"/>
        <v>51</v>
      </c>
      <c r="L943" t="e">
        <f t="shared" ca="1" si="477"/>
        <v>#VALUE!</v>
      </c>
      <c r="M943" t="e">
        <f t="shared" ca="1" si="450"/>
        <v>#VALUE!</v>
      </c>
      <c r="N943" t="e">
        <f t="shared" ca="1" si="451"/>
        <v>#VALUE!</v>
      </c>
      <c r="O943" t="e">
        <f t="shared" ca="1" si="452"/>
        <v>#VALUE!</v>
      </c>
      <c r="P943" t="e">
        <f t="shared" ca="1" si="453"/>
        <v>#VALUE!</v>
      </c>
      <c r="Q943" t="e">
        <f t="shared" ca="1" si="454"/>
        <v>#VALUE!</v>
      </c>
      <c r="R943" t="e">
        <f t="shared" ca="1" si="455"/>
        <v>#VALUE!</v>
      </c>
      <c r="S943" t="e">
        <f t="shared" ca="1" si="456"/>
        <v>#VALUE!</v>
      </c>
      <c r="T943" t="e">
        <f t="shared" ca="1" si="457"/>
        <v>#VALUE!</v>
      </c>
      <c r="U943" t="e">
        <f t="shared" ca="1" si="478"/>
        <v>#VALUE!</v>
      </c>
      <c r="V943" t="e">
        <f t="shared" ca="1" si="479"/>
        <v>#VALUE!</v>
      </c>
      <c r="W943" t="e">
        <f t="shared" ca="1" si="458"/>
        <v>#VALUE!</v>
      </c>
      <c r="X943" t="e">
        <f t="shared" ca="1" si="459"/>
        <v>#VALUE!</v>
      </c>
      <c r="Y943" t="e">
        <f t="shared" ca="1" si="460"/>
        <v>#VALUE!</v>
      </c>
      <c r="Z943" t="e">
        <f t="shared" ca="1" si="461"/>
        <v>#VALUE!</v>
      </c>
      <c r="AA943" t="e">
        <f t="shared" ca="1" si="462"/>
        <v>#VALUE!</v>
      </c>
      <c r="AB943" t="e">
        <f t="shared" ca="1" si="463"/>
        <v>#VALUE!</v>
      </c>
      <c r="AC943" t="e">
        <f t="shared" ca="1" si="464"/>
        <v>#VALUE!</v>
      </c>
      <c r="AD943" t="e">
        <f t="shared" ca="1" si="465"/>
        <v>#VALUE!</v>
      </c>
      <c r="AE943" t="e">
        <f t="shared" ca="1" si="466"/>
        <v>#VALUE!</v>
      </c>
      <c r="AF943" t="e">
        <f t="shared" ca="1" si="467"/>
        <v>#VALUE!</v>
      </c>
      <c r="AG943" t="e">
        <f t="shared" ca="1" si="468"/>
        <v>#VALUE!</v>
      </c>
      <c r="AH943" t="e">
        <f ca="1">IF(V32="Supercritical",L943,IF(V32="Subcritical",W943,IF(AND(V943=1,AG943=1),IF(T943&gt;=AE943,L943,W943),IF(V943=1,L943,IF(AG943=1,W943,MAX($D$16,POWER((ABS(K943)^2)/($I$5*MAX(F943,0.1)^2),1/3)))))))</f>
        <v>#VALUE!</v>
      </c>
      <c r="AI943" t="e">
        <f t="shared" ca="1" si="469"/>
        <v>#VALUE!</v>
      </c>
      <c r="AJ943" t="e">
        <f t="shared" ca="1" si="470"/>
        <v>#VALUE!</v>
      </c>
      <c r="AM943">
        <v>0</v>
      </c>
      <c r="AN943">
        <v>0</v>
      </c>
      <c r="AO943">
        <f t="shared" si="471"/>
        <v>0</v>
      </c>
      <c r="AP943">
        <f t="shared" si="480"/>
        <v>0</v>
      </c>
      <c r="AQ943" t="e">
        <f t="shared" ca="1" si="472"/>
        <v>#VALUE!</v>
      </c>
      <c r="AR943" t="e">
        <f t="shared" ca="1" si="473"/>
        <v>#VALUE!</v>
      </c>
      <c r="AS943" t="e">
        <f t="shared" ca="1" si="474"/>
        <v>#VALUE!</v>
      </c>
    </row>
    <row r="944" spans="1:45" x14ac:dyDescent="0.35">
      <c r="A944">
        <v>795</v>
      </c>
      <c r="B944">
        <v>793.88900000000001</v>
      </c>
      <c r="C944">
        <v>616089.87100000004</v>
      </c>
      <c r="D944">
        <v>3097209.8650000002</v>
      </c>
      <c r="E944">
        <v>632.16499999999996</v>
      </c>
      <c r="F944">
        <v>5.2</v>
      </c>
      <c r="G944">
        <v>0</v>
      </c>
      <c r="H944" t="s">
        <v>191</v>
      </c>
      <c r="I944">
        <v>5.7000000000000002E-2</v>
      </c>
      <c r="J944">
        <f t="shared" si="475"/>
        <v>1</v>
      </c>
      <c r="K944">
        <f t="shared" si="476"/>
        <v>51</v>
      </c>
      <c r="L944" t="e">
        <f t="shared" ca="1" si="477"/>
        <v>#VALUE!</v>
      </c>
      <c r="M944" t="e">
        <f t="shared" ca="1" si="450"/>
        <v>#VALUE!</v>
      </c>
      <c r="N944" t="e">
        <f t="shared" ca="1" si="451"/>
        <v>#VALUE!</v>
      </c>
      <c r="O944" t="e">
        <f t="shared" ca="1" si="452"/>
        <v>#VALUE!</v>
      </c>
      <c r="P944" t="e">
        <f t="shared" ca="1" si="453"/>
        <v>#VALUE!</v>
      </c>
      <c r="Q944" t="e">
        <f t="shared" ca="1" si="454"/>
        <v>#VALUE!</v>
      </c>
      <c r="R944" t="e">
        <f t="shared" ca="1" si="455"/>
        <v>#VALUE!</v>
      </c>
      <c r="S944" t="e">
        <f t="shared" ca="1" si="456"/>
        <v>#VALUE!</v>
      </c>
      <c r="T944" t="e">
        <f t="shared" ca="1" si="457"/>
        <v>#VALUE!</v>
      </c>
      <c r="U944" t="e">
        <f t="shared" ca="1" si="478"/>
        <v>#VALUE!</v>
      </c>
      <c r="V944" t="e">
        <f t="shared" ca="1" si="479"/>
        <v>#VALUE!</v>
      </c>
      <c r="W944" t="e">
        <f t="shared" ca="1" si="458"/>
        <v>#VALUE!</v>
      </c>
      <c r="X944" t="e">
        <f t="shared" ca="1" si="459"/>
        <v>#VALUE!</v>
      </c>
      <c r="Y944" t="e">
        <f t="shared" ca="1" si="460"/>
        <v>#VALUE!</v>
      </c>
      <c r="Z944" t="e">
        <f t="shared" ca="1" si="461"/>
        <v>#VALUE!</v>
      </c>
      <c r="AA944" t="e">
        <f t="shared" ca="1" si="462"/>
        <v>#VALUE!</v>
      </c>
      <c r="AB944" t="e">
        <f t="shared" ca="1" si="463"/>
        <v>#VALUE!</v>
      </c>
      <c r="AC944" t="e">
        <f t="shared" ca="1" si="464"/>
        <v>#VALUE!</v>
      </c>
      <c r="AD944" t="e">
        <f t="shared" ca="1" si="465"/>
        <v>#VALUE!</v>
      </c>
      <c r="AE944" t="e">
        <f t="shared" ca="1" si="466"/>
        <v>#VALUE!</v>
      </c>
      <c r="AF944" t="e">
        <f t="shared" ca="1" si="467"/>
        <v>#VALUE!</v>
      </c>
      <c r="AG944" t="e">
        <f t="shared" ca="1" si="468"/>
        <v>#VALUE!</v>
      </c>
      <c r="AH944" t="e">
        <f ca="1">IF(V32="Supercritical",L944,IF(V32="Subcritical",W944,IF(AND(V944=1,AG944=1),IF(T944&gt;=AE944,L944,W944),IF(V944=1,L944,IF(AG944=1,W944,MAX($D$16,POWER((ABS(K944)^2)/($I$5*MAX(F944,0.1)^2),1/3)))))))</f>
        <v>#VALUE!</v>
      </c>
      <c r="AI944" t="e">
        <f t="shared" ca="1" si="469"/>
        <v>#VALUE!</v>
      </c>
      <c r="AJ944" t="e">
        <f t="shared" ca="1" si="470"/>
        <v>#VALUE!</v>
      </c>
      <c r="AM944">
        <v>0</v>
      </c>
      <c r="AN944">
        <v>0</v>
      </c>
      <c r="AO944">
        <f t="shared" si="471"/>
        <v>0</v>
      </c>
      <c r="AP944">
        <f t="shared" si="480"/>
        <v>0</v>
      </c>
      <c r="AQ944" t="e">
        <f t="shared" ca="1" si="472"/>
        <v>#VALUE!</v>
      </c>
      <c r="AR944" t="e">
        <f t="shared" ca="1" si="473"/>
        <v>#VALUE!</v>
      </c>
      <c r="AS944" t="e">
        <f t="shared" ca="1" si="474"/>
        <v>#VALUE!</v>
      </c>
    </row>
    <row r="945" spans="1:45" x14ac:dyDescent="0.35">
      <c r="A945">
        <v>796</v>
      </c>
      <c r="B945">
        <v>794.88900000000001</v>
      </c>
      <c r="C945">
        <v>616089.82900000003</v>
      </c>
      <c r="D945">
        <v>3097208.8659999999</v>
      </c>
      <c r="E945">
        <v>632.16449999999998</v>
      </c>
      <c r="F945">
        <v>5.2</v>
      </c>
      <c r="G945">
        <v>0</v>
      </c>
      <c r="H945" t="s">
        <v>191</v>
      </c>
      <c r="I945">
        <v>0</v>
      </c>
      <c r="J945">
        <f t="shared" si="475"/>
        <v>1</v>
      </c>
      <c r="K945">
        <f t="shared" si="476"/>
        <v>51</v>
      </c>
      <c r="L945" t="e">
        <f t="shared" ca="1" si="477"/>
        <v>#VALUE!</v>
      </c>
      <c r="M945" t="e">
        <f t="shared" ca="1" si="450"/>
        <v>#VALUE!</v>
      </c>
      <c r="N945" t="e">
        <f t="shared" ca="1" si="451"/>
        <v>#VALUE!</v>
      </c>
      <c r="O945" t="e">
        <f t="shared" ca="1" si="452"/>
        <v>#VALUE!</v>
      </c>
      <c r="P945" t="e">
        <f t="shared" ca="1" si="453"/>
        <v>#VALUE!</v>
      </c>
      <c r="Q945" t="e">
        <f t="shared" ca="1" si="454"/>
        <v>#VALUE!</v>
      </c>
      <c r="R945" t="e">
        <f t="shared" ca="1" si="455"/>
        <v>#VALUE!</v>
      </c>
      <c r="S945" t="e">
        <f t="shared" ca="1" si="456"/>
        <v>#VALUE!</v>
      </c>
      <c r="T945" t="e">
        <f t="shared" ca="1" si="457"/>
        <v>#VALUE!</v>
      </c>
      <c r="U945" t="e">
        <f t="shared" ca="1" si="478"/>
        <v>#VALUE!</v>
      </c>
      <c r="V945" t="e">
        <f t="shared" ca="1" si="479"/>
        <v>#VALUE!</v>
      </c>
      <c r="W945" t="e">
        <f t="shared" ca="1" si="458"/>
        <v>#VALUE!</v>
      </c>
      <c r="X945" t="e">
        <f t="shared" ca="1" si="459"/>
        <v>#VALUE!</v>
      </c>
      <c r="Y945" t="e">
        <f t="shared" ca="1" si="460"/>
        <v>#VALUE!</v>
      </c>
      <c r="Z945" t="e">
        <f t="shared" ca="1" si="461"/>
        <v>#VALUE!</v>
      </c>
      <c r="AA945" t="e">
        <f t="shared" ca="1" si="462"/>
        <v>#VALUE!</v>
      </c>
      <c r="AB945" t="e">
        <f t="shared" ca="1" si="463"/>
        <v>#VALUE!</v>
      </c>
      <c r="AC945" t="e">
        <f t="shared" ca="1" si="464"/>
        <v>#VALUE!</v>
      </c>
      <c r="AD945" t="e">
        <f t="shared" ca="1" si="465"/>
        <v>#VALUE!</v>
      </c>
      <c r="AE945" t="e">
        <f t="shared" ca="1" si="466"/>
        <v>#VALUE!</v>
      </c>
      <c r="AF945" t="e">
        <f t="shared" ca="1" si="467"/>
        <v>#VALUE!</v>
      </c>
      <c r="AG945" t="e">
        <f t="shared" ca="1" si="468"/>
        <v>#VALUE!</v>
      </c>
      <c r="AH945" t="e">
        <f ca="1">IF(V32="Supercritical",L945,IF(V32="Subcritical",W945,IF(AND(V945=1,AG945=1),IF(T945&gt;=AE945,L945,W945),IF(V945=1,L945,IF(AG945=1,W945,MAX($D$16,POWER((ABS(K945)^2)/($I$5*MAX(F945,0.1)^2),1/3)))))))</f>
        <v>#VALUE!</v>
      </c>
      <c r="AI945" t="e">
        <f t="shared" ca="1" si="469"/>
        <v>#VALUE!</v>
      </c>
      <c r="AJ945" t="e">
        <f t="shared" ca="1" si="470"/>
        <v>#VALUE!</v>
      </c>
      <c r="AM945">
        <v>0</v>
      </c>
      <c r="AN945">
        <v>0</v>
      </c>
      <c r="AO945">
        <f t="shared" si="471"/>
        <v>0</v>
      </c>
      <c r="AP945">
        <f t="shared" si="480"/>
        <v>0</v>
      </c>
      <c r="AQ945" t="e">
        <f t="shared" ca="1" si="472"/>
        <v>#VALUE!</v>
      </c>
      <c r="AR945" t="e">
        <f t="shared" ca="1" si="473"/>
        <v>#VALUE!</v>
      </c>
      <c r="AS945" t="e">
        <f t="shared" ca="1" si="474"/>
        <v>#VALUE!</v>
      </c>
    </row>
    <row r="946" spans="1:45" x14ac:dyDescent="0.35">
      <c r="A946">
        <v>797</v>
      </c>
      <c r="B946">
        <v>795.88900000000001</v>
      </c>
      <c r="C946">
        <v>616089.78700000001</v>
      </c>
      <c r="D946">
        <v>3097207.8670000001</v>
      </c>
      <c r="E946">
        <v>632.16399999999999</v>
      </c>
      <c r="F946">
        <v>5.2</v>
      </c>
      <c r="G946">
        <v>0</v>
      </c>
      <c r="H946" t="s">
        <v>191</v>
      </c>
      <c r="I946">
        <v>2E-3</v>
      </c>
      <c r="J946">
        <f t="shared" si="475"/>
        <v>1</v>
      </c>
      <c r="K946">
        <f t="shared" si="476"/>
        <v>51</v>
      </c>
      <c r="L946" t="e">
        <f t="shared" ca="1" si="477"/>
        <v>#VALUE!</v>
      </c>
      <c r="M946" t="e">
        <f t="shared" ca="1" si="450"/>
        <v>#VALUE!</v>
      </c>
      <c r="N946" t="e">
        <f t="shared" ca="1" si="451"/>
        <v>#VALUE!</v>
      </c>
      <c r="O946" t="e">
        <f t="shared" ca="1" si="452"/>
        <v>#VALUE!</v>
      </c>
      <c r="P946" t="e">
        <f t="shared" ca="1" si="453"/>
        <v>#VALUE!</v>
      </c>
      <c r="Q946" t="e">
        <f t="shared" ca="1" si="454"/>
        <v>#VALUE!</v>
      </c>
      <c r="R946" t="e">
        <f t="shared" ca="1" si="455"/>
        <v>#VALUE!</v>
      </c>
      <c r="S946" t="e">
        <f t="shared" ca="1" si="456"/>
        <v>#VALUE!</v>
      </c>
      <c r="T946" t="e">
        <f t="shared" ca="1" si="457"/>
        <v>#VALUE!</v>
      </c>
      <c r="U946" t="e">
        <f t="shared" ca="1" si="478"/>
        <v>#VALUE!</v>
      </c>
      <c r="V946" t="e">
        <f t="shared" ca="1" si="479"/>
        <v>#VALUE!</v>
      </c>
      <c r="W946" t="e">
        <f t="shared" ca="1" si="458"/>
        <v>#VALUE!</v>
      </c>
      <c r="X946" t="e">
        <f t="shared" ca="1" si="459"/>
        <v>#VALUE!</v>
      </c>
      <c r="Y946" t="e">
        <f t="shared" ca="1" si="460"/>
        <v>#VALUE!</v>
      </c>
      <c r="Z946" t="e">
        <f t="shared" ca="1" si="461"/>
        <v>#VALUE!</v>
      </c>
      <c r="AA946" t="e">
        <f t="shared" ca="1" si="462"/>
        <v>#VALUE!</v>
      </c>
      <c r="AB946" t="e">
        <f t="shared" ca="1" si="463"/>
        <v>#VALUE!</v>
      </c>
      <c r="AC946" t="e">
        <f t="shared" ca="1" si="464"/>
        <v>#VALUE!</v>
      </c>
      <c r="AD946" t="e">
        <f t="shared" ca="1" si="465"/>
        <v>#VALUE!</v>
      </c>
      <c r="AE946" t="e">
        <f t="shared" ca="1" si="466"/>
        <v>#VALUE!</v>
      </c>
      <c r="AF946" t="e">
        <f t="shared" ca="1" si="467"/>
        <v>#VALUE!</v>
      </c>
      <c r="AG946" t="e">
        <f t="shared" ca="1" si="468"/>
        <v>#VALUE!</v>
      </c>
      <c r="AH946" t="e">
        <f ca="1">IF(V32="Supercritical",L946,IF(V32="Subcritical",W946,IF(AND(V946=1,AG946=1),IF(T946&gt;=AE946,L946,W946),IF(V946=1,L946,IF(AG946=1,W946,MAX($D$16,POWER((ABS(K946)^2)/($I$5*MAX(F946,0.1)^2),1/3)))))))</f>
        <v>#VALUE!</v>
      </c>
      <c r="AI946" t="e">
        <f t="shared" ca="1" si="469"/>
        <v>#VALUE!</v>
      </c>
      <c r="AJ946" t="e">
        <f t="shared" ca="1" si="470"/>
        <v>#VALUE!</v>
      </c>
      <c r="AM946">
        <v>0</v>
      </c>
      <c r="AN946">
        <v>0</v>
      </c>
      <c r="AO946">
        <f t="shared" si="471"/>
        <v>0</v>
      </c>
      <c r="AP946">
        <f t="shared" si="480"/>
        <v>0</v>
      </c>
      <c r="AQ946" t="e">
        <f t="shared" ca="1" si="472"/>
        <v>#VALUE!</v>
      </c>
      <c r="AR946" t="e">
        <f t="shared" ca="1" si="473"/>
        <v>#VALUE!</v>
      </c>
      <c r="AS946" t="e">
        <f t="shared" ca="1" si="474"/>
        <v>#VALUE!</v>
      </c>
    </row>
    <row r="947" spans="1:45" x14ac:dyDescent="0.35">
      <c r="A947">
        <v>798</v>
      </c>
      <c r="B947">
        <v>796.89</v>
      </c>
      <c r="C947">
        <v>616089.745</v>
      </c>
      <c r="D947">
        <v>3097206.8670000001</v>
      </c>
      <c r="E947">
        <v>632.1635</v>
      </c>
      <c r="F947">
        <v>5.2</v>
      </c>
      <c r="G947">
        <v>0</v>
      </c>
      <c r="H947" t="s">
        <v>191</v>
      </c>
      <c r="I947">
        <v>0.06</v>
      </c>
      <c r="J947">
        <f t="shared" si="475"/>
        <v>1.0009999999999764</v>
      </c>
      <c r="K947">
        <f t="shared" si="476"/>
        <v>51</v>
      </c>
      <c r="L947" t="e">
        <f t="shared" ca="1" si="477"/>
        <v>#VALUE!</v>
      </c>
      <c r="M947" t="e">
        <f t="shared" ca="1" si="450"/>
        <v>#VALUE!</v>
      </c>
      <c r="N947" t="e">
        <f t="shared" ca="1" si="451"/>
        <v>#VALUE!</v>
      </c>
      <c r="O947" t="e">
        <f t="shared" ca="1" si="452"/>
        <v>#VALUE!</v>
      </c>
      <c r="P947" t="e">
        <f t="shared" ca="1" si="453"/>
        <v>#VALUE!</v>
      </c>
      <c r="Q947" t="e">
        <f t="shared" ca="1" si="454"/>
        <v>#VALUE!</v>
      </c>
      <c r="R947" t="e">
        <f t="shared" ca="1" si="455"/>
        <v>#VALUE!</v>
      </c>
      <c r="S947" t="e">
        <f t="shared" ca="1" si="456"/>
        <v>#VALUE!</v>
      </c>
      <c r="T947" t="e">
        <f t="shared" ca="1" si="457"/>
        <v>#VALUE!</v>
      </c>
      <c r="U947" t="e">
        <f t="shared" ca="1" si="478"/>
        <v>#VALUE!</v>
      </c>
      <c r="V947" t="e">
        <f t="shared" ca="1" si="479"/>
        <v>#VALUE!</v>
      </c>
      <c r="W947" t="e">
        <f t="shared" ca="1" si="458"/>
        <v>#VALUE!</v>
      </c>
      <c r="X947" t="e">
        <f t="shared" ca="1" si="459"/>
        <v>#VALUE!</v>
      </c>
      <c r="Y947" t="e">
        <f t="shared" ca="1" si="460"/>
        <v>#VALUE!</v>
      </c>
      <c r="Z947" t="e">
        <f t="shared" ca="1" si="461"/>
        <v>#VALUE!</v>
      </c>
      <c r="AA947" t="e">
        <f t="shared" ca="1" si="462"/>
        <v>#VALUE!</v>
      </c>
      <c r="AB947" t="e">
        <f t="shared" ca="1" si="463"/>
        <v>#VALUE!</v>
      </c>
      <c r="AC947" t="e">
        <f t="shared" ca="1" si="464"/>
        <v>#VALUE!</v>
      </c>
      <c r="AD947" t="e">
        <f t="shared" ca="1" si="465"/>
        <v>#VALUE!</v>
      </c>
      <c r="AE947" t="e">
        <f t="shared" ca="1" si="466"/>
        <v>#VALUE!</v>
      </c>
      <c r="AF947" t="e">
        <f t="shared" ca="1" si="467"/>
        <v>#VALUE!</v>
      </c>
      <c r="AG947" t="e">
        <f t="shared" ca="1" si="468"/>
        <v>#VALUE!</v>
      </c>
      <c r="AH947" t="e">
        <f ca="1">IF(V32="Supercritical",L947,IF(V32="Subcritical",W947,IF(AND(V947=1,AG947=1),IF(T947&gt;=AE947,L947,W947),IF(V947=1,L947,IF(AG947=1,W947,MAX($D$16,POWER((ABS(K947)^2)/($I$5*MAX(F947,0.1)^2),1/3)))))))</f>
        <v>#VALUE!</v>
      </c>
      <c r="AI947" t="e">
        <f t="shared" ca="1" si="469"/>
        <v>#VALUE!</v>
      </c>
      <c r="AJ947" t="e">
        <f t="shared" ca="1" si="470"/>
        <v>#VALUE!</v>
      </c>
      <c r="AM947">
        <v>0</v>
      </c>
      <c r="AN947">
        <v>0</v>
      </c>
      <c r="AO947">
        <f t="shared" si="471"/>
        <v>0</v>
      </c>
      <c r="AP947">
        <f t="shared" si="480"/>
        <v>0</v>
      </c>
      <c r="AQ947" t="e">
        <f t="shared" ca="1" si="472"/>
        <v>#VALUE!</v>
      </c>
      <c r="AR947" t="e">
        <f t="shared" ca="1" si="473"/>
        <v>#VALUE!</v>
      </c>
      <c r="AS947" t="e">
        <f t="shared" ca="1" si="474"/>
        <v>#VALUE!</v>
      </c>
    </row>
    <row r="948" spans="1:45" x14ac:dyDescent="0.35">
      <c r="A948">
        <v>799</v>
      </c>
      <c r="B948">
        <v>797.89</v>
      </c>
      <c r="C948">
        <v>616089.70200000005</v>
      </c>
      <c r="D948">
        <v>3097205.8679999998</v>
      </c>
      <c r="E948">
        <v>632.16300000000001</v>
      </c>
      <c r="F948">
        <v>5.2</v>
      </c>
      <c r="G948">
        <v>0</v>
      </c>
      <c r="H948" t="s">
        <v>191</v>
      </c>
      <c r="I948">
        <v>5.7000000000000002E-2</v>
      </c>
      <c r="J948">
        <f t="shared" si="475"/>
        <v>1</v>
      </c>
      <c r="K948">
        <f t="shared" si="476"/>
        <v>51</v>
      </c>
      <c r="L948" t="e">
        <f t="shared" ca="1" si="477"/>
        <v>#VALUE!</v>
      </c>
      <c r="M948" t="e">
        <f t="shared" ca="1" si="450"/>
        <v>#VALUE!</v>
      </c>
      <c r="N948" t="e">
        <f t="shared" ca="1" si="451"/>
        <v>#VALUE!</v>
      </c>
      <c r="O948" t="e">
        <f t="shared" ca="1" si="452"/>
        <v>#VALUE!</v>
      </c>
      <c r="P948" t="e">
        <f t="shared" ca="1" si="453"/>
        <v>#VALUE!</v>
      </c>
      <c r="Q948" t="e">
        <f t="shared" ca="1" si="454"/>
        <v>#VALUE!</v>
      </c>
      <c r="R948" t="e">
        <f t="shared" ca="1" si="455"/>
        <v>#VALUE!</v>
      </c>
      <c r="S948" t="e">
        <f t="shared" ca="1" si="456"/>
        <v>#VALUE!</v>
      </c>
      <c r="T948" t="e">
        <f t="shared" ca="1" si="457"/>
        <v>#VALUE!</v>
      </c>
      <c r="U948" t="e">
        <f t="shared" ca="1" si="478"/>
        <v>#VALUE!</v>
      </c>
      <c r="V948" t="e">
        <f t="shared" ca="1" si="479"/>
        <v>#VALUE!</v>
      </c>
      <c r="W948" t="e">
        <f t="shared" ca="1" si="458"/>
        <v>#VALUE!</v>
      </c>
      <c r="X948" t="e">
        <f t="shared" ca="1" si="459"/>
        <v>#VALUE!</v>
      </c>
      <c r="Y948" t="e">
        <f t="shared" ca="1" si="460"/>
        <v>#VALUE!</v>
      </c>
      <c r="Z948" t="e">
        <f t="shared" ca="1" si="461"/>
        <v>#VALUE!</v>
      </c>
      <c r="AA948" t="e">
        <f t="shared" ca="1" si="462"/>
        <v>#VALUE!</v>
      </c>
      <c r="AB948" t="e">
        <f t="shared" ca="1" si="463"/>
        <v>#VALUE!</v>
      </c>
      <c r="AC948" t="e">
        <f t="shared" ca="1" si="464"/>
        <v>#VALUE!</v>
      </c>
      <c r="AD948" t="e">
        <f t="shared" ca="1" si="465"/>
        <v>#VALUE!</v>
      </c>
      <c r="AE948" t="e">
        <f t="shared" ca="1" si="466"/>
        <v>#VALUE!</v>
      </c>
      <c r="AF948" t="e">
        <f t="shared" ca="1" si="467"/>
        <v>#VALUE!</v>
      </c>
      <c r="AG948" t="e">
        <f t="shared" ca="1" si="468"/>
        <v>#VALUE!</v>
      </c>
      <c r="AH948" t="e">
        <f ca="1">IF(V32="Supercritical",L948,IF(V32="Subcritical",W948,IF(AND(V948=1,AG948=1),IF(T948&gt;=AE948,L948,W948),IF(V948=1,L948,IF(AG948=1,W948,MAX($D$16,POWER((ABS(K948)^2)/($I$5*MAX(F948,0.1)^2),1/3)))))))</f>
        <v>#VALUE!</v>
      </c>
      <c r="AI948" t="e">
        <f t="shared" ca="1" si="469"/>
        <v>#VALUE!</v>
      </c>
      <c r="AJ948" t="e">
        <f t="shared" ca="1" si="470"/>
        <v>#VALUE!</v>
      </c>
      <c r="AM948">
        <v>0</v>
      </c>
      <c r="AN948">
        <v>0</v>
      </c>
      <c r="AO948">
        <f t="shared" si="471"/>
        <v>0</v>
      </c>
      <c r="AP948">
        <f t="shared" si="480"/>
        <v>0</v>
      </c>
      <c r="AQ948" t="e">
        <f t="shared" ca="1" si="472"/>
        <v>#VALUE!</v>
      </c>
      <c r="AR948" t="e">
        <f t="shared" ca="1" si="473"/>
        <v>#VALUE!</v>
      </c>
      <c r="AS948" t="e">
        <f t="shared" ca="1" si="474"/>
        <v>#VALUE!</v>
      </c>
    </row>
    <row r="949" spans="1:45" x14ac:dyDescent="0.35">
      <c r="A949">
        <v>800</v>
      </c>
      <c r="B949">
        <v>798.88900000000001</v>
      </c>
      <c r="C949">
        <v>616089.66</v>
      </c>
      <c r="D949">
        <v>3097204.8689999999</v>
      </c>
      <c r="E949">
        <v>632.16250000000002</v>
      </c>
      <c r="F949">
        <v>5.2</v>
      </c>
      <c r="G949">
        <v>0</v>
      </c>
      <c r="H949" t="s">
        <v>191</v>
      </c>
      <c r="I949">
        <v>0</v>
      </c>
      <c r="J949">
        <f t="shared" si="475"/>
        <v>0.99900000000002365</v>
      </c>
      <c r="K949">
        <f t="shared" si="476"/>
        <v>51</v>
      </c>
      <c r="L949" t="e">
        <f t="shared" ca="1" si="477"/>
        <v>#VALUE!</v>
      </c>
      <c r="M949" t="e">
        <f t="shared" ca="1" si="450"/>
        <v>#VALUE!</v>
      </c>
      <c r="N949" t="e">
        <f t="shared" ca="1" si="451"/>
        <v>#VALUE!</v>
      </c>
      <c r="O949" t="e">
        <f t="shared" ca="1" si="452"/>
        <v>#VALUE!</v>
      </c>
      <c r="P949" t="e">
        <f t="shared" ca="1" si="453"/>
        <v>#VALUE!</v>
      </c>
      <c r="Q949" t="e">
        <f t="shared" ca="1" si="454"/>
        <v>#VALUE!</v>
      </c>
      <c r="R949" t="e">
        <f t="shared" ca="1" si="455"/>
        <v>#VALUE!</v>
      </c>
      <c r="S949" t="e">
        <f t="shared" ca="1" si="456"/>
        <v>#VALUE!</v>
      </c>
      <c r="T949" t="e">
        <f t="shared" ca="1" si="457"/>
        <v>#VALUE!</v>
      </c>
      <c r="U949" t="e">
        <f t="shared" ca="1" si="478"/>
        <v>#VALUE!</v>
      </c>
      <c r="V949" t="e">
        <f t="shared" ca="1" si="479"/>
        <v>#VALUE!</v>
      </c>
      <c r="W949" t="e">
        <f t="shared" ca="1" si="458"/>
        <v>#VALUE!</v>
      </c>
      <c r="X949" t="e">
        <f t="shared" ca="1" si="459"/>
        <v>#VALUE!</v>
      </c>
      <c r="Y949" t="e">
        <f t="shared" ca="1" si="460"/>
        <v>#VALUE!</v>
      </c>
      <c r="Z949" t="e">
        <f t="shared" ca="1" si="461"/>
        <v>#VALUE!</v>
      </c>
      <c r="AA949" t="e">
        <f t="shared" ca="1" si="462"/>
        <v>#VALUE!</v>
      </c>
      <c r="AB949" t="e">
        <f t="shared" ca="1" si="463"/>
        <v>#VALUE!</v>
      </c>
      <c r="AC949" t="e">
        <f t="shared" ca="1" si="464"/>
        <v>#VALUE!</v>
      </c>
      <c r="AD949" t="e">
        <f t="shared" ca="1" si="465"/>
        <v>#VALUE!</v>
      </c>
      <c r="AE949" t="e">
        <f t="shared" ca="1" si="466"/>
        <v>#VALUE!</v>
      </c>
      <c r="AF949" t="e">
        <f t="shared" ca="1" si="467"/>
        <v>#VALUE!</v>
      </c>
      <c r="AG949" t="e">
        <f t="shared" ca="1" si="468"/>
        <v>#VALUE!</v>
      </c>
      <c r="AH949" t="e">
        <f ca="1">IF(V32="Supercritical",L949,IF(V32="Subcritical",W949,IF(AND(V949=1,AG949=1),IF(T949&gt;=AE949,L949,W949),IF(V949=1,L949,IF(AG949=1,W949,MAX($D$16,POWER((ABS(K949)^2)/($I$5*MAX(F949,0.1)^2),1/3)))))))</f>
        <v>#VALUE!</v>
      </c>
      <c r="AI949" t="e">
        <f t="shared" ca="1" si="469"/>
        <v>#VALUE!</v>
      </c>
      <c r="AJ949" t="e">
        <f t="shared" ca="1" si="470"/>
        <v>#VALUE!</v>
      </c>
      <c r="AM949">
        <v>0</v>
      </c>
      <c r="AN949">
        <v>0</v>
      </c>
      <c r="AO949">
        <f t="shared" si="471"/>
        <v>0</v>
      </c>
      <c r="AP949">
        <f t="shared" si="480"/>
        <v>0</v>
      </c>
      <c r="AQ949" t="e">
        <f t="shared" ca="1" si="472"/>
        <v>#VALUE!</v>
      </c>
      <c r="AR949" t="e">
        <f t="shared" ca="1" si="473"/>
        <v>#VALUE!</v>
      </c>
      <c r="AS949" t="e">
        <f t="shared" ca="1" si="474"/>
        <v>#VALUE!</v>
      </c>
    </row>
    <row r="950" spans="1:45" x14ac:dyDescent="0.35">
      <c r="A950">
        <v>801</v>
      </c>
      <c r="B950">
        <v>799.88900000000001</v>
      </c>
      <c r="C950">
        <v>616089.61800000002</v>
      </c>
      <c r="D950">
        <v>3097203.87</v>
      </c>
      <c r="E950">
        <v>632.16200000000003</v>
      </c>
      <c r="F950">
        <v>5.2</v>
      </c>
      <c r="G950">
        <v>0</v>
      </c>
      <c r="H950" t="s">
        <v>191</v>
      </c>
      <c r="I950">
        <v>0</v>
      </c>
      <c r="J950">
        <f t="shared" si="475"/>
        <v>1</v>
      </c>
      <c r="K950">
        <f t="shared" si="476"/>
        <v>51</v>
      </c>
      <c r="L950" t="e">
        <f t="shared" ca="1" si="477"/>
        <v>#VALUE!</v>
      </c>
      <c r="M950" t="e">
        <f t="shared" ca="1" si="450"/>
        <v>#VALUE!</v>
      </c>
      <c r="N950" t="e">
        <f t="shared" ca="1" si="451"/>
        <v>#VALUE!</v>
      </c>
      <c r="O950" t="e">
        <f t="shared" ca="1" si="452"/>
        <v>#VALUE!</v>
      </c>
      <c r="P950" t="e">
        <f t="shared" ca="1" si="453"/>
        <v>#VALUE!</v>
      </c>
      <c r="Q950" t="e">
        <f t="shared" ca="1" si="454"/>
        <v>#VALUE!</v>
      </c>
      <c r="R950" t="e">
        <f t="shared" ca="1" si="455"/>
        <v>#VALUE!</v>
      </c>
      <c r="S950" t="e">
        <f t="shared" ca="1" si="456"/>
        <v>#VALUE!</v>
      </c>
      <c r="T950" t="e">
        <f t="shared" ca="1" si="457"/>
        <v>#VALUE!</v>
      </c>
      <c r="U950" t="e">
        <f t="shared" ca="1" si="478"/>
        <v>#VALUE!</v>
      </c>
      <c r="V950" t="e">
        <f t="shared" ca="1" si="479"/>
        <v>#VALUE!</v>
      </c>
      <c r="W950" t="e">
        <f t="shared" ca="1" si="458"/>
        <v>#VALUE!</v>
      </c>
      <c r="X950" t="e">
        <f t="shared" ca="1" si="459"/>
        <v>#VALUE!</v>
      </c>
      <c r="Y950" t="e">
        <f t="shared" ca="1" si="460"/>
        <v>#VALUE!</v>
      </c>
      <c r="Z950" t="e">
        <f t="shared" ca="1" si="461"/>
        <v>#VALUE!</v>
      </c>
      <c r="AA950" t="e">
        <f t="shared" ca="1" si="462"/>
        <v>#VALUE!</v>
      </c>
      <c r="AB950" t="e">
        <f t="shared" ca="1" si="463"/>
        <v>#VALUE!</v>
      </c>
      <c r="AC950" t="e">
        <f t="shared" ca="1" si="464"/>
        <v>#VALUE!</v>
      </c>
      <c r="AD950" t="e">
        <f t="shared" ca="1" si="465"/>
        <v>#VALUE!</v>
      </c>
      <c r="AE950" t="e">
        <f t="shared" ca="1" si="466"/>
        <v>#VALUE!</v>
      </c>
      <c r="AF950" t="e">
        <f t="shared" ca="1" si="467"/>
        <v>#VALUE!</v>
      </c>
      <c r="AG950" t="e">
        <f t="shared" ca="1" si="468"/>
        <v>#VALUE!</v>
      </c>
      <c r="AH950" t="e">
        <f ca="1">IF(V32="Supercritical",L950,IF(V32="Subcritical",W950,IF(AND(V950=1,AG950=1),IF(T950&gt;=AE950,L950,W950),IF(V950=1,L950,IF(AG950=1,W950,MAX($D$16,POWER((ABS(K950)^2)/($I$5*MAX(F950,0.1)^2),1/3)))))))</f>
        <v>#VALUE!</v>
      </c>
      <c r="AI950" t="e">
        <f t="shared" ca="1" si="469"/>
        <v>#VALUE!</v>
      </c>
      <c r="AJ950" t="e">
        <f t="shared" ca="1" si="470"/>
        <v>#VALUE!</v>
      </c>
      <c r="AM950">
        <v>0</v>
      </c>
      <c r="AN950">
        <v>0</v>
      </c>
      <c r="AO950">
        <f t="shared" si="471"/>
        <v>0</v>
      </c>
      <c r="AP950">
        <f t="shared" si="480"/>
        <v>0</v>
      </c>
      <c r="AQ950" t="e">
        <f t="shared" ca="1" si="472"/>
        <v>#VALUE!</v>
      </c>
      <c r="AR950" t="e">
        <f t="shared" ca="1" si="473"/>
        <v>#VALUE!</v>
      </c>
      <c r="AS950" t="e">
        <f t="shared" ca="1" si="474"/>
        <v>#VALUE!</v>
      </c>
    </row>
    <row r="951" spans="1:45" x14ac:dyDescent="0.35">
      <c r="A951">
        <v>802</v>
      </c>
      <c r="B951">
        <v>800.88900000000001</v>
      </c>
      <c r="C951">
        <v>616089.576</v>
      </c>
      <c r="D951">
        <v>3097202.8709999998</v>
      </c>
      <c r="E951">
        <v>632.16150000000005</v>
      </c>
      <c r="F951">
        <v>5.2</v>
      </c>
      <c r="G951">
        <v>0</v>
      </c>
      <c r="H951" t="s">
        <v>191</v>
      </c>
      <c r="I951">
        <v>5.7000000000000002E-2</v>
      </c>
      <c r="J951">
        <f t="shared" si="475"/>
        <v>1</v>
      </c>
      <c r="K951">
        <f t="shared" si="476"/>
        <v>51</v>
      </c>
      <c r="L951" t="e">
        <f t="shared" ca="1" si="477"/>
        <v>#VALUE!</v>
      </c>
      <c r="M951" t="e">
        <f t="shared" ca="1" si="450"/>
        <v>#VALUE!</v>
      </c>
      <c r="N951" t="e">
        <f t="shared" ca="1" si="451"/>
        <v>#VALUE!</v>
      </c>
      <c r="O951" t="e">
        <f t="shared" ca="1" si="452"/>
        <v>#VALUE!</v>
      </c>
      <c r="P951" t="e">
        <f t="shared" ca="1" si="453"/>
        <v>#VALUE!</v>
      </c>
      <c r="Q951" t="e">
        <f t="shared" ca="1" si="454"/>
        <v>#VALUE!</v>
      </c>
      <c r="R951" t="e">
        <f t="shared" ca="1" si="455"/>
        <v>#VALUE!</v>
      </c>
      <c r="S951" t="e">
        <f t="shared" ca="1" si="456"/>
        <v>#VALUE!</v>
      </c>
      <c r="T951" t="e">
        <f t="shared" ca="1" si="457"/>
        <v>#VALUE!</v>
      </c>
      <c r="U951" t="e">
        <f t="shared" ca="1" si="478"/>
        <v>#VALUE!</v>
      </c>
      <c r="V951" t="e">
        <f t="shared" ca="1" si="479"/>
        <v>#VALUE!</v>
      </c>
      <c r="W951" t="e">
        <f t="shared" ca="1" si="458"/>
        <v>#VALUE!</v>
      </c>
      <c r="X951" t="e">
        <f t="shared" ca="1" si="459"/>
        <v>#VALUE!</v>
      </c>
      <c r="Y951" t="e">
        <f t="shared" ca="1" si="460"/>
        <v>#VALUE!</v>
      </c>
      <c r="Z951" t="e">
        <f t="shared" ca="1" si="461"/>
        <v>#VALUE!</v>
      </c>
      <c r="AA951" t="e">
        <f t="shared" ca="1" si="462"/>
        <v>#VALUE!</v>
      </c>
      <c r="AB951" t="e">
        <f t="shared" ca="1" si="463"/>
        <v>#VALUE!</v>
      </c>
      <c r="AC951" t="e">
        <f t="shared" ca="1" si="464"/>
        <v>#VALUE!</v>
      </c>
      <c r="AD951" t="e">
        <f t="shared" ca="1" si="465"/>
        <v>#VALUE!</v>
      </c>
      <c r="AE951" t="e">
        <f t="shared" ca="1" si="466"/>
        <v>#VALUE!</v>
      </c>
      <c r="AF951" t="e">
        <f t="shared" ca="1" si="467"/>
        <v>#VALUE!</v>
      </c>
      <c r="AG951" t="e">
        <f t="shared" ca="1" si="468"/>
        <v>#VALUE!</v>
      </c>
      <c r="AH951" t="e">
        <f ca="1">IF(V32="Supercritical",L951,IF(V32="Subcritical",W951,IF(AND(V951=1,AG951=1),IF(T951&gt;=AE951,L951,W951),IF(V951=1,L951,IF(AG951=1,W951,MAX($D$16,POWER((ABS(K951)^2)/($I$5*MAX(F951,0.1)^2),1/3)))))))</f>
        <v>#VALUE!</v>
      </c>
      <c r="AI951" t="e">
        <f t="shared" ca="1" si="469"/>
        <v>#VALUE!</v>
      </c>
      <c r="AJ951" t="e">
        <f t="shared" ca="1" si="470"/>
        <v>#VALUE!</v>
      </c>
      <c r="AM951">
        <v>0</v>
      </c>
      <c r="AN951">
        <v>0</v>
      </c>
      <c r="AO951">
        <f t="shared" si="471"/>
        <v>0</v>
      </c>
      <c r="AP951">
        <f t="shared" si="480"/>
        <v>0</v>
      </c>
      <c r="AQ951" t="e">
        <f t="shared" ca="1" si="472"/>
        <v>#VALUE!</v>
      </c>
      <c r="AR951" t="e">
        <f t="shared" ca="1" si="473"/>
        <v>#VALUE!</v>
      </c>
      <c r="AS951" t="e">
        <f t="shared" ca="1" si="474"/>
        <v>#VALUE!</v>
      </c>
    </row>
    <row r="952" spans="1:45" x14ac:dyDescent="0.35">
      <c r="A952">
        <v>803</v>
      </c>
      <c r="B952">
        <v>801.88900000000001</v>
      </c>
      <c r="C952">
        <v>616089.53300000005</v>
      </c>
      <c r="D952">
        <v>3097201.872</v>
      </c>
      <c r="E952">
        <v>632.16099999999994</v>
      </c>
      <c r="F952">
        <v>5.2</v>
      </c>
      <c r="G952">
        <v>0</v>
      </c>
      <c r="H952" t="s">
        <v>191</v>
      </c>
      <c r="I952">
        <v>5.7000000000000002E-2</v>
      </c>
      <c r="J952">
        <f t="shared" si="475"/>
        <v>1</v>
      </c>
      <c r="K952">
        <f t="shared" si="476"/>
        <v>51</v>
      </c>
      <c r="L952" t="e">
        <f t="shared" ca="1" si="477"/>
        <v>#VALUE!</v>
      </c>
      <c r="M952" t="e">
        <f t="shared" ca="1" si="450"/>
        <v>#VALUE!</v>
      </c>
      <c r="N952" t="e">
        <f t="shared" ca="1" si="451"/>
        <v>#VALUE!</v>
      </c>
      <c r="O952" t="e">
        <f t="shared" ca="1" si="452"/>
        <v>#VALUE!</v>
      </c>
      <c r="P952" t="e">
        <f t="shared" ca="1" si="453"/>
        <v>#VALUE!</v>
      </c>
      <c r="Q952" t="e">
        <f t="shared" ca="1" si="454"/>
        <v>#VALUE!</v>
      </c>
      <c r="R952" t="e">
        <f t="shared" ca="1" si="455"/>
        <v>#VALUE!</v>
      </c>
      <c r="S952" t="e">
        <f t="shared" ca="1" si="456"/>
        <v>#VALUE!</v>
      </c>
      <c r="T952" t="e">
        <f t="shared" ca="1" si="457"/>
        <v>#VALUE!</v>
      </c>
      <c r="U952" t="e">
        <f t="shared" ca="1" si="478"/>
        <v>#VALUE!</v>
      </c>
      <c r="V952" t="e">
        <f t="shared" ca="1" si="479"/>
        <v>#VALUE!</v>
      </c>
      <c r="W952" t="e">
        <f t="shared" ca="1" si="458"/>
        <v>#VALUE!</v>
      </c>
      <c r="X952" t="e">
        <f t="shared" ca="1" si="459"/>
        <v>#VALUE!</v>
      </c>
      <c r="Y952" t="e">
        <f t="shared" ca="1" si="460"/>
        <v>#VALUE!</v>
      </c>
      <c r="Z952" t="e">
        <f t="shared" ca="1" si="461"/>
        <v>#VALUE!</v>
      </c>
      <c r="AA952" t="e">
        <f t="shared" ca="1" si="462"/>
        <v>#VALUE!</v>
      </c>
      <c r="AB952" t="e">
        <f t="shared" ca="1" si="463"/>
        <v>#VALUE!</v>
      </c>
      <c r="AC952" t="e">
        <f t="shared" ca="1" si="464"/>
        <v>#VALUE!</v>
      </c>
      <c r="AD952" t="e">
        <f t="shared" ca="1" si="465"/>
        <v>#VALUE!</v>
      </c>
      <c r="AE952" t="e">
        <f t="shared" ca="1" si="466"/>
        <v>#VALUE!</v>
      </c>
      <c r="AF952" t="e">
        <f t="shared" ca="1" si="467"/>
        <v>#VALUE!</v>
      </c>
      <c r="AG952" t="e">
        <f t="shared" ca="1" si="468"/>
        <v>#VALUE!</v>
      </c>
      <c r="AH952" t="e">
        <f ca="1">IF(V32="Supercritical",L952,IF(V32="Subcritical",W952,IF(AND(V952=1,AG952=1),IF(T952&gt;=AE952,L952,W952),IF(V952=1,L952,IF(AG952=1,W952,MAX($D$16,POWER((ABS(K952)^2)/($I$5*MAX(F952,0.1)^2),1/3)))))))</f>
        <v>#VALUE!</v>
      </c>
      <c r="AI952" t="e">
        <f t="shared" ca="1" si="469"/>
        <v>#VALUE!</v>
      </c>
      <c r="AJ952" t="e">
        <f t="shared" ca="1" si="470"/>
        <v>#VALUE!</v>
      </c>
      <c r="AM952">
        <v>0</v>
      </c>
      <c r="AN952">
        <v>0</v>
      </c>
      <c r="AO952">
        <f t="shared" si="471"/>
        <v>0</v>
      </c>
      <c r="AP952">
        <f t="shared" si="480"/>
        <v>0</v>
      </c>
      <c r="AQ952" t="e">
        <f t="shared" ca="1" si="472"/>
        <v>#VALUE!</v>
      </c>
      <c r="AR952" t="e">
        <f t="shared" ca="1" si="473"/>
        <v>#VALUE!</v>
      </c>
      <c r="AS952" t="e">
        <f t="shared" ca="1" si="474"/>
        <v>#VALUE!</v>
      </c>
    </row>
    <row r="953" spans="1:45" x14ac:dyDescent="0.35">
      <c r="A953">
        <v>804</v>
      </c>
      <c r="B953">
        <v>802.88900000000001</v>
      </c>
      <c r="C953">
        <v>616089.49100000004</v>
      </c>
      <c r="D953">
        <v>3097200.8730000001</v>
      </c>
      <c r="E953">
        <v>632.16049999999996</v>
      </c>
      <c r="F953">
        <v>5.2</v>
      </c>
      <c r="G953">
        <v>0</v>
      </c>
      <c r="H953" t="s">
        <v>191</v>
      </c>
      <c r="I953">
        <v>0</v>
      </c>
      <c r="J953">
        <f t="shared" si="475"/>
        <v>1</v>
      </c>
      <c r="K953">
        <f t="shared" si="476"/>
        <v>51</v>
      </c>
      <c r="L953" t="e">
        <f t="shared" ca="1" si="477"/>
        <v>#VALUE!</v>
      </c>
      <c r="M953" t="e">
        <f t="shared" ca="1" si="450"/>
        <v>#VALUE!</v>
      </c>
      <c r="N953" t="e">
        <f t="shared" ca="1" si="451"/>
        <v>#VALUE!</v>
      </c>
      <c r="O953" t="e">
        <f t="shared" ca="1" si="452"/>
        <v>#VALUE!</v>
      </c>
      <c r="P953" t="e">
        <f t="shared" ca="1" si="453"/>
        <v>#VALUE!</v>
      </c>
      <c r="Q953" t="e">
        <f t="shared" ca="1" si="454"/>
        <v>#VALUE!</v>
      </c>
      <c r="R953" t="e">
        <f t="shared" ca="1" si="455"/>
        <v>#VALUE!</v>
      </c>
      <c r="S953" t="e">
        <f t="shared" ca="1" si="456"/>
        <v>#VALUE!</v>
      </c>
      <c r="T953" t="e">
        <f t="shared" ca="1" si="457"/>
        <v>#VALUE!</v>
      </c>
      <c r="U953" t="e">
        <f t="shared" ca="1" si="478"/>
        <v>#VALUE!</v>
      </c>
      <c r="V953" t="e">
        <f t="shared" ca="1" si="479"/>
        <v>#VALUE!</v>
      </c>
      <c r="W953" t="e">
        <f t="shared" ca="1" si="458"/>
        <v>#VALUE!</v>
      </c>
      <c r="X953" t="e">
        <f t="shared" ca="1" si="459"/>
        <v>#VALUE!</v>
      </c>
      <c r="Y953" t="e">
        <f t="shared" ca="1" si="460"/>
        <v>#VALUE!</v>
      </c>
      <c r="Z953" t="e">
        <f t="shared" ca="1" si="461"/>
        <v>#VALUE!</v>
      </c>
      <c r="AA953" t="e">
        <f t="shared" ca="1" si="462"/>
        <v>#VALUE!</v>
      </c>
      <c r="AB953" t="e">
        <f t="shared" ca="1" si="463"/>
        <v>#VALUE!</v>
      </c>
      <c r="AC953" t="e">
        <f t="shared" ca="1" si="464"/>
        <v>#VALUE!</v>
      </c>
      <c r="AD953" t="e">
        <f t="shared" ca="1" si="465"/>
        <v>#VALUE!</v>
      </c>
      <c r="AE953" t="e">
        <f t="shared" ca="1" si="466"/>
        <v>#VALUE!</v>
      </c>
      <c r="AF953" t="e">
        <f t="shared" ca="1" si="467"/>
        <v>#VALUE!</v>
      </c>
      <c r="AG953" t="e">
        <f t="shared" ca="1" si="468"/>
        <v>#VALUE!</v>
      </c>
      <c r="AH953" t="e">
        <f ca="1">IF(V32="Supercritical",L953,IF(V32="Subcritical",W953,IF(AND(V953=1,AG953=1),IF(T953&gt;=AE953,L953,W953),IF(V953=1,L953,IF(AG953=1,W953,MAX($D$16,POWER((ABS(K953)^2)/($I$5*MAX(F953,0.1)^2),1/3)))))))</f>
        <v>#VALUE!</v>
      </c>
      <c r="AI953" t="e">
        <f t="shared" ca="1" si="469"/>
        <v>#VALUE!</v>
      </c>
      <c r="AJ953" t="e">
        <f t="shared" ca="1" si="470"/>
        <v>#VALUE!</v>
      </c>
      <c r="AM953">
        <v>0</v>
      </c>
      <c r="AN953">
        <v>0</v>
      </c>
      <c r="AO953">
        <f t="shared" si="471"/>
        <v>0</v>
      </c>
      <c r="AP953">
        <f t="shared" si="480"/>
        <v>0</v>
      </c>
      <c r="AQ953" t="e">
        <f t="shared" ca="1" si="472"/>
        <v>#VALUE!</v>
      </c>
      <c r="AR953" t="e">
        <f t="shared" ca="1" si="473"/>
        <v>#VALUE!</v>
      </c>
      <c r="AS953" t="e">
        <f t="shared" ca="1" si="474"/>
        <v>#VALUE!</v>
      </c>
    </row>
    <row r="954" spans="1:45" x14ac:dyDescent="0.35">
      <c r="A954">
        <v>805</v>
      </c>
      <c r="B954">
        <v>803.88900000000001</v>
      </c>
      <c r="C954">
        <v>616089.44900000002</v>
      </c>
      <c r="D954">
        <v>3097199.8739999998</v>
      </c>
      <c r="E954">
        <v>632.16</v>
      </c>
      <c r="F954">
        <v>5.2</v>
      </c>
      <c r="G954">
        <v>0</v>
      </c>
      <c r="H954" t="s">
        <v>191</v>
      </c>
      <c r="I954">
        <v>0</v>
      </c>
      <c r="J954">
        <f t="shared" si="475"/>
        <v>1</v>
      </c>
      <c r="K954">
        <f t="shared" si="476"/>
        <v>51</v>
      </c>
      <c r="L954" t="e">
        <f t="shared" ca="1" si="477"/>
        <v>#VALUE!</v>
      </c>
      <c r="M954" t="e">
        <f t="shared" ca="1" si="450"/>
        <v>#VALUE!</v>
      </c>
      <c r="N954" t="e">
        <f t="shared" ca="1" si="451"/>
        <v>#VALUE!</v>
      </c>
      <c r="O954" t="e">
        <f t="shared" ca="1" si="452"/>
        <v>#VALUE!</v>
      </c>
      <c r="P954" t="e">
        <f t="shared" ca="1" si="453"/>
        <v>#VALUE!</v>
      </c>
      <c r="Q954" t="e">
        <f t="shared" ca="1" si="454"/>
        <v>#VALUE!</v>
      </c>
      <c r="R954" t="e">
        <f t="shared" ca="1" si="455"/>
        <v>#VALUE!</v>
      </c>
      <c r="S954" t="e">
        <f t="shared" ca="1" si="456"/>
        <v>#VALUE!</v>
      </c>
      <c r="T954" t="e">
        <f t="shared" ca="1" si="457"/>
        <v>#VALUE!</v>
      </c>
      <c r="U954" t="e">
        <f t="shared" ca="1" si="478"/>
        <v>#VALUE!</v>
      </c>
      <c r="V954" t="e">
        <f t="shared" ca="1" si="479"/>
        <v>#VALUE!</v>
      </c>
      <c r="W954" t="e">
        <f t="shared" ca="1" si="458"/>
        <v>#VALUE!</v>
      </c>
      <c r="X954" t="e">
        <f t="shared" ca="1" si="459"/>
        <v>#VALUE!</v>
      </c>
      <c r="Y954" t="e">
        <f t="shared" ca="1" si="460"/>
        <v>#VALUE!</v>
      </c>
      <c r="Z954" t="e">
        <f t="shared" ca="1" si="461"/>
        <v>#VALUE!</v>
      </c>
      <c r="AA954" t="e">
        <f t="shared" ca="1" si="462"/>
        <v>#VALUE!</v>
      </c>
      <c r="AB954" t="e">
        <f t="shared" ca="1" si="463"/>
        <v>#VALUE!</v>
      </c>
      <c r="AC954" t="e">
        <f t="shared" ca="1" si="464"/>
        <v>#VALUE!</v>
      </c>
      <c r="AD954" t="e">
        <f t="shared" ca="1" si="465"/>
        <v>#VALUE!</v>
      </c>
      <c r="AE954" t="e">
        <f t="shared" ca="1" si="466"/>
        <v>#VALUE!</v>
      </c>
      <c r="AF954" t="e">
        <f t="shared" ca="1" si="467"/>
        <v>#VALUE!</v>
      </c>
      <c r="AG954" t="e">
        <f t="shared" ca="1" si="468"/>
        <v>#VALUE!</v>
      </c>
      <c r="AH954" t="e">
        <f ca="1">IF(V32="Supercritical",L954,IF(V32="Subcritical",W954,IF(AND(V954=1,AG954=1),IF(T954&gt;=AE954,L954,W954),IF(V954=1,L954,IF(AG954=1,W954,MAX($D$16,POWER((ABS(K954)^2)/($I$5*MAX(F954,0.1)^2),1/3)))))))</f>
        <v>#VALUE!</v>
      </c>
      <c r="AI954" t="e">
        <f t="shared" ca="1" si="469"/>
        <v>#VALUE!</v>
      </c>
      <c r="AJ954" t="e">
        <f t="shared" ca="1" si="470"/>
        <v>#VALUE!</v>
      </c>
      <c r="AM954">
        <v>0</v>
      </c>
      <c r="AN954">
        <v>0</v>
      </c>
      <c r="AO954">
        <f t="shared" si="471"/>
        <v>0</v>
      </c>
      <c r="AP954">
        <f t="shared" si="480"/>
        <v>0</v>
      </c>
      <c r="AQ954" t="e">
        <f t="shared" ca="1" si="472"/>
        <v>#VALUE!</v>
      </c>
      <c r="AR954" t="e">
        <f t="shared" ca="1" si="473"/>
        <v>#VALUE!</v>
      </c>
      <c r="AS954" t="e">
        <f t="shared" ca="1" si="474"/>
        <v>#VALUE!</v>
      </c>
    </row>
    <row r="955" spans="1:45" x14ac:dyDescent="0.35">
      <c r="A955">
        <v>806</v>
      </c>
      <c r="B955">
        <v>804.88900000000001</v>
      </c>
      <c r="C955">
        <v>616089.40700000001</v>
      </c>
      <c r="D955">
        <v>3097198.875</v>
      </c>
      <c r="E955">
        <v>632.15949999999998</v>
      </c>
      <c r="F955">
        <v>5.2</v>
      </c>
      <c r="G955">
        <v>0</v>
      </c>
      <c r="H955" t="s">
        <v>191</v>
      </c>
      <c r="I955">
        <v>5.5E-2</v>
      </c>
      <c r="J955">
        <f t="shared" si="475"/>
        <v>1</v>
      </c>
      <c r="K955">
        <f t="shared" si="476"/>
        <v>51</v>
      </c>
      <c r="L955" t="e">
        <f t="shared" ca="1" si="477"/>
        <v>#VALUE!</v>
      </c>
      <c r="M955" t="e">
        <f t="shared" ca="1" si="450"/>
        <v>#VALUE!</v>
      </c>
      <c r="N955" t="e">
        <f t="shared" ca="1" si="451"/>
        <v>#VALUE!</v>
      </c>
      <c r="O955" t="e">
        <f t="shared" ca="1" si="452"/>
        <v>#VALUE!</v>
      </c>
      <c r="P955" t="e">
        <f t="shared" ca="1" si="453"/>
        <v>#VALUE!</v>
      </c>
      <c r="Q955" t="e">
        <f t="shared" ca="1" si="454"/>
        <v>#VALUE!</v>
      </c>
      <c r="R955" t="e">
        <f t="shared" ca="1" si="455"/>
        <v>#VALUE!</v>
      </c>
      <c r="S955" t="e">
        <f t="shared" ca="1" si="456"/>
        <v>#VALUE!</v>
      </c>
      <c r="T955" t="e">
        <f t="shared" ca="1" si="457"/>
        <v>#VALUE!</v>
      </c>
      <c r="U955" t="e">
        <f t="shared" ca="1" si="478"/>
        <v>#VALUE!</v>
      </c>
      <c r="V955" t="e">
        <f t="shared" ca="1" si="479"/>
        <v>#VALUE!</v>
      </c>
      <c r="W955" t="e">
        <f t="shared" ca="1" si="458"/>
        <v>#VALUE!</v>
      </c>
      <c r="X955" t="e">
        <f t="shared" ca="1" si="459"/>
        <v>#VALUE!</v>
      </c>
      <c r="Y955" t="e">
        <f t="shared" ca="1" si="460"/>
        <v>#VALUE!</v>
      </c>
      <c r="Z955" t="e">
        <f t="shared" ca="1" si="461"/>
        <v>#VALUE!</v>
      </c>
      <c r="AA955" t="e">
        <f t="shared" ca="1" si="462"/>
        <v>#VALUE!</v>
      </c>
      <c r="AB955" t="e">
        <f t="shared" ca="1" si="463"/>
        <v>#VALUE!</v>
      </c>
      <c r="AC955" t="e">
        <f t="shared" ca="1" si="464"/>
        <v>#VALUE!</v>
      </c>
      <c r="AD955" t="e">
        <f t="shared" ca="1" si="465"/>
        <v>#VALUE!</v>
      </c>
      <c r="AE955" t="e">
        <f t="shared" ca="1" si="466"/>
        <v>#VALUE!</v>
      </c>
      <c r="AF955" t="e">
        <f t="shared" ca="1" si="467"/>
        <v>#VALUE!</v>
      </c>
      <c r="AG955" t="e">
        <f t="shared" ca="1" si="468"/>
        <v>#VALUE!</v>
      </c>
      <c r="AH955" t="e">
        <f ca="1">IF(V32="Supercritical",L955,IF(V32="Subcritical",W955,IF(AND(V955=1,AG955=1),IF(T955&gt;=AE955,L955,W955),IF(V955=1,L955,IF(AG955=1,W955,MAX($D$16,POWER((ABS(K955)^2)/($I$5*MAX(F955,0.1)^2),1/3)))))))</f>
        <v>#VALUE!</v>
      </c>
      <c r="AI955" t="e">
        <f t="shared" ca="1" si="469"/>
        <v>#VALUE!</v>
      </c>
      <c r="AJ955" t="e">
        <f t="shared" ca="1" si="470"/>
        <v>#VALUE!</v>
      </c>
      <c r="AM955">
        <v>0</v>
      </c>
      <c r="AN955">
        <v>0</v>
      </c>
      <c r="AO955">
        <f t="shared" si="471"/>
        <v>0</v>
      </c>
      <c r="AP955">
        <f t="shared" si="480"/>
        <v>0</v>
      </c>
      <c r="AQ955" t="e">
        <f t="shared" ca="1" si="472"/>
        <v>#VALUE!</v>
      </c>
      <c r="AR955" t="e">
        <f t="shared" ca="1" si="473"/>
        <v>#VALUE!</v>
      </c>
      <c r="AS955" t="e">
        <f t="shared" ca="1" si="474"/>
        <v>#VALUE!</v>
      </c>
    </row>
    <row r="956" spans="1:45" x14ac:dyDescent="0.35">
      <c r="A956">
        <v>807</v>
      </c>
      <c r="B956">
        <v>805.89</v>
      </c>
      <c r="C956">
        <v>616089.36399999994</v>
      </c>
      <c r="D956">
        <v>3097197.875</v>
      </c>
      <c r="E956">
        <v>632.15899999999999</v>
      </c>
      <c r="F956">
        <v>5.2</v>
      </c>
      <c r="G956">
        <v>0</v>
      </c>
      <c r="H956" t="s">
        <v>191</v>
      </c>
      <c r="I956">
        <v>5.5E-2</v>
      </c>
      <c r="J956">
        <f t="shared" si="475"/>
        <v>1.0009999999999764</v>
      </c>
      <c r="K956">
        <f t="shared" si="476"/>
        <v>51</v>
      </c>
      <c r="L956" t="e">
        <f t="shared" ca="1" si="477"/>
        <v>#VALUE!</v>
      </c>
      <c r="M956" t="e">
        <f t="shared" ca="1" si="450"/>
        <v>#VALUE!</v>
      </c>
      <c r="N956" t="e">
        <f t="shared" ca="1" si="451"/>
        <v>#VALUE!</v>
      </c>
      <c r="O956" t="e">
        <f t="shared" ca="1" si="452"/>
        <v>#VALUE!</v>
      </c>
      <c r="P956" t="e">
        <f t="shared" ca="1" si="453"/>
        <v>#VALUE!</v>
      </c>
      <c r="Q956" t="e">
        <f t="shared" ca="1" si="454"/>
        <v>#VALUE!</v>
      </c>
      <c r="R956" t="e">
        <f t="shared" ca="1" si="455"/>
        <v>#VALUE!</v>
      </c>
      <c r="S956" t="e">
        <f t="shared" ca="1" si="456"/>
        <v>#VALUE!</v>
      </c>
      <c r="T956" t="e">
        <f t="shared" ca="1" si="457"/>
        <v>#VALUE!</v>
      </c>
      <c r="U956" t="e">
        <f t="shared" ca="1" si="478"/>
        <v>#VALUE!</v>
      </c>
      <c r="V956" t="e">
        <f t="shared" ca="1" si="479"/>
        <v>#VALUE!</v>
      </c>
      <c r="W956" t="e">
        <f t="shared" ca="1" si="458"/>
        <v>#VALUE!</v>
      </c>
      <c r="X956" t="e">
        <f t="shared" ca="1" si="459"/>
        <v>#VALUE!</v>
      </c>
      <c r="Y956" t="e">
        <f t="shared" ca="1" si="460"/>
        <v>#VALUE!</v>
      </c>
      <c r="Z956" t="e">
        <f t="shared" ca="1" si="461"/>
        <v>#VALUE!</v>
      </c>
      <c r="AA956" t="e">
        <f t="shared" ca="1" si="462"/>
        <v>#VALUE!</v>
      </c>
      <c r="AB956" t="e">
        <f t="shared" ca="1" si="463"/>
        <v>#VALUE!</v>
      </c>
      <c r="AC956" t="e">
        <f t="shared" ca="1" si="464"/>
        <v>#VALUE!</v>
      </c>
      <c r="AD956" t="e">
        <f t="shared" ca="1" si="465"/>
        <v>#VALUE!</v>
      </c>
      <c r="AE956" t="e">
        <f t="shared" ca="1" si="466"/>
        <v>#VALUE!</v>
      </c>
      <c r="AF956" t="e">
        <f t="shared" ca="1" si="467"/>
        <v>#VALUE!</v>
      </c>
      <c r="AG956" t="e">
        <f t="shared" ca="1" si="468"/>
        <v>#VALUE!</v>
      </c>
      <c r="AH956" t="e">
        <f ca="1">IF(V32="Supercritical",L956,IF(V32="Subcritical",W956,IF(AND(V956=1,AG956=1),IF(T956&gt;=AE956,L956,W956),IF(V956=1,L956,IF(AG956=1,W956,MAX($D$16,POWER((ABS(K956)^2)/($I$5*MAX(F956,0.1)^2),1/3)))))))</f>
        <v>#VALUE!</v>
      </c>
      <c r="AI956" t="e">
        <f t="shared" ca="1" si="469"/>
        <v>#VALUE!</v>
      </c>
      <c r="AJ956" t="e">
        <f t="shared" ca="1" si="470"/>
        <v>#VALUE!</v>
      </c>
      <c r="AM956">
        <v>0</v>
      </c>
      <c r="AN956">
        <v>0</v>
      </c>
      <c r="AO956">
        <f t="shared" si="471"/>
        <v>0</v>
      </c>
      <c r="AP956">
        <f t="shared" si="480"/>
        <v>0</v>
      </c>
      <c r="AQ956" t="e">
        <f t="shared" ca="1" si="472"/>
        <v>#VALUE!</v>
      </c>
      <c r="AR956" t="e">
        <f t="shared" ca="1" si="473"/>
        <v>#VALUE!</v>
      </c>
      <c r="AS956" t="e">
        <f t="shared" ca="1" si="474"/>
        <v>#VALUE!</v>
      </c>
    </row>
    <row r="957" spans="1:45" x14ac:dyDescent="0.35">
      <c r="A957">
        <v>808</v>
      </c>
      <c r="B957">
        <v>806.89</v>
      </c>
      <c r="C957">
        <v>616089.32200000004</v>
      </c>
      <c r="D957">
        <v>3097196.8760000002</v>
      </c>
      <c r="E957">
        <v>632.1585</v>
      </c>
      <c r="F957">
        <v>5.2</v>
      </c>
      <c r="G957">
        <v>0</v>
      </c>
      <c r="H957" t="s">
        <v>191</v>
      </c>
      <c r="I957">
        <v>0</v>
      </c>
      <c r="J957">
        <f t="shared" si="475"/>
        <v>1</v>
      </c>
      <c r="K957">
        <f t="shared" si="476"/>
        <v>51</v>
      </c>
      <c r="L957" t="e">
        <f t="shared" ca="1" si="477"/>
        <v>#VALUE!</v>
      </c>
      <c r="M957" t="e">
        <f t="shared" ca="1" si="450"/>
        <v>#VALUE!</v>
      </c>
      <c r="N957" t="e">
        <f t="shared" ca="1" si="451"/>
        <v>#VALUE!</v>
      </c>
      <c r="O957" t="e">
        <f t="shared" ca="1" si="452"/>
        <v>#VALUE!</v>
      </c>
      <c r="P957" t="e">
        <f t="shared" ca="1" si="453"/>
        <v>#VALUE!</v>
      </c>
      <c r="Q957" t="e">
        <f t="shared" ca="1" si="454"/>
        <v>#VALUE!</v>
      </c>
      <c r="R957" t="e">
        <f t="shared" ca="1" si="455"/>
        <v>#VALUE!</v>
      </c>
      <c r="S957" t="e">
        <f t="shared" ca="1" si="456"/>
        <v>#VALUE!</v>
      </c>
      <c r="T957" t="e">
        <f t="shared" ca="1" si="457"/>
        <v>#VALUE!</v>
      </c>
      <c r="U957" t="e">
        <f t="shared" ca="1" si="478"/>
        <v>#VALUE!</v>
      </c>
      <c r="V957" t="e">
        <f t="shared" ca="1" si="479"/>
        <v>#VALUE!</v>
      </c>
      <c r="W957" t="e">
        <f t="shared" ca="1" si="458"/>
        <v>#VALUE!</v>
      </c>
      <c r="X957" t="e">
        <f t="shared" ca="1" si="459"/>
        <v>#VALUE!</v>
      </c>
      <c r="Y957" t="e">
        <f t="shared" ca="1" si="460"/>
        <v>#VALUE!</v>
      </c>
      <c r="Z957" t="e">
        <f t="shared" ca="1" si="461"/>
        <v>#VALUE!</v>
      </c>
      <c r="AA957" t="e">
        <f t="shared" ca="1" si="462"/>
        <v>#VALUE!</v>
      </c>
      <c r="AB957" t="e">
        <f t="shared" ca="1" si="463"/>
        <v>#VALUE!</v>
      </c>
      <c r="AC957" t="e">
        <f t="shared" ca="1" si="464"/>
        <v>#VALUE!</v>
      </c>
      <c r="AD957" t="e">
        <f t="shared" ca="1" si="465"/>
        <v>#VALUE!</v>
      </c>
      <c r="AE957" t="e">
        <f t="shared" ca="1" si="466"/>
        <v>#VALUE!</v>
      </c>
      <c r="AF957" t="e">
        <f t="shared" ca="1" si="467"/>
        <v>#VALUE!</v>
      </c>
      <c r="AG957" t="e">
        <f t="shared" ca="1" si="468"/>
        <v>#VALUE!</v>
      </c>
      <c r="AH957" t="e">
        <f ca="1">IF(V32="Supercritical",L957,IF(V32="Subcritical",W957,IF(AND(V957=1,AG957=1),IF(T957&gt;=AE957,L957,W957),IF(V957=1,L957,IF(AG957=1,W957,MAX($D$16,POWER((ABS(K957)^2)/($I$5*MAX(F957,0.1)^2),1/3)))))))</f>
        <v>#VALUE!</v>
      </c>
      <c r="AI957" t="e">
        <f t="shared" ca="1" si="469"/>
        <v>#VALUE!</v>
      </c>
      <c r="AJ957" t="e">
        <f t="shared" ca="1" si="470"/>
        <v>#VALUE!</v>
      </c>
      <c r="AM957">
        <v>0</v>
      </c>
      <c r="AN957">
        <v>0</v>
      </c>
      <c r="AO957">
        <f t="shared" si="471"/>
        <v>0</v>
      </c>
      <c r="AP957">
        <f t="shared" si="480"/>
        <v>0</v>
      </c>
      <c r="AQ957" t="e">
        <f t="shared" ca="1" si="472"/>
        <v>#VALUE!</v>
      </c>
      <c r="AR957" t="e">
        <f t="shared" ca="1" si="473"/>
        <v>#VALUE!</v>
      </c>
      <c r="AS957" t="e">
        <f t="shared" ca="1" si="474"/>
        <v>#VALUE!</v>
      </c>
    </row>
    <row r="958" spans="1:45" x14ac:dyDescent="0.35">
      <c r="A958">
        <v>809</v>
      </c>
      <c r="B958">
        <v>807.88900000000001</v>
      </c>
      <c r="C958">
        <v>616089.28</v>
      </c>
      <c r="D958">
        <v>3097195.8769999999</v>
      </c>
      <c r="E958">
        <v>632.15800000000002</v>
      </c>
      <c r="F958">
        <v>5.2</v>
      </c>
      <c r="G958">
        <v>0</v>
      </c>
      <c r="H958" t="s">
        <v>191</v>
      </c>
      <c r="I958">
        <v>5.7000000000000002E-2</v>
      </c>
      <c r="J958">
        <f t="shared" si="475"/>
        <v>0.99900000000002365</v>
      </c>
      <c r="K958">
        <f t="shared" si="476"/>
        <v>51</v>
      </c>
      <c r="L958" t="e">
        <f t="shared" ca="1" si="477"/>
        <v>#VALUE!</v>
      </c>
      <c r="M958" t="e">
        <f t="shared" ca="1" si="450"/>
        <v>#VALUE!</v>
      </c>
      <c r="N958" t="e">
        <f t="shared" ca="1" si="451"/>
        <v>#VALUE!</v>
      </c>
      <c r="O958" t="e">
        <f t="shared" ca="1" si="452"/>
        <v>#VALUE!</v>
      </c>
      <c r="P958" t="e">
        <f t="shared" ca="1" si="453"/>
        <v>#VALUE!</v>
      </c>
      <c r="Q958" t="e">
        <f t="shared" ca="1" si="454"/>
        <v>#VALUE!</v>
      </c>
      <c r="R958" t="e">
        <f t="shared" ca="1" si="455"/>
        <v>#VALUE!</v>
      </c>
      <c r="S958" t="e">
        <f t="shared" ca="1" si="456"/>
        <v>#VALUE!</v>
      </c>
      <c r="T958" t="e">
        <f t="shared" ca="1" si="457"/>
        <v>#VALUE!</v>
      </c>
      <c r="U958" t="e">
        <f t="shared" ca="1" si="478"/>
        <v>#VALUE!</v>
      </c>
      <c r="V958" t="e">
        <f t="shared" ca="1" si="479"/>
        <v>#VALUE!</v>
      </c>
      <c r="W958" t="e">
        <f t="shared" ca="1" si="458"/>
        <v>#VALUE!</v>
      </c>
      <c r="X958" t="e">
        <f t="shared" ca="1" si="459"/>
        <v>#VALUE!</v>
      </c>
      <c r="Y958" t="e">
        <f t="shared" ca="1" si="460"/>
        <v>#VALUE!</v>
      </c>
      <c r="Z958" t="e">
        <f t="shared" ca="1" si="461"/>
        <v>#VALUE!</v>
      </c>
      <c r="AA958" t="e">
        <f t="shared" ca="1" si="462"/>
        <v>#VALUE!</v>
      </c>
      <c r="AB958" t="e">
        <f t="shared" ca="1" si="463"/>
        <v>#VALUE!</v>
      </c>
      <c r="AC958" t="e">
        <f t="shared" ca="1" si="464"/>
        <v>#VALUE!</v>
      </c>
      <c r="AD958" t="e">
        <f t="shared" ca="1" si="465"/>
        <v>#VALUE!</v>
      </c>
      <c r="AE958" t="e">
        <f t="shared" ca="1" si="466"/>
        <v>#VALUE!</v>
      </c>
      <c r="AF958" t="e">
        <f t="shared" ca="1" si="467"/>
        <v>#VALUE!</v>
      </c>
      <c r="AG958" t="e">
        <f t="shared" ca="1" si="468"/>
        <v>#VALUE!</v>
      </c>
      <c r="AH958" t="e">
        <f ca="1">IF(V32="Supercritical",L958,IF(V32="Subcritical",W958,IF(AND(V958=1,AG958=1),IF(T958&gt;=AE958,L958,W958),IF(V958=1,L958,IF(AG958=1,W958,MAX($D$16,POWER((ABS(K958)^2)/($I$5*MAX(F958,0.1)^2),1/3)))))))</f>
        <v>#VALUE!</v>
      </c>
      <c r="AI958" t="e">
        <f t="shared" ca="1" si="469"/>
        <v>#VALUE!</v>
      </c>
      <c r="AJ958" t="e">
        <f t="shared" ca="1" si="470"/>
        <v>#VALUE!</v>
      </c>
      <c r="AM958">
        <v>0</v>
      </c>
      <c r="AN958">
        <v>0</v>
      </c>
      <c r="AO958">
        <f t="shared" si="471"/>
        <v>0</v>
      </c>
      <c r="AP958">
        <f t="shared" si="480"/>
        <v>0</v>
      </c>
      <c r="AQ958" t="e">
        <f t="shared" ca="1" si="472"/>
        <v>#VALUE!</v>
      </c>
      <c r="AR958" t="e">
        <f t="shared" ca="1" si="473"/>
        <v>#VALUE!</v>
      </c>
      <c r="AS958" t="e">
        <f t="shared" ca="1" si="474"/>
        <v>#VALUE!</v>
      </c>
    </row>
    <row r="959" spans="1:45" x14ac:dyDescent="0.35">
      <c r="A959">
        <v>810</v>
      </c>
      <c r="B959">
        <v>808.88900000000001</v>
      </c>
      <c r="C959">
        <v>616089.23699999996</v>
      </c>
      <c r="D959">
        <v>3097194.878</v>
      </c>
      <c r="E959">
        <v>632.15750000000003</v>
      </c>
      <c r="F959">
        <v>5.2</v>
      </c>
      <c r="G959">
        <v>0</v>
      </c>
      <c r="H959" t="s">
        <v>191</v>
      </c>
      <c r="I959">
        <v>5.7000000000000002E-2</v>
      </c>
      <c r="J959">
        <f t="shared" si="475"/>
        <v>1</v>
      </c>
      <c r="K959">
        <f t="shared" si="476"/>
        <v>51</v>
      </c>
      <c r="L959" t="e">
        <f t="shared" ca="1" si="477"/>
        <v>#VALUE!</v>
      </c>
      <c r="M959" t="e">
        <f t="shared" ca="1" si="450"/>
        <v>#VALUE!</v>
      </c>
      <c r="N959" t="e">
        <f t="shared" ca="1" si="451"/>
        <v>#VALUE!</v>
      </c>
      <c r="O959" t="e">
        <f t="shared" ca="1" si="452"/>
        <v>#VALUE!</v>
      </c>
      <c r="P959" t="e">
        <f t="shared" ca="1" si="453"/>
        <v>#VALUE!</v>
      </c>
      <c r="Q959" t="e">
        <f t="shared" ca="1" si="454"/>
        <v>#VALUE!</v>
      </c>
      <c r="R959" t="e">
        <f t="shared" ca="1" si="455"/>
        <v>#VALUE!</v>
      </c>
      <c r="S959" t="e">
        <f t="shared" ca="1" si="456"/>
        <v>#VALUE!</v>
      </c>
      <c r="T959" t="e">
        <f t="shared" ca="1" si="457"/>
        <v>#VALUE!</v>
      </c>
      <c r="U959" t="e">
        <f t="shared" ca="1" si="478"/>
        <v>#VALUE!</v>
      </c>
      <c r="V959" t="e">
        <f t="shared" ca="1" si="479"/>
        <v>#VALUE!</v>
      </c>
      <c r="W959" t="e">
        <f t="shared" ca="1" si="458"/>
        <v>#VALUE!</v>
      </c>
      <c r="X959" t="e">
        <f t="shared" ca="1" si="459"/>
        <v>#VALUE!</v>
      </c>
      <c r="Y959" t="e">
        <f t="shared" ca="1" si="460"/>
        <v>#VALUE!</v>
      </c>
      <c r="Z959" t="e">
        <f t="shared" ca="1" si="461"/>
        <v>#VALUE!</v>
      </c>
      <c r="AA959" t="e">
        <f t="shared" ca="1" si="462"/>
        <v>#VALUE!</v>
      </c>
      <c r="AB959" t="e">
        <f t="shared" ca="1" si="463"/>
        <v>#VALUE!</v>
      </c>
      <c r="AC959" t="e">
        <f t="shared" ca="1" si="464"/>
        <v>#VALUE!</v>
      </c>
      <c r="AD959" t="e">
        <f t="shared" ca="1" si="465"/>
        <v>#VALUE!</v>
      </c>
      <c r="AE959" t="e">
        <f t="shared" ca="1" si="466"/>
        <v>#VALUE!</v>
      </c>
      <c r="AF959" t="e">
        <f t="shared" ca="1" si="467"/>
        <v>#VALUE!</v>
      </c>
      <c r="AG959" t="e">
        <f t="shared" ca="1" si="468"/>
        <v>#VALUE!</v>
      </c>
      <c r="AH959" t="e">
        <f ca="1">IF(V32="Supercritical",L959,IF(V32="Subcritical",W959,IF(AND(V959=1,AG959=1),IF(T959&gt;=AE959,L959,W959),IF(V959=1,L959,IF(AG959=1,W959,MAX($D$16,POWER((ABS(K959)^2)/($I$5*MAX(F959,0.1)^2),1/3)))))))</f>
        <v>#VALUE!</v>
      </c>
      <c r="AI959" t="e">
        <f t="shared" ca="1" si="469"/>
        <v>#VALUE!</v>
      </c>
      <c r="AJ959" t="e">
        <f t="shared" ca="1" si="470"/>
        <v>#VALUE!</v>
      </c>
      <c r="AM959">
        <v>0</v>
      </c>
      <c r="AN959">
        <v>0</v>
      </c>
      <c r="AO959">
        <f t="shared" si="471"/>
        <v>0</v>
      </c>
      <c r="AP959">
        <f t="shared" si="480"/>
        <v>0</v>
      </c>
      <c r="AQ959" t="e">
        <f t="shared" ca="1" si="472"/>
        <v>#VALUE!</v>
      </c>
      <c r="AR959" t="e">
        <f t="shared" ca="1" si="473"/>
        <v>#VALUE!</v>
      </c>
      <c r="AS959" t="e">
        <f t="shared" ca="1" si="474"/>
        <v>#VALUE!</v>
      </c>
    </row>
    <row r="960" spans="1:45" x14ac:dyDescent="0.35">
      <c r="A960">
        <v>811</v>
      </c>
      <c r="B960">
        <v>809.88900000000001</v>
      </c>
      <c r="C960">
        <v>616089.19499999995</v>
      </c>
      <c r="D960">
        <v>3097193.8790000002</v>
      </c>
      <c r="E960">
        <v>632.15700000000004</v>
      </c>
      <c r="F960">
        <v>5.2</v>
      </c>
      <c r="G960">
        <v>0</v>
      </c>
      <c r="H960" t="s">
        <v>191</v>
      </c>
      <c r="I960">
        <v>0</v>
      </c>
      <c r="J960">
        <f t="shared" si="475"/>
        <v>1</v>
      </c>
      <c r="K960">
        <f t="shared" si="476"/>
        <v>51</v>
      </c>
      <c r="L960" t="e">
        <f t="shared" ca="1" si="477"/>
        <v>#VALUE!</v>
      </c>
      <c r="M960" t="e">
        <f t="shared" ca="1" si="450"/>
        <v>#VALUE!</v>
      </c>
      <c r="N960" t="e">
        <f t="shared" ca="1" si="451"/>
        <v>#VALUE!</v>
      </c>
      <c r="O960" t="e">
        <f t="shared" ca="1" si="452"/>
        <v>#VALUE!</v>
      </c>
      <c r="P960" t="e">
        <f t="shared" ca="1" si="453"/>
        <v>#VALUE!</v>
      </c>
      <c r="Q960" t="e">
        <f t="shared" ca="1" si="454"/>
        <v>#VALUE!</v>
      </c>
      <c r="R960" t="e">
        <f t="shared" ca="1" si="455"/>
        <v>#VALUE!</v>
      </c>
      <c r="S960" t="e">
        <f t="shared" ca="1" si="456"/>
        <v>#VALUE!</v>
      </c>
      <c r="T960" t="e">
        <f t="shared" ca="1" si="457"/>
        <v>#VALUE!</v>
      </c>
      <c r="U960" t="e">
        <f t="shared" ca="1" si="478"/>
        <v>#VALUE!</v>
      </c>
      <c r="V960" t="e">
        <f t="shared" ca="1" si="479"/>
        <v>#VALUE!</v>
      </c>
      <c r="W960" t="e">
        <f t="shared" ca="1" si="458"/>
        <v>#VALUE!</v>
      </c>
      <c r="X960" t="e">
        <f t="shared" ca="1" si="459"/>
        <v>#VALUE!</v>
      </c>
      <c r="Y960" t="e">
        <f t="shared" ca="1" si="460"/>
        <v>#VALUE!</v>
      </c>
      <c r="Z960" t="e">
        <f t="shared" ca="1" si="461"/>
        <v>#VALUE!</v>
      </c>
      <c r="AA960" t="e">
        <f t="shared" ca="1" si="462"/>
        <v>#VALUE!</v>
      </c>
      <c r="AB960" t="e">
        <f t="shared" ca="1" si="463"/>
        <v>#VALUE!</v>
      </c>
      <c r="AC960" t="e">
        <f t="shared" ca="1" si="464"/>
        <v>#VALUE!</v>
      </c>
      <c r="AD960" t="e">
        <f t="shared" ca="1" si="465"/>
        <v>#VALUE!</v>
      </c>
      <c r="AE960" t="e">
        <f t="shared" ca="1" si="466"/>
        <v>#VALUE!</v>
      </c>
      <c r="AF960" t="e">
        <f t="shared" ca="1" si="467"/>
        <v>#VALUE!</v>
      </c>
      <c r="AG960" t="e">
        <f t="shared" ca="1" si="468"/>
        <v>#VALUE!</v>
      </c>
      <c r="AH960" t="e">
        <f ca="1">IF(V32="Supercritical",L960,IF(V32="Subcritical",W960,IF(AND(V960=1,AG960=1),IF(T960&gt;=AE960,L960,W960),IF(V960=1,L960,IF(AG960=1,W960,MAX($D$16,POWER((ABS(K960)^2)/($I$5*MAX(F960,0.1)^2),1/3)))))))</f>
        <v>#VALUE!</v>
      </c>
      <c r="AI960" t="e">
        <f t="shared" ca="1" si="469"/>
        <v>#VALUE!</v>
      </c>
      <c r="AJ960" t="e">
        <f t="shared" ca="1" si="470"/>
        <v>#VALUE!</v>
      </c>
      <c r="AM960">
        <v>0</v>
      </c>
      <c r="AN960">
        <v>0</v>
      </c>
      <c r="AO960">
        <f t="shared" si="471"/>
        <v>0</v>
      </c>
      <c r="AP960">
        <f t="shared" si="480"/>
        <v>0</v>
      </c>
      <c r="AQ960" t="e">
        <f t="shared" ca="1" si="472"/>
        <v>#VALUE!</v>
      </c>
      <c r="AR960" t="e">
        <f t="shared" ca="1" si="473"/>
        <v>#VALUE!</v>
      </c>
      <c r="AS960" t="e">
        <f t="shared" ca="1" si="474"/>
        <v>#VALUE!</v>
      </c>
    </row>
    <row r="961" spans="1:45" x14ac:dyDescent="0.35">
      <c r="A961">
        <v>812</v>
      </c>
      <c r="B961">
        <v>810.88900000000001</v>
      </c>
      <c r="C961">
        <v>616089.15300000005</v>
      </c>
      <c r="D961">
        <v>3097192.88</v>
      </c>
      <c r="E961">
        <v>632.15650000000005</v>
      </c>
      <c r="F961">
        <v>5.2</v>
      </c>
      <c r="G961">
        <v>0</v>
      </c>
      <c r="H961" t="s">
        <v>191</v>
      </c>
      <c r="I961">
        <v>0</v>
      </c>
      <c r="J961">
        <f t="shared" si="475"/>
        <v>1</v>
      </c>
      <c r="K961">
        <f t="shared" si="476"/>
        <v>51</v>
      </c>
      <c r="L961" t="e">
        <f t="shared" ca="1" si="477"/>
        <v>#VALUE!</v>
      </c>
      <c r="M961" t="e">
        <f t="shared" ca="1" si="450"/>
        <v>#VALUE!</v>
      </c>
      <c r="N961" t="e">
        <f t="shared" ca="1" si="451"/>
        <v>#VALUE!</v>
      </c>
      <c r="O961" t="e">
        <f t="shared" ca="1" si="452"/>
        <v>#VALUE!</v>
      </c>
      <c r="P961" t="e">
        <f t="shared" ca="1" si="453"/>
        <v>#VALUE!</v>
      </c>
      <c r="Q961" t="e">
        <f t="shared" ca="1" si="454"/>
        <v>#VALUE!</v>
      </c>
      <c r="R961" t="e">
        <f t="shared" ca="1" si="455"/>
        <v>#VALUE!</v>
      </c>
      <c r="S961" t="e">
        <f t="shared" ca="1" si="456"/>
        <v>#VALUE!</v>
      </c>
      <c r="T961" t="e">
        <f t="shared" ca="1" si="457"/>
        <v>#VALUE!</v>
      </c>
      <c r="U961" t="e">
        <f t="shared" ca="1" si="478"/>
        <v>#VALUE!</v>
      </c>
      <c r="V961" t="e">
        <f t="shared" ca="1" si="479"/>
        <v>#VALUE!</v>
      </c>
      <c r="W961" t="e">
        <f t="shared" ca="1" si="458"/>
        <v>#VALUE!</v>
      </c>
      <c r="X961" t="e">
        <f t="shared" ca="1" si="459"/>
        <v>#VALUE!</v>
      </c>
      <c r="Y961" t="e">
        <f t="shared" ca="1" si="460"/>
        <v>#VALUE!</v>
      </c>
      <c r="Z961" t="e">
        <f t="shared" ca="1" si="461"/>
        <v>#VALUE!</v>
      </c>
      <c r="AA961" t="e">
        <f t="shared" ca="1" si="462"/>
        <v>#VALUE!</v>
      </c>
      <c r="AB961" t="e">
        <f t="shared" ca="1" si="463"/>
        <v>#VALUE!</v>
      </c>
      <c r="AC961" t="e">
        <f t="shared" ca="1" si="464"/>
        <v>#VALUE!</v>
      </c>
      <c r="AD961" t="e">
        <f t="shared" ca="1" si="465"/>
        <v>#VALUE!</v>
      </c>
      <c r="AE961" t="e">
        <f t="shared" ca="1" si="466"/>
        <v>#VALUE!</v>
      </c>
      <c r="AF961" t="e">
        <f t="shared" ca="1" si="467"/>
        <v>#VALUE!</v>
      </c>
      <c r="AG961" t="e">
        <f t="shared" ca="1" si="468"/>
        <v>#VALUE!</v>
      </c>
      <c r="AH961" t="e">
        <f ca="1">IF(V32="Supercritical",L961,IF(V32="Subcritical",W961,IF(AND(V961=1,AG961=1),IF(T961&gt;=AE961,L961,W961),IF(V961=1,L961,IF(AG961=1,W961,MAX($D$16,POWER((ABS(K961)^2)/($I$5*MAX(F961,0.1)^2),1/3)))))))</f>
        <v>#VALUE!</v>
      </c>
      <c r="AI961" t="e">
        <f t="shared" ca="1" si="469"/>
        <v>#VALUE!</v>
      </c>
      <c r="AJ961" t="e">
        <f t="shared" ca="1" si="470"/>
        <v>#VALUE!</v>
      </c>
      <c r="AM961">
        <v>0</v>
      </c>
      <c r="AN961">
        <v>0</v>
      </c>
      <c r="AO961">
        <f t="shared" si="471"/>
        <v>0</v>
      </c>
      <c r="AP961">
        <f t="shared" si="480"/>
        <v>0</v>
      </c>
      <c r="AQ961" t="e">
        <f t="shared" ca="1" si="472"/>
        <v>#VALUE!</v>
      </c>
      <c r="AR961" t="e">
        <f t="shared" ca="1" si="473"/>
        <v>#VALUE!</v>
      </c>
      <c r="AS961" t="e">
        <f t="shared" ca="1" si="474"/>
        <v>#VALUE!</v>
      </c>
    </row>
    <row r="962" spans="1:45" x14ac:dyDescent="0.35">
      <c r="A962">
        <v>813</v>
      </c>
      <c r="B962">
        <v>811.88900000000001</v>
      </c>
      <c r="C962">
        <v>616089.11100000003</v>
      </c>
      <c r="D962">
        <v>3097191.8810000001</v>
      </c>
      <c r="E962">
        <v>632.15599999999995</v>
      </c>
      <c r="F962">
        <v>5.2</v>
      </c>
      <c r="G962">
        <v>0</v>
      </c>
      <c r="H962" t="s">
        <v>191</v>
      </c>
      <c r="I962">
        <v>5.7000000000000002E-2</v>
      </c>
      <c r="J962">
        <f t="shared" si="475"/>
        <v>1</v>
      </c>
      <c r="K962">
        <f t="shared" si="476"/>
        <v>51</v>
      </c>
      <c r="L962" t="e">
        <f t="shared" ca="1" si="477"/>
        <v>#VALUE!</v>
      </c>
      <c r="M962" t="e">
        <f t="shared" ca="1" si="450"/>
        <v>#VALUE!</v>
      </c>
      <c r="N962" t="e">
        <f t="shared" ca="1" si="451"/>
        <v>#VALUE!</v>
      </c>
      <c r="O962" t="e">
        <f t="shared" ca="1" si="452"/>
        <v>#VALUE!</v>
      </c>
      <c r="P962" t="e">
        <f t="shared" ca="1" si="453"/>
        <v>#VALUE!</v>
      </c>
      <c r="Q962" t="e">
        <f t="shared" ca="1" si="454"/>
        <v>#VALUE!</v>
      </c>
      <c r="R962" t="e">
        <f t="shared" ca="1" si="455"/>
        <v>#VALUE!</v>
      </c>
      <c r="S962" t="e">
        <f t="shared" ca="1" si="456"/>
        <v>#VALUE!</v>
      </c>
      <c r="T962" t="e">
        <f t="shared" ca="1" si="457"/>
        <v>#VALUE!</v>
      </c>
      <c r="U962" t="e">
        <f t="shared" ca="1" si="478"/>
        <v>#VALUE!</v>
      </c>
      <c r="V962" t="e">
        <f t="shared" ca="1" si="479"/>
        <v>#VALUE!</v>
      </c>
      <c r="W962" t="e">
        <f t="shared" ca="1" si="458"/>
        <v>#VALUE!</v>
      </c>
      <c r="X962" t="e">
        <f t="shared" ca="1" si="459"/>
        <v>#VALUE!</v>
      </c>
      <c r="Y962" t="e">
        <f t="shared" ca="1" si="460"/>
        <v>#VALUE!</v>
      </c>
      <c r="Z962" t="e">
        <f t="shared" ca="1" si="461"/>
        <v>#VALUE!</v>
      </c>
      <c r="AA962" t="e">
        <f t="shared" ca="1" si="462"/>
        <v>#VALUE!</v>
      </c>
      <c r="AB962" t="e">
        <f t="shared" ca="1" si="463"/>
        <v>#VALUE!</v>
      </c>
      <c r="AC962" t="e">
        <f t="shared" ca="1" si="464"/>
        <v>#VALUE!</v>
      </c>
      <c r="AD962" t="e">
        <f t="shared" ca="1" si="465"/>
        <v>#VALUE!</v>
      </c>
      <c r="AE962" t="e">
        <f t="shared" ca="1" si="466"/>
        <v>#VALUE!</v>
      </c>
      <c r="AF962" t="e">
        <f t="shared" ca="1" si="467"/>
        <v>#VALUE!</v>
      </c>
      <c r="AG962" t="e">
        <f t="shared" ca="1" si="468"/>
        <v>#VALUE!</v>
      </c>
      <c r="AH962" t="e">
        <f ca="1">IF(V32="Supercritical",L962,IF(V32="Subcritical",W962,IF(AND(V962=1,AG962=1),IF(T962&gt;=AE962,L962,W962),IF(V962=1,L962,IF(AG962=1,W962,MAX($D$16,POWER((ABS(K962)^2)/($I$5*MAX(F962,0.1)^2),1/3)))))))</f>
        <v>#VALUE!</v>
      </c>
      <c r="AI962" t="e">
        <f t="shared" ca="1" si="469"/>
        <v>#VALUE!</v>
      </c>
      <c r="AJ962" t="e">
        <f t="shared" ca="1" si="470"/>
        <v>#VALUE!</v>
      </c>
      <c r="AM962">
        <v>0</v>
      </c>
      <c r="AN962">
        <v>0</v>
      </c>
      <c r="AO962">
        <f t="shared" si="471"/>
        <v>0</v>
      </c>
      <c r="AP962">
        <f t="shared" si="480"/>
        <v>0</v>
      </c>
      <c r="AQ962" t="e">
        <f t="shared" ca="1" si="472"/>
        <v>#VALUE!</v>
      </c>
      <c r="AR962" t="e">
        <f t="shared" ca="1" si="473"/>
        <v>#VALUE!</v>
      </c>
      <c r="AS962" t="e">
        <f t="shared" ca="1" si="474"/>
        <v>#VALUE!</v>
      </c>
    </row>
    <row r="963" spans="1:45" x14ac:dyDescent="0.35">
      <c r="A963">
        <v>814</v>
      </c>
      <c r="B963">
        <v>812.88900000000001</v>
      </c>
      <c r="C963">
        <v>616089.06799999997</v>
      </c>
      <c r="D963">
        <v>3097190.8820000002</v>
      </c>
      <c r="E963">
        <v>632.15549999999996</v>
      </c>
      <c r="F963">
        <v>5.2</v>
      </c>
      <c r="G963">
        <v>0</v>
      </c>
      <c r="H963" t="s">
        <v>191</v>
      </c>
      <c r="I963">
        <v>5.7000000000000002E-2</v>
      </c>
      <c r="J963">
        <f t="shared" si="475"/>
        <v>1</v>
      </c>
      <c r="K963">
        <f t="shared" si="476"/>
        <v>51</v>
      </c>
      <c r="L963" t="e">
        <f t="shared" ca="1" si="477"/>
        <v>#VALUE!</v>
      </c>
      <c r="M963" t="e">
        <f t="shared" ca="1" si="450"/>
        <v>#VALUE!</v>
      </c>
      <c r="N963" t="e">
        <f t="shared" ca="1" si="451"/>
        <v>#VALUE!</v>
      </c>
      <c r="O963" t="e">
        <f t="shared" ca="1" si="452"/>
        <v>#VALUE!</v>
      </c>
      <c r="P963" t="e">
        <f t="shared" ca="1" si="453"/>
        <v>#VALUE!</v>
      </c>
      <c r="Q963" t="e">
        <f t="shared" ca="1" si="454"/>
        <v>#VALUE!</v>
      </c>
      <c r="R963" t="e">
        <f t="shared" ca="1" si="455"/>
        <v>#VALUE!</v>
      </c>
      <c r="S963" t="e">
        <f t="shared" ca="1" si="456"/>
        <v>#VALUE!</v>
      </c>
      <c r="T963" t="e">
        <f t="shared" ca="1" si="457"/>
        <v>#VALUE!</v>
      </c>
      <c r="U963" t="e">
        <f t="shared" ca="1" si="478"/>
        <v>#VALUE!</v>
      </c>
      <c r="V963" t="e">
        <f t="shared" ca="1" si="479"/>
        <v>#VALUE!</v>
      </c>
      <c r="W963" t="e">
        <f t="shared" ca="1" si="458"/>
        <v>#VALUE!</v>
      </c>
      <c r="X963" t="e">
        <f t="shared" ca="1" si="459"/>
        <v>#VALUE!</v>
      </c>
      <c r="Y963" t="e">
        <f t="shared" ca="1" si="460"/>
        <v>#VALUE!</v>
      </c>
      <c r="Z963" t="e">
        <f t="shared" ca="1" si="461"/>
        <v>#VALUE!</v>
      </c>
      <c r="AA963" t="e">
        <f t="shared" ca="1" si="462"/>
        <v>#VALUE!</v>
      </c>
      <c r="AB963" t="e">
        <f t="shared" ca="1" si="463"/>
        <v>#VALUE!</v>
      </c>
      <c r="AC963" t="e">
        <f t="shared" ca="1" si="464"/>
        <v>#VALUE!</v>
      </c>
      <c r="AD963" t="e">
        <f t="shared" ca="1" si="465"/>
        <v>#VALUE!</v>
      </c>
      <c r="AE963" t="e">
        <f t="shared" ca="1" si="466"/>
        <v>#VALUE!</v>
      </c>
      <c r="AF963" t="e">
        <f t="shared" ca="1" si="467"/>
        <v>#VALUE!</v>
      </c>
      <c r="AG963" t="e">
        <f t="shared" ca="1" si="468"/>
        <v>#VALUE!</v>
      </c>
      <c r="AH963" t="e">
        <f ca="1">IF(V32="Supercritical",L963,IF(V32="Subcritical",W963,IF(AND(V963=1,AG963=1),IF(T963&gt;=AE963,L963,W963),IF(V963=1,L963,IF(AG963=1,W963,MAX($D$16,POWER((ABS(K963)^2)/($I$5*MAX(F963,0.1)^2),1/3)))))))</f>
        <v>#VALUE!</v>
      </c>
      <c r="AI963" t="e">
        <f t="shared" ca="1" si="469"/>
        <v>#VALUE!</v>
      </c>
      <c r="AJ963" t="e">
        <f t="shared" ca="1" si="470"/>
        <v>#VALUE!</v>
      </c>
      <c r="AM963">
        <v>0</v>
      </c>
      <c r="AN963">
        <v>0</v>
      </c>
      <c r="AO963">
        <f t="shared" si="471"/>
        <v>0</v>
      </c>
      <c r="AP963">
        <f t="shared" si="480"/>
        <v>0</v>
      </c>
      <c r="AQ963" t="e">
        <f t="shared" ca="1" si="472"/>
        <v>#VALUE!</v>
      </c>
      <c r="AR963" t="e">
        <f t="shared" ca="1" si="473"/>
        <v>#VALUE!</v>
      </c>
      <c r="AS963" t="e">
        <f t="shared" ca="1" si="474"/>
        <v>#VALUE!</v>
      </c>
    </row>
    <row r="964" spans="1:45" x14ac:dyDescent="0.35">
      <c r="A964">
        <v>815</v>
      </c>
      <c r="B964">
        <v>813.88900000000001</v>
      </c>
      <c r="C964">
        <v>616089.02599999995</v>
      </c>
      <c r="D964">
        <v>3097189.8829999999</v>
      </c>
      <c r="E964">
        <v>632.15499999999997</v>
      </c>
      <c r="F964">
        <v>5.2</v>
      </c>
      <c r="G964">
        <v>0</v>
      </c>
      <c r="H964" t="s">
        <v>191</v>
      </c>
      <c r="I964">
        <v>2E-3</v>
      </c>
      <c r="J964">
        <f t="shared" si="475"/>
        <v>1</v>
      </c>
      <c r="K964">
        <f t="shared" si="476"/>
        <v>51</v>
      </c>
      <c r="L964" t="e">
        <f t="shared" ca="1" si="477"/>
        <v>#VALUE!</v>
      </c>
      <c r="M964" t="e">
        <f t="shared" ca="1" si="450"/>
        <v>#VALUE!</v>
      </c>
      <c r="N964" t="e">
        <f t="shared" ca="1" si="451"/>
        <v>#VALUE!</v>
      </c>
      <c r="O964" t="e">
        <f t="shared" ca="1" si="452"/>
        <v>#VALUE!</v>
      </c>
      <c r="P964" t="e">
        <f t="shared" ca="1" si="453"/>
        <v>#VALUE!</v>
      </c>
      <c r="Q964" t="e">
        <f t="shared" ca="1" si="454"/>
        <v>#VALUE!</v>
      </c>
      <c r="R964" t="e">
        <f t="shared" ca="1" si="455"/>
        <v>#VALUE!</v>
      </c>
      <c r="S964" t="e">
        <f t="shared" ca="1" si="456"/>
        <v>#VALUE!</v>
      </c>
      <c r="T964" t="e">
        <f t="shared" ca="1" si="457"/>
        <v>#VALUE!</v>
      </c>
      <c r="U964" t="e">
        <f t="shared" ca="1" si="478"/>
        <v>#VALUE!</v>
      </c>
      <c r="V964" t="e">
        <f t="shared" ca="1" si="479"/>
        <v>#VALUE!</v>
      </c>
      <c r="W964" t="e">
        <f t="shared" ca="1" si="458"/>
        <v>#VALUE!</v>
      </c>
      <c r="X964" t="e">
        <f t="shared" ca="1" si="459"/>
        <v>#VALUE!</v>
      </c>
      <c r="Y964" t="e">
        <f t="shared" ca="1" si="460"/>
        <v>#VALUE!</v>
      </c>
      <c r="Z964" t="e">
        <f t="shared" ca="1" si="461"/>
        <v>#VALUE!</v>
      </c>
      <c r="AA964" t="e">
        <f t="shared" ca="1" si="462"/>
        <v>#VALUE!</v>
      </c>
      <c r="AB964" t="e">
        <f t="shared" ca="1" si="463"/>
        <v>#VALUE!</v>
      </c>
      <c r="AC964" t="e">
        <f t="shared" ca="1" si="464"/>
        <v>#VALUE!</v>
      </c>
      <c r="AD964" t="e">
        <f t="shared" ca="1" si="465"/>
        <v>#VALUE!</v>
      </c>
      <c r="AE964" t="e">
        <f t="shared" ca="1" si="466"/>
        <v>#VALUE!</v>
      </c>
      <c r="AF964" t="e">
        <f t="shared" ca="1" si="467"/>
        <v>#VALUE!</v>
      </c>
      <c r="AG964" t="e">
        <f t="shared" ca="1" si="468"/>
        <v>#VALUE!</v>
      </c>
      <c r="AH964" t="e">
        <f ca="1">IF(V32="Supercritical",L964,IF(V32="Subcritical",W964,IF(AND(V964=1,AG964=1),IF(T964&gt;=AE964,L964,W964),IF(V964=1,L964,IF(AG964=1,W964,MAX($D$16,POWER((ABS(K964)^2)/($I$5*MAX(F964,0.1)^2),1/3)))))))</f>
        <v>#VALUE!</v>
      </c>
      <c r="AI964" t="e">
        <f t="shared" ca="1" si="469"/>
        <v>#VALUE!</v>
      </c>
      <c r="AJ964" t="e">
        <f t="shared" ca="1" si="470"/>
        <v>#VALUE!</v>
      </c>
      <c r="AM964">
        <v>0</v>
      </c>
      <c r="AN964">
        <v>0</v>
      </c>
      <c r="AO964">
        <f t="shared" si="471"/>
        <v>0</v>
      </c>
      <c r="AP964">
        <f t="shared" si="480"/>
        <v>0</v>
      </c>
      <c r="AQ964" t="e">
        <f t="shared" ca="1" si="472"/>
        <v>#VALUE!</v>
      </c>
      <c r="AR964" t="e">
        <f t="shared" ca="1" si="473"/>
        <v>#VALUE!</v>
      </c>
      <c r="AS964" t="e">
        <f t="shared" ca="1" si="474"/>
        <v>#VALUE!</v>
      </c>
    </row>
    <row r="965" spans="1:45" x14ac:dyDescent="0.35">
      <c r="A965">
        <v>816</v>
      </c>
      <c r="B965">
        <v>814.89</v>
      </c>
      <c r="C965">
        <v>616088.98400000005</v>
      </c>
      <c r="D965">
        <v>3097188.8829999999</v>
      </c>
      <c r="E965">
        <v>632.15449999999998</v>
      </c>
      <c r="F965">
        <v>5.2</v>
      </c>
      <c r="G965">
        <v>0</v>
      </c>
      <c r="H965" t="s">
        <v>191</v>
      </c>
      <c r="I965">
        <v>2E-3</v>
      </c>
      <c r="J965">
        <f t="shared" si="475"/>
        <v>1.0009999999999764</v>
      </c>
      <c r="K965">
        <f t="shared" si="476"/>
        <v>51</v>
      </c>
      <c r="L965" t="e">
        <f t="shared" ca="1" si="477"/>
        <v>#VALUE!</v>
      </c>
      <c r="M965" t="e">
        <f t="shared" ca="1" si="450"/>
        <v>#VALUE!</v>
      </c>
      <c r="N965" t="e">
        <f t="shared" ca="1" si="451"/>
        <v>#VALUE!</v>
      </c>
      <c r="O965" t="e">
        <f t="shared" ca="1" si="452"/>
        <v>#VALUE!</v>
      </c>
      <c r="P965" t="e">
        <f t="shared" ca="1" si="453"/>
        <v>#VALUE!</v>
      </c>
      <c r="Q965" t="e">
        <f t="shared" ca="1" si="454"/>
        <v>#VALUE!</v>
      </c>
      <c r="R965" t="e">
        <f t="shared" ca="1" si="455"/>
        <v>#VALUE!</v>
      </c>
      <c r="S965" t="e">
        <f t="shared" ca="1" si="456"/>
        <v>#VALUE!</v>
      </c>
      <c r="T965" t="e">
        <f t="shared" ca="1" si="457"/>
        <v>#VALUE!</v>
      </c>
      <c r="U965" t="e">
        <f t="shared" ca="1" si="478"/>
        <v>#VALUE!</v>
      </c>
      <c r="V965" t="e">
        <f t="shared" ca="1" si="479"/>
        <v>#VALUE!</v>
      </c>
      <c r="W965" t="e">
        <f t="shared" ca="1" si="458"/>
        <v>#VALUE!</v>
      </c>
      <c r="X965" t="e">
        <f t="shared" ca="1" si="459"/>
        <v>#VALUE!</v>
      </c>
      <c r="Y965" t="e">
        <f t="shared" ca="1" si="460"/>
        <v>#VALUE!</v>
      </c>
      <c r="Z965" t="e">
        <f t="shared" ca="1" si="461"/>
        <v>#VALUE!</v>
      </c>
      <c r="AA965" t="e">
        <f t="shared" ca="1" si="462"/>
        <v>#VALUE!</v>
      </c>
      <c r="AB965" t="e">
        <f t="shared" ca="1" si="463"/>
        <v>#VALUE!</v>
      </c>
      <c r="AC965" t="e">
        <f t="shared" ca="1" si="464"/>
        <v>#VALUE!</v>
      </c>
      <c r="AD965" t="e">
        <f t="shared" ca="1" si="465"/>
        <v>#VALUE!</v>
      </c>
      <c r="AE965" t="e">
        <f t="shared" ca="1" si="466"/>
        <v>#VALUE!</v>
      </c>
      <c r="AF965" t="e">
        <f t="shared" ca="1" si="467"/>
        <v>#VALUE!</v>
      </c>
      <c r="AG965" t="e">
        <f t="shared" ca="1" si="468"/>
        <v>#VALUE!</v>
      </c>
      <c r="AH965" t="e">
        <f ca="1">IF(V32="Supercritical",L965,IF(V32="Subcritical",W965,IF(AND(V965=1,AG965=1),IF(T965&gt;=AE965,L965,W965),IF(V965=1,L965,IF(AG965=1,W965,MAX($D$16,POWER((ABS(K965)^2)/($I$5*MAX(F965,0.1)^2),1/3)))))))</f>
        <v>#VALUE!</v>
      </c>
      <c r="AI965" t="e">
        <f t="shared" ca="1" si="469"/>
        <v>#VALUE!</v>
      </c>
      <c r="AJ965" t="e">
        <f t="shared" ca="1" si="470"/>
        <v>#VALUE!</v>
      </c>
      <c r="AM965">
        <v>0</v>
      </c>
      <c r="AN965">
        <v>0</v>
      </c>
      <c r="AO965">
        <f t="shared" si="471"/>
        <v>0</v>
      </c>
      <c r="AP965">
        <f t="shared" si="480"/>
        <v>0</v>
      </c>
      <c r="AQ965" t="e">
        <f t="shared" ca="1" si="472"/>
        <v>#VALUE!</v>
      </c>
      <c r="AR965" t="e">
        <f t="shared" ca="1" si="473"/>
        <v>#VALUE!</v>
      </c>
      <c r="AS965" t="e">
        <f t="shared" ca="1" si="474"/>
        <v>#VALUE!</v>
      </c>
    </row>
    <row r="966" spans="1:45" x14ac:dyDescent="0.35">
      <c r="A966">
        <v>817</v>
      </c>
      <c r="B966">
        <v>815.89</v>
      </c>
      <c r="C966">
        <v>616088.94200000004</v>
      </c>
      <c r="D966">
        <v>3097187.8840000001</v>
      </c>
      <c r="E966">
        <v>632.154</v>
      </c>
      <c r="F966">
        <v>5.2</v>
      </c>
      <c r="G966">
        <v>0</v>
      </c>
      <c r="H966" t="s">
        <v>191</v>
      </c>
      <c r="I966">
        <v>5.7000000000000002E-2</v>
      </c>
      <c r="J966">
        <f t="shared" si="475"/>
        <v>1</v>
      </c>
      <c r="K966">
        <f t="shared" si="476"/>
        <v>51</v>
      </c>
      <c r="L966" t="e">
        <f t="shared" ca="1" si="477"/>
        <v>#VALUE!</v>
      </c>
      <c r="M966" t="e">
        <f t="shared" ca="1" si="450"/>
        <v>#VALUE!</v>
      </c>
      <c r="N966" t="e">
        <f t="shared" ca="1" si="451"/>
        <v>#VALUE!</v>
      </c>
      <c r="O966" t="e">
        <f t="shared" ca="1" si="452"/>
        <v>#VALUE!</v>
      </c>
      <c r="P966" t="e">
        <f t="shared" ca="1" si="453"/>
        <v>#VALUE!</v>
      </c>
      <c r="Q966" t="e">
        <f t="shared" ca="1" si="454"/>
        <v>#VALUE!</v>
      </c>
      <c r="R966" t="e">
        <f t="shared" ca="1" si="455"/>
        <v>#VALUE!</v>
      </c>
      <c r="S966" t="e">
        <f t="shared" ca="1" si="456"/>
        <v>#VALUE!</v>
      </c>
      <c r="T966" t="e">
        <f t="shared" ca="1" si="457"/>
        <v>#VALUE!</v>
      </c>
      <c r="U966" t="e">
        <f t="shared" ca="1" si="478"/>
        <v>#VALUE!</v>
      </c>
      <c r="V966" t="e">
        <f t="shared" ca="1" si="479"/>
        <v>#VALUE!</v>
      </c>
      <c r="W966" t="e">
        <f t="shared" ca="1" si="458"/>
        <v>#VALUE!</v>
      </c>
      <c r="X966" t="e">
        <f t="shared" ca="1" si="459"/>
        <v>#VALUE!</v>
      </c>
      <c r="Y966" t="e">
        <f t="shared" ca="1" si="460"/>
        <v>#VALUE!</v>
      </c>
      <c r="Z966" t="e">
        <f t="shared" ca="1" si="461"/>
        <v>#VALUE!</v>
      </c>
      <c r="AA966" t="e">
        <f t="shared" ca="1" si="462"/>
        <v>#VALUE!</v>
      </c>
      <c r="AB966" t="e">
        <f t="shared" ca="1" si="463"/>
        <v>#VALUE!</v>
      </c>
      <c r="AC966" t="e">
        <f t="shared" ca="1" si="464"/>
        <v>#VALUE!</v>
      </c>
      <c r="AD966" t="e">
        <f t="shared" ca="1" si="465"/>
        <v>#VALUE!</v>
      </c>
      <c r="AE966" t="e">
        <f t="shared" ca="1" si="466"/>
        <v>#VALUE!</v>
      </c>
      <c r="AF966" t="e">
        <f t="shared" ca="1" si="467"/>
        <v>#VALUE!</v>
      </c>
      <c r="AG966" t="e">
        <f t="shared" ca="1" si="468"/>
        <v>#VALUE!</v>
      </c>
      <c r="AH966" t="e">
        <f ca="1">IF(V32="Supercritical",L966,IF(V32="Subcritical",W966,IF(AND(V966=1,AG966=1),IF(T966&gt;=AE966,L966,W966),IF(V966=1,L966,IF(AG966=1,W966,MAX($D$16,POWER((ABS(K966)^2)/($I$5*MAX(F966,0.1)^2),1/3)))))))</f>
        <v>#VALUE!</v>
      </c>
      <c r="AI966" t="e">
        <f t="shared" ca="1" si="469"/>
        <v>#VALUE!</v>
      </c>
      <c r="AJ966" t="e">
        <f t="shared" ca="1" si="470"/>
        <v>#VALUE!</v>
      </c>
      <c r="AM966">
        <v>0</v>
      </c>
      <c r="AN966">
        <v>0</v>
      </c>
      <c r="AO966">
        <f t="shared" si="471"/>
        <v>0</v>
      </c>
      <c r="AP966">
        <f t="shared" si="480"/>
        <v>0</v>
      </c>
      <c r="AQ966" t="e">
        <f t="shared" ca="1" si="472"/>
        <v>#VALUE!</v>
      </c>
      <c r="AR966" t="e">
        <f t="shared" ca="1" si="473"/>
        <v>#VALUE!</v>
      </c>
      <c r="AS966" t="e">
        <f t="shared" ca="1" si="474"/>
        <v>#VALUE!</v>
      </c>
    </row>
    <row r="967" spans="1:45" x14ac:dyDescent="0.35">
      <c r="A967">
        <v>818</v>
      </c>
      <c r="B967">
        <v>816.89</v>
      </c>
      <c r="C967">
        <v>616088.89899999998</v>
      </c>
      <c r="D967">
        <v>3097186.8849999998</v>
      </c>
      <c r="E967">
        <v>632.15350000000001</v>
      </c>
      <c r="F967">
        <v>5.2</v>
      </c>
      <c r="G967">
        <v>0</v>
      </c>
      <c r="H967" t="s">
        <v>191</v>
      </c>
      <c r="I967">
        <v>5.7000000000000002E-2</v>
      </c>
      <c r="J967">
        <f t="shared" si="475"/>
        <v>1</v>
      </c>
      <c r="K967">
        <f t="shared" si="476"/>
        <v>51</v>
      </c>
      <c r="L967" t="e">
        <f t="shared" ca="1" si="477"/>
        <v>#VALUE!</v>
      </c>
      <c r="M967" t="e">
        <f t="shared" ca="1" si="450"/>
        <v>#VALUE!</v>
      </c>
      <c r="N967" t="e">
        <f t="shared" ca="1" si="451"/>
        <v>#VALUE!</v>
      </c>
      <c r="O967" t="e">
        <f t="shared" ca="1" si="452"/>
        <v>#VALUE!</v>
      </c>
      <c r="P967" t="e">
        <f t="shared" ca="1" si="453"/>
        <v>#VALUE!</v>
      </c>
      <c r="Q967" t="e">
        <f t="shared" ca="1" si="454"/>
        <v>#VALUE!</v>
      </c>
      <c r="R967" t="e">
        <f t="shared" ca="1" si="455"/>
        <v>#VALUE!</v>
      </c>
      <c r="S967" t="e">
        <f t="shared" ca="1" si="456"/>
        <v>#VALUE!</v>
      </c>
      <c r="T967" t="e">
        <f t="shared" ca="1" si="457"/>
        <v>#VALUE!</v>
      </c>
      <c r="U967" t="e">
        <f t="shared" ca="1" si="478"/>
        <v>#VALUE!</v>
      </c>
      <c r="V967" t="e">
        <f t="shared" ca="1" si="479"/>
        <v>#VALUE!</v>
      </c>
      <c r="W967" t="e">
        <f t="shared" ca="1" si="458"/>
        <v>#VALUE!</v>
      </c>
      <c r="X967" t="e">
        <f t="shared" ca="1" si="459"/>
        <v>#VALUE!</v>
      </c>
      <c r="Y967" t="e">
        <f t="shared" ca="1" si="460"/>
        <v>#VALUE!</v>
      </c>
      <c r="Z967" t="e">
        <f t="shared" ca="1" si="461"/>
        <v>#VALUE!</v>
      </c>
      <c r="AA967" t="e">
        <f t="shared" ca="1" si="462"/>
        <v>#VALUE!</v>
      </c>
      <c r="AB967" t="e">
        <f t="shared" ca="1" si="463"/>
        <v>#VALUE!</v>
      </c>
      <c r="AC967" t="e">
        <f t="shared" ca="1" si="464"/>
        <v>#VALUE!</v>
      </c>
      <c r="AD967" t="e">
        <f t="shared" ca="1" si="465"/>
        <v>#VALUE!</v>
      </c>
      <c r="AE967" t="e">
        <f t="shared" ca="1" si="466"/>
        <v>#VALUE!</v>
      </c>
      <c r="AF967" t="e">
        <f t="shared" ca="1" si="467"/>
        <v>#VALUE!</v>
      </c>
      <c r="AG967" t="e">
        <f t="shared" ca="1" si="468"/>
        <v>#VALUE!</v>
      </c>
      <c r="AH967" t="e">
        <f ca="1">IF(V32="Supercritical",L967,IF(V32="Subcritical",W967,IF(AND(V967=1,AG967=1),IF(T967&gt;=AE967,L967,W967),IF(V967=1,L967,IF(AG967=1,W967,MAX($D$16,POWER((ABS(K967)^2)/($I$5*MAX(F967,0.1)^2),1/3)))))))</f>
        <v>#VALUE!</v>
      </c>
      <c r="AI967" t="e">
        <f t="shared" ca="1" si="469"/>
        <v>#VALUE!</v>
      </c>
      <c r="AJ967" t="e">
        <f t="shared" ca="1" si="470"/>
        <v>#VALUE!</v>
      </c>
      <c r="AM967">
        <v>0</v>
      </c>
      <c r="AN967">
        <v>0</v>
      </c>
      <c r="AO967">
        <f t="shared" si="471"/>
        <v>0</v>
      </c>
      <c r="AP967">
        <f t="shared" si="480"/>
        <v>0</v>
      </c>
      <c r="AQ967" t="e">
        <f t="shared" ca="1" si="472"/>
        <v>#VALUE!</v>
      </c>
      <c r="AR967" t="e">
        <f t="shared" ca="1" si="473"/>
        <v>#VALUE!</v>
      </c>
      <c r="AS967" t="e">
        <f t="shared" ca="1" si="474"/>
        <v>#VALUE!</v>
      </c>
    </row>
    <row r="968" spans="1:45" x14ac:dyDescent="0.35">
      <c r="A968">
        <v>819</v>
      </c>
      <c r="B968">
        <v>817.88900000000001</v>
      </c>
      <c r="C968">
        <v>616088.85699999996</v>
      </c>
      <c r="D968">
        <v>3097185.8859999999</v>
      </c>
      <c r="E968">
        <v>632.15300000000002</v>
      </c>
      <c r="F968">
        <v>5.2</v>
      </c>
      <c r="G968">
        <v>0</v>
      </c>
      <c r="H968" t="s">
        <v>191</v>
      </c>
      <c r="I968">
        <v>0</v>
      </c>
      <c r="J968">
        <f t="shared" si="475"/>
        <v>0.99900000000002365</v>
      </c>
      <c r="K968">
        <f t="shared" si="476"/>
        <v>51</v>
      </c>
      <c r="L968" t="e">
        <f t="shared" ca="1" si="477"/>
        <v>#VALUE!</v>
      </c>
      <c r="M968" t="e">
        <f t="shared" ca="1" si="450"/>
        <v>#VALUE!</v>
      </c>
      <c r="N968" t="e">
        <f t="shared" ca="1" si="451"/>
        <v>#VALUE!</v>
      </c>
      <c r="O968" t="e">
        <f t="shared" ca="1" si="452"/>
        <v>#VALUE!</v>
      </c>
      <c r="P968" t="e">
        <f t="shared" ca="1" si="453"/>
        <v>#VALUE!</v>
      </c>
      <c r="Q968" t="e">
        <f t="shared" ca="1" si="454"/>
        <v>#VALUE!</v>
      </c>
      <c r="R968" t="e">
        <f t="shared" ca="1" si="455"/>
        <v>#VALUE!</v>
      </c>
      <c r="S968" t="e">
        <f t="shared" ca="1" si="456"/>
        <v>#VALUE!</v>
      </c>
      <c r="T968" t="e">
        <f t="shared" ca="1" si="457"/>
        <v>#VALUE!</v>
      </c>
      <c r="U968" t="e">
        <f t="shared" ca="1" si="478"/>
        <v>#VALUE!</v>
      </c>
      <c r="V968" t="e">
        <f t="shared" ca="1" si="479"/>
        <v>#VALUE!</v>
      </c>
      <c r="W968" t="e">
        <f t="shared" ca="1" si="458"/>
        <v>#VALUE!</v>
      </c>
      <c r="X968" t="e">
        <f t="shared" ca="1" si="459"/>
        <v>#VALUE!</v>
      </c>
      <c r="Y968" t="e">
        <f t="shared" ca="1" si="460"/>
        <v>#VALUE!</v>
      </c>
      <c r="Z968" t="e">
        <f t="shared" ca="1" si="461"/>
        <v>#VALUE!</v>
      </c>
      <c r="AA968" t="e">
        <f t="shared" ca="1" si="462"/>
        <v>#VALUE!</v>
      </c>
      <c r="AB968" t="e">
        <f t="shared" ca="1" si="463"/>
        <v>#VALUE!</v>
      </c>
      <c r="AC968" t="e">
        <f t="shared" ca="1" si="464"/>
        <v>#VALUE!</v>
      </c>
      <c r="AD968" t="e">
        <f t="shared" ca="1" si="465"/>
        <v>#VALUE!</v>
      </c>
      <c r="AE968" t="e">
        <f t="shared" ca="1" si="466"/>
        <v>#VALUE!</v>
      </c>
      <c r="AF968" t="e">
        <f t="shared" ca="1" si="467"/>
        <v>#VALUE!</v>
      </c>
      <c r="AG968" t="e">
        <f t="shared" ca="1" si="468"/>
        <v>#VALUE!</v>
      </c>
      <c r="AH968" t="e">
        <f ca="1">IF(V32="Supercritical",L968,IF(V32="Subcritical",W968,IF(AND(V968=1,AG968=1),IF(T968&gt;=AE968,L968,W968),IF(V968=1,L968,IF(AG968=1,W968,MAX($D$16,POWER((ABS(K968)^2)/($I$5*MAX(F968,0.1)^2),1/3)))))))</f>
        <v>#VALUE!</v>
      </c>
      <c r="AI968" t="e">
        <f t="shared" ca="1" si="469"/>
        <v>#VALUE!</v>
      </c>
      <c r="AJ968" t="e">
        <f t="shared" ca="1" si="470"/>
        <v>#VALUE!</v>
      </c>
      <c r="AM968">
        <v>0</v>
      </c>
      <c r="AN968">
        <v>0</v>
      </c>
      <c r="AO968">
        <f t="shared" si="471"/>
        <v>0</v>
      </c>
      <c r="AP968">
        <f t="shared" si="480"/>
        <v>0</v>
      </c>
      <c r="AQ968" t="e">
        <f t="shared" ca="1" si="472"/>
        <v>#VALUE!</v>
      </c>
      <c r="AR968" t="e">
        <f t="shared" ca="1" si="473"/>
        <v>#VALUE!</v>
      </c>
      <c r="AS968" t="e">
        <f t="shared" ca="1" si="474"/>
        <v>#VALUE!</v>
      </c>
    </row>
    <row r="969" spans="1:45" x14ac:dyDescent="0.35">
      <c r="A969">
        <v>820</v>
      </c>
      <c r="B969">
        <v>818.88900000000001</v>
      </c>
      <c r="C969">
        <v>616088.81499999994</v>
      </c>
      <c r="D969">
        <v>3097184.8870000001</v>
      </c>
      <c r="E969">
        <v>632.15250000000003</v>
      </c>
      <c r="F969">
        <v>5.2</v>
      </c>
      <c r="G969">
        <v>0</v>
      </c>
      <c r="H969" t="s">
        <v>191</v>
      </c>
      <c r="I969">
        <v>0</v>
      </c>
      <c r="J969">
        <f t="shared" si="475"/>
        <v>1</v>
      </c>
      <c r="K969">
        <f t="shared" si="476"/>
        <v>51</v>
      </c>
      <c r="L969" t="e">
        <f t="shared" ca="1" si="477"/>
        <v>#VALUE!</v>
      </c>
      <c r="M969" t="e">
        <f t="shared" ca="1" si="450"/>
        <v>#VALUE!</v>
      </c>
      <c r="N969" t="e">
        <f t="shared" ca="1" si="451"/>
        <v>#VALUE!</v>
      </c>
      <c r="O969" t="e">
        <f t="shared" ca="1" si="452"/>
        <v>#VALUE!</v>
      </c>
      <c r="P969" t="e">
        <f t="shared" ca="1" si="453"/>
        <v>#VALUE!</v>
      </c>
      <c r="Q969" t="e">
        <f t="shared" ca="1" si="454"/>
        <v>#VALUE!</v>
      </c>
      <c r="R969" t="e">
        <f t="shared" ca="1" si="455"/>
        <v>#VALUE!</v>
      </c>
      <c r="S969" t="e">
        <f t="shared" ca="1" si="456"/>
        <v>#VALUE!</v>
      </c>
      <c r="T969" t="e">
        <f t="shared" ca="1" si="457"/>
        <v>#VALUE!</v>
      </c>
      <c r="U969" t="e">
        <f t="shared" ca="1" si="478"/>
        <v>#VALUE!</v>
      </c>
      <c r="V969" t="e">
        <f t="shared" ca="1" si="479"/>
        <v>#VALUE!</v>
      </c>
      <c r="W969" t="e">
        <f t="shared" ca="1" si="458"/>
        <v>#VALUE!</v>
      </c>
      <c r="X969" t="e">
        <f t="shared" ca="1" si="459"/>
        <v>#VALUE!</v>
      </c>
      <c r="Y969" t="e">
        <f t="shared" ca="1" si="460"/>
        <v>#VALUE!</v>
      </c>
      <c r="Z969" t="e">
        <f t="shared" ca="1" si="461"/>
        <v>#VALUE!</v>
      </c>
      <c r="AA969" t="e">
        <f t="shared" ca="1" si="462"/>
        <v>#VALUE!</v>
      </c>
      <c r="AB969" t="e">
        <f t="shared" ca="1" si="463"/>
        <v>#VALUE!</v>
      </c>
      <c r="AC969" t="e">
        <f t="shared" ca="1" si="464"/>
        <v>#VALUE!</v>
      </c>
      <c r="AD969" t="e">
        <f t="shared" ca="1" si="465"/>
        <v>#VALUE!</v>
      </c>
      <c r="AE969" t="e">
        <f t="shared" ca="1" si="466"/>
        <v>#VALUE!</v>
      </c>
      <c r="AF969" t="e">
        <f t="shared" ca="1" si="467"/>
        <v>#VALUE!</v>
      </c>
      <c r="AG969" t="e">
        <f t="shared" ca="1" si="468"/>
        <v>#VALUE!</v>
      </c>
      <c r="AH969" t="e">
        <f ca="1">IF(V32="Supercritical",L969,IF(V32="Subcritical",W969,IF(AND(V969=1,AG969=1),IF(T969&gt;=AE969,L969,W969),IF(V969=1,L969,IF(AG969=1,W969,MAX($D$16,POWER((ABS(K969)^2)/($I$5*MAX(F969,0.1)^2),1/3)))))))</f>
        <v>#VALUE!</v>
      </c>
      <c r="AI969" t="e">
        <f t="shared" ca="1" si="469"/>
        <v>#VALUE!</v>
      </c>
      <c r="AJ969" t="e">
        <f t="shared" ca="1" si="470"/>
        <v>#VALUE!</v>
      </c>
      <c r="AM969">
        <v>0</v>
      </c>
      <c r="AN969">
        <v>0</v>
      </c>
      <c r="AO969">
        <f t="shared" si="471"/>
        <v>0</v>
      </c>
      <c r="AP969">
        <f t="shared" si="480"/>
        <v>0</v>
      </c>
      <c r="AQ969" t="e">
        <f t="shared" ca="1" si="472"/>
        <v>#VALUE!</v>
      </c>
      <c r="AR969" t="e">
        <f t="shared" ca="1" si="473"/>
        <v>#VALUE!</v>
      </c>
      <c r="AS969" t="e">
        <f t="shared" ca="1" si="474"/>
        <v>#VALUE!</v>
      </c>
    </row>
    <row r="970" spans="1:45" x14ac:dyDescent="0.35">
      <c r="A970">
        <v>821</v>
      </c>
      <c r="B970">
        <v>819.88900000000001</v>
      </c>
      <c r="C970">
        <v>616088.77300000004</v>
      </c>
      <c r="D970">
        <v>3097183.8879999998</v>
      </c>
      <c r="E970">
        <v>632.15200000000004</v>
      </c>
      <c r="F970">
        <v>5.2</v>
      </c>
      <c r="G970">
        <v>0</v>
      </c>
      <c r="H970" t="s">
        <v>191</v>
      </c>
      <c r="I970">
        <v>5.7000000000000002E-2</v>
      </c>
      <c r="J970">
        <f t="shared" si="475"/>
        <v>1</v>
      </c>
      <c r="K970">
        <f t="shared" si="476"/>
        <v>51</v>
      </c>
      <c r="L970" t="e">
        <f t="shared" ca="1" si="477"/>
        <v>#VALUE!</v>
      </c>
      <c r="M970" t="e">
        <f t="shared" ca="1" si="450"/>
        <v>#VALUE!</v>
      </c>
      <c r="N970" t="e">
        <f t="shared" ca="1" si="451"/>
        <v>#VALUE!</v>
      </c>
      <c r="O970" t="e">
        <f t="shared" ca="1" si="452"/>
        <v>#VALUE!</v>
      </c>
      <c r="P970" t="e">
        <f t="shared" ca="1" si="453"/>
        <v>#VALUE!</v>
      </c>
      <c r="Q970" t="e">
        <f t="shared" ca="1" si="454"/>
        <v>#VALUE!</v>
      </c>
      <c r="R970" t="e">
        <f t="shared" ca="1" si="455"/>
        <v>#VALUE!</v>
      </c>
      <c r="S970" t="e">
        <f t="shared" ca="1" si="456"/>
        <v>#VALUE!</v>
      </c>
      <c r="T970" t="e">
        <f t="shared" ca="1" si="457"/>
        <v>#VALUE!</v>
      </c>
      <c r="U970" t="e">
        <f t="shared" ca="1" si="478"/>
        <v>#VALUE!</v>
      </c>
      <c r="V970" t="e">
        <f t="shared" ca="1" si="479"/>
        <v>#VALUE!</v>
      </c>
      <c r="W970" t="e">
        <f t="shared" ca="1" si="458"/>
        <v>#VALUE!</v>
      </c>
      <c r="X970" t="e">
        <f t="shared" ca="1" si="459"/>
        <v>#VALUE!</v>
      </c>
      <c r="Y970" t="e">
        <f t="shared" ca="1" si="460"/>
        <v>#VALUE!</v>
      </c>
      <c r="Z970" t="e">
        <f t="shared" ca="1" si="461"/>
        <v>#VALUE!</v>
      </c>
      <c r="AA970" t="e">
        <f t="shared" ca="1" si="462"/>
        <v>#VALUE!</v>
      </c>
      <c r="AB970" t="e">
        <f t="shared" ca="1" si="463"/>
        <v>#VALUE!</v>
      </c>
      <c r="AC970" t="e">
        <f t="shared" ca="1" si="464"/>
        <v>#VALUE!</v>
      </c>
      <c r="AD970" t="e">
        <f t="shared" ca="1" si="465"/>
        <v>#VALUE!</v>
      </c>
      <c r="AE970" t="e">
        <f t="shared" ca="1" si="466"/>
        <v>#VALUE!</v>
      </c>
      <c r="AF970" t="e">
        <f t="shared" ca="1" si="467"/>
        <v>#VALUE!</v>
      </c>
      <c r="AG970" t="e">
        <f t="shared" ca="1" si="468"/>
        <v>#VALUE!</v>
      </c>
      <c r="AH970" t="e">
        <f ca="1">IF(V32="Supercritical",L970,IF(V32="Subcritical",W970,IF(AND(V970=1,AG970=1),IF(T970&gt;=AE970,L970,W970),IF(V970=1,L970,IF(AG970=1,W970,MAX($D$16,POWER((ABS(K970)^2)/($I$5*MAX(F970,0.1)^2),1/3)))))))</f>
        <v>#VALUE!</v>
      </c>
      <c r="AI970" t="e">
        <f t="shared" ca="1" si="469"/>
        <v>#VALUE!</v>
      </c>
      <c r="AJ970" t="e">
        <f t="shared" ca="1" si="470"/>
        <v>#VALUE!</v>
      </c>
      <c r="AM970">
        <v>0</v>
      </c>
      <c r="AN970">
        <v>0</v>
      </c>
      <c r="AO970">
        <f t="shared" si="471"/>
        <v>0</v>
      </c>
      <c r="AP970">
        <f t="shared" si="480"/>
        <v>0</v>
      </c>
      <c r="AQ970" t="e">
        <f t="shared" ca="1" si="472"/>
        <v>#VALUE!</v>
      </c>
      <c r="AR970" t="e">
        <f t="shared" ca="1" si="473"/>
        <v>#VALUE!</v>
      </c>
      <c r="AS970" t="e">
        <f t="shared" ca="1" si="474"/>
        <v>#VALUE!</v>
      </c>
    </row>
    <row r="971" spans="1:45" x14ac:dyDescent="0.35">
      <c r="A971">
        <v>822</v>
      </c>
      <c r="B971">
        <v>820.88900000000001</v>
      </c>
      <c r="C971">
        <v>616088.73</v>
      </c>
      <c r="D971">
        <v>3097182.889</v>
      </c>
      <c r="E971">
        <v>632.15150000000006</v>
      </c>
      <c r="F971">
        <v>5.2</v>
      </c>
      <c r="G971">
        <v>0</v>
      </c>
      <c r="H971" t="s">
        <v>191</v>
      </c>
      <c r="I971">
        <v>5.7000000000000002E-2</v>
      </c>
      <c r="J971">
        <f t="shared" si="475"/>
        <v>1</v>
      </c>
      <c r="K971">
        <f t="shared" si="476"/>
        <v>51</v>
      </c>
      <c r="L971" t="e">
        <f t="shared" ca="1" si="477"/>
        <v>#VALUE!</v>
      </c>
      <c r="M971" t="e">
        <f t="shared" ca="1" si="450"/>
        <v>#VALUE!</v>
      </c>
      <c r="N971" t="e">
        <f t="shared" ca="1" si="451"/>
        <v>#VALUE!</v>
      </c>
      <c r="O971" t="e">
        <f t="shared" ca="1" si="452"/>
        <v>#VALUE!</v>
      </c>
      <c r="P971" t="e">
        <f t="shared" ca="1" si="453"/>
        <v>#VALUE!</v>
      </c>
      <c r="Q971" t="e">
        <f t="shared" ca="1" si="454"/>
        <v>#VALUE!</v>
      </c>
      <c r="R971" t="e">
        <f t="shared" ca="1" si="455"/>
        <v>#VALUE!</v>
      </c>
      <c r="S971" t="e">
        <f t="shared" ca="1" si="456"/>
        <v>#VALUE!</v>
      </c>
      <c r="T971" t="e">
        <f t="shared" ca="1" si="457"/>
        <v>#VALUE!</v>
      </c>
      <c r="U971" t="e">
        <f t="shared" ca="1" si="478"/>
        <v>#VALUE!</v>
      </c>
      <c r="V971" t="e">
        <f t="shared" ca="1" si="479"/>
        <v>#VALUE!</v>
      </c>
      <c r="W971" t="e">
        <f t="shared" ca="1" si="458"/>
        <v>#VALUE!</v>
      </c>
      <c r="X971" t="e">
        <f t="shared" ca="1" si="459"/>
        <v>#VALUE!</v>
      </c>
      <c r="Y971" t="e">
        <f t="shared" ca="1" si="460"/>
        <v>#VALUE!</v>
      </c>
      <c r="Z971" t="e">
        <f t="shared" ca="1" si="461"/>
        <v>#VALUE!</v>
      </c>
      <c r="AA971" t="e">
        <f t="shared" ca="1" si="462"/>
        <v>#VALUE!</v>
      </c>
      <c r="AB971" t="e">
        <f t="shared" ca="1" si="463"/>
        <v>#VALUE!</v>
      </c>
      <c r="AC971" t="e">
        <f t="shared" ca="1" si="464"/>
        <v>#VALUE!</v>
      </c>
      <c r="AD971" t="e">
        <f t="shared" ca="1" si="465"/>
        <v>#VALUE!</v>
      </c>
      <c r="AE971" t="e">
        <f t="shared" ca="1" si="466"/>
        <v>#VALUE!</v>
      </c>
      <c r="AF971" t="e">
        <f t="shared" ca="1" si="467"/>
        <v>#VALUE!</v>
      </c>
      <c r="AG971" t="e">
        <f t="shared" ca="1" si="468"/>
        <v>#VALUE!</v>
      </c>
      <c r="AH971" t="e">
        <f ca="1">IF(V32="Supercritical",L971,IF(V32="Subcritical",W971,IF(AND(V971=1,AG971=1),IF(T971&gt;=AE971,L971,W971),IF(V971=1,L971,IF(AG971=1,W971,MAX($D$16,POWER((ABS(K971)^2)/($I$5*MAX(F971,0.1)^2),1/3)))))))</f>
        <v>#VALUE!</v>
      </c>
      <c r="AI971" t="e">
        <f t="shared" ca="1" si="469"/>
        <v>#VALUE!</v>
      </c>
      <c r="AJ971" t="e">
        <f t="shared" ca="1" si="470"/>
        <v>#VALUE!</v>
      </c>
      <c r="AM971">
        <v>0</v>
      </c>
      <c r="AN971">
        <v>0</v>
      </c>
      <c r="AO971">
        <f t="shared" si="471"/>
        <v>0</v>
      </c>
      <c r="AP971">
        <f t="shared" si="480"/>
        <v>0</v>
      </c>
      <c r="AQ971" t="e">
        <f t="shared" ca="1" si="472"/>
        <v>#VALUE!</v>
      </c>
      <c r="AR971" t="e">
        <f t="shared" ca="1" si="473"/>
        <v>#VALUE!</v>
      </c>
      <c r="AS971" t="e">
        <f t="shared" ca="1" si="474"/>
        <v>#VALUE!</v>
      </c>
    </row>
    <row r="972" spans="1:45" x14ac:dyDescent="0.35">
      <c r="A972">
        <v>823</v>
      </c>
      <c r="B972">
        <v>821.88900000000001</v>
      </c>
      <c r="C972">
        <v>616088.68799999997</v>
      </c>
      <c r="D972">
        <v>3097181.89</v>
      </c>
      <c r="E972">
        <v>632.15099999999995</v>
      </c>
      <c r="F972">
        <v>5.2</v>
      </c>
      <c r="G972">
        <v>0</v>
      </c>
      <c r="H972" t="s">
        <v>191</v>
      </c>
      <c r="I972">
        <v>0</v>
      </c>
      <c r="J972">
        <f t="shared" si="475"/>
        <v>1</v>
      </c>
      <c r="K972">
        <f t="shared" si="476"/>
        <v>51</v>
      </c>
      <c r="L972" t="e">
        <f t="shared" ca="1" si="477"/>
        <v>#VALUE!</v>
      </c>
      <c r="M972" t="e">
        <f t="shared" ca="1" si="450"/>
        <v>#VALUE!</v>
      </c>
      <c r="N972" t="e">
        <f t="shared" ca="1" si="451"/>
        <v>#VALUE!</v>
      </c>
      <c r="O972" t="e">
        <f t="shared" ca="1" si="452"/>
        <v>#VALUE!</v>
      </c>
      <c r="P972" t="e">
        <f t="shared" ca="1" si="453"/>
        <v>#VALUE!</v>
      </c>
      <c r="Q972" t="e">
        <f t="shared" ca="1" si="454"/>
        <v>#VALUE!</v>
      </c>
      <c r="R972" t="e">
        <f t="shared" ca="1" si="455"/>
        <v>#VALUE!</v>
      </c>
      <c r="S972" t="e">
        <f t="shared" ca="1" si="456"/>
        <v>#VALUE!</v>
      </c>
      <c r="T972" t="e">
        <f t="shared" ca="1" si="457"/>
        <v>#VALUE!</v>
      </c>
      <c r="U972" t="e">
        <f t="shared" ca="1" si="478"/>
        <v>#VALUE!</v>
      </c>
      <c r="V972" t="e">
        <f t="shared" ca="1" si="479"/>
        <v>#VALUE!</v>
      </c>
      <c r="W972" t="e">
        <f t="shared" ca="1" si="458"/>
        <v>#VALUE!</v>
      </c>
      <c r="X972" t="e">
        <f t="shared" ca="1" si="459"/>
        <v>#VALUE!</v>
      </c>
      <c r="Y972" t="e">
        <f t="shared" ca="1" si="460"/>
        <v>#VALUE!</v>
      </c>
      <c r="Z972" t="e">
        <f t="shared" ca="1" si="461"/>
        <v>#VALUE!</v>
      </c>
      <c r="AA972" t="e">
        <f t="shared" ca="1" si="462"/>
        <v>#VALUE!</v>
      </c>
      <c r="AB972" t="e">
        <f t="shared" ca="1" si="463"/>
        <v>#VALUE!</v>
      </c>
      <c r="AC972" t="e">
        <f t="shared" ca="1" si="464"/>
        <v>#VALUE!</v>
      </c>
      <c r="AD972" t="e">
        <f t="shared" ca="1" si="465"/>
        <v>#VALUE!</v>
      </c>
      <c r="AE972" t="e">
        <f t="shared" ca="1" si="466"/>
        <v>#VALUE!</v>
      </c>
      <c r="AF972" t="e">
        <f t="shared" ca="1" si="467"/>
        <v>#VALUE!</v>
      </c>
      <c r="AG972" t="e">
        <f t="shared" ca="1" si="468"/>
        <v>#VALUE!</v>
      </c>
      <c r="AH972" t="e">
        <f ca="1">IF(V32="Supercritical",L972,IF(V32="Subcritical",W972,IF(AND(V972=1,AG972=1),IF(T972&gt;=AE972,L972,W972),IF(V972=1,L972,IF(AG972=1,W972,MAX($D$16,POWER((ABS(K972)^2)/($I$5*MAX(F972,0.1)^2),1/3)))))))</f>
        <v>#VALUE!</v>
      </c>
      <c r="AI972" t="e">
        <f t="shared" ca="1" si="469"/>
        <v>#VALUE!</v>
      </c>
      <c r="AJ972" t="e">
        <f t="shared" ca="1" si="470"/>
        <v>#VALUE!</v>
      </c>
      <c r="AM972">
        <v>0</v>
      </c>
      <c r="AN972">
        <v>0</v>
      </c>
      <c r="AO972">
        <f t="shared" si="471"/>
        <v>0</v>
      </c>
      <c r="AP972">
        <f t="shared" si="480"/>
        <v>0</v>
      </c>
      <c r="AQ972" t="e">
        <f t="shared" ca="1" si="472"/>
        <v>#VALUE!</v>
      </c>
      <c r="AR972" t="e">
        <f t="shared" ca="1" si="473"/>
        <v>#VALUE!</v>
      </c>
      <c r="AS972" t="e">
        <f t="shared" ca="1" si="474"/>
        <v>#VALUE!</v>
      </c>
    </row>
    <row r="973" spans="1:45" x14ac:dyDescent="0.35">
      <c r="A973">
        <v>824</v>
      </c>
      <c r="B973">
        <v>822.88900000000001</v>
      </c>
      <c r="C973">
        <v>616088.64599999995</v>
      </c>
      <c r="D973">
        <v>3097180.8909999998</v>
      </c>
      <c r="E973">
        <v>632.15049999999997</v>
      </c>
      <c r="F973">
        <v>5.2</v>
      </c>
      <c r="G973">
        <v>0</v>
      </c>
      <c r="H973" t="s">
        <v>191</v>
      </c>
      <c r="I973">
        <v>0</v>
      </c>
      <c r="J973">
        <f t="shared" si="475"/>
        <v>1</v>
      </c>
      <c r="K973">
        <f t="shared" si="476"/>
        <v>51</v>
      </c>
      <c r="L973" t="e">
        <f t="shared" ca="1" si="477"/>
        <v>#VALUE!</v>
      </c>
      <c r="M973" t="e">
        <f t="shared" ca="1" si="450"/>
        <v>#VALUE!</v>
      </c>
      <c r="N973" t="e">
        <f t="shared" ca="1" si="451"/>
        <v>#VALUE!</v>
      </c>
      <c r="O973" t="e">
        <f t="shared" ca="1" si="452"/>
        <v>#VALUE!</v>
      </c>
      <c r="P973" t="e">
        <f t="shared" ca="1" si="453"/>
        <v>#VALUE!</v>
      </c>
      <c r="Q973" t="e">
        <f t="shared" ca="1" si="454"/>
        <v>#VALUE!</v>
      </c>
      <c r="R973" t="e">
        <f t="shared" ca="1" si="455"/>
        <v>#VALUE!</v>
      </c>
      <c r="S973" t="e">
        <f t="shared" ca="1" si="456"/>
        <v>#VALUE!</v>
      </c>
      <c r="T973" t="e">
        <f t="shared" ca="1" si="457"/>
        <v>#VALUE!</v>
      </c>
      <c r="U973" t="e">
        <f t="shared" ca="1" si="478"/>
        <v>#VALUE!</v>
      </c>
      <c r="V973" t="e">
        <f t="shared" ca="1" si="479"/>
        <v>#VALUE!</v>
      </c>
      <c r="W973" t="e">
        <f t="shared" ca="1" si="458"/>
        <v>#VALUE!</v>
      </c>
      <c r="X973" t="e">
        <f t="shared" ca="1" si="459"/>
        <v>#VALUE!</v>
      </c>
      <c r="Y973" t="e">
        <f t="shared" ca="1" si="460"/>
        <v>#VALUE!</v>
      </c>
      <c r="Z973" t="e">
        <f t="shared" ca="1" si="461"/>
        <v>#VALUE!</v>
      </c>
      <c r="AA973" t="e">
        <f t="shared" ca="1" si="462"/>
        <v>#VALUE!</v>
      </c>
      <c r="AB973" t="e">
        <f t="shared" ca="1" si="463"/>
        <v>#VALUE!</v>
      </c>
      <c r="AC973" t="e">
        <f t="shared" ca="1" si="464"/>
        <v>#VALUE!</v>
      </c>
      <c r="AD973" t="e">
        <f t="shared" ca="1" si="465"/>
        <v>#VALUE!</v>
      </c>
      <c r="AE973" t="e">
        <f t="shared" ca="1" si="466"/>
        <v>#VALUE!</v>
      </c>
      <c r="AF973" t="e">
        <f t="shared" ca="1" si="467"/>
        <v>#VALUE!</v>
      </c>
      <c r="AG973" t="e">
        <f t="shared" ca="1" si="468"/>
        <v>#VALUE!</v>
      </c>
      <c r="AH973" t="e">
        <f ca="1">IF(V32="Supercritical",L973,IF(V32="Subcritical",W973,IF(AND(V973=1,AG973=1),IF(T973&gt;=AE973,L973,W973),IF(V973=1,L973,IF(AG973=1,W973,MAX($D$16,POWER((ABS(K973)^2)/($I$5*MAX(F973,0.1)^2),1/3)))))))</f>
        <v>#VALUE!</v>
      </c>
      <c r="AI973" t="e">
        <f t="shared" ca="1" si="469"/>
        <v>#VALUE!</v>
      </c>
      <c r="AJ973" t="e">
        <f t="shared" ca="1" si="470"/>
        <v>#VALUE!</v>
      </c>
      <c r="AM973">
        <v>0</v>
      </c>
      <c r="AN973">
        <v>0</v>
      </c>
      <c r="AO973">
        <f t="shared" si="471"/>
        <v>0</v>
      </c>
      <c r="AP973">
        <f t="shared" si="480"/>
        <v>0</v>
      </c>
      <c r="AQ973" t="e">
        <f t="shared" ca="1" si="472"/>
        <v>#VALUE!</v>
      </c>
      <c r="AR973" t="e">
        <f t="shared" ca="1" si="473"/>
        <v>#VALUE!</v>
      </c>
      <c r="AS973" t="e">
        <f t="shared" ca="1" si="474"/>
        <v>#VALUE!</v>
      </c>
    </row>
    <row r="974" spans="1:45" x14ac:dyDescent="0.35">
      <c r="A974">
        <v>825</v>
      </c>
      <c r="B974">
        <v>823.88900000000001</v>
      </c>
      <c r="C974">
        <v>616088.60400000005</v>
      </c>
      <c r="D974">
        <v>3097179.892</v>
      </c>
      <c r="E974">
        <v>632.15</v>
      </c>
      <c r="F974">
        <v>5.2</v>
      </c>
      <c r="G974">
        <v>0</v>
      </c>
      <c r="H974" t="s">
        <v>191</v>
      </c>
      <c r="I974">
        <v>5.5E-2</v>
      </c>
      <c r="J974">
        <f t="shared" si="475"/>
        <v>1</v>
      </c>
      <c r="K974">
        <f t="shared" si="476"/>
        <v>51</v>
      </c>
      <c r="L974" t="e">
        <f t="shared" ca="1" si="477"/>
        <v>#VALUE!</v>
      </c>
      <c r="M974" t="e">
        <f t="shared" ca="1" si="450"/>
        <v>#VALUE!</v>
      </c>
      <c r="N974" t="e">
        <f t="shared" ca="1" si="451"/>
        <v>#VALUE!</v>
      </c>
      <c r="O974" t="e">
        <f t="shared" ca="1" si="452"/>
        <v>#VALUE!</v>
      </c>
      <c r="P974" t="e">
        <f t="shared" ca="1" si="453"/>
        <v>#VALUE!</v>
      </c>
      <c r="Q974" t="e">
        <f t="shared" ca="1" si="454"/>
        <v>#VALUE!</v>
      </c>
      <c r="R974" t="e">
        <f t="shared" ca="1" si="455"/>
        <v>#VALUE!</v>
      </c>
      <c r="S974" t="e">
        <f t="shared" ca="1" si="456"/>
        <v>#VALUE!</v>
      </c>
      <c r="T974" t="e">
        <f t="shared" ca="1" si="457"/>
        <v>#VALUE!</v>
      </c>
      <c r="U974" t="e">
        <f t="shared" ca="1" si="478"/>
        <v>#VALUE!</v>
      </c>
      <c r="V974" t="e">
        <f t="shared" ca="1" si="479"/>
        <v>#VALUE!</v>
      </c>
      <c r="W974" t="e">
        <f t="shared" ca="1" si="458"/>
        <v>#VALUE!</v>
      </c>
      <c r="X974" t="e">
        <f t="shared" ca="1" si="459"/>
        <v>#VALUE!</v>
      </c>
      <c r="Y974" t="e">
        <f t="shared" ca="1" si="460"/>
        <v>#VALUE!</v>
      </c>
      <c r="Z974" t="e">
        <f t="shared" ca="1" si="461"/>
        <v>#VALUE!</v>
      </c>
      <c r="AA974" t="e">
        <f t="shared" ca="1" si="462"/>
        <v>#VALUE!</v>
      </c>
      <c r="AB974" t="e">
        <f t="shared" ca="1" si="463"/>
        <v>#VALUE!</v>
      </c>
      <c r="AC974" t="e">
        <f t="shared" ca="1" si="464"/>
        <v>#VALUE!</v>
      </c>
      <c r="AD974" t="e">
        <f t="shared" ca="1" si="465"/>
        <v>#VALUE!</v>
      </c>
      <c r="AE974" t="e">
        <f t="shared" ca="1" si="466"/>
        <v>#VALUE!</v>
      </c>
      <c r="AF974" t="e">
        <f t="shared" ca="1" si="467"/>
        <v>#VALUE!</v>
      </c>
      <c r="AG974" t="e">
        <f t="shared" ca="1" si="468"/>
        <v>#VALUE!</v>
      </c>
      <c r="AH974" t="e">
        <f ca="1">IF(V32="Supercritical",L974,IF(V32="Subcritical",W974,IF(AND(V974=1,AG974=1),IF(T974&gt;=AE974,L974,W974),IF(V974=1,L974,IF(AG974=1,W974,MAX($D$16,POWER((ABS(K974)^2)/($I$5*MAX(F974,0.1)^2),1/3)))))))</f>
        <v>#VALUE!</v>
      </c>
      <c r="AI974" t="e">
        <f t="shared" ca="1" si="469"/>
        <v>#VALUE!</v>
      </c>
      <c r="AJ974" t="e">
        <f t="shared" ca="1" si="470"/>
        <v>#VALUE!</v>
      </c>
      <c r="AM974">
        <v>0</v>
      </c>
      <c r="AN974">
        <v>0</v>
      </c>
      <c r="AO974">
        <f t="shared" si="471"/>
        <v>0</v>
      </c>
      <c r="AP974">
        <f t="shared" si="480"/>
        <v>0</v>
      </c>
      <c r="AQ974" t="e">
        <f t="shared" ca="1" si="472"/>
        <v>#VALUE!</v>
      </c>
      <c r="AR974" t="e">
        <f t="shared" ca="1" si="473"/>
        <v>#VALUE!</v>
      </c>
      <c r="AS974" t="e">
        <f t="shared" ca="1" si="474"/>
        <v>#VALUE!</v>
      </c>
    </row>
    <row r="975" spans="1:45" x14ac:dyDescent="0.35">
      <c r="A975">
        <v>826</v>
      </c>
      <c r="B975">
        <v>824.89</v>
      </c>
      <c r="C975">
        <v>616088.56099999999</v>
      </c>
      <c r="D975">
        <v>3097178.892</v>
      </c>
      <c r="E975">
        <v>632.14949999999999</v>
      </c>
      <c r="F975">
        <v>5.2</v>
      </c>
      <c r="G975">
        <v>0</v>
      </c>
      <c r="H975" t="s">
        <v>191</v>
      </c>
      <c r="I975">
        <v>5.5E-2</v>
      </c>
      <c r="J975">
        <f t="shared" si="475"/>
        <v>1.0009999999999764</v>
      </c>
      <c r="K975">
        <f t="shared" si="476"/>
        <v>51</v>
      </c>
      <c r="L975" t="e">
        <f t="shared" ca="1" si="477"/>
        <v>#VALUE!</v>
      </c>
      <c r="M975" t="e">
        <f t="shared" ca="1" si="450"/>
        <v>#VALUE!</v>
      </c>
      <c r="N975" t="e">
        <f t="shared" ca="1" si="451"/>
        <v>#VALUE!</v>
      </c>
      <c r="O975" t="e">
        <f t="shared" ca="1" si="452"/>
        <v>#VALUE!</v>
      </c>
      <c r="P975" t="e">
        <f t="shared" ca="1" si="453"/>
        <v>#VALUE!</v>
      </c>
      <c r="Q975" t="e">
        <f t="shared" ca="1" si="454"/>
        <v>#VALUE!</v>
      </c>
      <c r="R975" t="e">
        <f t="shared" ca="1" si="455"/>
        <v>#VALUE!</v>
      </c>
      <c r="S975" t="e">
        <f t="shared" ca="1" si="456"/>
        <v>#VALUE!</v>
      </c>
      <c r="T975" t="e">
        <f t="shared" ca="1" si="457"/>
        <v>#VALUE!</v>
      </c>
      <c r="U975" t="e">
        <f t="shared" ca="1" si="478"/>
        <v>#VALUE!</v>
      </c>
      <c r="V975" t="e">
        <f t="shared" ca="1" si="479"/>
        <v>#VALUE!</v>
      </c>
      <c r="W975" t="e">
        <f t="shared" ca="1" si="458"/>
        <v>#VALUE!</v>
      </c>
      <c r="X975" t="e">
        <f t="shared" ca="1" si="459"/>
        <v>#VALUE!</v>
      </c>
      <c r="Y975" t="e">
        <f t="shared" ca="1" si="460"/>
        <v>#VALUE!</v>
      </c>
      <c r="Z975" t="e">
        <f t="shared" ca="1" si="461"/>
        <v>#VALUE!</v>
      </c>
      <c r="AA975" t="e">
        <f t="shared" ca="1" si="462"/>
        <v>#VALUE!</v>
      </c>
      <c r="AB975" t="e">
        <f t="shared" ca="1" si="463"/>
        <v>#VALUE!</v>
      </c>
      <c r="AC975" t="e">
        <f t="shared" ca="1" si="464"/>
        <v>#VALUE!</v>
      </c>
      <c r="AD975" t="e">
        <f t="shared" ca="1" si="465"/>
        <v>#VALUE!</v>
      </c>
      <c r="AE975" t="e">
        <f t="shared" ca="1" si="466"/>
        <v>#VALUE!</v>
      </c>
      <c r="AF975" t="e">
        <f t="shared" ca="1" si="467"/>
        <v>#VALUE!</v>
      </c>
      <c r="AG975" t="e">
        <f t="shared" ca="1" si="468"/>
        <v>#VALUE!</v>
      </c>
      <c r="AH975" t="e">
        <f ca="1">IF(V32="Supercritical",L975,IF(V32="Subcritical",W975,IF(AND(V975=1,AG975=1),IF(T975&gt;=AE975,L975,W975),IF(V975=1,L975,IF(AG975=1,W975,MAX($D$16,POWER((ABS(K975)^2)/($I$5*MAX(F975,0.1)^2),1/3)))))))</f>
        <v>#VALUE!</v>
      </c>
      <c r="AI975" t="e">
        <f t="shared" ca="1" si="469"/>
        <v>#VALUE!</v>
      </c>
      <c r="AJ975" t="e">
        <f t="shared" ca="1" si="470"/>
        <v>#VALUE!</v>
      </c>
      <c r="AM975">
        <v>0</v>
      </c>
      <c r="AN975">
        <v>0</v>
      </c>
      <c r="AO975">
        <f t="shared" si="471"/>
        <v>0</v>
      </c>
      <c r="AP975">
        <f t="shared" si="480"/>
        <v>0</v>
      </c>
      <c r="AQ975" t="e">
        <f t="shared" ca="1" si="472"/>
        <v>#VALUE!</v>
      </c>
      <c r="AR975" t="e">
        <f t="shared" ca="1" si="473"/>
        <v>#VALUE!</v>
      </c>
      <c r="AS975" t="e">
        <f t="shared" ca="1" si="474"/>
        <v>#VALUE!</v>
      </c>
    </row>
    <row r="976" spans="1:45" x14ac:dyDescent="0.35">
      <c r="A976">
        <v>827</v>
      </c>
      <c r="B976">
        <v>825.89</v>
      </c>
      <c r="C976">
        <v>616088.51899999997</v>
      </c>
      <c r="D976">
        <v>3097177.8930000002</v>
      </c>
      <c r="E976">
        <v>632.149</v>
      </c>
      <c r="F976">
        <v>5.2</v>
      </c>
      <c r="G976">
        <v>0</v>
      </c>
      <c r="H976" t="s">
        <v>191</v>
      </c>
      <c r="I976">
        <v>0</v>
      </c>
      <c r="J976">
        <f t="shared" si="475"/>
        <v>1</v>
      </c>
      <c r="K976">
        <f t="shared" si="476"/>
        <v>51</v>
      </c>
      <c r="L976" t="e">
        <f t="shared" ca="1" si="477"/>
        <v>#VALUE!</v>
      </c>
      <c r="M976" t="e">
        <f t="shared" ca="1" si="450"/>
        <v>#VALUE!</v>
      </c>
      <c r="N976" t="e">
        <f t="shared" ca="1" si="451"/>
        <v>#VALUE!</v>
      </c>
      <c r="O976" t="e">
        <f t="shared" ca="1" si="452"/>
        <v>#VALUE!</v>
      </c>
      <c r="P976" t="e">
        <f t="shared" ca="1" si="453"/>
        <v>#VALUE!</v>
      </c>
      <c r="Q976" t="e">
        <f t="shared" ca="1" si="454"/>
        <v>#VALUE!</v>
      </c>
      <c r="R976" t="e">
        <f t="shared" ca="1" si="455"/>
        <v>#VALUE!</v>
      </c>
      <c r="S976" t="e">
        <f t="shared" ca="1" si="456"/>
        <v>#VALUE!</v>
      </c>
      <c r="T976" t="e">
        <f t="shared" ca="1" si="457"/>
        <v>#VALUE!</v>
      </c>
      <c r="U976" t="e">
        <f t="shared" ca="1" si="478"/>
        <v>#VALUE!</v>
      </c>
      <c r="V976" t="e">
        <f t="shared" ca="1" si="479"/>
        <v>#VALUE!</v>
      </c>
      <c r="W976" t="e">
        <f t="shared" ca="1" si="458"/>
        <v>#VALUE!</v>
      </c>
      <c r="X976" t="e">
        <f t="shared" ca="1" si="459"/>
        <v>#VALUE!</v>
      </c>
      <c r="Y976" t="e">
        <f t="shared" ca="1" si="460"/>
        <v>#VALUE!</v>
      </c>
      <c r="Z976" t="e">
        <f t="shared" ca="1" si="461"/>
        <v>#VALUE!</v>
      </c>
      <c r="AA976" t="e">
        <f t="shared" ca="1" si="462"/>
        <v>#VALUE!</v>
      </c>
      <c r="AB976" t="e">
        <f t="shared" ca="1" si="463"/>
        <v>#VALUE!</v>
      </c>
      <c r="AC976" t="e">
        <f t="shared" ca="1" si="464"/>
        <v>#VALUE!</v>
      </c>
      <c r="AD976" t="e">
        <f t="shared" ca="1" si="465"/>
        <v>#VALUE!</v>
      </c>
      <c r="AE976" t="e">
        <f t="shared" ca="1" si="466"/>
        <v>#VALUE!</v>
      </c>
      <c r="AF976" t="e">
        <f t="shared" ca="1" si="467"/>
        <v>#VALUE!</v>
      </c>
      <c r="AG976" t="e">
        <f t="shared" ca="1" si="468"/>
        <v>#VALUE!</v>
      </c>
      <c r="AH976" t="e">
        <f ca="1">IF(V32="Supercritical",L976,IF(V32="Subcritical",W976,IF(AND(V976=1,AG976=1),IF(T976&gt;=AE976,L976,W976),IF(V976=1,L976,IF(AG976=1,W976,MAX($D$16,POWER((ABS(K976)^2)/($I$5*MAX(F976,0.1)^2),1/3)))))))</f>
        <v>#VALUE!</v>
      </c>
      <c r="AI976" t="e">
        <f t="shared" ca="1" si="469"/>
        <v>#VALUE!</v>
      </c>
      <c r="AJ976" t="e">
        <f t="shared" ca="1" si="470"/>
        <v>#VALUE!</v>
      </c>
      <c r="AM976">
        <v>0</v>
      </c>
      <c r="AN976">
        <v>0</v>
      </c>
      <c r="AO976">
        <f t="shared" si="471"/>
        <v>0</v>
      </c>
      <c r="AP976">
        <f t="shared" si="480"/>
        <v>0</v>
      </c>
      <c r="AQ976" t="e">
        <f t="shared" ca="1" si="472"/>
        <v>#VALUE!</v>
      </c>
      <c r="AR976" t="e">
        <f t="shared" ca="1" si="473"/>
        <v>#VALUE!</v>
      </c>
      <c r="AS976" t="e">
        <f t="shared" ca="1" si="474"/>
        <v>#VALUE!</v>
      </c>
    </row>
    <row r="977" spans="1:45" x14ac:dyDescent="0.35">
      <c r="A977">
        <v>828</v>
      </c>
      <c r="B977">
        <v>826.88900000000001</v>
      </c>
      <c r="C977">
        <v>616088.47699999996</v>
      </c>
      <c r="D977">
        <v>3097176.8939999999</v>
      </c>
      <c r="E977">
        <v>632.14850000000001</v>
      </c>
      <c r="F977">
        <v>5.2</v>
      </c>
      <c r="G977">
        <v>0</v>
      </c>
      <c r="H977" t="s">
        <v>191</v>
      </c>
      <c r="I977">
        <v>0</v>
      </c>
      <c r="J977">
        <f t="shared" si="475"/>
        <v>0.99900000000002365</v>
      </c>
      <c r="K977">
        <f t="shared" si="476"/>
        <v>51</v>
      </c>
      <c r="L977" t="e">
        <f t="shared" ca="1" si="477"/>
        <v>#VALUE!</v>
      </c>
      <c r="M977" t="e">
        <f t="shared" ca="1" si="450"/>
        <v>#VALUE!</v>
      </c>
      <c r="N977" t="e">
        <f t="shared" ca="1" si="451"/>
        <v>#VALUE!</v>
      </c>
      <c r="O977" t="e">
        <f t="shared" ca="1" si="452"/>
        <v>#VALUE!</v>
      </c>
      <c r="P977" t="e">
        <f t="shared" ca="1" si="453"/>
        <v>#VALUE!</v>
      </c>
      <c r="Q977" t="e">
        <f t="shared" ca="1" si="454"/>
        <v>#VALUE!</v>
      </c>
      <c r="R977" t="e">
        <f t="shared" ca="1" si="455"/>
        <v>#VALUE!</v>
      </c>
      <c r="S977" t="e">
        <f t="shared" ca="1" si="456"/>
        <v>#VALUE!</v>
      </c>
      <c r="T977" t="e">
        <f t="shared" ca="1" si="457"/>
        <v>#VALUE!</v>
      </c>
      <c r="U977" t="e">
        <f t="shared" ca="1" si="478"/>
        <v>#VALUE!</v>
      </c>
      <c r="V977" t="e">
        <f t="shared" ca="1" si="479"/>
        <v>#VALUE!</v>
      </c>
      <c r="W977" t="e">
        <f t="shared" ca="1" si="458"/>
        <v>#VALUE!</v>
      </c>
      <c r="X977" t="e">
        <f t="shared" ca="1" si="459"/>
        <v>#VALUE!</v>
      </c>
      <c r="Y977" t="e">
        <f t="shared" ca="1" si="460"/>
        <v>#VALUE!</v>
      </c>
      <c r="Z977" t="e">
        <f t="shared" ca="1" si="461"/>
        <v>#VALUE!</v>
      </c>
      <c r="AA977" t="e">
        <f t="shared" ca="1" si="462"/>
        <v>#VALUE!</v>
      </c>
      <c r="AB977" t="e">
        <f t="shared" ca="1" si="463"/>
        <v>#VALUE!</v>
      </c>
      <c r="AC977" t="e">
        <f t="shared" ca="1" si="464"/>
        <v>#VALUE!</v>
      </c>
      <c r="AD977" t="e">
        <f t="shared" ca="1" si="465"/>
        <v>#VALUE!</v>
      </c>
      <c r="AE977" t="e">
        <f t="shared" ca="1" si="466"/>
        <v>#VALUE!</v>
      </c>
      <c r="AF977" t="e">
        <f t="shared" ca="1" si="467"/>
        <v>#VALUE!</v>
      </c>
      <c r="AG977" t="e">
        <f t="shared" ca="1" si="468"/>
        <v>#VALUE!</v>
      </c>
      <c r="AH977" t="e">
        <f ca="1">IF(V32="Supercritical",L977,IF(V32="Subcritical",W977,IF(AND(V977=1,AG977=1),IF(T977&gt;=AE977,L977,W977),IF(V977=1,L977,IF(AG977=1,W977,MAX($D$16,POWER((ABS(K977)^2)/($I$5*MAX(F977,0.1)^2),1/3)))))))</f>
        <v>#VALUE!</v>
      </c>
      <c r="AI977" t="e">
        <f t="shared" ca="1" si="469"/>
        <v>#VALUE!</v>
      </c>
      <c r="AJ977" t="e">
        <f t="shared" ca="1" si="470"/>
        <v>#VALUE!</v>
      </c>
      <c r="AM977">
        <v>0</v>
      </c>
      <c r="AN977">
        <v>0</v>
      </c>
      <c r="AO977">
        <f t="shared" si="471"/>
        <v>0</v>
      </c>
      <c r="AP977">
        <f t="shared" si="480"/>
        <v>0</v>
      </c>
      <c r="AQ977" t="e">
        <f t="shared" ca="1" si="472"/>
        <v>#VALUE!</v>
      </c>
      <c r="AR977" t="e">
        <f t="shared" ca="1" si="473"/>
        <v>#VALUE!</v>
      </c>
      <c r="AS977" t="e">
        <f t="shared" ca="1" si="474"/>
        <v>#VALUE!</v>
      </c>
    </row>
    <row r="978" spans="1:45" x14ac:dyDescent="0.35">
      <c r="A978">
        <v>829</v>
      </c>
      <c r="B978">
        <v>827.88900000000001</v>
      </c>
      <c r="C978">
        <v>616088.43500000006</v>
      </c>
      <c r="D978">
        <v>3097175.895</v>
      </c>
      <c r="E978">
        <v>632.14800000000002</v>
      </c>
      <c r="F978">
        <v>5.2</v>
      </c>
      <c r="G978">
        <v>0</v>
      </c>
      <c r="H978" t="s">
        <v>191</v>
      </c>
      <c r="I978">
        <v>5.7000000000000002E-2</v>
      </c>
      <c r="J978">
        <f t="shared" si="475"/>
        <v>1</v>
      </c>
      <c r="K978">
        <f t="shared" si="476"/>
        <v>51</v>
      </c>
      <c r="L978" t="e">
        <f t="shared" ca="1" si="477"/>
        <v>#VALUE!</v>
      </c>
      <c r="M978" t="e">
        <f t="shared" ca="1" si="450"/>
        <v>#VALUE!</v>
      </c>
      <c r="N978" t="e">
        <f t="shared" ca="1" si="451"/>
        <v>#VALUE!</v>
      </c>
      <c r="O978" t="e">
        <f t="shared" ca="1" si="452"/>
        <v>#VALUE!</v>
      </c>
      <c r="P978" t="e">
        <f t="shared" ca="1" si="453"/>
        <v>#VALUE!</v>
      </c>
      <c r="Q978" t="e">
        <f t="shared" ca="1" si="454"/>
        <v>#VALUE!</v>
      </c>
      <c r="R978" t="e">
        <f t="shared" ca="1" si="455"/>
        <v>#VALUE!</v>
      </c>
      <c r="S978" t="e">
        <f t="shared" ca="1" si="456"/>
        <v>#VALUE!</v>
      </c>
      <c r="T978" t="e">
        <f t="shared" ca="1" si="457"/>
        <v>#VALUE!</v>
      </c>
      <c r="U978" t="e">
        <f t="shared" ca="1" si="478"/>
        <v>#VALUE!</v>
      </c>
      <c r="V978" t="e">
        <f t="shared" ca="1" si="479"/>
        <v>#VALUE!</v>
      </c>
      <c r="W978" t="e">
        <f t="shared" ca="1" si="458"/>
        <v>#VALUE!</v>
      </c>
      <c r="X978" t="e">
        <f t="shared" ca="1" si="459"/>
        <v>#VALUE!</v>
      </c>
      <c r="Y978" t="e">
        <f t="shared" ca="1" si="460"/>
        <v>#VALUE!</v>
      </c>
      <c r="Z978" t="e">
        <f t="shared" ca="1" si="461"/>
        <v>#VALUE!</v>
      </c>
      <c r="AA978" t="e">
        <f t="shared" ca="1" si="462"/>
        <v>#VALUE!</v>
      </c>
      <c r="AB978" t="e">
        <f t="shared" ca="1" si="463"/>
        <v>#VALUE!</v>
      </c>
      <c r="AC978" t="e">
        <f t="shared" ca="1" si="464"/>
        <v>#VALUE!</v>
      </c>
      <c r="AD978" t="e">
        <f t="shared" ca="1" si="465"/>
        <v>#VALUE!</v>
      </c>
      <c r="AE978" t="e">
        <f t="shared" ca="1" si="466"/>
        <v>#VALUE!</v>
      </c>
      <c r="AF978" t="e">
        <f t="shared" ca="1" si="467"/>
        <v>#VALUE!</v>
      </c>
      <c r="AG978" t="e">
        <f t="shared" ca="1" si="468"/>
        <v>#VALUE!</v>
      </c>
      <c r="AH978" t="e">
        <f ca="1">IF(V32="Supercritical",L978,IF(V32="Subcritical",W978,IF(AND(V978=1,AG978=1),IF(T978&gt;=AE978,L978,W978),IF(V978=1,L978,IF(AG978=1,W978,MAX($D$16,POWER((ABS(K978)^2)/($I$5*MAX(F978,0.1)^2),1/3)))))))</f>
        <v>#VALUE!</v>
      </c>
      <c r="AI978" t="e">
        <f t="shared" ca="1" si="469"/>
        <v>#VALUE!</v>
      </c>
      <c r="AJ978" t="e">
        <f t="shared" ca="1" si="470"/>
        <v>#VALUE!</v>
      </c>
      <c r="AM978">
        <v>0</v>
      </c>
      <c r="AN978">
        <v>0</v>
      </c>
      <c r="AO978">
        <f t="shared" si="471"/>
        <v>0</v>
      </c>
      <c r="AP978">
        <f t="shared" si="480"/>
        <v>0</v>
      </c>
      <c r="AQ978" t="e">
        <f t="shared" ca="1" si="472"/>
        <v>#VALUE!</v>
      </c>
      <c r="AR978" t="e">
        <f t="shared" ca="1" si="473"/>
        <v>#VALUE!</v>
      </c>
      <c r="AS978" t="e">
        <f t="shared" ca="1" si="474"/>
        <v>#VALUE!</v>
      </c>
    </row>
    <row r="979" spans="1:45" x14ac:dyDescent="0.35">
      <c r="A979">
        <v>830</v>
      </c>
      <c r="B979">
        <v>828.88900000000001</v>
      </c>
      <c r="C979">
        <v>616088.39199999999</v>
      </c>
      <c r="D979">
        <v>3097174.8960000002</v>
      </c>
      <c r="E979">
        <v>632.14750000000004</v>
      </c>
      <c r="F979">
        <v>5.2</v>
      </c>
      <c r="G979">
        <v>0</v>
      </c>
      <c r="H979" t="s">
        <v>191</v>
      </c>
      <c r="I979">
        <v>5.7000000000000002E-2</v>
      </c>
      <c r="J979">
        <f t="shared" si="475"/>
        <v>1</v>
      </c>
      <c r="K979">
        <f t="shared" si="476"/>
        <v>51</v>
      </c>
      <c r="L979" t="e">
        <f t="shared" ca="1" si="477"/>
        <v>#VALUE!</v>
      </c>
      <c r="M979" t="e">
        <f t="shared" ca="1" si="450"/>
        <v>#VALUE!</v>
      </c>
      <c r="N979" t="e">
        <f t="shared" ca="1" si="451"/>
        <v>#VALUE!</v>
      </c>
      <c r="O979" t="e">
        <f t="shared" ca="1" si="452"/>
        <v>#VALUE!</v>
      </c>
      <c r="P979" t="e">
        <f t="shared" ca="1" si="453"/>
        <v>#VALUE!</v>
      </c>
      <c r="Q979" t="e">
        <f t="shared" ca="1" si="454"/>
        <v>#VALUE!</v>
      </c>
      <c r="R979" t="e">
        <f t="shared" ca="1" si="455"/>
        <v>#VALUE!</v>
      </c>
      <c r="S979" t="e">
        <f t="shared" ca="1" si="456"/>
        <v>#VALUE!</v>
      </c>
      <c r="T979" t="e">
        <f t="shared" ca="1" si="457"/>
        <v>#VALUE!</v>
      </c>
      <c r="U979" t="e">
        <f t="shared" ca="1" si="478"/>
        <v>#VALUE!</v>
      </c>
      <c r="V979" t="e">
        <f t="shared" ca="1" si="479"/>
        <v>#VALUE!</v>
      </c>
      <c r="W979" t="e">
        <f t="shared" ca="1" si="458"/>
        <v>#VALUE!</v>
      </c>
      <c r="X979" t="e">
        <f t="shared" ca="1" si="459"/>
        <v>#VALUE!</v>
      </c>
      <c r="Y979" t="e">
        <f t="shared" ca="1" si="460"/>
        <v>#VALUE!</v>
      </c>
      <c r="Z979" t="e">
        <f t="shared" ca="1" si="461"/>
        <v>#VALUE!</v>
      </c>
      <c r="AA979" t="e">
        <f t="shared" ca="1" si="462"/>
        <v>#VALUE!</v>
      </c>
      <c r="AB979" t="e">
        <f t="shared" ca="1" si="463"/>
        <v>#VALUE!</v>
      </c>
      <c r="AC979" t="e">
        <f t="shared" ca="1" si="464"/>
        <v>#VALUE!</v>
      </c>
      <c r="AD979" t="e">
        <f t="shared" ca="1" si="465"/>
        <v>#VALUE!</v>
      </c>
      <c r="AE979" t="e">
        <f t="shared" ca="1" si="466"/>
        <v>#VALUE!</v>
      </c>
      <c r="AF979" t="e">
        <f t="shared" ca="1" si="467"/>
        <v>#VALUE!</v>
      </c>
      <c r="AG979" t="e">
        <f t="shared" ca="1" si="468"/>
        <v>#VALUE!</v>
      </c>
      <c r="AH979" t="e">
        <f ca="1">IF(V32="Supercritical",L979,IF(V32="Subcritical",W979,IF(AND(V979=1,AG979=1),IF(T979&gt;=AE979,L979,W979),IF(V979=1,L979,IF(AG979=1,W979,MAX($D$16,POWER((ABS(K979)^2)/($I$5*MAX(F979,0.1)^2),1/3)))))))</f>
        <v>#VALUE!</v>
      </c>
      <c r="AI979" t="e">
        <f t="shared" ca="1" si="469"/>
        <v>#VALUE!</v>
      </c>
      <c r="AJ979" t="e">
        <f t="shared" ca="1" si="470"/>
        <v>#VALUE!</v>
      </c>
      <c r="AM979">
        <v>0</v>
      </c>
      <c r="AN979">
        <v>0</v>
      </c>
      <c r="AO979">
        <f t="shared" si="471"/>
        <v>0</v>
      </c>
      <c r="AP979">
        <f t="shared" si="480"/>
        <v>0</v>
      </c>
      <c r="AQ979" t="e">
        <f t="shared" ca="1" si="472"/>
        <v>#VALUE!</v>
      </c>
      <c r="AR979" t="e">
        <f t="shared" ca="1" si="473"/>
        <v>#VALUE!</v>
      </c>
      <c r="AS979" t="e">
        <f t="shared" ca="1" si="474"/>
        <v>#VALUE!</v>
      </c>
    </row>
    <row r="980" spans="1:45" x14ac:dyDescent="0.35">
      <c r="A980">
        <v>831</v>
      </c>
      <c r="B980">
        <v>829.88900000000001</v>
      </c>
      <c r="C980">
        <v>616088.35</v>
      </c>
      <c r="D980">
        <v>3097173.8969999999</v>
      </c>
      <c r="E980">
        <v>632.14700000000005</v>
      </c>
      <c r="F980">
        <v>5.2</v>
      </c>
      <c r="G980">
        <v>0</v>
      </c>
      <c r="H980" t="s">
        <v>191</v>
      </c>
      <c r="I980">
        <v>0</v>
      </c>
      <c r="J980">
        <f t="shared" si="475"/>
        <v>1</v>
      </c>
      <c r="K980">
        <f t="shared" si="476"/>
        <v>51</v>
      </c>
      <c r="L980" t="e">
        <f t="shared" ca="1" si="477"/>
        <v>#VALUE!</v>
      </c>
      <c r="M980" t="e">
        <f t="shared" ca="1" si="450"/>
        <v>#VALUE!</v>
      </c>
      <c r="N980" t="e">
        <f t="shared" ca="1" si="451"/>
        <v>#VALUE!</v>
      </c>
      <c r="O980" t="e">
        <f t="shared" ca="1" si="452"/>
        <v>#VALUE!</v>
      </c>
      <c r="P980" t="e">
        <f t="shared" ca="1" si="453"/>
        <v>#VALUE!</v>
      </c>
      <c r="Q980" t="e">
        <f t="shared" ca="1" si="454"/>
        <v>#VALUE!</v>
      </c>
      <c r="R980" t="e">
        <f t="shared" ca="1" si="455"/>
        <v>#VALUE!</v>
      </c>
      <c r="S980" t="e">
        <f t="shared" ca="1" si="456"/>
        <v>#VALUE!</v>
      </c>
      <c r="T980" t="e">
        <f t="shared" ca="1" si="457"/>
        <v>#VALUE!</v>
      </c>
      <c r="U980" t="e">
        <f t="shared" ca="1" si="478"/>
        <v>#VALUE!</v>
      </c>
      <c r="V980" t="e">
        <f t="shared" ca="1" si="479"/>
        <v>#VALUE!</v>
      </c>
      <c r="W980" t="e">
        <f t="shared" ca="1" si="458"/>
        <v>#VALUE!</v>
      </c>
      <c r="X980" t="e">
        <f t="shared" ca="1" si="459"/>
        <v>#VALUE!</v>
      </c>
      <c r="Y980" t="e">
        <f t="shared" ca="1" si="460"/>
        <v>#VALUE!</v>
      </c>
      <c r="Z980" t="e">
        <f t="shared" ca="1" si="461"/>
        <v>#VALUE!</v>
      </c>
      <c r="AA980" t="e">
        <f t="shared" ca="1" si="462"/>
        <v>#VALUE!</v>
      </c>
      <c r="AB980" t="e">
        <f t="shared" ca="1" si="463"/>
        <v>#VALUE!</v>
      </c>
      <c r="AC980" t="e">
        <f t="shared" ca="1" si="464"/>
        <v>#VALUE!</v>
      </c>
      <c r="AD980" t="e">
        <f t="shared" ca="1" si="465"/>
        <v>#VALUE!</v>
      </c>
      <c r="AE980" t="e">
        <f t="shared" ca="1" si="466"/>
        <v>#VALUE!</v>
      </c>
      <c r="AF980" t="e">
        <f t="shared" ca="1" si="467"/>
        <v>#VALUE!</v>
      </c>
      <c r="AG980" t="e">
        <f t="shared" ca="1" si="468"/>
        <v>#VALUE!</v>
      </c>
      <c r="AH980" t="e">
        <f ca="1">IF(V32="Supercritical",L980,IF(V32="Subcritical",W980,IF(AND(V980=1,AG980=1),IF(T980&gt;=AE980,L980,W980),IF(V980=1,L980,IF(AG980=1,W980,MAX($D$16,POWER((ABS(K980)^2)/($I$5*MAX(F980,0.1)^2),1/3)))))))</f>
        <v>#VALUE!</v>
      </c>
      <c r="AI980" t="e">
        <f t="shared" ca="1" si="469"/>
        <v>#VALUE!</v>
      </c>
      <c r="AJ980" t="e">
        <f t="shared" ca="1" si="470"/>
        <v>#VALUE!</v>
      </c>
      <c r="AM980">
        <v>0</v>
      </c>
      <c r="AN980">
        <v>0</v>
      </c>
      <c r="AO980">
        <f t="shared" si="471"/>
        <v>0</v>
      </c>
      <c r="AP980">
        <f t="shared" si="480"/>
        <v>0</v>
      </c>
      <c r="AQ980" t="e">
        <f t="shared" ca="1" si="472"/>
        <v>#VALUE!</v>
      </c>
      <c r="AR980" t="e">
        <f t="shared" ca="1" si="473"/>
        <v>#VALUE!</v>
      </c>
      <c r="AS980" t="e">
        <f t="shared" ca="1" si="474"/>
        <v>#VALUE!</v>
      </c>
    </row>
    <row r="981" spans="1:45" x14ac:dyDescent="0.35">
      <c r="A981">
        <v>832</v>
      </c>
      <c r="B981">
        <v>830.88900000000001</v>
      </c>
      <c r="C981">
        <v>616088.30799999996</v>
      </c>
      <c r="D981">
        <v>3097172.898</v>
      </c>
      <c r="E981">
        <v>632.14649999999995</v>
      </c>
      <c r="F981">
        <v>5.2</v>
      </c>
      <c r="G981">
        <v>0</v>
      </c>
      <c r="H981" t="s">
        <v>191</v>
      </c>
      <c r="I981">
        <v>0</v>
      </c>
      <c r="J981">
        <f t="shared" si="475"/>
        <v>1</v>
      </c>
      <c r="K981">
        <f t="shared" si="476"/>
        <v>51</v>
      </c>
      <c r="L981" t="e">
        <f t="shared" ca="1" si="477"/>
        <v>#VALUE!</v>
      </c>
      <c r="M981" t="e">
        <f t="shared" ca="1" si="450"/>
        <v>#VALUE!</v>
      </c>
      <c r="N981" t="e">
        <f t="shared" ca="1" si="451"/>
        <v>#VALUE!</v>
      </c>
      <c r="O981" t="e">
        <f t="shared" ca="1" si="452"/>
        <v>#VALUE!</v>
      </c>
      <c r="P981" t="e">
        <f t="shared" ca="1" si="453"/>
        <v>#VALUE!</v>
      </c>
      <c r="Q981" t="e">
        <f t="shared" ca="1" si="454"/>
        <v>#VALUE!</v>
      </c>
      <c r="R981" t="e">
        <f t="shared" ca="1" si="455"/>
        <v>#VALUE!</v>
      </c>
      <c r="S981" t="e">
        <f t="shared" ca="1" si="456"/>
        <v>#VALUE!</v>
      </c>
      <c r="T981" t="e">
        <f t="shared" ca="1" si="457"/>
        <v>#VALUE!</v>
      </c>
      <c r="U981" t="e">
        <f t="shared" ca="1" si="478"/>
        <v>#VALUE!</v>
      </c>
      <c r="V981" t="e">
        <f t="shared" ca="1" si="479"/>
        <v>#VALUE!</v>
      </c>
      <c r="W981" t="e">
        <f t="shared" ca="1" si="458"/>
        <v>#VALUE!</v>
      </c>
      <c r="X981" t="e">
        <f t="shared" ca="1" si="459"/>
        <v>#VALUE!</v>
      </c>
      <c r="Y981" t="e">
        <f t="shared" ca="1" si="460"/>
        <v>#VALUE!</v>
      </c>
      <c r="Z981" t="e">
        <f t="shared" ca="1" si="461"/>
        <v>#VALUE!</v>
      </c>
      <c r="AA981" t="e">
        <f t="shared" ca="1" si="462"/>
        <v>#VALUE!</v>
      </c>
      <c r="AB981" t="e">
        <f t="shared" ca="1" si="463"/>
        <v>#VALUE!</v>
      </c>
      <c r="AC981" t="e">
        <f t="shared" ca="1" si="464"/>
        <v>#VALUE!</v>
      </c>
      <c r="AD981" t="e">
        <f t="shared" ca="1" si="465"/>
        <v>#VALUE!</v>
      </c>
      <c r="AE981" t="e">
        <f t="shared" ca="1" si="466"/>
        <v>#VALUE!</v>
      </c>
      <c r="AF981" t="e">
        <f t="shared" ca="1" si="467"/>
        <v>#VALUE!</v>
      </c>
      <c r="AG981" t="e">
        <f t="shared" ca="1" si="468"/>
        <v>#VALUE!</v>
      </c>
      <c r="AH981" t="e">
        <f ca="1">IF(V32="Supercritical",L981,IF(V32="Subcritical",W981,IF(AND(V981=1,AG981=1),IF(T981&gt;=AE981,L981,W981),IF(V981=1,L981,IF(AG981=1,W981,MAX($D$16,POWER((ABS(K981)^2)/($I$5*MAX(F981,0.1)^2),1/3)))))))</f>
        <v>#VALUE!</v>
      </c>
      <c r="AI981" t="e">
        <f t="shared" ca="1" si="469"/>
        <v>#VALUE!</v>
      </c>
      <c r="AJ981" t="e">
        <f t="shared" ca="1" si="470"/>
        <v>#VALUE!</v>
      </c>
      <c r="AM981">
        <v>0</v>
      </c>
      <c r="AN981">
        <v>0</v>
      </c>
      <c r="AO981">
        <f t="shared" si="471"/>
        <v>0</v>
      </c>
      <c r="AP981">
        <f t="shared" si="480"/>
        <v>0</v>
      </c>
      <c r="AQ981" t="e">
        <f t="shared" ca="1" si="472"/>
        <v>#VALUE!</v>
      </c>
      <c r="AR981" t="e">
        <f t="shared" ca="1" si="473"/>
        <v>#VALUE!</v>
      </c>
      <c r="AS981" t="e">
        <f t="shared" ca="1" si="474"/>
        <v>#VALUE!</v>
      </c>
    </row>
    <row r="982" spans="1:45" x14ac:dyDescent="0.35">
      <c r="A982">
        <v>833</v>
      </c>
      <c r="B982">
        <v>831.88900000000001</v>
      </c>
      <c r="C982">
        <v>616088.26599999995</v>
      </c>
      <c r="D982">
        <v>3097171.8990000002</v>
      </c>
      <c r="E982">
        <v>632.14599999999996</v>
      </c>
      <c r="F982">
        <v>5.2</v>
      </c>
      <c r="G982">
        <v>0</v>
      </c>
      <c r="H982" t="s">
        <v>191</v>
      </c>
      <c r="I982">
        <v>5.7000000000000002E-2</v>
      </c>
      <c r="J982">
        <f t="shared" si="475"/>
        <v>1</v>
      </c>
      <c r="K982">
        <f t="shared" si="476"/>
        <v>51</v>
      </c>
      <c r="L982" t="e">
        <f t="shared" ca="1" si="477"/>
        <v>#VALUE!</v>
      </c>
      <c r="M982" t="e">
        <f t="shared" ref="M982:M1045" ca="1" si="481">((F982)+(G982)*(L982))*(L982)</f>
        <v>#VALUE!</v>
      </c>
      <c r="N982" t="e">
        <f t="shared" ref="N982:N1045" ca="1" si="482">(((F982)+(G982)*(L982))*(L982))/MAX((F982)+2*(L982)*SQRT(1+(G982)^2),0.000001)</f>
        <v>#VALUE!</v>
      </c>
      <c r="O982" t="e">
        <f t="shared" ref="O982:O1045" ca="1" si="483">ABS(K982)/MAX(((F982)+(G982)*(L982))*(L982),0.000001)</f>
        <v>#VALUE!</v>
      </c>
      <c r="P982" t="e">
        <f t="shared" ref="P982:P1045" ca="1" si="484">E982+L982</f>
        <v>#VALUE!</v>
      </c>
      <c r="Q982" t="e">
        <f t="shared" ref="Q982:Q1045" ca="1" si="485">P982+((ABS(K982)/MAX(((F982)+(G982)*(L982))*(L982),0.000001))^2)/(2*$I$5)</f>
        <v>#VALUE!</v>
      </c>
      <c r="R982" t="e">
        <f t="shared" ref="R982:R1045" ca="1" si="486">((ABS(K982)*$D$6)/(MAX(((F982)+(G982)*(L982))*(L982),0.000001)*MAX(((((F982)+(G982)*(L982))*(L982))/MAX((F982)+2*(L982)*SQRT(1+(G982)^2),0.000001))^(2/3),0.000001)))^2</f>
        <v>#VALUE!</v>
      </c>
      <c r="S982" t="e">
        <f t="shared" ref="S982:S1045" ca="1" si="487">ABS(ABS(K982)/MAX(((F982)+(G982)*(L982))*(L982),0.000001))/SQRT($I$5*MAX((((F982)+(G982)*(L982))*(L982))/MAX((F982)+2*(G982)*(L982),0.000001),0.000001))</f>
        <v>#VALUE!</v>
      </c>
      <c r="T982" t="e">
        <f t="shared" ref="T982:T1045" ca="1" si="488">((F982)*(L982)^2)/2+(G982)*(L982)^3/3+(ABS(K982)^2)/($I$5*MAX(((F982)+(G982)*(L982))*(L982),0.000001))</f>
        <v>#VALUE!</v>
      </c>
      <c r="U982" t="e">
        <f t="shared" ca="1" si="478"/>
        <v>#VALUE!</v>
      </c>
      <c r="V982" t="e">
        <f t="shared" ca="1" si="479"/>
        <v>#VALUE!</v>
      </c>
      <c r="W982" t="e">
        <f t="shared" ref="W982:W1045" ca="1" si="489">IF($D$20=0,W983,IF(AG983=0,W983,IF(W982=0,W983,IF(ABS(AF982)&gt;$D$19,MAX($D$16,W982+((AF982)*$D$18*IF((AD982)&lt;1,1,-1))),W982))))</f>
        <v>#VALUE!</v>
      </c>
      <c r="X982" t="e">
        <f t="shared" ref="X982:X1045" ca="1" si="490">((F982)+(G982)*(W982))*(W982)</f>
        <v>#VALUE!</v>
      </c>
      <c r="Y982" t="e">
        <f t="shared" ref="Y982:Y1045" ca="1" si="491">(((F982)+(G982)*(W982))*(W982))/MAX((F982)+2*(W982)*SQRT(1+(G982)^2),0.000001)</f>
        <v>#VALUE!</v>
      </c>
      <c r="Z982" t="e">
        <f t="shared" ref="Z982:Z1045" ca="1" si="492">ABS(K982)/MAX(((F982)+(G982)*(W982))*(W982),0.000001)</f>
        <v>#VALUE!</v>
      </c>
      <c r="AA982" t="e">
        <f t="shared" ref="AA982:AA1045" ca="1" si="493">E982+W982</f>
        <v>#VALUE!</v>
      </c>
      <c r="AB982" t="e">
        <f t="shared" ref="AB982:AB1045" ca="1" si="494">AA982+((ABS(K982)/MAX(((F982)+(G982)*(W982))*(W982),0.000001))^2)/(2*$I$5)</f>
        <v>#VALUE!</v>
      </c>
      <c r="AC982" t="e">
        <f t="shared" ref="AC982:AC1045" ca="1" si="495">((ABS(K982)*$D$6)/(MAX(((F982)+(G982)*(W982))*(W982),0.000001)*MAX(((((F982)+(G982)*(W982))*(W982))/MAX((F982)+2*(W982)*SQRT(1+(G982)^2),0.000001))^(2/3),0.000001)))^2</f>
        <v>#VALUE!</v>
      </c>
      <c r="AD982" t="e">
        <f t="shared" ref="AD982:AD1045" ca="1" si="496">ABS(ABS(K982)/MAX(((F982)+(G982)*(W982))*(W982),0.000001))/SQRT($I$5*MAX((((F982)+(G982)*(W982))*(W982))/MAX((F982)+2*(G982)*(W982),0.000001),0.000001))</f>
        <v>#VALUE!</v>
      </c>
      <c r="AE982" t="e">
        <f t="shared" ref="AE982:AE1045" ca="1" si="497">((F982)*(W982)^2)/2+(G982)*(W982)^3/3+(ABS(K982)^2)/($I$5*MAX(((F982)+(G982)*(W982))*(W982),0.000001))</f>
        <v>#VALUE!</v>
      </c>
      <c r="AF982" t="e">
        <f t="shared" ref="AF982:AF1045" ca="1" si="498">AB983+(((AC982+AC983)/2)*J983)+(IF(Z982&gt;Z983,$D$8*((Z982^2-Z983^2)/(2*$I$5)),$D$9*((Z983^2-Z982^2)/(2*$I$5)))+($D$10*(ABS(I983)/90)*(MAX(Z982^2,Z983^2)/(2*$I$5))))-AB982</f>
        <v>#VALUE!</v>
      </c>
      <c r="AG982" t="e">
        <f t="shared" ref="AG982:AG1045" ca="1" si="499">IF(ABS(AF982)&lt;$D$19,1,0)</f>
        <v>#VALUE!</v>
      </c>
      <c r="AH982" t="e">
        <f ca="1">IF(V32="Supercritical",L982,IF(V32="Subcritical",W982,IF(AND(V982=1,AG982=1),IF(T982&gt;=AE982,L982,W982),IF(V982=1,L982,IF(AG982=1,W982,MAX($D$16,POWER((ABS(K982)^2)/($I$5*MAX(F982,0.1)^2),1/3)))))))</f>
        <v>#VALUE!</v>
      </c>
      <c r="AI982" t="e">
        <f t="shared" ref="AI982:AI1045" ca="1" si="500">E982+AH982</f>
        <v>#VALUE!</v>
      </c>
      <c r="AJ982" t="e">
        <f t="shared" ref="AJ982:AJ1045" ca="1" si="501">AI982+((ABS(K982)/MAX(((F982)+(G982)*(AH982))*(AH982),0.000001))^2)/(2*$I$5)</f>
        <v>#VALUE!</v>
      </c>
      <c r="AM982">
        <v>0</v>
      </c>
      <c r="AN982">
        <v>0</v>
      </c>
      <c r="AO982">
        <f t="shared" ref="AO982:AO1045" si="502">AM982+AN982</f>
        <v>0</v>
      </c>
      <c r="AP982">
        <f t="shared" si="480"/>
        <v>0</v>
      </c>
      <c r="AQ982" t="e">
        <f t="shared" ref="AQ982:AQ1045" ca="1" si="503">ABS(ABS(K982)/MAX(((F982)+(G982)*(AH982))*(AH982),0.000001))/SQRT($I$5*MAX((((F982)+(G982)*(AH982))*(AH982))/MAX((F982)+2*(G982)*(AH982),0.000001),0.000001))</f>
        <v>#VALUE!</v>
      </c>
      <c r="AR982" t="e">
        <f t="shared" ref="AR982:AR1045" ca="1" si="504">IF(AQ982&lt;1,"Subcritical","Supercritical")</f>
        <v>#VALUE!</v>
      </c>
      <c r="AS982" t="e">
        <f t="shared" ref="AS982:AS1045" ca="1" si="505">((ABS(K982)*$D$6)/(MAX(((F982)+(G982)*(AH982))*(AH982),0.000001)*MAX(((((F982)+(G982)*(AH982))*(AH982))/MAX((F982)+2*(AH982)*SQRT(1+(G982)^2),0.000001))^(2/3),0.000001)))^2</f>
        <v>#VALUE!</v>
      </c>
    </row>
    <row r="983" spans="1:45" x14ac:dyDescent="0.35">
      <c r="A983">
        <v>834</v>
      </c>
      <c r="B983">
        <v>832.88900000000001</v>
      </c>
      <c r="C983">
        <v>616088.223</v>
      </c>
      <c r="D983">
        <v>3097170.9</v>
      </c>
      <c r="E983">
        <v>632.14549999999997</v>
      </c>
      <c r="F983">
        <v>5.2</v>
      </c>
      <c r="G983">
        <v>0</v>
      </c>
      <c r="H983" t="s">
        <v>191</v>
      </c>
      <c r="I983">
        <v>0.06</v>
      </c>
      <c r="J983">
        <f t="shared" ref="J983:J1046" si="506">B983-B982</f>
        <v>1</v>
      </c>
      <c r="K983">
        <f t="shared" ref="K983:K1046" si="507">MAX(0,K982-AO982)</f>
        <v>51</v>
      </c>
      <c r="L983" t="e">
        <f t="shared" ref="L983:L1046" ca="1" si="508">IF($D$20=0,L982,IF(V982=0,L982,IF(L983=0,L982,IF(ABS(U983)&gt;$D$19,MAX($D$16,L983+((U983)*$D$18*IF((S983)&lt;1,1,-1))),L983))))</f>
        <v>#VALUE!</v>
      </c>
      <c r="M983" t="e">
        <f t="shared" ca="1" si="481"/>
        <v>#VALUE!</v>
      </c>
      <c r="N983" t="e">
        <f t="shared" ca="1" si="482"/>
        <v>#VALUE!</v>
      </c>
      <c r="O983" t="e">
        <f t="shared" ca="1" si="483"/>
        <v>#VALUE!</v>
      </c>
      <c r="P983" t="e">
        <f t="shared" ca="1" si="484"/>
        <v>#VALUE!</v>
      </c>
      <c r="Q983" t="e">
        <f t="shared" ca="1" si="485"/>
        <v>#VALUE!</v>
      </c>
      <c r="R983" t="e">
        <f t="shared" ca="1" si="486"/>
        <v>#VALUE!</v>
      </c>
      <c r="S983" t="e">
        <f t="shared" ca="1" si="487"/>
        <v>#VALUE!</v>
      </c>
      <c r="T983" t="e">
        <f t="shared" ca="1" si="488"/>
        <v>#VALUE!</v>
      </c>
      <c r="U983" t="e">
        <f t="shared" ref="U983:U1046" ca="1" si="509">Q982-(((R982+R983)/2)*J983)-(IF(O982&gt;O983,$D$8*((O982^2-O983^2)/(2*$I$5)),$D$9*((O983^2-O982^2)/(2*$I$5)))+($D$10*(ABS(I983)/90)*(MAX(O982^2,O983^2)/(2*$I$5))))-Q983</f>
        <v>#VALUE!</v>
      </c>
      <c r="V983" t="e">
        <f t="shared" ref="V983:V1046" ca="1" si="510">IF(ABS(U983)&lt;$D$19,1,0)</f>
        <v>#VALUE!</v>
      </c>
      <c r="W983" t="e">
        <f t="shared" ca="1" si="489"/>
        <v>#VALUE!</v>
      </c>
      <c r="X983" t="e">
        <f t="shared" ca="1" si="490"/>
        <v>#VALUE!</v>
      </c>
      <c r="Y983" t="e">
        <f t="shared" ca="1" si="491"/>
        <v>#VALUE!</v>
      </c>
      <c r="Z983" t="e">
        <f t="shared" ca="1" si="492"/>
        <v>#VALUE!</v>
      </c>
      <c r="AA983" t="e">
        <f t="shared" ca="1" si="493"/>
        <v>#VALUE!</v>
      </c>
      <c r="AB983" t="e">
        <f t="shared" ca="1" si="494"/>
        <v>#VALUE!</v>
      </c>
      <c r="AC983" t="e">
        <f t="shared" ca="1" si="495"/>
        <v>#VALUE!</v>
      </c>
      <c r="AD983" t="e">
        <f t="shared" ca="1" si="496"/>
        <v>#VALUE!</v>
      </c>
      <c r="AE983" t="e">
        <f t="shared" ca="1" si="497"/>
        <v>#VALUE!</v>
      </c>
      <c r="AF983" t="e">
        <f t="shared" ca="1" si="498"/>
        <v>#VALUE!</v>
      </c>
      <c r="AG983" t="e">
        <f t="shared" ca="1" si="499"/>
        <v>#VALUE!</v>
      </c>
      <c r="AH983" t="e">
        <f ca="1">IF(V32="Supercritical",L983,IF(V32="Subcritical",W983,IF(AND(V983=1,AG983=1),IF(T983&gt;=AE983,L983,W983),IF(V983=1,L983,IF(AG983=1,W983,MAX($D$16,POWER((ABS(K983)^2)/($I$5*MAX(F983,0.1)^2),1/3)))))))</f>
        <v>#VALUE!</v>
      </c>
      <c r="AI983" t="e">
        <f t="shared" ca="1" si="500"/>
        <v>#VALUE!</v>
      </c>
      <c r="AJ983" t="e">
        <f t="shared" ca="1" si="501"/>
        <v>#VALUE!</v>
      </c>
      <c r="AM983">
        <v>0</v>
      </c>
      <c r="AN983">
        <v>0</v>
      </c>
      <c r="AO983">
        <f t="shared" si="502"/>
        <v>0</v>
      </c>
      <c r="AP983">
        <f t="shared" ref="AP983:AP1046" si="511">AP982+AO983</f>
        <v>0</v>
      </c>
      <c r="AQ983" t="e">
        <f t="shared" ca="1" si="503"/>
        <v>#VALUE!</v>
      </c>
      <c r="AR983" t="e">
        <f t="shared" ca="1" si="504"/>
        <v>#VALUE!</v>
      </c>
      <c r="AS983" t="e">
        <f t="shared" ca="1" si="505"/>
        <v>#VALUE!</v>
      </c>
    </row>
    <row r="984" spans="1:45" x14ac:dyDescent="0.35">
      <c r="A984">
        <v>835</v>
      </c>
      <c r="B984">
        <v>833.89</v>
      </c>
      <c r="C984">
        <v>616088.18099999998</v>
      </c>
      <c r="D984">
        <v>3097169.9</v>
      </c>
      <c r="E984">
        <v>632.14499999999998</v>
      </c>
      <c r="F984">
        <v>5.2</v>
      </c>
      <c r="G984">
        <v>0</v>
      </c>
      <c r="H984" t="s">
        <v>191</v>
      </c>
      <c r="I984">
        <v>2E-3</v>
      </c>
      <c r="J984">
        <f t="shared" si="506"/>
        <v>1.0009999999999764</v>
      </c>
      <c r="K984">
        <f t="shared" si="507"/>
        <v>51</v>
      </c>
      <c r="L984" t="e">
        <f t="shared" ca="1" si="508"/>
        <v>#VALUE!</v>
      </c>
      <c r="M984" t="e">
        <f t="shared" ca="1" si="481"/>
        <v>#VALUE!</v>
      </c>
      <c r="N984" t="e">
        <f t="shared" ca="1" si="482"/>
        <v>#VALUE!</v>
      </c>
      <c r="O984" t="e">
        <f t="shared" ca="1" si="483"/>
        <v>#VALUE!</v>
      </c>
      <c r="P984" t="e">
        <f t="shared" ca="1" si="484"/>
        <v>#VALUE!</v>
      </c>
      <c r="Q984" t="e">
        <f t="shared" ca="1" si="485"/>
        <v>#VALUE!</v>
      </c>
      <c r="R984" t="e">
        <f t="shared" ca="1" si="486"/>
        <v>#VALUE!</v>
      </c>
      <c r="S984" t="e">
        <f t="shared" ca="1" si="487"/>
        <v>#VALUE!</v>
      </c>
      <c r="T984" t="e">
        <f t="shared" ca="1" si="488"/>
        <v>#VALUE!</v>
      </c>
      <c r="U984" t="e">
        <f t="shared" ca="1" si="509"/>
        <v>#VALUE!</v>
      </c>
      <c r="V984" t="e">
        <f t="shared" ca="1" si="510"/>
        <v>#VALUE!</v>
      </c>
      <c r="W984" t="e">
        <f t="shared" ca="1" si="489"/>
        <v>#VALUE!</v>
      </c>
      <c r="X984" t="e">
        <f t="shared" ca="1" si="490"/>
        <v>#VALUE!</v>
      </c>
      <c r="Y984" t="e">
        <f t="shared" ca="1" si="491"/>
        <v>#VALUE!</v>
      </c>
      <c r="Z984" t="e">
        <f t="shared" ca="1" si="492"/>
        <v>#VALUE!</v>
      </c>
      <c r="AA984" t="e">
        <f t="shared" ca="1" si="493"/>
        <v>#VALUE!</v>
      </c>
      <c r="AB984" t="e">
        <f t="shared" ca="1" si="494"/>
        <v>#VALUE!</v>
      </c>
      <c r="AC984" t="e">
        <f t="shared" ca="1" si="495"/>
        <v>#VALUE!</v>
      </c>
      <c r="AD984" t="e">
        <f t="shared" ca="1" si="496"/>
        <v>#VALUE!</v>
      </c>
      <c r="AE984" t="e">
        <f t="shared" ca="1" si="497"/>
        <v>#VALUE!</v>
      </c>
      <c r="AF984" t="e">
        <f t="shared" ca="1" si="498"/>
        <v>#VALUE!</v>
      </c>
      <c r="AG984" t="e">
        <f t="shared" ca="1" si="499"/>
        <v>#VALUE!</v>
      </c>
      <c r="AH984" t="e">
        <f ca="1">IF(V32="Supercritical",L984,IF(V32="Subcritical",W984,IF(AND(V984=1,AG984=1),IF(T984&gt;=AE984,L984,W984),IF(V984=1,L984,IF(AG984=1,W984,MAX($D$16,POWER((ABS(K984)^2)/($I$5*MAX(F984,0.1)^2),1/3)))))))</f>
        <v>#VALUE!</v>
      </c>
      <c r="AI984" t="e">
        <f t="shared" ca="1" si="500"/>
        <v>#VALUE!</v>
      </c>
      <c r="AJ984" t="e">
        <f t="shared" ca="1" si="501"/>
        <v>#VALUE!</v>
      </c>
      <c r="AM984">
        <v>0</v>
      </c>
      <c r="AN984">
        <v>0</v>
      </c>
      <c r="AO984">
        <f t="shared" si="502"/>
        <v>0</v>
      </c>
      <c r="AP984">
        <f t="shared" si="511"/>
        <v>0</v>
      </c>
      <c r="AQ984" t="e">
        <f t="shared" ca="1" si="503"/>
        <v>#VALUE!</v>
      </c>
      <c r="AR984" t="e">
        <f t="shared" ca="1" si="504"/>
        <v>#VALUE!</v>
      </c>
      <c r="AS984" t="e">
        <f t="shared" ca="1" si="505"/>
        <v>#VALUE!</v>
      </c>
    </row>
    <row r="985" spans="1:45" x14ac:dyDescent="0.35">
      <c r="A985">
        <v>836</v>
      </c>
      <c r="B985">
        <v>834.89</v>
      </c>
      <c r="C985">
        <v>616088.13899999997</v>
      </c>
      <c r="D985">
        <v>3097168.9010000001</v>
      </c>
      <c r="E985">
        <v>632.14449999999999</v>
      </c>
      <c r="F985">
        <v>5.2</v>
      </c>
      <c r="G985">
        <v>0</v>
      </c>
      <c r="H985" t="s">
        <v>191</v>
      </c>
      <c r="I985">
        <v>0</v>
      </c>
      <c r="J985">
        <f t="shared" si="506"/>
        <v>1</v>
      </c>
      <c r="K985">
        <f t="shared" si="507"/>
        <v>51</v>
      </c>
      <c r="L985" t="e">
        <f t="shared" ca="1" si="508"/>
        <v>#VALUE!</v>
      </c>
      <c r="M985" t="e">
        <f t="shared" ca="1" si="481"/>
        <v>#VALUE!</v>
      </c>
      <c r="N985" t="e">
        <f t="shared" ca="1" si="482"/>
        <v>#VALUE!</v>
      </c>
      <c r="O985" t="e">
        <f t="shared" ca="1" si="483"/>
        <v>#VALUE!</v>
      </c>
      <c r="P985" t="e">
        <f t="shared" ca="1" si="484"/>
        <v>#VALUE!</v>
      </c>
      <c r="Q985" t="e">
        <f t="shared" ca="1" si="485"/>
        <v>#VALUE!</v>
      </c>
      <c r="R985" t="e">
        <f t="shared" ca="1" si="486"/>
        <v>#VALUE!</v>
      </c>
      <c r="S985" t="e">
        <f t="shared" ca="1" si="487"/>
        <v>#VALUE!</v>
      </c>
      <c r="T985" t="e">
        <f t="shared" ca="1" si="488"/>
        <v>#VALUE!</v>
      </c>
      <c r="U985" t="e">
        <f t="shared" ca="1" si="509"/>
        <v>#VALUE!</v>
      </c>
      <c r="V985" t="e">
        <f t="shared" ca="1" si="510"/>
        <v>#VALUE!</v>
      </c>
      <c r="W985" t="e">
        <f t="shared" ca="1" si="489"/>
        <v>#VALUE!</v>
      </c>
      <c r="X985" t="e">
        <f t="shared" ca="1" si="490"/>
        <v>#VALUE!</v>
      </c>
      <c r="Y985" t="e">
        <f t="shared" ca="1" si="491"/>
        <v>#VALUE!</v>
      </c>
      <c r="Z985" t="e">
        <f t="shared" ca="1" si="492"/>
        <v>#VALUE!</v>
      </c>
      <c r="AA985" t="e">
        <f t="shared" ca="1" si="493"/>
        <v>#VALUE!</v>
      </c>
      <c r="AB985" t="e">
        <f t="shared" ca="1" si="494"/>
        <v>#VALUE!</v>
      </c>
      <c r="AC985" t="e">
        <f t="shared" ca="1" si="495"/>
        <v>#VALUE!</v>
      </c>
      <c r="AD985" t="e">
        <f t="shared" ca="1" si="496"/>
        <v>#VALUE!</v>
      </c>
      <c r="AE985" t="e">
        <f t="shared" ca="1" si="497"/>
        <v>#VALUE!</v>
      </c>
      <c r="AF985" t="e">
        <f t="shared" ca="1" si="498"/>
        <v>#VALUE!</v>
      </c>
      <c r="AG985" t="e">
        <f t="shared" ca="1" si="499"/>
        <v>#VALUE!</v>
      </c>
      <c r="AH985" t="e">
        <f ca="1">IF(V32="Supercritical",L985,IF(V32="Subcritical",W985,IF(AND(V985=1,AG985=1),IF(T985&gt;=AE985,L985,W985),IF(V985=1,L985,IF(AG985=1,W985,MAX($D$16,POWER((ABS(K985)^2)/($I$5*MAX(F985,0.1)^2),1/3)))))))</f>
        <v>#VALUE!</v>
      </c>
      <c r="AI985" t="e">
        <f t="shared" ca="1" si="500"/>
        <v>#VALUE!</v>
      </c>
      <c r="AJ985" t="e">
        <f t="shared" ca="1" si="501"/>
        <v>#VALUE!</v>
      </c>
      <c r="AM985">
        <v>0</v>
      </c>
      <c r="AN985">
        <v>0</v>
      </c>
      <c r="AO985">
        <f t="shared" si="502"/>
        <v>0</v>
      </c>
      <c r="AP985">
        <f t="shared" si="511"/>
        <v>0</v>
      </c>
      <c r="AQ985" t="e">
        <f t="shared" ca="1" si="503"/>
        <v>#VALUE!</v>
      </c>
      <c r="AR985" t="e">
        <f t="shared" ca="1" si="504"/>
        <v>#VALUE!</v>
      </c>
      <c r="AS985" t="e">
        <f t="shared" ca="1" si="505"/>
        <v>#VALUE!</v>
      </c>
    </row>
    <row r="986" spans="1:45" x14ac:dyDescent="0.35">
      <c r="A986">
        <v>837</v>
      </c>
      <c r="B986">
        <v>835.88900000000001</v>
      </c>
      <c r="C986">
        <v>616088.09699999995</v>
      </c>
      <c r="D986">
        <v>3097167.9019999998</v>
      </c>
      <c r="E986">
        <v>632.14400000000001</v>
      </c>
      <c r="F986">
        <v>5.2</v>
      </c>
      <c r="G986">
        <v>0</v>
      </c>
      <c r="H986" t="s">
        <v>191</v>
      </c>
      <c r="I986">
        <v>5.7000000000000002E-2</v>
      </c>
      <c r="J986">
        <f t="shared" si="506"/>
        <v>0.99900000000002365</v>
      </c>
      <c r="K986">
        <f t="shared" si="507"/>
        <v>51</v>
      </c>
      <c r="L986" t="e">
        <f t="shared" ca="1" si="508"/>
        <v>#VALUE!</v>
      </c>
      <c r="M986" t="e">
        <f t="shared" ca="1" si="481"/>
        <v>#VALUE!</v>
      </c>
      <c r="N986" t="e">
        <f t="shared" ca="1" si="482"/>
        <v>#VALUE!</v>
      </c>
      <c r="O986" t="e">
        <f t="shared" ca="1" si="483"/>
        <v>#VALUE!</v>
      </c>
      <c r="P986" t="e">
        <f t="shared" ca="1" si="484"/>
        <v>#VALUE!</v>
      </c>
      <c r="Q986" t="e">
        <f t="shared" ca="1" si="485"/>
        <v>#VALUE!</v>
      </c>
      <c r="R986" t="e">
        <f t="shared" ca="1" si="486"/>
        <v>#VALUE!</v>
      </c>
      <c r="S986" t="e">
        <f t="shared" ca="1" si="487"/>
        <v>#VALUE!</v>
      </c>
      <c r="T986" t="e">
        <f t="shared" ca="1" si="488"/>
        <v>#VALUE!</v>
      </c>
      <c r="U986" t="e">
        <f t="shared" ca="1" si="509"/>
        <v>#VALUE!</v>
      </c>
      <c r="V986" t="e">
        <f t="shared" ca="1" si="510"/>
        <v>#VALUE!</v>
      </c>
      <c r="W986" t="e">
        <f t="shared" ca="1" si="489"/>
        <v>#VALUE!</v>
      </c>
      <c r="X986" t="e">
        <f t="shared" ca="1" si="490"/>
        <v>#VALUE!</v>
      </c>
      <c r="Y986" t="e">
        <f t="shared" ca="1" si="491"/>
        <v>#VALUE!</v>
      </c>
      <c r="Z986" t="e">
        <f t="shared" ca="1" si="492"/>
        <v>#VALUE!</v>
      </c>
      <c r="AA986" t="e">
        <f t="shared" ca="1" si="493"/>
        <v>#VALUE!</v>
      </c>
      <c r="AB986" t="e">
        <f t="shared" ca="1" si="494"/>
        <v>#VALUE!</v>
      </c>
      <c r="AC986" t="e">
        <f t="shared" ca="1" si="495"/>
        <v>#VALUE!</v>
      </c>
      <c r="AD986" t="e">
        <f t="shared" ca="1" si="496"/>
        <v>#VALUE!</v>
      </c>
      <c r="AE986" t="e">
        <f t="shared" ca="1" si="497"/>
        <v>#VALUE!</v>
      </c>
      <c r="AF986" t="e">
        <f t="shared" ca="1" si="498"/>
        <v>#VALUE!</v>
      </c>
      <c r="AG986" t="e">
        <f t="shared" ca="1" si="499"/>
        <v>#VALUE!</v>
      </c>
      <c r="AH986" t="e">
        <f ca="1">IF(V32="Supercritical",L986,IF(V32="Subcritical",W986,IF(AND(V986=1,AG986=1),IF(T986&gt;=AE986,L986,W986),IF(V986=1,L986,IF(AG986=1,W986,MAX($D$16,POWER((ABS(K986)^2)/($I$5*MAX(F986,0.1)^2),1/3)))))))</f>
        <v>#VALUE!</v>
      </c>
      <c r="AI986" t="e">
        <f t="shared" ca="1" si="500"/>
        <v>#VALUE!</v>
      </c>
      <c r="AJ986" t="e">
        <f t="shared" ca="1" si="501"/>
        <v>#VALUE!</v>
      </c>
      <c r="AM986">
        <v>0</v>
      </c>
      <c r="AN986">
        <v>0</v>
      </c>
      <c r="AO986">
        <f t="shared" si="502"/>
        <v>0</v>
      </c>
      <c r="AP986">
        <f t="shared" si="511"/>
        <v>0</v>
      </c>
      <c r="AQ986" t="e">
        <f t="shared" ca="1" si="503"/>
        <v>#VALUE!</v>
      </c>
      <c r="AR986" t="e">
        <f t="shared" ca="1" si="504"/>
        <v>#VALUE!</v>
      </c>
      <c r="AS986" t="e">
        <f t="shared" ca="1" si="505"/>
        <v>#VALUE!</v>
      </c>
    </row>
    <row r="987" spans="1:45" x14ac:dyDescent="0.35">
      <c r="A987">
        <v>838</v>
      </c>
      <c r="B987">
        <v>836.88900000000001</v>
      </c>
      <c r="C987">
        <v>616088.054</v>
      </c>
      <c r="D987">
        <v>3097166.9029999999</v>
      </c>
      <c r="E987">
        <v>632.14350000000002</v>
      </c>
      <c r="F987">
        <v>5.2</v>
      </c>
      <c r="G987">
        <v>0</v>
      </c>
      <c r="H987" t="s">
        <v>191</v>
      </c>
      <c r="I987">
        <v>5.7000000000000002E-2</v>
      </c>
      <c r="J987">
        <f t="shared" si="506"/>
        <v>1</v>
      </c>
      <c r="K987">
        <f t="shared" si="507"/>
        <v>51</v>
      </c>
      <c r="L987" t="e">
        <f t="shared" ca="1" si="508"/>
        <v>#VALUE!</v>
      </c>
      <c r="M987" t="e">
        <f t="shared" ca="1" si="481"/>
        <v>#VALUE!</v>
      </c>
      <c r="N987" t="e">
        <f t="shared" ca="1" si="482"/>
        <v>#VALUE!</v>
      </c>
      <c r="O987" t="e">
        <f t="shared" ca="1" si="483"/>
        <v>#VALUE!</v>
      </c>
      <c r="P987" t="e">
        <f t="shared" ca="1" si="484"/>
        <v>#VALUE!</v>
      </c>
      <c r="Q987" t="e">
        <f t="shared" ca="1" si="485"/>
        <v>#VALUE!</v>
      </c>
      <c r="R987" t="e">
        <f t="shared" ca="1" si="486"/>
        <v>#VALUE!</v>
      </c>
      <c r="S987" t="e">
        <f t="shared" ca="1" si="487"/>
        <v>#VALUE!</v>
      </c>
      <c r="T987" t="e">
        <f t="shared" ca="1" si="488"/>
        <v>#VALUE!</v>
      </c>
      <c r="U987" t="e">
        <f t="shared" ca="1" si="509"/>
        <v>#VALUE!</v>
      </c>
      <c r="V987" t="e">
        <f t="shared" ca="1" si="510"/>
        <v>#VALUE!</v>
      </c>
      <c r="W987" t="e">
        <f t="shared" ca="1" si="489"/>
        <v>#VALUE!</v>
      </c>
      <c r="X987" t="e">
        <f t="shared" ca="1" si="490"/>
        <v>#VALUE!</v>
      </c>
      <c r="Y987" t="e">
        <f t="shared" ca="1" si="491"/>
        <v>#VALUE!</v>
      </c>
      <c r="Z987" t="e">
        <f t="shared" ca="1" si="492"/>
        <v>#VALUE!</v>
      </c>
      <c r="AA987" t="e">
        <f t="shared" ca="1" si="493"/>
        <v>#VALUE!</v>
      </c>
      <c r="AB987" t="e">
        <f t="shared" ca="1" si="494"/>
        <v>#VALUE!</v>
      </c>
      <c r="AC987" t="e">
        <f t="shared" ca="1" si="495"/>
        <v>#VALUE!</v>
      </c>
      <c r="AD987" t="e">
        <f t="shared" ca="1" si="496"/>
        <v>#VALUE!</v>
      </c>
      <c r="AE987" t="e">
        <f t="shared" ca="1" si="497"/>
        <v>#VALUE!</v>
      </c>
      <c r="AF987" t="e">
        <f t="shared" ca="1" si="498"/>
        <v>#VALUE!</v>
      </c>
      <c r="AG987" t="e">
        <f t="shared" ca="1" si="499"/>
        <v>#VALUE!</v>
      </c>
      <c r="AH987" t="e">
        <f ca="1">IF(V32="Supercritical",L987,IF(V32="Subcritical",W987,IF(AND(V987=1,AG987=1),IF(T987&gt;=AE987,L987,W987),IF(V987=1,L987,IF(AG987=1,W987,MAX($D$16,POWER((ABS(K987)^2)/($I$5*MAX(F987,0.1)^2),1/3)))))))</f>
        <v>#VALUE!</v>
      </c>
      <c r="AI987" t="e">
        <f t="shared" ca="1" si="500"/>
        <v>#VALUE!</v>
      </c>
      <c r="AJ987" t="e">
        <f t="shared" ca="1" si="501"/>
        <v>#VALUE!</v>
      </c>
      <c r="AM987">
        <v>0</v>
      </c>
      <c r="AN987">
        <v>0</v>
      </c>
      <c r="AO987">
        <f t="shared" si="502"/>
        <v>0</v>
      </c>
      <c r="AP987">
        <f t="shared" si="511"/>
        <v>0</v>
      </c>
      <c r="AQ987" t="e">
        <f t="shared" ca="1" si="503"/>
        <v>#VALUE!</v>
      </c>
      <c r="AR987" t="e">
        <f t="shared" ca="1" si="504"/>
        <v>#VALUE!</v>
      </c>
      <c r="AS987" t="e">
        <f t="shared" ca="1" si="505"/>
        <v>#VALUE!</v>
      </c>
    </row>
    <row r="988" spans="1:45" x14ac:dyDescent="0.35">
      <c r="A988">
        <v>839</v>
      </c>
      <c r="B988">
        <v>837.88900000000001</v>
      </c>
      <c r="C988">
        <v>616088.01199999999</v>
      </c>
      <c r="D988">
        <v>3097165.9040000001</v>
      </c>
      <c r="E988">
        <v>632.14300000000003</v>
      </c>
      <c r="F988">
        <v>5.2</v>
      </c>
      <c r="G988">
        <v>0</v>
      </c>
      <c r="H988" t="s">
        <v>191</v>
      </c>
      <c r="I988">
        <v>0</v>
      </c>
      <c r="J988">
        <f t="shared" si="506"/>
        <v>1</v>
      </c>
      <c r="K988">
        <f t="shared" si="507"/>
        <v>51</v>
      </c>
      <c r="L988" t="e">
        <f t="shared" ca="1" si="508"/>
        <v>#VALUE!</v>
      </c>
      <c r="M988" t="e">
        <f t="shared" ca="1" si="481"/>
        <v>#VALUE!</v>
      </c>
      <c r="N988" t="e">
        <f t="shared" ca="1" si="482"/>
        <v>#VALUE!</v>
      </c>
      <c r="O988" t="e">
        <f t="shared" ca="1" si="483"/>
        <v>#VALUE!</v>
      </c>
      <c r="P988" t="e">
        <f t="shared" ca="1" si="484"/>
        <v>#VALUE!</v>
      </c>
      <c r="Q988" t="e">
        <f t="shared" ca="1" si="485"/>
        <v>#VALUE!</v>
      </c>
      <c r="R988" t="e">
        <f t="shared" ca="1" si="486"/>
        <v>#VALUE!</v>
      </c>
      <c r="S988" t="e">
        <f t="shared" ca="1" si="487"/>
        <v>#VALUE!</v>
      </c>
      <c r="T988" t="e">
        <f t="shared" ca="1" si="488"/>
        <v>#VALUE!</v>
      </c>
      <c r="U988" t="e">
        <f t="shared" ca="1" si="509"/>
        <v>#VALUE!</v>
      </c>
      <c r="V988" t="e">
        <f t="shared" ca="1" si="510"/>
        <v>#VALUE!</v>
      </c>
      <c r="W988" t="e">
        <f t="shared" ca="1" si="489"/>
        <v>#VALUE!</v>
      </c>
      <c r="X988" t="e">
        <f t="shared" ca="1" si="490"/>
        <v>#VALUE!</v>
      </c>
      <c r="Y988" t="e">
        <f t="shared" ca="1" si="491"/>
        <v>#VALUE!</v>
      </c>
      <c r="Z988" t="e">
        <f t="shared" ca="1" si="492"/>
        <v>#VALUE!</v>
      </c>
      <c r="AA988" t="e">
        <f t="shared" ca="1" si="493"/>
        <v>#VALUE!</v>
      </c>
      <c r="AB988" t="e">
        <f t="shared" ca="1" si="494"/>
        <v>#VALUE!</v>
      </c>
      <c r="AC988" t="e">
        <f t="shared" ca="1" si="495"/>
        <v>#VALUE!</v>
      </c>
      <c r="AD988" t="e">
        <f t="shared" ca="1" si="496"/>
        <v>#VALUE!</v>
      </c>
      <c r="AE988" t="e">
        <f t="shared" ca="1" si="497"/>
        <v>#VALUE!</v>
      </c>
      <c r="AF988" t="e">
        <f t="shared" ca="1" si="498"/>
        <v>#VALUE!</v>
      </c>
      <c r="AG988" t="e">
        <f t="shared" ca="1" si="499"/>
        <v>#VALUE!</v>
      </c>
      <c r="AH988" t="e">
        <f ca="1">IF(V32="Supercritical",L988,IF(V32="Subcritical",W988,IF(AND(V988=1,AG988=1),IF(T988&gt;=AE988,L988,W988),IF(V988=1,L988,IF(AG988=1,W988,MAX($D$16,POWER((ABS(K988)^2)/($I$5*MAX(F988,0.1)^2),1/3)))))))</f>
        <v>#VALUE!</v>
      </c>
      <c r="AI988" t="e">
        <f t="shared" ca="1" si="500"/>
        <v>#VALUE!</v>
      </c>
      <c r="AJ988" t="e">
        <f t="shared" ca="1" si="501"/>
        <v>#VALUE!</v>
      </c>
      <c r="AM988">
        <v>0</v>
      </c>
      <c r="AN988">
        <v>0</v>
      </c>
      <c r="AO988">
        <f t="shared" si="502"/>
        <v>0</v>
      </c>
      <c r="AP988">
        <f t="shared" si="511"/>
        <v>0</v>
      </c>
      <c r="AQ988" t="e">
        <f t="shared" ca="1" si="503"/>
        <v>#VALUE!</v>
      </c>
      <c r="AR988" t="e">
        <f t="shared" ca="1" si="504"/>
        <v>#VALUE!</v>
      </c>
      <c r="AS988" t="e">
        <f t="shared" ca="1" si="505"/>
        <v>#VALUE!</v>
      </c>
    </row>
    <row r="989" spans="1:45" x14ac:dyDescent="0.35">
      <c r="A989">
        <v>840</v>
      </c>
      <c r="B989">
        <v>838.88900000000001</v>
      </c>
      <c r="C989">
        <v>616087.97</v>
      </c>
      <c r="D989">
        <v>3097164.9049999998</v>
      </c>
      <c r="E989">
        <v>632.14250000000004</v>
      </c>
      <c r="F989">
        <v>5.2</v>
      </c>
      <c r="G989">
        <v>0</v>
      </c>
      <c r="H989" t="s">
        <v>191</v>
      </c>
      <c r="I989">
        <v>5.7000000000000002E-2</v>
      </c>
      <c r="J989">
        <f t="shared" si="506"/>
        <v>1</v>
      </c>
      <c r="K989">
        <f t="shared" si="507"/>
        <v>51</v>
      </c>
      <c r="L989" t="e">
        <f t="shared" ca="1" si="508"/>
        <v>#VALUE!</v>
      </c>
      <c r="M989" t="e">
        <f t="shared" ca="1" si="481"/>
        <v>#VALUE!</v>
      </c>
      <c r="N989" t="e">
        <f t="shared" ca="1" si="482"/>
        <v>#VALUE!</v>
      </c>
      <c r="O989" t="e">
        <f t="shared" ca="1" si="483"/>
        <v>#VALUE!</v>
      </c>
      <c r="P989" t="e">
        <f t="shared" ca="1" si="484"/>
        <v>#VALUE!</v>
      </c>
      <c r="Q989" t="e">
        <f t="shared" ca="1" si="485"/>
        <v>#VALUE!</v>
      </c>
      <c r="R989" t="e">
        <f t="shared" ca="1" si="486"/>
        <v>#VALUE!</v>
      </c>
      <c r="S989" t="e">
        <f t="shared" ca="1" si="487"/>
        <v>#VALUE!</v>
      </c>
      <c r="T989" t="e">
        <f t="shared" ca="1" si="488"/>
        <v>#VALUE!</v>
      </c>
      <c r="U989" t="e">
        <f t="shared" ca="1" si="509"/>
        <v>#VALUE!</v>
      </c>
      <c r="V989" t="e">
        <f t="shared" ca="1" si="510"/>
        <v>#VALUE!</v>
      </c>
      <c r="W989" t="e">
        <f t="shared" ca="1" si="489"/>
        <v>#VALUE!</v>
      </c>
      <c r="X989" t="e">
        <f t="shared" ca="1" si="490"/>
        <v>#VALUE!</v>
      </c>
      <c r="Y989" t="e">
        <f t="shared" ca="1" si="491"/>
        <v>#VALUE!</v>
      </c>
      <c r="Z989" t="e">
        <f t="shared" ca="1" si="492"/>
        <v>#VALUE!</v>
      </c>
      <c r="AA989" t="e">
        <f t="shared" ca="1" si="493"/>
        <v>#VALUE!</v>
      </c>
      <c r="AB989" t="e">
        <f t="shared" ca="1" si="494"/>
        <v>#VALUE!</v>
      </c>
      <c r="AC989" t="e">
        <f t="shared" ca="1" si="495"/>
        <v>#VALUE!</v>
      </c>
      <c r="AD989" t="e">
        <f t="shared" ca="1" si="496"/>
        <v>#VALUE!</v>
      </c>
      <c r="AE989" t="e">
        <f t="shared" ca="1" si="497"/>
        <v>#VALUE!</v>
      </c>
      <c r="AF989" t="e">
        <f t="shared" ca="1" si="498"/>
        <v>#VALUE!</v>
      </c>
      <c r="AG989" t="e">
        <f t="shared" ca="1" si="499"/>
        <v>#VALUE!</v>
      </c>
      <c r="AH989" t="e">
        <f ca="1">IF(V32="Supercritical",L989,IF(V32="Subcritical",W989,IF(AND(V989=1,AG989=1),IF(T989&gt;=AE989,L989,W989),IF(V989=1,L989,IF(AG989=1,W989,MAX($D$16,POWER((ABS(K989)^2)/($I$5*MAX(F989,0.1)^2),1/3)))))))</f>
        <v>#VALUE!</v>
      </c>
      <c r="AI989" t="e">
        <f t="shared" ca="1" si="500"/>
        <v>#VALUE!</v>
      </c>
      <c r="AJ989" t="e">
        <f t="shared" ca="1" si="501"/>
        <v>#VALUE!</v>
      </c>
      <c r="AM989">
        <v>0</v>
      </c>
      <c r="AN989">
        <v>0</v>
      </c>
      <c r="AO989">
        <f t="shared" si="502"/>
        <v>0</v>
      </c>
      <c r="AP989">
        <f t="shared" si="511"/>
        <v>0</v>
      </c>
      <c r="AQ989" t="e">
        <f t="shared" ca="1" si="503"/>
        <v>#VALUE!</v>
      </c>
      <c r="AR989" t="e">
        <f t="shared" ca="1" si="504"/>
        <v>#VALUE!</v>
      </c>
      <c r="AS989" t="e">
        <f t="shared" ca="1" si="505"/>
        <v>#VALUE!</v>
      </c>
    </row>
    <row r="990" spans="1:45" x14ac:dyDescent="0.35">
      <c r="A990">
        <v>841</v>
      </c>
      <c r="B990">
        <v>839.88900000000001</v>
      </c>
      <c r="C990">
        <v>616087.92700000003</v>
      </c>
      <c r="D990">
        <v>3097163.906</v>
      </c>
      <c r="E990">
        <v>632.14200000000005</v>
      </c>
      <c r="F990">
        <v>5.2</v>
      </c>
      <c r="G990">
        <v>0</v>
      </c>
      <c r="H990" t="s">
        <v>191</v>
      </c>
      <c r="I990">
        <v>5.7000000000000002E-2</v>
      </c>
      <c r="J990">
        <f t="shared" si="506"/>
        <v>1</v>
      </c>
      <c r="K990">
        <f t="shared" si="507"/>
        <v>51</v>
      </c>
      <c r="L990" t="e">
        <f t="shared" ca="1" si="508"/>
        <v>#VALUE!</v>
      </c>
      <c r="M990" t="e">
        <f t="shared" ca="1" si="481"/>
        <v>#VALUE!</v>
      </c>
      <c r="N990" t="e">
        <f t="shared" ca="1" si="482"/>
        <v>#VALUE!</v>
      </c>
      <c r="O990" t="e">
        <f t="shared" ca="1" si="483"/>
        <v>#VALUE!</v>
      </c>
      <c r="P990" t="e">
        <f t="shared" ca="1" si="484"/>
        <v>#VALUE!</v>
      </c>
      <c r="Q990" t="e">
        <f t="shared" ca="1" si="485"/>
        <v>#VALUE!</v>
      </c>
      <c r="R990" t="e">
        <f t="shared" ca="1" si="486"/>
        <v>#VALUE!</v>
      </c>
      <c r="S990" t="e">
        <f t="shared" ca="1" si="487"/>
        <v>#VALUE!</v>
      </c>
      <c r="T990" t="e">
        <f t="shared" ca="1" si="488"/>
        <v>#VALUE!</v>
      </c>
      <c r="U990" t="e">
        <f t="shared" ca="1" si="509"/>
        <v>#VALUE!</v>
      </c>
      <c r="V990" t="e">
        <f t="shared" ca="1" si="510"/>
        <v>#VALUE!</v>
      </c>
      <c r="W990" t="e">
        <f t="shared" ca="1" si="489"/>
        <v>#VALUE!</v>
      </c>
      <c r="X990" t="e">
        <f t="shared" ca="1" si="490"/>
        <v>#VALUE!</v>
      </c>
      <c r="Y990" t="e">
        <f t="shared" ca="1" si="491"/>
        <v>#VALUE!</v>
      </c>
      <c r="Z990" t="e">
        <f t="shared" ca="1" si="492"/>
        <v>#VALUE!</v>
      </c>
      <c r="AA990" t="e">
        <f t="shared" ca="1" si="493"/>
        <v>#VALUE!</v>
      </c>
      <c r="AB990" t="e">
        <f t="shared" ca="1" si="494"/>
        <v>#VALUE!</v>
      </c>
      <c r="AC990" t="e">
        <f t="shared" ca="1" si="495"/>
        <v>#VALUE!</v>
      </c>
      <c r="AD990" t="e">
        <f t="shared" ca="1" si="496"/>
        <v>#VALUE!</v>
      </c>
      <c r="AE990" t="e">
        <f t="shared" ca="1" si="497"/>
        <v>#VALUE!</v>
      </c>
      <c r="AF990" t="e">
        <f t="shared" ca="1" si="498"/>
        <v>#VALUE!</v>
      </c>
      <c r="AG990" t="e">
        <f t="shared" ca="1" si="499"/>
        <v>#VALUE!</v>
      </c>
      <c r="AH990" t="e">
        <f ca="1">IF(V32="Supercritical",L990,IF(V32="Subcritical",W990,IF(AND(V990=1,AG990=1),IF(T990&gt;=AE990,L990,W990),IF(V990=1,L990,IF(AG990=1,W990,MAX($D$16,POWER((ABS(K990)^2)/($I$5*MAX(F990,0.1)^2),1/3)))))))</f>
        <v>#VALUE!</v>
      </c>
      <c r="AI990" t="e">
        <f t="shared" ca="1" si="500"/>
        <v>#VALUE!</v>
      </c>
      <c r="AJ990" t="e">
        <f t="shared" ca="1" si="501"/>
        <v>#VALUE!</v>
      </c>
      <c r="AM990">
        <v>0</v>
      </c>
      <c r="AN990">
        <v>0</v>
      </c>
      <c r="AO990">
        <f t="shared" si="502"/>
        <v>0</v>
      </c>
      <c r="AP990">
        <f t="shared" si="511"/>
        <v>0</v>
      </c>
      <c r="AQ990" t="e">
        <f t="shared" ca="1" si="503"/>
        <v>#VALUE!</v>
      </c>
      <c r="AR990" t="e">
        <f t="shared" ca="1" si="504"/>
        <v>#VALUE!</v>
      </c>
      <c r="AS990" t="e">
        <f t="shared" ca="1" si="505"/>
        <v>#VALUE!</v>
      </c>
    </row>
    <row r="991" spans="1:45" x14ac:dyDescent="0.35">
      <c r="A991">
        <v>842</v>
      </c>
      <c r="B991">
        <v>840.88900000000001</v>
      </c>
      <c r="C991">
        <v>616087.88500000001</v>
      </c>
      <c r="D991">
        <v>3097162.9070000001</v>
      </c>
      <c r="E991">
        <v>632.14149999999995</v>
      </c>
      <c r="F991">
        <v>5.2</v>
      </c>
      <c r="G991">
        <v>0</v>
      </c>
      <c r="H991" t="s">
        <v>191</v>
      </c>
      <c r="I991">
        <v>0</v>
      </c>
      <c r="J991">
        <f t="shared" si="506"/>
        <v>1</v>
      </c>
      <c r="K991">
        <f t="shared" si="507"/>
        <v>51</v>
      </c>
      <c r="L991" t="e">
        <f t="shared" ca="1" si="508"/>
        <v>#VALUE!</v>
      </c>
      <c r="M991" t="e">
        <f t="shared" ca="1" si="481"/>
        <v>#VALUE!</v>
      </c>
      <c r="N991" t="e">
        <f t="shared" ca="1" si="482"/>
        <v>#VALUE!</v>
      </c>
      <c r="O991" t="e">
        <f t="shared" ca="1" si="483"/>
        <v>#VALUE!</v>
      </c>
      <c r="P991" t="e">
        <f t="shared" ca="1" si="484"/>
        <v>#VALUE!</v>
      </c>
      <c r="Q991" t="e">
        <f t="shared" ca="1" si="485"/>
        <v>#VALUE!</v>
      </c>
      <c r="R991" t="e">
        <f t="shared" ca="1" si="486"/>
        <v>#VALUE!</v>
      </c>
      <c r="S991" t="e">
        <f t="shared" ca="1" si="487"/>
        <v>#VALUE!</v>
      </c>
      <c r="T991" t="e">
        <f t="shared" ca="1" si="488"/>
        <v>#VALUE!</v>
      </c>
      <c r="U991" t="e">
        <f t="shared" ca="1" si="509"/>
        <v>#VALUE!</v>
      </c>
      <c r="V991" t="e">
        <f t="shared" ca="1" si="510"/>
        <v>#VALUE!</v>
      </c>
      <c r="W991" t="e">
        <f t="shared" ca="1" si="489"/>
        <v>#VALUE!</v>
      </c>
      <c r="X991" t="e">
        <f t="shared" ca="1" si="490"/>
        <v>#VALUE!</v>
      </c>
      <c r="Y991" t="e">
        <f t="shared" ca="1" si="491"/>
        <v>#VALUE!</v>
      </c>
      <c r="Z991" t="e">
        <f t="shared" ca="1" si="492"/>
        <v>#VALUE!</v>
      </c>
      <c r="AA991" t="e">
        <f t="shared" ca="1" si="493"/>
        <v>#VALUE!</v>
      </c>
      <c r="AB991" t="e">
        <f t="shared" ca="1" si="494"/>
        <v>#VALUE!</v>
      </c>
      <c r="AC991" t="e">
        <f t="shared" ca="1" si="495"/>
        <v>#VALUE!</v>
      </c>
      <c r="AD991" t="e">
        <f t="shared" ca="1" si="496"/>
        <v>#VALUE!</v>
      </c>
      <c r="AE991" t="e">
        <f t="shared" ca="1" si="497"/>
        <v>#VALUE!</v>
      </c>
      <c r="AF991" t="e">
        <f t="shared" ca="1" si="498"/>
        <v>#VALUE!</v>
      </c>
      <c r="AG991" t="e">
        <f t="shared" ca="1" si="499"/>
        <v>#VALUE!</v>
      </c>
      <c r="AH991" t="e">
        <f ca="1">IF(V32="Supercritical",L991,IF(V32="Subcritical",W991,IF(AND(V991=1,AG991=1),IF(T991&gt;=AE991,L991,W991),IF(V991=1,L991,IF(AG991=1,W991,MAX($D$16,POWER((ABS(K991)^2)/($I$5*MAX(F991,0.1)^2),1/3)))))))</f>
        <v>#VALUE!</v>
      </c>
      <c r="AI991" t="e">
        <f t="shared" ca="1" si="500"/>
        <v>#VALUE!</v>
      </c>
      <c r="AJ991" t="e">
        <f t="shared" ca="1" si="501"/>
        <v>#VALUE!</v>
      </c>
      <c r="AM991">
        <v>0</v>
      </c>
      <c r="AN991">
        <v>0</v>
      </c>
      <c r="AO991">
        <f t="shared" si="502"/>
        <v>0</v>
      </c>
      <c r="AP991">
        <f t="shared" si="511"/>
        <v>0</v>
      </c>
      <c r="AQ991" t="e">
        <f t="shared" ca="1" si="503"/>
        <v>#VALUE!</v>
      </c>
      <c r="AR991" t="e">
        <f t="shared" ca="1" si="504"/>
        <v>#VALUE!</v>
      </c>
      <c r="AS991" t="e">
        <f t="shared" ca="1" si="505"/>
        <v>#VALUE!</v>
      </c>
    </row>
    <row r="992" spans="1:45" x14ac:dyDescent="0.35">
      <c r="A992">
        <v>843</v>
      </c>
      <c r="B992">
        <v>841.88900000000001</v>
      </c>
      <c r="C992">
        <v>616087.84299999999</v>
      </c>
      <c r="D992">
        <v>3097161.9079999998</v>
      </c>
      <c r="E992">
        <v>632.14099999999996</v>
      </c>
      <c r="F992">
        <v>5.2</v>
      </c>
      <c r="G992">
        <v>0</v>
      </c>
      <c r="H992" t="s">
        <v>191</v>
      </c>
      <c r="I992">
        <v>2E-3</v>
      </c>
      <c r="J992">
        <f t="shared" si="506"/>
        <v>1</v>
      </c>
      <c r="K992">
        <f t="shared" si="507"/>
        <v>51</v>
      </c>
      <c r="L992" t="e">
        <f t="shared" ca="1" si="508"/>
        <v>#VALUE!</v>
      </c>
      <c r="M992" t="e">
        <f t="shared" ca="1" si="481"/>
        <v>#VALUE!</v>
      </c>
      <c r="N992" t="e">
        <f t="shared" ca="1" si="482"/>
        <v>#VALUE!</v>
      </c>
      <c r="O992" t="e">
        <f t="shared" ca="1" si="483"/>
        <v>#VALUE!</v>
      </c>
      <c r="P992" t="e">
        <f t="shared" ca="1" si="484"/>
        <v>#VALUE!</v>
      </c>
      <c r="Q992" t="e">
        <f t="shared" ca="1" si="485"/>
        <v>#VALUE!</v>
      </c>
      <c r="R992" t="e">
        <f t="shared" ca="1" si="486"/>
        <v>#VALUE!</v>
      </c>
      <c r="S992" t="e">
        <f t="shared" ca="1" si="487"/>
        <v>#VALUE!</v>
      </c>
      <c r="T992" t="e">
        <f t="shared" ca="1" si="488"/>
        <v>#VALUE!</v>
      </c>
      <c r="U992" t="e">
        <f t="shared" ca="1" si="509"/>
        <v>#VALUE!</v>
      </c>
      <c r="V992" t="e">
        <f t="shared" ca="1" si="510"/>
        <v>#VALUE!</v>
      </c>
      <c r="W992" t="e">
        <f t="shared" ca="1" si="489"/>
        <v>#VALUE!</v>
      </c>
      <c r="X992" t="e">
        <f t="shared" ca="1" si="490"/>
        <v>#VALUE!</v>
      </c>
      <c r="Y992" t="e">
        <f t="shared" ca="1" si="491"/>
        <v>#VALUE!</v>
      </c>
      <c r="Z992" t="e">
        <f t="shared" ca="1" si="492"/>
        <v>#VALUE!</v>
      </c>
      <c r="AA992" t="e">
        <f t="shared" ca="1" si="493"/>
        <v>#VALUE!</v>
      </c>
      <c r="AB992" t="e">
        <f t="shared" ca="1" si="494"/>
        <v>#VALUE!</v>
      </c>
      <c r="AC992" t="e">
        <f t="shared" ca="1" si="495"/>
        <v>#VALUE!</v>
      </c>
      <c r="AD992" t="e">
        <f t="shared" ca="1" si="496"/>
        <v>#VALUE!</v>
      </c>
      <c r="AE992" t="e">
        <f t="shared" ca="1" si="497"/>
        <v>#VALUE!</v>
      </c>
      <c r="AF992" t="e">
        <f t="shared" ca="1" si="498"/>
        <v>#VALUE!</v>
      </c>
      <c r="AG992" t="e">
        <f t="shared" ca="1" si="499"/>
        <v>#VALUE!</v>
      </c>
      <c r="AH992" t="e">
        <f ca="1">IF(V32="Supercritical",L992,IF(V32="Subcritical",W992,IF(AND(V992=1,AG992=1),IF(T992&gt;=AE992,L992,W992),IF(V992=1,L992,IF(AG992=1,W992,MAX($D$16,POWER((ABS(K992)^2)/($I$5*MAX(F992,0.1)^2),1/3)))))))</f>
        <v>#VALUE!</v>
      </c>
      <c r="AI992" t="e">
        <f t="shared" ca="1" si="500"/>
        <v>#VALUE!</v>
      </c>
      <c r="AJ992" t="e">
        <f t="shared" ca="1" si="501"/>
        <v>#VALUE!</v>
      </c>
      <c r="AM992">
        <v>0</v>
      </c>
      <c r="AN992">
        <v>0</v>
      </c>
      <c r="AO992">
        <f t="shared" si="502"/>
        <v>0</v>
      </c>
      <c r="AP992">
        <f t="shared" si="511"/>
        <v>0</v>
      </c>
      <c r="AQ992" t="e">
        <f t="shared" ca="1" si="503"/>
        <v>#VALUE!</v>
      </c>
      <c r="AR992" t="e">
        <f t="shared" ca="1" si="504"/>
        <v>#VALUE!</v>
      </c>
      <c r="AS992" t="e">
        <f t="shared" ca="1" si="505"/>
        <v>#VALUE!</v>
      </c>
    </row>
    <row r="993" spans="1:45" x14ac:dyDescent="0.35">
      <c r="A993">
        <v>844</v>
      </c>
      <c r="B993">
        <v>842.89</v>
      </c>
      <c r="C993">
        <v>616087.80099999998</v>
      </c>
      <c r="D993">
        <v>3097160.9079999998</v>
      </c>
      <c r="E993">
        <v>632.14049999999997</v>
      </c>
      <c r="F993">
        <v>5.2</v>
      </c>
      <c r="G993">
        <v>0</v>
      </c>
      <c r="H993" t="s">
        <v>191</v>
      </c>
      <c r="I993">
        <v>0.06</v>
      </c>
      <c r="J993">
        <f t="shared" si="506"/>
        <v>1.0009999999999764</v>
      </c>
      <c r="K993">
        <f t="shared" si="507"/>
        <v>51</v>
      </c>
      <c r="L993" t="e">
        <f t="shared" ca="1" si="508"/>
        <v>#VALUE!</v>
      </c>
      <c r="M993" t="e">
        <f t="shared" ca="1" si="481"/>
        <v>#VALUE!</v>
      </c>
      <c r="N993" t="e">
        <f t="shared" ca="1" si="482"/>
        <v>#VALUE!</v>
      </c>
      <c r="O993" t="e">
        <f t="shared" ca="1" si="483"/>
        <v>#VALUE!</v>
      </c>
      <c r="P993" t="e">
        <f t="shared" ca="1" si="484"/>
        <v>#VALUE!</v>
      </c>
      <c r="Q993" t="e">
        <f t="shared" ca="1" si="485"/>
        <v>#VALUE!</v>
      </c>
      <c r="R993" t="e">
        <f t="shared" ca="1" si="486"/>
        <v>#VALUE!</v>
      </c>
      <c r="S993" t="e">
        <f t="shared" ca="1" si="487"/>
        <v>#VALUE!</v>
      </c>
      <c r="T993" t="e">
        <f t="shared" ca="1" si="488"/>
        <v>#VALUE!</v>
      </c>
      <c r="U993" t="e">
        <f t="shared" ca="1" si="509"/>
        <v>#VALUE!</v>
      </c>
      <c r="V993" t="e">
        <f t="shared" ca="1" si="510"/>
        <v>#VALUE!</v>
      </c>
      <c r="W993" t="e">
        <f t="shared" ca="1" si="489"/>
        <v>#VALUE!</v>
      </c>
      <c r="X993" t="e">
        <f t="shared" ca="1" si="490"/>
        <v>#VALUE!</v>
      </c>
      <c r="Y993" t="e">
        <f t="shared" ca="1" si="491"/>
        <v>#VALUE!</v>
      </c>
      <c r="Z993" t="e">
        <f t="shared" ca="1" si="492"/>
        <v>#VALUE!</v>
      </c>
      <c r="AA993" t="e">
        <f t="shared" ca="1" si="493"/>
        <v>#VALUE!</v>
      </c>
      <c r="AB993" t="e">
        <f t="shared" ca="1" si="494"/>
        <v>#VALUE!</v>
      </c>
      <c r="AC993" t="e">
        <f t="shared" ca="1" si="495"/>
        <v>#VALUE!</v>
      </c>
      <c r="AD993" t="e">
        <f t="shared" ca="1" si="496"/>
        <v>#VALUE!</v>
      </c>
      <c r="AE993" t="e">
        <f t="shared" ca="1" si="497"/>
        <v>#VALUE!</v>
      </c>
      <c r="AF993" t="e">
        <f t="shared" ca="1" si="498"/>
        <v>#VALUE!</v>
      </c>
      <c r="AG993" t="e">
        <f t="shared" ca="1" si="499"/>
        <v>#VALUE!</v>
      </c>
      <c r="AH993" t="e">
        <f ca="1">IF(V32="Supercritical",L993,IF(V32="Subcritical",W993,IF(AND(V993=1,AG993=1),IF(T993&gt;=AE993,L993,W993),IF(V993=1,L993,IF(AG993=1,W993,MAX($D$16,POWER((ABS(K993)^2)/($I$5*MAX(F993,0.1)^2),1/3)))))))</f>
        <v>#VALUE!</v>
      </c>
      <c r="AI993" t="e">
        <f t="shared" ca="1" si="500"/>
        <v>#VALUE!</v>
      </c>
      <c r="AJ993" t="e">
        <f t="shared" ca="1" si="501"/>
        <v>#VALUE!</v>
      </c>
      <c r="AM993">
        <v>0</v>
      </c>
      <c r="AN993">
        <v>0</v>
      </c>
      <c r="AO993">
        <f t="shared" si="502"/>
        <v>0</v>
      </c>
      <c r="AP993">
        <f t="shared" si="511"/>
        <v>0</v>
      </c>
      <c r="AQ993" t="e">
        <f t="shared" ca="1" si="503"/>
        <v>#VALUE!</v>
      </c>
      <c r="AR993" t="e">
        <f t="shared" ca="1" si="504"/>
        <v>#VALUE!</v>
      </c>
      <c r="AS993" t="e">
        <f t="shared" ca="1" si="505"/>
        <v>#VALUE!</v>
      </c>
    </row>
    <row r="994" spans="1:45" x14ac:dyDescent="0.35">
      <c r="A994">
        <v>845</v>
      </c>
      <c r="B994">
        <v>843.89</v>
      </c>
      <c r="C994">
        <v>616087.75800000003</v>
      </c>
      <c r="D994">
        <v>3097159.909</v>
      </c>
      <c r="E994">
        <v>632.14</v>
      </c>
      <c r="F994">
        <v>5.2</v>
      </c>
      <c r="G994">
        <v>0</v>
      </c>
      <c r="H994" t="s">
        <v>191</v>
      </c>
      <c r="I994">
        <v>5.7000000000000002E-2</v>
      </c>
      <c r="J994">
        <f t="shared" si="506"/>
        <v>1</v>
      </c>
      <c r="K994">
        <f t="shared" si="507"/>
        <v>51</v>
      </c>
      <c r="L994" t="e">
        <f t="shared" ca="1" si="508"/>
        <v>#VALUE!</v>
      </c>
      <c r="M994" t="e">
        <f t="shared" ca="1" si="481"/>
        <v>#VALUE!</v>
      </c>
      <c r="N994" t="e">
        <f t="shared" ca="1" si="482"/>
        <v>#VALUE!</v>
      </c>
      <c r="O994" t="e">
        <f t="shared" ca="1" si="483"/>
        <v>#VALUE!</v>
      </c>
      <c r="P994" t="e">
        <f t="shared" ca="1" si="484"/>
        <v>#VALUE!</v>
      </c>
      <c r="Q994" t="e">
        <f t="shared" ca="1" si="485"/>
        <v>#VALUE!</v>
      </c>
      <c r="R994" t="e">
        <f t="shared" ca="1" si="486"/>
        <v>#VALUE!</v>
      </c>
      <c r="S994" t="e">
        <f t="shared" ca="1" si="487"/>
        <v>#VALUE!</v>
      </c>
      <c r="T994" t="e">
        <f t="shared" ca="1" si="488"/>
        <v>#VALUE!</v>
      </c>
      <c r="U994" t="e">
        <f t="shared" ca="1" si="509"/>
        <v>#VALUE!</v>
      </c>
      <c r="V994" t="e">
        <f t="shared" ca="1" si="510"/>
        <v>#VALUE!</v>
      </c>
      <c r="W994" t="e">
        <f t="shared" ca="1" si="489"/>
        <v>#VALUE!</v>
      </c>
      <c r="X994" t="e">
        <f t="shared" ca="1" si="490"/>
        <v>#VALUE!</v>
      </c>
      <c r="Y994" t="e">
        <f t="shared" ca="1" si="491"/>
        <v>#VALUE!</v>
      </c>
      <c r="Z994" t="e">
        <f t="shared" ca="1" si="492"/>
        <v>#VALUE!</v>
      </c>
      <c r="AA994" t="e">
        <f t="shared" ca="1" si="493"/>
        <v>#VALUE!</v>
      </c>
      <c r="AB994" t="e">
        <f t="shared" ca="1" si="494"/>
        <v>#VALUE!</v>
      </c>
      <c r="AC994" t="e">
        <f t="shared" ca="1" si="495"/>
        <v>#VALUE!</v>
      </c>
      <c r="AD994" t="e">
        <f t="shared" ca="1" si="496"/>
        <v>#VALUE!</v>
      </c>
      <c r="AE994" t="e">
        <f t="shared" ca="1" si="497"/>
        <v>#VALUE!</v>
      </c>
      <c r="AF994" t="e">
        <f t="shared" ca="1" si="498"/>
        <v>#VALUE!</v>
      </c>
      <c r="AG994" t="e">
        <f t="shared" ca="1" si="499"/>
        <v>#VALUE!</v>
      </c>
      <c r="AH994" t="e">
        <f ca="1">IF(V32="Supercritical",L994,IF(V32="Subcritical",W994,IF(AND(V994=1,AG994=1),IF(T994&gt;=AE994,L994,W994),IF(V994=1,L994,IF(AG994=1,W994,MAX($D$16,POWER((ABS(K994)^2)/($I$5*MAX(F994,0.1)^2),1/3)))))))</f>
        <v>#VALUE!</v>
      </c>
      <c r="AI994" t="e">
        <f t="shared" ca="1" si="500"/>
        <v>#VALUE!</v>
      </c>
      <c r="AJ994" t="e">
        <f t="shared" ca="1" si="501"/>
        <v>#VALUE!</v>
      </c>
      <c r="AM994">
        <v>0</v>
      </c>
      <c r="AN994">
        <v>0</v>
      </c>
      <c r="AO994">
        <f t="shared" si="502"/>
        <v>0</v>
      </c>
      <c r="AP994">
        <f t="shared" si="511"/>
        <v>0</v>
      </c>
      <c r="AQ994" t="e">
        <f t="shared" ca="1" si="503"/>
        <v>#VALUE!</v>
      </c>
      <c r="AR994" t="e">
        <f t="shared" ca="1" si="504"/>
        <v>#VALUE!</v>
      </c>
      <c r="AS994" t="e">
        <f t="shared" ca="1" si="505"/>
        <v>#VALUE!</v>
      </c>
    </row>
    <row r="995" spans="1:45" x14ac:dyDescent="0.35">
      <c r="A995">
        <v>846</v>
      </c>
      <c r="B995">
        <v>844.89</v>
      </c>
      <c r="C995">
        <v>616087.71600000001</v>
      </c>
      <c r="D995">
        <v>3097158.91</v>
      </c>
      <c r="E995">
        <v>632.1395</v>
      </c>
      <c r="F995">
        <v>5.2</v>
      </c>
      <c r="G995">
        <v>0</v>
      </c>
      <c r="H995" t="s">
        <v>191</v>
      </c>
      <c r="I995">
        <v>0</v>
      </c>
      <c r="J995">
        <f t="shared" si="506"/>
        <v>1</v>
      </c>
      <c r="K995">
        <f t="shared" si="507"/>
        <v>51</v>
      </c>
      <c r="L995" t="e">
        <f t="shared" ca="1" si="508"/>
        <v>#VALUE!</v>
      </c>
      <c r="M995" t="e">
        <f t="shared" ca="1" si="481"/>
        <v>#VALUE!</v>
      </c>
      <c r="N995" t="e">
        <f t="shared" ca="1" si="482"/>
        <v>#VALUE!</v>
      </c>
      <c r="O995" t="e">
        <f t="shared" ca="1" si="483"/>
        <v>#VALUE!</v>
      </c>
      <c r="P995" t="e">
        <f t="shared" ca="1" si="484"/>
        <v>#VALUE!</v>
      </c>
      <c r="Q995" t="e">
        <f t="shared" ca="1" si="485"/>
        <v>#VALUE!</v>
      </c>
      <c r="R995" t="e">
        <f t="shared" ca="1" si="486"/>
        <v>#VALUE!</v>
      </c>
      <c r="S995" t="e">
        <f t="shared" ca="1" si="487"/>
        <v>#VALUE!</v>
      </c>
      <c r="T995" t="e">
        <f t="shared" ca="1" si="488"/>
        <v>#VALUE!</v>
      </c>
      <c r="U995" t="e">
        <f t="shared" ca="1" si="509"/>
        <v>#VALUE!</v>
      </c>
      <c r="V995" t="e">
        <f t="shared" ca="1" si="510"/>
        <v>#VALUE!</v>
      </c>
      <c r="W995" t="e">
        <f t="shared" ca="1" si="489"/>
        <v>#VALUE!</v>
      </c>
      <c r="X995" t="e">
        <f t="shared" ca="1" si="490"/>
        <v>#VALUE!</v>
      </c>
      <c r="Y995" t="e">
        <f t="shared" ca="1" si="491"/>
        <v>#VALUE!</v>
      </c>
      <c r="Z995" t="e">
        <f t="shared" ca="1" si="492"/>
        <v>#VALUE!</v>
      </c>
      <c r="AA995" t="e">
        <f t="shared" ca="1" si="493"/>
        <v>#VALUE!</v>
      </c>
      <c r="AB995" t="e">
        <f t="shared" ca="1" si="494"/>
        <v>#VALUE!</v>
      </c>
      <c r="AC995" t="e">
        <f t="shared" ca="1" si="495"/>
        <v>#VALUE!</v>
      </c>
      <c r="AD995" t="e">
        <f t="shared" ca="1" si="496"/>
        <v>#VALUE!</v>
      </c>
      <c r="AE995" t="e">
        <f t="shared" ca="1" si="497"/>
        <v>#VALUE!</v>
      </c>
      <c r="AF995" t="e">
        <f t="shared" ca="1" si="498"/>
        <v>#VALUE!</v>
      </c>
      <c r="AG995" t="e">
        <f t="shared" ca="1" si="499"/>
        <v>#VALUE!</v>
      </c>
      <c r="AH995" t="e">
        <f ca="1">IF(V32="Supercritical",L995,IF(V32="Subcritical",W995,IF(AND(V995=1,AG995=1),IF(T995&gt;=AE995,L995,W995),IF(V995=1,L995,IF(AG995=1,W995,MAX($D$16,POWER((ABS(K995)^2)/($I$5*MAX(F995,0.1)^2),1/3)))))))</f>
        <v>#VALUE!</v>
      </c>
      <c r="AI995" t="e">
        <f t="shared" ca="1" si="500"/>
        <v>#VALUE!</v>
      </c>
      <c r="AJ995" t="e">
        <f t="shared" ca="1" si="501"/>
        <v>#VALUE!</v>
      </c>
      <c r="AM995">
        <v>0</v>
      </c>
      <c r="AN995">
        <v>0</v>
      </c>
      <c r="AO995">
        <f t="shared" si="502"/>
        <v>0</v>
      </c>
      <c r="AP995">
        <f t="shared" si="511"/>
        <v>0</v>
      </c>
      <c r="AQ995" t="e">
        <f t="shared" ca="1" si="503"/>
        <v>#VALUE!</v>
      </c>
      <c r="AR995" t="e">
        <f t="shared" ca="1" si="504"/>
        <v>#VALUE!</v>
      </c>
      <c r="AS995" t="e">
        <f t="shared" ca="1" si="505"/>
        <v>#VALUE!</v>
      </c>
    </row>
    <row r="996" spans="1:45" x14ac:dyDescent="0.35">
      <c r="A996">
        <v>847</v>
      </c>
      <c r="B996">
        <v>845.88900000000001</v>
      </c>
      <c r="C996">
        <v>616087.674</v>
      </c>
      <c r="D996">
        <v>3097157.9109999998</v>
      </c>
      <c r="E996">
        <v>632.13900000000001</v>
      </c>
      <c r="F996">
        <v>5.2</v>
      </c>
      <c r="G996">
        <v>0</v>
      </c>
      <c r="H996" t="s">
        <v>191</v>
      </c>
      <c r="I996">
        <v>0</v>
      </c>
      <c r="J996">
        <f t="shared" si="506"/>
        <v>0.99900000000002365</v>
      </c>
      <c r="K996">
        <f t="shared" si="507"/>
        <v>51</v>
      </c>
      <c r="L996" t="e">
        <f t="shared" ca="1" si="508"/>
        <v>#VALUE!</v>
      </c>
      <c r="M996" t="e">
        <f t="shared" ca="1" si="481"/>
        <v>#VALUE!</v>
      </c>
      <c r="N996" t="e">
        <f t="shared" ca="1" si="482"/>
        <v>#VALUE!</v>
      </c>
      <c r="O996" t="e">
        <f t="shared" ca="1" si="483"/>
        <v>#VALUE!</v>
      </c>
      <c r="P996" t="e">
        <f t="shared" ca="1" si="484"/>
        <v>#VALUE!</v>
      </c>
      <c r="Q996" t="e">
        <f t="shared" ca="1" si="485"/>
        <v>#VALUE!</v>
      </c>
      <c r="R996" t="e">
        <f t="shared" ca="1" si="486"/>
        <v>#VALUE!</v>
      </c>
      <c r="S996" t="e">
        <f t="shared" ca="1" si="487"/>
        <v>#VALUE!</v>
      </c>
      <c r="T996" t="e">
        <f t="shared" ca="1" si="488"/>
        <v>#VALUE!</v>
      </c>
      <c r="U996" t="e">
        <f t="shared" ca="1" si="509"/>
        <v>#VALUE!</v>
      </c>
      <c r="V996" t="e">
        <f t="shared" ca="1" si="510"/>
        <v>#VALUE!</v>
      </c>
      <c r="W996" t="e">
        <f t="shared" ca="1" si="489"/>
        <v>#VALUE!</v>
      </c>
      <c r="X996" t="e">
        <f t="shared" ca="1" si="490"/>
        <v>#VALUE!</v>
      </c>
      <c r="Y996" t="e">
        <f t="shared" ca="1" si="491"/>
        <v>#VALUE!</v>
      </c>
      <c r="Z996" t="e">
        <f t="shared" ca="1" si="492"/>
        <v>#VALUE!</v>
      </c>
      <c r="AA996" t="e">
        <f t="shared" ca="1" si="493"/>
        <v>#VALUE!</v>
      </c>
      <c r="AB996" t="e">
        <f t="shared" ca="1" si="494"/>
        <v>#VALUE!</v>
      </c>
      <c r="AC996" t="e">
        <f t="shared" ca="1" si="495"/>
        <v>#VALUE!</v>
      </c>
      <c r="AD996" t="e">
        <f t="shared" ca="1" si="496"/>
        <v>#VALUE!</v>
      </c>
      <c r="AE996" t="e">
        <f t="shared" ca="1" si="497"/>
        <v>#VALUE!</v>
      </c>
      <c r="AF996" t="e">
        <f t="shared" ca="1" si="498"/>
        <v>#VALUE!</v>
      </c>
      <c r="AG996" t="e">
        <f t="shared" ca="1" si="499"/>
        <v>#VALUE!</v>
      </c>
      <c r="AH996" t="e">
        <f ca="1">IF(V32="Supercritical",L996,IF(V32="Subcritical",W996,IF(AND(V996=1,AG996=1),IF(T996&gt;=AE996,L996,W996),IF(V996=1,L996,IF(AG996=1,W996,MAX($D$16,POWER((ABS(K996)^2)/($I$5*MAX(F996,0.1)^2),1/3)))))))</f>
        <v>#VALUE!</v>
      </c>
      <c r="AI996" t="e">
        <f t="shared" ca="1" si="500"/>
        <v>#VALUE!</v>
      </c>
      <c r="AJ996" t="e">
        <f t="shared" ca="1" si="501"/>
        <v>#VALUE!</v>
      </c>
      <c r="AM996">
        <v>0</v>
      </c>
      <c r="AN996">
        <v>0</v>
      </c>
      <c r="AO996">
        <f t="shared" si="502"/>
        <v>0</v>
      </c>
      <c r="AP996">
        <f t="shared" si="511"/>
        <v>0</v>
      </c>
      <c r="AQ996" t="e">
        <f t="shared" ca="1" si="503"/>
        <v>#VALUE!</v>
      </c>
      <c r="AR996" t="e">
        <f t="shared" ca="1" si="504"/>
        <v>#VALUE!</v>
      </c>
      <c r="AS996" t="e">
        <f t="shared" ca="1" si="505"/>
        <v>#VALUE!</v>
      </c>
    </row>
    <row r="997" spans="1:45" x14ac:dyDescent="0.35">
      <c r="A997">
        <v>848</v>
      </c>
      <c r="B997">
        <v>846.88900000000001</v>
      </c>
      <c r="C997">
        <v>616087.63199999998</v>
      </c>
      <c r="D997">
        <v>3097156.912</v>
      </c>
      <c r="E997">
        <v>632.13850000000002</v>
      </c>
      <c r="F997">
        <v>5.2</v>
      </c>
      <c r="G997">
        <v>0</v>
      </c>
      <c r="H997" t="s">
        <v>191</v>
      </c>
      <c r="I997">
        <v>5.7000000000000002E-2</v>
      </c>
      <c r="J997">
        <f t="shared" si="506"/>
        <v>1</v>
      </c>
      <c r="K997">
        <f t="shared" si="507"/>
        <v>51</v>
      </c>
      <c r="L997" t="e">
        <f t="shared" ca="1" si="508"/>
        <v>#VALUE!</v>
      </c>
      <c r="M997" t="e">
        <f t="shared" ca="1" si="481"/>
        <v>#VALUE!</v>
      </c>
      <c r="N997" t="e">
        <f t="shared" ca="1" si="482"/>
        <v>#VALUE!</v>
      </c>
      <c r="O997" t="e">
        <f t="shared" ca="1" si="483"/>
        <v>#VALUE!</v>
      </c>
      <c r="P997" t="e">
        <f t="shared" ca="1" si="484"/>
        <v>#VALUE!</v>
      </c>
      <c r="Q997" t="e">
        <f t="shared" ca="1" si="485"/>
        <v>#VALUE!</v>
      </c>
      <c r="R997" t="e">
        <f t="shared" ca="1" si="486"/>
        <v>#VALUE!</v>
      </c>
      <c r="S997" t="e">
        <f t="shared" ca="1" si="487"/>
        <v>#VALUE!</v>
      </c>
      <c r="T997" t="e">
        <f t="shared" ca="1" si="488"/>
        <v>#VALUE!</v>
      </c>
      <c r="U997" t="e">
        <f t="shared" ca="1" si="509"/>
        <v>#VALUE!</v>
      </c>
      <c r="V997" t="e">
        <f t="shared" ca="1" si="510"/>
        <v>#VALUE!</v>
      </c>
      <c r="W997" t="e">
        <f t="shared" ca="1" si="489"/>
        <v>#VALUE!</v>
      </c>
      <c r="X997" t="e">
        <f t="shared" ca="1" si="490"/>
        <v>#VALUE!</v>
      </c>
      <c r="Y997" t="e">
        <f t="shared" ca="1" si="491"/>
        <v>#VALUE!</v>
      </c>
      <c r="Z997" t="e">
        <f t="shared" ca="1" si="492"/>
        <v>#VALUE!</v>
      </c>
      <c r="AA997" t="e">
        <f t="shared" ca="1" si="493"/>
        <v>#VALUE!</v>
      </c>
      <c r="AB997" t="e">
        <f t="shared" ca="1" si="494"/>
        <v>#VALUE!</v>
      </c>
      <c r="AC997" t="e">
        <f t="shared" ca="1" si="495"/>
        <v>#VALUE!</v>
      </c>
      <c r="AD997" t="e">
        <f t="shared" ca="1" si="496"/>
        <v>#VALUE!</v>
      </c>
      <c r="AE997" t="e">
        <f t="shared" ca="1" si="497"/>
        <v>#VALUE!</v>
      </c>
      <c r="AF997" t="e">
        <f t="shared" ca="1" si="498"/>
        <v>#VALUE!</v>
      </c>
      <c r="AG997" t="e">
        <f t="shared" ca="1" si="499"/>
        <v>#VALUE!</v>
      </c>
      <c r="AH997" t="e">
        <f ca="1">IF(V32="Supercritical",L997,IF(V32="Subcritical",W997,IF(AND(V997=1,AG997=1),IF(T997&gt;=AE997,L997,W997),IF(V997=1,L997,IF(AG997=1,W997,MAX($D$16,POWER((ABS(K997)^2)/($I$5*MAX(F997,0.1)^2),1/3)))))))</f>
        <v>#VALUE!</v>
      </c>
      <c r="AI997" t="e">
        <f t="shared" ca="1" si="500"/>
        <v>#VALUE!</v>
      </c>
      <c r="AJ997" t="e">
        <f t="shared" ca="1" si="501"/>
        <v>#VALUE!</v>
      </c>
      <c r="AM997">
        <v>0</v>
      </c>
      <c r="AN997">
        <v>0</v>
      </c>
      <c r="AO997">
        <f t="shared" si="502"/>
        <v>0</v>
      </c>
      <c r="AP997">
        <f t="shared" si="511"/>
        <v>0</v>
      </c>
      <c r="AQ997" t="e">
        <f t="shared" ca="1" si="503"/>
        <v>#VALUE!</v>
      </c>
      <c r="AR997" t="e">
        <f t="shared" ca="1" si="504"/>
        <v>#VALUE!</v>
      </c>
      <c r="AS997" t="e">
        <f t="shared" ca="1" si="505"/>
        <v>#VALUE!</v>
      </c>
    </row>
    <row r="998" spans="1:45" x14ac:dyDescent="0.35">
      <c r="A998">
        <v>849</v>
      </c>
      <c r="B998">
        <v>847.88900000000001</v>
      </c>
      <c r="C998">
        <v>616087.58900000004</v>
      </c>
      <c r="D998">
        <v>3097155.9130000002</v>
      </c>
      <c r="E998">
        <v>632.13800000000003</v>
      </c>
      <c r="F998">
        <v>5.2</v>
      </c>
      <c r="G998">
        <v>0</v>
      </c>
      <c r="H998" t="s">
        <v>191</v>
      </c>
      <c r="I998">
        <v>5.7000000000000002E-2</v>
      </c>
      <c r="J998">
        <f t="shared" si="506"/>
        <v>1</v>
      </c>
      <c r="K998">
        <f t="shared" si="507"/>
        <v>51</v>
      </c>
      <c r="L998" t="e">
        <f t="shared" ca="1" si="508"/>
        <v>#VALUE!</v>
      </c>
      <c r="M998" t="e">
        <f t="shared" ca="1" si="481"/>
        <v>#VALUE!</v>
      </c>
      <c r="N998" t="e">
        <f t="shared" ca="1" si="482"/>
        <v>#VALUE!</v>
      </c>
      <c r="O998" t="e">
        <f t="shared" ca="1" si="483"/>
        <v>#VALUE!</v>
      </c>
      <c r="P998" t="e">
        <f t="shared" ca="1" si="484"/>
        <v>#VALUE!</v>
      </c>
      <c r="Q998" t="e">
        <f t="shared" ca="1" si="485"/>
        <v>#VALUE!</v>
      </c>
      <c r="R998" t="e">
        <f t="shared" ca="1" si="486"/>
        <v>#VALUE!</v>
      </c>
      <c r="S998" t="e">
        <f t="shared" ca="1" si="487"/>
        <v>#VALUE!</v>
      </c>
      <c r="T998" t="e">
        <f t="shared" ca="1" si="488"/>
        <v>#VALUE!</v>
      </c>
      <c r="U998" t="e">
        <f t="shared" ca="1" si="509"/>
        <v>#VALUE!</v>
      </c>
      <c r="V998" t="e">
        <f t="shared" ca="1" si="510"/>
        <v>#VALUE!</v>
      </c>
      <c r="W998" t="e">
        <f t="shared" ca="1" si="489"/>
        <v>#VALUE!</v>
      </c>
      <c r="X998" t="e">
        <f t="shared" ca="1" si="490"/>
        <v>#VALUE!</v>
      </c>
      <c r="Y998" t="e">
        <f t="shared" ca="1" si="491"/>
        <v>#VALUE!</v>
      </c>
      <c r="Z998" t="e">
        <f t="shared" ca="1" si="492"/>
        <v>#VALUE!</v>
      </c>
      <c r="AA998" t="e">
        <f t="shared" ca="1" si="493"/>
        <v>#VALUE!</v>
      </c>
      <c r="AB998" t="e">
        <f t="shared" ca="1" si="494"/>
        <v>#VALUE!</v>
      </c>
      <c r="AC998" t="e">
        <f t="shared" ca="1" si="495"/>
        <v>#VALUE!</v>
      </c>
      <c r="AD998" t="e">
        <f t="shared" ca="1" si="496"/>
        <v>#VALUE!</v>
      </c>
      <c r="AE998" t="e">
        <f t="shared" ca="1" si="497"/>
        <v>#VALUE!</v>
      </c>
      <c r="AF998" t="e">
        <f t="shared" ca="1" si="498"/>
        <v>#VALUE!</v>
      </c>
      <c r="AG998" t="e">
        <f t="shared" ca="1" si="499"/>
        <v>#VALUE!</v>
      </c>
      <c r="AH998" t="e">
        <f ca="1">IF(V32="Supercritical",L998,IF(V32="Subcritical",W998,IF(AND(V998=1,AG998=1),IF(T998&gt;=AE998,L998,W998),IF(V998=1,L998,IF(AG998=1,W998,MAX($D$16,POWER((ABS(K998)^2)/($I$5*MAX(F998,0.1)^2),1/3)))))))</f>
        <v>#VALUE!</v>
      </c>
      <c r="AI998" t="e">
        <f t="shared" ca="1" si="500"/>
        <v>#VALUE!</v>
      </c>
      <c r="AJ998" t="e">
        <f t="shared" ca="1" si="501"/>
        <v>#VALUE!</v>
      </c>
      <c r="AM998">
        <v>0</v>
      </c>
      <c r="AN998">
        <v>0</v>
      </c>
      <c r="AO998">
        <f t="shared" si="502"/>
        <v>0</v>
      </c>
      <c r="AP998">
        <f t="shared" si="511"/>
        <v>0</v>
      </c>
      <c r="AQ998" t="e">
        <f t="shared" ca="1" si="503"/>
        <v>#VALUE!</v>
      </c>
      <c r="AR998" t="e">
        <f t="shared" ca="1" si="504"/>
        <v>#VALUE!</v>
      </c>
      <c r="AS998" t="e">
        <f t="shared" ca="1" si="505"/>
        <v>#VALUE!</v>
      </c>
    </row>
    <row r="999" spans="1:45" x14ac:dyDescent="0.35">
      <c r="A999">
        <v>850</v>
      </c>
      <c r="B999">
        <v>848.88900000000001</v>
      </c>
      <c r="C999">
        <v>616087.54700000002</v>
      </c>
      <c r="D999">
        <v>3097154.9139999999</v>
      </c>
      <c r="E999">
        <v>632.13750000000005</v>
      </c>
      <c r="F999">
        <v>5.2</v>
      </c>
      <c r="G999">
        <v>0</v>
      </c>
      <c r="H999" t="s">
        <v>191</v>
      </c>
      <c r="I999">
        <v>0</v>
      </c>
      <c r="J999">
        <f t="shared" si="506"/>
        <v>1</v>
      </c>
      <c r="K999">
        <f t="shared" si="507"/>
        <v>51</v>
      </c>
      <c r="L999" t="e">
        <f t="shared" ca="1" si="508"/>
        <v>#VALUE!</v>
      </c>
      <c r="M999" t="e">
        <f t="shared" ca="1" si="481"/>
        <v>#VALUE!</v>
      </c>
      <c r="N999" t="e">
        <f t="shared" ca="1" si="482"/>
        <v>#VALUE!</v>
      </c>
      <c r="O999" t="e">
        <f t="shared" ca="1" si="483"/>
        <v>#VALUE!</v>
      </c>
      <c r="P999" t="e">
        <f t="shared" ca="1" si="484"/>
        <v>#VALUE!</v>
      </c>
      <c r="Q999" t="e">
        <f t="shared" ca="1" si="485"/>
        <v>#VALUE!</v>
      </c>
      <c r="R999" t="e">
        <f t="shared" ca="1" si="486"/>
        <v>#VALUE!</v>
      </c>
      <c r="S999" t="e">
        <f t="shared" ca="1" si="487"/>
        <v>#VALUE!</v>
      </c>
      <c r="T999" t="e">
        <f t="shared" ca="1" si="488"/>
        <v>#VALUE!</v>
      </c>
      <c r="U999" t="e">
        <f t="shared" ca="1" si="509"/>
        <v>#VALUE!</v>
      </c>
      <c r="V999" t="e">
        <f t="shared" ca="1" si="510"/>
        <v>#VALUE!</v>
      </c>
      <c r="W999" t="e">
        <f t="shared" ca="1" si="489"/>
        <v>#VALUE!</v>
      </c>
      <c r="X999" t="e">
        <f t="shared" ca="1" si="490"/>
        <v>#VALUE!</v>
      </c>
      <c r="Y999" t="e">
        <f t="shared" ca="1" si="491"/>
        <v>#VALUE!</v>
      </c>
      <c r="Z999" t="e">
        <f t="shared" ca="1" si="492"/>
        <v>#VALUE!</v>
      </c>
      <c r="AA999" t="e">
        <f t="shared" ca="1" si="493"/>
        <v>#VALUE!</v>
      </c>
      <c r="AB999" t="e">
        <f t="shared" ca="1" si="494"/>
        <v>#VALUE!</v>
      </c>
      <c r="AC999" t="e">
        <f t="shared" ca="1" si="495"/>
        <v>#VALUE!</v>
      </c>
      <c r="AD999" t="e">
        <f t="shared" ca="1" si="496"/>
        <v>#VALUE!</v>
      </c>
      <c r="AE999" t="e">
        <f t="shared" ca="1" si="497"/>
        <v>#VALUE!</v>
      </c>
      <c r="AF999" t="e">
        <f t="shared" ca="1" si="498"/>
        <v>#VALUE!</v>
      </c>
      <c r="AG999" t="e">
        <f t="shared" ca="1" si="499"/>
        <v>#VALUE!</v>
      </c>
      <c r="AH999" t="e">
        <f ca="1">IF(V32="Supercritical",L999,IF(V32="Subcritical",W999,IF(AND(V999=1,AG999=1),IF(T999&gt;=AE999,L999,W999),IF(V999=1,L999,IF(AG999=1,W999,MAX($D$16,POWER((ABS(K999)^2)/($I$5*MAX(F999,0.1)^2),1/3)))))))</f>
        <v>#VALUE!</v>
      </c>
      <c r="AI999" t="e">
        <f t="shared" ca="1" si="500"/>
        <v>#VALUE!</v>
      </c>
      <c r="AJ999" t="e">
        <f t="shared" ca="1" si="501"/>
        <v>#VALUE!</v>
      </c>
      <c r="AM999">
        <v>0</v>
      </c>
      <c r="AN999">
        <v>0</v>
      </c>
      <c r="AO999">
        <f t="shared" si="502"/>
        <v>0</v>
      </c>
      <c r="AP999">
        <f t="shared" si="511"/>
        <v>0</v>
      </c>
      <c r="AQ999" t="e">
        <f t="shared" ca="1" si="503"/>
        <v>#VALUE!</v>
      </c>
      <c r="AR999" t="e">
        <f t="shared" ca="1" si="504"/>
        <v>#VALUE!</v>
      </c>
      <c r="AS999" t="e">
        <f t="shared" ca="1" si="505"/>
        <v>#VALUE!</v>
      </c>
    </row>
    <row r="1000" spans="1:45" x14ac:dyDescent="0.35">
      <c r="A1000">
        <v>851</v>
      </c>
      <c r="B1000">
        <v>849.88900000000001</v>
      </c>
      <c r="C1000">
        <v>616087.505</v>
      </c>
      <c r="D1000">
        <v>3097153.915</v>
      </c>
      <c r="E1000">
        <v>632.13699999999994</v>
      </c>
      <c r="F1000">
        <v>5.2</v>
      </c>
      <c r="G1000">
        <v>0</v>
      </c>
      <c r="H1000" t="s">
        <v>191</v>
      </c>
      <c r="I1000">
        <v>0</v>
      </c>
      <c r="J1000">
        <f t="shared" si="506"/>
        <v>1</v>
      </c>
      <c r="K1000">
        <f t="shared" si="507"/>
        <v>51</v>
      </c>
      <c r="L1000" t="e">
        <f t="shared" ca="1" si="508"/>
        <v>#VALUE!</v>
      </c>
      <c r="M1000" t="e">
        <f t="shared" ca="1" si="481"/>
        <v>#VALUE!</v>
      </c>
      <c r="N1000" t="e">
        <f t="shared" ca="1" si="482"/>
        <v>#VALUE!</v>
      </c>
      <c r="O1000" t="e">
        <f t="shared" ca="1" si="483"/>
        <v>#VALUE!</v>
      </c>
      <c r="P1000" t="e">
        <f t="shared" ca="1" si="484"/>
        <v>#VALUE!</v>
      </c>
      <c r="Q1000" t="e">
        <f t="shared" ca="1" si="485"/>
        <v>#VALUE!</v>
      </c>
      <c r="R1000" t="e">
        <f t="shared" ca="1" si="486"/>
        <v>#VALUE!</v>
      </c>
      <c r="S1000" t="e">
        <f t="shared" ca="1" si="487"/>
        <v>#VALUE!</v>
      </c>
      <c r="T1000" t="e">
        <f t="shared" ca="1" si="488"/>
        <v>#VALUE!</v>
      </c>
      <c r="U1000" t="e">
        <f t="shared" ca="1" si="509"/>
        <v>#VALUE!</v>
      </c>
      <c r="V1000" t="e">
        <f t="shared" ca="1" si="510"/>
        <v>#VALUE!</v>
      </c>
      <c r="W1000" t="e">
        <f t="shared" ca="1" si="489"/>
        <v>#VALUE!</v>
      </c>
      <c r="X1000" t="e">
        <f t="shared" ca="1" si="490"/>
        <v>#VALUE!</v>
      </c>
      <c r="Y1000" t="e">
        <f t="shared" ca="1" si="491"/>
        <v>#VALUE!</v>
      </c>
      <c r="Z1000" t="e">
        <f t="shared" ca="1" si="492"/>
        <v>#VALUE!</v>
      </c>
      <c r="AA1000" t="e">
        <f t="shared" ca="1" si="493"/>
        <v>#VALUE!</v>
      </c>
      <c r="AB1000" t="e">
        <f t="shared" ca="1" si="494"/>
        <v>#VALUE!</v>
      </c>
      <c r="AC1000" t="e">
        <f t="shared" ca="1" si="495"/>
        <v>#VALUE!</v>
      </c>
      <c r="AD1000" t="e">
        <f t="shared" ca="1" si="496"/>
        <v>#VALUE!</v>
      </c>
      <c r="AE1000" t="e">
        <f t="shared" ca="1" si="497"/>
        <v>#VALUE!</v>
      </c>
      <c r="AF1000" t="e">
        <f t="shared" ca="1" si="498"/>
        <v>#VALUE!</v>
      </c>
      <c r="AG1000" t="e">
        <f t="shared" ca="1" si="499"/>
        <v>#VALUE!</v>
      </c>
      <c r="AH1000" t="e">
        <f ca="1">IF(V32="Supercritical",L1000,IF(V32="Subcritical",W1000,IF(AND(V1000=1,AG1000=1),IF(T1000&gt;=AE1000,L1000,W1000),IF(V1000=1,L1000,IF(AG1000=1,W1000,MAX($D$16,POWER((ABS(K1000)^2)/($I$5*MAX(F1000,0.1)^2),1/3)))))))</f>
        <v>#VALUE!</v>
      </c>
      <c r="AI1000" t="e">
        <f t="shared" ca="1" si="500"/>
        <v>#VALUE!</v>
      </c>
      <c r="AJ1000" t="e">
        <f t="shared" ca="1" si="501"/>
        <v>#VALUE!</v>
      </c>
      <c r="AM1000">
        <v>0</v>
      </c>
      <c r="AN1000">
        <v>0</v>
      </c>
      <c r="AO1000">
        <f t="shared" si="502"/>
        <v>0</v>
      </c>
      <c r="AP1000">
        <f t="shared" si="511"/>
        <v>0</v>
      </c>
      <c r="AQ1000" t="e">
        <f t="shared" ca="1" si="503"/>
        <v>#VALUE!</v>
      </c>
      <c r="AR1000" t="e">
        <f t="shared" ca="1" si="504"/>
        <v>#VALUE!</v>
      </c>
      <c r="AS1000" t="e">
        <f t="shared" ca="1" si="505"/>
        <v>#VALUE!</v>
      </c>
    </row>
    <row r="1001" spans="1:45" x14ac:dyDescent="0.35">
      <c r="A1001">
        <v>852</v>
      </c>
      <c r="B1001">
        <v>850.88900000000001</v>
      </c>
      <c r="C1001">
        <v>616087.46299999999</v>
      </c>
      <c r="D1001">
        <v>3097152.9160000002</v>
      </c>
      <c r="E1001">
        <v>632.13649999999996</v>
      </c>
      <c r="F1001">
        <v>5.2</v>
      </c>
      <c r="G1001">
        <v>0</v>
      </c>
      <c r="H1001" t="s">
        <v>191</v>
      </c>
      <c r="I1001">
        <v>5.7000000000000002E-2</v>
      </c>
      <c r="J1001">
        <f t="shared" si="506"/>
        <v>1</v>
      </c>
      <c r="K1001">
        <f t="shared" si="507"/>
        <v>51</v>
      </c>
      <c r="L1001" t="e">
        <f t="shared" ca="1" si="508"/>
        <v>#VALUE!</v>
      </c>
      <c r="M1001" t="e">
        <f t="shared" ca="1" si="481"/>
        <v>#VALUE!</v>
      </c>
      <c r="N1001" t="e">
        <f t="shared" ca="1" si="482"/>
        <v>#VALUE!</v>
      </c>
      <c r="O1001" t="e">
        <f t="shared" ca="1" si="483"/>
        <v>#VALUE!</v>
      </c>
      <c r="P1001" t="e">
        <f t="shared" ca="1" si="484"/>
        <v>#VALUE!</v>
      </c>
      <c r="Q1001" t="e">
        <f t="shared" ca="1" si="485"/>
        <v>#VALUE!</v>
      </c>
      <c r="R1001" t="e">
        <f t="shared" ca="1" si="486"/>
        <v>#VALUE!</v>
      </c>
      <c r="S1001" t="e">
        <f t="shared" ca="1" si="487"/>
        <v>#VALUE!</v>
      </c>
      <c r="T1001" t="e">
        <f t="shared" ca="1" si="488"/>
        <v>#VALUE!</v>
      </c>
      <c r="U1001" t="e">
        <f t="shared" ca="1" si="509"/>
        <v>#VALUE!</v>
      </c>
      <c r="V1001" t="e">
        <f t="shared" ca="1" si="510"/>
        <v>#VALUE!</v>
      </c>
      <c r="W1001" t="e">
        <f t="shared" ca="1" si="489"/>
        <v>#VALUE!</v>
      </c>
      <c r="X1001" t="e">
        <f t="shared" ca="1" si="490"/>
        <v>#VALUE!</v>
      </c>
      <c r="Y1001" t="e">
        <f t="shared" ca="1" si="491"/>
        <v>#VALUE!</v>
      </c>
      <c r="Z1001" t="e">
        <f t="shared" ca="1" si="492"/>
        <v>#VALUE!</v>
      </c>
      <c r="AA1001" t="e">
        <f t="shared" ca="1" si="493"/>
        <v>#VALUE!</v>
      </c>
      <c r="AB1001" t="e">
        <f t="shared" ca="1" si="494"/>
        <v>#VALUE!</v>
      </c>
      <c r="AC1001" t="e">
        <f t="shared" ca="1" si="495"/>
        <v>#VALUE!</v>
      </c>
      <c r="AD1001" t="e">
        <f t="shared" ca="1" si="496"/>
        <v>#VALUE!</v>
      </c>
      <c r="AE1001" t="e">
        <f t="shared" ca="1" si="497"/>
        <v>#VALUE!</v>
      </c>
      <c r="AF1001" t="e">
        <f t="shared" ca="1" si="498"/>
        <v>#VALUE!</v>
      </c>
      <c r="AG1001" t="e">
        <f t="shared" ca="1" si="499"/>
        <v>#VALUE!</v>
      </c>
      <c r="AH1001" t="e">
        <f ca="1">IF(V32="Supercritical",L1001,IF(V32="Subcritical",W1001,IF(AND(V1001=1,AG1001=1),IF(T1001&gt;=AE1001,L1001,W1001),IF(V1001=1,L1001,IF(AG1001=1,W1001,MAX($D$16,POWER((ABS(K1001)^2)/($I$5*MAX(F1001,0.1)^2),1/3)))))))</f>
        <v>#VALUE!</v>
      </c>
      <c r="AI1001" t="e">
        <f t="shared" ca="1" si="500"/>
        <v>#VALUE!</v>
      </c>
      <c r="AJ1001" t="e">
        <f t="shared" ca="1" si="501"/>
        <v>#VALUE!</v>
      </c>
      <c r="AM1001">
        <v>0</v>
      </c>
      <c r="AN1001">
        <v>0</v>
      </c>
      <c r="AO1001">
        <f t="shared" si="502"/>
        <v>0</v>
      </c>
      <c r="AP1001">
        <f t="shared" si="511"/>
        <v>0</v>
      </c>
      <c r="AQ1001" t="e">
        <f t="shared" ca="1" si="503"/>
        <v>#VALUE!</v>
      </c>
      <c r="AR1001" t="e">
        <f t="shared" ca="1" si="504"/>
        <v>#VALUE!</v>
      </c>
      <c r="AS1001" t="e">
        <f t="shared" ca="1" si="505"/>
        <v>#VALUE!</v>
      </c>
    </row>
    <row r="1002" spans="1:45" x14ac:dyDescent="0.35">
      <c r="A1002">
        <v>853</v>
      </c>
      <c r="B1002">
        <v>851.88900000000001</v>
      </c>
      <c r="C1002">
        <v>616087.42000000004</v>
      </c>
      <c r="D1002">
        <v>3097151.9169999999</v>
      </c>
      <c r="E1002">
        <v>632.13599999999997</v>
      </c>
      <c r="F1002">
        <v>5.2</v>
      </c>
      <c r="G1002">
        <v>0</v>
      </c>
      <c r="H1002" t="s">
        <v>191</v>
      </c>
      <c r="I1002">
        <v>0.06</v>
      </c>
      <c r="J1002">
        <f t="shared" si="506"/>
        <v>1</v>
      </c>
      <c r="K1002">
        <f t="shared" si="507"/>
        <v>51</v>
      </c>
      <c r="L1002" t="e">
        <f t="shared" ca="1" si="508"/>
        <v>#VALUE!</v>
      </c>
      <c r="M1002" t="e">
        <f t="shared" ca="1" si="481"/>
        <v>#VALUE!</v>
      </c>
      <c r="N1002" t="e">
        <f t="shared" ca="1" si="482"/>
        <v>#VALUE!</v>
      </c>
      <c r="O1002" t="e">
        <f t="shared" ca="1" si="483"/>
        <v>#VALUE!</v>
      </c>
      <c r="P1002" t="e">
        <f t="shared" ca="1" si="484"/>
        <v>#VALUE!</v>
      </c>
      <c r="Q1002" t="e">
        <f t="shared" ca="1" si="485"/>
        <v>#VALUE!</v>
      </c>
      <c r="R1002" t="e">
        <f t="shared" ca="1" si="486"/>
        <v>#VALUE!</v>
      </c>
      <c r="S1002" t="e">
        <f t="shared" ca="1" si="487"/>
        <v>#VALUE!</v>
      </c>
      <c r="T1002" t="e">
        <f t="shared" ca="1" si="488"/>
        <v>#VALUE!</v>
      </c>
      <c r="U1002" t="e">
        <f t="shared" ca="1" si="509"/>
        <v>#VALUE!</v>
      </c>
      <c r="V1002" t="e">
        <f t="shared" ca="1" si="510"/>
        <v>#VALUE!</v>
      </c>
      <c r="W1002" t="e">
        <f t="shared" ca="1" si="489"/>
        <v>#VALUE!</v>
      </c>
      <c r="X1002" t="e">
        <f t="shared" ca="1" si="490"/>
        <v>#VALUE!</v>
      </c>
      <c r="Y1002" t="e">
        <f t="shared" ca="1" si="491"/>
        <v>#VALUE!</v>
      </c>
      <c r="Z1002" t="e">
        <f t="shared" ca="1" si="492"/>
        <v>#VALUE!</v>
      </c>
      <c r="AA1002" t="e">
        <f t="shared" ca="1" si="493"/>
        <v>#VALUE!</v>
      </c>
      <c r="AB1002" t="e">
        <f t="shared" ca="1" si="494"/>
        <v>#VALUE!</v>
      </c>
      <c r="AC1002" t="e">
        <f t="shared" ca="1" si="495"/>
        <v>#VALUE!</v>
      </c>
      <c r="AD1002" t="e">
        <f t="shared" ca="1" si="496"/>
        <v>#VALUE!</v>
      </c>
      <c r="AE1002" t="e">
        <f t="shared" ca="1" si="497"/>
        <v>#VALUE!</v>
      </c>
      <c r="AF1002" t="e">
        <f t="shared" ca="1" si="498"/>
        <v>#VALUE!</v>
      </c>
      <c r="AG1002" t="e">
        <f t="shared" ca="1" si="499"/>
        <v>#VALUE!</v>
      </c>
      <c r="AH1002" t="e">
        <f ca="1">IF(V32="Supercritical",L1002,IF(V32="Subcritical",W1002,IF(AND(V1002=1,AG1002=1),IF(T1002&gt;=AE1002,L1002,W1002),IF(V1002=1,L1002,IF(AG1002=1,W1002,MAX($D$16,POWER((ABS(K1002)^2)/($I$5*MAX(F1002,0.1)^2),1/3)))))))</f>
        <v>#VALUE!</v>
      </c>
      <c r="AI1002" t="e">
        <f t="shared" ca="1" si="500"/>
        <v>#VALUE!</v>
      </c>
      <c r="AJ1002" t="e">
        <f t="shared" ca="1" si="501"/>
        <v>#VALUE!</v>
      </c>
      <c r="AM1002">
        <v>0</v>
      </c>
      <c r="AN1002">
        <v>0</v>
      </c>
      <c r="AO1002">
        <f t="shared" si="502"/>
        <v>0</v>
      </c>
      <c r="AP1002">
        <f t="shared" si="511"/>
        <v>0</v>
      </c>
      <c r="AQ1002" t="e">
        <f t="shared" ca="1" si="503"/>
        <v>#VALUE!</v>
      </c>
      <c r="AR1002" t="e">
        <f t="shared" ca="1" si="504"/>
        <v>#VALUE!</v>
      </c>
      <c r="AS1002" t="e">
        <f t="shared" ca="1" si="505"/>
        <v>#VALUE!</v>
      </c>
    </row>
    <row r="1003" spans="1:45" x14ac:dyDescent="0.35">
      <c r="A1003">
        <v>854</v>
      </c>
      <c r="B1003">
        <v>852.89</v>
      </c>
      <c r="C1003">
        <v>616087.37800000003</v>
      </c>
      <c r="D1003">
        <v>3097150.9169999999</v>
      </c>
      <c r="E1003">
        <v>632.13549999999998</v>
      </c>
      <c r="F1003">
        <v>5.2</v>
      </c>
      <c r="G1003">
        <v>0</v>
      </c>
      <c r="H1003" t="s">
        <v>191</v>
      </c>
      <c r="I1003">
        <v>2E-3</v>
      </c>
      <c r="J1003">
        <f t="shared" si="506"/>
        <v>1.0009999999999764</v>
      </c>
      <c r="K1003">
        <f t="shared" si="507"/>
        <v>51</v>
      </c>
      <c r="L1003" t="e">
        <f t="shared" ca="1" si="508"/>
        <v>#VALUE!</v>
      </c>
      <c r="M1003" t="e">
        <f t="shared" ca="1" si="481"/>
        <v>#VALUE!</v>
      </c>
      <c r="N1003" t="e">
        <f t="shared" ca="1" si="482"/>
        <v>#VALUE!</v>
      </c>
      <c r="O1003" t="e">
        <f t="shared" ca="1" si="483"/>
        <v>#VALUE!</v>
      </c>
      <c r="P1003" t="e">
        <f t="shared" ca="1" si="484"/>
        <v>#VALUE!</v>
      </c>
      <c r="Q1003" t="e">
        <f t="shared" ca="1" si="485"/>
        <v>#VALUE!</v>
      </c>
      <c r="R1003" t="e">
        <f t="shared" ca="1" si="486"/>
        <v>#VALUE!</v>
      </c>
      <c r="S1003" t="e">
        <f t="shared" ca="1" si="487"/>
        <v>#VALUE!</v>
      </c>
      <c r="T1003" t="e">
        <f t="shared" ca="1" si="488"/>
        <v>#VALUE!</v>
      </c>
      <c r="U1003" t="e">
        <f t="shared" ca="1" si="509"/>
        <v>#VALUE!</v>
      </c>
      <c r="V1003" t="e">
        <f t="shared" ca="1" si="510"/>
        <v>#VALUE!</v>
      </c>
      <c r="W1003" t="e">
        <f t="shared" ca="1" si="489"/>
        <v>#VALUE!</v>
      </c>
      <c r="X1003" t="e">
        <f t="shared" ca="1" si="490"/>
        <v>#VALUE!</v>
      </c>
      <c r="Y1003" t="e">
        <f t="shared" ca="1" si="491"/>
        <v>#VALUE!</v>
      </c>
      <c r="Z1003" t="e">
        <f t="shared" ca="1" si="492"/>
        <v>#VALUE!</v>
      </c>
      <c r="AA1003" t="e">
        <f t="shared" ca="1" si="493"/>
        <v>#VALUE!</v>
      </c>
      <c r="AB1003" t="e">
        <f t="shared" ca="1" si="494"/>
        <v>#VALUE!</v>
      </c>
      <c r="AC1003" t="e">
        <f t="shared" ca="1" si="495"/>
        <v>#VALUE!</v>
      </c>
      <c r="AD1003" t="e">
        <f t="shared" ca="1" si="496"/>
        <v>#VALUE!</v>
      </c>
      <c r="AE1003" t="e">
        <f t="shared" ca="1" si="497"/>
        <v>#VALUE!</v>
      </c>
      <c r="AF1003" t="e">
        <f t="shared" ca="1" si="498"/>
        <v>#VALUE!</v>
      </c>
      <c r="AG1003" t="e">
        <f t="shared" ca="1" si="499"/>
        <v>#VALUE!</v>
      </c>
      <c r="AH1003" t="e">
        <f ca="1">IF(V32="Supercritical",L1003,IF(V32="Subcritical",W1003,IF(AND(V1003=1,AG1003=1),IF(T1003&gt;=AE1003,L1003,W1003),IF(V1003=1,L1003,IF(AG1003=1,W1003,MAX($D$16,POWER((ABS(K1003)^2)/($I$5*MAX(F1003,0.1)^2),1/3)))))))</f>
        <v>#VALUE!</v>
      </c>
      <c r="AI1003" t="e">
        <f t="shared" ca="1" si="500"/>
        <v>#VALUE!</v>
      </c>
      <c r="AJ1003" t="e">
        <f t="shared" ca="1" si="501"/>
        <v>#VALUE!</v>
      </c>
      <c r="AM1003">
        <v>0</v>
      </c>
      <c r="AN1003">
        <v>0</v>
      </c>
      <c r="AO1003">
        <f t="shared" si="502"/>
        <v>0</v>
      </c>
      <c r="AP1003">
        <f t="shared" si="511"/>
        <v>0</v>
      </c>
      <c r="AQ1003" t="e">
        <f t="shared" ca="1" si="503"/>
        <v>#VALUE!</v>
      </c>
      <c r="AR1003" t="e">
        <f t="shared" ca="1" si="504"/>
        <v>#VALUE!</v>
      </c>
      <c r="AS1003" t="e">
        <f t="shared" ca="1" si="505"/>
        <v>#VALUE!</v>
      </c>
    </row>
    <row r="1004" spans="1:45" x14ac:dyDescent="0.35">
      <c r="A1004">
        <v>855</v>
      </c>
      <c r="B1004">
        <v>853.89</v>
      </c>
      <c r="C1004">
        <v>616087.33600000001</v>
      </c>
      <c r="D1004">
        <v>3097149.9180000001</v>
      </c>
      <c r="E1004">
        <v>632.13499999999999</v>
      </c>
      <c r="F1004">
        <v>5.2</v>
      </c>
      <c r="G1004">
        <v>0</v>
      </c>
      <c r="H1004" t="s">
        <v>191</v>
      </c>
      <c r="I1004">
        <v>0</v>
      </c>
      <c r="J1004">
        <f t="shared" si="506"/>
        <v>1</v>
      </c>
      <c r="K1004">
        <f t="shared" si="507"/>
        <v>51</v>
      </c>
      <c r="L1004" t="e">
        <f t="shared" ca="1" si="508"/>
        <v>#VALUE!</v>
      </c>
      <c r="M1004" t="e">
        <f t="shared" ca="1" si="481"/>
        <v>#VALUE!</v>
      </c>
      <c r="N1004" t="e">
        <f t="shared" ca="1" si="482"/>
        <v>#VALUE!</v>
      </c>
      <c r="O1004" t="e">
        <f t="shared" ca="1" si="483"/>
        <v>#VALUE!</v>
      </c>
      <c r="P1004" t="e">
        <f t="shared" ca="1" si="484"/>
        <v>#VALUE!</v>
      </c>
      <c r="Q1004" t="e">
        <f t="shared" ca="1" si="485"/>
        <v>#VALUE!</v>
      </c>
      <c r="R1004" t="e">
        <f t="shared" ca="1" si="486"/>
        <v>#VALUE!</v>
      </c>
      <c r="S1004" t="e">
        <f t="shared" ca="1" si="487"/>
        <v>#VALUE!</v>
      </c>
      <c r="T1004" t="e">
        <f t="shared" ca="1" si="488"/>
        <v>#VALUE!</v>
      </c>
      <c r="U1004" t="e">
        <f t="shared" ca="1" si="509"/>
        <v>#VALUE!</v>
      </c>
      <c r="V1004" t="e">
        <f t="shared" ca="1" si="510"/>
        <v>#VALUE!</v>
      </c>
      <c r="W1004" t="e">
        <f t="shared" ca="1" si="489"/>
        <v>#VALUE!</v>
      </c>
      <c r="X1004" t="e">
        <f t="shared" ca="1" si="490"/>
        <v>#VALUE!</v>
      </c>
      <c r="Y1004" t="e">
        <f t="shared" ca="1" si="491"/>
        <v>#VALUE!</v>
      </c>
      <c r="Z1004" t="e">
        <f t="shared" ca="1" si="492"/>
        <v>#VALUE!</v>
      </c>
      <c r="AA1004" t="e">
        <f t="shared" ca="1" si="493"/>
        <v>#VALUE!</v>
      </c>
      <c r="AB1004" t="e">
        <f t="shared" ca="1" si="494"/>
        <v>#VALUE!</v>
      </c>
      <c r="AC1004" t="e">
        <f t="shared" ca="1" si="495"/>
        <v>#VALUE!</v>
      </c>
      <c r="AD1004" t="e">
        <f t="shared" ca="1" si="496"/>
        <v>#VALUE!</v>
      </c>
      <c r="AE1004" t="e">
        <f t="shared" ca="1" si="497"/>
        <v>#VALUE!</v>
      </c>
      <c r="AF1004" t="e">
        <f t="shared" ca="1" si="498"/>
        <v>#VALUE!</v>
      </c>
      <c r="AG1004" t="e">
        <f t="shared" ca="1" si="499"/>
        <v>#VALUE!</v>
      </c>
      <c r="AH1004" t="e">
        <f ca="1">IF(V32="Supercritical",L1004,IF(V32="Subcritical",W1004,IF(AND(V1004=1,AG1004=1),IF(T1004&gt;=AE1004,L1004,W1004),IF(V1004=1,L1004,IF(AG1004=1,W1004,MAX($D$16,POWER((ABS(K1004)^2)/($I$5*MAX(F1004,0.1)^2),1/3)))))))</f>
        <v>#VALUE!</v>
      </c>
      <c r="AI1004" t="e">
        <f t="shared" ca="1" si="500"/>
        <v>#VALUE!</v>
      </c>
      <c r="AJ1004" t="e">
        <f t="shared" ca="1" si="501"/>
        <v>#VALUE!</v>
      </c>
      <c r="AM1004">
        <v>0</v>
      </c>
      <c r="AN1004">
        <v>0</v>
      </c>
      <c r="AO1004">
        <f t="shared" si="502"/>
        <v>0</v>
      </c>
      <c r="AP1004">
        <f t="shared" si="511"/>
        <v>0</v>
      </c>
      <c r="AQ1004" t="e">
        <f t="shared" ca="1" si="503"/>
        <v>#VALUE!</v>
      </c>
      <c r="AR1004" t="e">
        <f t="shared" ca="1" si="504"/>
        <v>#VALUE!</v>
      </c>
      <c r="AS1004" t="e">
        <f t="shared" ca="1" si="505"/>
        <v>#VALUE!</v>
      </c>
    </row>
    <row r="1005" spans="1:45" x14ac:dyDescent="0.35">
      <c r="A1005">
        <v>856</v>
      </c>
      <c r="B1005">
        <v>854.88900000000001</v>
      </c>
      <c r="C1005">
        <v>616087.29399999999</v>
      </c>
      <c r="D1005">
        <v>3097148.9190000002</v>
      </c>
      <c r="E1005">
        <v>632.1345</v>
      </c>
      <c r="F1005">
        <v>5.2</v>
      </c>
      <c r="G1005">
        <v>0</v>
      </c>
      <c r="H1005" t="s">
        <v>191</v>
      </c>
      <c r="I1005">
        <v>5.7000000000000002E-2</v>
      </c>
      <c r="J1005">
        <f t="shared" si="506"/>
        <v>0.99900000000002365</v>
      </c>
      <c r="K1005">
        <f t="shared" si="507"/>
        <v>51</v>
      </c>
      <c r="L1005" t="e">
        <f t="shared" ca="1" si="508"/>
        <v>#VALUE!</v>
      </c>
      <c r="M1005" t="e">
        <f t="shared" ca="1" si="481"/>
        <v>#VALUE!</v>
      </c>
      <c r="N1005" t="e">
        <f t="shared" ca="1" si="482"/>
        <v>#VALUE!</v>
      </c>
      <c r="O1005" t="e">
        <f t="shared" ca="1" si="483"/>
        <v>#VALUE!</v>
      </c>
      <c r="P1005" t="e">
        <f t="shared" ca="1" si="484"/>
        <v>#VALUE!</v>
      </c>
      <c r="Q1005" t="e">
        <f t="shared" ca="1" si="485"/>
        <v>#VALUE!</v>
      </c>
      <c r="R1005" t="e">
        <f t="shared" ca="1" si="486"/>
        <v>#VALUE!</v>
      </c>
      <c r="S1005" t="e">
        <f t="shared" ca="1" si="487"/>
        <v>#VALUE!</v>
      </c>
      <c r="T1005" t="e">
        <f t="shared" ca="1" si="488"/>
        <v>#VALUE!</v>
      </c>
      <c r="U1005" t="e">
        <f t="shared" ca="1" si="509"/>
        <v>#VALUE!</v>
      </c>
      <c r="V1005" t="e">
        <f t="shared" ca="1" si="510"/>
        <v>#VALUE!</v>
      </c>
      <c r="W1005" t="e">
        <f t="shared" ca="1" si="489"/>
        <v>#VALUE!</v>
      </c>
      <c r="X1005" t="e">
        <f t="shared" ca="1" si="490"/>
        <v>#VALUE!</v>
      </c>
      <c r="Y1005" t="e">
        <f t="shared" ca="1" si="491"/>
        <v>#VALUE!</v>
      </c>
      <c r="Z1005" t="e">
        <f t="shared" ca="1" si="492"/>
        <v>#VALUE!</v>
      </c>
      <c r="AA1005" t="e">
        <f t="shared" ca="1" si="493"/>
        <v>#VALUE!</v>
      </c>
      <c r="AB1005" t="e">
        <f t="shared" ca="1" si="494"/>
        <v>#VALUE!</v>
      </c>
      <c r="AC1005" t="e">
        <f t="shared" ca="1" si="495"/>
        <v>#VALUE!</v>
      </c>
      <c r="AD1005" t="e">
        <f t="shared" ca="1" si="496"/>
        <v>#VALUE!</v>
      </c>
      <c r="AE1005" t="e">
        <f t="shared" ca="1" si="497"/>
        <v>#VALUE!</v>
      </c>
      <c r="AF1005" t="e">
        <f t="shared" ca="1" si="498"/>
        <v>#VALUE!</v>
      </c>
      <c r="AG1005" t="e">
        <f t="shared" ca="1" si="499"/>
        <v>#VALUE!</v>
      </c>
      <c r="AH1005" t="e">
        <f ca="1">IF(V32="Supercritical",L1005,IF(V32="Subcritical",W1005,IF(AND(V1005=1,AG1005=1),IF(T1005&gt;=AE1005,L1005,W1005),IF(V1005=1,L1005,IF(AG1005=1,W1005,MAX($D$16,POWER((ABS(K1005)^2)/($I$5*MAX(F1005,0.1)^2),1/3)))))))</f>
        <v>#VALUE!</v>
      </c>
      <c r="AI1005" t="e">
        <f t="shared" ca="1" si="500"/>
        <v>#VALUE!</v>
      </c>
      <c r="AJ1005" t="e">
        <f t="shared" ca="1" si="501"/>
        <v>#VALUE!</v>
      </c>
      <c r="AM1005">
        <v>0</v>
      </c>
      <c r="AN1005">
        <v>0</v>
      </c>
      <c r="AO1005">
        <f t="shared" si="502"/>
        <v>0</v>
      </c>
      <c r="AP1005">
        <f t="shared" si="511"/>
        <v>0</v>
      </c>
      <c r="AQ1005" t="e">
        <f t="shared" ca="1" si="503"/>
        <v>#VALUE!</v>
      </c>
      <c r="AR1005" t="e">
        <f t="shared" ca="1" si="504"/>
        <v>#VALUE!</v>
      </c>
      <c r="AS1005" t="e">
        <f t="shared" ca="1" si="505"/>
        <v>#VALUE!</v>
      </c>
    </row>
    <row r="1006" spans="1:45" x14ac:dyDescent="0.35">
      <c r="A1006">
        <v>857</v>
      </c>
      <c r="B1006">
        <v>855.88900000000001</v>
      </c>
      <c r="C1006">
        <v>616087.25100000005</v>
      </c>
      <c r="D1006">
        <v>3097147.92</v>
      </c>
      <c r="E1006">
        <v>632.13400000000001</v>
      </c>
      <c r="F1006">
        <v>5.2</v>
      </c>
      <c r="G1006">
        <v>0</v>
      </c>
      <c r="H1006" t="s">
        <v>191</v>
      </c>
      <c r="I1006">
        <v>5.7000000000000002E-2</v>
      </c>
      <c r="J1006">
        <f t="shared" si="506"/>
        <v>1</v>
      </c>
      <c r="K1006">
        <f t="shared" si="507"/>
        <v>51</v>
      </c>
      <c r="L1006" t="e">
        <f t="shared" ca="1" si="508"/>
        <v>#VALUE!</v>
      </c>
      <c r="M1006" t="e">
        <f t="shared" ca="1" si="481"/>
        <v>#VALUE!</v>
      </c>
      <c r="N1006" t="e">
        <f t="shared" ca="1" si="482"/>
        <v>#VALUE!</v>
      </c>
      <c r="O1006" t="e">
        <f t="shared" ca="1" si="483"/>
        <v>#VALUE!</v>
      </c>
      <c r="P1006" t="e">
        <f t="shared" ca="1" si="484"/>
        <v>#VALUE!</v>
      </c>
      <c r="Q1006" t="e">
        <f t="shared" ca="1" si="485"/>
        <v>#VALUE!</v>
      </c>
      <c r="R1006" t="e">
        <f t="shared" ca="1" si="486"/>
        <v>#VALUE!</v>
      </c>
      <c r="S1006" t="e">
        <f t="shared" ca="1" si="487"/>
        <v>#VALUE!</v>
      </c>
      <c r="T1006" t="e">
        <f t="shared" ca="1" si="488"/>
        <v>#VALUE!</v>
      </c>
      <c r="U1006" t="e">
        <f t="shared" ca="1" si="509"/>
        <v>#VALUE!</v>
      </c>
      <c r="V1006" t="e">
        <f t="shared" ca="1" si="510"/>
        <v>#VALUE!</v>
      </c>
      <c r="W1006" t="e">
        <f t="shared" ca="1" si="489"/>
        <v>#VALUE!</v>
      </c>
      <c r="X1006" t="e">
        <f t="shared" ca="1" si="490"/>
        <v>#VALUE!</v>
      </c>
      <c r="Y1006" t="e">
        <f t="shared" ca="1" si="491"/>
        <v>#VALUE!</v>
      </c>
      <c r="Z1006" t="e">
        <f t="shared" ca="1" si="492"/>
        <v>#VALUE!</v>
      </c>
      <c r="AA1006" t="e">
        <f t="shared" ca="1" si="493"/>
        <v>#VALUE!</v>
      </c>
      <c r="AB1006" t="e">
        <f t="shared" ca="1" si="494"/>
        <v>#VALUE!</v>
      </c>
      <c r="AC1006" t="e">
        <f t="shared" ca="1" si="495"/>
        <v>#VALUE!</v>
      </c>
      <c r="AD1006" t="e">
        <f t="shared" ca="1" si="496"/>
        <v>#VALUE!</v>
      </c>
      <c r="AE1006" t="e">
        <f t="shared" ca="1" si="497"/>
        <v>#VALUE!</v>
      </c>
      <c r="AF1006" t="e">
        <f t="shared" ca="1" si="498"/>
        <v>#VALUE!</v>
      </c>
      <c r="AG1006" t="e">
        <f t="shared" ca="1" si="499"/>
        <v>#VALUE!</v>
      </c>
      <c r="AH1006" t="e">
        <f ca="1">IF(V32="Supercritical",L1006,IF(V32="Subcritical",W1006,IF(AND(V1006=1,AG1006=1),IF(T1006&gt;=AE1006,L1006,W1006),IF(V1006=1,L1006,IF(AG1006=1,W1006,MAX($D$16,POWER((ABS(K1006)^2)/($I$5*MAX(F1006,0.1)^2),1/3)))))))</f>
        <v>#VALUE!</v>
      </c>
      <c r="AI1006" t="e">
        <f t="shared" ca="1" si="500"/>
        <v>#VALUE!</v>
      </c>
      <c r="AJ1006" t="e">
        <f t="shared" ca="1" si="501"/>
        <v>#VALUE!</v>
      </c>
      <c r="AM1006">
        <v>0</v>
      </c>
      <c r="AN1006">
        <v>0</v>
      </c>
      <c r="AO1006">
        <f t="shared" si="502"/>
        <v>0</v>
      </c>
      <c r="AP1006">
        <f t="shared" si="511"/>
        <v>0</v>
      </c>
      <c r="AQ1006" t="e">
        <f t="shared" ca="1" si="503"/>
        <v>#VALUE!</v>
      </c>
      <c r="AR1006" t="e">
        <f t="shared" ca="1" si="504"/>
        <v>#VALUE!</v>
      </c>
      <c r="AS1006" t="e">
        <f t="shared" ca="1" si="505"/>
        <v>#VALUE!</v>
      </c>
    </row>
    <row r="1007" spans="1:45" x14ac:dyDescent="0.35">
      <c r="A1007">
        <v>858</v>
      </c>
      <c r="B1007">
        <v>856.88900000000001</v>
      </c>
      <c r="C1007">
        <v>616087.20900000003</v>
      </c>
      <c r="D1007">
        <v>3097146.9210000001</v>
      </c>
      <c r="E1007">
        <v>632.13350000000003</v>
      </c>
      <c r="F1007">
        <v>5.2</v>
      </c>
      <c r="G1007">
        <v>0</v>
      </c>
      <c r="H1007" t="s">
        <v>191</v>
      </c>
      <c r="I1007">
        <v>0</v>
      </c>
      <c r="J1007">
        <f t="shared" si="506"/>
        <v>1</v>
      </c>
      <c r="K1007">
        <f t="shared" si="507"/>
        <v>51</v>
      </c>
      <c r="L1007" t="e">
        <f t="shared" ca="1" si="508"/>
        <v>#VALUE!</v>
      </c>
      <c r="M1007" t="e">
        <f t="shared" ca="1" si="481"/>
        <v>#VALUE!</v>
      </c>
      <c r="N1007" t="e">
        <f t="shared" ca="1" si="482"/>
        <v>#VALUE!</v>
      </c>
      <c r="O1007" t="e">
        <f t="shared" ca="1" si="483"/>
        <v>#VALUE!</v>
      </c>
      <c r="P1007" t="e">
        <f t="shared" ca="1" si="484"/>
        <v>#VALUE!</v>
      </c>
      <c r="Q1007" t="e">
        <f t="shared" ca="1" si="485"/>
        <v>#VALUE!</v>
      </c>
      <c r="R1007" t="e">
        <f t="shared" ca="1" si="486"/>
        <v>#VALUE!</v>
      </c>
      <c r="S1007" t="e">
        <f t="shared" ca="1" si="487"/>
        <v>#VALUE!</v>
      </c>
      <c r="T1007" t="e">
        <f t="shared" ca="1" si="488"/>
        <v>#VALUE!</v>
      </c>
      <c r="U1007" t="e">
        <f t="shared" ca="1" si="509"/>
        <v>#VALUE!</v>
      </c>
      <c r="V1007" t="e">
        <f t="shared" ca="1" si="510"/>
        <v>#VALUE!</v>
      </c>
      <c r="W1007" t="e">
        <f t="shared" ca="1" si="489"/>
        <v>#VALUE!</v>
      </c>
      <c r="X1007" t="e">
        <f t="shared" ca="1" si="490"/>
        <v>#VALUE!</v>
      </c>
      <c r="Y1007" t="e">
        <f t="shared" ca="1" si="491"/>
        <v>#VALUE!</v>
      </c>
      <c r="Z1007" t="e">
        <f t="shared" ca="1" si="492"/>
        <v>#VALUE!</v>
      </c>
      <c r="AA1007" t="e">
        <f t="shared" ca="1" si="493"/>
        <v>#VALUE!</v>
      </c>
      <c r="AB1007" t="e">
        <f t="shared" ca="1" si="494"/>
        <v>#VALUE!</v>
      </c>
      <c r="AC1007" t="e">
        <f t="shared" ca="1" si="495"/>
        <v>#VALUE!</v>
      </c>
      <c r="AD1007" t="e">
        <f t="shared" ca="1" si="496"/>
        <v>#VALUE!</v>
      </c>
      <c r="AE1007" t="e">
        <f t="shared" ca="1" si="497"/>
        <v>#VALUE!</v>
      </c>
      <c r="AF1007" t="e">
        <f t="shared" ca="1" si="498"/>
        <v>#VALUE!</v>
      </c>
      <c r="AG1007" t="e">
        <f t="shared" ca="1" si="499"/>
        <v>#VALUE!</v>
      </c>
      <c r="AH1007" t="e">
        <f ca="1">IF(V32="Supercritical",L1007,IF(V32="Subcritical",W1007,IF(AND(V1007=1,AG1007=1),IF(T1007&gt;=AE1007,L1007,W1007),IF(V1007=1,L1007,IF(AG1007=1,W1007,MAX($D$16,POWER((ABS(K1007)^2)/($I$5*MAX(F1007,0.1)^2),1/3)))))))</f>
        <v>#VALUE!</v>
      </c>
      <c r="AI1007" t="e">
        <f t="shared" ca="1" si="500"/>
        <v>#VALUE!</v>
      </c>
      <c r="AJ1007" t="e">
        <f t="shared" ca="1" si="501"/>
        <v>#VALUE!</v>
      </c>
      <c r="AM1007">
        <v>0</v>
      </c>
      <c r="AN1007">
        <v>0</v>
      </c>
      <c r="AO1007">
        <f t="shared" si="502"/>
        <v>0</v>
      </c>
      <c r="AP1007">
        <f t="shared" si="511"/>
        <v>0</v>
      </c>
      <c r="AQ1007" t="e">
        <f t="shared" ca="1" si="503"/>
        <v>#VALUE!</v>
      </c>
      <c r="AR1007" t="e">
        <f t="shared" ca="1" si="504"/>
        <v>#VALUE!</v>
      </c>
      <c r="AS1007" t="e">
        <f t="shared" ca="1" si="505"/>
        <v>#VALUE!</v>
      </c>
    </row>
    <row r="1008" spans="1:45" x14ac:dyDescent="0.35">
      <c r="A1008">
        <v>859</v>
      </c>
      <c r="B1008">
        <v>857.88900000000001</v>
      </c>
      <c r="C1008">
        <v>616087.16700000002</v>
      </c>
      <c r="D1008">
        <v>3097145.9219999998</v>
      </c>
      <c r="E1008">
        <v>632.13300000000004</v>
      </c>
      <c r="F1008">
        <v>5.2</v>
      </c>
      <c r="G1008">
        <v>0</v>
      </c>
      <c r="H1008" t="s">
        <v>191</v>
      </c>
      <c r="I1008">
        <v>0</v>
      </c>
      <c r="J1008">
        <f t="shared" si="506"/>
        <v>1</v>
      </c>
      <c r="K1008">
        <f t="shared" si="507"/>
        <v>51</v>
      </c>
      <c r="L1008" t="e">
        <f t="shared" ca="1" si="508"/>
        <v>#VALUE!</v>
      </c>
      <c r="M1008" t="e">
        <f t="shared" ca="1" si="481"/>
        <v>#VALUE!</v>
      </c>
      <c r="N1008" t="e">
        <f t="shared" ca="1" si="482"/>
        <v>#VALUE!</v>
      </c>
      <c r="O1008" t="e">
        <f t="shared" ca="1" si="483"/>
        <v>#VALUE!</v>
      </c>
      <c r="P1008" t="e">
        <f t="shared" ca="1" si="484"/>
        <v>#VALUE!</v>
      </c>
      <c r="Q1008" t="e">
        <f t="shared" ca="1" si="485"/>
        <v>#VALUE!</v>
      </c>
      <c r="R1008" t="e">
        <f t="shared" ca="1" si="486"/>
        <v>#VALUE!</v>
      </c>
      <c r="S1008" t="e">
        <f t="shared" ca="1" si="487"/>
        <v>#VALUE!</v>
      </c>
      <c r="T1008" t="e">
        <f t="shared" ca="1" si="488"/>
        <v>#VALUE!</v>
      </c>
      <c r="U1008" t="e">
        <f t="shared" ca="1" si="509"/>
        <v>#VALUE!</v>
      </c>
      <c r="V1008" t="e">
        <f t="shared" ca="1" si="510"/>
        <v>#VALUE!</v>
      </c>
      <c r="W1008" t="e">
        <f t="shared" ca="1" si="489"/>
        <v>#VALUE!</v>
      </c>
      <c r="X1008" t="e">
        <f t="shared" ca="1" si="490"/>
        <v>#VALUE!</v>
      </c>
      <c r="Y1008" t="e">
        <f t="shared" ca="1" si="491"/>
        <v>#VALUE!</v>
      </c>
      <c r="Z1008" t="e">
        <f t="shared" ca="1" si="492"/>
        <v>#VALUE!</v>
      </c>
      <c r="AA1008" t="e">
        <f t="shared" ca="1" si="493"/>
        <v>#VALUE!</v>
      </c>
      <c r="AB1008" t="e">
        <f t="shared" ca="1" si="494"/>
        <v>#VALUE!</v>
      </c>
      <c r="AC1008" t="e">
        <f t="shared" ca="1" si="495"/>
        <v>#VALUE!</v>
      </c>
      <c r="AD1008" t="e">
        <f t="shared" ca="1" si="496"/>
        <v>#VALUE!</v>
      </c>
      <c r="AE1008" t="e">
        <f t="shared" ca="1" si="497"/>
        <v>#VALUE!</v>
      </c>
      <c r="AF1008" t="e">
        <f t="shared" ca="1" si="498"/>
        <v>#VALUE!</v>
      </c>
      <c r="AG1008" t="e">
        <f t="shared" ca="1" si="499"/>
        <v>#VALUE!</v>
      </c>
      <c r="AH1008" t="e">
        <f ca="1">IF(V32="Supercritical",L1008,IF(V32="Subcritical",W1008,IF(AND(V1008=1,AG1008=1),IF(T1008&gt;=AE1008,L1008,W1008),IF(V1008=1,L1008,IF(AG1008=1,W1008,MAX($D$16,POWER((ABS(K1008)^2)/($I$5*MAX(F1008,0.1)^2),1/3)))))))</f>
        <v>#VALUE!</v>
      </c>
      <c r="AI1008" t="e">
        <f t="shared" ca="1" si="500"/>
        <v>#VALUE!</v>
      </c>
      <c r="AJ1008" t="e">
        <f t="shared" ca="1" si="501"/>
        <v>#VALUE!</v>
      </c>
      <c r="AM1008">
        <v>0</v>
      </c>
      <c r="AN1008">
        <v>0</v>
      </c>
      <c r="AO1008">
        <f t="shared" si="502"/>
        <v>0</v>
      </c>
      <c r="AP1008">
        <f t="shared" si="511"/>
        <v>0</v>
      </c>
      <c r="AQ1008" t="e">
        <f t="shared" ca="1" si="503"/>
        <v>#VALUE!</v>
      </c>
      <c r="AR1008" t="e">
        <f t="shared" ca="1" si="504"/>
        <v>#VALUE!</v>
      </c>
      <c r="AS1008" t="e">
        <f t="shared" ca="1" si="505"/>
        <v>#VALUE!</v>
      </c>
    </row>
    <row r="1009" spans="1:45" x14ac:dyDescent="0.35">
      <c r="A1009">
        <v>860</v>
      </c>
      <c r="B1009">
        <v>858.88900000000001</v>
      </c>
      <c r="C1009">
        <v>616087.125</v>
      </c>
      <c r="D1009">
        <v>3097144.923</v>
      </c>
      <c r="E1009">
        <v>632.13250000000005</v>
      </c>
      <c r="F1009">
        <v>5.2</v>
      </c>
      <c r="G1009">
        <v>0</v>
      </c>
      <c r="H1009" t="s">
        <v>191</v>
      </c>
      <c r="I1009">
        <v>5.7000000000000002E-2</v>
      </c>
      <c r="J1009">
        <f t="shared" si="506"/>
        <v>1</v>
      </c>
      <c r="K1009">
        <f t="shared" si="507"/>
        <v>51</v>
      </c>
      <c r="L1009" t="e">
        <f t="shared" ca="1" si="508"/>
        <v>#VALUE!</v>
      </c>
      <c r="M1009" t="e">
        <f t="shared" ca="1" si="481"/>
        <v>#VALUE!</v>
      </c>
      <c r="N1009" t="e">
        <f t="shared" ca="1" si="482"/>
        <v>#VALUE!</v>
      </c>
      <c r="O1009" t="e">
        <f t="shared" ca="1" si="483"/>
        <v>#VALUE!</v>
      </c>
      <c r="P1009" t="e">
        <f t="shared" ca="1" si="484"/>
        <v>#VALUE!</v>
      </c>
      <c r="Q1009" t="e">
        <f t="shared" ca="1" si="485"/>
        <v>#VALUE!</v>
      </c>
      <c r="R1009" t="e">
        <f t="shared" ca="1" si="486"/>
        <v>#VALUE!</v>
      </c>
      <c r="S1009" t="e">
        <f t="shared" ca="1" si="487"/>
        <v>#VALUE!</v>
      </c>
      <c r="T1009" t="e">
        <f t="shared" ca="1" si="488"/>
        <v>#VALUE!</v>
      </c>
      <c r="U1009" t="e">
        <f t="shared" ca="1" si="509"/>
        <v>#VALUE!</v>
      </c>
      <c r="V1009" t="e">
        <f t="shared" ca="1" si="510"/>
        <v>#VALUE!</v>
      </c>
      <c r="W1009" t="e">
        <f t="shared" ca="1" si="489"/>
        <v>#VALUE!</v>
      </c>
      <c r="X1009" t="e">
        <f t="shared" ca="1" si="490"/>
        <v>#VALUE!</v>
      </c>
      <c r="Y1009" t="e">
        <f t="shared" ca="1" si="491"/>
        <v>#VALUE!</v>
      </c>
      <c r="Z1009" t="e">
        <f t="shared" ca="1" si="492"/>
        <v>#VALUE!</v>
      </c>
      <c r="AA1009" t="e">
        <f t="shared" ca="1" si="493"/>
        <v>#VALUE!</v>
      </c>
      <c r="AB1009" t="e">
        <f t="shared" ca="1" si="494"/>
        <v>#VALUE!</v>
      </c>
      <c r="AC1009" t="e">
        <f t="shared" ca="1" si="495"/>
        <v>#VALUE!</v>
      </c>
      <c r="AD1009" t="e">
        <f t="shared" ca="1" si="496"/>
        <v>#VALUE!</v>
      </c>
      <c r="AE1009" t="e">
        <f t="shared" ca="1" si="497"/>
        <v>#VALUE!</v>
      </c>
      <c r="AF1009" t="e">
        <f t="shared" ca="1" si="498"/>
        <v>#VALUE!</v>
      </c>
      <c r="AG1009" t="e">
        <f t="shared" ca="1" si="499"/>
        <v>#VALUE!</v>
      </c>
      <c r="AH1009" t="e">
        <f ca="1">IF(V32="Supercritical",L1009,IF(V32="Subcritical",W1009,IF(AND(V1009=1,AG1009=1),IF(T1009&gt;=AE1009,L1009,W1009),IF(V1009=1,L1009,IF(AG1009=1,W1009,MAX($D$16,POWER((ABS(K1009)^2)/($I$5*MAX(F1009,0.1)^2),1/3)))))))</f>
        <v>#VALUE!</v>
      </c>
      <c r="AI1009" t="e">
        <f t="shared" ca="1" si="500"/>
        <v>#VALUE!</v>
      </c>
      <c r="AJ1009" t="e">
        <f t="shared" ca="1" si="501"/>
        <v>#VALUE!</v>
      </c>
      <c r="AM1009">
        <v>0</v>
      </c>
      <c r="AN1009">
        <v>0</v>
      </c>
      <c r="AO1009">
        <f t="shared" si="502"/>
        <v>0</v>
      </c>
      <c r="AP1009">
        <f t="shared" si="511"/>
        <v>0</v>
      </c>
      <c r="AQ1009" t="e">
        <f t="shared" ca="1" si="503"/>
        <v>#VALUE!</v>
      </c>
      <c r="AR1009" t="e">
        <f t="shared" ca="1" si="504"/>
        <v>#VALUE!</v>
      </c>
      <c r="AS1009" t="e">
        <f t="shared" ca="1" si="505"/>
        <v>#VALUE!</v>
      </c>
    </row>
    <row r="1010" spans="1:45" x14ac:dyDescent="0.35">
      <c r="A1010">
        <v>861</v>
      </c>
      <c r="B1010">
        <v>859.88900000000001</v>
      </c>
      <c r="C1010">
        <v>616087.08200000005</v>
      </c>
      <c r="D1010">
        <v>3097143.9240000001</v>
      </c>
      <c r="E1010">
        <v>632.13199999999995</v>
      </c>
      <c r="F1010">
        <v>5.2</v>
      </c>
      <c r="G1010">
        <v>0</v>
      </c>
      <c r="H1010" t="s">
        <v>191</v>
      </c>
      <c r="I1010">
        <v>5.7000000000000002E-2</v>
      </c>
      <c r="J1010">
        <f t="shared" si="506"/>
        <v>1</v>
      </c>
      <c r="K1010">
        <f t="shared" si="507"/>
        <v>51</v>
      </c>
      <c r="L1010" t="e">
        <f t="shared" ca="1" si="508"/>
        <v>#VALUE!</v>
      </c>
      <c r="M1010" t="e">
        <f t="shared" ca="1" si="481"/>
        <v>#VALUE!</v>
      </c>
      <c r="N1010" t="e">
        <f t="shared" ca="1" si="482"/>
        <v>#VALUE!</v>
      </c>
      <c r="O1010" t="e">
        <f t="shared" ca="1" si="483"/>
        <v>#VALUE!</v>
      </c>
      <c r="P1010" t="e">
        <f t="shared" ca="1" si="484"/>
        <v>#VALUE!</v>
      </c>
      <c r="Q1010" t="e">
        <f t="shared" ca="1" si="485"/>
        <v>#VALUE!</v>
      </c>
      <c r="R1010" t="e">
        <f t="shared" ca="1" si="486"/>
        <v>#VALUE!</v>
      </c>
      <c r="S1010" t="e">
        <f t="shared" ca="1" si="487"/>
        <v>#VALUE!</v>
      </c>
      <c r="T1010" t="e">
        <f t="shared" ca="1" si="488"/>
        <v>#VALUE!</v>
      </c>
      <c r="U1010" t="e">
        <f t="shared" ca="1" si="509"/>
        <v>#VALUE!</v>
      </c>
      <c r="V1010" t="e">
        <f t="shared" ca="1" si="510"/>
        <v>#VALUE!</v>
      </c>
      <c r="W1010" t="e">
        <f t="shared" ca="1" si="489"/>
        <v>#VALUE!</v>
      </c>
      <c r="X1010" t="e">
        <f t="shared" ca="1" si="490"/>
        <v>#VALUE!</v>
      </c>
      <c r="Y1010" t="e">
        <f t="shared" ca="1" si="491"/>
        <v>#VALUE!</v>
      </c>
      <c r="Z1010" t="e">
        <f t="shared" ca="1" si="492"/>
        <v>#VALUE!</v>
      </c>
      <c r="AA1010" t="e">
        <f t="shared" ca="1" si="493"/>
        <v>#VALUE!</v>
      </c>
      <c r="AB1010" t="e">
        <f t="shared" ca="1" si="494"/>
        <v>#VALUE!</v>
      </c>
      <c r="AC1010" t="e">
        <f t="shared" ca="1" si="495"/>
        <v>#VALUE!</v>
      </c>
      <c r="AD1010" t="e">
        <f t="shared" ca="1" si="496"/>
        <v>#VALUE!</v>
      </c>
      <c r="AE1010" t="e">
        <f t="shared" ca="1" si="497"/>
        <v>#VALUE!</v>
      </c>
      <c r="AF1010" t="e">
        <f t="shared" ca="1" si="498"/>
        <v>#VALUE!</v>
      </c>
      <c r="AG1010" t="e">
        <f t="shared" ca="1" si="499"/>
        <v>#VALUE!</v>
      </c>
      <c r="AH1010" t="e">
        <f ca="1">IF(V32="Supercritical",L1010,IF(V32="Subcritical",W1010,IF(AND(V1010=1,AG1010=1),IF(T1010&gt;=AE1010,L1010,W1010),IF(V1010=1,L1010,IF(AG1010=1,W1010,MAX($D$16,POWER((ABS(K1010)^2)/($I$5*MAX(F1010,0.1)^2),1/3)))))))</f>
        <v>#VALUE!</v>
      </c>
      <c r="AI1010" t="e">
        <f t="shared" ca="1" si="500"/>
        <v>#VALUE!</v>
      </c>
      <c r="AJ1010" t="e">
        <f t="shared" ca="1" si="501"/>
        <v>#VALUE!</v>
      </c>
      <c r="AM1010">
        <v>0</v>
      </c>
      <c r="AN1010">
        <v>0</v>
      </c>
      <c r="AO1010">
        <f t="shared" si="502"/>
        <v>0</v>
      </c>
      <c r="AP1010">
        <f t="shared" si="511"/>
        <v>0</v>
      </c>
      <c r="AQ1010" t="e">
        <f t="shared" ca="1" si="503"/>
        <v>#VALUE!</v>
      </c>
      <c r="AR1010" t="e">
        <f t="shared" ca="1" si="504"/>
        <v>#VALUE!</v>
      </c>
      <c r="AS1010" t="e">
        <f t="shared" ca="1" si="505"/>
        <v>#VALUE!</v>
      </c>
    </row>
    <row r="1011" spans="1:45" x14ac:dyDescent="0.35">
      <c r="A1011">
        <v>862</v>
      </c>
      <c r="B1011">
        <v>860.88900000000001</v>
      </c>
      <c r="C1011">
        <v>616087.04000000004</v>
      </c>
      <c r="D1011">
        <v>3097142.9249999998</v>
      </c>
      <c r="E1011">
        <v>632.13149999999996</v>
      </c>
      <c r="F1011">
        <v>5.2</v>
      </c>
      <c r="G1011">
        <v>0</v>
      </c>
      <c r="H1011" t="s">
        <v>191</v>
      </c>
      <c r="I1011">
        <v>2E-3</v>
      </c>
      <c r="J1011">
        <f t="shared" si="506"/>
        <v>1</v>
      </c>
      <c r="K1011">
        <f t="shared" si="507"/>
        <v>51</v>
      </c>
      <c r="L1011" t="e">
        <f t="shared" ca="1" si="508"/>
        <v>#VALUE!</v>
      </c>
      <c r="M1011" t="e">
        <f t="shared" ca="1" si="481"/>
        <v>#VALUE!</v>
      </c>
      <c r="N1011" t="e">
        <f t="shared" ca="1" si="482"/>
        <v>#VALUE!</v>
      </c>
      <c r="O1011" t="e">
        <f t="shared" ca="1" si="483"/>
        <v>#VALUE!</v>
      </c>
      <c r="P1011" t="e">
        <f t="shared" ca="1" si="484"/>
        <v>#VALUE!</v>
      </c>
      <c r="Q1011" t="e">
        <f t="shared" ca="1" si="485"/>
        <v>#VALUE!</v>
      </c>
      <c r="R1011" t="e">
        <f t="shared" ca="1" si="486"/>
        <v>#VALUE!</v>
      </c>
      <c r="S1011" t="e">
        <f t="shared" ca="1" si="487"/>
        <v>#VALUE!</v>
      </c>
      <c r="T1011" t="e">
        <f t="shared" ca="1" si="488"/>
        <v>#VALUE!</v>
      </c>
      <c r="U1011" t="e">
        <f t="shared" ca="1" si="509"/>
        <v>#VALUE!</v>
      </c>
      <c r="V1011" t="e">
        <f t="shared" ca="1" si="510"/>
        <v>#VALUE!</v>
      </c>
      <c r="W1011" t="e">
        <f t="shared" ca="1" si="489"/>
        <v>#VALUE!</v>
      </c>
      <c r="X1011" t="e">
        <f t="shared" ca="1" si="490"/>
        <v>#VALUE!</v>
      </c>
      <c r="Y1011" t="e">
        <f t="shared" ca="1" si="491"/>
        <v>#VALUE!</v>
      </c>
      <c r="Z1011" t="e">
        <f t="shared" ca="1" si="492"/>
        <v>#VALUE!</v>
      </c>
      <c r="AA1011" t="e">
        <f t="shared" ca="1" si="493"/>
        <v>#VALUE!</v>
      </c>
      <c r="AB1011" t="e">
        <f t="shared" ca="1" si="494"/>
        <v>#VALUE!</v>
      </c>
      <c r="AC1011" t="e">
        <f t="shared" ca="1" si="495"/>
        <v>#VALUE!</v>
      </c>
      <c r="AD1011" t="e">
        <f t="shared" ca="1" si="496"/>
        <v>#VALUE!</v>
      </c>
      <c r="AE1011" t="e">
        <f t="shared" ca="1" si="497"/>
        <v>#VALUE!</v>
      </c>
      <c r="AF1011" t="e">
        <f t="shared" ca="1" si="498"/>
        <v>#VALUE!</v>
      </c>
      <c r="AG1011" t="e">
        <f t="shared" ca="1" si="499"/>
        <v>#VALUE!</v>
      </c>
      <c r="AH1011" t="e">
        <f ca="1">IF(V32="Supercritical",L1011,IF(V32="Subcritical",W1011,IF(AND(V1011=1,AG1011=1),IF(T1011&gt;=AE1011,L1011,W1011),IF(V1011=1,L1011,IF(AG1011=1,W1011,MAX($D$16,POWER((ABS(K1011)^2)/($I$5*MAX(F1011,0.1)^2),1/3)))))))</f>
        <v>#VALUE!</v>
      </c>
      <c r="AI1011" t="e">
        <f t="shared" ca="1" si="500"/>
        <v>#VALUE!</v>
      </c>
      <c r="AJ1011" t="e">
        <f t="shared" ca="1" si="501"/>
        <v>#VALUE!</v>
      </c>
      <c r="AM1011">
        <v>0</v>
      </c>
      <c r="AN1011">
        <v>0</v>
      </c>
      <c r="AO1011">
        <f t="shared" si="502"/>
        <v>0</v>
      </c>
      <c r="AP1011">
        <f t="shared" si="511"/>
        <v>0</v>
      </c>
      <c r="AQ1011" t="e">
        <f t="shared" ca="1" si="503"/>
        <v>#VALUE!</v>
      </c>
      <c r="AR1011" t="e">
        <f t="shared" ca="1" si="504"/>
        <v>#VALUE!</v>
      </c>
      <c r="AS1011" t="e">
        <f t="shared" ca="1" si="505"/>
        <v>#VALUE!</v>
      </c>
    </row>
    <row r="1012" spans="1:45" x14ac:dyDescent="0.35">
      <c r="A1012">
        <v>863</v>
      </c>
      <c r="B1012">
        <v>861.89</v>
      </c>
      <c r="C1012">
        <v>616086.99800000002</v>
      </c>
      <c r="D1012">
        <v>3097141.9249999998</v>
      </c>
      <c r="E1012">
        <v>632.13099999999997</v>
      </c>
      <c r="F1012">
        <v>5.2</v>
      </c>
      <c r="G1012">
        <v>0</v>
      </c>
      <c r="H1012" t="s">
        <v>191</v>
      </c>
      <c r="I1012">
        <v>2E-3</v>
      </c>
      <c r="J1012">
        <f t="shared" si="506"/>
        <v>1.0009999999999764</v>
      </c>
      <c r="K1012">
        <f t="shared" si="507"/>
        <v>51</v>
      </c>
      <c r="L1012" t="e">
        <f t="shared" ca="1" si="508"/>
        <v>#VALUE!</v>
      </c>
      <c r="M1012" t="e">
        <f t="shared" ca="1" si="481"/>
        <v>#VALUE!</v>
      </c>
      <c r="N1012" t="e">
        <f t="shared" ca="1" si="482"/>
        <v>#VALUE!</v>
      </c>
      <c r="O1012" t="e">
        <f t="shared" ca="1" si="483"/>
        <v>#VALUE!</v>
      </c>
      <c r="P1012" t="e">
        <f t="shared" ca="1" si="484"/>
        <v>#VALUE!</v>
      </c>
      <c r="Q1012" t="e">
        <f t="shared" ca="1" si="485"/>
        <v>#VALUE!</v>
      </c>
      <c r="R1012" t="e">
        <f t="shared" ca="1" si="486"/>
        <v>#VALUE!</v>
      </c>
      <c r="S1012" t="e">
        <f t="shared" ca="1" si="487"/>
        <v>#VALUE!</v>
      </c>
      <c r="T1012" t="e">
        <f t="shared" ca="1" si="488"/>
        <v>#VALUE!</v>
      </c>
      <c r="U1012" t="e">
        <f t="shared" ca="1" si="509"/>
        <v>#VALUE!</v>
      </c>
      <c r="V1012" t="e">
        <f t="shared" ca="1" si="510"/>
        <v>#VALUE!</v>
      </c>
      <c r="W1012" t="e">
        <f t="shared" ca="1" si="489"/>
        <v>#VALUE!</v>
      </c>
      <c r="X1012" t="e">
        <f t="shared" ca="1" si="490"/>
        <v>#VALUE!</v>
      </c>
      <c r="Y1012" t="e">
        <f t="shared" ca="1" si="491"/>
        <v>#VALUE!</v>
      </c>
      <c r="Z1012" t="e">
        <f t="shared" ca="1" si="492"/>
        <v>#VALUE!</v>
      </c>
      <c r="AA1012" t="e">
        <f t="shared" ca="1" si="493"/>
        <v>#VALUE!</v>
      </c>
      <c r="AB1012" t="e">
        <f t="shared" ca="1" si="494"/>
        <v>#VALUE!</v>
      </c>
      <c r="AC1012" t="e">
        <f t="shared" ca="1" si="495"/>
        <v>#VALUE!</v>
      </c>
      <c r="AD1012" t="e">
        <f t="shared" ca="1" si="496"/>
        <v>#VALUE!</v>
      </c>
      <c r="AE1012" t="e">
        <f t="shared" ca="1" si="497"/>
        <v>#VALUE!</v>
      </c>
      <c r="AF1012" t="e">
        <f t="shared" ca="1" si="498"/>
        <v>#VALUE!</v>
      </c>
      <c r="AG1012" t="e">
        <f t="shared" ca="1" si="499"/>
        <v>#VALUE!</v>
      </c>
      <c r="AH1012" t="e">
        <f ca="1">IF(V32="Supercritical",L1012,IF(V32="Subcritical",W1012,IF(AND(V1012=1,AG1012=1),IF(T1012&gt;=AE1012,L1012,W1012),IF(V1012=1,L1012,IF(AG1012=1,W1012,MAX($D$16,POWER((ABS(K1012)^2)/($I$5*MAX(F1012,0.1)^2),1/3)))))))</f>
        <v>#VALUE!</v>
      </c>
      <c r="AI1012" t="e">
        <f t="shared" ca="1" si="500"/>
        <v>#VALUE!</v>
      </c>
      <c r="AJ1012" t="e">
        <f t="shared" ca="1" si="501"/>
        <v>#VALUE!</v>
      </c>
      <c r="AM1012">
        <v>0</v>
      </c>
      <c r="AN1012">
        <v>0</v>
      </c>
      <c r="AO1012">
        <f t="shared" si="502"/>
        <v>0</v>
      </c>
      <c r="AP1012">
        <f t="shared" si="511"/>
        <v>0</v>
      </c>
      <c r="AQ1012" t="e">
        <f t="shared" ca="1" si="503"/>
        <v>#VALUE!</v>
      </c>
      <c r="AR1012" t="e">
        <f t="shared" ca="1" si="504"/>
        <v>#VALUE!</v>
      </c>
      <c r="AS1012" t="e">
        <f t="shared" ca="1" si="505"/>
        <v>#VALUE!</v>
      </c>
    </row>
    <row r="1013" spans="1:45" x14ac:dyDescent="0.35">
      <c r="A1013">
        <v>864</v>
      </c>
      <c r="B1013">
        <v>862.89</v>
      </c>
      <c r="C1013">
        <v>616086.95600000001</v>
      </c>
      <c r="D1013">
        <v>3097140.926</v>
      </c>
      <c r="E1013">
        <v>632.13049999999998</v>
      </c>
      <c r="F1013">
        <v>5.2</v>
      </c>
      <c r="G1013">
        <v>0</v>
      </c>
      <c r="H1013" t="s">
        <v>191</v>
      </c>
      <c r="I1013">
        <v>5.7000000000000002E-2</v>
      </c>
      <c r="J1013">
        <f t="shared" si="506"/>
        <v>1</v>
      </c>
      <c r="K1013">
        <f t="shared" si="507"/>
        <v>51</v>
      </c>
      <c r="L1013" t="e">
        <f t="shared" ca="1" si="508"/>
        <v>#VALUE!</v>
      </c>
      <c r="M1013" t="e">
        <f t="shared" ca="1" si="481"/>
        <v>#VALUE!</v>
      </c>
      <c r="N1013" t="e">
        <f t="shared" ca="1" si="482"/>
        <v>#VALUE!</v>
      </c>
      <c r="O1013" t="e">
        <f t="shared" ca="1" si="483"/>
        <v>#VALUE!</v>
      </c>
      <c r="P1013" t="e">
        <f t="shared" ca="1" si="484"/>
        <v>#VALUE!</v>
      </c>
      <c r="Q1013" t="e">
        <f t="shared" ca="1" si="485"/>
        <v>#VALUE!</v>
      </c>
      <c r="R1013" t="e">
        <f t="shared" ca="1" si="486"/>
        <v>#VALUE!</v>
      </c>
      <c r="S1013" t="e">
        <f t="shared" ca="1" si="487"/>
        <v>#VALUE!</v>
      </c>
      <c r="T1013" t="e">
        <f t="shared" ca="1" si="488"/>
        <v>#VALUE!</v>
      </c>
      <c r="U1013" t="e">
        <f t="shared" ca="1" si="509"/>
        <v>#VALUE!</v>
      </c>
      <c r="V1013" t="e">
        <f t="shared" ca="1" si="510"/>
        <v>#VALUE!</v>
      </c>
      <c r="W1013" t="e">
        <f t="shared" ca="1" si="489"/>
        <v>#VALUE!</v>
      </c>
      <c r="X1013" t="e">
        <f t="shared" ca="1" si="490"/>
        <v>#VALUE!</v>
      </c>
      <c r="Y1013" t="e">
        <f t="shared" ca="1" si="491"/>
        <v>#VALUE!</v>
      </c>
      <c r="Z1013" t="e">
        <f t="shared" ca="1" si="492"/>
        <v>#VALUE!</v>
      </c>
      <c r="AA1013" t="e">
        <f t="shared" ca="1" si="493"/>
        <v>#VALUE!</v>
      </c>
      <c r="AB1013" t="e">
        <f t="shared" ca="1" si="494"/>
        <v>#VALUE!</v>
      </c>
      <c r="AC1013" t="e">
        <f t="shared" ca="1" si="495"/>
        <v>#VALUE!</v>
      </c>
      <c r="AD1013" t="e">
        <f t="shared" ca="1" si="496"/>
        <v>#VALUE!</v>
      </c>
      <c r="AE1013" t="e">
        <f t="shared" ca="1" si="497"/>
        <v>#VALUE!</v>
      </c>
      <c r="AF1013" t="e">
        <f t="shared" ca="1" si="498"/>
        <v>#VALUE!</v>
      </c>
      <c r="AG1013" t="e">
        <f t="shared" ca="1" si="499"/>
        <v>#VALUE!</v>
      </c>
      <c r="AH1013" t="e">
        <f ca="1">IF(V32="Supercritical",L1013,IF(V32="Subcritical",W1013,IF(AND(V1013=1,AG1013=1),IF(T1013&gt;=AE1013,L1013,W1013),IF(V1013=1,L1013,IF(AG1013=1,W1013,MAX($D$16,POWER((ABS(K1013)^2)/($I$5*MAX(F1013,0.1)^2),1/3)))))))</f>
        <v>#VALUE!</v>
      </c>
      <c r="AI1013" t="e">
        <f t="shared" ca="1" si="500"/>
        <v>#VALUE!</v>
      </c>
      <c r="AJ1013" t="e">
        <f t="shared" ca="1" si="501"/>
        <v>#VALUE!</v>
      </c>
      <c r="AM1013">
        <v>0</v>
      </c>
      <c r="AN1013">
        <v>0</v>
      </c>
      <c r="AO1013">
        <f t="shared" si="502"/>
        <v>0</v>
      </c>
      <c r="AP1013">
        <f t="shared" si="511"/>
        <v>0</v>
      </c>
      <c r="AQ1013" t="e">
        <f t="shared" ca="1" si="503"/>
        <v>#VALUE!</v>
      </c>
      <c r="AR1013" t="e">
        <f t="shared" ca="1" si="504"/>
        <v>#VALUE!</v>
      </c>
      <c r="AS1013" t="e">
        <f t="shared" ca="1" si="505"/>
        <v>#VALUE!</v>
      </c>
    </row>
    <row r="1014" spans="1:45" x14ac:dyDescent="0.35">
      <c r="A1014">
        <v>865</v>
      </c>
      <c r="B1014">
        <v>863.89</v>
      </c>
      <c r="C1014">
        <v>616086.91299999994</v>
      </c>
      <c r="D1014">
        <v>3097139.9270000001</v>
      </c>
      <c r="E1014">
        <v>632.13</v>
      </c>
      <c r="F1014">
        <v>5.2</v>
      </c>
      <c r="G1014">
        <v>0</v>
      </c>
      <c r="H1014" t="s">
        <v>191</v>
      </c>
      <c r="I1014">
        <v>5.7000000000000002E-2</v>
      </c>
      <c r="J1014">
        <f t="shared" si="506"/>
        <v>1</v>
      </c>
      <c r="K1014">
        <f t="shared" si="507"/>
        <v>51</v>
      </c>
      <c r="L1014" t="e">
        <f t="shared" ca="1" si="508"/>
        <v>#VALUE!</v>
      </c>
      <c r="M1014" t="e">
        <f t="shared" ca="1" si="481"/>
        <v>#VALUE!</v>
      </c>
      <c r="N1014" t="e">
        <f t="shared" ca="1" si="482"/>
        <v>#VALUE!</v>
      </c>
      <c r="O1014" t="e">
        <f t="shared" ca="1" si="483"/>
        <v>#VALUE!</v>
      </c>
      <c r="P1014" t="e">
        <f t="shared" ca="1" si="484"/>
        <v>#VALUE!</v>
      </c>
      <c r="Q1014" t="e">
        <f t="shared" ca="1" si="485"/>
        <v>#VALUE!</v>
      </c>
      <c r="R1014" t="e">
        <f t="shared" ca="1" si="486"/>
        <v>#VALUE!</v>
      </c>
      <c r="S1014" t="e">
        <f t="shared" ca="1" si="487"/>
        <v>#VALUE!</v>
      </c>
      <c r="T1014" t="e">
        <f t="shared" ca="1" si="488"/>
        <v>#VALUE!</v>
      </c>
      <c r="U1014" t="e">
        <f t="shared" ca="1" si="509"/>
        <v>#VALUE!</v>
      </c>
      <c r="V1014" t="e">
        <f t="shared" ca="1" si="510"/>
        <v>#VALUE!</v>
      </c>
      <c r="W1014" t="e">
        <f t="shared" ca="1" si="489"/>
        <v>#VALUE!</v>
      </c>
      <c r="X1014" t="e">
        <f t="shared" ca="1" si="490"/>
        <v>#VALUE!</v>
      </c>
      <c r="Y1014" t="e">
        <f t="shared" ca="1" si="491"/>
        <v>#VALUE!</v>
      </c>
      <c r="Z1014" t="e">
        <f t="shared" ca="1" si="492"/>
        <v>#VALUE!</v>
      </c>
      <c r="AA1014" t="e">
        <f t="shared" ca="1" si="493"/>
        <v>#VALUE!</v>
      </c>
      <c r="AB1014" t="e">
        <f t="shared" ca="1" si="494"/>
        <v>#VALUE!</v>
      </c>
      <c r="AC1014" t="e">
        <f t="shared" ca="1" si="495"/>
        <v>#VALUE!</v>
      </c>
      <c r="AD1014" t="e">
        <f t="shared" ca="1" si="496"/>
        <v>#VALUE!</v>
      </c>
      <c r="AE1014" t="e">
        <f t="shared" ca="1" si="497"/>
        <v>#VALUE!</v>
      </c>
      <c r="AF1014" t="e">
        <f t="shared" ca="1" si="498"/>
        <v>#VALUE!</v>
      </c>
      <c r="AG1014" t="e">
        <f t="shared" ca="1" si="499"/>
        <v>#VALUE!</v>
      </c>
      <c r="AH1014" t="e">
        <f ca="1">IF(V32="Supercritical",L1014,IF(V32="Subcritical",W1014,IF(AND(V1014=1,AG1014=1),IF(T1014&gt;=AE1014,L1014,W1014),IF(V1014=1,L1014,IF(AG1014=1,W1014,MAX($D$16,POWER((ABS(K1014)^2)/($I$5*MAX(F1014,0.1)^2),1/3)))))))</f>
        <v>#VALUE!</v>
      </c>
      <c r="AI1014" t="e">
        <f t="shared" ca="1" si="500"/>
        <v>#VALUE!</v>
      </c>
      <c r="AJ1014" t="e">
        <f t="shared" ca="1" si="501"/>
        <v>#VALUE!</v>
      </c>
      <c r="AM1014">
        <v>0</v>
      </c>
      <c r="AN1014">
        <v>0</v>
      </c>
      <c r="AO1014">
        <f t="shared" si="502"/>
        <v>0</v>
      </c>
      <c r="AP1014">
        <f t="shared" si="511"/>
        <v>0</v>
      </c>
      <c r="AQ1014" t="e">
        <f t="shared" ca="1" si="503"/>
        <v>#VALUE!</v>
      </c>
      <c r="AR1014" t="e">
        <f t="shared" ca="1" si="504"/>
        <v>#VALUE!</v>
      </c>
      <c r="AS1014" t="e">
        <f t="shared" ca="1" si="505"/>
        <v>#VALUE!</v>
      </c>
    </row>
    <row r="1015" spans="1:45" x14ac:dyDescent="0.35">
      <c r="A1015">
        <v>866</v>
      </c>
      <c r="B1015">
        <v>864.88900000000001</v>
      </c>
      <c r="C1015">
        <v>616086.87100000004</v>
      </c>
      <c r="D1015">
        <v>3097138.9279999998</v>
      </c>
      <c r="E1015">
        <v>632.12950000000001</v>
      </c>
      <c r="F1015">
        <v>5.2</v>
      </c>
      <c r="G1015">
        <v>0</v>
      </c>
      <c r="H1015" t="s">
        <v>191</v>
      </c>
      <c r="I1015">
        <v>0</v>
      </c>
      <c r="J1015">
        <f t="shared" si="506"/>
        <v>0.99900000000002365</v>
      </c>
      <c r="K1015">
        <f t="shared" si="507"/>
        <v>51</v>
      </c>
      <c r="L1015" t="e">
        <f t="shared" ca="1" si="508"/>
        <v>#VALUE!</v>
      </c>
      <c r="M1015" t="e">
        <f t="shared" ca="1" si="481"/>
        <v>#VALUE!</v>
      </c>
      <c r="N1015" t="e">
        <f t="shared" ca="1" si="482"/>
        <v>#VALUE!</v>
      </c>
      <c r="O1015" t="e">
        <f t="shared" ca="1" si="483"/>
        <v>#VALUE!</v>
      </c>
      <c r="P1015" t="e">
        <f t="shared" ca="1" si="484"/>
        <v>#VALUE!</v>
      </c>
      <c r="Q1015" t="e">
        <f t="shared" ca="1" si="485"/>
        <v>#VALUE!</v>
      </c>
      <c r="R1015" t="e">
        <f t="shared" ca="1" si="486"/>
        <v>#VALUE!</v>
      </c>
      <c r="S1015" t="e">
        <f t="shared" ca="1" si="487"/>
        <v>#VALUE!</v>
      </c>
      <c r="T1015" t="e">
        <f t="shared" ca="1" si="488"/>
        <v>#VALUE!</v>
      </c>
      <c r="U1015" t="e">
        <f t="shared" ca="1" si="509"/>
        <v>#VALUE!</v>
      </c>
      <c r="V1015" t="e">
        <f t="shared" ca="1" si="510"/>
        <v>#VALUE!</v>
      </c>
      <c r="W1015" t="e">
        <f t="shared" ca="1" si="489"/>
        <v>#VALUE!</v>
      </c>
      <c r="X1015" t="e">
        <f t="shared" ca="1" si="490"/>
        <v>#VALUE!</v>
      </c>
      <c r="Y1015" t="e">
        <f t="shared" ca="1" si="491"/>
        <v>#VALUE!</v>
      </c>
      <c r="Z1015" t="e">
        <f t="shared" ca="1" si="492"/>
        <v>#VALUE!</v>
      </c>
      <c r="AA1015" t="e">
        <f t="shared" ca="1" si="493"/>
        <v>#VALUE!</v>
      </c>
      <c r="AB1015" t="e">
        <f t="shared" ca="1" si="494"/>
        <v>#VALUE!</v>
      </c>
      <c r="AC1015" t="e">
        <f t="shared" ca="1" si="495"/>
        <v>#VALUE!</v>
      </c>
      <c r="AD1015" t="e">
        <f t="shared" ca="1" si="496"/>
        <v>#VALUE!</v>
      </c>
      <c r="AE1015" t="e">
        <f t="shared" ca="1" si="497"/>
        <v>#VALUE!</v>
      </c>
      <c r="AF1015" t="e">
        <f t="shared" ca="1" si="498"/>
        <v>#VALUE!</v>
      </c>
      <c r="AG1015" t="e">
        <f t="shared" ca="1" si="499"/>
        <v>#VALUE!</v>
      </c>
      <c r="AH1015" t="e">
        <f ca="1">IF(V32="Supercritical",L1015,IF(V32="Subcritical",W1015,IF(AND(V1015=1,AG1015=1),IF(T1015&gt;=AE1015,L1015,W1015),IF(V1015=1,L1015,IF(AG1015=1,W1015,MAX($D$16,POWER((ABS(K1015)^2)/($I$5*MAX(F1015,0.1)^2),1/3)))))))</f>
        <v>#VALUE!</v>
      </c>
      <c r="AI1015" t="e">
        <f t="shared" ca="1" si="500"/>
        <v>#VALUE!</v>
      </c>
      <c r="AJ1015" t="e">
        <f t="shared" ca="1" si="501"/>
        <v>#VALUE!</v>
      </c>
      <c r="AM1015">
        <v>0</v>
      </c>
      <c r="AN1015">
        <v>0</v>
      </c>
      <c r="AO1015">
        <f t="shared" si="502"/>
        <v>0</v>
      </c>
      <c r="AP1015">
        <f t="shared" si="511"/>
        <v>0</v>
      </c>
      <c r="AQ1015" t="e">
        <f t="shared" ca="1" si="503"/>
        <v>#VALUE!</v>
      </c>
      <c r="AR1015" t="e">
        <f t="shared" ca="1" si="504"/>
        <v>#VALUE!</v>
      </c>
      <c r="AS1015" t="e">
        <f t="shared" ca="1" si="505"/>
        <v>#VALUE!</v>
      </c>
    </row>
    <row r="1016" spans="1:45" x14ac:dyDescent="0.35">
      <c r="A1016">
        <v>867</v>
      </c>
      <c r="B1016">
        <v>865.88900000000001</v>
      </c>
      <c r="C1016">
        <v>616086.82900000003</v>
      </c>
      <c r="D1016">
        <v>3097137.929</v>
      </c>
      <c r="E1016">
        <v>632.12900000000002</v>
      </c>
      <c r="F1016">
        <v>5.2</v>
      </c>
      <c r="G1016">
        <v>0</v>
      </c>
      <c r="H1016" t="s">
        <v>191</v>
      </c>
      <c r="I1016">
        <v>5.7000000000000002E-2</v>
      </c>
      <c r="J1016">
        <f t="shared" si="506"/>
        <v>1</v>
      </c>
      <c r="K1016">
        <f t="shared" si="507"/>
        <v>51</v>
      </c>
      <c r="L1016" t="e">
        <f t="shared" ca="1" si="508"/>
        <v>#VALUE!</v>
      </c>
      <c r="M1016" t="e">
        <f t="shared" ca="1" si="481"/>
        <v>#VALUE!</v>
      </c>
      <c r="N1016" t="e">
        <f t="shared" ca="1" si="482"/>
        <v>#VALUE!</v>
      </c>
      <c r="O1016" t="e">
        <f t="shared" ca="1" si="483"/>
        <v>#VALUE!</v>
      </c>
      <c r="P1016" t="e">
        <f t="shared" ca="1" si="484"/>
        <v>#VALUE!</v>
      </c>
      <c r="Q1016" t="e">
        <f t="shared" ca="1" si="485"/>
        <v>#VALUE!</v>
      </c>
      <c r="R1016" t="e">
        <f t="shared" ca="1" si="486"/>
        <v>#VALUE!</v>
      </c>
      <c r="S1016" t="e">
        <f t="shared" ca="1" si="487"/>
        <v>#VALUE!</v>
      </c>
      <c r="T1016" t="e">
        <f t="shared" ca="1" si="488"/>
        <v>#VALUE!</v>
      </c>
      <c r="U1016" t="e">
        <f t="shared" ca="1" si="509"/>
        <v>#VALUE!</v>
      </c>
      <c r="V1016" t="e">
        <f t="shared" ca="1" si="510"/>
        <v>#VALUE!</v>
      </c>
      <c r="W1016" t="e">
        <f t="shared" ca="1" si="489"/>
        <v>#VALUE!</v>
      </c>
      <c r="X1016" t="e">
        <f t="shared" ca="1" si="490"/>
        <v>#VALUE!</v>
      </c>
      <c r="Y1016" t="e">
        <f t="shared" ca="1" si="491"/>
        <v>#VALUE!</v>
      </c>
      <c r="Z1016" t="e">
        <f t="shared" ca="1" si="492"/>
        <v>#VALUE!</v>
      </c>
      <c r="AA1016" t="e">
        <f t="shared" ca="1" si="493"/>
        <v>#VALUE!</v>
      </c>
      <c r="AB1016" t="e">
        <f t="shared" ca="1" si="494"/>
        <v>#VALUE!</v>
      </c>
      <c r="AC1016" t="e">
        <f t="shared" ca="1" si="495"/>
        <v>#VALUE!</v>
      </c>
      <c r="AD1016" t="e">
        <f t="shared" ca="1" si="496"/>
        <v>#VALUE!</v>
      </c>
      <c r="AE1016" t="e">
        <f t="shared" ca="1" si="497"/>
        <v>#VALUE!</v>
      </c>
      <c r="AF1016" t="e">
        <f t="shared" ca="1" si="498"/>
        <v>#VALUE!</v>
      </c>
      <c r="AG1016" t="e">
        <f t="shared" ca="1" si="499"/>
        <v>#VALUE!</v>
      </c>
      <c r="AH1016" t="e">
        <f ca="1">IF(V32="Supercritical",L1016,IF(V32="Subcritical",W1016,IF(AND(V1016=1,AG1016=1),IF(T1016&gt;=AE1016,L1016,W1016),IF(V1016=1,L1016,IF(AG1016=1,W1016,MAX($D$16,POWER((ABS(K1016)^2)/($I$5*MAX(F1016,0.1)^2),1/3)))))))</f>
        <v>#VALUE!</v>
      </c>
      <c r="AI1016" t="e">
        <f t="shared" ca="1" si="500"/>
        <v>#VALUE!</v>
      </c>
      <c r="AJ1016" t="e">
        <f t="shared" ca="1" si="501"/>
        <v>#VALUE!</v>
      </c>
      <c r="AM1016">
        <v>0</v>
      </c>
      <c r="AN1016">
        <v>0</v>
      </c>
      <c r="AO1016">
        <f t="shared" si="502"/>
        <v>0</v>
      </c>
      <c r="AP1016">
        <f t="shared" si="511"/>
        <v>0</v>
      </c>
      <c r="AQ1016" t="e">
        <f t="shared" ca="1" si="503"/>
        <v>#VALUE!</v>
      </c>
      <c r="AR1016" t="e">
        <f t="shared" ca="1" si="504"/>
        <v>#VALUE!</v>
      </c>
      <c r="AS1016" t="e">
        <f t="shared" ca="1" si="505"/>
        <v>#VALUE!</v>
      </c>
    </row>
    <row r="1017" spans="1:45" x14ac:dyDescent="0.35">
      <c r="A1017">
        <v>868</v>
      </c>
      <c r="B1017">
        <v>866.88900000000001</v>
      </c>
      <c r="C1017">
        <v>616086.78599999996</v>
      </c>
      <c r="D1017">
        <v>3097136.93</v>
      </c>
      <c r="E1017">
        <v>632.12850000000003</v>
      </c>
      <c r="F1017">
        <v>5.2</v>
      </c>
      <c r="G1017">
        <v>0</v>
      </c>
      <c r="H1017" t="s">
        <v>191</v>
      </c>
      <c r="I1017">
        <v>5.7000000000000002E-2</v>
      </c>
      <c r="J1017">
        <f t="shared" si="506"/>
        <v>1</v>
      </c>
      <c r="K1017">
        <f t="shared" si="507"/>
        <v>51</v>
      </c>
      <c r="L1017" t="e">
        <f t="shared" ca="1" si="508"/>
        <v>#VALUE!</v>
      </c>
      <c r="M1017" t="e">
        <f t="shared" ca="1" si="481"/>
        <v>#VALUE!</v>
      </c>
      <c r="N1017" t="e">
        <f t="shared" ca="1" si="482"/>
        <v>#VALUE!</v>
      </c>
      <c r="O1017" t="e">
        <f t="shared" ca="1" si="483"/>
        <v>#VALUE!</v>
      </c>
      <c r="P1017" t="e">
        <f t="shared" ca="1" si="484"/>
        <v>#VALUE!</v>
      </c>
      <c r="Q1017" t="e">
        <f t="shared" ca="1" si="485"/>
        <v>#VALUE!</v>
      </c>
      <c r="R1017" t="e">
        <f t="shared" ca="1" si="486"/>
        <v>#VALUE!</v>
      </c>
      <c r="S1017" t="e">
        <f t="shared" ca="1" si="487"/>
        <v>#VALUE!</v>
      </c>
      <c r="T1017" t="e">
        <f t="shared" ca="1" si="488"/>
        <v>#VALUE!</v>
      </c>
      <c r="U1017" t="e">
        <f t="shared" ca="1" si="509"/>
        <v>#VALUE!</v>
      </c>
      <c r="V1017" t="e">
        <f t="shared" ca="1" si="510"/>
        <v>#VALUE!</v>
      </c>
      <c r="W1017" t="e">
        <f t="shared" ca="1" si="489"/>
        <v>#VALUE!</v>
      </c>
      <c r="X1017" t="e">
        <f t="shared" ca="1" si="490"/>
        <v>#VALUE!</v>
      </c>
      <c r="Y1017" t="e">
        <f t="shared" ca="1" si="491"/>
        <v>#VALUE!</v>
      </c>
      <c r="Z1017" t="e">
        <f t="shared" ca="1" si="492"/>
        <v>#VALUE!</v>
      </c>
      <c r="AA1017" t="e">
        <f t="shared" ca="1" si="493"/>
        <v>#VALUE!</v>
      </c>
      <c r="AB1017" t="e">
        <f t="shared" ca="1" si="494"/>
        <v>#VALUE!</v>
      </c>
      <c r="AC1017" t="e">
        <f t="shared" ca="1" si="495"/>
        <v>#VALUE!</v>
      </c>
      <c r="AD1017" t="e">
        <f t="shared" ca="1" si="496"/>
        <v>#VALUE!</v>
      </c>
      <c r="AE1017" t="e">
        <f t="shared" ca="1" si="497"/>
        <v>#VALUE!</v>
      </c>
      <c r="AF1017" t="e">
        <f t="shared" ca="1" si="498"/>
        <v>#VALUE!</v>
      </c>
      <c r="AG1017" t="e">
        <f t="shared" ca="1" si="499"/>
        <v>#VALUE!</v>
      </c>
      <c r="AH1017" t="e">
        <f ca="1">IF(V32="Supercritical",L1017,IF(V32="Subcritical",W1017,IF(AND(V1017=1,AG1017=1),IF(T1017&gt;=AE1017,L1017,W1017),IF(V1017=1,L1017,IF(AG1017=1,W1017,MAX($D$16,POWER((ABS(K1017)^2)/($I$5*MAX(F1017,0.1)^2),1/3)))))))</f>
        <v>#VALUE!</v>
      </c>
      <c r="AI1017" t="e">
        <f t="shared" ca="1" si="500"/>
        <v>#VALUE!</v>
      </c>
      <c r="AJ1017" t="e">
        <f t="shared" ca="1" si="501"/>
        <v>#VALUE!</v>
      </c>
      <c r="AM1017">
        <v>0</v>
      </c>
      <c r="AN1017">
        <v>0</v>
      </c>
      <c r="AO1017">
        <f t="shared" si="502"/>
        <v>0</v>
      </c>
      <c r="AP1017">
        <f t="shared" si="511"/>
        <v>0</v>
      </c>
      <c r="AQ1017" t="e">
        <f t="shared" ca="1" si="503"/>
        <v>#VALUE!</v>
      </c>
      <c r="AR1017" t="e">
        <f t="shared" ca="1" si="504"/>
        <v>#VALUE!</v>
      </c>
      <c r="AS1017" t="e">
        <f t="shared" ca="1" si="505"/>
        <v>#VALUE!</v>
      </c>
    </row>
    <row r="1018" spans="1:45" x14ac:dyDescent="0.35">
      <c r="A1018">
        <v>869</v>
      </c>
      <c r="B1018">
        <v>867.88900000000001</v>
      </c>
      <c r="C1018">
        <v>616086.74399999995</v>
      </c>
      <c r="D1018">
        <v>3097135.9309999999</v>
      </c>
      <c r="E1018">
        <v>632.12800000000004</v>
      </c>
      <c r="F1018">
        <v>5.2</v>
      </c>
      <c r="G1018">
        <v>0</v>
      </c>
      <c r="H1018" t="s">
        <v>191</v>
      </c>
      <c r="I1018">
        <v>0</v>
      </c>
      <c r="J1018">
        <f t="shared" si="506"/>
        <v>1</v>
      </c>
      <c r="K1018">
        <f t="shared" si="507"/>
        <v>51</v>
      </c>
      <c r="L1018" t="e">
        <f t="shared" ca="1" si="508"/>
        <v>#VALUE!</v>
      </c>
      <c r="M1018" t="e">
        <f t="shared" ca="1" si="481"/>
        <v>#VALUE!</v>
      </c>
      <c r="N1018" t="e">
        <f t="shared" ca="1" si="482"/>
        <v>#VALUE!</v>
      </c>
      <c r="O1018" t="e">
        <f t="shared" ca="1" si="483"/>
        <v>#VALUE!</v>
      </c>
      <c r="P1018" t="e">
        <f t="shared" ca="1" si="484"/>
        <v>#VALUE!</v>
      </c>
      <c r="Q1018" t="e">
        <f t="shared" ca="1" si="485"/>
        <v>#VALUE!</v>
      </c>
      <c r="R1018" t="e">
        <f t="shared" ca="1" si="486"/>
        <v>#VALUE!</v>
      </c>
      <c r="S1018" t="e">
        <f t="shared" ca="1" si="487"/>
        <v>#VALUE!</v>
      </c>
      <c r="T1018" t="e">
        <f t="shared" ca="1" si="488"/>
        <v>#VALUE!</v>
      </c>
      <c r="U1018" t="e">
        <f t="shared" ca="1" si="509"/>
        <v>#VALUE!</v>
      </c>
      <c r="V1018" t="e">
        <f t="shared" ca="1" si="510"/>
        <v>#VALUE!</v>
      </c>
      <c r="W1018" t="e">
        <f t="shared" ca="1" si="489"/>
        <v>#VALUE!</v>
      </c>
      <c r="X1018" t="e">
        <f t="shared" ca="1" si="490"/>
        <v>#VALUE!</v>
      </c>
      <c r="Y1018" t="e">
        <f t="shared" ca="1" si="491"/>
        <v>#VALUE!</v>
      </c>
      <c r="Z1018" t="e">
        <f t="shared" ca="1" si="492"/>
        <v>#VALUE!</v>
      </c>
      <c r="AA1018" t="e">
        <f t="shared" ca="1" si="493"/>
        <v>#VALUE!</v>
      </c>
      <c r="AB1018" t="e">
        <f t="shared" ca="1" si="494"/>
        <v>#VALUE!</v>
      </c>
      <c r="AC1018" t="e">
        <f t="shared" ca="1" si="495"/>
        <v>#VALUE!</v>
      </c>
      <c r="AD1018" t="e">
        <f t="shared" ca="1" si="496"/>
        <v>#VALUE!</v>
      </c>
      <c r="AE1018" t="e">
        <f t="shared" ca="1" si="497"/>
        <v>#VALUE!</v>
      </c>
      <c r="AF1018" t="e">
        <f t="shared" ca="1" si="498"/>
        <v>#VALUE!</v>
      </c>
      <c r="AG1018" t="e">
        <f t="shared" ca="1" si="499"/>
        <v>#VALUE!</v>
      </c>
      <c r="AH1018" t="e">
        <f ca="1">IF(V32="Supercritical",L1018,IF(V32="Subcritical",W1018,IF(AND(V1018=1,AG1018=1),IF(T1018&gt;=AE1018,L1018,W1018),IF(V1018=1,L1018,IF(AG1018=1,W1018,MAX($D$16,POWER((ABS(K1018)^2)/($I$5*MAX(F1018,0.1)^2),1/3)))))))</f>
        <v>#VALUE!</v>
      </c>
      <c r="AI1018" t="e">
        <f t="shared" ca="1" si="500"/>
        <v>#VALUE!</v>
      </c>
      <c r="AJ1018" t="e">
        <f t="shared" ca="1" si="501"/>
        <v>#VALUE!</v>
      </c>
      <c r="AM1018">
        <v>0</v>
      </c>
      <c r="AN1018">
        <v>0</v>
      </c>
      <c r="AO1018">
        <f t="shared" si="502"/>
        <v>0</v>
      </c>
      <c r="AP1018">
        <f t="shared" si="511"/>
        <v>0</v>
      </c>
      <c r="AQ1018" t="e">
        <f t="shared" ca="1" si="503"/>
        <v>#VALUE!</v>
      </c>
      <c r="AR1018" t="e">
        <f t="shared" ca="1" si="504"/>
        <v>#VALUE!</v>
      </c>
      <c r="AS1018" t="e">
        <f t="shared" ca="1" si="505"/>
        <v>#VALUE!</v>
      </c>
    </row>
    <row r="1019" spans="1:45" x14ac:dyDescent="0.35">
      <c r="A1019">
        <v>870</v>
      </c>
      <c r="B1019">
        <v>868.88900000000001</v>
      </c>
      <c r="C1019">
        <v>616086.70200000005</v>
      </c>
      <c r="D1019">
        <v>3097134.932</v>
      </c>
      <c r="E1019">
        <v>632.12750000000005</v>
      </c>
      <c r="F1019">
        <v>5.2</v>
      </c>
      <c r="G1019">
        <v>0</v>
      </c>
      <c r="H1019" t="s">
        <v>191</v>
      </c>
      <c r="I1019">
        <v>0</v>
      </c>
      <c r="J1019">
        <f t="shared" si="506"/>
        <v>1</v>
      </c>
      <c r="K1019">
        <f t="shared" si="507"/>
        <v>51</v>
      </c>
      <c r="L1019" t="e">
        <f t="shared" ca="1" si="508"/>
        <v>#VALUE!</v>
      </c>
      <c r="M1019" t="e">
        <f t="shared" ca="1" si="481"/>
        <v>#VALUE!</v>
      </c>
      <c r="N1019" t="e">
        <f t="shared" ca="1" si="482"/>
        <v>#VALUE!</v>
      </c>
      <c r="O1019" t="e">
        <f t="shared" ca="1" si="483"/>
        <v>#VALUE!</v>
      </c>
      <c r="P1019" t="e">
        <f t="shared" ca="1" si="484"/>
        <v>#VALUE!</v>
      </c>
      <c r="Q1019" t="e">
        <f t="shared" ca="1" si="485"/>
        <v>#VALUE!</v>
      </c>
      <c r="R1019" t="e">
        <f t="shared" ca="1" si="486"/>
        <v>#VALUE!</v>
      </c>
      <c r="S1019" t="e">
        <f t="shared" ca="1" si="487"/>
        <v>#VALUE!</v>
      </c>
      <c r="T1019" t="e">
        <f t="shared" ca="1" si="488"/>
        <v>#VALUE!</v>
      </c>
      <c r="U1019" t="e">
        <f t="shared" ca="1" si="509"/>
        <v>#VALUE!</v>
      </c>
      <c r="V1019" t="e">
        <f t="shared" ca="1" si="510"/>
        <v>#VALUE!</v>
      </c>
      <c r="W1019" t="e">
        <f t="shared" ca="1" si="489"/>
        <v>#VALUE!</v>
      </c>
      <c r="X1019" t="e">
        <f t="shared" ca="1" si="490"/>
        <v>#VALUE!</v>
      </c>
      <c r="Y1019" t="e">
        <f t="shared" ca="1" si="491"/>
        <v>#VALUE!</v>
      </c>
      <c r="Z1019" t="e">
        <f t="shared" ca="1" si="492"/>
        <v>#VALUE!</v>
      </c>
      <c r="AA1019" t="e">
        <f t="shared" ca="1" si="493"/>
        <v>#VALUE!</v>
      </c>
      <c r="AB1019" t="e">
        <f t="shared" ca="1" si="494"/>
        <v>#VALUE!</v>
      </c>
      <c r="AC1019" t="e">
        <f t="shared" ca="1" si="495"/>
        <v>#VALUE!</v>
      </c>
      <c r="AD1019" t="e">
        <f t="shared" ca="1" si="496"/>
        <v>#VALUE!</v>
      </c>
      <c r="AE1019" t="e">
        <f t="shared" ca="1" si="497"/>
        <v>#VALUE!</v>
      </c>
      <c r="AF1019" t="e">
        <f t="shared" ca="1" si="498"/>
        <v>#VALUE!</v>
      </c>
      <c r="AG1019" t="e">
        <f t="shared" ca="1" si="499"/>
        <v>#VALUE!</v>
      </c>
      <c r="AH1019" t="e">
        <f ca="1">IF(V32="Supercritical",L1019,IF(V32="Subcritical",W1019,IF(AND(V1019=1,AG1019=1),IF(T1019&gt;=AE1019,L1019,W1019),IF(V1019=1,L1019,IF(AG1019=1,W1019,MAX($D$16,POWER((ABS(K1019)^2)/($I$5*MAX(F1019,0.1)^2),1/3)))))))</f>
        <v>#VALUE!</v>
      </c>
      <c r="AI1019" t="e">
        <f t="shared" ca="1" si="500"/>
        <v>#VALUE!</v>
      </c>
      <c r="AJ1019" t="e">
        <f t="shared" ca="1" si="501"/>
        <v>#VALUE!</v>
      </c>
      <c r="AM1019">
        <v>0</v>
      </c>
      <c r="AN1019">
        <v>0</v>
      </c>
      <c r="AO1019">
        <f t="shared" si="502"/>
        <v>0</v>
      </c>
      <c r="AP1019">
        <f t="shared" si="511"/>
        <v>0</v>
      </c>
      <c r="AQ1019" t="e">
        <f t="shared" ca="1" si="503"/>
        <v>#VALUE!</v>
      </c>
      <c r="AR1019" t="e">
        <f t="shared" ca="1" si="504"/>
        <v>#VALUE!</v>
      </c>
      <c r="AS1019" t="e">
        <f t="shared" ca="1" si="505"/>
        <v>#VALUE!</v>
      </c>
    </row>
    <row r="1020" spans="1:45" x14ac:dyDescent="0.35">
      <c r="A1020">
        <v>871</v>
      </c>
      <c r="B1020">
        <v>869.88900000000001</v>
      </c>
      <c r="C1020">
        <v>616086.66</v>
      </c>
      <c r="D1020">
        <v>3097133.9330000002</v>
      </c>
      <c r="E1020">
        <v>632.12699999999995</v>
      </c>
      <c r="F1020">
        <v>5.2</v>
      </c>
      <c r="G1020">
        <v>0</v>
      </c>
      <c r="H1020" t="s">
        <v>191</v>
      </c>
      <c r="I1020">
        <v>5.7000000000000002E-2</v>
      </c>
      <c r="J1020">
        <f t="shared" si="506"/>
        <v>1</v>
      </c>
      <c r="K1020">
        <f t="shared" si="507"/>
        <v>51</v>
      </c>
      <c r="L1020" t="e">
        <f t="shared" ca="1" si="508"/>
        <v>#VALUE!</v>
      </c>
      <c r="M1020" t="e">
        <f t="shared" ca="1" si="481"/>
        <v>#VALUE!</v>
      </c>
      <c r="N1020" t="e">
        <f t="shared" ca="1" si="482"/>
        <v>#VALUE!</v>
      </c>
      <c r="O1020" t="e">
        <f t="shared" ca="1" si="483"/>
        <v>#VALUE!</v>
      </c>
      <c r="P1020" t="e">
        <f t="shared" ca="1" si="484"/>
        <v>#VALUE!</v>
      </c>
      <c r="Q1020" t="e">
        <f t="shared" ca="1" si="485"/>
        <v>#VALUE!</v>
      </c>
      <c r="R1020" t="e">
        <f t="shared" ca="1" si="486"/>
        <v>#VALUE!</v>
      </c>
      <c r="S1020" t="e">
        <f t="shared" ca="1" si="487"/>
        <v>#VALUE!</v>
      </c>
      <c r="T1020" t="e">
        <f t="shared" ca="1" si="488"/>
        <v>#VALUE!</v>
      </c>
      <c r="U1020" t="e">
        <f t="shared" ca="1" si="509"/>
        <v>#VALUE!</v>
      </c>
      <c r="V1020" t="e">
        <f t="shared" ca="1" si="510"/>
        <v>#VALUE!</v>
      </c>
      <c r="W1020" t="e">
        <f t="shared" ca="1" si="489"/>
        <v>#VALUE!</v>
      </c>
      <c r="X1020" t="e">
        <f t="shared" ca="1" si="490"/>
        <v>#VALUE!</v>
      </c>
      <c r="Y1020" t="e">
        <f t="shared" ca="1" si="491"/>
        <v>#VALUE!</v>
      </c>
      <c r="Z1020" t="e">
        <f t="shared" ca="1" si="492"/>
        <v>#VALUE!</v>
      </c>
      <c r="AA1020" t="e">
        <f t="shared" ca="1" si="493"/>
        <v>#VALUE!</v>
      </c>
      <c r="AB1020" t="e">
        <f t="shared" ca="1" si="494"/>
        <v>#VALUE!</v>
      </c>
      <c r="AC1020" t="e">
        <f t="shared" ca="1" si="495"/>
        <v>#VALUE!</v>
      </c>
      <c r="AD1020" t="e">
        <f t="shared" ca="1" si="496"/>
        <v>#VALUE!</v>
      </c>
      <c r="AE1020" t="e">
        <f t="shared" ca="1" si="497"/>
        <v>#VALUE!</v>
      </c>
      <c r="AF1020" t="e">
        <f t="shared" ca="1" si="498"/>
        <v>#VALUE!</v>
      </c>
      <c r="AG1020" t="e">
        <f t="shared" ca="1" si="499"/>
        <v>#VALUE!</v>
      </c>
      <c r="AH1020" t="e">
        <f ca="1">IF(V32="Supercritical",L1020,IF(V32="Subcritical",W1020,IF(AND(V1020=1,AG1020=1),IF(T1020&gt;=AE1020,L1020,W1020),IF(V1020=1,L1020,IF(AG1020=1,W1020,MAX($D$16,POWER((ABS(K1020)^2)/($I$5*MAX(F1020,0.1)^2),1/3)))))))</f>
        <v>#VALUE!</v>
      </c>
      <c r="AI1020" t="e">
        <f t="shared" ca="1" si="500"/>
        <v>#VALUE!</v>
      </c>
      <c r="AJ1020" t="e">
        <f t="shared" ca="1" si="501"/>
        <v>#VALUE!</v>
      </c>
      <c r="AM1020">
        <v>0</v>
      </c>
      <c r="AN1020">
        <v>0</v>
      </c>
      <c r="AO1020">
        <f t="shared" si="502"/>
        <v>0</v>
      </c>
      <c r="AP1020">
        <f t="shared" si="511"/>
        <v>0</v>
      </c>
      <c r="AQ1020" t="e">
        <f t="shared" ca="1" si="503"/>
        <v>#VALUE!</v>
      </c>
      <c r="AR1020" t="e">
        <f t="shared" ca="1" si="504"/>
        <v>#VALUE!</v>
      </c>
      <c r="AS1020" t="e">
        <f t="shared" ca="1" si="505"/>
        <v>#VALUE!</v>
      </c>
    </row>
    <row r="1021" spans="1:45" x14ac:dyDescent="0.35">
      <c r="A1021">
        <v>872</v>
      </c>
      <c r="B1021">
        <v>870.88900000000001</v>
      </c>
      <c r="C1021">
        <v>616086.61699999997</v>
      </c>
      <c r="D1021">
        <v>3097132.9339999999</v>
      </c>
      <c r="E1021">
        <v>632.12649999999996</v>
      </c>
      <c r="F1021">
        <v>5.2</v>
      </c>
      <c r="G1021">
        <v>0</v>
      </c>
      <c r="H1021" t="s">
        <v>191</v>
      </c>
      <c r="I1021">
        <v>0.06</v>
      </c>
      <c r="J1021">
        <f t="shared" si="506"/>
        <v>1</v>
      </c>
      <c r="K1021">
        <f t="shared" si="507"/>
        <v>51</v>
      </c>
      <c r="L1021" t="e">
        <f t="shared" ca="1" si="508"/>
        <v>#VALUE!</v>
      </c>
      <c r="M1021" t="e">
        <f t="shared" ca="1" si="481"/>
        <v>#VALUE!</v>
      </c>
      <c r="N1021" t="e">
        <f t="shared" ca="1" si="482"/>
        <v>#VALUE!</v>
      </c>
      <c r="O1021" t="e">
        <f t="shared" ca="1" si="483"/>
        <v>#VALUE!</v>
      </c>
      <c r="P1021" t="e">
        <f t="shared" ca="1" si="484"/>
        <v>#VALUE!</v>
      </c>
      <c r="Q1021" t="e">
        <f t="shared" ca="1" si="485"/>
        <v>#VALUE!</v>
      </c>
      <c r="R1021" t="e">
        <f t="shared" ca="1" si="486"/>
        <v>#VALUE!</v>
      </c>
      <c r="S1021" t="e">
        <f t="shared" ca="1" si="487"/>
        <v>#VALUE!</v>
      </c>
      <c r="T1021" t="e">
        <f t="shared" ca="1" si="488"/>
        <v>#VALUE!</v>
      </c>
      <c r="U1021" t="e">
        <f t="shared" ca="1" si="509"/>
        <v>#VALUE!</v>
      </c>
      <c r="V1021" t="e">
        <f t="shared" ca="1" si="510"/>
        <v>#VALUE!</v>
      </c>
      <c r="W1021" t="e">
        <f t="shared" ca="1" si="489"/>
        <v>#VALUE!</v>
      </c>
      <c r="X1021" t="e">
        <f t="shared" ca="1" si="490"/>
        <v>#VALUE!</v>
      </c>
      <c r="Y1021" t="e">
        <f t="shared" ca="1" si="491"/>
        <v>#VALUE!</v>
      </c>
      <c r="Z1021" t="e">
        <f t="shared" ca="1" si="492"/>
        <v>#VALUE!</v>
      </c>
      <c r="AA1021" t="e">
        <f t="shared" ca="1" si="493"/>
        <v>#VALUE!</v>
      </c>
      <c r="AB1021" t="e">
        <f t="shared" ca="1" si="494"/>
        <v>#VALUE!</v>
      </c>
      <c r="AC1021" t="e">
        <f t="shared" ca="1" si="495"/>
        <v>#VALUE!</v>
      </c>
      <c r="AD1021" t="e">
        <f t="shared" ca="1" si="496"/>
        <v>#VALUE!</v>
      </c>
      <c r="AE1021" t="e">
        <f t="shared" ca="1" si="497"/>
        <v>#VALUE!</v>
      </c>
      <c r="AF1021" t="e">
        <f t="shared" ca="1" si="498"/>
        <v>#VALUE!</v>
      </c>
      <c r="AG1021" t="e">
        <f t="shared" ca="1" si="499"/>
        <v>#VALUE!</v>
      </c>
      <c r="AH1021" t="e">
        <f ca="1">IF(V32="Supercritical",L1021,IF(V32="Subcritical",W1021,IF(AND(V1021=1,AG1021=1),IF(T1021&gt;=AE1021,L1021,W1021),IF(V1021=1,L1021,IF(AG1021=1,W1021,MAX($D$16,POWER((ABS(K1021)^2)/($I$5*MAX(F1021,0.1)^2),1/3)))))))</f>
        <v>#VALUE!</v>
      </c>
      <c r="AI1021" t="e">
        <f t="shared" ca="1" si="500"/>
        <v>#VALUE!</v>
      </c>
      <c r="AJ1021" t="e">
        <f t="shared" ca="1" si="501"/>
        <v>#VALUE!</v>
      </c>
      <c r="AM1021">
        <v>0</v>
      </c>
      <c r="AN1021">
        <v>0</v>
      </c>
      <c r="AO1021">
        <f t="shared" si="502"/>
        <v>0</v>
      </c>
      <c r="AP1021">
        <f t="shared" si="511"/>
        <v>0</v>
      </c>
      <c r="AQ1021" t="e">
        <f t="shared" ca="1" si="503"/>
        <v>#VALUE!</v>
      </c>
      <c r="AR1021" t="e">
        <f t="shared" ca="1" si="504"/>
        <v>#VALUE!</v>
      </c>
      <c r="AS1021" t="e">
        <f t="shared" ca="1" si="505"/>
        <v>#VALUE!</v>
      </c>
    </row>
    <row r="1022" spans="1:45" x14ac:dyDescent="0.35">
      <c r="A1022">
        <v>873</v>
      </c>
      <c r="B1022">
        <v>871.89</v>
      </c>
      <c r="C1022">
        <v>616086.57499999995</v>
      </c>
      <c r="D1022">
        <v>3097131.9339999999</v>
      </c>
      <c r="E1022">
        <v>632.12599999999998</v>
      </c>
      <c r="F1022">
        <v>5.2</v>
      </c>
      <c r="G1022">
        <v>0</v>
      </c>
      <c r="H1022" t="s">
        <v>191</v>
      </c>
      <c r="I1022">
        <v>2E-3</v>
      </c>
      <c r="J1022">
        <f t="shared" si="506"/>
        <v>1.0009999999999764</v>
      </c>
      <c r="K1022">
        <f t="shared" si="507"/>
        <v>51</v>
      </c>
      <c r="L1022" t="e">
        <f t="shared" ca="1" si="508"/>
        <v>#VALUE!</v>
      </c>
      <c r="M1022" t="e">
        <f t="shared" ca="1" si="481"/>
        <v>#VALUE!</v>
      </c>
      <c r="N1022" t="e">
        <f t="shared" ca="1" si="482"/>
        <v>#VALUE!</v>
      </c>
      <c r="O1022" t="e">
        <f t="shared" ca="1" si="483"/>
        <v>#VALUE!</v>
      </c>
      <c r="P1022" t="e">
        <f t="shared" ca="1" si="484"/>
        <v>#VALUE!</v>
      </c>
      <c r="Q1022" t="e">
        <f t="shared" ca="1" si="485"/>
        <v>#VALUE!</v>
      </c>
      <c r="R1022" t="e">
        <f t="shared" ca="1" si="486"/>
        <v>#VALUE!</v>
      </c>
      <c r="S1022" t="e">
        <f t="shared" ca="1" si="487"/>
        <v>#VALUE!</v>
      </c>
      <c r="T1022" t="e">
        <f t="shared" ca="1" si="488"/>
        <v>#VALUE!</v>
      </c>
      <c r="U1022" t="e">
        <f t="shared" ca="1" si="509"/>
        <v>#VALUE!</v>
      </c>
      <c r="V1022" t="e">
        <f t="shared" ca="1" si="510"/>
        <v>#VALUE!</v>
      </c>
      <c r="W1022" t="e">
        <f t="shared" ca="1" si="489"/>
        <v>#VALUE!</v>
      </c>
      <c r="X1022" t="e">
        <f t="shared" ca="1" si="490"/>
        <v>#VALUE!</v>
      </c>
      <c r="Y1022" t="e">
        <f t="shared" ca="1" si="491"/>
        <v>#VALUE!</v>
      </c>
      <c r="Z1022" t="e">
        <f t="shared" ca="1" si="492"/>
        <v>#VALUE!</v>
      </c>
      <c r="AA1022" t="e">
        <f t="shared" ca="1" si="493"/>
        <v>#VALUE!</v>
      </c>
      <c r="AB1022" t="e">
        <f t="shared" ca="1" si="494"/>
        <v>#VALUE!</v>
      </c>
      <c r="AC1022" t="e">
        <f t="shared" ca="1" si="495"/>
        <v>#VALUE!</v>
      </c>
      <c r="AD1022" t="e">
        <f t="shared" ca="1" si="496"/>
        <v>#VALUE!</v>
      </c>
      <c r="AE1022" t="e">
        <f t="shared" ca="1" si="497"/>
        <v>#VALUE!</v>
      </c>
      <c r="AF1022" t="e">
        <f t="shared" ca="1" si="498"/>
        <v>#VALUE!</v>
      </c>
      <c r="AG1022" t="e">
        <f t="shared" ca="1" si="499"/>
        <v>#VALUE!</v>
      </c>
      <c r="AH1022" t="e">
        <f ca="1">IF(V32="Supercritical",L1022,IF(V32="Subcritical",W1022,IF(AND(V1022=1,AG1022=1),IF(T1022&gt;=AE1022,L1022,W1022),IF(V1022=1,L1022,IF(AG1022=1,W1022,MAX($D$16,POWER((ABS(K1022)^2)/($I$5*MAX(F1022,0.1)^2),1/3)))))))</f>
        <v>#VALUE!</v>
      </c>
      <c r="AI1022" t="e">
        <f t="shared" ca="1" si="500"/>
        <v>#VALUE!</v>
      </c>
      <c r="AJ1022" t="e">
        <f t="shared" ca="1" si="501"/>
        <v>#VALUE!</v>
      </c>
      <c r="AM1022">
        <v>0</v>
      </c>
      <c r="AN1022">
        <v>0</v>
      </c>
      <c r="AO1022">
        <f t="shared" si="502"/>
        <v>0</v>
      </c>
      <c r="AP1022">
        <f t="shared" si="511"/>
        <v>0</v>
      </c>
      <c r="AQ1022" t="e">
        <f t="shared" ca="1" si="503"/>
        <v>#VALUE!</v>
      </c>
      <c r="AR1022" t="e">
        <f t="shared" ca="1" si="504"/>
        <v>#VALUE!</v>
      </c>
      <c r="AS1022" t="e">
        <f t="shared" ca="1" si="505"/>
        <v>#VALUE!</v>
      </c>
    </row>
    <row r="1023" spans="1:45" x14ac:dyDescent="0.35">
      <c r="A1023">
        <v>874</v>
      </c>
      <c r="B1023">
        <v>872.89</v>
      </c>
      <c r="C1023">
        <v>616086.53300000005</v>
      </c>
      <c r="D1023">
        <v>3097130.9350000001</v>
      </c>
      <c r="E1023">
        <v>632.12549999999999</v>
      </c>
      <c r="F1023">
        <v>5.2</v>
      </c>
      <c r="G1023">
        <v>0</v>
      </c>
      <c r="H1023" t="s">
        <v>191</v>
      </c>
      <c r="I1023">
        <v>0</v>
      </c>
      <c r="J1023">
        <f t="shared" si="506"/>
        <v>1</v>
      </c>
      <c r="K1023">
        <f t="shared" si="507"/>
        <v>51</v>
      </c>
      <c r="L1023" t="e">
        <f t="shared" ca="1" si="508"/>
        <v>#VALUE!</v>
      </c>
      <c r="M1023" t="e">
        <f t="shared" ca="1" si="481"/>
        <v>#VALUE!</v>
      </c>
      <c r="N1023" t="e">
        <f t="shared" ca="1" si="482"/>
        <v>#VALUE!</v>
      </c>
      <c r="O1023" t="e">
        <f t="shared" ca="1" si="483"/>
        <v>#VALUE!</v>
      </c>
      <c r="P1023" t="e">
        <f t="shared" ca="1" si="484"/>
        <v>#VALUE!</v>
      </c>
      <c r="Q1023" t="e">
        <f t="shared" ca="1" si="485"/>
        <v>#VALUE!</v>
      </c>
      <c r="R1023" t="e">
        <f t="shared" ca="1" si="486"/>
        <v>#VALUE!</v>
      </c>
      <c r="S1023" t="e">
        <f t="shared" ca="1" si="487"/>
        <v>#VALUE!</v>
      </c>
      <c r="T1023" t="e">
        <f t="shared" ca="1" si="488"/>
        <v>#VALUE!</v>
      </c>
      <c r="U1023" t="e">
        <f t="shared" ca="1" si="509"/>
        <v>#VALUE!</v>
      </c>
      <c r="V1023" t="e">
        <f t="shared" ca="1" si="510"/>
        <v>#VALUE!</v>
      </c>
      <c r="W1023" t="e">
        <f t="shared" ca="1" si="489"/>
        <v>#VALUE!</v>
      </c>
      <c r="X1023" t="e">
        <f t="shared" ca="1" si="490"/>
        <v>#VALUE!</v>
      </c>
      <c r="Y1023" t="e">
        <f t="shared" ca="1" si="491"/>
        <v>#VALUE!</v>
      </c>
      <c r="Z1023" t="e">
        <f t="shared" ca="1" si="492"/>
        <v>#VALUE!</v>
      </c>
      <c r="AA1023" t="e">
        <f t="shared" ca="1" si="493"/>
        <v>#VALUE!</v>
      </c>
      <c r="AB1023" t="e">
        <f t="shared" ca="1" si="494"/>
        <v>#VALUE!</v>
      </c>
      <c r="AC1023" t="e">
        <f t="shared" ca="1" si="495"/>
        <v>#VALUE!</v>
      </c>
      <c r="AD1023" t="e">
        <f t="shared" ca="1" si="496"/>
        <v>#VALUE!</v>
      </c>
      <c r="AE1023" t="e">
        <f t="shared" ca="1" si="497"/>
        <v>#VALUE!</v>
      </c>
      <c r="AF1023" t="e">
        <f t="shared" ca="1" si="498"/>
        <v>#VALUE!</v>
      </c>
      <c r="AG1023" t="e">
        <f t="shared" ca="1" si="499"/>
        <v>#VALUE!</v>
      </c>
      <c r="AH1023" t="e">
        <f ca="1">IF(V32="Supercritical",L1023,IF(V32="Subcritical",W1023,IF(AND(V1023=1,AG1023=1),IF(T1023&gt;=AE1023,L1023,W1023),IF(V1023=1,L1023,IF(AG1023=1,W1023,MAX($D$16,POWER((ABS(K1023)^2)/($I$5*MAX(F1023,0.1)^2),1/3)))))))</f>
        <v>#VALUE!</v>
      </c>
      <c r="AI1023" t="e">
        <f t="shared" ca="1" si="500"/>
        <v>#VALUE!</v>
      </c>
      <c r="AJ1023" t="e">
        <f t="shared" ca="1" si="501"/>
        <v>#VALUE!</v>
      </c>
      <c r="AM1023">
        <v>0</v>
      </c>
      <c r="AN1023">
        <v>0</v>
      </c>
      <c r="AO1023">
        <f t="shared" si="502"/>
        <v>0</v>
      </c>
      <c r="AP1023">
        <f t="shared" si="511"/>
        <v>0</v>
      </c>
      <c r="AQ1023" t="e">
        <f t="shared" ca="1" si="503"/>
        <v>#VALUE!</v>
      </c>
      <c r="AR1023" t="e">
        <f t="shared" ca="1" si="504"/>
        <v>#VALUE!</v>
      </c>
      <c r="AS1023" t="e">
        <f t="shared" ca="1" si="505"/>
        <v>#VALUE!</v>
      </c>
    </row>
    <row r="1024" spans="1:45" x14ac:dyDescent="0.35">
      <c r="A1024">
        <v>875</v>
      </c>
      <c r="B1024">
        <v>873.88900000000001</v>
      </c>
      <c r="C1024">
        <v>616086.49100000004</v>
      </c>
      <c r="D1024">
        <v>3097129.9360000002</v>
      </c>
      <c r="E1024">
        <v>632.125</v>
      </c>
      <c r="F1024">
        <v>5.2</v>
      </c>
      <c r="G1024">
        <v>0</v>
      </c>
      <c r="H1024" t="s">
        <v>191</v>
      </c>
      <c r="I1024">
        <v>5.7000000000000002E-2</v>
      </c>
      <c r="J1024">
        <f t="shared" si="506"/>
        <v>0.99900000000002365</v>
      </c>
      <c r="K1024">
        <f t="shared" si="507"/>
        <v>51</v>
      </c>
      <c r="L1024" t="e">
        <f t="shared" ca="1" si="508"/>
        <v>#VALUE!</v>
      </c>
      <c r="M1024" t="e">
        <f t="shared" ca="1" si="481"/>
        <v>#VALUE!</v>
      </c>
      <c r="N1024" t="e">
        <f t="shared" ca="1" si="482"/>
        <v>#VALUE!</v>
      </c>
      <c r="O1024" t="e">
        <f t="shared" ca="1" si="483"/>
        <v>#VALUE!</v>
      </c>
      <c r="P1024" t="e">
        <f t="shared" ca="1" si="484"/>
        <v>#VALUE!</v>
      </c>
      <c r="Q1024" t="e">
        <f t="shared" ca="1" si="485"/>
        <v>#VALUE!</v>
      </c>
      <c r="R1024" t="e">
        <f t="shared" ca="1" si="486"/>
        <v>#VALUE!</v>
      </c>
      <c r="S1024" t="e">
        <f t="shared" ca="1" si="487"/>
        <v>#VALUE!</v>
      </c>
      <c r="T1024" t="e">
        <f t="shared" ca="1" si="488"/>
        <v>#VALUE!</v>
      </c>
      <c r="U1024" t="e">
        <f t="shared" ca="1" si="509"/>
        <v>#VALUE!</v>
      </c>
      <c r="V1024" t="e">
        <f t="shared" ca="1" si="510"/>
        <v>#VALUE!</v>
      </c>
      <c r="W1024" t="e">
        <f t="shared" ca="1" si="489"/>
        <v>#VALUE!</v>
      </c>
      <c r="X1024" t="e">
        <f t="shared" ca="1" si="490"/>
        <v>#VALUE!</v>
      </c>
      <c r="Y1024" t="e">
        <f t="shared" ca="1" si="491"/>
        <v>#VALUE!</v>
      </c>
      <c r="Z1024" t="e">
        <f t="shared" ca="1" si="492"/>
        <v>#VALUE!</v>
      </c>
      <c r="AA1024" t="e">
        <f t="shared" ca="1" si="493"/>
        <v>#VALUE!</v>
      </c>
      <c r="AB1024" t="e">
        <f t="shared" ca="1" si="494"/>
        <v>#VALUE!</v>
      </c>
      <c r="AC1024" t="e">
        <f t="shared" ca="1" si="495"/>
        <v>#VALUE!</v>
      </c>
      <c r="AD1024" t="e">
        <f t="shared" ca="1" si="496"/>
        <v>#VALUE!</v>
      </c>
      <c r="AE1024" t="e">
        <f t="shared" ca="1" si="497"/>
        <v>#VALUE!</v>
      </c>
      <c r="AF1024" t="e">
        <f t="shared" ca="1" si="498"/>
        <v>#VALUE!</v>
      </c>
      <c r="AG1024" t="e">
        <f t="shared" ca="1" si="499"/>
        <v>#VALUE!</v>
      </c>
      <c r="AH1024" t="e">
        <f ca="1">IF(V32="Supercritical",L1024,IF(V32="Subcritical",W1024,IF(AND(V1024=1,AG1024=1),IF(T1024&gt;=AE1024,L1024,W1024),IF(V1024=1,L1024,IF(AG1024=1,W1024,MAX($D$16,POWER((ABS(K1024)^2)/($I$5*MAX(F1024,0.1)^2),1/3)))))))</f>
        <v>#VALUE!</v>
      </c>
      <c r="AI1024" t="e">
        <f t="shared" ca="1" si="500"/>
        <v>#VALUE!</v>
      </c>
      <c r="AJ1024" t="e">
        <f t="shared" ca="1" si="501"/>
        <v>#VALUE!</v>
      </c>
      <c r="AM1024">
        <v>0</v>
      </c>
      <c r="AN1024">
        <v>0</v>
      </c>
      <c r="AO1024">
        <f t="shared" si="502"/>
        <v>0</v>
      </c>
      <c r="AP1024">
        <f t="shared" si="511"/>
        <v>0</v>
      </c>
      <c r="AQ1024" t="e">
        <f t="shared" ca="1" si="503"/>
        <v>#VALUE!</v>
      </c>
      <c r="AR1024" t="e">
        <f t="shared" ca="1" si="504"/>
        <v>#VALUE!</v>
      </c>
      <c r="AS1024" t="e">
        <f t="shared" ca="1" si="505"/>
        <v>#VALUE!</v>
      </c>
    </row>
    <row r="1025" spans="1:45" x14ac:dyDescent="0.35">
      <c r="A1025">
        <v>876</v>
      </c>
      <c r="B1025">
        <v>874.88900000000001</v>
      </c>
      <c r="C1025">
        <v>616086.44799999997</v>
      </c>
      <c r="D1025">
        <v>3097128.9369999999</v>
      </c>
      <c r="E1025">
        <v>632.12450000000001</v>
      </c>
      <c r="F1025">
        <v>5.2</v>
      </c>
      <c r="G1025">
        <v>0</v>
      </c>
      <c r="H1025" t="s">
        <v>191</v>
      </c>
      <c r="I1025">
        <v>5.7000000000000002E-2</v>
      </c>
      <c r="J1025">
        <f t="shared" si="506"/>
        <v>1</v>
      </c>
      <c r="K1025">
        <f t="shared" si="507"/>
        <v>51</v>
      </c>
      <c r="L1025" t="e">
        <f t="shared" ca="1" si="508"/>
        <v>#VALUE!</v>
      </c>
      <c r="M1025" t="e">
        <f t="shared" ca="1" si="481"/>
        <v>#VALUE!</v>
      </c>
      <c r="N1025" t="e">
        <f t="shared" ca="1" si="482"/>
        <v>#VALUE!</v>
      </c>
      <c r="O1025" t="e">
        <f t="shared" ca="1" si="483"/>
        <v>#VALUE!</v>
      </c>
      <c r="P1025" t="e">
        <f t="shared" ca="1" si="484"/>
        <v>#VALUE!</v>
      </c>
      <c r="Q1025" t="e">
        <f t="shared" ca="1" si="485"/>
        <v>#VALUE!</v>
      </c>
      <c r="R1025" t="e">
        <f t="shared" ca="1" si="486"/>
        <v>#VALUE!</v>
      </c>
      <c r="S1025" t="e">
        <f t="shared" ca="1" si="487"/>
        <v>#VALUE!</v>
      </c>
      <c r="T1025" t="e">
        <f t="shared" ca="1" si="488"/>
        <v>#VALUE!</v>
      </c>
      <c r="U1025" t="e">
        <f t="shared" ca="1" si="509"/>
        <v>#VALUE!</v>
      </c>
      <c r="V1025" t="e">
        <f t="shared" ca="1" si="510"/>
        <v>#VALUE!</v>
      </c>
      <c r="W1025" t="e">
        <f t="shared" ca="1" si="489"/>
        <v>#VALUE!</v>
      </c>
      <c r="X1025" t="e">
        <f t="shared" ca="1" si="490"/>
        <v>#VALUE!</v>
      </c>
      <c r="Y1025" t="e">
        <f t="shared" ca="1" si="491"/>
        <v>#VALUE!</v>
      </c>
      <c r="Z1025" t="e">
        <f t="shared" ca="1" si="492"/>
        <v>#VALUE!</v>
      </c>
      <c r="AA1025" t="e">
        <f t="shared" ca="1" si="493"/>
        <v>#VALUE!</v>
      </c>
      <c r="AB1025" t="e">
        <f t="shared" ca="1" si="494"/>
        <v>#VALUE!</v>
      </c>
      <c r="AC1025" t="e">
        <f t="shared" ca="1" si="495"/>
        <v>#VALUE!</v>
      </c>
      <c r="AD1025" t="e">
        <f t="shared" ca="1" si="496"/>
        <v>#VALUE!</v>
      </c>
      <c r="AE1025" t="e">
        <f t="shared" ca="1" si="497"/>
        <v>#VALUE!</v>
      </c>
      <c r="AF1025" t="e">
        <f t="shared" ca="1" si="498"/>
        <v>#VALUE!</v>
      </c>
      <c r="AG1025" t="e">
        <f t="shared" ca="1" si="499"/>
        <v>#VALUE!</v>
      </c>
      <c r="AH1025" t="e">
        <f ca="1">IF(V32="Supercritical",L1025,IF(V32="Subcritical",W1025,IF(AND(V1025=1,AG1025=1),IF(T1025&gt;=AE1025,L1025,W1025),IF(V1025=1,L1025,IF(AG1025=1,W1025,MAX($D$16,POWER((ABS(K1025)^2)/($I$5*MAX(F1025,0.1)^2),1/3)))))))</f>
        <v>#VALUE!</v>
      </c>
      <c r="AI1025" t="e">
        <f t="shared" ca="1" si="500"/>
        <v>#VALUE!</v>
      </c>
      <c r="AJ1025" t="e">
        <f t="shared" ca="1" si="501"/>
        <v>#VALUE!</v>
      </c>
      <c r="AM1025">
        <v>0</v>
      </c>
      <c r="AN1025">
        <v>0</v>
      </c>
      <c r="AO1025">
        <f t="shared" si="502"/>
        <v>0</v>
      </c>
      <c r="AP1025">
        <f t="shared" si="511"/>
        <v>0</v>
      </c>
      <c r="AQ1025" t="e">
        <f t="shared" ca="1" si="503"/>
        <v>#VALUE!</v>
      </c>
      <c r="AR1025" t="e">
        <f t="shared" ca="1" si="504"/>
        <v>#VALUE!</v>
      </c>
      <c r="AS1025" t="e">
        <f t="shared" ca="1" si="505"/>
        <v>#VALUE!</v>
      </c>
    </row>
    <row r="1026" spans="1:45" x14ac:dyDescent="0.35">
      <c r="A1026">
        <v>877</v>
      </c>
      <c r="B1026">
        <v>875.88900000000001</v>
      </c>
      <c r="C1026">
        <v>616086.40599999996</v>
      </c>
      <c r="D1026">
        <v>3097127.9380000001</v>
      </c>
      <c r="E1026">
        <v>632.12400000000002</v>
      </c>
      <c r="F1026">
        <v>5.2</v>
      </c>
      <c r="G1026">
        <v>0</v>
      </c>
      <c r="H1026" t="s">
        <v>191</v>
      </c>
      <c r="I1026">
        <v>0</v>
      </c>
      <c r="J1026">
        <f t="shared" si="506"/>
        <v>1</v>
      </c>
      <c r="K1026">
        <f t="shared" si="507"/>
        <v>51</v>
      </c>
      <c r="L1026" t="e">
        <f t="shared" ca="1" si="508"/>
        <v>#VALUE!</v>
      </c>
      <c r="M1026" t="e">
        <f t="shared" ca="1" si="481"/>
        <v>#VALUE!</v>
      </c>
      <c r="N1026" t="e">
        <f t="shared" ca="1" si="482"/>
        <v>#VALUE!</v>
      </c>
      <c r="O1026" t="e">
        <f t="shared" ca="1" si="483"/>
        <v>#VALUE!</v>
      </c>
      <c r="P1026" t="e">
        <f t="shared" ca="1" si="484"/>
        <v>#VALUE!</v>
      </c>
      <c r="Q1026" t="e">
        <f t="shared" ca="1" si="485"/>
        <v>#VALUE!</v>
      </c>
      <c r="R1026" t="e">
        <f t="shared" ca="1" si="486"/>
        <v>#VALUE!</v>
      </c>
      <c r="S1026" t="e">
        <f t="shared" ca="1" si="487"/>
        <v>#VALUE!</v>
      </c>
      <c r="T1026" t="e">
        <f t="shared" ca="1" si="488"/>
        <v>#VALUE!</v>
      </c>
      <c r="U1026" t="e">
        <f t="shared" ca="1" si="509"/>
        <v>#VALUE!</v>
      </c>
      <c r="V1026" t="e">
        <f t="shared" ca="1" si="510"/>
        <v>#VALUE!</v>
      </c>
      <c r="W1026" t="e">
        <f t="shared" ca="1" si="489"/>
        <v>#VALUE!</v>
      </c>
      <c r="X1026" t="e">
        <f t="shared" ca="1" si="490"/>
        <v>#VALUE!</v>
      </c>
      <c r="Y1026" t="e">
        <f t="shared" ca="1" si="491"/>
        <v>#VALUE!</v>
      </c>
      <c r="Z1026" t="e">
        <f t="shared" ca="1" si="492"/>
        <v>#VALUE!</v>
      </c>
      <c r="AA1026" t="e">
        <f t="shared" ca="1" si="493"/>
        <v>#VALUE!</v>
      </c>
      <c r="AB1026" t="e">
        <f t="shared" ca="1" si="494"/>
        <v>#VALUE!</v>
      </c>
      <c r="AC1026" t="e">
        <f t="shared" ca="1" si="495"/>
        <v>#VALUE!</v>
      </c>
      <c r="AD1026" t="e">
        <f t="shared" ca="1" si="496"/>
        <v>#VALUE!</v>
      </c>
      <c r="AE1026" t="e">
        <f t="shared" ca="1" si="497"/>
        <v>#VALUE!</v>
      </c>
      <c r="AF1026" t="e">
        <f t="shared" ca="1" si="498"/>
        <v>#VALUE!</v>
      </c>
      <c r="AG1026" t="e">
        <f t="shared" ca="1" si="499"/>
        <v>#VALUE!</v>
      </c>
      <c r="AH1026" t="e">
        <f ca="1">IF(V32="Supercritical",L1026,IF(V32="Subcritical",W1026,IF(AND(V1026=1,AG1026=1),IF(T1026&gt;=AE1026,L1026,W1026),IF(V1026=1,L1026,IF(AG1026=1,W1026,MAX($D$16,POWER((ABS(K1026)^2)/($I$5*MAX(F1026,0.1)^2),1/3)))))))</f>
        <v>#VALUE!</v>
      </c>
      <c r="AI1026" t="e">
        <f t="shared" ca="1" si="500"/>
        <v>#VALUE!</v>
      </c>
      <c r="AJ1026" t="e">
        <f t="shared" ca="1" si="501"/>
        <v>#VALUE!</v>
      </c>
      <c r="AM1026">
        <v>0</v>
      </c>
      <c r="AN1026">
        <v>0</v>
      </c>
      <c r="AO1026">
        <f t="shared" si="502"/>
        <v>0</v>
      </c>
      <c r="AP1026">
        <f t="shared" si="511"/>
        <v>0</v>
      </c>
      <c r="AQ1026" t="e">
        <f t="shared" ca="1" si="503"/>
        <v>#VALUE!</v>
      </c>
      <c r="AR1026" t="e">
        <f t="shared" ca="1" si="504"/>
        <v>#VALUE!</v>
      </c>
      <c r="AS1026" t="e">
        <f t="shared" ca="1" si="505"/>
        <v>#VALUE!</v>
      </c>
    </row>
    <row r="1027" spans="1:45" x14ac:dyDescent="0.35">
      <c r="A1027">
        <v>878</v>
      </c>
      <c r="B1027">
        <v>876.88900000000001</v>
      </c>
      <c r="C1027">
        <v>616086.36399999994</v>
      </c>
      <c r="D1027">
        <v>3097126.9389999998</v>
      </c>
      <c r="E1027">
        <v>632.12350000000004</v>
      </c>
      <c r="F1027">
        <v>5.2</v>
      </c>
      <c r="G1027">
        <v>0</v>
      </c>
      <c r="H1027" t="s">
        <v>191</v>
      </c>
      <c r="I1027">
        <v>0</v>
      </c>
      <c r="J1027">
        <f t="shared" si="506"/>
        <v>1</v>
      </c>
      <c r="K1027">
        <f t="shared" si="507"/>
        <v>51</v>
      </c>
      <c r="L1027" t="e">
        <f t="shared" ca="1" si="508"/>
        <v>#VALUE!</v>
      </c>
      <c r="M1027" t="e">
        <f t="shared" ca="1" si="481"/>
        <v>#VALUE!</v>
      </c>
      <c r="N1027" t="e">
        <f t="shared" ca="1" si="482"/>
        <v>#VALUE!</v>
      </c>
      <c r="O1027" t="e">
        <f t="shared" ca="1" si="483"/>
        <v>#VALUE!</v>
      </c>
      <c r="P1027" t="e">
        <f t="shared" ca="1" si="484"/>
        <v>#VALUE!</v>
      </c>
      <c r="Q1027" t="e">
        <f t="shared" ca="1" si="485"/>
        <v>#VALUE!</v>
      </c>
      <c r="R1027" t="e">
        <f t="shared" ca="1" si="486"/>
        <v>#VALUE!</v>
      </c>
      <c r="S1027" t="e">
        <f t="shared" ca="1" si="487"/>
        <v>#VALUE!</v>
      </c>
      <c r="T1027" t="e">
        <f t="shared" ca="1" si="488"/>
        <v>#VALUE!</v>
      </c>
      <c r="U1027" t="e">
        <f t="shared" ca="1" si="509"/>
        <v>#VALUE!</v>
      </c>
      <c r="V1027" t="e">
        <f t="shared" ca="1" si="510"/>
        <v>#VALUE!</v>
      </c>
      <c r="W1027" t="e">
        <f t="shared" ca="1" si="489"/>
        <v>#VALUE!</v>
      </c>
      <c r="X1027" t="e">
        <f t="shared" ca="1" si="490"/>
        <v>#VALUE!</v>
      </c>
      <c r="Y1027" t="e">
        <f t="shared" ca="1" si="491"/>
        <v>#VALUE!</v>
      </c>
      <c r="Z1027" t="e">
        <f t="shared" ca="1" si="492"/>
        <v>#VALUE!</v>
      </c>
      <c r="AA1027" t="e">
        <f t="shared" ca="1" si="493"/>
        <v>#VALUE!</v>
      </c>
      <c r="AB1027" t="e">
        <f t="shared" ca="1" si="494"/>
        <v>#VALUE!</v>
      </c>
      <c r="AC1027" t="e">
        <f t="shared" ca="1" si="495"/>
        <v>#VALUE!</v>
      </c>
      <c r="AD1027" t="e">
        <f t="shared" ca="1" si="496"/>
        <v>#VALUE!</v>
      </c>
      <c r="AE1027" t="e">
        <f t="shared" ca="1" si="497"/>
        <v>#VALUE!</v>
      </c>
      <c r="AF1027" t="e">
        <f t="shared" ca="1" si="498"/>
        <v>#VALUE!</v>
      </c>
      <c r="AG1027" t="e">
        <f t="shared" ca="1" si="499"/>
        <v>#VALUE!</v>
      </c>
      <c r="AH1027" t="e">
        <f ca="1">IF(V32="Supercritical",L1027,IF(V32="Subcritical",W1027,IF(AND(V1027=1,AG1027=1),IF(T1027&gt;=AE1027,L1027,W1027),IF(V1027=1,L1027,IF(AG1027=1,W1027,MAX($D$16,POWER((ABS(K1027)^2)/($I$5*MAX(F1027,0.1)^2),1/3)))))))</f>
        <v>#VALUE!</v>
      </c>
      <c r="AI1027" t="e">
        <f t="shared" ca="1" si="500"/>
        <v>#VALUE!</v>
      </c>
      <c r="AJ1027" t="e">
        <f t="shared" ca="1" si="501"/>
        <v>#VALUE!</v>
      </c>
      <c r="AM1027">
        <v>0</v>
      </c>
      <c r="AN1027">
        <v>0</v>
      </c>
      <c r="AO1027">
        <f t="shared" si="502"/>
        <v>0</v>
      </c>
      <c r="AP1027">
        <f t="shared" si="511"/>
        <v>0</v>
      </c>
      <c r="AQ1027" t="e">
        <f t="shared" ca="1" si="503"/>
        <v>#VALUE!</v>
      </c>
      <c r="AR1027" t="e">
        <f t="shared" ca="1" si="504"/>
        <v>#VALUE!</v>
      </c>
      <c r="AS1027" t="e">
        <f t="shared" ca="1" si="505"/>
        <v>#VALUE!</v>
      </c>
    </row>
    <row r="1028" spans="1:45" x14ac:dyDescent="0.35">
      <c r="A1028">
        <v>879</v>
      </c>
      <c r="B1028">
        <v>877.88900000000001</v>
      </c>
      <c r="C1028">
        <v>616086.32200000004</v>
      </c>
      <c r="D1028">
        <v>3097125.94</v>
      </c>
      <c r="E1028">
        <v>632.12300000000005</v>
      </c>
      <c r="F1028">
        <v>5.2</v>
      </c>
      <c r="G1028">
        <v>0</v>
      </c>
      <c r="H1028" t="s">
        <v>191</v>
      </c>
      <c r="I1028">
        <v>5.7000000000000002E-2</v>
      </c>
      <c r="J1028">
        <f t="shared" si="506"/>
        <v>1</v>
      </c>
      <c r="K1028">
        <f t="shared" si="507"/>
        <v>51</v>
      </c>
      <c r="L1028" t="e">
        <f t="shared" ca="1" si="508"/>
        <v>#VALUE!</v>
      </c>
      <c r="M1028" t="e">
        <f t="shared" ca="1" si="481"/>
        <v>#VALUE!</v>
      </c>
      <c r="N1028" t="e">
        <f t="shared" ca="1" si="482"/>
        <v>#VALUE!</v>
      </c>
      <c r="O1028" t="e">
        <f t="shared" ca="1" si="483"/>
        <v>#VALUE!</v>
      </c>
      <c r="P1028" t="e">
        <f t="shared" ca="1" si="484"/>
        <v>#VALUE!</v>
      </c>
      <c r="Q1028" t="e">
        <f t="shared" ca="1" si="485"/>
        <v>#VALUE!</v>
      </c>
      <c r="R1028" t="e">
        <f t="shared" ca="1" si="486"/>
        <v>#VALUE!</v>
      </c>
      <c r="S1028" t="e">
        <f t="shared" ca="1" si="487"/>
        <v>#VALUE!</v>
      </c>
      <c r="T1028" t="e">
        <f t="shared" ca="1" si="488"/>
        <v>#VALUE!</v>
      </c>
      <c r="U1028" t="e">
        <f t="shared" ca="1" si="509"/>
        <v>#VALUE!</v>
      </c>
      <c r="V1028" t="e">
        <f t="shared" ca="1" si="510"/>
        <v>#VALUE!</v>
      </c>
      <c r="W1028" t="e">
        <f t="shared" ca="1" si="489"/>
        <v>#VALUE!</v>
      </c>
      <c r="X1028" t="e">
        <f t="shared" ca="1" si="490"/>
        <v>#VALUE!</v>
      </c>
      <c r="Y1028" t="e">
        <f t="shared" ca="1" si="491"/>
        <v>#VALUE!</v>
      </c>
      <c r="Z1028" t="e">
        <f t="shared" ca="1" si="492"/>
        <v>#VALUE!</v>
      </c>
      <c r="AA1028" t="e">
        <f t="shared" ca="1" si="493"/>
        <v>#VALUE!</v>
      </c>
      <c r="AB1028" t="e">
        <f t="shared" ca="1" si="494"/>
        <v>#VALUE!</v>
      </c>
      <c r="AC1028" t="e">
        <f t="shared" ca="1" si="495"/>
        <v>#VALUE!</v>
      </c>
      <c r="AD1028" t="e">
        <f t="shared" ca="1" si="496"/>
        <v>#VALUE!</v>
      </c>
      <c r="AE1028" t="e">
        <f t="shared" ca="1" si="497"/>
        <v>#VALUE!</v>
      </c>
      <c r="AF1028" t="e">
        <f t="shared" ca="1" si="498"/>
        <v>#VALUE!</v>
      </c>
      <c r="AG1028" t="e">
        <f t="shared" ca="1" si="499"/>
        <v>#VALUE!</v>
      </c>
      <c r="AH1028" t="e">
        <f ca="1">IF(V32="Supercritical",L1028,IF(V32="Subcritical",W1028,IF(AND(V1028=1,AG1028=1),IF(T1028&gt;=AE1028,L1028,W1028),IF(V1028=1,L1028,IF(AG1028=1,W1028,MAX($D$16,POWER((ABS(K1028)^2)/($I$5*MAX(F1028,0.1)^2),1/3)))))))</f>
        <v>#VALUE!</v>
      </c>
      <c r="AI1028" t="e">
        <f t="shared" ca="1" si="500"/>
        <v>#VALUE!</v>
      </c>
      <c r="AJ1028" t="e">
        <f t="shared" ca="1" si="501"/>
        <v>#VALUE!</v>
      </c>
      <c r="AM1028">
        <v>0</v>
      </c>
      <c r="AN1028">
        <v>0</v>
      </c>
      <c r="AO1028">
        <f t="shared" si="502"/>
        <v>0</v>
      </c>
      <c r="AP1028">
        <f t="shared" si="511"/>
        <v>0</v>
      </c>
      <c r="AQ1028" t="e">
        <f t="shared" ca="1" si="503"/>
        <v>#VALUE!</v>
      </c>
      <c r="AR1028" t="e">
        <f t="shared" ca="1" si="504"/>
        <v>#VALUE!</v>
      </c>
      <c r="AS1028" t="e">
        <f t="shared" ca="1" si="505"/>
        <v>#VALUE!</v>
      </c>
    </row>
    <row r="1029" spans="1:45" x14ac:dyDescent="0.35">
      <c r="A1029">
        <v>880</v>
      </c>
      <c r="B1029">
        <v>878.88900000000001</v>
      </c>
      <c r="C1029">
        <v>616086.27899999998</v>
      </c>
      <c r="D1029">
        <v>3097124.9410000001</v>
      </c>
      <c r="E1029">
        <v>632.12249999999995</v>
      </c>
      <c r="F1029">
        <v>5.2</v>
      </c>
      <c r="G1029">
        <v>0</v>
      </c>
      <c r="H1029" t="s">
        <v>191</v>
      </c>
      <c r="I1029">
        <v>5.7000000000000002E-2</v>
      </c>
      <c r="J1029">
        <f t="shared" si="506"/>
        <v>1</v>
      </c>
      <c r="K1029">
        <f t="shared" si="507"/>
        <v>51</v>
      </c>
      <c r="L1029" t="e">
        <f t="shared" ca="1" si="508"/>
        <v>#VALUE!</v>
      </c>
      <c r="M1029" t="e">
        <f t="shared" ca="1" si="481"/>
        <v>#VALUE!</v>
      </c>
      <c r="N1029" t="e">
        <f t="shared" ca="1" si="482"/>
        <v>#VALUE!</v>
      </c>
      <c r="O1029" t="e">
        <f t="shared" ca="1" si="483"/>
        <v>#VALUE!</v>
      </c>
      <c r="P1029" t="e">
        <f t="shared" ca="1" si="484"/>
        <v>#VALUE!</v>
      </c>
      <c r="Q1029" t="e">
        <f t="shared" ca="1" si="485"/>
        <v>#VALUE!</v>
      </c>
      <c r="R1029" t="e">
        <f t="shared" ca="1" si="486"/>
        <v>#VALUE!</v>
      </c>
      <c r="S1029" t="e">
        <f t="shared" ca="1" si="487"/>
        <v>#VALUE!</v>
      </c>
      <c r="T1029" t="e">
        <f t="shared" ca="1" si="488"/>
        <v>#VALUE!</v>
      </c>
      <c r="U1029" t="e">
        <f t="shared" ca="1" si="509"/>
        <v>#VALUE!</v>
      </c>
      <c r="V1029" t="e">
        <f t="shared" ca="1" si="510"/>
        <v>#VALUE!</v>
      </c>
      <c r="W1029" t="e">
        <f t="shared" ca="1" si="489"/>
        <v>#VALUE!</v>
      </c>
      <c r="X1029" t="e">
        <f t="shared" ca="1" si="490"/>
        <v>#VALUE!</v>
      </c>
      <c r="Y1029" t="e">
        <f t="shared" ca="1" si="491"/>
        <v>#VALUE!</v>
      </c>
      <c r="Z1029" t="e">
        <f t="shared" ca="1" si="492"/>
        <v>#VALUE!</v>
      </c>
      <c r="AA1029" t="e">
        <f t="shared" ca="1" si="493"/>
        <v>#VALUE!</v>
      </c>
      <c r="AB1029" t="e">
        <f t="shared" ca="1" si="494"/>
        <v>#VALUE!</v>
      </c>
      <c r="AC1029" t="e">
        <f t="shared" ca="1" si="495"/>
        <v>#VALUE!</v>
      </c>
      <c r="AD1029" t="e">
        <f t="shared" ca="1" si="496"/>
        <v>#VALUE!</v>
      </c>
      <c r="AE1029" t="e">
        <f t="shared" ca="1" si="497"/>
        <v>#VALUE!</v>
      </c>
      <c r="AF1029" t="e">
        <f t="shared" ca="1" si="498"/>
        <v>#VALUE!</v>
      </c>
      <c r="AG1029" t="e">
        <f t="shared" ca="1" si="499"/>
        <v>#VALUE!</v>
      </c>
      <c r="AH1029" t="e">
        <f ca="1">IF(V32="Supercritical",L1029,IF(V32="Subcritical",W1029,IF(AND(V1029=1,AG1029=1),IF(T1029&gt;=AE1029,L1029,W1029),IF(V1029=1,L1029,IF(AG1029=1,W1029,MAX($D$16,POWER((ABS(K1029)^2)/($I$5*MAX(F1029,0.1)^2),1/3)))))))</f>
        <v>#VALUE!</v>
      </c>
      <c r="AI1029" t="e">
        <f t="shared" ca="1" si="500"/>
        <v>#VALUE!</v>
      </c>
      <c r="AJ1029" t="e">
        <f t="shared" ca="1" si="501"/>
        <v>#VALUE!</v>
      </c>
      <c r="AM1029">
        <v>0</v>
      </c>
      <c r="AN1029">
        <v>0</v>
      </c>
      <c r="AO1029">
        <f t="shared" si="502"/>
        <v>0</v>
      </c>
      <c r="AP1029">
        <f t="shared" si="511"/>
        <v>0</v>
      </c>
      <c r="AQ1029" t="e">
        <f t="shared" ca="1" si="503"/>
        <v>#VALUE!</v>
      </c>
      <c r="AR1029" t="e">
        <f t="shared" ca="1" si="504"/>
        <v>#VALUE!</v>
      </c>
      <c r="AS1029" t="e">
        <f t="shared" ca="1" si="505"/>
        <v>#VALUE!</v>
      </c>
    </row>
    <row r="1030" spans="1:45" x14ac:dyDescent="0.35">
      <c r="A1030">
        <v>881</v>
      </c>
      <c r="B1030">
        <v>879.88900000000001</v>
      </c>
      <c r="C1030">
        <v>616086.23699999996</v>
      </c>
      <c r="D1030">
        <v>3097123.9419999998</v>
      </c>
      <c r="E1030">
        <v>632.12199999999996</v>
      </c>
      <c r="F1030">
        <v>5.2</v>
      </c>
      <c r="G1030">
        <v>0</v>
      </c>
      <c r="H1030" t="s">
        <v>191</v>
      </c>
      <c r="I1030">
        <v>2E-3</v>
      </c>
      <c r="J1030">
        <f t="shared" si="506"/>
        <v>1</v>
      </c>
      <c r="K1030">
        <f t="shared" si="507"/>
        <v>51</v>
      </c>
      <c r="L1030" t="e">
        <f t="shared" ca="1" si="508"/>
        <v>#VALUE!</v>
      </c>
      <c r="M1030" t="e">
        <f t="shared" ca="1" si="481"/>
        <v>#VALUE!</v>
      </c>
      <c r="N1030" t="e">
        <f t="shared" ca="1" si="482"/>
        <v>#VALUE!</v>
      </c>
      <c r="O1030" t="e">
        <f t="shared" ca="1" si="483"/>
        <v>#VALUE!</v>
      </c>
      <c r="P1030" t="e">
        <f t="shared" ca="1" si="484"/>
        <v>#VALUE!</v>
      </c>
      <c r="Q1030" t="e">
        <f t="shared" ca="1" si="485"/>
        <v>#VALUE!</v>
      </c>
      <c r="R1030" t="e">
        <f t="shared" ca="1" si="486"/>
        <v>#VALUE!</v>
      </c>
      <c r="S1030" t="e">
        <f t="shared" ca="1" si="487"/>
        <v>#VALUE!</v>
      </c>
      <c r="T1030" t="e">
        <f t="shared" ca="1" si="488"/>
        <v>#VALUE!</v>
      </c>
      <c r="U1030" t="e">
        <f t="shared" ca="1" si="509"/>
        <v>#VALUE!</v>
      </c>
      <c r="V1030" t="e">
        <f t="shared" ca="1" si="510"/>
        <v>#VALUE!</v>
      </c>
      <c r="W1030" t="e">
        <f t="shared" ca="1" si="489"/>
        <v>#VALUE!</v>
      </c>
      <c r="X1030" t="e">
        <f t="shared" ca="1" si="490"/>
        <v>#VALUE!</v>
      </c>
      <c r="Y1030" t="e">
        <f t="shared" ca="1" si="491"/>
        <v>#VALUE!</v>
      </c>
      <c r="Z1030" t="e">
        <f t="shared" ca="1" si="492"/>
        <v>#VALUE!</v>
      </c>
      <c r="AA1030" t="e">
        <f t="shared" ca="1" si="493"/>
        <v>#VALUE!</v>
      </c>
      <c r="AB1030" t="e">
        <f t="shared" ca="1" si="494"/>
        <v>#VALUE!</v>
      </c>
      <c r="AC1030" t="e">
        <f t="shared" ca="1" si="495"/>
        <v>#VALUE!</v>
      </c>
      <c r="AD1030" t="e">
        <f t="shared" ca="1" si="496"/>
        <v>#VALUE!</v>
      </c>
      <c r="AE1030" t="e">
        <f t="shared" ca="1" si="497"/>
        <v>#VALUE!</v>
      </c>
      <c r="AF1030" t="e">
        <f t="shared" ca="1" si="498"/>
        <v>#VALUE!</v>
      </c>
      <c r="AG1030" t="e">
        <f t="shared" ca="1" si="499"/>
        <v>#VALUE!</v>
      </c>
      <c r="AH1030" t="e">
        <f ca="1">IF(V32="Supercritical",L1030,IF(V32="Subcritical",W1030,IF(AND(V1030=1,AG1030=1),IF(T1030&gt;=AE1030,L1030,W1030),IF(V1030=1,L1030,IF(AG1030=1,W1030,MAX($D$16,POWER((ABS(K1030)^2)/($I$5*MAX(F1030,0.1)^2),1/3)))))))</f>
        <v>#VALUE!</v>
      </c>
      <c r="AI1030" t="e">
        <f t="shared" ca="1" si="500"/>
        <v>#VALUE!</v>
      </c>
      <c r="AJ1030" t="e">
        <f t="shared" ca="1" si="501"/>
        <v>#VALUE!</v>
      </c>
      <c r="AM1030">
        <v>0</v>
      </c>
      <c r="AN1030">
        <v>0</v>
      </c>
      <c r="AO1030">
        <f t="shared" si="502"/>
        <v>0</v>
      </c>
      <c r="AP1030">
        <f t="shared" si="511"/>
        <v>0</v>
      </c>
      <c r="AQ1030" t="e">
        <f t="shared" ca="1" si="503"/>
        <v>#VALUE!</v>
      </c>
      <c r="AR1030" t="e">
        <f t="shared" ca="1" si="504"/>
        <v>#VALUE!</v>
      </c>
      <c r="AS1030" t="e">
        <f t="shared" ca="1" si="505"/>
        <v>#VALUE!</v>
      </c>
    </row>
    <row r="1031" spans="1:45" x14ac:dyDescent="0.35">
      <c r="A1031">
        <v>882</v>
      </c>
      <c r="B1031">
        <v>880.89</v>
      </c>
      <c r="C1031">
        <v>616086.19499999995</v>
      </c>
      <c r="D1031">
        <v>3097122.9419999998</v>
      </c>
      <c r="E1031">
        <v>632.12149999999997</v>
      </c>
      <c r="F1031">
        <v>5.2</v>
      </c>
      <c r="G1031">
        <v>0</v>
      </c>
      <c r="H1031" t="s">
        <v>191</v>
      </c>
      <c r="I1031">
        <v>2E-3</v>
      </c>
      <c r="J1031">
        <f t="shared" si="506"/>
        <v>1.0009999999999764</v>
      </c>
      <c r="K1031">
        <f t="shared" si="507"/>
        <v>51</v>
      </c>
      <c r="L1031" t="e">
        <f t="shared" ca="1" si="508"/>
        <v>#VALUE!</v>
      </c>
      <c r="M1031" t="e">
        <f t="shared" ca="1" si="481"/>
        <v>#VALUE!</v>
      </c>
      <c r="N1031" t="e">
        <f t="shared" ca="1" si="482"/>
        <v>#VALUE!</v>
      </c>
      <c r="O1031" t="e">
        <f t="shared" ca="1" si="483"/>
        <v>#VALUE!</v>
      </c>
      <c r="P1031" t="e">
        <f t="shared" ca="1" si="484"/>
        <v>#VALUE!</v>
      </c>
      <c r="Q1031" t="e">
        <f t="shared" ca="1" si="485"/>
        <v>#VALUE!</v>
      </c>
      <c r="R1031" t="e">
        <f t="shared" ca="1" si="486"/>
        <v>#VALUE!</v>
      </c>
      <c r="S1031" t="e">
        <f t="shared" ca="1" si="487"/>
        <v>#VALUE!</v>
      </c>
      <c r="T1031" t="e">
        <f t="shared" ca="1" si="488"/>
        <v>#VALUE!</v>
      </c>
      <c r="U1031" t="e">
        <f t="shared" ca="1" si="509"/>
        <v>#VALUE!</v>
      </c>
      <c r="V1031" t="e">
        <f t="shared" ca="1" si="510"/>
        <v>#VALUE!</v>
      </c>
      <c r="W1031" t="e">
        <f t="shared" ca="1" si="489"/>
        <v>#VALUE!</v>
      </c>
      <c r="X1031" t="e">
        <f t="shared" ca="1" si="490"/>
        <v>#VALUE!</v>
      </c>
      <c r="Y1031" t="e">
        <f t="shared" ca="1" si="491"/>
        <v>#VALUE!</v>
      </c>
      <c r="Z1031" t="e">
        <f t="shared" ca="1" si="492"/>
        <v>#VALUE!</v>
      </c>
      <c r="AA1031" t="e">
        <f t="shared" ca="1" si="493"/>
        <v>#VALUE!</v>
      </c>
      <c r="AB1031" t="e">
        <f t="shared" ca="1" si="494"/>
        <v>#VALUE!</v>
      </c>
      <c r="AC1031" t="e">
        <f t="shared" ca="1" si="495"/>
        <v>#VALUE!</v>
      </c>
      <c r="AD1031" t="e">
        <f t="shared" ca="1" si="496"/>
        <v>#VALUE!</v>
      </c>
      <c r="AE1031" t="e">
        <f t="shared" ca="1" si="497"/>
        <v>#VALUE!</v>
      </c>
      <c r="AF1031" t="e">
        <f t="shared" ca="1" si="498"/>
        <v>#VALUE!</v>
      </c>
      <c r="AG1031" t="e">
        <f t="shared" ca="1" si="499"/>
        <v>#VALUE!</v>
      </c>
      <c r="AH1031" t="e">
        <f ca="1">IF(V32="Supercritical",L1031,IF(V32="Subcritical",W1031,IF(AND(V1031=1,AG1031=1),IF(T1031&gt;=AE1031,L1031,W1031),IF(V1031=1,L1031,IF(AG1031=1,W1031,MAX($D$16,POWER((ABS(K1031)^2)/($I$5*MAX(F1031,0.1)^2),1/3)))))))</f>
        <v>#VALUE!</v>
      </c>
      <c r="AI1031" t="e">
        <f t="shared" ca="1" si="500"/>
        <v>#VALUE!</v>
      </c>
      <c r="AJ1031" t="e">
        <f t="shared" ca="1" si="501"/>
        <v>#VALUE!</v>
      </c>
      <c r="AM1031">
        <v>0</v>
      </c>
      <c r="AN1031">
        <v>0</v>
      </c>
      <c r="AO1031">
        <f t="shared" si="502"/>
        <v>0</v>
      </c>
      <c r="AP1031">
        <f t="shared" si="511"/>
        <v>0</v>
      </c>
      <c r="AQ1031" t="e">
        <f t="shared" ca="1" si="503"/>
        <v>#VALUE!</v>
      </c>
      <c r="AR1031" t="e">
        <f t="shared" ca="1" si="504"/>
        <v>#VALUE!</v>
      </c>
      <c r="AS1031" t="e">
        <f t="shared" ca="1" si="505"/>
        <v>#VALUE!</v>
      </c>
    </row>
    <row r="1032" spans="1:45" x14ac:dyDescent="0.35">
      <c r="A1032">
        <v>883</v>
      </c>
      <c r="B1032">
        <v>881.89</v>
      </c>
      <c r="C1032">
        <v>616086.15300000005</v>
      </c>
      <c r="D1032">
        <v>3097121.943</v>
      </c>
      <c r="E1032">
        <v>632.12099999999998</v>
      </c>
      <c r="F1032">
        <v>5.2</v>
      </c>
      <c r="G1032">
        <v>0</v>
      </c>
      <c r="H1032" t="s">
        <v>191</v>
      </c>
      <c r="I1032">
        <v>5.7000000000000002E-2</v>
      </c>
      <c r="J1032">
        <f t="shared" si="506"/>
        <v>1</v>
      </c>
      <c r="K1032">
        <f t="shared" si="507"/>
        <v>51</v>
      </c>
      <c r="L1032" t="e">
        <f t="shared" ca="1" si="508"/>
        <v>#VALUE!</v>
      </c>
      <c r="M1032" t="e">
        <f t="shared" ca="1" si="481"/>
        <v>#VALUE!</v>
      </c>
      <c r="N1032" t="e">
        <f t="shared" ca="1" si="482"/>
        <v>#VALUE!</v>
      </c>
      <c r="O1032" t="e">
        <f t="shared" ca="1" si="483"/>
        <v>#VALUE!</v>
      </c>
      <c r="P1032" t="e">
        <f t="shared" ca="1" si="484"/>
        <v>#VALUE!</v>
      </c>
      <c r="Q1032" t="e">
        <f t="shared" ca="1" si="485"/>
        <v>#VALUE!</v>
      </c>
      <c r="R1032" t="e">
        <f t="shared" ca="1" si="486"/>
        <v>#VALUE!</v>
      </c>
      <c r="S1032" t="e">
        <f t="shared" ca="1" si="487"/>
        <v>#VALUE!</v>
      </c>
      <c r="T1032" t="e">
        <f t="shared" ca="1" si="488"/>
        <v>#VALUE!</v>
      </c>
      <c r="U1032" t="e">
        <f t="shared" ca="1" si="509"/>
        <v>#VALUE!</v>
      </c>
      <c r="V1032" t="e">
        <f t="shared" ca="1" si="510"/>
        <v>#VALUE!</v>
      </c>
      <c r="W1032" t="e">
        <f t="shared" ca="1" si="489"/>
        <v>#VALUE!</v>
      </c>
      <c r="X1032" t="e">
        <f t="shared" ca="1" si="490"/>
        <v>#VALUE!</v>
      </c>
      <c r="Y1032" t="e">
        <f t="shared" ca="1" si="491"/>
        <v>#VALUE!</v>
      </c>
      <c r="Z1032" t="e">
        <f t="shared" ca="1" si="492"/>
        <v>#VALUE!</v>
      </c>
      <c r="AA1032" t="e">
        <f t="shared" ca="1" si="493"/>
        <v>#VALUE!</v>
      </c>
      <c r="AB1032" t="e">
        <f t="shared" ca="1" si="494"/>
        <v>#VALUE!</v>
      </c>
      <c r="AC1032" t="e">
        <f t="shared" ca="1" si="495"/>
        <v>#VALUE!</v>
      </c>
      <c r="AD1032" t="e">
        <f t="shared" ca="1" si="496"/>
        <v>#VALUE!</v>
      </c>
      <c r="AE1032" t="e">
        <f t="shared" ca="1" si="497"/>
        <v>#VALUE!</v>
      </c>
      <c r="AF1032" t="e">
        <f t="shared" ca="1" si="498"/>
        <v>#VALUE!</v>
      </c>
      <c r="AG1032" t="e">
        <f t="shared" ca="1" si="499"/>
        <v>#VALUE!</v>
      </c>
      <c r="AH1032" t="e">
        <f ca="1">IF(V32="Supercritical",L1032,IF(V32="Subcritical",W1032,IF(AND(V1032=1,AG1032=1),IF(T1032&gt;=AE1032,L1032,W1032),IF(V1032=1,L1032,IF(AG1032=1,W1032,MAX($D$16,POWER((ABS(K1032)^2)/($I$5*MAX(F1032,0.1)^2),1/3)))))))</f>
        <v>#VALUE!</v>
      </c>
      <c r="AI1032" t="e">
        <f t="shared" ca="1" si="500"/>
        <v>#VALUE!</v>
      </c>
      <c r="AJ1032" t="e">
        <f t="shared" ca="1" si="501"/>
        <v>#VALUE!</v>
      </c>
      <c r="AM1032">
        <v>0</v>
      </c>
      <c r="AN1032">
        <v>0</v>
      </c>
      <c r="AO1032">
        <f t="shared" si="502"/>
        <v>0</v>
      </c>
      <c r="AP1032">
        <f t="shared" si="511"/>
        <v>0</v>
      </c>
      <c r="AQ1032" t="e">
        <f t="shared" ca="1" si="503"/>
        <v>#VALUE!</v>
      </c>
      <c r="AR1032" t="e">
        <f t="shared" ca="1" si="504"/>
        <v>#VALUE!</v>
      </c>
      <c r="AS1032" t="e">
        <f t="shared" ca="1" si="505"/>
        <v>#VALUE!</v>
      </c>
    </row>
    <row r="1033" spans="1:45" x14ac:dyDescent="0.35">
      <c r="A1033">
        <v>884</v>
      </c>
      <c r="B1033">
        <v>882.88900000000001</v>
      </c>
      <c r="C1033">
        <v>616086.11</v>
      </c>
      <c r="D1033">
        <v>3097120.9440000001</v>
      </c>
      <c r="E1033">
        <v>632.12049999999999</v>
      </c>
      <c r="F1033">
        <v>5.2</v>
      </c>
      <c r="G1033">
        <v>0</v>
      </c>
      <c r="H1033" t="s">
        <v>191</v>
      </c>
      <c r="I1033">
        <v>5.7000000000000002E-2</v>
      </c>
      <c r="J1033">
        <f t="shared" si="506"/>
        <v>0.99900000000002365</v>
      </c>
      <c r="K1033">
        <f t="shared" si="507"/>
        <v>51</v>
      </c>
      <c r="L1033" t="e">
        <f t="shared" ca="1" si="508"/>
        <v>#VALUE!</v>
      </c>
      <c r="M1033" t="e">
        <f t="shared" ca="1" si="481"/>
        <v>#VALUE!</v>
      </c>
      <c r="N1033" t="e">
        <f t="shared" ca="1" si="482"/>
        <v>#VALUE!</v>
      </c>
      <c r="O1033" t="e">
        <f t="shared" ca="1" si="483"/>
        <v>#VALUE!</v>
      </c>
      <c r="P1033" t="e">
        <f t="shared" ca="1" si="484"/>
        <v>#VALUE!</v>
      </c>
      <c r="Q1033" t="e">
        <f t="shared" ca="1" si="485"/>
        <v>#VALUE!</v>
      </c>
      <c r="R1033" t="e">
        <f t="shared" ca="1" si="486"/>
        <v>#VALUE!</v>
      </c>
      <c r="S1033" t="e">
        <f t="shared" ca="1" si="487"/>
        <v>#VALUE!</v>
      </c>
      <c r="T1033" t="e">
        <f t="shared" ca="1" si="488"/>
        <v>#VALUE!</v>
      </c>
      <c r="U1033" t="e">
        <f t="shared" ca="1" si="509"/>
        <v>#VALUE!</v>
      </c>
      <c r="V1033" t="e">
        <f t="shared" ca="1" si="510"/>
        <v>#VALUE!</v>
      </c>
      <c r="W1033" t="e">
        <f t="shared" ca="1" si="489"/>
        <v>#VALUE!</v>
      </c>
      <c r="X1033" t="e">
        <f t="shared" ca="1" si="490"/>
        <v>#VALUE!</v>
      </c>
      <c r="Y1033" t="e">
        <f t="shared" ca="1" si="491"/>
        <v>#VALUE!</v>
      </c>
      <c r="Z1033" t="e">
        <f t="shared" ca="1" si="492"/>
        <v>#VALUE!</v>
      </c>
      <c r="AA1033" t="e">
        <f t="shared" ca="1" si="493"/>
        <v>#VALUE!</v>
      </c>
      <c r="AB1033" t="e">
        <f t="shared" ca="1" si="494"/>
        <v>#VALUE!</v>
      </c>
      <c r="AC1033" t="e">
        <f t="shared" ca="1" si="495"/>
        <v>#VALUE!</v>
      </c>
      <c r="AD1033" t="e">
        <f t="shared" ca="1" si="496"/>
        <v>#VALUE!</v>
      </c>
      <c r="AE1033" t="e">
        <f t="shared" ca="1" si="497"/>
        <v>#VALUE!</v>
      </c>
      <c r="AF1033" t="e">
        <f t="shared" ca="1" si="498"/>
        <v>#VALUE!</v>
      </c>
      <c r="AG1033" t="e">
        <f t="shared" ca="1" si="499"/>
        <v>#VALUE!</v>
      </c>
      <c r="AH1033" t="e">
        <f ca="1">IF(V32="Supercritical",L1033,IF(V32="Subcritical",W1033,IF(AND(V1033=1,AG1033=1),IF(T1033&gt;=AE1033,L1033,W1033),IF(V1033=1,L1033,IF(AG1033=1,W1033,MAX($D$16,POWER((ABS(K1033)^2)/($I$5*MAX(F1033,0.1)^2),1/3)))))))</f>
        <v>#VALUE!</v>
      </c>
      <c r="AI1033" t="e">
        <f t="shared" ca="1" si="500"/>
        <v>#VALUE!</v>
      </c>
      <c r="AJ1033" t="e">
        <f t="shared" ca="1" si="501"/>
        <v>#VALUE!</v>
      </c>
      <c r="AM1033">
        <v>0</v>
      </c>
      <c r="AN1033">
        <v>0</v>
      </c>
      <c r="AO1033">
        <f t="shared" si="502"/>
        <v>0</v>
      </c>
      <c r="AP1033">
        <f t="shared" si="511"/>
        <v>0</v>
      </c>
      <c r="AQ1033" t="e">
        <f t="shared" ca="1" si="503"/>
        <v>#VALUE!</v>
      </c>
      <c r="AR1033" t="e">
        <f t="shared" ca="1" si="504"/>
        <v>#VALUE!</v>
      </c>
      <c r="AS1033" t="e">
        <f t="shared" ca="1" si="505"/>
        <v>#VALUE!</v>
      </c>
    </row>
    <row r="1034" spans="1:45" x14ac:dyDescent="0.35">
      <c r="A1034">
        <v>885</v>
      </c>
      <c r="B1034">
        <v>883.88900000000001</v>
      </c>
      <c r="C1034">
        <v>616086.06799999997</v>
      </c>
      <c r="D1034">
        <v>3097119.9449999998</v>
      </c>
      <c r="E1034">
        <v>632.12</v>
      </c>
      <c r="F1034">
        <v>5.2</v>
      </c>
      <c r="G1034">
        <v>0</v>
      </c>
      <c r="H1034" t="s">
        <v>191</v>
      </c>
      <c r="I1034">
        <v>0</v>
      </c>
      <c r="J1034">
        <f t="shared" si="506"/>
        <v>1</v>
      </c>
      <c r="K1034">
        <f t="shared" si="507"/>
        <v>51</v>
      </c>
      <c r="L1034" t="e">
        <f t="shared" ca="1" si="508"/>
        <v>#VALUE!</v>
      </c>
      <c r="M1034" t="e">
        <f t="shared" ca="1" si="481"/>
        <v>#VALUE!</v>
      </c>
      <c r="N1034" t="e">
        <f t="shared" ca="1" si="482"/>
        <v>#VALUE!</v>
      </c>
      <c r="O1034" t="e">
        <f t="shared" ca="1" si="483"/>
        <v>#VALUE!</v>
      </c>
      <c r="P1034" t="e">
        <f t="shared" ca="1" si="484"/>
        <v>#VALUE!</v>
      </c>
      <c r="Q1034" t="e">
        <f t="shared" ca="1" si="485"/>
        <v>#VALUE!</v>
      </c>
      <c r="R1034" t="e">
        <f t="shared" ca="1" si="486"/>
        <v>#VALUE!</v>
      </c>
      <c r="S1034" t="e">
        <f t="shared" ca="1" si="487"/>
        <v>#VALUE!</v>
      </c>
      <c r="T1034" t="e">
        <f t="shared" ca="1" si="488"/>
        <v>#VALUE!</v>
      </c>
      <c r="U1034" t="e">
        <f t="shared" ca="1" si="509"/>
        <v>#VALUE!</v>
      </c>
      <c r="V1034" t="e">
        <f t="shared" ca="1" si="510"/>
        <v>#VALUE!</v>
      </c>
      <c r="W1034" t="e">
        <f t="shared" ca="1" si="489"/>
        <v>#VALUE!</v>
      </c>
      <c r="X1034" t="e">
        <f t="shared" ca="1" si="490"/>
        <v>#VALUE!</v>
      </c>
      <c r="Y1034" t="e">
        <f t="shared" ca="1" si="491"/>
        <v>#VALUE!</v>
      </c>
      <c r="Z1034" t="e">
        <f t="shared" ca="1" si="492"/>
        <v>#VALUE!</v>
      </c>
      <c r="AA1034" t="e">
        <f t="shared" ca="1" si="493"/>
        <v>#VALUE!</v>
      </c>
      <c r="AB1034" t="e">
        <f t="shared" ca="1" si="494"/>
        <v>#VALUE!</v>
      </c>
      <c r="AC1034" t="e">
        <f t="shared" ca="1" si="495"/>
        <v>#VALUE!</v>
      </c>
      <c r="AD1034" t="e">
        <f t="shared" ca="1" si="496"/>
        <v>#VALUE!</v>
      </c>
      <c r="AE1034" t="e">
        <f t="shared" ca="1" si="497"/>
        <v>#VALUE!</v>
      </c>
      <c r="AF1034" t="e">
        <f t="shared" ca="1" si="498"/>
        <v>#VALUE!</v>
      </c>
      <c r="AG1034" t="e">
        <f t="shared" ca="1" si="499"/>
        <v>#VALUE!</v>
      </c>
      <c r="AH1034" t="e">
        <f ca="1">IF(V32="Supercritical",L1034,IF(V32="Subcritical",W1034,IF(AND(V1034=1,AG1034=1),IF(T1034&gt;=AE1034,L1034,W1034),IF(V1034=1,L1034,IF(AG1034=1,W1034,MAX($D$16,POWER((ABS(K1034)^2)/($I$5*MAX(F1034,0.1)^2),1/3)))))))</f>
        <v>#VALUE!</v>
      </c>
      <c r="AI1034" t="e">
        <f t="shared" ca="1" si="500"/>
        <v>#VALUE!</v>
      </c>
      <c r="AJ1034" t="e">
        <f t="shared" ca="1" si="501"/>
        <v>#VALUE!</v>
      </c>
      <c r="AM1034">
        <v>0</v>
      </c>
      <c r="AN1034">
        <v>0</v>
      </c>
      <c r="AO1034">
        <f t="shared" si="502"/>
        <v>0</v>
      </c>
      <c r="AP1034">
        <f t="shared" si="511"/>
        <v>0</v>
      </c>
      <c r="AQ1034" t="e">
        <f t="shared" ca="1" si="503"/>
        <v>#VALUE!</v>
      </c>
      <c r="AR1034" t="e">
        <f t="shared" ca="1" si="504"/>
        <v>#VALUE!</v>
      </c>
      <c r="AS1034" t="e">
        <f t="shared" ca="1" si="505"/>
        <v>#VALUE!</v>
      </c>
    </row>
    <row r="1035" spans="1:45" x14ac:dyDescent="0.35">
      <c r="A1035">
        <v>886</v>
      </c>
      <c r="B1035">
        <v>884.88900000000001</v>
      </c>
      <c r="C1035">
        <v>616086.02599999995</v>
      </c>
      <c r="D1035">
        <v>3097118.946</v>
      </c>
      <c r="E1035">
        <v>632.11950000000002</v>
      </c>
      <c r="F1035">
        <v>5.2</v>
      </c>
      <c r="G1035">
        <v>0</v>
      </c>
      <c r="H1035" t="s">
        <v>191</v>
      </c>
      <c r="I1035">
        <v>0</v>
      </c>
      <c r="J1035">
        <f t="shared" si="506"/>
        <v>1</v>
      </c>
      <c r="K1035">
        <f t="shared" si="507"/>
        <v>51</v>
      </c>
      <c r="L1035" t="e">
        <f t="shared" ca="1" si="508"/>
        <v>#VALUE!</v>
      </c>
      <c r="M1035" t="e">
        <f t="shared" ca="1" si="481"/>
        <v>#VALUE!</v>
      </c>
      <c r="N1035" t="e">
        <f t="shared" ca="1" si="482"/>
        <v>#VALUE!</v>
      </c>
      <c r="O1035" t="e">
        <f t="shared" ca="1" si="483"/>
        <v>#VALUE!</v>
      </c>
      <c r="P1035" t="e">
        <f t="shared" ca="1" si="484"/>
        <v>#VALUE!</v>
      </c>
      <c r="Q1035" t="e">
        <f t="shared" ca="1" si="485"/>
        <v>#VALUE!</v>
      </c>
      <c r="R1035" t="e">
        <f t="shared" ca="1" si="486"/>
        <v>#VALUE!</v>
      </c>
      <c r="S1035" t="e">
        <f t="shared" ca="1" si="487"/>
        <v>#VALUE!</v>
      </c>
      <c r="T1035" t="e">
        <f t="shared" ca="1" si="488"/>
        <v>#VALUE!</v>
      </c>
      <c r="U1035" t="e">
        <f t="shared" ca="1" si="509"/>
        <v>#VALUE!</v>
      </c>
      <c r="V1035" t="e">
        <f t="shared" ca="1" si="510"/>
        <v>#VALUE!</v>
      </c>
      <c r="W1035" t="e">
        <f t="shared" ca="1" si="489"/>
        <v>#VALUE!</v>
      </c>
      <c r="X1035" t="e">
        <f t="shared" ca="1" si="490"/>
        <v>#VALUE!</v>
      </c>
      <c r="Y1035" t="e">
        <f t="shared" ca="1" si="491"/>
        <v>#VALUE!</v>
      </c>
      <c r="Z1035" t="e">
        <f t="shared" ca="1" si="492"/>
        <v>#VALUE!</v>
      </c>
      <c r="AA1035" t="e">
        <f t="shared" ca="1" si="493"/>
        <v>#VALUE!</v>
      </c>
      <c r="AB1035" t="e">
        <f t="shared" ca="1" si="494"/>
        <v>#VALUE!</v>
      </c>
      <c r="AC1035" t="e">
        <f t="shared" ca="1" si="495"/>
        <v>#VALUE!</v>
      </c>
      <c r="AD1035" t="e">
        <f t="shared" ca="1" si="496"/>
        <v>#VALUE!</v>
      </c>
      <c r="AE1035" t="e">
        <f t="shared" ca="1" si="497"/>
        <v>#VALUE!</v>
      </c>
      <c r="AF1035" t="e">
        <f t="shared" ca="1" si="498"/>
        <v>#VALUE!</v>
      </c>
      <c r="AG1035" t="e">
        <f t="shared" ca="1" si="499"/>
        <v>#VALUE!</v>
      </c>
      <c r="AH1035" t="e">
        <f ca="1">IF(V32="Supercritical",L1035,IF(V32="Subcritical",W1035,IF(AND(V1035=1,AG1035=1),IF(T1035&gt;=AE1035,L1035,W1035),IF(V1035=1,L1035,IF(AG1035=1,W1035,MAX($D$16,POWER((ABS(K1035)^2)/($I$5*MAX(F1035,0.1)^2),1/3)))))))</f>
        <v>#VALUE!</v>
      </c>
      <c r="AI1035" t="e">
        <f t="shared" ca="1" si="500"/>
        <v>#VALUE!</v>
      </c>
      <c r="AJ1035" t="e">
        <f t="shared" ca="1" si="501"/>
        <v>#VALUE!</v>
      </c>
      <c r="AM1035">
        <v>0</v>
      </c>
      <c r="AN1035">
        <v>0</v>
      </c>
      <c r="AO1035">
        <f t="shared" si="502"/>
        <v>0</v>
      </c>
      <c r="AP1035">
        <f t="shared" si="511"/>
        <v>0</v>
      </c>
      <c r="AQ1035" t="e">
        <f t="shared" ca="1" si="503"/>
        <v>#VALUE!</v>
      </c>
      <c r="AR1035" t="e">
        <f t="shared" ca="1" si="504"/>
        <v>#VALUE!</v>
      </c>
      <c r="AS1035" t="e">
        <f t="shared" ca="1" si="505"/>
        <v>#VALUE!</v>
      </c>
    </row>
    <row r="1036" spans="1:45" x14ac:dyDescent="0.35">
      <c r="A1036">
        <v>887</v>
      </c>
      <c r="B1036">
        <v>885.88900000000001</v>
      </c>
      <c r="C1036">
        <v>616085.98400000005</v>
      </c>
      <c r="D1036">
        <v>3097117.9470000002</v>
      </c>
      <c r="E1036">
        <v>632.11900000000003</v>
      </c>
      <c r="F1036">
        <v>5.2</v>
      </c>
      <c r="G1036">
        <v>0</v>
      </c>
      <c r="H1036" t="s">
        <v>191</v>
      </c>
      <c r="I1036">
        <v>5.7000000000000002E-2</v>
      </c>
      <c r="J1036">
        <f t="shared" si="506"/>
        <v>1</v>
      </c>
      <c r="K1036">
        <f t="shared" si="507"/>
        <v>51</v>
      </c>
      <c r="L1036" t="e">
        <f t="shared" ca="1" si="508"/>
        <v>#VALUE!</v>
      </c>
      <c r="M1036" t="e">
        <f t="shared" ca="1" si="481"/>
        <v>#VALUE!</v>
      </c>
      <c r="N1036" t="e">
        <f t="shared" ca="1" si="482"/>
        <v>#VALUE!</v>
      </c>
      <c r="O1036" t="e">
        <f t="shared" ca="1" si="483"/>
        <v>#VALUE!</v>
      </c>
      <c r="P1036" t="e">
        <f t="shared" ca="1" si="484"/>
        <v>#VALUE!</v>
      </c>
      <c r="Q1036" t="e">
        <f t="shared" ca="1" si="485"/>
        <v>#VALUE!</v>
      </c>
      <c r="R1036" t="e">
        <f t="shared" ca="1" si="486"/>
        <v>#VALUE!</v>
      </c>
      <c r="S1036" t="e">
        <f t="shared" ca="1" si="487"/>
        <v>#VALUE!</v>
      </c>
      <c r="T1036" t="e">
        <f t="shared" ca="1" si="488"/>
        <v>#VALUE!</v>
      </c>
      <c r="U1036" t="e">
        <f t="shared" ca="1" si="509"/>
        <v>#VALUE!</v>
      </c>
      <c r="V1036" t="e">
        <f t="shared" ca="1" si="510"/>
        <v>#VALUE!</v>
      </c>
      <c r="W1036" t="e">
        <f t="shared" ca="1" si="489"/>
        <v>#VALUE!</v>
      </c>
      <c r="X1036" t="e">
        <f t="shared" ca="1" si="490"/>
        <v>#VALUE!</v>
      </c>
      <c r="Y1036" t="e">
        <f t="shared" ca="1" si="491"/>
        <v>#VALUE!</v>
      </c>
      <c r="Z1036" t="e">
        <f t="shared" ca="1" si="492"/>
        <v>#VALUE!</v>
      </c>
      <c r="AA1036" t="e">
        <f t="shared" ca="1" si="493"/>
        <v>#VALUE!</v>
      </c>
      <c r="AB1036" t="e">
        <f t="shared" ca="1" si="494"/>
        <v>#VALUE!</v>
      </c>
      <c r="AC1036" t="e">
        <f t="shared" ca="1" si="495"/>
        <v>#VALUE!</v>
      </c>
      <c r="AD1036" t="e">
        <f t="shared" ca="1" si="496"/>
        <v>#VALUE!</v>
      </c>
      <c r="AE1036" t="e">
        <f t="shared" ca="1" si="497"/>
        <v>#VALUE!</v>
      </c>
      <c r="AF1036" t="e">
        <f t="shared" ca="1" si="498"/>
        <v>#VALUE!</v>
      </c>
      <c r="AG1036" t="e">
        <f t="shared" ca="1" si="499"/>
        <v>#VALUE!</v>
      </c>
      <c r="AH1036" t="e">
        <f ca="1">IF(V32="Supercritical",L1036,IF(V32="Subcritical",W1036,IF(AND(V1036=1,AG1036=1),IF(T1036&gt;=AE1036,L1036,W1036),IF(V1036=1,L1036,IF(AG1036=1,W1036,MAX($D$16,POWER((ABS(K1036)^2)/($I$5*MAX(F1036,0.1)^2),1/3)))))))</f>
        <v>#VALUE!</v>
      </c>
      <c r="AI1036" t="e">
        <f t="shared" ca="1" si="500"/>
        <v>#VALUE!</v>
      </c>
      <c r="AJ1036" t="e">
        <f t="shared" ca="1" si="501"/>
        <v>#VALUE!</v>
      </c>
      <c r="AM1036">
        <v>0</v>
      </c>
      <c r="AN1036">
        <v>0</v>
      </c>
      <c r="AO1036">
        <f t="shared" si="502"/>
        <v>0</v>
      </c>
      <c r="AP1036">
        <f t="shared" si="511"/>
        <v>0</v>
      </c>
      <c r="AQ1036" t="e">
        <f t="shared" ca="1" si="503"/>
        <v>#VALUE!</v>
      </c>
      <c r="AR1036" t="e">
        <f t="shared" ca="1" si="504"/>
        <v>#VALUE!</v>
      </c>
      <c r="AS1036" t="e">
        <f t="shared" ca="1" si="505"/>
        <v>#VALUE!</v>
      </c>
    </row>
    <row r="1037" spans="1:45" x14ac:dyDescent="0.35">
      <c r="A1037">
        <v>888</v>
      </c>
      <c r="B1037">
        <v>886.88900000000001</v>
      </c>
      <c r="C1037">
        <v>616085.94099999999</v>
      </c>
      <c r="D1037">
        <v>3097116.9479999999</v>
      </c>
      <c r="E1037">
        <v>632.11850000000004</v>
      </c>
      <c r="F1037">
        <v>5.2</v>
      </c>
      <c r="G1037">
        <v>0</v>
      </c>
      <c r="H1037" t="s">
        <v>191</v>
      </c>
      <c r="I1037">
        <v>5.7000000000000002E-2</v>
      </c>
      <c r="J1037">
        <f t="shared" si="506"/>
        <v>1</v>
      </c>
      <c r="K1037">
        <f t="shared" si="507"/>
        <v>51</v>
      </c>
      <c r="L1037" t="e">
        <f t="shared" ca="1" si="508"/>
        <v>#VALUE!</v>
      </c>
      <c r="M1037" t="e">
        <f t="shared" ca="1" si="481"/>
        <v>#VALUE!</v>
      </c>
      <c r="N1037" t="e">
        <f t="shared" ca="1" si="482"/>
        <v>#VALUE!</v>
      </c>
      <c r="O1037" t="e">
        <f t="shared" ca="1" si="483"/>
        <v>#VALUE!</v>
      </c>
      <c r="P1037" t="e">
        <f t="shared" ca="1" si="484"/>
        <v>#VALUE!</v>
      </c>
      <c r="Q1037" t="e">
        <f t="shared" ca="1" si="485"/>
        <v>#VALUE!</v>
      </c>
      <c r="R1037" t="e">
        <f t="shared" ca="1" si="486"/>
        <v>#VALUE!</v>
      </c>
      <c r="S1037" t="e">
        <f t="shared" ca="1" si="487"/>
        <v>#VALUE!</v>
      </c>
      <c r="T1037" t="e">
        <f t="shared" ca="1" si="488"/>
        <v>#VALUE!</v>
      </c>
      <c r="U1037" t="e">
        <f t="shared" ca="1" si="509"/>
        <v>#VALUE!</v>
      </c>
      <c r="V1037" t="e">
        <f t="shared" ca="1" si="510"/>
        <v>#VALUE!</v>
      </c>
      <c r="W1037" t="e">
        <f t="shared" ca="1" si="489"/>
        <v>#VALUE!</v>
      </c>
      <c r="X1037" t="e">
        <f t="shared" ca="1" si="490"/>
        <v>#VALUE!</v>
      </c>
      <c r="Y1037" t="e">
        <f t="shared" ca="1" si="491"/>
        <v>#VALUE!</v>
      </c>
      <c r="Z1037" t="e">
        <f t="shared" ca="1" si="492"/>
        <v>#VALUE!</v>
      </c>
      <c r="AA1037" t="e">
        <f t="shared" ca="1" si="493"/>
        <v>#VALUE!</v>
      </c>
      <c r="AB1037" t="e">
        <f t="shared" ca="1" si="494"/>
        <v>#VALUE!</v>
      </c>
      <c r="AC1037" t="e">
        <f t="shared" ca="1" si="495"/>
        <v>#VALUE!</v>
      </c>
      <c r="AD1037" t="e">
        <f t="shared" ca="1" si="496"/>
        <v>#VALUE!</v>
      </c>
      <c r="AE1037" t="e">
        <f t="shared" ca="1" si="497"/>
        <v>#VALUE!</v>
      </c>
      <c r="AF1037" t="e">
        <f t="shared" ca="1" si="498"/>
        <v>#VALUE!</v>
      </c>
      <c r="AG1037" t="e">
        <f t="shared" ca="1" si="499"/>
        <v>#VALUE!</v>
      </c>
      <c r="AH1037" t="e">
        <f ca="1">IF(V32="Supercritical",L1037,IF(V32="Subcritical",W1037,IF(AND(V1037=1,AG1037=1),IF(T1037&gt;=AE1037,L1037,W1037),IF(V1037=1,L1037,IF(AG1037=1,W1037,MAX($D$16,POWER((ABS(K1037)^2)/($I$5*MAX(F1037,0.1)^2),1/3)))))))</f>
        <v>#VALUE!</v>
      </c>
      <c r="AI1037" t="e">
        <f t="shared" ca="1" si="500"/>
        <v>#VALUE!</v>
      </c>
      <c r="AJ1037" t="e">
        <f t="shared" ca="1" si="501"/>
        <v>#VALUE!</v>
      </c>
      <c r="AM1037">
        <v>0</v>
      </c>
      <c r="AN1037">
        <v>0</v>
      </c>
      <c r="AO1037">
        <f t="shared" si="502"/>
        <v>0</v>
      </c>
      <c r="AP1037">
        <f t="shared" si="511"/>
        <v>0</v>
      </c>
      <c r="AQ1037" t="e">
        <f t="shared" ca="1" si="503"/>
        <v>#VALUE!</v>
      </c>
      <c r="AR1037" t="e">
        <f t="shared" ca="1" si="504"/>
        <v>#VALUE!</v>
      </c>
      <c r="AS1037" t="e">
        <f t="shared" ca="1" si="505"/>
        <v>#VALUE!</v>
      </c>
    </row>
    <row r="1038" spans="1:45" x14ac:dyDescent="0.35">
      <c r="A1038">
        <v>889</v>
      </c>
      <c r="B1038">
        <v>887.88900000000001</v>
      </c>
      <c r="C1038">
        <v>616085.89899999998</v>
      </c>
      <c r="D1038">
        <v>3097115.949</v>
      </c>
      <c r="E1038">
        <v>632.11800000000005</v>
      </c>
      <c r="F1038">
        <v>5.2</v>
      </c>
      <c r="G1038">
        <v>0</v>
      </c>
      <c r="H1038" t="s">
        <v>191</v>
      </c>
      <c r="I1038">
        <v>0</v>
      </c>
      <c r="J1038">
        <f t="shared" si="506"/>
        <v>1</v>
      </c>
      <c r="K1038">
        <f t="shared" si="507"/>
        <v>51</v>
      </c>
      <c r="L1038" t="e">
        <f t="shared" ca="1" si="508"/>
        <v>#VALUE!</v>
      </c>
      <c r="M1038" t="e">
        <f t="shared" ca="1" si="481"/>
        <v>#VALUE!</v>
      </c>
      <c r="N1038" t="e">
        <f t="shared" ca="1" si="482"/>
        <v>#VALUE!</v>
      </c>
      <c r="O1038" t="e">
        <f t="shared" ca="1" si="483"/>
        <v>#VALUE!</v>
      </c>
      <c r="P1038" t="e">
        <f t="shared" ca="1" si="484"/>
        <v>#VALUE!</v>
      </c>
      <c r="Q1038" t="e">
        <f t="shared" ca="1" si="485"/>
        <v>#VALUE!</v>
      </c>
      <c r="R1038" t="e">
        <f t="shared" ca="1" si="486"/>
        <v>#VALUE!</v>
      </c>
      <c r="S1038" t="e">
        <f t="shared" ca="1" si="487"/>
        <v>#VALUE!</v>
      </c>
      <c r="T1038" t="e">
        <f t="shared" ca="1" si="488"/>
        <v>#VALUE!</v>
      </c>
      <c r="U1038" t="e">
        <f t="shared" ca="1" si="509"/>
        <v>#VALUE!</v>
      </c>
      <c r="V1038" t="e">
        <f t="shared" ca="1" si="510"/>
        <v>#VALUE!</v>
      </c>
      <c r="W1038" t="e">
        <f t="shared" ca="1" si="489"/>
        <v>#VALUE!</v>
      </c>
      <c r="X1038" t="e">
        <f t="shared" ca="1" si="490"/>
        <v>#VALUE!</v>
      </c>
      <c r="Y1038" t="e">
        <f t="shared" ca="1" si="491"/>
        <v>#VALUE!</v>
      </c>
      <c r="Z1038" t="e">
        <f t="shared" ca="1" si="492"/>
        <v>#VALUE!</v>
      </c>
      <c r="AA1038" t="e">
        <f t="shared" ca="1" si="493"/>
        <v>#VALUE!</v>
      </c>
      <c r="AB1038" t="e">
        <f t="shared" ca="1" si="494"/>
        <v>#VALUE!</v>
      </c>
      <c r="AC1038" t="e">
        <f t="shared" ca="1" si="495"/>
        <v>#VALUE!</v>
      </c>
      <c r="AD1038" t="e">
        <f t="shared" ca="1" si="496"/>
        <v>#VALUE!</v>
      </c>
      <c r="AE1038" t="e">
        <f t="shared" ca="1" si="497"/>
        <v>#VALUE!</v>
      </c>
      <c r="AF1038" t="e">
        <f t="shared" ca="1" si="498"/>
        <v>#VALUE!</v>
      </c>
      <c r="AG1038" t="e">
        <f t="shared" ca="1" si="499"/>
        <v>#VALUE!</v>
      </c>
      <c r="AH1038" t="e">
        <f ca="1">IF(V32="Supercritical",L1038,IF(V32="Subcritical",W1038,IF(AND(V1038=1,AG1038=1),IF(T1038&gt;=AE1038,L1038,W1038),IF(V1038=1,L1038,IF(AG1038=1,W1038,MAX($D$16,POWER((ABS(K1038)^2)/($I$5*MAX(F1038,0.1)^2),1/3)))))))</f>
        <v>#VALUE!</v>
      </c>
      <c r="AI1038" t="e">
        <f t="shared" ca="1" si="500"/>
        <v>#VALUE!</v>
      </c>
      <c r="AJ1038" t="e">
        <f t="shared" ca="1" si="501"/>
        <v>#VALUE!</v>
      </c>
      <c r="AM1038">
        <v>0</v>
      </c>
      <c r="AN1038">
        <v>0</v>
      </c>
      <c r="AO1038">
        <f t="shared" si="502"/>
        <v>0</v>
      </c>
      <c r="AP1038">
        <f t="shared" si="511"/>
        <v>0</v>
      </c>
      <c r="AQ1038" t="e">
        <f t="shared" ca="1" si="503"/>
        <v>#VALUE!</v>
      </c>
      <c r="AR1038" t="e">
        <f t="shared" ca="1" si="504"/>
        <v>#VALUE!</v>
      </c>
      <c r="AS1038" t="e">
        <f t="shared" ca="1" si="505"/>
        <v>#VALUE!</v>
      </c>
    </row>
    <row r="1039" spans="1:45" x14ac:dyDescent="0.35">
      <c r="A1039">
        <v>890</v>
      </c>
      <c r="B1039">
        <v>888.88900000000001</v>
      </c>
      <c r="C1039">
        <v>616085.85699999996</v>
      </c>
      <c r="D1039">
        <v>3097114.95</v>
      </c>
      <c r="E1039">
        <v>632.11749999999995</v>
      </c>
      <c r="F1039">
        <v>5.2</v>
      </c>
      <c r="G1039">
        <v>0</v>
      </c>
      <c r="H1039" t="s">
        <v>191</v>
      </c>
      <c r="I1039">
        <v>2E-3</v>
      </c>
      <c r="J1039">
        <f t="shared" si="506"/>
        <v>1</v>
      </c>
      <c r="K1039">
        <f t="shared" si="507"/>
        <v>51</v>
      </c>
      <c r="L1039" t="e">
        <f t="shared" ca="1" si="508"/>
        <v>#VALUE!</v>
      </c>
      <c r="M1039" t="e">
        <f t="shared" ca="1" si="481"/>
        <v>#VALUE!</v>
      </c>
      <c r="N1039" t="e">
        <f t="shared" ca="1" si="482"/>
        <v>#VALUE!</v>
      </c>
      <c r="O1039" t="e">
        <f t="shared" ca="1" si="483"/>
        <v>#VALUE!</v>
      </c>
      <c r="P1039" t="e">
        <f t="shared" ca="1" si="484"/>
        <v>#VALUE!</v>
      </c>
      <c r="Q1039" t="e">
        <f t="shared" ca="1" si="485"/>
        <v>#VALUE!</v>
      </c>
      <c r="R1039" t="e">
        <f t="shared" ca="1" si="486"/>
        <v>#VALUE!</v>
      </c>
      <c r="S1039" t="e">
        <f t="shared" ca="1" si="487"/>
        <v>#VALUE!</v>
      </c>
      <c r="T1039" t="e">
        <f t="shared" ca="1" si="488"/>
        <v>#VALUE!</v>
      </c>
      <c r="U1039" t="e">
        <f t="shared" ca="1" si="509"/>
        <v>#VALUE!</v>
      </c>
      <c r="V1039" t="e">
        <f t="shared" ca="1" si="510"/>
        <v>#VALUE!</v>
      </c>
      <c r="W1039" t="e">
        <f t="shared" ca="1" si="489"/>
        <v>#VALUE!</v>
      </c>
      <c r="X1039" t="e">
        <f t="shared" ca="1" si="490"/>
        <v>#VALUE!</v>
      </c>
      <c r="Y1039" t="e">
        <f t="shared" ca="1" si="491"/>
        <v>#VALUE!</v>
      </c>
      <c r="Z1039" t="e">
        <f t="shared" ca="1" si="492"/>
        <v>#VALUE!</v>
      </c>
      <c r="AA1039" t="e">
        <f t="shared" ca="1" si="493"/>
        <v>#VALUE!</v>
      </c>
      <c r="AB1039" t="e">
        <f t="shared" ca="1" si="494"/>
        <v>#VALUE!</v>
      </c>
      <c r="AC1039" t="e">
        <f t="shared" ca="1" si="495"/>
        <v>#VALUE!</v>
      </c>
      <c r="AD1039" t="e">
        <f t="shared" ca="1" si="496"/>
        <v>#VALUE!</v>
      </c>
      <c r="AE1039" t="e">
        <f t="shared" ca="1" si="497"/>
        <v>#VALUE!</v>
      </c>
      <c r="AF1039" t="e">
        <f t="shared" ca="1" si="498"/>
        <v>#VALUE!</v>
      </c>
      <c r="AG1039" t="e">
        <f t="shared" ca="1" si="499"/>
        <v>#VALUE!</v>
      </c>
      <c r="AH1039" t="e">
        <f ca="1">IF(V32="Supercritical",L1039,IF(V32="Subcritical",W1039,IF(AND(V1039=1,AG1039=1),IF(T1039&gt;=AE1039,L1039,W1039),IF(V1039=1,L1039,IF(AG1039=1,W1039,MAX($D$16,POWER((ABS(K1039)^2)/($I$5*MAX(F1039,0.1)^2),1/3)))))))</f>
        <v>#VALUE!</v>
      </c>
      <c r="AI1039" t="e">
        <f t="shared" ca="1" si="500"/>
        <v>#VALUE!</v>
      </c>
      <c r="AJ1039" t="e">
        <f t="shared" ca="1" si="501"/>
        <v>#VALUE!</v>
      </c>
      <c r="AM1039">
        <v>0</v>
      </c>
      <c r="AN1039">
        <v>0</v>
      </c>
      <c r="AO1039">
        <f t="shared" si="502"/>
        <v>0</v>
      </c>
      <c r="AP1039">
        <f t="shared" si="511"/>
        <v>0</v>
      </c>
      <c r="AQ1039" t="e">
        <f t="shared" ca="1" si="503"/>
        <v>#VALUE!</v>
      </c>
      <c r="AR1039" t="e">
        <f t="shared" ca="1" si="504"/>
        <v>#VALUE!</v>
      </c>
      <c r="AS1039" t="e">
        <f t="shared" ca="1" si="505"/>
        <v>#VALUE!</v>
      </c>
    </row>
    <row r="1040" spans="1:45" x14ac:dyDescent="0.35">
      <c r="A1040">
        <v>891</v>
      </c>
      <c r="B1040">
        <v>889.89</v>
      </c>
      <c r="C1040">
        <v>616085.81499999994</v>
      </c>
      <c r="D1040">
        <v>3097113.95</v>
      </c>
      <c r="E1040">
        <v>632.11699999999996</v>
      </c>
      <c r="F1040">
        <v>5.2</v>
      </c>
      <c r="G1040">
        <v>0</v>
      </c>
      <c r="H1040" t="s">
        <v>191</v>
      </c>
      <c r="I1040">
        <v>0.06</v>
      </c>
      <c r="J1040">
        <f t="shared" si="506"/>
        <v>1.0009999999999764</v>
      </c>
      <c r="K1040">
        <f t="shared" si="507"/>
        <v>51</v>
      </c>
      <c r="L1040" t="e">
        <f t="shared" ca="1" si="508"/>
        <v>#VALUE!</v>
      </c>
      <c r="M1040" t="e">
        <f t="shared" ca="1" si="481"/>
        <v>#VALUE!</v>
      </c>
      <c r="N1040" t="e">
        <f t="shared" ca="1" si="482"/>
        <v>#VALUE!</v>
      </c>
      <c r="O1040" t="e">
        <f t="shared" ca="1" si="483"/>
        <v>#VALUE!</v>
      </c>
      <c r="P1040" t="e">
        <f t="shared" ca="1" si="484"/>
        <v>#VALUE!</v>
      </c>
      <c r="Q1040" t="e">
        <f t="shared" ca="1" si="485"/>
        <v>#VALUE!</v>
      </c>
      <c r="R1040" t="e">
        <f t="shared" ca="1" si="486"/>
        <v>#VALUE!</v>
      </c>
      <c r="S1040" t="e">
        <f t="shared" ca="1" si="487"/>
        <v>#VALUE!</v>
      </c>
      <c r="T1040" t="e">
        <f t="shared" ca="1" si="488"/>
        <v>#VALUE!</v>
      </c>
      <c r="U1040" t="e">
        <f t="shared" ca="1" si="509"/>
        <v>#VALUE!</v>
      </c>
      <c r="V1040" t="e">
        <f t="shared" ca="1" si="510"/>
        <v>#VALUE!</v>
      </c>
      <c r="W1040" t="e">
        <f t="shared" ca="1" si="489"/>
        <v>#VALUE!</v>
      </c>
      <c r="X1040" t="e">
        <f t="shared" ca="1" si="490"/>
        <v>#VALUE!</v>
      </c>
      <c r="Y1040" t="e">
        <f t="shared" ca="1" si="491"/>
        <v>#VALUE!</v>
      </c>
      <c r="Z1040" t="e">
        <f t="shared" ca="1" si="492"/>
        <v>#VALUE!</v>
      </c>
      <c r="AA1040" t="e">
        <f t="shared" ca="1" si="493"/>
        <v>#VALUE!</v>
      </c>
      <c r="AB1040" t="e">
        <f t="shared" ca="1" si="494"/>
        <v>#VALUE!</v>
      </c>
      <c r="AC1040" t="e">
        <f t="shared" ca="1" si="495"/>
        <v>#VALUE!</v>
      </c>
      <c r="AD1040" t="e">
        <f t="shared" ca="1" si="496"/>
        <v>#VALUE!</v>
      </c>
      <c r="AE1040" t="e">
        <f t="shared" ca="1" si="497"/>
        <v>#VALUE!</v>
      </c>
      <c r="AF1040" t="e">
        <f t="shared" ca="1" si="498"/>
        <v>#VALUE!</v>
      </c>
      <c r="AG1040" t="e">
        <f t="shared" ca="1" si="499"/>
        <v>#VALUE!</v>
      </c>
      <c r="AH1040" t="e">
        <f ca="1">IF(V32="Supercritical",L1040,IF(V32="Subcritical",W1040,IF(AND(V1040=1,AG1040=1),IF(T1040&gt;=AE1040,L1040,W1040),IF(V1040=1,L1040,IF(AG1040=1,W1040,MAX($D$16,POWER((ABS(K1040)^2)/($I$5*MAX(F1040,0.1)^2),1/3)))))))</f>
        <v>#VALUE!</v>
      </c>
      <c r="AI1040" t="e">
        <f t="shared" ca="1" si="500"/>
        <v>#VALUE!</v>
      </c>
      <c r="AJ1040" t="e">
        <f t="shared" ca="1" si="501"/>
        <v>#VALUE!</v>
      </c>
      <c r="AM1040">
        <v>0</v>
      </c>
      <c r="AN1040">
        <v>0</v>
      </c>
      <c r="AO1040">
        <f t="shared" si="502"/>
        <v>0</v>
      </c>
      <c r="AP1040">
        <f t="shared" si="511"/>
        <v>0</v>
      </c>
      <c r="AQ1040" t="e">
        <f t="shared" ca="1" si="503"/>
        <v>#VALUE!</v>
      </c>
      <c r="AR1040" t="e">
        <f t="shared" ca="1" si="504"/>
        <v>#VALUE!</v>
      </c>
      <c r="AS1040" t="e">
        <f t="shared" ca="1" si="505"/>
        <v>#VALUE!</v>
      </c>
    </row>
    <row r="1041" spans="1:45" x14ac:dyDescent="0.35">
      <c r="A1041">
        <v>892</v>
      </c>
      <c r="B1041">
        <v>890.89</v>
      </c>
      <c r="C1041">
        <v>616085.772</v>
      </c>
      <c r="D1041">
        <v>3097112.9509999999</v>
      </c>
      <c r="E1041">
        <v>632.11649999999997</v>
      </c>
      <c r="F1041">
        <v>5.2</v>
      </c>
      <c r="G1041">
        <v>0</v>
      </c>
      <c r="H1041" t="s">
        <v>191</v>
      </c>
      <c r="I1041">
        <v>5.7000000000000002E-2</v>
      </c>
      <c r="J1041">
        <f t="shared" si="506"/>
        <v>1</v>
      </c>
      <c r="K1041">
        <f t="shared" si="507"/>
        <v>51</v>
      </c>
      <c r="L1041" t="e">
        <f t="shared" ca="1" si="508"/>
        <v>#VALUE!</v>
      </c>
      <c r="M1041" t="e">
        <f t="shared" ca="1" si="481"/>
        <v>#VALUE!</v>
      </c>
      <c r="N1041" t="e">
        <f t="shared" ca="1" si="482"/>
        <v>#VALUE!</v>
      </c>
      <c r="O1041" t="e">
        <f t="shared" ca="1" si="483"/>
        <v>#VALUE!</v>
      </c>
      <c r="P1041" t="e">
        <f t="shared" ca="1" si="484"/>
        <v>#VALUE!</v>
      </c>
      <c r="Q1041" t="e">
        <f t="shared" ca="1" si="485"/>
        <v>#VALUE!</v>
      </c>
      <c r="R1041" t="e">
        <f t="shared" ca="1" si="486"/>
        <v>#VALUE!</v>
      </c>
      <c r="S1041" t="e">
        <f t="shared" ca="1" si="487"/>
        <v>#VALUE!</v>
      </c>
      <c r="T1041" t="e">
        <f t="shared" ca="1" si="488"/>
        <v>#VALUE!</v>
      </c>
      <c r="U1041" t="e">
        <f t="shared" ca="1" si="509"/>
        <v>#VALUE!</v>
      </c>
      <c r="V1041" t="e">
        <f t="shared" ca="1" si="510"/>
        <v>#VALUE!</v>
      </c>
      <c r="W1041" t="e">
        <f t="shared" ca="1" si="489"/>
        <v>#VALUE!</v>
      </c>
      <c r="X1041" t="e">
        <f t="shared" ca="1" si="490"/>
        <v>#VALUE!</v>
      </c>
      <c r="Y1041" t="e">
        <f t="shared" ca="1" si="491"/>
        <v>#VALUE!</v>
      </c>
      <c r="Z1041" t="e">
        <f t="shared" ca="1" si="492"/>
        <v>#VALUE!</v>
      </c>
      <c r="AA1041" t="e">
        <f t="shared" ca="1" si="493"/>
        <v>#VALUE!</v>
      </c>
      <c r="AB1041" t="e">
        <f t="shared" ca="1" si="494"/>
        <v>#VALUE!</v>
      </c>
      <c r="AC1041" t="e">
        <f t="shared" ca="1" si="495"/>
        <v>#VALUE!</v>
      </c>
      <c r="AD1041" t="e">
        <f t="shared" ca="1" si="496"/>
        <v>#VALUE!</v>
      </c>
      <c r="AE1041" t="e">
        <f t="shared" ca="1" si="497"/>
        <v>#VALUE!</v>
      </c>
      <c r="AF1041" t="e">
        <f t="shared" ca="1" si="498"/>
        <v>#VALUE!</v>
      </c>
      <c r="AG1041" t="e">
        <f t="shared" ca="1" si="499"/>
        <v>#VALUE!</v>
      </c>
      <c r="AH1041" t="e">
        <f ca="1">IF(V32="Supercritical",L1041,IF(V32="Subcritical",W1041,IF(AND(V1041=1,AG1041=1),IF(T1041&gt;=AE1041,L1041,W1041),IF(V1041=1,L1041,IF(AG1041=1,W1041,MAX($D$16,POWER((ABS(K1041)^2)/($I$5*MAX(F1041,0.1)^2),1/3)))))))</f>
        <v>#VALUE!</v>
      </c>
      <c r="AI1041" t="e">
        <f t="shared" ca="1" si="500"/>
        <v>#VALUE!</v>
      </c>
      <c r="AJ1041" t="e">
        <f t="shared" ca="1" si="501"/>
        <v>#VALUE!</v>
      </c>
      <c r="AM1041">
        <v>0</v>
      </c>
      <c r="AN1041">
        <v>0</v>
      </c>
      <c r="AO1041">
        <f t="shared" si="502"/>
        <v>0</v>
      </c>
      <c r="AP1041">
        <f t="shared" si="511"/>
        <v>0</v>
      </c>
      <c r="AQ1041" t="e">
        <f t="shared" ca="1" si="503"/>
        <v>#VALUE!</v>
      </c>
      <c r="AR1041" t="e">
        <f t="shared" ca="1" si="504"/>
        <v>#VALUE!</v>
      </c>
      <c r="AS1041" t="e">
        <f t="shared" ca="1" si="505"/>
        <v>#VALUE!</v>
      </c>
    </row>
    <row r="1042" spans="1:45" x14ac:dyDescent="0.35">
      <c r="A1042">
        <v>893</v>
      </c>
      <c r="B1042">
        <v>891.89</v>
      </c>
      <c r="C1042">
        <v>616085.73</v>
      </c>
      <c r="D1042">
        <v>3097111.952</v>
      </c>
      <c r="E1042">
        <v>632.11599999999999</v>
      </c>
      <c r="F1042">
        <v>5.2</v>
      </c>
      <c r="G1042">
        <v>0</v>
      </c>
      <c r="H1042" t="s">
        <v>191</v>
      </c>
      <c r="I1042">
        <v>0</v>
      </c>
      <c r="J1042">
        <f t="shared" si="506"/>
        <v>1</v>
      </c>
      <c r="K1042">
        <f t="shared" si="507"/>
        <v>51</v>
      </c>
      <c r="L1042" t="e">
        <f t="shared" ca="1" si="508"/>
        <v>#VALUE!</v>
      </c>
      <c r="M1042" t="e">
        <f t="shared" ca="1" si="481"/>
        <v>#VALUE!</v>
      </c>
      <c r="N1042" t="e">
        <f t="shared" ca="1" si="482"/>
        <v>#VALUE!</v>
      </c>
      <c r="O1042" t="e">
        <f t="shared" ca="1" si="483"/>
        <v>#VALUE!</v>
      </c>
      <c r="P1042" t="e">
        <f t="shared" ca="1" si="484"/>
        <v>#VALUE!</v>
      </c>
      <c r="Q1042" t="e">
        <f t="shared" ca="1" si="485"/>
        <v>#VALUE!</v>
      </c>
      <c r="R1042" t="e">
        <f t="shared" ca="1" si="486"/>
        <v>#VALUE!</v>
      </c>
      <c r="S1042" t="e">
        <f t="shared" ca="1" si="487"/>
        <v>#VALUE!</v>
      </c>
      <c r="T1042" t="e">
        <f t="shared" ca="1" si="488"/>
        <v>#VALUE!</v>
      </c>
      <c r="U1042" t="e">
        <f t="shared" ca="1" si="509"/>
        <v>#VALUE!</v>
      </c>
      <c r="V1042" t="e">
        <f t="shared" ca="1" si="510"/>
        <v>#VALUE!</v>
      </c>
      <c r="W1042" t="e">
        <f t="shared" ca="1" si="489"/>
        <v>#VALUE!</v>
      </c>
      <c r="X1042" t="e">
        <f t="shared" ca="1" si="490"/>
        <v>#VALUE!</v>
      </c>
      <c r="Y1042" t="e">
        <f t="shared" ca="1" si="491"/>
        <v>#VALUE!</v>
      </c>
      <c r="Z1042" t="e">
        <f t="shared" ca="1" si="492"/>
        <v>#VALUE!</v>
      </c>
      <c r="AA1042" t="e">
        <f t="shared" ca="1" si="493"/>
        <v>#VALUE!</v>
      </c>
      <c r="AB1042" t="e">
        <f t="shared" ca="1" si="494"/>
        <v>#VALUE!</v>
      </c>
      <c r="AC1042" t="e">
        <f t="shared" ca="1" si="495"/>
        <v>#VALUE!</v>
      </c>
      <c r="AD1042" t="e">
        <f t="shared" ca="1" si="496"/>
        <v>#VALUE!</v>
      </c>
      <c r="AE1042" t="e">
        <f t="shared" ca="1" si="497"/>
        <v>#VALUE!</v>
      </c>
      <c r="AF1042" t="e">
        <f t="shared" ca="1" si="498"/>
        <v>#VALUE!</v>
      </c>
      <c r="AG1042" t="e">
        <f t="shared" ca="1" si="499"/>
        <v>#VALUE!</v>
      </c>
      <c r="AH1042" t="e">
        <f ca="1">IF(V32="Supercritical",L1042,IF(V32="Subcritical",W1042,IF(AND(V1042=1,AG1042=1),IF(T1042&gt;=AE1042,L1042,W1042),IF(V1042=1,L1042,IF(AG1042=1,W1042,MAX($D$16,POWER((ABS(K1042)^2)/($I$5*MAX(F1042,0.1)^2),1/3)))))))</f>
        <v>#VALUE!</v>
      </c>
      <c r="AI1042" t="e">
        <f t="shared" ca="1" si="500"/>
        <v>#VALUE!</v>
      </c>
      <c r="AJ1042" t="e">
        <f t="shared" ca="1" si="501"/>
        <v>#VALUE!</v>
      </c>
      <c r="AM1042">
        <v>0</v>
      </c>
      <c r="AN1042">
        <v>0</v>
      </c>
      <c r="AO1042">
        <f t="shared" si="502"/>
        <v>0</v>
      </c>
      <c r="AP1042">
        <f t="shared" si="511"/>
        <v>0</v>
      </c>
      <c r="AQ1042" t="e">
        <f t="shared" ca="1" si="503"/>
        <v>#VALUE!</v>
      </c>
      <c r="AR1042" t="e">
        <f t="shared" ca="1" si="504"/>
        <v>#VALUE!</v>
      </c>
      <c r="AS1042" t="e">
        <f t="shared" ca="1" si="505"/>
        <v>#VALUE!</v>
      </c>
    </row>
    <row r="1043" spans="1:45" x14ac:dyDescent="0.35">
      <c r="A1043">
        <v>894</v>
      </c>
      <c r="B1043">
        <v>892.88900000000001</v>
      </c>
      <c r="C1043">
        <v>616085.68799999997</v>
      </c>
      <c r="D1043">
        <v>3097110.9530000002</v>
      </c>
      <c r="E1043">
        <v>632.1155</v>
      </c>
      <c r="F1043">
        <v>5.2</v>
      </c>
      <c r="G1043">
        <v>0</v>
      </c>
      <c r="H1043" t="s">
        <v>191</v>
      </c>
      <c r="I1043">
        <v>5.7000000000000002E-2</v>
      </c>
      <c r="J1043">
        <f t="shared" si="506"/>
        <v>0.99900000000002365</v>
      </c>
      <c r="K1043">
        <f t="shared" si="507"/>
        <v>51</v>
      </c>
      <c r="L1043" t="e">
        <f t="shared" ca="1" si="508"/>
        <v>#VALUE!</v>
      </c>
      <c r="M1043" t="e">
        <f t="shared" ca="1" si="481"/>
        <v>#VALUE!</v>
      </c>
      <c r="N1043" t="e">
        <f t="shared" ca="1" si="482"/>
        <v>#VALUE!</v>
      </c>
      <c r="O1043" t="e">
        <f t="shared" ca="1" si="483"/>
        <v>#VALUE!</v>
      </c>
      <c r="P1043" t="e">
        <f t="shared" ca="1" si="484"/>
        <v>#VALUE!</v>
      </c>
      <c r="Q1043" t="e">
        <f t="shared" ca="1" si="485"/>
        <v>#VALUE!</v>
      </c>
      <c r="R1043" t="e">
        <f t="shared" ca="1" si="486"/>
        <v>#VALUE!</v>
      </c>
      <c r="S1043" t="e">
        <f t="shared" ca="1" si="487"/>
        <v>#VALUE!</v>
      </c>
      <c r="T1043" t="e">
        <f t="shared" ca="1" si="488"/>
        <v>#VALUE!</v>
      </c>
      <c r="U1043" t="e">
        <f t="shared" ca="1" si="509"/>
        <v>#VALUE!</v>
      </c>
      <c r="V1043" t="e">
        <f t="shared" ca="1" si="510"/>
        <v>#VALUE!</v>
      </c>
      <c r="W1043" t="e">
        <f t="shared" ca="1" si="489"/>
        <v>#VALUE!</v>
      </c>
      <c r="X1043" t="e">
        <f t="shared" ca="1" si="490"/>
        <v>#VALUE!</v>
      </c>
      <c r="Y1043" t="e">
        <f t="shared" ca="1" si="491"/>
        <v>#VALUE!</v>
      </c>
      <c r="Z1043" t="e">
        <f t="shared" ca="1" si="492"/>
        <v>#VALUE!</v>
      </c>
      <c r="AA1043" t="e">
        <f t="shared" ca="1" si="493"/>
        <v>#VALUE!</v>
      </c>
      <c r="AB1043" t="e">
        <f t="shared" ca="1" si="494"/>
        <v>#VALUE!</v>
      </c>
      <c r="AC1043" t="e">
        <f t="shared" ca="1" si="495"/>
        <v>#VALUE!</v>
      </c>
      <c r="AD1043" t="e">
        <f t="shared" ca="1" si="496"/>
        <v>#VALUE!</v>
      </c>
      <c r="AE1043" t="e">
        <f t="shared" ca="1" si="497"/>
        <v>#VALUE!</v>
      </c>
      <c r="AF1043" t="e">
        <f t="shared" ca="1" si="498"/>
        <v>#VALUE!</v>
      </c>
      <c r="AG1043" t="e">
        <f t="shared" ca="1" si="499"/>
        <v>#VALUE!</v>
      </c>
      <c r="AH1043" t="e">
        <f ca="1">IF(V32="Supercritical",L1043,IF(V32="Subcritical",W1043,IF(AND(V1043=1,AG1043=1),IF(T1043&gt;=AE1043,L1043,W1043),IF(V1043=1,L1043,IF(AG1043=1,W1043,MAX($D$16,POWER((ABS(K1043)^2)/($I$5*MAX(F1043,0.1)^2),1/3)))))))</f>
        <v>#VALUE!</v>
      </c>
      <c r="AI1043" t="e">
        <f t="shared" ca="1" si="500"/>
        <v>#VALUE!</v>
      </c>
      <c r="AJ1043" t="e">
        <f t="shared" ca="1" si="501"/>
        <v>#VALUE!</v>
      </c>
      <c r="AM1043">
        <v>0</v>
      </c>
      <c r="AN1043">
        <v>0</v>
      </c>
      <c r="AO1043">
        <f t="shared" si="502"/>
        <v>0</v>
      </c>
      <c r="AP1043">
        <f t="shared" si="511"/>
        <v>0</v>
      </c>
      <c r="AQ1043" t="e">
        <f t="shared" ca="1" si="503"/>
        <v>#VALUE!</v>
      </c>
      <c r="AR1043" t="e">
        <f t="shared" ca="1" si="504"/>
        <v>#VALUE!</v>
      </c>
      <c r="AS1043" t="e">
        <f t="shared" ca="1" si="505"/>
        <v>#VALUE!</v>
      </c>
    </row>
    <row r="1044" spans="1:45" x14ac:dyDescent="0.35">
      <c r="A1044">
        <v>895</v>
      </c>
      <c r="B1044">
        <v>893.88900000000001</v>
      </c>
      <c r="C1044">
        <v>616085.64500000002</v>
      </c>
      <c r="D1044">
        <v>3097109.9539999999</v>
      </c>
      <c r="E1044">
        <v>632.11500000000001</v>
      </c>
      <c r="F1044">
        <v>5.2</v>
      </c>
      <c r="G1044">
        <v>0</v>
      </c>
      <c r="H1044" t="s">
        <v>191</v>
      </c>
      <c r="I1044">
        <v>5.7000000000000002E-2</v>
      </c>
      <c r="J1044">
        <f t="shared" si="506"/>
        <v>1</v>
      </c>
      <c r="K1044">
        <f t="shared" si="507"/>
        <v>51</v>
      </c>
      <c r="L1044" t="e">
        <f t="shared" ca="1" si="508"/>
        <v>#VALUE!</v>
      </c>
      <c r="M1044" t="e">
        <f t="shared" ca="1" si="481"/>
        <v>#VALUE!</v>
      </c>
      <c r="N1044" t="e">
        <f t="shared" ca="1" si="482"/>
        <v>#VALUE!</v>
      </c>
      <c r="O1044" t="e">
        <f t="shared" ca="1" si="483"/>
        <v>#VALUE!</v>
      </c>
      <c r="P1044" t="e">
        <f t="shared" ca="1" si="484"/>
        <v>#VALUE!</v>
      </c>
      <c r="Q1044" t="e">
        <f t="shared" ca="1" si="485"/>
        <v>#VALUE!</v>
      </c>
      <c r="R1044" t="e">
        <f t="shared" ca="1" si="486"/>
        <v>#VALUE!</v>
      </c>
      <c r="S1044" t="e">
        <f t="shared" ca="1" si="487"/>
        <v>#VALUE!</v>
      </c>
      <c r="T1044" t="e">
        <f t="shared" ca="1" si="488"/>
        <v>#VALUE!</v>
      </c>
      <c r="U1044" t="e">
        <f t="shared" ca="1" si="509"/>
        <v>#VALUE!</v>
      </c>
      <c r="V1044" t="e">
        <f t="shared" ca="1" si="510"/>
        <v>#VALUE!</v>
      </c>
      <c r="W1044" t="e">
        <f t="shared" ca="1" si="489"/>
        <v>#VALUE!</v>
      </c>
      <c r="X1044" t="e">
        <f t="shared" ca="1" si="490"/>
        <v>#VALUE!</v>
      </c>
      <c r="Y1044" t="e">
        <f t="shared" ca="1" si="491"/>
        <v>#VALUE!</v>
      </c>
      <c r="Z1044" t="e">
        <f t="shared" ca="1" si="492"/>
        <v>#VALUE!</v>
      </c>
      <c r="AA1044" t="e">
        <f t="shared" ca="1" si="493"/>
        <v>#VALUE!</v>
      </c>
      <c r="AB1044" t="e">
        <f t="shared" ca="1" si="494"/>
        <v>#VALUE!</v>
      </c>
      <c r="AC1044" t="e">
        <f t="shared" ca="1" si="495"/>
        <v>#VALUE!</v>
      </c>
      <c r="AD1044" t="e">
        <f t="shared" ca="1" si="496"/>
        <v>#VALUE!</v>
      </c>
      <c r="AE1044" t="e">
        <f t="shared" ca="1" si="497"/>
        <v>#VALUE!</v>
      </c>
      <c r="AF1044" t="e">
        <f t="shared" ca="1" si="498"/>
        <v>#VALUE!</v>
      </c>
      <c r="AG1044" t="e">
        <f t="shared" ca="1" si="499"/>
        <v>#VALUE!</v>
      </c>
      <c r="AH1044" t="e">
        <f ca="1">IF(V32="Supercritical",L1044,IF(V32="Subcritical",W1044,IF(AND(V1044=1,AG1044=1),IF(T1044&gt;=AE1044,L1044,W1044),IF(V1044=1,L1044,IF(AG1044=1,W1044,MAX($D$16,POWER((ABS(K1044)^2)/($I$5*MAX(F1044,0.1)^2),1/3)))))))</f>
        <v>#VALUE!</v>
      </c>
      <c r="AI1044" t="e">
        <f t="shared" ca="1" si="500"/>
        <v>#VALUE!</v>
      </c>
      <c r="AJ1044" t="e">
        <f t="shared" ca="1" si="501"/>
        <v>#VALUE!</v>
      </c>
      <c r="AM1044">
        <v>0</v>
      </c>
      <c r="AN1044">
        <v>0</v>
      </c>
      <c r="AO1044">
        <f t="shared" si="502"/>
        <v>0</v>
      </c>
      <c r="AP1044">
        <f t="shared" si="511"/>
        <v>0</v>
      </c>
      <c r="AQ1044" t="e">
        <f t="shared" ca="1" si="503"/>
        <v>#VALUE!</v>
      </c>
      <c r="AR1044" t="e">
        <f t="shared" ca="1" si="504"/>
        <v>#VALUE!</v>
      </c>
      <c r="AS1044" t="e">
        <f t="shared" ca="1" si="505"/>
        <v>#VALUE!</v>
      </c>
    </row>
    <row r="1045" spans="1:45" x14ac:dyDescent="0.35">
      <c r="A1045">
        <v>896</v>
      </c>
      <c r="B1045">
        <v>894.88900000000001</v>
      </c>
      <c r="C1045">
        <v>616085.603</v>
      </c>
      <c r="D1045">
        <v>3097108.9550000001</v>
      </c>
      <c r="E1045">
        <v>632.11450000000002</v>
      </c>
      <c r="F1045">
        <v>5.2</v>
      </c>
      <c r="G1045">
        <v>0</v>
      </c>
      <c r="H1045" t="s">
        <v>191</v>
      </c>
      <c r="I1045">
        <v>0</v>
      </c>
      <c r="J1045">
        <f t="shared" si="506"/>
        <v>1</v>
      </c>
      <c r="K1045">
        <f t="shared" si="507"/>
        <v>51</v>
      </c>
      <c r="L1045" t="e">
        <f t="shared" ca="1" si="508"/>
        <v>#VALUE!</v>
      </c>
      <c r="M1045" t="e">
        <f t="shared" ca="1" si="481"/>
        <v>#VALUE!</v>
      </c>
      <c r="N1045" t="e">
        <f t="shared" ca="1" si="482"/>
        <v>#VALUE!</v>
      </c>
      <c r="O1045" t="e">
        <f t="shared" ca="1" si="483"/>
        <v>#VALUE!</v>
      </c>
      <c r="P1045" t="e">
        <f t="shared" ca="1" si="484"/>
        <v>#VALUE!</v>
      </c>
      <c r="Q1045" t="e">
        <f t="shared" ca="1" si="485"/>
        <v>#VALUE!</v>
      </c>
      <c r="R1045" t="e">
        <f t="shared" ca="1" si="486"/>
        <v>#VALUE!</v>
      </c>
      <c r="S1045" t="e">
        <f t="shared" ca="1" si="487"/>
        <v>#VALUE!</v>
      </c>
      <c r="T1045" t="e">
        <f t="shared" ca="1" si="488"/>
        <v>#VALUE!</v>
      </c>
      <c r="U1045" t="e">
        <f t="shared" ca="1" si="509"/>
        <v>#VALUE!</v>
      </c>
      <c r="V1045" t="e">
        <f t="shared" ca="1" si="510"/>
        <v>#VALUE!</v>
      </c>
      <c r="W1045" t="e">
        <f t="shared" ca="1" si="489"/>
        <v>#VALUE!</v>
      </c>
      <c r="X1045" t="e">
        <f t="shared" ca="1" si="490"/>
        <v>#VALUE!</v>
      </c>
      <c r="Y1045" t="e">
        <f t="shared" ca="1" si="491"/>
        <v>#VALUE!</v>
      </c>
      <c r="Z1045" t="e">
        <f t="shared" ca="1" si="492"/>
        <v>#VALUE!</v>
      </c>
      <c r="AA1045" t="e">
        <f t="shared" ca="1" si="493"/>
        <v>#VALUE!</v>
      </c>
      <c r="AB1045" t="e">
        <f t="shared" ca="1" si="494"/>
        <v>#VALUE!</v>
      </c>
      <c r="AC1045" t="e">
        <f t="shared" ca="1" si="495"/>
        <v>#VALUE!</v>
      </c>
      <c r="AD1045" t="e">
        <f t="shared" ca="1" si="496"/>
        <v>#VALUE!</v>
      </c>
      <c r="AE1045" t="e">
        <f t="shared" ca="1" si="497"/>
        <v>#VALUE!</v>
      </c>
      <c r="AF1045" t="e">
        <f t="shared" ca="1" si="498"/>
        <v>#VALUE!</v>
      </c>
      <c r="AG1045" t="e">
        <f t="shared" ca="1" si="499"/>
        <v>#VALUE!</v>
      </c>
      <c r="AH1045" t="e">
        <f ca="1">IF(V32="Supercritical",L1045,IF(V32="Subcritical",W1045,IF(AND(V1045=1,AG1045=1),IF(T1045&gt;=AE1045,L1045,W1045),IF(V1045=1,L1045,IF(AG1045=1,W1045,MAX($D$16,POWER((ABS(K1045)^2)/($I$5*MAX(F1045,0.1)^2),1/3)))))))</f>
        <v>#VALUE!</v>
      </c>
      <c r="AI1045" t="e">
        <f t="shared" ca="1" si="500"/>
        <v>#VALUE!</v>
      </c>
      <c r="AJ1045" t="e">
        <f t="shared" ca="1" si="501"/>
        <v>#VALUE!</v>
      </c>
      <c r="AM1045">
        <v>0</v>
      </c>
      <c r="AN1045">
        <v>0</v>
      </c>
      <c r="AO1045">
        <f t="shared" si="502"/>
        <v>0</v>
      </c>
      <c r="AP1045">
        <f t="shared" si="511"/>
        <v>0</v>
      </c>
      <c r="AQ1045" t="e">
        <f t="shared" ca="1" si="503"/>
        <v>#VALUE!</v>
      </c>
      <c r="AR1045" t="e">
        <f t="shared" ca="1" si="504"/>
        <v>#VALUE!</v>
      </c>
      <c r="AS1045" t="e">
        <f t="shared" ca="1" si="505"/>
        <v>#VALUE!</v>
      </c>
    </row>
    <row r="1046" spans="1:45" x14ac:dyDescent="0.35">
      <c r="A1046">
        <v>897</v>
      </c>
      <c r="B1046">
        <v>895.88900000000001</v>
      </c>
      <c r="C1046">
        <v>616085.56099999999</v>
      </c>
      <c r="D1046">
        <v>3097107.9559999998</v>
      </c>
      <c r="E1046">
        <v>632.11400000000003</v>
      </c>
      <c r="F1046">
        <v>5.2</v>
      </c>
      <c r="G1046">
        <v>0</v>
      </c>
      <c r="H1046" t="s">
        <v>191</v>
      </c>
      <c r="I1046">
        <v>0</v>
      </c>
      <c r="J1046">
        <f t="shared" si="506"/>
        <v>1</v>
      </c>
      <c r="K1046">
        <f t="shared" si="507"/>
        <v>51</v>
      </c>
      <c r="L1046" t="e">
        <f t="shared" ca="1" si="508"/>
        <v>#VALUE!</v>
      </c>
      <c r="M1046" t="e">
        <f t="shared" ref="M1046:M1109" ca="1" si="512">((F1046)+(G1046)*(L1046))*(L1046)</f>
        <v>#VALUE!</v>
      </c>
      <c r="N1046" t="e">
        <f t="shared" ref="N1046:N1109" ca="1" si="513">(((F1046)+(G1046)*(L1046))*(L1046))/MAX((F1046)+2*(L1046)*SQRT(1+(G1046)^2),0.000001)</f>
        <v>#VALUE!</v>
      </c>
      <c r="O1046" t="e">
        <f t="shared" ref="O1046:O1109" ca="1" si="514">ABS(K1046)/MAX(((F1046)+(G1046)*(L1046))*(L1046),0.000001)</f>
        <v>#VALUE!</v>
      </c>
      <c r="P1046" t="e">
        <f t="shared" ref="P1046:P1109" ca="1" si="515">E1046+L1046</f>
        <v>#VALUE!</v>
      </c>
      <c r="Q1046" t="e">
        <f t="shared" ref="Q1046:Q1109" ca="1" si="516">P1046+((ABS(K1046)/MAX(((F1046)+(G1046)*(L1046))*(L1046),0.000001))^2)/(2*$I$5)</f>
        <v>#VALUE!</v>
      </c>
      <c r="R1046" t="e">
        <f t="shared" ref="R1046:R1109" ca="1" si="517">((ABS(K1046)*$D$6)/(MAX(((F1046)+(G1046)*(L1046))*(L1046),0.000001)*MAX(((((F1046)+(G1046)*(L1046))*(L1046))/MAX((F1046)+2*(L1046)*SQRT(1+(G1046)^2),0.000001))^(2/3),0.000001)))^2</f>
        <v>#VALUE!</v>
      </c>
      <c r="S1046" t="e">
        <f t="shared" ref="S1046:S1109" ca="1" si="518">ABS(ABS(K1046)/MAX(((F1046)+(G1046)*(L1046))*(L1046),0.000001))/SQRT($I$5*MAX((((F1046)+(G1046)*(L1046))*(L1046))/MAX((F1046)+2*(G1046)*(L1046),0.000001),0.000001))</f>
        <v>#VALUE!</v>
      </c>
      <c r="T1046" t="e">
        <f t="shared" ref="T1046:T1109" ca="1" si="519">((F1046)*(L1046)^2)/2+(G1046)*(L1046)^3/3+(ABS(K1046)^2)/($I$5*MAX(((F1046)+(G1046)*(L1046))*(L1046),0.000001))</f>
        <v>#VALUE!</v>
      </c>
      <c r="U1046" t="e">
        <f t="shared" ca="1" si="509"/>
        <v>#VALUE!</v>
      </c>
      <c r="V1046" t="e">
        <f t="shared" ca="1" si="510"/>
        <v>#VALUE!</v>
      </c>
      <c r="W1046" t="e">
        <f t="shared" ref="W1046:W1109" ca="1" si="520">IF($D$20=0,W1047,IF(AG1047=0,W1047,IF(W1046=0,W1047,IF(ABS(AF1046)&gt;$D$19,MAX($D$16,W1046+((AF1046)*$D$18*IF((AD1046)&lt;1,1,-1))),W1046))))</f>
        <v>#VALUE!</v>
      </c>
      <c r="X1046" t="e">
        <f t="shared" ref="X1046:X1109" ca="1" si="521">((F1046)+(G1046)*(W1046))*(W1046)</f>
        <v>#VALUE!</v>
      </c>
      <c r="Y1046" t="e">
        <f t="shared" ref="Y1046:Y1109" ca="1" si="522">(((F1046)+(G1046)*(W1046))*(W1046))/MAX((F1046)+2*(W1046)*SQRT(1+(G1046)^2),0.000001)</f>
        <v>#VALUE!</v>
      </c>
      <c r="Z1046" t="e">
        <f t="shared" ref="Z1046:Z1109" ca="1" si="523">ABS(K1046)/MAX(((F1046)+(G1046)*(W1046))*(W1046),0.000001)</f>
        <v>#VALUE!</v>
      </c>
      <c r="AA1046" t="e">
        <f t="shared" ref="AA1046:AA1109" ca="1" si="524">E1046+W1046</f>
        <v>#VALUE!</v>
      </c>
      <c r="AB1046" t="e">
        <f t="shared" ref="AB1046:AB1109" ca="1" si="525">AA1046+((ABS(K1046)/MAX(((F1046)+(G1046)*(W1046))*(W1046),0.000001))^2)/(2*$I$5)</f>
        <v>#VALUE!</v>
      </c>
      <c r="AC1046" t="e">
        <f t="shared" ref="AC1046:AC1109" ca="1" si="526">((ABS(K1046)*$D$6)/(MAX(((F1046)+(G1046)*(W1046))*(W1046),0.000001)*MAX(((((F1046)+(G1046)*(W1046))*(W1046))/MAX((F1046)+2*(W1046)*SQRT(1+(G1046)^2),0.000001))^(2/3),0.000001)))^2</f>
        <v>#VALUE!</v>
      </c>
      <c r="AD1046" t="e">
        <f t="shared" ref="AD1046:AD1109" ca="1" si="527">ABS(ABS(K1046)/MAX(((F1046)+(G1046)*(W1046))*(W1046),0.000001))/SQRT($I$5*MAX((((F1046)+(G1046)*(W1046))*(W1046))/MAX((F1046)+2*(G1046)*(W1046),0.000001),0.000001))</f>
        <v>#VALUE!</v>
      </c>
      <c r="AE1046" t="e">
        <f t="shared" ref="AE1046:AE1109" ca="1" si="528">((F1046)*(W1046)^2)/2+(G1046)*(W1046)^3/3+(ABS(K1046)^2)/($I$5*MAX(((F1046)+(G1046)*(W1046))*(W1046),0.000001))</f>
        <v>#VALUE!</v>
      </c>
      <c r="AF1046" t="e">
        <f t="shared" ref="AF1046:AF1109" ca="1" si="529">AB1047+(((AC1046+AC1047)/2)*J1047)+(IF(Z1046&gt;Z1047,$D$8*((Z1046^2-Z1047^2)/(2*$I$5)),$D$9*((Z1047^2-Z1046^2)/(2*$I$5)))+($D$10*(ABS(I1047)/90)*(MAX(Z1046^2,Z1047^2)/(2*$I$5))))-AB1046</f>
        <v>#VALUE!</v>
      </c>
      <c r="AG1046" t="e">
        <f t="shared" ref="AG1046:AG1109" ca="1" si="530">IF(ABS(AF1046)&lt;$D$19,1,0)</f>
        <v>#VALUE!</v>
      </c>
      <c r="AH1046" t="e">
        <f ca="1">IF(V32="Supercritical",L1046,IF(V32="Subcritical",W1046,IF(AND(V1046=1,AG1046=1),IF(T1046&gt;=AE1046,L1046,W1046),IF(V1046=1,L1046,IF(AG1046=1,W1046,MAX($D$16,POWER((ABS(K1046)^2)/($I$5*MAX(F1046,0.1)^2),1/3)))))))</f>
        <v>#VALUE!</v>
      </c>
      <c r="AI1046" t="e">
        <f t="shared" ref="AI1046:AI1109" ca="1" si="531">E1046+AH1046</f>
        <v>#VALUE!</v>
      </c>
      <c r="AJ1046" t="e">
        <f t="shared" ref="AJ1046:AJ1109" ca="1" si="532">AI1046+((ABS(K1046)/MAX(((F1046)+(G1046)*(AH1046))*(AH1046),0.000001))^2)/(2*$I$5)</f>
        <v>#VALUE!</v>
      </c>
      <c r="AM1046">
        <v>0</v>
      </c>
      <c r="AN1046">
        <v>0</v>
      </c>
      <c r="AO1046">
        <f t="shared" ref="AO1046:AO1109" si="533">AM1046+AN1046</f>
        <v>0</v>
      </c>
      <c r="AP1046">
        <f t="shared" si="511"/>
        <v>0</v>
      </c>
      <c r="AQ1046" t="e">
        <f t="shared" ref="AQ1046:AQ1109" ca="1" si="534">ABS(ABS(K1046)/MAX(((F1046)+(G1046)*(AH1046))*(AH1046),0.000001))/SQRT($I$5*MAX((((F1046)+(G1046)*(AH1046))*(AH1046))/MAX((F1046)+2*(G1046)*(AH1046),0.000001),0.000001))</f>
        <v>#VALUE!</v>
      </c>
      <c r="AR1046" t="e">
        <f t="shared" ref="AR1046:AR1109" ca="1" si="535">IF(AQ1046&lt;1,"Subcritical","Supercritical")</f>
        <v>#VALUE!</v>
      </c>
      <c r="AS1046" t="e">
        <f t="shared" ref="AS1046:AS1109" ca="1" si="536">((ABS(K1046)*$D$6)/(MAX(((F1046)+(G1046)*(AH1046))*(AH1046),0.000001)*MAX(((((F1046)+(G1046)*(AH1046))*(AH1046))/MAX((F1046)+2*(AH1046)*SQRT(1+(G1046)^2),0.000001))^(2/3),0.000001)))^2</f>
        <v>#VALUE!</v>
      </c>
    </row>
    <row r="1047" spans="1:45" x14ac:dyDescent="0.35">
      <c r="A1047">
        <v>898</v>
      </c>
      <c r="B1047">
        <v>896.88900000000001</v>
      </c>
      <c r="C1047">
        <v>616085.51899999997</v>
      </c>
      <c r="D1047">
        <v>3097106.9569999999</v>
      </c>
      <c r="E1047">
        <v>632.11350000000004</v>
      </c>
      <c r="F1047">
        <v>5.2</v>
      </c>
      <c r="G1047">
        <v>0</v>
      </c>
      <c r="H1047" t="s">
        <v>191</v>
      </c>
      <c r="I1047">
        <v>5.7000000000000002E-2</v>
      </c>
      <c r="J1047">
        <f t="shared" ref="J1047:J1110" si="537">B1047-B1046</f>
        <v>1</v>
      </c>
      <c r="K1047">
        <f t="shared" ref="K1047:K1110" si="538">MAX(0,K1046-AO1046)</f>
        <v>51</v>
      </c>
      <c r="L1047" t="e">
        <f t="shared" ref="L1047:L1110" ca="1" si="539">IF($D$20=0,L1046,IF(V1046=0,L1046,IF(L1047=0,L1046,IF(ABS(U1047)&gt;$D$19,MAX($D$16,L1047+((U1047)*$D$18*IF((S1047)&lt;1,1,-1))),L1047))))</f>
        <v>#VALUE!</v>
      </c>
      <c r="M1047" t="e">
        <f t="shared" ca="1" si="512"/>
        <v>#VALUE!</v>
      </c>
      <c r="N1047" t="e">
        <f t="shared" ca="1" si="513"/>
        <v>#VALUE!</v>
      </c>
      <c r="O1047" t="e">
        <f t="shared" ca="1" si="514"/>
        <v>#VALUE!</v>
      </c>
      <c r="P1047" t="e">
        <f t="shared" ca="1" si="515"/>
        <v>#VALUE!</v>
      </c>
      <c r="Q1047" t="e">
        <f t="shared" ca="1" si="516"/>
        <v>#VALUE!</v>
      </c>
      <c r="R1047" t="e">
        <f t="shared" ca="1" si="517"/>
        <v>#VALUE!</v>
      </c>
      <c r="S1047" t="e">
        <f t="shared" ca="1" si="518"/>
        <v>#VALUE!</v>
      </c>
      <c r="T1047" t="e">
        <f t="shared" ca="1" si="519"/>
        <v>#VALUE!</v>
      </c>
      <c r="U1047" t="e">
        <f t="shared" ref="U1047:U1110" ca="1" si="540">Q1046-(((R1046+R1047)/2)*J1047)-(IF(O1046&gt;O1047,$D$8*((O1046^2-O1047^2)/(2*$I$5)),$D$9*((O1047^2-O1046^2)/(2*$I$5)))+($D$10*(ABS(I1047)/90)*(MAX(O1046^2,O1047^2)/(2*$I$5))))-Q1047</f>
        <v>#VALUE!</v>
      </c>
      <c r="V1047" t="e">
        <f t="shared" ref="V1047:V1110" ca="1" si="541">IF(ABS(U1047)&lt;$D$19,1,0)</f>
        <v>#VALUE!</v>
      </c>
      <c r="W1047" t="e">
        <f t="shared" ca="1" si="520"/>
        <v>#VALUE!</v>
      </c>
      <c r="X1047" t="e">
        <f t="shared" ca="1" si="521"/>
        <v>#VALUE!</v>
      </c>
      <c r="Y1047" t="e">
        <f t="shared" ca="1" si="522"/>
        <v>#VALUE!</v>
      </c>
      <c r="Z1047" t="e">
        <f t="shared" ca="1" si="523"/>
        <v>#VALUE!</v>
      </c>
      <c r="AA1047" t="e">
        <f t="shared" ca="1" si="524"/>
        <v>#VALUE!</v>
      </c>
      <c r="AB1047" t="e">
        <f t="shared" ca="1" si="525"/>
        <v>#VALUE!</v>
      </c>
      <c r="AC1047" t="e">
        <f t="shared" ca="1" si="526"/>
        <v>#VALUE!</v>
      </c>
      <c r="AD1047" t="e">
        <f t="shared" ca="1" si="527"/>
        <v>#VALUE!</v>
      </c>
      <c r="AE1047" t="e">
        <f t="shared" ca="1" si="528"/>
        <v>#VALUE!</v>
      </c>
      <c r="AF1047" t="e">
        <f t="shared" ca="1" si="529"/>
        <v>#VALUE!</v>
      </c>
      <c r="AG1047" t="e">
        <f t="shared" ca="1" si="530"/>
        <v>#VALUE!</v>
      </c>
      <c r="AH1047" t="e">
        <f ca="1">IF(V32="Supercritical",L1047,IF(V32="Subcritical",W1047,IF(AND(V1047=1,AG1047=1),IF(T1047&gt;=AE1047,L1047,W1047),IF(V1047=1,L1047,IF(AG1047=1,W1047,MAX($D$16,POWER((ABS(K1047)^2)/($I$5*MAX(F1047,0.1)^2),1/3)))))))</f>
        <v>#VALUE!</v>
      </c>
      <c r="AI1047" t="e">
        <f t="shared" ca="1" si="531"/>
        <v>#VALUE!</v>
      </c>
      <c r="AJ1047" t="e">
        <f t="shared" ca="1" si="532"/>
        <v>#VALUE!</v>
      </c>
      <c r="AM1047">
        <v>0</v>
      </c>
      <c r="AN1047">
        <v>0</v>
      </c>
      <c r="AO1047">
        <f t="shared" si="533"/>
        <v>0</v>
      </c>
      <c r="AP1047">
        <f t="shared" ref="AP1047:AP1110" si="542">AP1046+AO1047</f>
        <v>0</v>
      </c>
      <c r="AQ1047" t="e">
        <f t="shared" ca="1" si="534"/>
        <v>#VALUE!</v>
      </c>
      <c r="AR1047" t="e">
        <f t="shared" ca="1" si="535"/>
        <v>#VALUE!</v>
      </c>
      <c r="AS1047" t="e">
        <f t="shared" ca="1" si="536"/>
        <v>#VALUE!</v>
      </c>
    </row>
    <row r="1048" spans="1:45" x14ac:dyDescent="0.35">
      <c r="A1048">
        <v>899</v>
      </c>
      <c r="B1048">
        <v>897.88900000000001</v>
      </c>
      <c r="C1048">
        <v>616085.47600000002</v>
      </c>
      <c r="D1048">
        <v>3097105.9580000001</v>
      </c>
      <c r="E1048">
        <v>632.11300000000006</v>
      </c>
      <c r="F1048">
        <v>5.2</v>
      </c>
      <c r="G1048">
        <v>0</v>
      </c>
      <c r="H1048" t="s">
        <v>191</v>
      </c>
      <c r="I1048">
        <v>5.7000000000000002E-2</v>
      </c>
      <c r="J1048">
        <f t="shared" si="537"/>
        <v>1</v>
      </c>
      <c r="K1048">
        <f t="shared" si="538"/>
        <v>51</v>
      </c>
      <c r="L1048" t="e">
        <f t="shared" ca="1" si="539"/>
        <v>#VALUE!</v>
      </c>
      <c r="M1048" t="e">
        <f t="shared" ca="1" si="512"/>
        <v>#VALUE!</v>
      </c>
      <c r="N1048" t="e">
        <f t="shared" ca="1" si="513"/>
        <v>#VALUE!</v>
      </c>
      <c r="O1048" t="e">
        <f t="shared" ca="1" si="514"/>
        <v>#VALUE!</v>
      </c>
      <c r="P1048" t="e">
        <f t="shared" ca="1" si="515"/>
        <v>#VALUE!</v>
      </c>
      <c r="Q1048" t="e">
        <f t="shared" ca="1" si="516"/>
        <v>#VALUE!</v>
      </c>
      <c r="R1048" t="e">
        <f t="shared" ca="1" si="517"/>
        <v>#VALUE!</v>
      </c>
      <c r="S1048" t="e">
        <f t="shared" ca="1" si="518"/>
        <v>#VALUE!</v>
      </c>
      <c r="T1048" t="e">
        <f t="shared" ca="1" si="519"/>
        <v>#VALUE!</v>
      </c>
      <c r="U1048" t="e">
        <f t="shared" ca="1" si="540"/>
        <v>#VALUE!</v>
      </c>
      <c r="V1048" t="e">
        <f t="shared" ca="1" si="541"/>
        <v>#VALUE!</v>
      </c>
      <c r="W1048" t="e">
        <f t="shared" ca="1" si="520"/>
        <v>#VALUE!</v>
      </c>
      <c r="X1048" t="e">
        <f t="shared" ca="1" si="521"/>
        <v>#VALUE!</v>
      </c>
      <c r="Y1048" t="e">
        <f t="shared" ca="1" si="522"/>
        <v>#VALUE!</v>
      </c>
      <c r="Z1048" t="e">
        <f t="shared" ca="1" si="523"/>
        <v>#VALUE!</v>
      </c>
      <c r="AA1048" t="e">
        <f t="shared" ca="1" si="524"/>
        <v>#VALUE!</v>
      </c>
      <c r="AB1048" t="e">
        <f t="shared" ca="1" si="525"/>
        <v>#VALUE!</v>
      </c>
      <c r="AC1048" t="e">
        <f t="shared" ca="1" si="526"/>
        <v>#VALUE!</v>
      </c>
      <c r="AD1048" t="e">
        <f t="shared" ca="1" si="527"/>
        <v>#VALUE!</v>
      </c>
      <c r="AE1048" t="e">
        <f t="shared" ca="1" si="528"/>
        <v>#VALUE!</v>
      </c>
      <c r="AF1048" t="e">
        <f t="shared" ca="1" si="529"/>
        <v>#VALUE!</v>
      </c>
      <c r="AG1048" t="e">
        <f t="shared" ca="1" si="530"/>
        <v>#VALUE!</v>
      </c>
      <c r="AH1048" t="e">
        <f ca="1">IF(V32="Supercritical",L1048,IF(V32="Subcritical",W1048,IF(AND(V1048=1,AG1048=1),IF(T1048&gt;=AE1048,L1048,W1048),IF(V1048=1,L1048,IF(AG1048=1,W1048,MAX($D$16,POWER((ABS(K1048)^2)/($I$5*MAX(F1048,0.1)^2),1/3)))))))</f>
        <v>#VALUE!</v>
      </c>
      <c r="AI1048" t="e">
        <f t="shared" ca="1" si="531"/>
        <v>#VALUE!</v>
      </c>
      <c r="AJ1048" t="e">
        <f t="shared" ca="1" si="532"/>
        <v>#VALUE!</v>
      </c>
      <c r="AM1048">
        <v>0</v>
      </c>
      <c r="AN1048">
        <v>0</v>
      </c>
      <c r="AO1048">
        <f t="shared" si="533"/>
        <v>0</v>
      </c>
      <c r="AP1048">
        <f t="shared" si="542"/>
        <v>0</v>
      </c>
      <c r="AQ1048" t="e">
        <f t="shared" ca="1" si="534"/>
        <v>#VALUE!</v>
      </c>
      <c r="AR1048" t="e">
        <f t="shared" ca="1" si="535"/>
        <v>#VALUE!</v>
      </c>
      <c r="AS1048" t="e">
        <f t="shared" ca="1" si="536"/>
        <v>#VALUE!</v>
      </c>
    </row>
    <row r="1049" spans="1:45" x14ac:dyDescent="0.35">
      <c r="A1049">
        <v>900</v>
      </c>
      <c r="B1049">
        <v>898.88900000000001</v>
      </c>
      <c r="C1049">
        <v>616085.43400000001</v>
      </c>
      <c r="D1049">
        <v>3097104.9589999998</v>
      </c>
      <c r="E1049">
        <v>632.11249999999995</v>
      </c>
      <c r="F1049">
        <v>5.2</v>
      </c>
      <c r="G1049">
        <v>0</v>
      </c>
      <c r="H1049" t="s">
        <v>191</v>
      </c>
      <c r="I1049">
        <v>2E-3</v>
      </c>
      <c r="J1049">
        <f t="shared" si="537"/>
        <v>1</v>
      </c>
      <c r="K1049">
        <f t="shared" si="538"/>
        <v>51</v>
      </c>
      <c r="L1049" t="e">
        <f t="shared" ca="1" si="539"/>
        <v>#VALUE!</v>
      </c>
      <c r="M1049" t="e">
        <f t="shared" ca="1" si="512"/>
        <v>#VALUE!</v>
      </c>
      <c r="N1049" t="e">
        <f t="shared" ca="1" si="513"/>
        <v>#VALUE!</v>
      </c>
      <c r="O1049" t="e">
        <f t="shared" ca="1" si="514"/>
        <v>#VALUE!</v>
      </c>
      <c r="P1049" t="e">
        <f t="shared" ca="1" si="515"/>
        <v>#VALUE!</v>
      </c>
      <c r="Q1049" t="e">
        <f t="shared" ca="1" si="516"/>
        <v>#VALUE!</v>
      </c>
      <c r="R1049" t="e">
        <f t="shared" ca="1" si="517"/>
        <v>#VALUE!</v>
      </c>
      <c r="S1049" t="e">
        <f t="shared" ca="1" si="518"/>
        <v>#VALUE!</v>
      </c>
      <c r="T1049" t="e">
        <f t="shared" ca="1" si="519"/>
        <v>#VALUE!</v>
      </c>
      <c r="U1049" t="e">
        <f t="shared" ca="1" si="540"/>
        <v>#VALUE!</v>
      </c>
      <c r="V1049" t="e">
        <f t="shared" ca="1" si="541"/>
        <v>#VALUE!</v>
      </c>
      <c r="W1049" t="e">
        <f t="shared" ca="1" si="520"/>
        <v>#VALUE!</v>
      </c>
      <c r="X1049" t="e">
        <f t="shared" ca="1" si="521"/>
        <v>#VALUE!</v>
      </c>
      <c r="Y1049" t="e">
        <f t="shared" ca="1" si="522"/>
        <v>#VALUE!</v>
      </c>
      <c r="Z1049" t="e">
        <f t="shared" ca="1" si="523"/>
        <v>#VALUE!</v>
      </c>
      <c r="AA1049" t="e">
        <f t="shared" ca="1" si="524"/>
        <v>#VALUE!</v>
      </c>
      <c r="AB1049" t="e">
        <f t="shared" ca="1" si="525"/>
        <v>#VALUE!</v>
      </c>
      <c r="AC1049" t="e">
        <f t="shared" ca="1" si="526"/>
        <v>#VALUE!</v>
      </c>
      <c r="AD1049" t="e">
        <f t="shared" ca="1" si="527"/>
        <v>#VALUE!</v>
      </c>
      <c r="AE1049" t="e">
        <f t="shared" ca="1" si="528"/>
        <v>#VALUE!</v>
      </c>
      <c r="AF1049" t="e">
        <f t="shared" ca="1" si="529"/>
        <v>#VALUE!</v>
      </c>
      <c r="AG1049" t="e">
        <f t="shared" ca="1" si="530"/>
        <v>#VALUE!</v>
      </c>
      <c r="AH1049" t="e">
        <f ca="1">IF(V32="Supercritical",L1049,IF(V32="Subcritical",W1049,IF(AND(V1049=1,AG1049=1),IF(T1049&gt;=AE1049,L1049,W1049),IF(V1049=1,L1049,IF(AG1049=1,W1049,MAX($D$16,POWER((ABS(K1049)^2)/($I$5*MAX(F1049,0.1)^2),1/3)))))))</f>
        <v>#VALUE!</v>
      </c>
      <c r="AI1049" t="e">
        <f t="shared" ca="1" si="531"/>
        <v>#VALUE!</v>
      </c>
      <c r="AJ1049" t="e">
        <f t="shared" ca="1" si="532"/>
        <v>#VALUE!</v>
      </c>
      <c r="AM1049">
        <v>0</v>
      </c>
      <c r="AN1049">
        <v>0</v>
      </c>
      <c r="AO1049">
        <f t="shared" si="533"/>
        <v>0</v>
      </c>
      <c r="AP1049">
        <f t="shared" si="542"/>
        <v>0</v>
      </c>
      <c r="AQ1049" t="e">
        <f t="shared" ca="1" si="534"/>
        <v>#VALUE!</v>
      </c>
      <c r="AR1049" t="e">
        <f t="shared" ca="1" si="535"/>
        <v>#VALUE!</v>
      </c>
      <c r="AS1049" t="e">
        <f t="shared" ca="1" si="536"/>
        <v>#VALUE!</v>
      </c>
    </row>
    <row r="1050" spans="1:45" x14ac:dyDescent="0.35">
      <c r="A1050">
        <v>901</v>
      </c>
      <c r="B1050">
        <v>899.89</v>
      </c>
      <c r="C1050">
        <v>616085.39199999999</v>
      </c>
      <c r="D1050">
        <v>3097103.9589999998</v>
      </c>
      <c r="E1050">
        <v>632.11199999999997</v>
      </c>
      <c r="F1050">
        <v>5.2</v>
      </c>
      <c r="G1050">
        <v>0</v>
      </c>
      <c r="H1050" t="s">
        <v>191</v>
      </c>
      <c r="I1050">
        <v>2E-3</v>
      </c>
      <c r="J1050">
        <f t="shared" si="537"/>
        <v>1.0009999999999764</v>
      </c>
      <c r="K1050">
        <f t="shared" si="538"/>
        <v>51</v>
      </c>
      <c r="L1050" t="e">
        <f t="shared" ca="1" si="539"/>
        <v>#VALUE!</v>
      </c>
      <c r="M1050" t="e">
        <f t="shared" ca="1" si="512"/>
        <v>#VALUE!</v>
      </c>
      <c r="N1050" t="e">
        <f t="shared" ca="1" si="513"/>
        <v>#VALUE!</v>
      </c>
      <c r="O1050" t="e">
        <f t="shared" ca="1" si="514"/>
        <v>#VALUE!</v>
      </c>
      <c r="P1050" t="e">
        <f t="shared" ca="1" si="515"/>
        <v>#VALUE!</v>
      </c>
      <c r="Q1050" t="e">
        <f t="shared" ca="1" si="516"/>
        <v>#VALUE!</v>
      </c>
      <c r="R1050" t="e">
        <f t="shared" ca="1" si="517"/>
        <v>#VALUE!</v>
      </c>
      <c r="S1050" t="e">
        <f t="shared" ca="1" si="518"/>
        <v>#VALUE!</v>
      </c>
      <c r="T1050" t="e">
        <f t="shared" ca="1" si="519"/>
        <v>#VALUE!</v>
      </c>
      <c r="U1050" t="e">
        <f t="shared" ca="1" si="540"/>
        <v>#VALUE!</v>
      </c>
      <c r="V1050" t="e">
        <f t="shared" ca="1" si="541"/>
        <v>#VALUE!</v>
      </c>
      <c r="W1050" t="e">
        <f t="shared" ca="1" si="520"/>
        <v>#VALUE!</v>
      </c>
      <c r="X1050" t="e">
        <f t="shared" ca="1" si="521"/>
        <v>#VALUE!</v>
      </c>
      <c r="Y1050" t="e">
        <f t="shared" ca="1" si="522"/>
        <v>#VALUE!</v>
      </c>
      <c r="Z1050" t="e">
        <f t="shared" ca="1" si="523"/>
        <v>#VALUE!</v>
      </c>
      <c r="AA1050" t="e">
        <f t="shared" ca="1" si="524"/>
        <v>#VALUE!</v>
      </c>
      <c r="AB1050" t="e">
        <f t="shared" ca="1" si="525"/>
        <v>#VALUE!</v>
      </c>
      <c r="AC1050" t="e">
        <f t="shared" ca="1" si="526"/>
        <v>#VALUE!</v>
      </c>
      <c r="AD1050" t="e">
        <f t="shared" ca="1" si="527"/>
        <v>#VALUE!</v>
      </c>
      <c r="AE1050" t="e">
        <f t="shared" ca="1" si="528"/>
        <v>#VALUE!</v>
      </c>
      <c r="AF1050" t="e">
        <f t="shared" ca="1" si="529"/>
        <v>#VALUE!</v>
      </c>
      <c r="AG1050" t="e">
        <f t="shared" ca="1" si="530"/>
        <v>#VALUE!</v>
      </c>
      <c r="AH1050" t="e">
        <f ca="1">IF(V32="Supercritical",L1050,IF(V32="Subcritical",W1050,IF(AND(V1050=1,AG1050=1),IF(T1050&gt;=AE1050,L1050,W1050),IF(V1050=1,L1050,IF(AG1050=1,W1050,MAX($D$16,POWER((ABS(K1050)^2)/($I$5*MAX(F1050,0.1)^2),1/3)))))))</f>
        <v>#VALUE!</v>
      </c>
      <c r="AI1050" t="e">
        <f t="shared" ca="1" si="531"/>
        <v>#VALUE!</v>
      </c>
      <c r="AJ1050" t="e">
        <f t="shared" ca="1" si="532"/>
        <v>#VALUE!</v>
      </c>
      <c r="AM1050">
        <v>0</v>
      </c>
      <c r="AN1050">
        <v>0</v>
      </c>
      <c r="AO1050">
        <f t="shared" si="533"/>
        <v>0</v>
      </c>
      <c r="AP1050">
        <f t="shared" si="542"/>
        <v>0</v>
      </c>
      <c r="AQ1050" t="e">
        <f t="shared" ca="1" si="534"/>
        <v>#VALUE!</v>
      </c>
      <c r="AR1050" t="e">
        <f t="shared" ca="1" si="535"/>
        <v>#VALUE!</v>
      </c>
      <c r="AS1050" t="e">
        <f t="shared" ca="1" si="536"/>
        <v>#VALUE!</v>
      </c>
    </row>
    <row r="1051" spans="1:45" x14ac:dyDescent="0.35">
      <c r="A1051">
        <v>902</v>
      </c>
      <c r="B1051">
        <v>900.89</v>
      </c>
      <c r="C1051">
        <v>616085.35</v>
      </c>
      <c r="D1051">
        <v>3097102.96</v>
      </c>
      <c r="E1051">
        <v>632.11149999999998</v>
      </c>
      <c r="F1051">
        <v>5.2</v>
      </c>
      <c r="G1051">
        <v>0</v>
      </c>
      <c r="H1051" t="s">
        <v>191</v>
      </c>
      <c r="I1051">
        <v>5.7000000000000002E-2</v>
      </c>
      <c r="J1051">
        <f t="shared" si="537"/>
        <v>1</v>
      </c>
      <c r="K1051">
        <f t="shared" si="538"/>
        <v>51</v>
      </c>
      <c r="L1051" t="e">
        <f t="shared" ca="1" si="539"/>
        <v>#VALUE!</v>
      </c>
      <c r="M1051" t="e">
        <f t="shared" ca="1" si="512"/>
        <v>#VALUE!</v>
      </c>
      <c r="N1051" t="e">
        <f t="shared" ca="1" si="513"/>
        <v>#VALUE!</v>
      </c>
      <c r="O1051" t="e">
        <f t="shared" ca="1" si="514"/>
        <v>#VALUE!</v>
      </c>
      <c r="P1051" t="e">
        <f t="shared" ca="1" si="515"/>
        <v>#VALUE!</v>
      </c>
      <c r="Q1051" t="e">
        <f t="shared" ca="1" si="516"/>
        <v>#VALUE!</v>
      </c>
      <c r="R1051" t="e">
        <f t="shared" ca="1" si="517"/>
        <v>#VALUE!</v>
      </c>
      <c r="S1051" t="e">
        <f t="shared" ca="1" si="518"/>
        <v>#VALUE!</v>
      </c>
      <c r="T1051" t="e">
        <f t="shared" ca="1" si="519"/>
        <v>#VALUE!</v>
      </c>
      <c r="U1051" t="e">
        <f t="shared" ca="1" si="540"/>
        <v>#VALUE!</v>
      </c>
      <c r="V1051" t="e">
        <f t="shared" ca="1" si="541"/>
        <v>#VALUE!</v>
      </c>
      <c r="W1051" t="e">
        <f t="shared" ca="1" si="520"/>
        <v>#VALUE!</v>
      </c>
      <c r="X1051" t="e">
        <f t="shared" ca="1" si="521"/>
        <v>#VALUE!</v>
      </c>
      <c r="Y1051" t="e">
        <f t="shared" ca="1" si="522"/>
        <v>#VALUE!</v>
      </c>
      <c r="Z1051" t="e">
        <f t="shared" ca="1" si="523"/>
        <v>#VALUE!</v>
      </c>
      <c r="AA1051" t="e">
        <f t="shared" ca="1" si="524"/>
        <v>#VALUE!</v>
      </c>
      <c r="AB1051" t="e">
        <f t="shared" ca="1" si="525"/>
        <v>#VALUE!</v>
      </c>
      <c r="AC1051" t="e">
        <f t="shared" ca="1" si="526"/>
        <v>#VALUE!</v>
      </c>
      <c r="AD1051" t="e">
        <f t="shared" ca="1" si="527"/>
        <v>#VALUE!</v>
      </c>
      <c r="AE1051" t="e">
        <f t="shared" ca="1" si="528"/>
        <v>#VALUE!</v>
      </c>
      <c r="AF1051" t="e">
        <f t="shared" ca="1" si="529"/>
        <v>#VALUE!</v>
      </c>
      <c r="AG1051" t="e">
        <f t="shared" ca="1" si="530"/>
        <v>#VALUE!</v>
      </c>
      <c r="AH1051" t="e">
        <f ca="1">IF(V32="Supercritical",L1051,IF(V32="Subcritical",W1051,IF(AND(V1051=1,AG1051=1),IF(T1051&gt;=AE1051,L1051,W1051),IF(V1051=1,L1051,IF(AG1051=1,W1051,MAX($D$16,POWER((ABS(K1051)^2)/($I$5*MAX(F1051,0.1)^2),1/3)))))))</f>
        <v>#VALUE!</v>
      </c>
      <c r="AI1051" t="e">
        <f t="shared" ca="1" si="531"/>
        <v>#VALUE!</v>
      </c>
      <c r="AJ1051" t="e">
        <f t="shared" ca="1" si="532"/>
        <v>#VALUE!</v>
      </c>
      <c r="AM1051">
        <v>0</v>
      </c>
      <c r="AN1051">
        <v>0</v>
      </c>
      <c r="AO1051">
        <f t="shared" si="533"/>
        <v>0</v>
      </c>
      <c r="AP1051">
        <f t="shared" si="542"/>
        <v>0</v>
      </c>
      <c r="AQ1051" t="e">
        <f t="shared" ca="1" si="534"/>
        <v>#VALUE!</v>
      </c>
      <c r="AR1051" t="e">
        <f t="shared" ca="1" si="535"/>
        <v>#VALUE!</v>
      </c>
      <c r="AS1051" t="e">
        <f t="shared" ca="1" si="536"/>
        <v>#VALUE!</v>
      </c>
    </row>
    <row r="1052" spans="1:45" x14ac:dyDescent="0.35">
      <c r="A1052">
        <v>903</v>
      </c>
      <c r="B1052">
        <v>901.88900000000001</v>
      </c>
      <c r="C1052">
        <v>616085.30700000003</v>
      </c>
      <c r="D1052">
        <v>3097101.9610000001</v>
      </c>
      <c r="E1052">
        <v>632.11099999999999</v>
      </c>
      <c r="F1052">
        <v>5.2</v>
      </c>
      <c r="G1052">
        <v>0</v>
      </c>
      <c r="H1052" t="s">
        <v>191</v>
      </c>
      <c r="I1052">
        <v>5.7000000000000002E-2</v>
      </c>
      <c r="J1052">
        <f t="shared" si="537"/>
        <v>0.99900000000002365</v>
      </c>
      <c r="K1052">
        <f t="shared" si="538"/>
        <v>51</v>
      </c>
      <c r="L1052" t="e">
        <f t="shared" ca="1" si="539"/>
        <v>#VALUE!</v>
      </c>
      <c r="M1052" t="e">
        <f t="shared" ca="1" si="512"/>
        <v>#VALUE!</v>
      </c>
      <c r="N1052" t="e">
        <f t="shared" ca="1" si="513"/>
        <v>#VALUE!</v>
      </c>
      <c r="O1052" t="e">
        <f t="shared" ca="1" si="514"/>
        <v>#VALUE!</v>
      </c>
      <c r="P1052" t="e">
        <f t="shared" ca="1" si="515"/>
        <v>#VALUE!</v>
      </c>
      <c r="Q1052" t="e">
        <f t="shared" ca="1" si="516"/>
        <v>#VALUE!</v>
      </c>
      <c r="R1052" t="e">
        <f t="shared" ca="1" si="517"/>
        <v>#VALUE!</v>
      </c>
      <c r="S1052" t="e">
        <f t="shared" ca="1" si="518"/>
        <v>#VALUE!</v>
      </c>
      <c r="T1052" t="e">
        <f t="shared" ca="1" si="519"/>
        <v>#VALUE!</v>
      </c>
      <c r="U1052" t="e">
        <f t="shared" ca="1" si="540"/>
        <v>#VALUE!</v>
      </c>
      <c r="V1052" t="e">
        <f t="shared" ca="1" si="541"/>
        <v>#VALUE!</v>
      </c>
      <c r="W1052" t="e">
        <f t="shared" ca="1" si="520"/>
        <v>#VALUE!</v>
      </c>
      <c r="X1052" t="e">
        <f t="shared" ca="1" si="521"/>
        <v>#VALUE!</v>
      </c>
      <c r="Y1052" t="e">
        <f t="shared" ca="1" si="522"/>
        <v>#VALUE!</v>
      </c>
      <c r="Z1052" t="e">
        <f t="shared" ca="1" si="523"/>
        <v>#VALUE!</v>
      </c>
      <c r="AA1052" t="e">
        <f t="shared" ca="1" si="524"/>
        <v>#VALUE!</v>
      </c>
      <c r="AB1052" t="e">
        <f t="shared" ca="1" si="525"/>
        <v>#VALUE!</v>
      </c>
      <c r="AC1052" t="e">
        <f t="shared" ca="1" si="526"/>
        <v>#VALUE!</v>
      </c>
      <c r="AD1052" t="e">
        <f t="shared" ca="1" si="527"/>
        <v>#VALUE!</v>
      </c>
      <c r="AE1052" t="e">
        <f t="shared" ca="1" si="528"/>
        <v>#VALUE!</v>
      </c>
      <c r="AF1052" t="e">
        <f t="shared" ca="1" si="529"/>
        <v>#VALUE!</v>
      </c>
      <c r="AG1052" t="e">
        <f t="shared" ca="1" si="530"/>
        <v>#VALUE!</v>
      </c>
      <c r="AH1052" t="e">
        <f ca="1">IF(V32="Supercritical",L1052,IF(V32="Subcritical",W1052,IF(AND(V1052=1,AG1052=1),IF(T1052&gt;=AE1052,L1052,W1052),IF(V1052=1,L1052,IF(AG1052=1,W1052,MAX($D$16,POWER((ABS(K1052)^2)/($I$5*MAX(F1052,0.1)^2),1/3)))))))</f>
        <v>#VALUE!</v>
      </c>
      <c r="AI1052" t="e">
        <f t="shared" ca="1" si="531"/>
        <v>#VALUE!</v>
      </c>
      <c r="AJ1052" t="e">
        <f t="shared" ca="1" si="532"/>
        <v>#VALUE!</v>
      </c>
      <c r="AM1052">
        <v>0</v>
      </c>
      <c r="AN1052">
        <v>0</v>
      </c>
      <c r="AO1052">
        <f t="shared" si="533"/>
        <v>0</v>
      </c>
      <c r="AP1052">
        <f t="shared" si="542"/>
        <v>0</v>
      </c>
      <c r="AQ1052" t="e">
        <f t="shared" ca="1" si="534"/>
        <v>#VALUE!</v>
      </c>
      <c r="AR1052" t="e">
        <f t="shared" ca="1" si="535"/>
        <v>#VALUE!</v>
      </c>
      <c r="AS1052" t="e">
        <f t="shared" ca="1" si="536"/>
        <v>#VALUE!</v>
      </c>
    </row>
    <row r="1053" spans="1:45" x14ac:dyDescent="0.35">
      <c r="A1053">
        <v>904</v>
      </c>
      <c r="B1053">
        <v>902.88900000000001</v>
      </c>
      <c r="C1053">
        <v>616085.26500000001</v>
      </c>
      <c r="D1053">
        <v>3097100.9619999998</v>
      </c>
      <c r="E1053">
        <v>632.1105</v>
      </c>
      <c r="F1053">
        <v>5.2</v>
      </c>
      <c r="G1053">
        <v>0</v>
      </c>
      <c r="H1053" t="s">
        <v>191</v>
      </c>
      <c r="I1053">
        <v>0</v>
      </c>
      <c r="J1053">
        <f t="shared" si="537"/>
        <v>1</v>
      </c>
      <c r="K1053">
        <f t="shared" si="538"/>
        <v>51</v>
      </c>
      <c r="L1053" t="e">
        <f t="shared" ca="1" si="539"/>
        <v>#VALUE!</v>
      </c>
      <c r="M1053" t="e">
        <f t="shared" ca="1" si="512"/>
        <v>#VALUE!</v>
      </c>
      <c r="N1053" t="e">
        <f t="shared" ca="1" si="513"/>
        <v>#VALUE!</v>
      </c>
      <c r="O1053" t="e">
        <f t="shared" ca="1" si="514"/>
        <v>#VALUE!</v>
      </c>
      <c r="P1053" t="e">
        <f t="shared" ca="1" si="515"/>
        <v>#VALUE!</v>
      </c>
      <c r="Q1053" t="e">
        <f t="shared" ca="1" si="516"/>
        <v>#VALUE!</v>
      </c>
      <c r="R1053" t="e">
        <f t="shared" ca="1" si="517"/>
        <v>#VALUE!</v>
      </c>
      <c r="S1053" t="e">
        <f t="shared" ca="1" si="518"/>
        <v>#VALUE!</v>
      </c>
      <c r="T1053" t="e">
        <f t="shared" ca="1" si="519"/>
        <v>#VALUE!</v>
      </c>
      <c r="U1053" t="e">
        <f t="shared" ca="1" si="540"/>
        <v>#VALUE!</v>
      </c>
      <c r="V1053" t="e">
        <f t="shared" ca="1" si="541"/>
        <v>#VALUE!</v>
      </c>
      <c r="W1053" t="e">
        <f t="shared" ca="1" si="520"/>
        <v>#VALUE!</v>
      </c>
      <c r="X1053" t="e">
        <f t="shared" ca="1" si="521"/>
        <v>#VALUE!</v>
      </c>
      <c r="Y1053" t="e">
        <f t="shared" ca="1" si="522"/>
        <v>#VALUE!</v>
      </c>
      <c r="Z1053" t="e">
        <f t="shared" ca="1" si="523"/>
        <v>#VALUE!</v>
      </c>
      <c r="AA1053" t="e">
        <f t="shared" ca="1" si="524"/>
        <v>#VALUE!</v>
      </c>
      <c r="AB1053" t="e">
        <f t="shared" ca="1" si="525"/>
        <v>#VALUE!</v>
      </c>
      <c r="AC1053" t="e">
        <f t="shared" ca="1" si="526"/>
        <v>#VALUE!</v>
      </c>
      <c r="AD1053" t="e">
        <f t="shared" ca="1" si="527"/>
        <v>#VALUE!</v>
      </c>
      <c r="AE1053" t="e">
        <f t="shared" ca="1" si="528"/>
        <v>#VALUE!</v>
      </c>
      <c r="AF1053" t="e">
        <f t="shared" ca="1" si="529"/>
        <v>#VALUE!</v>
      </c>
      <c r="AG1053" t="e">
        <f t="shared" ca="1" si="530"/>
        <v>#VALUE!</v>
      </c>
      <c r="AH1053" t="e">
        <f ca="1">IF(V32="Supercritical",L1053,IF(V32="Subcritical",W1053,IF(AND(V1053=1,AG1053=1),IF(T1053&gt;=AE1053,L1053,W1053),IF(V1053=1,L1053,IF(AG1053=1,W1053,MAX($D$16,POWER((ABS(K1053)^2)/($I$5*MAX(F1053,0.1)^2),1/3)))))))</f>
        <v>#VALUE!</v>
      </c>
      <c r="AI1053" t="e">
        <f t="shared" ca="1" si="531"/>
        <v>#VALUE!</v>
      </c>
      <c r="AJ1053" t="e">
        <f t="shared" ca="1" si="532"/>
        <v>#VALUE!</v>
      </c>
      <c r="AM1053">
        <v>0</v>
      </c>
      <c r="AN1053">
        <v>0</v>
      </c>
      <c r="AO1053">
        <f t="shared" si="533"/>
        <v>0</v>
      </c>
      <c r="AP1053">
        <f t="shared" si="542"/>
        <v>0</v>
      </c>
      <c r="AQ1053" t="e">
        <f t="shared" ca="1" si="534"/>
        <v>#VALUE!</v>
      </c>
      <c r="AR1053" t="e">
        <f t="shared" ca="1" si="535"/>
        <v>#VALUE!</v>
      </c>
      <c r="AS1053" t="e">
        <f t="shared" ca="1" si="536"/>
        <v>#VALUE!</v>
      </c>
    </row>
    <row r="1054" spans="1:45" x14ac:dyDescent="0.35">
      <c r="A1054">
        <v>905</v>
      </c>
      <c r="B1054">
        <v>903.88900000000001</v>
      </c>
      <c r="C1054">
        <v>616085.223</v>
      </c>
      <c r="D1054">
        <v>3097099.963</v>
      </c>
      <c r="E1054">
        <v>632.11</v>
      </c>
      <c r="F1054">
        <v>5.2</v>
      </c>
      <c r="G1054">
        <v>0</v>
      </c>
      <c r="H1054" t="s">
        <v>191</v>
      </c>
      <c r="I1054">
        <v>0</v>
      </c>
      <c r="J1054">
        <f t="shared" si="537"/>
        <v>1</v>
      </c>
      <c r="K1054">
        <f t="shared" si="538"/>
        <v>51</v>
      </c>
      <c r="L1054" t="e">
        <f t="shared" ca="1" si="539"/>
        <v>#VALUE!</v>
      </c>
      <c r="M1054" t="e">
        <f t="shared" ca="1" si="512"/>
        <v>#VALUE!</v>
      </c>
      <c r="N1054" t="e">
        <f t="shared" ca="1" si="513"/>
        <v>#VALUE!</v>
      </c>
      <c r="O1054" t="e">
        <f t="shared" ca="1" si="514"/>
        <v>#VALUE!</v>
      </c>
      <c r="P1054" t="e">
        <f t="shared" ca="1" si="515"/>
        <v>#VALUE!</v>
      </c>
      <c r="Q1054" t="e">
        <f t="shared" ca="1" si="516"/>
        <v>#VALUE!</v>
      </c>
      <c r="R1054" t="e">
        <f t="shared" ca="1" si="517"/>
        <v>#VALUE!</v>
      </c>
      <c r="S1054" t="e">
        <f t="shared" ca="1" si="518"/>
        <v>#VALUE!</v>
      </c>
      <c r="T1054" t="e">
        <f t="shared" ca="1" si="519"/>
        <v>#VALUE!</v>
      </c>
      <c r="U1054" t="e">
        <f t="shared" ca="1" si="540"/>
        <v>#VALUE!</v>
      </c>
      <c r="V1054" t="e">
        <f t="shared" ca="1" si="541"/>
        <v>#VALUE!</v>
      </c>
      <c r="W1054" t="e">
        <f t="shared" ca="1" si="520"/>
        <v>#VALUE!</v>
      </c>
      <c r="X1054" t="e">
        <f t="shared" ca="1" si="521"/>
        <v>#VALUE!</v>
      </c>
      <c r="Y1054" t="e">
        <f t="shared" ca="1" si="522"/>
        <v>#VALUE!</v>
      </c>
      <c r="Z1054" t="e">
        <f t="shared" ca="1" si="523"/>
        <v>#VALUE!</v>
      </c>
      <c r="AA1054" t="e">
        <f t="shared" ca="1" si="524"/>
        <v>#VALUE!</v>
      </c>
      <c r="AB1054" t="e">
        <f t="shared" ca="1" si="525"/>
        <v>#VALUE!</v>
      </c>
      <c r="AC1054" t="e">
        <f t="shared" ca="1" si="526"/>
        <v>#VALUE!</v>
      </c>
      <c r="AD1054" t="e">
        <f t="shared" ca="1" si="527"/>
        <v>#VALUE!</v>
      </c>
      <c r="AE1054" t="e">
        <f t="shared" ca="1" si="528"/>
        <v>#VALUE!</v>
      </c>
      <c r="AF1054" t="e">
        <f t="shared" ca="1" si="529"/>
        <v>#VALUE!</v>
      </c>
      <c r="AG1054" t="e">
        <f t="shared" ca="1" si="530"/>
        <v>#VALUE!</v>
      </c>
      <c r="AH1054" t="e">
        <f ca="1">IF(V32="Supercritical",L1054,IF(V32="Subcritical",W1054,IF(AND(V1054=1,AG1054=1),IF(T1054&gt;=AE1054,L1054,W1054),IF(V1054=1,L1054,IF(AG1054=1,W1054,MAX($D$16,POWER((ABS(K1054)^2)/($I$5*MAX(F1054,0.1)^2),1/3)))))))</f>
        <v>#VALUE!</v>
      </c>
      <c r="AI1054" t="e">
        <f t="shared" ca="1" si="531"/>
        <v>#VALUE!</v>
      </c>
      <c r="AJ1054" t="e">
        <f t="shared" ca="1" si="532"/>
        <v>#VALUE!</v>
      </c>
      <c r="AM1054">
        <v>0</v>
      </c>
      <c r="AN1054">
        <v>0</v>
      </c>
      <c r="AO1054">
        <f t="shared" si="533"/>
        <v>0</v>
      </c>
      <c r="AP1054">
        <f t="shared" si="542"/>
        <v>0</v>
      </c>
      <c r="AQ1054" t="e">
        <f t="shared" ca="1" si="534"/>
        <v>#VALUE!</v>
      </c>
      <c r="AR1054" t="e">
        <f t="shared" ca="1" si="535"/>
        <v>#VALUE!</v>
      </c>
      <c r="AS1054" t="e">
        <f t="shared" ca="1" si="536"/>
        <v>#VALUE!</v>
      </c>
    </row>
    <row r="1055" spans="1:45" x14ac:dyDescent="0.35">
      <c r="A1055">
        <v>906</v>
      </c>
      <c r="B1055">
        <v>904.88900000000001</v>
      </c>
      <c r="C1055">
        <v>616085.18099999998</v>
      </c>
      <c r="D1055">
        <v>3097098.9640000002</v>
      </c>
      <c r="E1055">
        <v>632.10950000000003</v>
      </c>
      <c r="F1055">
        <v>5.2</v>
      </c>
      <c r="G1055">
        <v>0</v>
      </c>
      <c r="H1055" t="s">
        <v>191</v>
      </c>
      <c r="I1055">
        <v>5.7000000000000002E-2</v>
      </c>
      <c r="J1055">
        <f t="shared" si="537"/>
        <v>1</v>
      </c>
      <c r="K1055">
        <f t="shared" si="538"/>
        <v>51</v>
      </c>
      <c r="L1055" t="e">
        <f t="shared" ca="1" si="539"/>
        <v>#VALUE!</v>
      </c>
      <c r="M1055" t="e">
        <f t="shared" ca="1" si="512"/>
        <v>#VALUE!</v>
      </c>
      <c r="N1055" t="e">
        <f t="shared" ca="1" si="513"/>
        <v>#VALUE!</v>
      </c>
      <c r="O1055" t="e">
        <f t="shared" ca="1" si="514"/>
        <v>#VALUE!</v>
      </c>
      <c r="P1055" t="e">
        <f t="shared" ca="1" si="515"/>
        <v>#VALUE!</v>
      </c>
      <c r="Q1055" t="e">
        <f t="shared" ca="1" si="516"/>
        <v>#VALUE!</v>
      </c>
      <c r="R1055" t="e">
        <f t="shared" ca="1" si="517"/>
        <v>#VALUE!</v>
      </c>
      <c r="S1055" t="e">
        <f t="shared" ca="1" si="518"/>
        <v>#VALUE!</v>
      </c>
      <c r="T1055" t="e">
        <f t="shared" ca="1" si="519"/>
        <v>#VALUE!</v>
      </c>
      <c r="U1055" t="e">
        <f t="shared" ca="1" si="540"/>
        <v>#VALUE!</v>
      </c>
      <c r="V1055" t="e">
        <f t="shared" ca="1" si="541"/>
        <v>#VALUE!</v>
      </c>
      <c r="W1055" t="e">
        <f t="shared" ca="1" si="520"/>
        <v>#VALUE!</v>
      </c>
      <c r="X1055" t="e">
        <f t="shared" ca="1" si="521"/>
        <v>#VALUE!</v>
      </c>
      <c r="Y1055" t="e">
        <f t="shared" ca="1" si="522"/>
        <v>#VALUE!</v>
      </c>
      <c r="Z1055" t="e">
        <f t="shared" ca="1" si="523"/>
        <v>#VALUE!</v>
      </c>
      <c r="AA1055" t="e">
        <f t="shared" ca="1" si="524"/>
        <v>#VALUE!</v>
      </c>
      <c r="AB1055" t="e">
        <f t="shared" ca="1" si="525"/>
        <v>#VALUE!</v>
      </c>
      <c r="AC1055" t="e">
        <f t="shared" ca="1" si="526"/>
        <v>#VALUE!</v>
      </c>
      <c r="AD1055" t="e">
        <f t="shared" ca="1" si="527"/>
        <v>#VALUE!</v>
      </c>
      <c r="AE1055" t="e">
        <f t="shared" ca="1" si="528"/>
        <v>#VALUE!</v>
      </c>
      <c r="AF1055" t="e">
        <f t="shared" ca="1" si="529"/>
        <v>#VALUE!</v>
      </c>
      <c r="AG1055" t="e">
        <f t="shared" ca="1" si="530"/>
        <v>#VALUE!</v>
      </c>
      <c r="AH1055" t="e">
        <f ca="1">IF(V32="Supercritical",L1055,IF(V32="Subcritical",W1055,IF(AND(V1055=1,AG1055=1),IF(T1055&gt;=AE1055,L1055,W1055),IF(V1055=1,L1055,IF(AG1055=1,W1055,MAX($D$16,POWER((ABS(K1055)^2)/($I$5*MAX(F1055,0.1)^2),1/3)))))))</f>
        <v>#VALUE!</v>
      </c>
      <c r="AI1055" t="e">
        <f t="shared" ca="1" si="531"/>
        <v>#VALUE!</v>
      </c>
      <c r="AJ1055" t="e">
        <f t="shared" ca="1" si="532"/>
        <v>#VALUE!</v>
      </c>
      <c r="AM1055">
        <v>0</v>
      </c>
      <c r="AN1055">
        <v>0</v>
      </c>
      <c r="AO1055">
        <f t="shared" si="533"/>
        <v>0</v>
      </c>
      <c r="AP1055">
        <f t="shared" si="542"/>
        <v>0</v>
      </c>
      <c r="AQ1055" t="e">
        <f t="shared" ca="1" si="534"/>
        <v>#VALUE!</v>
      </c>
      <c r="AR1055" t="e">
        <f t="shared" ca="1" si="535"/>
        <v>#VALUE!</v>
      </c>
      <c r="AS1055" t="e">
        <f t="shared" ca="1" si="536"/>
        <v>#VALUE!</v>
      </c>
    </row>
    <row r="1056" spans="1:45" x14ac:dyDescent="0.35">
      <c r="A1056">
        <v>907</v>
      </c>
      <c r="B1056">
        <v>905.88900000000001</v>
      </c>
      <c r="C1056">
        <v>616085.13800000004</v>
      </c>
      <c r="D1056">
        <v>3097097.9649999999</v>
      </c>
      <c r="E1056">
        <v>632.10900000000004</v>
      </c>
      <c r="F1056">
        <v>5.2</v>
      </c>
      <c r="G1056">
        <v>0</v>
      </c>
      <c r="H1056" t="s">
        <v>191</v>
      </c>
      <c r="I1056">
        <v>5.7000000000000002E-2</v>
      </c>
      <c r="J1056">
        <f t="shared" si="537"/>
        <v>1</v>
      </c>
      <c r="K1056">
        <f t="shared" si="538"/>
        <v>51</v>
      </c>
      <c r="L1056" t="e">
        <f t="shared" ca="1" si="539"/>
        <v>#VALUE!</v>
      </c>
      <c r="M1056" t="e">
        <f t="shared" ca="1" si="512"/>
        <v>#VALUE!</v>
      </c>
      <c r="N1056" t="e">
        <f t="shared" ca="1" si="513"/>
        <v>#VALUE!</v>
      </c>
      <c r="O1056" t="e">
        <f t="shared" ca="1" si="514"/>
        <v>#VALUE!</v>
      </c>
      <c r="P1056" t="e">
        <f t="shared" ca="1" si="515"/>
        <v>#VALUE!</v>
      </c>
      <c r="Q1056" t="e">
        <f t="shared" ca="1" si="516"/>
        <v>#VALUE!</v>
      </c>
      <c r="R1056" t="e">
        <f t="shared" ca="1" si="517"/>
        <v>#VALUE!</v>
      </c>
      <c r="S1056" t="e">
        <f t="shared" ca="1" si="518"/>
        <v>#VALUE!</v>
      </c>
      <c r="T1056" t="e">
        <f t="shared" ca="1" si="519"/>
        <v>#VALUE!</v>
      </c>
      <c r="U1056" t="e">
        <f t="shared" ca="1" si="540"/>
        <v>#VALUE!</v>
      </c>
      <c r="V1056" t="e">
        <f t="shared" ca="1" si="541"/>
        <v>#VALUE!</v>
      </c>
      <c r="W1056" t="e">
        <f t="shared" ca="1" si="520"/>
        <v>#VALUE!</v>
      </c>
      <c r="X1056" t="e">
        <f t="shared" ca="1" si="521"/>
        <v>#VALUE!</v>
      </c>
      <c r="Y1056" t="e">
        <f t="shared" ca="1" si="522"/>
        <v>#VALUE!</v>
      </c>
      <c r="Z1056" t="e">
        <f t="shared" ca="1" si="523"/>
        <v>#VALUE!</v>
      </c>
      <c r="AA1056" t="e">
        <f t="shared" ca="1" si="524"/>
        <v>#VALUE!</v>
      </c>
      <c r="AB1056" t="e">
        <f t="shared" ca="1" si="525"/>
        <v>#VALUE!</v>
      </c>
      <c r="AC1056" t="e">
        <f t="shared" ca="1" si="526"/>
        <v>#VALUE!</v>
      </c>
      <c r="AD1056" t="e">
        <f t="shared" ca="1" si="527"/>
        <v>#VALUE!</v>
      </c>
      <c r="AE1056" t="e">
        <f t="shared" ca="1" si="528"/>
        <v>#VALUE!</v>
      </c>
      <c r="AF1056" t="e">
        <f t="shared" ca="1" si="529"/>
        <v>#VALUE!</v>
      </c>
      <c r="AG1056" t="e">
        <f t="shared" ca="1" si="530"/>
        <v>#VALUE!</v>
      </c>
      <c r="AH1056" t="e">
        <f ca="1">IF(V32="Supercritical",L1056,IF(V32="Subcritical",W1056,IF(AND(V1056=1,AG1056=1),IF(T1056&gt;=AE1056,L1056,W1056),IF(V1056=1,L1056,IF(AG1056=1,W1056,MAX($D$16,POWER((ABS(K1056)^2)/($I$5*MAX(F1056,0.1)^2),1/3)))))))</f>
        <v>#VALUE!</v>
      </c>
      <c r="AI1056" t="e">
        <f t="shared" ca="1" si="531"/>
        <v>#VALUE!</v>
      </c>
      <c r="AJ1056" t="e">
        <f t="shared" ca="1" si="532"/>
        <v>#VALUE!</v>
      </c>
      <c r="AM1056">
        <v>0</v>
      </c>
      <c r="AN1056">
        <v>0</v>
      </c>
      <c r="AO1056">
        <f t="shared" si="533"/>
        <v>0</v>
      </c>
      <c r="AP1056">
        <f t="shared" si="542"/>
        <v>0</v>
      </c>
      <c r="AQ1056" t="e">
        <f t="shared" ca="1" si="534"/>
        <v>#VALUE!</v>
      </c>
      <c r="AR1056" t="e">
        <f t="shared" ca="1" si="535"/>
        <v>#VALUE!</v>
      </c>
      <c r="AS1056" t="e">
        <f t="shared" ca="1" si="536"/>
        <v>#VALUE!</v>
      </c>
    </row>
    <row r="1057" spans="1:45" x14ac:dyDescent="0.35">
      <c r="A1057">
        <v>908</v>
      </c>
      <c r="B1057">
        <v>906.88900000000001</v>
      </c>
      <c r="C1057">
        <v>616085.09600000002</v>
      </c>
      <c r="D1057">
        <v>3097096.966</v>
      </c>
      <c r="E1057">
        <v>632.10850000000005</v>
      </c>
      <c r="F1057">
        <v>5.2</v>
      </c>
      <c r="G1057">
        <v>0</v>
      </c>
      <c r="H1057" t="s">
        <v>191</v>
      </c>
      <c r="I1057">
        <v>0</v>
      </c>
      <c r="J1057">
        <f t="shared" si="537"/>
        <v>1</v>
      </c>
      <c r="K1057">
        <f t="shared" si="538"/>
        <v>51</v>
      </c>
      <c r="L1057" t="e">
        <f t="shared" ca="1" si="539"/>
        <v>#VALUE!</v>
      </c>
      <c r="M1057" t="e">
        <f t="shared" ca="1" si="512"/>
        <v>#VALUE!</v>
      </c>
      <c r="N1057" t="e">
        <f t="shared" ca="1" si="513"/>
        <v>#VALUE!</v>
      </c>
      <c r="O1057" t="e">
        <f t="shared" ca="1" si="514"/>
        <v>#VALUE!</v>
      </c>
      <c r="P1057" t="e">
        <f t="shared" ca="1" si="515"/>
        <v>#VALUE!</v>
      </c>
      <c r="Q1057" t="e">
        <f t="shared" ca="1" si="516"/>
        <v>#VALUE!</v>
      </c>
      <c r="R1057" t="e">
        <f t="shared" ca="1" si="517"/>
        <v>#VALUE!</v>
      </c>
      <c r="S1057" t="e">
        <f t="shared" ca="1" si="518"/>
        <v>#VALUE!</v>
      </c>
      <c r="T1057" t="e">
        <f t="shared" ca="1" si="519"/>
        <v>#VALUE!</v>
      </c>
      <c r="U1057" t="e">
        <f t="shared" ca="1" si="540"/>
        <v>#VALUE!</v>
      </c>
      <c r="V1057" t="e">
        <f t="shared" ca="1" si="541"/>
        <v>#VALUE!</v>
      </c>
      <c r="W1057" t="e">
        <f t="shared" ca="1" si="520"/>
        <v>#VALUE!</v>
      </c>
      <c r="X1057" t="e">
        <f t="shared" ca="1" si="521"/>
        <v>#VALUE!</v>
      </c>
      <c r="Y1057" t="e">
        <f t="shared" ca="1" si="522"/>
        <v>#VALUE!</v>
      </c>
      <c r="Z1057" t="e">
        <f t="shared" ca="1" si="523"/>
        <v>#VALUE!</v>
      </c>
      <c r="AA1057" t="e">
        <f t="shared" ca="1" si="524"/>
        <v>#VALUE!</v>
      </c>
      <c r="AB1057" t="e">
        <f t="shared" ca="1" si="525"/>
        <v>#VALUE!</v>
      </c>
      <c r="AC1057" t="e">
        <f t="shared" ca="1" si="526"/>
        <v>#VALUE!</v>
      </c>
      <c r="AD1057" t="e">
        <f t="shared" ca="1" si="527"/>
        <v>#VALUE!</v>
      </c>
      <c r="AE1057" t="e">
        <f t="shared" ca="1" si="528"/>
        <v>#VALUE!</v>
      </c>
      <c r="AF1057" t="e">
        <f t="shared" ca="1" si="529"/>
        <v>#VALUE!</v>
      </c>
      <c r="AG1057" t="e">
        <f t="shared" ca="1" si="530"/>
        <v>#VALUE!</v>
      </c>
      <c r="AH1057" t="e">
        <f ca="1">IF(V32="Supercritical",L1057,IF(V32="Subcritical",W1057,IF(AND(V1057=1,AG1057=1),IF(T1057&gt;=AE1057,L1057,W1057),IF(V1057=1,L1057,IF(AG1057=1,W1057,MAX($D$16,POWER((ABS(K1057)^2)/($I$5*MAX(F1057,0.1)^2),1/3)))))))</f>
        <v>#VALUE!</v>
      </c>
      <c r="AI1057" t="e">
        <f t="shared" ca="1" si="531"/>
        <v>#VALUE!</v>
      </c>
      <c r="AJ1057" t="e">
        <f t="shared" ca="1" si="532"/>
        <v>#VALUE!</v>
      </c>
      <c r="AM1057">
        <v>0</v>
      </c>
      <c r="AN1057">
        <v>0</v>
      </c>
      <c r="AO1057">
        <f t="shared" si="533"/>
        <v>0</v>
      </c>
      <c r="AP1057">
        <f t="shared" si="542"/>
        <v>0</v>
      </c>
      <c r="AQ1057" t="e">
        <f t="shared" ca="1" si="534"/>
        <v>#VALUE!</v>
      </c>
      <c r="AR1057" t="e">
        <f t="shared" ca="1" si="535"/>
        <v>#VALUE!</v>
      </c>
      <c r="AS1057" t="e">
        <f t="shared" ca="1" si="536"/>
        <v>#VALUE!</v>
      </c>
    </row>
    <row r="1058" spans="1:45" x14ac:dyDescent="0.35">
      <c r="A1058">
        <v>909</v>
      </c>
      <c r="B1058">
        <v>907.88900000000001</v>
      </c>
      <c r="C1058">
        <v>616085.054</v>
      </c>
      <c r="D1058">
        <v>3097095.9670000002</v>
      </c>
      <c r="E1058">
        <v>632.10799999999995</v>
      </c>
      <c r="F1058">
        <v>5.2</v>
      </c>
      <c r="G1058">
        <v>0</v>
      </c>
      <c r="H1058" t="s">
        <v>191</v>
      </c>
      <c r="I1058">
        <v>2E-3</v>
      </c>
      <c r="J1058">
        <f t="shared" si="537"/>
        <v>1</v>
      </c>
      <c r="K1058">
        <f t="shared" si="538"/>
        <v>51</v>
      </c>
      <c r="L1058" t="e">
        <f t="shared" ca="1" si="539"/>
        <v>#VALUE!</v>
      </c>
      <c r="M1058" t="e">
        <f t="shared" ca="1" si="512"/>
        <v>#VALUE!</v>
      </c>
      <c r="N1058" t="e">
        <f t="shared" ca="1" si="513"/>
        <v>#VALUE!</v>
      </c>
      <c r="O1058" t="e">
        <f t="shared" ca="1" si="514"/>
        <v>#VALUE!</v>
      </c>
      <c r="P1058" t="e">
        <f t="shared" ca="1" si="515"/>
        <v>#VALUE!</v>
      </c>
      <c r="Q1058" t="e">
        <f t="shared" ca="1" si="516"/>
        <v>#VALUE!</v>
      </c>
      <c r="R1058" t="e">
        <f t="shared" ca="1" si="517"/>
        <v>#VALUE!</v>
      </c>
      <c r="S1058" t="e">
        <f t="shared" ca="1" si="518"/>
        <v>#VALUE!</v>
      </c>
      <c r="T1058" t="e">
        <f t="shared" ca="1" si="519"/>
        <v>#VALUE!</v>
      </c>
      <c r="U1058" t="e">
        <f t="shared" ca="1" si="540"/>
        <v>#VALUE!</v>
      </c>
      <c r="V1058" t="e">
        <f t="shared" ca="1" si="541"/>
        <v>#VALUE!</v>
      </c>
      <c r="W1058" t="e">
        <f t="shared" ca="1" si="520"/>
        <v>#VALUE!</v>
      </c>
      <c r="X1058" t="e">
        <f t="shared" ca="1" si="521"/>
        <v>#VALUE!</v>
      </c>
      <c r="Y1058" t="e">
        <f t="shared" ca="1" si="522"/>
        <v>#VALUE!</v>
      </c>
      <c r="Z1058" t="e">
        <f t="shared" ca="1" si="523"/>
        <v>#VALUE!</v>
      </c>
      <c r="AA1058" t="e">
        <f t="shared" ca="1" si="524"/>
        <v>#VALUE!</v>
      </c>
      <c r="AB1058" t="e">
        <f t="shared" ca="1" si="525"/>
        <v>#VALUE!</v>
      </c>
      <c r="AC1058" t="e">
        <f t="shared" ca="1" si="526"/>
        <v>#VALUE!</v>
      </c>
      <c r="AD1058" t="e">
        <f t="shared" ca="1" si="527"/>
        <v>#VALUE!</v>
      </c>
      <c r="AE1058" t="e">
        <f t="shared" ca="1" si="528"/>
        <v>#VALUE!</v>
      </c>
      <c r="AF1058" t="e">
        <f t="shared" ca="1" si="529"/>
        <v>#VALUE!</v>
      </c>
      <c r="AG1058" t="e">
        <f t="shared" ca="1" si="530"/>
        <v>#VALUE!</v>
      </c>
      <c r="AH1058" t="e">
        <f ca="1">IF(V32="Supercritical",L1058,IF(V32="Subcritical",W1058,IF(AND(V1058=1,AG1058=1),IF(T1058&gt;=AE1058,L1058,W1058),IF(V1058=1,L1058,IF(AG1058=1,W1058,MAX($D$16,POWER((ABS(K1058)^2)/($I$5*MAX(F1058,0.1)^2),1/3)))))))</f>
        <v>#VALUE!</v>
      </c>
      <c r="AI1058" t="e">
        <f t="shared" ca="1" si="531"/>
        <v>#VALUE!</v>
      </c>
      <c r="AJ1058" t="e">
        <f t="shared" ca="1" si="532"/>
        <v>#VALUE!</v>
      </c>
      <c r="AM1058">
        <v>0</v>
      </c>
      <c r="AN1058">
        <v>0</v>
      </c>
      <c r="AO1058">
        <f t="shared" si="533"/>
        <v>0</v>
      </c>
      <c r="AP1058">
        <f t="shared" si="542"/>
        <v>0</v>
      </c>
      <c r="AQ1058" t="e">
        <f t="shared" ca="1" si="534"/>
        <v>#VALUE!</v>
      </c>
      <c r="AR1058" t="e">
        <f t="shared" ca="1" si="535"/>
        <v>#VALUE!</v>
      </c>
      <c r="AS1058" t="e">
        <f t="shared" ca="1" si="536"/>
        <v>#VALUE!</v>
      </c>
    </row>
    <row r="1059" spans="1:45" x14ac:dyDescent="0.35">
      <c r="A1059">
        <v>910</v>
      </c>
      <c r="B1059">
        <v>908.89</v>
      </c>
      <c r="C1059">
        <v>616085.01199999999</v>
      </c>
      <c r="D1059">
        <v>3097094.9670000002</v>
      </c>
      <c r="E1059">
        <v>632.10749999999996</v>
      </c>
      <c r="F1059">
        <v>5.2</v>
      </c>
      <c r="G1059">
        <v>0</v>
      </c>
      <c r="H1059" t="s">
        <v>191</v>
      </c>
      <c r="I1059">
        <v>0.06</v>
      </c>
      <c r="J1059">
        <f t="shared" si="537"/>
        <v>1.0009999999999764</v>
      </c>
      <c r="K1059">
        <f t="shared" si="538"/>
        <v>51</v>
      </c>
      <c r="L1059" t="e">
        <f t="shared" ca="1" si="539"/>
        <v>#VALUE!</v>
      </c>
      <c r="M1059" t="e">
        <f t="shared" ca="1" si="512"/>
        <v>#VALUE!</v>
      </c>
      <c r="N1059" t="e">
        <f t="shared" ca="1" si="513"/>
        <v>#VALUE!</v>
      </c>
      <c r="O1059" t="e">
        <f t="shared" ca="1" si="514"/>
        <v>#VALUE!</v>
      </c>
      <c r="P1059" t="e">
        <f t="shared" ca="1" si="515"/>
        <v>#VALUE!</v>
      </c>
      <c r="Q1059" t="e">
        <f t="shared" ca="1" si="516"/>
        <v>#VALUE!</v>
      </c>
      <c r="R1059" t="e">
        <f t="shared" ca="1" si="517"/>
        <v>#VALUE!</v>
      </c>
      <c r="S1059" t="e">
        <f t="shared" ca="1" si="518"/>
        <v>#VALUE!</v>
      </c>
      <c r="T1059" t="e">
        <f t="shared" ca="1" si="519"/>
        <v>#VALUE!</v>
      </c>
      <c r="U1059" t="e">
        <f t="shared" ca="1" si="540"/>
        <v>#VALUE!</v>
      </c>
      <c r="V1059" t="e">
        <f t="shared" ca="1" si="541"/>
        <v>#VALUE!</v>
      </c>
      <c r="W1059" t="e">
        <f t="shared" ca="1" si="520"/>
        <v>#VALUE!</v>
      </c>
      <c r="X1059" t="e">
        <f t="shared" ca="1" si="521"/>
        <v>#VALUE!</v>
      </c>
      <c r="Y1059" t="e">
        <f t="shared" ca="1" si="522"/>
        <v>#VALUE!</v>
      </c>
      <c r="Z1059" t="e">
        <f t="shared" ca="1" si="523"/>
        <v>#VALUE!</v>
      </c>
      <c r="AA1059" t="e">
        <f t="shared" ca="1" si="524"/>
        <v>#VALUE!</v>
      </c>
      <c r="AB1059" t="e">
        <f t="shared" ca="1" si="525"/>
        <v>#VALUE!</v>
      </c>
      <c r="AC1059" t="e">
        <f t="shared" ca="1" si="526"/>
        <v>#VALUE!</v>
      </c>
      <c r="AD1059" t="e">
        <f t="shared" ca="1" si="527"/>
        <v>#VALUE!</v>
      </c>
      <c r="AE1059" t="e">
        <f t="shared" ca="1" si="528"/>
        <v>#VALUE!</v>
      </c>
      <c r="AF1059" t="e">
        <f t="shared" ca="1" si="529"/>
        <v>#VALUE!</v>
      </c>
      <c r="AG1059" t="e">
        <f t="shared" ca="1" si="530"/>
        <v>#VALUE!</v>
      </c>
      <c r="AH1059" t="e">
        <f ca="1">IF(V32="Supercritical",L1059,IF(V32="Subcritical",W1059,IF(AND(V1059=1,AG1059=1),IF(T1059&gt;=AE1059,L1059,W1059),IF(V1059=1,L1059,IF(AG1059=1,W1059,MAX($D$16,POWER((ABS(K1059)^2)/($I$5*MAX(F1059,0.1)^2),1/3)))))))</f>
        <v>#VALUE!</v>
      </c>
      <c r="AI1059" t="e">
        <f t="shared" ca="1" si="531"/>
        <v>#VALUE!</v>
      </c>
      <c r="AJ1059" t="e">
        <f t="shared" ca="1" si="532"/>
        <v>#VALUE!</v>
      </c>
      <c r="AM1059">
        <v>0</v>
      </c>
      <c r="AN1059">
        <v>0</v>
      </c>
      <c r="AO1059">
        <f t="shared" si="533"/>
        <v>0</v>
      </c>
      <c r="AP1059">
        <f t="shared" si="542"/>
        <v>0</v>
      </c>
      <c r="AQ1059" t="e">
        <f t="shared" ca="1" si="534"/>
        <v>#VALUE!</v>
      </c>
      <c r="AR1059" t="e">
        <f t="shared" ca="1" si="535"/>
        <v>#VALUE!</v>
      </c>
      <c r="AS1059" t="e">
        <f t="shared" ca="1" si="536"/>
        <v>#VALUE!</v>
      </c>
    </row>
    <row r="1060" spans="1:45" x14ac:dyDescent="0.35">
      <c r="A1060">
        <v>911</v>
      </c>
      <c r="B1060">
        <v>909.89</v>
      </c>
      <c r="C1060">
        <v>616084.96900000004</v>
      </c>
      <c r="D1060">
        <v>3097093.9679999999</v>
      </c>
      <c r="E1060">
        <v>632.10699999999997</v>
      </c>
      <c r="F1060">
        <v>5.2</v>
      </c>
      <c r="G1060">
        <v>0</v>
      </c>
      <c r="H1060" t="s">
        <v>191</v>
      </c>
      <c r="I1060">
        <v>5.7000000000000002E-2</v>
      </c>
      <c r="J1060">
        <f t="shared" si="537"/>
        <v>1</v>
      </c>
      <c r="K1060">
        <f t="shared" si="538"/>
        <v>51</v>
      </c>
      <c r="L1060" t="e">
        <f t="shared" ca="1" si="539"/>
        <v>#VALUE!</v>
      </c>
      <c r="M1060" t="e">
        <f t="shared" ca="1" si="512"/>
        <v>#VALUE!</v>
      </c>
      <c r="N1060" t="e">
        <f t="shared" ca="1" si="513"/>
        <v>#VALUE!</v>
      </c>
      <c r="O1060" t="e">
        <f t="shared" ca="1" si="514"/>
        <v>#VALUE!</v>
      </c>
      <c r="P1060" t="e">
        <f t="shared" ca="1" si="515"/>
        <v>#VALUE!</v>
      </c>
      <c r="Q1060" t="e">
        <f t="shared" ca="1" si="516"/>
        <v>#VALUE!</v>
      </c>
      <c r="R1060" t="e">
        <f t="shared" ca="1" si="517"/>
        <v>#VALUE!</v>
      </c>
      <c r="S1060" t="e">
        <f t="shared" ca="1" si="518"/>
        <v>#VALUE!</v>
      </c>
      <c r="T1060" t="e">
        <f t="shared" ca="1" si="519"/>
        <v>#VALUE!</v>
      </c>
      <c r="U1060" t="e">
        <f t="shared" ca="1" si="540"/>
        <v>#VALUE!</v>
      </c>
      <c r="V1060" t="e">
        <f t="shared" ca="1" si="541"/>
        <v>#VALUE!</v>
      </c>
      <c r="W1060" t="e">
        <f t="shared" ca="1" si="520"/>
        <v>#VALUE!</v>
      </c>
      <c r="X1060" t="e">
        <f t="shared" ca="1" si="521"/>
        <v>#VALUE!</v>
      </c>
      <c r="Y1060" t="e">
        <f t="shared" ca="1" si="522"/>
        <v>#VALUE!</v>
      </c>
      <c r="Z1060" t="e">
        <f t="shared" ca="1" si="523"/>
        <v>#VALUE!</v>
      </c>
      <c r="AA1060" t="e">
        <f t="shared" ca="1" si="524"/>
        <v>#VALUE!</v>
      </c>
      <c r="AB1060" t="e">
        <f t="shared" ca="1" si="525"/>
        <v>#VALUE!</v>
      </c>
      <c r="AC1060" t="e">
        <f t="shared" ca="1" si="526"/>
        <v>#VALUE!</v>
      </c>
      <c r="AD1060" t="e">
        <f t="shared" ca="1" si="527"/>
        <v>#VALUE!</v>
      </c>
      <c r="AE1060" t="e">
        <f t="shared" ca="1" si="528"/>
        <v>#VALUE!</v>
      </c>
      <c r="AF1060" t="e">
        <f t="shared" ca="1" si="529"/>
        <v>#VALUE!</v>
      </c>
      <c r="AG1060" t="e">
        <f t="shared" ca="1" si="530"/>
        <v>#VALUE!</v>
      </c>
      <c r="AH1060" t="e">
        <f ca="1">IF(V32="Supercritical",L1060,IF(V32="Subcritical",W1060,IF(AND(V1060=1,AG1060=1),IF(T1060&gt;=AE1060,L1060,W1060),IF(V1060=1,L1060,IF(AG1060=1,W1060,MAX($D$16,POWER((ABS(K1060)^2)/($I$5*MAX(F1060,0.1)^2),1/3)))))))</f>
        <v>#VALUE!</v>
      </c>
      <c r="AI1060" t="e">
        <f t="shared" ca="1" si="531"/>
        <v>#VALUE!</v>
      </c>
      <c r="AJ1060" t="e">
        <f t="shared" ca="1" si="532"/>
        <v>#VALUE!</v>
      </c>
      <c r="AM1060">
        <v>0</v>
      </c>
      <c r="AN1060">
        <v>0</v>
      </c>
      <c r="AO1060">
        <f t="shared" si="533"/>
        <v>0</v>
      </c>
      <c r="AP1060">
        <f t="shared" si="542"/>
        <v>0</v>
      </c>
      <c r="AQ1060" t="e">
        <f t="shared" ca="1" si="534"/>
        <v>#VALUE!</v>
      </c>
      <c r="AR1060" t="e">
        <f t="shared" ca="1" si="535"/>
        <v>#VALUE!</v>
      </c>
      <c r="AS1060" t="e">
        <f t="shared" ca="1" si="536"/>
        <v>#VALUE!</v>
      </c>
    </row>
    <row r="1061" spans="1:45" x14ac:dyDescent="0.35">
      <c r="A1061">
        <v>912</v>
      </c>
      <c r="B1061">
        <v>910.89</v>
      </c>
      <c r="C1061">
        <v>616084.92700000003</v>
      </c>
      <c r="D1061">
        <v>3097092.969</v>
      </c>
      <c r="E1061">
        <v>632.10649999999998</v>
      </c>
      <c r="F1061">
        <v>5.2</v>
      </c>
      <c r="G1061">
        <v>0</v>
      </c>
      <c r="H1061" t="s">
        <v>191</v>
      </c>
      <c r="I1061">
        <v>0</v>
      </c>
      <c r="J1061">
        <f t="shared" si="537"/>
        <v>1</v>
      </c>
      <c r="K1061">
        <f t="shared" si="538"/>
        <v>51</v>
      </c>
      <c r="L1061" t="e">
        <f t="shared" ca="1" si="539"/>
        <v>#VALUE!</v>
      </c>
      <c r="M1061" t="e">
        <f t="shared" ca="1" si="512"/>
        <v>#VALUE!</v>
      </c>
      <c r="N1061" t="e">
        <f t="shared" ca="1" si="513"/>
        <v>#VALUE!</v>
      </c>
      <c r="O1061" t="e">
        <f t="shared" ca="1" si="514"/>
        <v>#VALUE!</v>
      </c>
      <c r="P1061" t="e">
        <f t="shared" ca="1" si="515"/>
        <v>#VALUE!</v>
      </c>
      <c r="Q1061" t="e">
        <f t="shared" ca="1" si="516"/>
        <v>#VALUE!</v>
      </c>
      <c r="R1061" t="e">
        <f t="shared" ca="1" si="517"/>
        <v>#VALUE!</v>
      </c>
      <c r="S1061" t="e">
        <f t="shared" ca="1" si="518"/>
        <v>#VALUE!</v>
      </c>
      <c r="T1061" t="e">
        <f t="shared" ca="1" si="519"/>
        <v>#VALUE!</v>
      </c>
      <c r="U1061" t="e">
        <f t="shared" ca="1" si="540"/>
        <v>#VALUE!</v>
      </c>
      <c r="V1061" t="e">
        <f t="shared" ca="1" si="541"/>
        <v>#VALUE!</v>
      </c>
      <c r="W1061" t="e">
        <f t="shared" ca="1" si="520"/>
        <v>#VALUE!</v>
      </c>
      <c r="X1061" t="e">
        <f t="shared" ca="1" si="521"/>
        <v>#VALUE!</v>
      </c>
      <c r="Y1061" t="e">
        <f t="shared" ca="1" si="522"/>
        <v>#VALUE!</v>
      </c>
      <c r="Z1061" t="e">
        <f t="shared" ca="1" si="523"/>
        <v>#VALUE!</v>
      </c>
      <c r="AA1061" t="e">
        <f t="shared" ca="1" si="524"/>
        <v>#VALUE!</v>
      </c>
      <c r="AB1061" t="e">
        <f t="shared" ca="1" si="525"/>
        <v>#VALUE!</v>
      </c>
      <c r="AC1061" t="e">
        <f t="shared" ca="1" si="526"/>
        <v>#VALUE!</v>
      </c>
      <c r="AD1061" t="e">
        <f t="shared" ca="1" si="527"/>
        <v>#VALUE!</v>
      </c>
      <c r="AE1061" t="e">
        <f t="shared" ca="1" si="528"/>
        <v>#VALUE!</v>
      </c>
      <c r="AF1061" t="e">
        <f t="shared" ca="1" si="529"/>
        <v>#VALUE!</v>
      </c>
      <c r="AG1061" t="e">
        <f t="shared" ca="1" si="530"/>
        <v>#VALUE!</v>
      </c>
      <c r="AH1061" t="e">
        <f ca="1">IF(V32="Supercritical",L1061,IF(V32="Subcritical",W1061,IF(AND(V1061=1,AG1061=1),IF(T1061&gt;=AE1061,L1061,W1061),IF(V1061=1,L1061,IF(AG1061=1,W1061,MAX($D$16,POWER((ABS(K1061)^2)/($I$5*MAX(F1061,0.1)^2),1/3)))))))</f>
        <v>#VALUE!</v>
      </c>
      <c r="AI1061" t="e">
        <f t="shared" ca="1" si="531"/>
        <v>#VALUE!</v>
      </c>
      <c r="AJ1061" t="e">
        <f t="shared" ca="1" si="532"/>
        <v>#VALUE!</v>
      </c>
      <c r="AM1061">
        <v>0</v>
      </c>
      <c r="AN1061">
        <v>0</v>
      </c>
      <c r="AO1061">
        <f t="shared" si="533"/>
        <v>0</v>
      </c>
      <c r="AP1061">
        <f t="shared" si="542"/>
        <v>0</v>
      </c>
      <c r="AQ1061" t="e">
        <f t="shared" ca="1" si="534"/>
        <v>#VALUE!</v>
      </c>
      <c r="AR1061" t="e">
        <f t="shared" ca="1" si="535"/>
        <v>#VALUE!</v>
      </c>
      <c r="AS1061" t="e">
        <f t="shared" ca="1" si="536"/>
        <v>#VALUE!</v>
      </c>
    </row>
    <row r="1062" spans="1:45" x14ac:dyDescent="0.35">
      <c r="A1062">
        <v>913</v>
      </c>
      <c r="B1062">
        <v>911.88900000000001</v>
      </c>
      <c r="C1062">
        <v>616084.88500000001</v>
      </c>
      <c r="D1062">
        <v>3097091.97</v>
      </c>
      <c r="E1062">
        <v>632.10599999999999</v>
      </c>
      <c r="F1062">
        <v>5.2</v>
      </c>
      <c r="G1062">
        <v>0</v>
      </c>
      <c r="H1062" t="s">
        <v>191</v>
      </c>
      <c r="I1062">
        <v>0</v>
      </c>
      <c r="J1062">
        <f t="shared" si="537"/>
        <v>0.99900000000002365</v>
      </c>
      <c r="K1062">
        <f t="shared" si="538"/>
        <v>51</v>
      </c>
      <c r="L1062" t="e">
        <f t="shared" ca="1" si="539"/>
        <v>#VALUE!</v>
      </c>
      <c r="M1062" t="e">
        <f t="shared" ca="1" si="512"/>
        <v>#VALUE!</v>
      </c>
      <c r="N1062" t="e">
        <f t="shared" ca="1" si="513"/>
        <v>#VALUE!</v>
      </c>
      <c r="O1062" t="e">
        <f t="shared" ca="1" si="514"/>
        <v>#VALUE!</v>
      </c>
      <c r="P1062" t="e">
        <f t="shared" ca="1" si="515"/>
        <v>#VALUE!</v>
      </c>
      <c r="Q1062" t="e">
        <f t="shared" ca="1" si="516"/>
        <v>#VALUE!</v>
      </c>
      <c r="R1062" t="e">
        <f t="shared" ca="1" si="517"/>
        <v>#VALUE!</v>
      </c>
      <c r="S1062" t="e">
        <f t="shared" ca="1" si="518"/>
        <v>#VALUE!</v>
      </c>
      <c r="T1062" t="e">
        <f t="shared" ca="1" si="519"/>
        <v>#VALUE!</v>
      </c>
      <c r="U1062" t="e">
        <f t="shared" ca="1" si="540"/>
        <v>#VALUE!</v>
      </c>
      <c r="V1062" t="e">
        <f t="shared" ca="1" si="541"/>
        <v>#VALUE!</v>
      </c>
      <c r="W1062" t="e">
        <f t="shared" ca="1" si="520"/>
        <v>#VALUE!</v>
      </c>
      <c r="X1062" t="e">
        <f t="shared" ca="1" si="521"/>
        <v>#VALUE!</v>
      </c>
      <c r="Y1062" t="e">
        <f t="shared" ca="1" si="522"/>
        <v>#VALUE!</v>
      </c>
      <c r="Z1062" t="e">
        <f t="shared" ca="1" si="523"/>
        <v>#VALUE!</v>
      </c>
      <c r="AA1062" t="e">
        <f t="shared" ca="1" si="524"/>
        <v>#VALUE!</v>
      </c>
      <c r="AB1062" t="e">
        <f t="shared" ca="1" si="525"/>
        <v>#VALUE!</v>
      </c>
      <c r="AC1062" t="e">
        <f t="shared" ca="1" si="526"/>
        <v>#VALUE!</v>
      </c>
      <c r="AD1062" t="e">
        <f t="shared" ca="1" si="527"/>
        <v>#VALUE!</v>
      </c>
      <c r="AE1062" t="e">
        <f t="shared" ca="1" si="528"/>
        <v>#VALUE!</v>
      </c>
      <c r="AF1062" t="e">
        <f t="shared" ca="1" si="529"/>
        <v>#VALUE!</v>
      </c>
      <c r="AG1062" t="e">
        <f t="shared" ca="1" si="530"/>
        <v>#VALUE!</v>
      </c>
      <c r="AH1062" t="e">
        <f ca="1">IF(V32="Supercritical",L1062,IF(V32="Subcritical",W1062,IF(AND(V1062=1,AG1062=1),IF(T1062&gt;=AE1062,L1062,W1062),IF(V1062=1,L1062,IF(AG1062=1,W1062,MAX($D$16,POWER((ABS(K1062)^2)/($I$5*MAX(F1062,0.1)^2),1/3)))))))</f>
        <v>#VALUE!</v>
      </c>
      <c r="AI1062" t="e">
        <f t="shared" ca="1" si="531"/>
        <v>#VALUE!</v>
      </c>
      <c r="AJ1062" t="e">
        <f t="shared" ca="1" si="532"/>
        <v>#VALUE!</v>
      </c>
      <c r="AM1062">
        <v>0</v>
      </c>
      <c r="AN1062">
        <v>0</v>
      </c>
      <c r="AO1062">
        <f t="shared" si="533"/>
        <v>0</v>
      </c>
      <c r="AP1062">
        <f t="shared" si="542"/>
        <v>0</v>
      </c>
      <c r="AQ1062" t="e">
        <f t="shared" ca="1" si="534"/>
        <v>#VALUE!</v>
      </c>
      <c r="AR1062" t="e">
        <f t="shared" ca="1" si="535"/>
        <v>#VALUE!</v>
      </c>
      <c r="AS1062" t="e">
        <f t="shared" ca="1" si="536"/>
        <v>#VALUE!</v>
      </c>
    </row>
    <row r="1063" spans="1:45" x14ac:dyDescent="0.35">
      <c r="A1063">
        <v>914</v>
      </c>
      <c r="B1063">
        <v>912.88900000000001</v>
      </c>
      <c r="C1063">
        <v>616084.84299999999</v>
      </c>
      <c r="D1063">
        <v>3097090.9709999999</v>
      </c>
      <c r="E1063">
        <v>632.10550000000001</v>
      </c>
      <c r="F1063">
        <v>5.2</v>
      </c>
      <c r="G1063">
        <v>0</v>
      </c>
      <c r="H1063" t="s">
        <v>191</v>
      </c>
      <c r="I1063">
        <v>5.7000000000000002E-2</v>
      </c>
      <c r="J1063">
        <f t="shared" si="537"/>
        <v>1</v>
      </c>
      <c r="K1063">
        <f t="shared" si="538"/>
        <v>51</v>
      </c>
      <c r="L1063" t="e">
        <f t="shared" ca="1" si="539"/>
        <v>#VALUE!</v>
      </c>
      <c r="M1063" t="e">
        <f t="shared" ca="1" si="512"/>
        <v>#VALUE!</v>
      </c>
      <c r="N1063" t="e">
        <f t="shared" ca="1" si="513"/>
        <v>#VALUE!</v>
      </c>
      <c r="O1063" t="e">
        <f t="shared" ca="1" si="514"/>
        <v>#VALUE!</v>
      </c>
      <c r="P1063" t="e">
        <f t="shared" ca="1" si="515"/>
        <v>#VALUE!</v>
      </c>
      <c r="Q1063" t="e">
        <f t="shared" ca="1" si="516"/>
        <v>#VALUE!</v>
      </c>
      <c r="R1063" t="e">
        <f t="shared" ca="1" si="517"/>
        <v>#VALUE!</v>
      </c>
      <c r="S1063" t="e">
        <f t="shared" ca="1" si="518"/>
        <v>#VALUE!</v>
      </c>
      <c r="T1063" t="e">
        <f t="shared" ca="1" si="519"/>
        <v>#VALUE!</v>
      </c>
      <c r="U1063" t="e">
        <f t="shared" ca="1" si="540"/>
        <v>#VALUE!</v>
      </c>
      <c r="V1063" t="e">
        <f t="shared" ca="1" si="541"/>
        <v>#VALUE!</v>
      </c>
      <c r="W1063" t="e">
        <f t="shared" ca="1" si="520"/>
        <v>#VALUE!</v>
      </c>
      <c r="X1063" t="e">
        <f t="shared" ca="1" si="521"/>
        <v>#VALUE!</v>
      </c>
      <c r="Y1063" t="e">
        <f t="shared" ca="1" si="522"/>
        <v>#VALUE!</v>
      </c>
      <c r="Z1063" t="e">
        <f t="shared" ca="1" si="523"/>
        <v>#VALUE!</v>
      </c>
      <c r="AA1063" t="e">
        <f t="shared" ca="1" si="524"/>
        <v>#VALUE!</v>
      </c>
      <c r="AB1063" t="e">
        <f t="shared" ca="1" si="525"/>
        <v>#VALUE!</v>
      </c>
      <c r="AC1063" t="e">
        <f t="shared" ca="1" si="526"/>
        <v>#VALUE!</v>
      </c>
      <c r="AD1063" t="e">
        <f t="shared" ca="1" si="527"/>
        <v>#VALUE!</v>
      </c>
      <c r="AE1063" t="e">
        <f t="shared" ca="1" si="528"/>
        <v>#VALUE!</v>
      </c>
      <c r="AF1063" t="e">
        <f t="shared" ca="1" si="529"/>
        <v>#VALUE!</v>
      </c>
      <c r="AG1063" t="e">
        <f t="shared" ca="1" si="530"/>
        <v>#VALUE!</v>
      </c>
      <c r="AH1063" t="e">
        <f ca="1">IF(V32="Supercritical",L1063,IF(V32="Subcritical",W1063,IF(AND(V1063=1,AG1063=1),IF(T1063&gt;=AE1063,L1063,W1063),IF(V1063=1,L1063,IF(AG1063=1,W1063,MAX($D$16,POWER((ABS(K1063)^2)/($I$5*MAX(F1063,0.1)^2),1/3)))))))</f>
        <v>#VALUE!</v>
      </c>
      <c r="AI1063" t="e">
        <f t="shared" ca="1" si="531"/>
        <v>#VALUE!</v>
      </c>
      <c r="AJ1063" t="e">
        <f t="shared" ca="1" si="532"/>
        <v>#VALUE!</v>
      </c>
      <c r="AM1063">
        <v>0</v>
      </c>
      <c r="AN1063">
        <v>0</v>
      </c>
      <c r="AO1063">
        <f t="shared" si="533"/>
        <v>0</v>
      </c>
      <c r="AP1063">
        <f t="shared" si="542"/>
        <v>0</v>
      </c>
      <c r="AQ1063" t="e">
        <f t="shared" ca="1" si="534"/>
        <v>#VALUE!</v>
      </c>
      <c r="AR1063" t="e">
        <f t="shared" ca="1" si="535"/>
        <v>#VALUE!</v>
      </c>
      <c r="AS1063" t="e">
        <f t="shared" ca="1" si="536"/>
        <v>#VALUE!</v>
      </c>
    </row>
    <row r="1064" spans="1:45" x14ac:dyDescent="0.35">
      <c r="A1064">
        <v>915</v>
      </c>
      <c r="B1064">
        <v>913.88900000000001</v>
      </c>
      <c r="C1064">
        <v>616084.80000000005</v>
      </c>
      <c r="D1064">
        <v>3097089.9720000001</v>
      </c>
      <c r="E1064">
        <v>632.10500000000002</v>
      </c>
      <c r="F1064">
        <v>5.2</v>
      </c>
      <c r="G1064">
        <v>0</v>
      </c>
      <c r="H1064" t="s">
        <v>191</v>
      </c>
      <c r="I1064">
        <v>5.7000000000000002E-2</v>
      </c>
      <c r="J1064">
        <f t="shared" si="537"/>
        <v>1</v>
      </c>
      <c r="K1064">
        <f t="shared" si="538"/>
        <v>51</v>
      </c>
      <c r="L1064" t="e">
        <f t="shared" ca="1" si="539"/>
        <v>#VALUE!</v>
      </c>
      <c r="M1064" t="e">
        <f t="shared" ca="1" si="512"/>
        <v>#VALUE!</v>
      </c>
      <c r="N1064" t="e">
        <f t="shared" ca="1" si="513"/>
        <v>#VALUE!</v>
      </c>
      <c r="O1064" t="e">
        <f t="shared" ca="1" si="514"/>
        <v>#VALUE!</v>
      </c>
      <c r="P1064" t="e">
        <f t="shared" ca="1" si="515"/>
        <v>#VALUE!</v>
      </c>
      <c r="Q1064" t="e">
        <f t="shared" ca="1" si="516"/>
        <v>#VALUE!</v>
      </c>
      <c r="R1064" t="e">
        <f t="shared" ca="1" si="517"/>
        <v>#VALUE!</v>
      </c>
      <c r="S1064" t="e">
        <f t="shared" ca="1" si="518"/>
        <v>#VALUE!</v>
      </c>
      <c r="T1064" t="e">
        <f t="shared" ca="1" si="519"/>
        <v>#VALUE!</v>
      </c>
      <c r="U1064" t="e">
        <f t="shared" ca="1" si="540"/>
        <v>#VALUE!</v>
      </c>
      <c r="V1064" t="e">
        <f t="shared" ca="1" si="541"/>
        <v>#VALUE!</v>
      </c>
      <c r="W1064" t="e">
        <f t="shared" ca="1" si="520"/>
        <v>#VALUE!</v>
      </c>
      <c r="X1064" t="e">
        <f t="shared" ca="1" si="521"/>
        <v>#VALUE!</v>
      </c>
      <c r="Y1064" t="e">
        <f t="shared" ca="1" si="522"/>
        <v>#VALUE!</v>
      </c>
      <c r="Z1064" t="e">
        <f t="shared" ca="1" si="523"/>
        <v>#VALUE!</v>
      </c>
      <c r="AA1064" t="e">
        <f t="shared" ca="1" si="524"/>
        <v>#VALUE!</v>
      </c>
      <c r="AB1064" t="e">
        <f t="shared" ca="1" si="525"/>
        <v>#VALUE!</v>
      </c>
      <c r="AC1064" t="e">
        <f t="shared" ca="1" si="526"/>
        <v>#VALUE!</v>
      </c>
      <c r="AD1064" t="e">
        <f t="shared" ca="1" si="527"/>
        <v>#VALUE!</v>
      </c>
      <c r="AE1064" t="e">
        <f t="shared" ca="1" si="528"/>
        <v>#VALUE!</v>
      </c>
      <c r="AF1064" t="e">
        <f t="shared" ca="1" si="529"/>
        <v>#VALUE!</v>
      </c>
      <c r="AG1064" t="e">
        <f t="shared" ca="1" si="530"/>
        <v>#VALUE!</v>
      </c>
      <c r="AH1064" t="e">
        <f ca="1">IF(V32="Supercritical",L1064,IF(V32="Subcritical",W1064,IF(AND(V1064=1,AG1064=1),IF(T1064&gt;=AE1064,L1064,W1064),IF(V1064=1,L1064,IF(AG1064=1,W1064,MAX($D$16,POWER((ABS(K1064)^2)/($I$5*MAX(F1064,0.1)^2),1/3)))))))</f>
        <v>#VALUE!</v>
      </c>
      <c r="AI1064" t="e">
        <f t="shared" ca="1" si="531"/>
        <v>#VALUE!</v>
      </c>
      <c r="AJ1064" t="e">
        <f t="shared" ca="1" si="532"/>
        <v>#VALUE!</v>
      </c>
      <c r="AM1064">
        <v>0</v>
      </c>
      <c r="AN1064">
        <v>0</v>
      </c>
      <c r="AO1064">
        <f t="shared" si="533"/>
        <v>0</v>
      </c>
      <c r="AP1064">
        <f t="shared" si="542"/>
        <v>0</v>
      </c>
      <c r="AQ1064" t="e">
        <f t="shared" ca="1" si="534"/>
        <v>#VALUE!</v>
      </c>
      <c r="AR1064" t="e">
        <f t="shared" ca="1" si="535"/>
        <v>#VALUE!</v>
      </c>
      <c r="AS1064" t="e">
        <f t="shared" ca="1" si="536"/>
        <v>#VALUE!</v>
      </c>
    </row>
    <row r="1065" spans="1:45" x14ac:dyDescent="0.35">
      <c r="A1065">
        <v>916</v>
      </c>
      <c r="B1065">
        <v>914.88900000000001</v>
      </c>
      <c r="C1065">
        <v>616084.75800000003</v>
      </c>
      <c r="D1065">
        <v>3097088.9730000002</v>
      </c>
      <c r="E1065">
        <v>632.10450000000003</v>
      </c>
      <c r="F1065">
        <v>5.2</v>
      </c>
      <c r="G1065">
        <v>0</v>
      </c>
      <c r="H1065" t="s">
        <v>191</v>
      </c>
      <c r="I1065">
        <v>0</v>
      </c>
      <c r="J1065">
        <f t="shared" si="537"/>
        <v>1</v>
      </c>
      <c r="K1065">
        <f t="shared" si="538"/>
        <v>51</v>
      </c>
      <c r="L1065" t="e">
        <f t="shared" ca="1" si="539"/>
        <v>#VALUE!</v>
      </c>
      <c r="M1065" t="e">
        <f t="shared" ca="1" si="512"/>
        <v>#VALUE!</v>
      </c>
      <c r="N1065" t="e">
        <f t="shared" ca="1" si="513"/>
        <v>#VALUE!</v>
      </c>
      <c r="O1065" t="e">
        <f t="shared" ca="1" si="514"/>
        <v>#VALUE!</v>
      </c>
      <c r="P1065" t="e">
        <f t="shared" ca="1" si="515"/>
        <v>#VALUE!</v>
      </c>
      <c r="Q1065" t="e">
        <f t="shared" ca="1" si="516"/>
        <v>#VALUE!</v>
      </c>
      <c r="R1065" t="e">
        <f t="shared" ca="1" si="517"/>
        <v>#VALUE!</v>
      </c>
      <c r="S1065" t="e">
        <f t="shared" ca="1" si="518"/>
        <v>#VALUE!</v>
      </c>
      <c r="T1065" t="e">
        <f t="shared" ca="1" si="519"/>
        <v>#VALUE!</v>
      </c>
      <c r="U1065" t="e">
        <f t="shared" ca="1" si="540"/>
        <v>#VALUE!</v>
      </c>
      <c r="V1065" t="e">
        <f t="shared" ca="1" si="541"/>
        <v>#VALUE!</v>
      </c>
      <c r="W1065" t="e">
        <f t="shared" ca="1" si="520"/>
        <v>#VALUE!</v>
      </c>
      <c r="X1065" t="e">
        <f t="shared" ca="1" si="521"/>
        <v>#VALUE!</v>
      </c>
      <c r="Y1065" t="e">
        <f t="shared" ca="1" si="522"/>
        <v>#VALUE!</v>
      </c>
      <c r="Z1065" t="e">
        <f t="shared" ca="1" si="523"/>
        <v>#VALUE!</v>
      </c>
      <c r="AA1065" t="e">
        <f t="shared" ca="1" si="524"/>
        <v>#VALUE!</v>
      </c>
      <c r="AB1065" t="e">
        <f t="shared" ca="1" si="525"/>
        <v>#VALUE!</v>
      </c>
      <c r="AC1065" t="e">
        <f t="shared" ca="1" si="526"/>
        <v>#VALUE!</v>
      </c>
      <c r="AD1065" t="e">
        <f t="shared" ca="1" si="527"/>
        <v>#VALUE!</v>
      </c>
      <c r="AE1065" t="e">
        <f t="shared" ca="1" si="528"/>
        <v>#VALUE!</v>
      </c>
      <c r="AF1065" t="e">
        <f t="shared" ca="1" si="529"/>
        <v>#VALUE!</v>
      </c>
      <c r="AG1065" t="e">
        <f t="shared" ca="1" si="530"/>
        <v>#VALUE!</v>
      </c>
      <c r="AH1065" t="e">
        <f ca="1">IF(V32="Supercritical",L1065,IF(V32="Subcritical",W1065,IF(AND(V1065=1,AG1065=1),IF(T1065&gt;=AE1065,L1065,W1065),IF(V1065=1,L1065,IF(AG1065=1,W1065,MAX($D$16,POWER((ABS(K1065)^2)/($I$5*MAX(F1065,0.1)^2),1/3)))))))</f>
        <v>#VALUE!</v>
      </c>
      <c r="AI1065" t="e">
        <f t="shared" ca="1" si="531"/>
        <v>#VALUE!</v>
      </c>
      <c r="AJ1065" t="e">
        <f t="shared" ca="1" si="532"/>
        <v>#VALUE!</v>
      </c>
      <c r="AM1065">
        <v>0</v>
      </c>
      <c r="AN1065">
        <v>0</v>
      </c>
      <c r="AO1065">
        <f t="shared" si="533"/>
        <v>0</v>
      </c>
      <c r="AP1065">
        <f t="shared" si="542"/>
        <v>0</v>
      </c>
      <c r="AQ1065" t="e">
        <f t="shared" ca="1" si="534"/>
        <v>#VALUE!</v>
      </c>
      <c r="AR1065" t="e">
        <f t="shared" ca="1" si="535"/>
        <v>#VALUE!</v>
      </c>
      <c r="AS1065" t="e">
        <f t="shared" ca="1" si="536"/>
        <v>#VALUE!</v>
      </c>
    </row>
    <row r="1066" spans="1:45" x14ac:dyDescent="0.35">
      <c r="A1066">
        <v>917</v>
      </c>
      <c r="B1066">
        <v>915.88900000000001</v>
      </c>
      <c r="C1066">
        <v>616084.71600000001</v>
      </c>
      <c r="D1066">
        <v>3097087.9739999999</v>
      </c>
      <c r="E1066">
        <v>632.10400000000004</v>
      </c>
      <c r="F1066">
        <v>5.2</v>
      </c>
      <c r="G1066">
        <v>0</v>
      </c>
      <c r="H1066" t="s">
        <v>191</v>
      </c>
      <c r="I1066">
        <v>0</v>
      </c>
      <c r="J1066">
        <f t="shared" si="537"/>
        <v>1</v>
      </c>
      <c r="K1066">
        <f t="shared" si="538"/>
        <v>51</v>
      </c>
      <c r="L1066" t="e">
        <f t="shared" ca="1" si="539"/>
        <v>#VALUE!</v>
      </c>
      <c r="M1066" t="e">
        <f t="shared" ca="1" si="512"/>
        <v>#VALUE!</v>
      </c>
      <c r="N1066" t="e">
        <f t="shared" ca="1" si="513"/>
        <v>#VALUE!</v>
      </c>
      <c r="O1066" t="e">
        <f t="shared" ca="1" si="514"/>
        <v>#VALUE!</v>
      </c>
      <c r="P1066" t="e">
        <f t="shared" ca="1" si="515"/>
        <v>#VALUE!</v>
      </c>
      <c r="Q1066" t="e">
        <f t="shared" ca="1" si="516"/>
        <v>#VALUE!</v>
      </c>
      <c r="R1066" t="e">
        <f t="shared" ca="1" si="517"/>
        <v>#VALUE!</v>
      </c>
      <c r="S1066" t="e">
        <f t="shared" ca="1" si="518"/>
        <v>#VALUE!</v>
      </c>
      <c r="T1066" t="e">
        <f t="shared" ca="1" si="519"/>
        <v>#VALUE!</v>
      </c>
      <c r="U1066" t="e">
        <f t="shared" ca="1" si="540"/>
        <v>#VALUE!</v>
      </c>
      <c r="V1066" t="e">
        <f t="shared" ca="1" si="541"/>
        <v>#VALUE!</v>
      </c>
      <c r="W1066" t="e">
        <f t="shared" ca="1" si="520"/>
        <v>#VALUE!</v>
      </c>
      <c r="X1066" t="e">
        <f t="shared" ca="1" si="521"/>
        <v>#VALUE!</v>
      </c>
      <c r="Y1066" t="e">
        <f t="shared" ca="1" si="522"/>
        <v>#VALUE!</v>
      </c>
      <c r="Z1066" t="e">
        <f t="shared" ca="1" si="523"/>
        <v>#VALUE!</v>
      </c>
      <c r="AA1066" t="e">
        <f t="shared" ca="1" si="524"/>
        <v>#VALUE!</v>
      </c>
      <c r="AB1066" t="e">
        <f t="shared" ca="1" si="525"/>
        <v>#VALUE!</v>
      </c>
      <c r="AC1066" t="e">
        <f t="shared" ca="1" si="526"/>
        <v>#VALUE!</v>
      </c>
      <c r="AD1066" t="e">
        <f t="shared" ca="1" si="527"/>
        <v>#VALUE!</v>
      </c>
      <c r="AE1066" t="e">
        <f t="shared" ca="1" si="528"/>
        <v>#VALUE!</v>
      </c>
      <c r="AF1066" t="e">
        <f t="shared" ca="1" si="529"/>
        <v>#VALUE!</v>
      </c>
      <c r="AG1066" t="e">
        <f t="shared" ca="1" si="530"/>
        <v>#VALUE!</v>
      </c>
      <c r="AH1066" t="e">
        <f ca="1">IF(V32="Supercritical",L1066,IF(V32="Subcritical",W1066,IF(AND(V1066=1,AG1066=1),IF(T1066&gt;=AE1066,L1066,W1066),IF(V1066=1,L1066,IF(AG1066=1,W1066,MAX($D$16,POWER((ABS(K1066)^2)/($I$5*MAX(F1066,0.1)^2),1/3)))))))</f>
        <v>#VALUE!</v>
      </c>
      <c r="AI1066" t="e">
        <f t="shared" ca="1" si="531"/>
        <v>#VALUE!</v>
      </c>
      <c r="AJ1066" t="e">
        <f t="shared" ca="1" si="532"/>
        <v>#VALUE!</v>
      </c>
      <c r="AM1066">
        <v>0</v>
      </c>
      <c r="AN1066">
        <v>0</v>
      </c>
      <c r="AO1066">
        <f t="shared" si="533"/>
        <v>0</v>
      </c>
      <c r="AP1066">
        <f t="shared" si="542"/>
        <v>0</v>
      </c>
      <c r="AQ1066" t="e">
        <f t="shared" ca="1" si="534"/>
        <v>#VALUE!</v>
      </c>
      <c r="AR1066" t="e">
        <f t="shared" ca="1" si="535"/>
        <v>#VALUE!</v>
      </c>
      <c r="AS1066" t="e">
        <f t="shared" ca="1" si="536"/>
        <v>#VALUE!</v>
      </c>
    </row>
    <row r="1067" spans="1:45" x14ac:dyDescent="0.35">
      <c r="A1067">
        <v>918</v>
      </c>
      <c r="B1067">
        <v>916.88900000000001</v>
      </c>
      <c r="C1067">
        <v>616084.674</v>
      </c>
      <c r="D1067">
        <v>3097086.9750000001</v>
      </c>
      <c r="E1067">
        <v>632.10350000000005</v>
      </c>
      <c r="F1067">
        <v>5.2</v>
      </c>
      <c r="G1067">
        <v>0</v>
      </c>
      <c r="H1067" t="s">
        <v>191</v>
      </c>
      <c r="I1067">
        <v>5.5E-2</v>
      </c>
      <c r="J1067">
        <f t="shared" si="537"/>
        <v>1</v>
      </c>
      <c r="K1067">
        <f t="shared" si="538"/>
        <v>51</v>
      </c>
      <c r="L1067" t="e">
        <f t="shared" ca="1" si="539"/>
        <v>#VALUE!</v>
      </c>
      <c r="M1067" t="e">
        <f t="shared" ca="1" si="512"/>
        <v>#VALUE!</v>
      </c>
      <c r="N1067" t="e">
        <f t="shared" ca="1" si="513"/>
        <v>#VALUE!</v>
      </c>
      <c r="O1067" t="e">
        <f t="shared" ca="1" si="514"/>
        <v>#VALUE!</v>
      </c>
      <c r="P1067" t="e">
        <f t="shared" ca="1" si="515"/>
        <v>#VALUE!</v>
      </c>
      <c r="Q1067" t="e">
        <f t="shared" ca="1" si="516"/>
        <v>#VALUE!</v>
      </c>
      <c r="R1067" t="e">
        <f t="shared" ca="1" si="517"/>
        <v>#VALUE!</v>
      </c>
      <c r="S1067" t="e">
        <f t="shared" ca="1" si="518"/>
        <v>#VALUE!</v>
      </c>
      <c r="T1067" t="e">
        <f t="shared" ca="1" si="519"/>
        <v>#VALUE!</v>
      </c>
      <c r="U1067" t="e">
        <f t="shared" ca="1" si="540"/>
        <v>#VALUE!</v>
      </c>
      <c r="V1067" t="e">
        <f t="shared" ca="1" si="541"/>
        <v>#VALUE!</v>
      </c>
      <c r="W1067" t="e">
        <f t="shared" ca="1" si="520"/>
        <v>#VALUE!</v>
      </c>
      <c r="X1067" t="e">
        <f t="shared" ca="1" si="521"/>
        <v>#VALUE!</v>
      </c>
      <c r="Y1067" t="e">
        <f t="shared" ca="1" si="522"/>
        <v>#VALUE!</v>
      </c>
      <c r="Z1067" t="e">
        <f t="shared" ca="1" si="523"/>
        <v>#VALUE!</v>
      </c>
      <c r="AA1067" t="e">
        <f t="shared" ca="1" si="524"/>
        <v>#VALUE!</v>
      </c>
      <c r="AB1067" t="e">
        <f t="shared" ca="1" si="525"/>
        <v>#VALUE!</v>
      </c>
      <c r="AC1067" t="e">
        <f t="shared" ca="1" si="526"/>
        <v>#VALUE!</v>
      </c>
      <c r="AD1067" t="e">
        <f t="shared" ca="1" si="527"/>
        <v>#VALUE!</v>
      </c>
      <c r="AE1067" t="e">
        <f t="shared" ca="1" si="528"/>
        <v>#VALUE!</v>
      </c>
      <c r="AF1067" t="e">
        <f t="shared" ca="1" si="529"/>
        <v>#VALUE!</v>
      </c>
      <c r="AG1067" t="e">
        <f t="shared" ca="1" si="530"/>
        <v>#VALUE!</v>
      </c>
      <c r="AH1067" t="e">
        <f ca="1">IF(V32="Supercritical",L1067,IF(V32="Subcritical",W1067,IF(AND(V1067=1,AG1067=1),IF(T1067&gt;=AE1067,L1067,W1067),IF(V1067=1,L1067,IF(AG1067=1,W1067,MAX($D$16,POWER((ABS(K1067)^2)/($I$5*MAX(F1067,0.1)^2),1/3)))))))</f>
        <v>#VALUE!</v>
      </c>
      <c r="AI1067" t="e">
        <f t="shared" ca="1" si="531"/>
        <v>#VALUE!</v>
      </c>
      <c r="AJ1067" t="e">
        <f t="shared" ca="1" si="532"/>
        <v>#VALUE!</v>
      </c>
      <c r="AM1067">
        <v>0</v>
      </c>
      <c r="AN1067">
        <v>0</v>
      </c>
      <c r="AO1067">
        <f t="shared" si="533"/>
        <v>0</v>
      </c>
      <c r="AP1067">
        <f t="shared" si="542"/>
        <v>0</v>
      </c>
      <c r="AQ1067" t="e">
        <f t="shared" ca="1" si="534"/>
        <v>#VALUE!</v>
      </c>
      <c r="AR1067" t="e">
        <f t="shared" ca="1" si="535"/>
        <v>#VALUE!</v>
      </c>
      <c r="AS1067" t="e">
        <f t="shared" ca="1" si="536"/>
        <v>#VALUE!</v>
      </c>
    </row>
    <row r="1068" spans="1:45" x14ac:dyDescent="0.35">
      <c r="A1068">
        <v>919</v>
      </c>
      <c r="B1068">
        <v>917.89</v>
      </c>
      <c r="C1068">
        <v>616084.63100000005</v>
      </c>
      <c r="D1068">
        <v>3097085.9750000001</v>
      </c>
      <c r="E1068">
        <v>632.10299999999995</v>
      </c>
      <c r="F1068">
        <v>5.2</v>
      </c>
      <c r="G1068">
        <v>0</v>
      </c>
      <c r="H1068" t="s">
        <v>191</v>
      </c>
      <c r="I1068">
        <v>5.5E-2</v>
      </c>
      <c r="J1068">
        <f t="shared" si="537"/>
        <v>1.0009999999999764</v>
      </c>
      <c r="K1068">
        <f t="shared" si="538"/>
        <v>51</v>
      </c>
      <c r="L1068" t="e">
        <f t="shared" ca="1" si="539"/>
        <v>#VALUE!</v>
      </c>
      <c r="M1068" t="e">
        <f t="shared" ca="1" si="512"/>
        <v>#VALUE!</v>
      </c>
      <c r="N1068" t="e">
        <f t="shared" ca="1" si="513"/>
        <v>#VALUE!</v>
      </c>
      <c r="O1068" t="e">
        <f t="shared" ca="1" si="514"/>
        <v>#VALUE!</v>
      </c>
      <c r="P1068" t="e">
        <f t="shared" ca="1" si="515"/>
        <v>#VALUE!</v>
      </c>
      <c r="Q1068" t="e">
        <f t="shared" ca="1" si="516"/>
        <v>#VALUE!</v>
      </c>
      <c r="R1068" t="e">
        <f t="shared" ca="1" si="517"/>
        <v>#VALUE!</v>
      </c>
      <c r="S1068" t="e">
        <f t="shared" ca="1" si="518"/>
        <v>#VALUE!</v>
      </c>
      <c r="T1068" t="e">
        <f t="shared" ca="1" si="519"/>
        <v>#VALUE!</v>
      </c>
      <c r="U1068" t="e">
        <f t="shared" ca="1" si="540"/>
        <v>#VALUE!</v>
      </c>
      <c r="V1068" t="e">
        <f t="shared" ca="1" si="541"/>
        <v>#VALUE!</v>
      </c>
      <c r="W1068" t="e">
        <f t="shared" ca="1" si="520"/>
        <v>#VALUE!</v>
      </c>
      <c r="X1068" t="e">
        <f t="shared" ca="1" si="521"/>
        <v>#VALUE!</v>
      </c>
      <c r="Y1068" t="e">
        <f t="shared" ca="1" si="522"/>
        <v>#VALUE!</v>
      </c>
      <c r="Z1068" t="e">
        <f t="shared" ca="1" si="523"/>
        <v>#VALUE!</v>
      </c>
      <c r="AA1068" t="e">
        <f t="shared" ca="1" si="524"/>
        <v>#VALUE!</v>
      </c>
      <c r="AB1068" t="e">
        <f t="shared" ca="1" si="525"/>
        <v>#VALUE!</v>
      </c>
      <c r="AC1068" t="e">
        <f t="shared" ca="1" si="526"/>
        <v>#VALUE!</v>
      </c>
      <c r="AD1068" t="e">
        <f t="shared" ca="1" si="527"/>
        <v>#VALUE!</v>
      </c>
      <c r="AE1068" t="e">
        <f t="shared" ca="1" si="528"/>
        <v>#VALUE!</v>
      </c>
      <c r="AF1068" t="e">
        <f t="shared" ca="1" si="529"/>
        <v>#VALUE!</v>
      </c>
      <c r="AG1068" t="e">
        <f t="shared" ca="1" si="530"/>
        <v>#VALUE!</v>
      </c>
      <c r="AH1068" t="e">
        <f ca="1">IF(V32="Supercritical",L1068,IF(V32="Subcritical",W1068,IF(AND(V1068=1,AG1068=1),IF(T1068&gt;=AE1068,L1068,W1068),IF(V1068=1,L1068,IF(AG1068=1,W1068,MAX($D$16,POWER((ABS(K1068)^2)/($I$5*MAX(F1068,0.1)^2),1/3)))))))</f>
        <v>#VALUE!</v>
      </c>
      <c r="AI1068" t="e">
        <f t="shared" ca="1" si="531"/>
        <v>#VALUE!</v>
      </c>
      <c r="AJ1068" t="e">
        <f t="shared" ca="1" si="532"/>
        <v>#VALUE!</v>
      </c>
      <c r="AM1068">
        <v>0</v>
      </c>
      <c r="AN1068">
        <v>0</v>
      </c>
      <c r="AO1068">
        <f t="shared" si="533"/>
        <v>0</v>
      </c>
      <c r="AP1068">
        <f t="shared" si="542"/>
        <v>0</v>
      </c>
      <c r="AQ1068" t="e">
        <f t="shared" ca="1" si="534"/>
        <v>#VALUE!</v>
      </c>
      <c r="AR1068" t="e">
        <f t="shared" ca="1" si="535"/>
        <v>#VALUE!</v>
      </c>
      <c r="AS1068" t="e">
        <f t="shared" ca="1" si="536"/>
        <v>#VALUE!</v>
      </c>
    </row>
    <row r="1069" spans="1:45" x14ac:dyDescent="0.35">
      <c r="A1069">
        <v>920</v>
      </c>
      <c r="B1069">
        <v>918.89</v>
      </c>
      <c r="C1069">
        <v>616084.58900000004</v>
      </c>
      <c r="D1069">
        <v>3097084.9759999998</v>
      </c>
      <c r="E1069">
        <v>632.10249999999996</v>
      </c>
      <c r="F1069">
        <v>5.2</v>
      </c>
      <c r="G1069">
        <v>0</v>
      </c>
      <c r="H1069" t="s">
        <v>191</v>
      </c>
      <c r="I1069">
        <v>0</v>
      </c>
      <c r="J1069">
        <f t="shared" si="537"/>
        <v>1</v>
      </c>
      <c r="K1069">
        <f t="shared" si="538"/>
        <v>51</v>
      </c>
      <c r="L1069" t="e">
        <f t="shared" ca="1" si="539"/>
        <v>#VALUE!</v>
      </c>
      <c r="M1069" t="e">
        <f t="shared" ca="1" si="512"/>
        <v>#VALUE!</v>
      </c>
      <c r="N1069" t="e">
        <f t="shared" ca="1" si="513"/>
        <v>#VALUE!</v>
      </c>
      <c r="O1069" t="e">
        <f t="shared" ca="1" si="514"/>
        <v>#VALUE!</v>
      </c>
      <c r="P1069" t="e">
        <f t="shared" ca="1" si="515"/>
        <v>#VALUE!</v>
      </c>
      <c r="Q1069" t="e">
        <f t="shared" ca="1" si="516"/>
        <v>#VALUE!</v>
      </c>
      <c r="R1069" t="e">
        <f t="shared" ca="1" si="517"/>
        <v>#VALUE!</v>
      </c>
      <c r="S1069" t="e">
        <f t="shared" ca="1" si="518"/>
        <v>#VALUE!</v>
      </c>
      <c r="T1069" t="e">
        <f t="shared" ca="1" si="519"/>
        <v>#VALUE!</v>
      </c>
      <c r="U1069" t="e">
        <f t="shared" ca="1" si="540"/>
        <v>#VALUE!</v>
      </c>
      <c r="V1069" t="e">
        <f t="shared" ca="1" si="541"/>
        <v>#VALUE!</v>
      </c>
      <c r="W1069" t="e">
        <f t="shared" ca="1" si="520"/>
        <v>#VALUE!</v>
      </c>
      <c r="X1069" t="e">
        <f t="shared" ca="1" si="521"/>
        <v>#VALUE!</v>
      </c>
      <c r="Y1069" t="e">
        <f t="shared" ca="1" si="522"/>
        <v>#VALUE!</v>
      </c>
      <c r="Z1069" t="e">
        <f t="shared" ca="1" si="523"/>
        <v>#VALUE!</v>
      </c>
      <c r="AA1069" t="e">
        <f t="shared" ca="1" si="524"/>
        <v>#VALUE!</v>
      </c>
      <c r="AB1069" t="e">
        <f t="shared" ca="1" si="525"/>
        <v>#VALUE!</v>
      </c>
      <c r="AC1069" t="e">
        <f t="shared" ca="1" si="526"/>
        <v>#VALUE!</v>
      </c>
      <c r="AD1069" t="e">
        <f t="shared" ca="1" si="527"/>
        <v>#VALUE!</v>
      </c>
      <c r="AE1069" t="e">
        <f t="shared" ca="1" si="528"/>
        <v>#VALUE!</v>
      </c>
      <c r="AF1069" t="e">
        <f t="shared" ca="1" si="529"/>
        <v>#VALUE!</v>
      </c>
      <c r="AG1069" t="e">
        <f t="shared" ca="1" si="530"/>
        <v>#VALUE!</v>
      </c>
      <c r="AH1069" t="e">
        <f ca="1">IF(V32="Supercritical",L1069,IF(V32="Subcritical",W1069,IF(AND(V1069=1,AG1069=1),IF(T1069&gt;=AE1069,L1069,W1069),IF(V1069=1,L1069,IF(AG1069=1,W1069,MAX($D$16,POWER((ABS(K1069)^2)/($I$5*MAX(F1069,0.1)^2),1/3)))))))</f>
        <v>#VALUE!</v>
      </c>
      <c r="AI1069" t="e">
        <f t="shared" ca="1" si="531"/>
        <v>#VALUE!</v>
      </c>
      <c r="AJ1069" t="e">
        <f t="shared" ca="1" si="532"/>
        <v>#VALUE!</v>
      </c>
      <c r="AM1069">
        <v>0</v>
      </c>
      <c r="AN1069">
        <v>0</v>
      </c>
      <c r="AO1069">
        <f t="shared" si="533"/>
        <v>0</v>
      </c>
      <c r="AP1069">
        <f t="shared" si="542"/>
        <v>0</v>
      </c>
      <c r="AQ1069" t="e">
        <f t="shared" ca="1" si="534"/>
        <v>#VALUE!</v>
      </c>
      <c r="AR1069" t="e">
        <f t="shared" ca="1" si="535"/>
        <v>#VALUE!</v>
      </c>
      <c r="AS1069" t="e">
        <f t="shared" ca="1" si="536"/>
        <v>#VALUE!</v>
      </c>
    </row>
    <row r="1070" spans="1:45" x14ac:dyDescent="0.35">
      <c r="A1070">
        <v>921</v>
      </c>
      <c r="B1070">
        <v>919.89</v>
      </c>
      <c r="C1070">
        <v>616084.54700000002</v>
      </c>
      <c r="D1070">
        <v>3097083.977</v>
      </c>
      <c r="E1070">
        <v>632.10199999999998</v>
      </c>
      <c r="F1070">
        <v>5.2</v>
      </c>
      <c r="G1070">
        <v>0</v>
      </c>
      <c r="H1070" t="s">
        <v>191</v>
      </c>
      <c r="I1070">
        <v>5.7000000000000002E-2</v>
      </c>
      <c r="J1070">
        <f t="shared" si="537"/>
        <v>1</v>
      </c>
      <c r="K1070">
        <f t="shared" si="538"/>
        <v>51</v>
      </c>
      <c r="L1070" t="e">
        <f t="shared" ca="1" si="539"/>
        <v>#VALUE!</v>
      </c>
      <c r="M1070" t="e">
        <f t="shared" ca="1" si="512"/>
        <v>#VALUE!</v>
      </c>
      <c r="N1070" t="e">
        <f t="shared" ca="1" si="513"/>
        <v>#VALUE!</v>
      </c>
      <c r="O1070" t="e">
        <f t="shared" ca="1" si="514"/>
        <v>#VALUE!</v>
      </c>
      <c r="P1070" t="e">
        <f t="shared" ca="1" si="515"/>
        <v>#VALUE!</v>
      </c>
      <c r="Q1070" t="e">
        <f t="shared" ca="1" si="516"/>
        <v>#VALUE!</v>
      </c>
      <c r="R1070" t="e">
        <f t="shared" ca="1" si="517"/>
        <v>#VALUE!</v>
      </c>
      <c r="S1070" t="e">
        <f t="shared" ca="1" si="518"/>
        <v>#VALUE!</v>
      </c>
      <c r="T1070" t="e">
        <f t="shared" ca="1" si="519"/>
        <v>#VALUE!</v>
      </c>
      <c r="U1070" t="e">
        <f t="shared" ca="1" si="540"/>
        <v>#VALUE!</v>
      </c>
      <c r="V1070" t="e">
        <f t="shared" ca="1" si="541"/>
        <v>#VALUE!</v>
      </c>
      <c r="W1070" t="e">
        <f t="shared" ca="1" si="520"/>
        <v>#VALUE!</v>
      </c>
      <c r="X1070" t="e">
        <f t="shared" ca="1" si="521"/>
        <v>#VALUE!</v>
      </c>
      <c r="Y1070" t="e">
        <f t="shared" ca="1" si="522"/>
        <v>#VALUE!</v>
      </c>
      <c r="Z1070" t="e">
        <f t="shared" ca="1" si="523"/>
        <v>#VALUE!</v>
      </c>
      <c r="AA1070" t="e">
        <f t="shared" ca="1" si="524"/>
        <v>#VALUE!</v>
      </c>
      <c r="AB1070" t="e">
        <f t="shared" ca="1" si="525"/>
        <v>#VALUE!</v>
      </c>
      <c r="AC1070" t="e">
        <f t="shared" ca="1" si="526"/>
        <v>#VALUE!</v>
      </c>
      <c r="AD1070" t="e">
        <f t="shared" ca="1" si="527"/>
        <v>#VALUE!</v>
      </c>
      <c r="AE1070" t="e">
        <f t="shared" ca="1" si="528"/>
        <v>#VALUE!</v>
      </c>
      <c r="AF1070" t="e">
        <f t="shared" ca="1" si="529"/>
        <v>#VALUE!</v>
      </c>
      <c r="AG1070" t="e">
        <f t="shared" ca="1" si="530"/>
        <v>#VALUE!</v>
      </c>
      <c r="AH1070" t="e">
        <f ca="1">IF(V32="Supercritical",L1070,IF(V32="Subcritical",W1070,IF(AND(V1070=1,AG1070=1),IF(T1070&gt;=AE1070,L1070,W1070),IF(V1070=1,L1070,IF(AG1070=1,W1070,MAX($D$16,POWER((ABS(K1070)^2)/($I$5*MAX(F1070,0.1)^2),1/3)))))))</f>
        <v>#VALUE!</v>
      </c>
      <c r="AI1070" t="e">
        <f t="shared" ca="1" si="531"/>
        <v>#VALUE!</v>
      </c>
      <c r="AJ1070" t="e">
        <f t="shared" ca="1" si="532"/>
        <v>#VALUE!</v>
      </c>
      <c r="AM1070">
        <v>0</v>
      </c>
      <c r="AN1070">
        <v>0</v>
      </c>
      <c r="AO1070">
        <f t="shared" si="533"/>
        <v>0</v>
      </c>
      <c r="AP1070">
        <f t="shared" si="542"/>
        <v>0</v>
      </c>
      <c r="AQ1070" t="e">
        <f t="shared" ca="1" si="534"/>
        <v>#VALUE!</v>
      </c>
      <c r="AR1070" t="e">
        <f t="shared" ca="1" si="535"/>
        <v>#VALUE!</v>
      </c>
      <c r="AS1070" t="e">
        <f t="shared" ca="1" si="536"/>
        <v>#VALUE!</v>
      </c>
    </row>
    <row r="1071" spans="1:45" x14ac:dyDescent="0.35">
      <c r="A1071">
        <v>922</v>
      </c>
      <c r="B1071">
        <v>920.88900000000001</v>
      </c>
      <c r="C1071">
        <v>616084.50399999996</v>
      </c>
      <c r="D1071">
        <v>3097082.9780000001</v>
      </c>
      <c r="E1071">
        <v>632.10149999999999</v>
      </c>
      <c r="F1071">
        <v>5.2</v>
      </c>
      <c r="G1071">
        <v>0</v>
      </c>
      <c r="H1071" t="s">
        <v>191</v>
      </c>
      <c r="I1071">
        <v>5.7000000000000002E-2</v>
      </c>
      <c r="J1071">
        <f t="shared" si="537"/>
        <v>0.99900000000002365</v>
      </c>
      <c r="K1071">
        <f t="shared" si="538"/>
        <v>51</v>
      </c>
      <c r="L1071" t="e">
        <f t="shared" ca="1" si="539"/>
        <v>#VALUE!</v>
      </c>
      <c r="M1071" t="e">
        <f t="shared" ca="1" si="512"/>
        <v>#VALUE!</v>
      </c>
      <c r="N1071" t="e">
        <f t="shared" ca="1" si="513"/>
        <v>#VALUE!</v>
      </c>
      <c r="O1071" t="e">
        <f t="shared" ca="1" si="514"/>
        <v>#VALUE!</v>
      </c>
      <c r="P1071" t="e">
        <f t="shared" ca="1" si="515"/>
        <v>#VALUE!</v>
      </c>
      <c r="Q1071" t="e">
        <f t="shared" ca="1" si="516"/>
        <v>#VALUE!</v>
      </c>
      <c r="R1071" t="e">
        <f t="shared" ca="1" si="517"/>
        <v>#VALUE!</v>
      </c>
      <c r="S1071" t="e">
        <f t="shared" ca="1" si="518"/>
        <v>#VALUE!</v>
      </c>
      <c r="T1071" t="e">
        <f t="shared" ca="1" si="519"/>
        <v>#VALUE!</v>
      </c>
      <c r="U1071" t="e">
        <f t="shared" ca="1" si="540"/>
        <v>#VALUE!</v>
      </c>
      <c r="V1071" t="e">
        <f t="shared" ca="1" si="541"/>
        <v>#VALUE!</v>
      </c>
      <c r="W1071" t="e">
        <f t="shared" ca="1" si="520"/>
        <v>#VALUE!</v>
      </c>
      <c r="X1071" t="e">
        <f t="shared" ca="1" si="521"/>
        <v>#VALUE!</v>
      </c>
      <c r="Y1071" t="e">
        <f t="shared" ca="1" si="522"/>
        <v>#VALUE!</v>
      </c>
      <c r="Z1071" t="e">
        <f t="shared" ca="1" si="523"/>
        <v>#VALUE!</v>
      </c>
      <c r="AA1071" t="e">
        <f t="shared" ca="1" si="524"/>
        <v>#VALUE!</v>
      </c>
      <c r="AB1071" t="e">
        <f t="shared" ca="1" si="525"/>
        <v>#VALUE!</v>
      </c>
      <c r="AC1071" t="e">
        <f t="shared" ca="1" si="526"/>
        <v>#VALUE!</v>
      </c>
      <c r="AD1071" t="e">
        <f t="shared" ca="1" si="527"/>
        <v>#VALUE!</v>
      </c>
      <c r="AE1071" t="e">
        <f t="shared" ca="1" si="528"/>
        <v>#VALUE!</v>
      </c>
      <c r="AF1071" t="e">
        <f t="shared" ca="1" si="529"/>
        <v>#VALUE!</v>
      </c>
      <c r="AG1071" t="e">
        <f t="shared" ca="1" si="530"/>
        <v>#VALUE!</v>
      </c>
      <c r="AH1071" t="e">
        <f ca="1">IF(V32="Supercritical",L1071,IF(V32="Subcritical",W1071,IF(AND(V1071=1,AG1071=1),IF(T1071&gt;=AE1071,L1071,W1071),IF(V1071=1,L1071,IF(AG1071=1,W1071,MAX($D$16,POWER((ABS(K1071)^2)/($I$5*MAX(F1071,0.1)^2),1/3)))))))</f>
        <v>#VALUE!</v>
      </c>
      <c r="AI1071" t="e">
        <f t="shared" ca="1" si="531"/>
        <v>#VALUE!</v>
      </c>
      <c r="AJ1071" t="e">
        <f t="shared" ca="1" si="532"/>
        <v>#VALUE!</v>
      </c>
      <c r="AM1071">
        <v>0</v>
      </c>
      <c r="AN1071">
        <v>0</v>
      </c>
      <c r="AO1071">
        <f t="shared" si="533"/>
        <v>0</v>
      </c>
      <c r="AP1071">
        <f t="shared" si="542"/>
        <v>0</v>
      </c>
      <c r="AQ1071" t="e">
        <f t="shared" ca="1" si="534"/>
        <v>#VALUE!</v>
      </c>
      <c r="AR1071" t="e">
        <f t="shared" ca="1" si="535"/>
        <v>#VALUE!</v>
      </c>
      <c r="AS1071" t="e">
        <f t="shared" ca="1" si="536"/>
        <v>#VALUE!</v>
      </c>
    </row>
    <row r="1072" spans="1:45" x14ac:dyDescent="0.35">
      <c r="A1072">
        <v>923</v>
      </c>
      <c r="B1072">
        <v>921.88900000000001</v>
      </c>
      <c r="C1072">
        <v>616084.46200000006</v>
      </c>
      <c r="D1072">
        <v>3097081.9789999998</v>
      </c>
      <c r="E1072">
        <v>632.101</v>
      </c>
      <c r="F1072">
        <v>5.2</v>
      </c>
      <c r="G1072">
        <v>0</v>
      </c>
      <c r="H1072" t="s">
        <v>191</v>
      </c>
      <c r="I1072">
        <v>0</v>
      </c>
      <c r="J1072">
        <f t="shared" si="537"/>
        <v>1</v>
      </c>
      <c r="K1072">
        <f t="shared" si="538"/>
        <v>51</v>
      </c>
      <c r="L1072" t="e">
        <f t="shared" ca="1" si="539"/>
        <v>#VALUE!</v>
      </c>
      <c r="M1072" t="e">
        <f t="shared" ca="1" si="512"/>
        <v>#VALUE!</v>
      </c>
      <c r="N1072" t="e">
        <f t="shared" ca="1" si="513"/>
        <v>#VALUE!</v>
      </c>
      <c r="O1072" t="e">
        <f t="shared" ca="1" si="514"/>
        <v>#VALUE!</v>
      </c>
      <c r="P1072" t="e">
        <f t="shared" ca="1" si="515"/>
        <v>#VALUE!</v>
      </c>
      <c r="Q1072" t="e">
        <f t="shared" ca="1" si="516"/>
        <v>#VALUE!</v>
      </c>
      <c r="R1072" t="e">
        <f t="shared" ca="1" si="517"/>
        <v>#VALUE!</v>
      </c>
      <c r="S1072" t="e">
        <f t="shared" ca="1" si="518"/>
        <v>#VALUE!</v>
      </c>
      <c r="T1072" t="e">
        <f t="shared" ca="1" si="519"/>
        <v>#VALUE!</v>
      </c>
      <c r="U1072" t="e">
        <f t="shared" ca="1" si="540"/>
        <v>#VALUE!</v>
      </c>
      <c r="V1072" t="e">
        <f t="shared" ca="1" si="541"/>
        <v>#VALUE!</v>
      </c>
      <c r="W1072" t="e">
        <f t="shared" ca="1" si="520"/>
        <v>#VALUE!</v>
      </c>
      <c r="X1072" t="e">
        <f t="shared" ca="1" si="521"/>
        <v>#VALUE!</v>
      </c>
      <c r="Y1072" t="e">
        <f t="shared" ca="1" si="522"/>
        <v>#VALUE!</v>
      </c>
      <c r="Z1072" t="e">
        <f t="shared" ca="1" si="523"/>
        <v>#VALUE!</v>
      </c>
      <c r="AA1072" t="e">
        <f t="shared" ca="1" si="524"/>
        <v>#VALUE!</v>
      </c>
      <c r="AB1072" t="e">
        <f t="shared" ca="1" si="525"/>
        <v>#VALUE!</v>
      </c>
      <c r="AC1072" t="e">
        <f t="shared" ca="1" si="526"/>
        <v>#VALUE!</v>
      </c>
      <c r="AD1072" t="e">
        <f t="shared" ca="1" si="527"/>
        <v>#VALUE!</v>
      </c>
      <c r="AE1072" t="e">
        <f t="shared" ca="1" si="528"/>
        <v>#VALUE!</v>
      </c>
      <c r="AF1072" t="e">
        <f t="shared" ca="1" si="529"/>
        <v>#VALUE!</v>
      </c>
      <c r="AG1072" t="e">
        <f t="shared" ca="1" si="530"/>
        <v>#VALUE!</v>
      </c>
      <c r="AH1072" t="e">
        <f ca="1">IF(V32="Supercritical",L1072,IF(V32="Subcritical",W1072,IF(AND(V1072=1,AG1072=1),IF(T1072&gt;=AE1072,L1072,W1072),IF(V1072=1,L1072,IF(AG1072=1,W1072,MAX($D$16,POWER((ABS(K1072)^2)/($I$5*MAX(F1072,0.1)^2),1/3)))))))</f>
        <v>#VALUE!</v>
      </c>
      <c r="AI1072" t="e">
        <f t="shared" ca="1" si="531"/>
        <v>#VALUE!</v>
      </c>
      <c r="AJ1072" t="e">
        <f t="shared" ca="1" si="532"/>
        <v>#VALUE!</v>
      </c>
      <c r="AM1072">
        <v>0</v>
      </c>
      <c r="AN1072">
        <v>0</v>
      </c>
      <c r="AO1072">
        <f t="shared" si="533"/>
        <v>0</v>
      </c>
      <c r="AP1072">
        <f t="shared" si="542"/>
        <v>0</v>
      </c>
      <c r="AQ1072" t="e">
        <f t="shared" ca="1" si="534"/>
        <v>#VALUE!</v>
      </c>
      <c r="AR1072" t="e">
        <f t="shared" ca="1" si="535"/>
        <v>#VALUE!</v>
      </c>
      <c r="AS1072" t="e">
        <f t="shared" ca="1" si="536"/>
        <v>#VALUE!</v>
      </c>
    </row>
    <row r="1073" spans="1:45" x14ac:dyDescent="0.35">
      <c r="A1073">
        <v>924</v>
      </c>
      <c r="B1073">
        <v>922.88900000000001</v>
      </c>
      <c r="C1073">
        <v>616084.42000000004</v>
      </c>
      <c r="D1073">
        <v>3097080.98</v>
      </c>
      <c r="E1073">
        <v>632.10050000000001</v>
      </c>
      <c r="F1073">
        <v>5.2</v>
      </c>
      <c r="G1073">
        <v>0</v>
      </c>
      <c r="H1073" t="s">
        <v>191</v>
      </c>
      <c r="I1073">
        <v>0</v>
      </c>
      <c r="J1073">
        <f t="shared" si="537"/>
        <v>1</v>
      </c>
      <c r="K1073">
        <f t="shared" si="538"/>
        <v>51</v>
      </c>
      <c r="L1073" t="e">
        <f t="shared" ca="1" si="539"/>
        <v>#VALUE!</v>
      </c>
      <c r="M1073" t="e">
        <f t="shared" ca="1" si="512"/>
        <v>#VALUE!</v>
      </c>
      <c r="N1073" t="e">
        <f t="shared" ca="1" si="513"/>
        <v>#VALUE!</v>
      </c>
      <c r="O1073" t="e">
        <f t="shared" ca="1" si="514"/>
        <v>#VALUE!</v>
      </c>
      <c r="P1073" t="e">
        <f t="shared" ca="1" si="515"/>
        <v>#VALUE!</v>
      </c>
      <c r="Q1073" t="e">
        <f t="shared" ca="1" si="516"/>
        <v>#VALUE!</v>
      </c>
      <c r="R1073" t="e">
        <f t="shared" ca="1" si="517"/>
        <v>#VALUE!</v>
      </c>
      <c r="S1073" t="e">
        <f t="shared" ca="1" si="518"/>
        <v>#VALUE!</v>
      </c>
      <c r="T1073" t="e">
        <f t="shared" ca="1" si="519"/>
        <v>#VALUE!</v>
      </c>
      <c r="U1073" t="e">
        <f t="shared" ca="1" si="540"/>
        <v>#VALUE!</v>
      </c>
      <c r="V1073" t="e">
        <f t="shared" ca="1" si="541"/>
        <v>#VALUE!</v>
      </c>
      <c r="W1073" t="e">
        <f t="shared" ca="1" si="520"/>
        <v>#VALUE!</v>
      </c>
      <c r="X1073" t="e">
        <f t="shared" ca="1" si="521"/>
        <v>#VALUE!</v>
      </c>
      <c r="Y1073" t="e">
        <f t="shared" ca="1" si="522"/>
        <v>#VALUE!</v>
      </c>
      <c r="Z1073" t="e">
        <f t="shared" ca="1" si="523"/>
        <v>#VALUE!</v>
      </c>
      <c r="AA1073" t="e">
        <f t="shared" ca="1" si="524"/>
        <v>#VALUE!</v>
      </c>
      <c r="AB1073" t="e">
        <f t="shared" ca="1" si="525"/>
        <v>#VALUE!</v>
      </c>
      <c r="AC1073" t="e">
        <f t="shared" ca="1" si="526"/>
        <v>#VALUE!</v>
      </c>
      <c r="AD1073" t="e">
        <f t="shared" ca="1" si="527"/>
        <v>#VALUE!</v>
      </c>
      <c r="AE1073" t="e">
        <f t="shared" ca="1" si="528"/>
        <v>#VALUE!</v>
      </c>
      <c r="AF1073" t="e">
        <f t="shared" ca="1" si="529"/>
        <v>#VALUE!</v>
      </c>
      <c r="AG1073" t="e">
        <f t="shared" ca="1" si="530"/>
        <v>#VALUE!</v>
      </c>
      <c r="AH1073" t="e">
        <f ca="1">IF(V32="Supercritical",L1073,IF(V32="Subcritical",W1073,IF(AND(V1073=1,AG1073=1),IF(T1073&gt;=AE1073,L1073,W1073),IF(V1073=1,L1073,IF(AG1073=1,W1073,MAX($D$16,POWER((ABS(K1073)^2)/($I$5*MAX(F1073,0.1)^2),1/3)))))))</f>
        <v>#VALUE!</v>
      </c>
      <c r="AI1073" t="e">
        <f t="shared" ca="1" si="531"/>
        <v>#VALUE!</v>
      </c>
      <c r="AJ1073" t="e">
        <f t="shared" ca="1" si="532"/>
        <v>#VALUE!</v>
      </c>
      <c r="AM1073">
        <v>0</v>
      </c>
      <c r="AN1073">
        <v>0</v>
      </c>
      <c r="AO1073">
        <f t="shared" si="533"/>
        <v>0</v>
      </c>
      <c r="AP1073">
        <f t="shared" si="542"/>
        <v>0</v>
      </c>
      <c r="AQ1073" t="e">
        <f t="shared" ca="1" si="534"/>
        <v>#VALUE!</v>
      </c>
      <c r="AR1073" t="e">
        <f t="shared" ca="1" si="535"/>
        <v>#VALUE!</v>
      </c>
      <c r="AS1073" t="e">
        <f t="shared" ca="1" si="536"/>
        <v>#VALUE!</v>
      </c>
    </row>
    <row r="1074" spans="1:45" x14ac:dyDescent="0.35">
      <c r="A1074">
        <v>925</v>
      </c>
      <c r="B1074">
        <v>923.88900000000001</v>
      </c>
      <c r="C1074">
        <v>616084.37800000003</v>
      </c>
      <c r="D1074">
        <v>3097079.9810000001</v>
      </c>
      <c r="E1074">
        <v>632.1</v>
      </c>
      <c r="F1074">
        <v>5.2</v>
      </c>
      <c r="G1074">
        <v>0</v>
      </c>
      <c r="H1074" t="s">
        <v>191</v>
      </c>
      <c r="I1074">
        <v>5.7000000000000002E-2</v>
      </c>
      <c r="J1074">
        <f t="shared" si="537"/>
        <v>1</v>
      </c>
      <c r="K1074">
        <f t="shared" si="538"/>
        <v>51</v>
      </c>
      <c r="L1074" t="e">
        <f t="shared" ca="1" si="539"/>
        <v>#VALUE!</v>
      </c>
      <c r="M1074" t="e">
        <f t="shared" ca="1" si="512"/>
        <v>#VALUE!</v>
      </c>
      <c r="N1074" t="e">
        <f t="shared" ca="1" si="513"/>
        <v>#VALUE!</v>
      </c>
      <c r="O1074" t="e">
        <f t="shared" ca="1" si="514"/>
        <v>#VALUE!</v>
      </c>
      <c r="P1074" t="e">
        <f t="shared" ca="1" si="515"/>
        <v>#VALUE!</v>
      </c>
      <c r="Q1074" t="e">
        <f t="shared" ca="1" si="516"/>
        <v>#VALUE!</v>
      </c>
      <c r="R1074" t="e">
        <f t="shared" ca="1" si="517"/>
        <v>#VALUE!</v>
      </c>
      <c r="S1074" t="e">
        <f t="shared" ca="1" si="518"/>
        <v>#VALUE!</v>
      </c>
      <c r="T1074" t="e">
        <f t="shared" ca="1" si="519"/>
        <v>#VALUE!</v>
      </c>
      <c r="U1074" t="e">
        <f t="shared" ca="1" si="540"/>
        <v>#VALUE!</v>
      </c>
      <c r="V1074" t="e">
        <f t="shared" ca="1" si="541"/>
        <v>#VALUE!</v>
      </c>
      <c r="W1074" t="e">
        <f t="shared" ca="1" si="520"/>
        <v>#VALUE!</v>
      </c>
      <c r="X1074" t="e">
        <f t="shared" ca="1" si="521"/>
        <v>#VALUE!</v>
      </c>
      <c r="Y1074" t="e">
        <f t="shared" ca="1" si="522"/>
        <v>#VALUE!</v>
      </c>
      <c r="Z1074" t="e">
        <f t="shared" ca="1" si="523"/>
        <v>#VALUE!</v>
      </c>
      <c r="AA1074" t="e">
        <f t="shared" ca="1" si="524"/>
        <v>#VALUE!</v>
      </c>
      <c r="AB1074" t="e">
        <f t="shared" ca="1" si="525"/>
        <v>#VALUE!</v>
      </c>
      <c r="AC1074" t="e">
        <f t="shared" ca="1" si="526"/>
        <v>#VALUE!</v>
      </c>
      <c r="AD1074" t="e">
        <f t="shared" ca="1" si="527"/>
        <v>#VALUE!</v>
      </c>
      <c r="AE1074" t="e">
        <f t="shared" ca="1" si="528"/>
        <v>#VALUE!</v>
      </c>
      <c r="AF1074" t="e">
        <f t="shared" ca="1" si="529"/>
        <v>#VALUE!</v>
      </c>
      <c r="AG1074" t="e">
        <f t="shared" ca="1" si="530"/>
        <v>#VALUE!</v>
      </c>
      <c r="AH1074" t="e">
        <f ca="1">IF(V32="Supercritical",L1074,IF(V32="Subcritical",W1074,IF(AND(V1074=1,AG1074=1),IF(T1074&gt;=AE1074,L1074,W1074),IF(V1074=1,L1074,IF(AG1074=1,W1074,MAX($D$16,POWER((ABS(K1074)^2)/($I$5*MAX(F1074,0.1)^2),1/3)))))))</f>
        <v>#VALUE!</v>
      </c>
      <c r="AI1074" t="e">
        <f t="shared" ca="1" si="531"/>
        <v>#VALUE!</v>
      </c>
      <c r="AJ1074" t="e">
        <f t="shared" ca="1" si="532"/>
        <v>#VALUE!</v>
      </c>
      <c r="AM1074">
        <v>0</v>
      </c>
      <c r="AN1074">
        <v>0</v>
      </c>
      <c r="AO1074">
        <f t="shared" si="533"/>
        <v>0</v>
      </c>
      <c r="AP1074">
        <f t="shared" si="542"/>
        <v>0</v>
      </c>
      <c r="AQ1074" t="e">
        <f t="shared" ca="1" si="534"/>
        <v>#VALUE!</v>
      </c>
      <c r="AR1074" t="e">
        <f t="shared" ca="1" si="535"/>
        <v>#VALUE!</v>
      </c>
      <c r="AS1074" t="e">
        <f t="shared" ca="1" si="536"/>
        <v>#VALUE!</v>
      </c>
    </row>
    <row r="1075" spans="1:45" x14ac:dyDescent="0.35">
      <c r="A1075">
        <v>926</v>
      </c>
      <c r="B1075">
        <v>924.88900000000001</v>
      </c>
      <c r="C1075">
        <v>616084.33499999996</v>
      </c>
      <c r="D1075">
        <v>3097078.9819999998</v>
      </c>
      <c r="E1075">
        <v>632.09950000000003</v>
      </c>
      <c r="F1075">
        <v>5.2</v>
      </c>
      <c r="G1075">
        <v>0</v>
      </c>
      <c r="H1075" t="s">
        <v>191</v>
      </c>
      <c r="I1075">
        <v>5.7000000000000002E-2</v>
      </c>
      <c r="J1075">
        <f t="shared" si="537"/>
        <v>1</v>
      </c>
      <c r="K1075">
        <f t="shared" si="538"/>
        <v>51</v>
      </c>
      <c r="L1075" t="e">
        <f t="shared" ca="1" si="539"/>
        <v>#VALUE!</v>
      </c>
      <c r="M1075" t="e">
        <f t="shared" ca="1" si="512"/>
        <v>#VALUE!</v>
      </c>
      <c r="N1075" t="e">
        <f t="shared" ca="1" si="513"/>
        <v>#VALUE!</v>
      </c>
      <c r="O1075" t="e">
        <f t="shared" ca="1" si="514"/>
        <v>#VALUE!</v>
      </c>
      <c r="P1075" t="e">
        <f t="shared" ca="1" si="515"/>
        <v>#VALUE!</v>
      </c>
      <c r="Q1075" t="e">
        <f t="shared" ca="1" si="516"/>
        <v>#VALUE!</v>
      </c>
      <c r="R1075" t="e">
        <f t="shared" ca="1" si="517"/>
        <v>#VALUE!</v>
      </c>
      <c r="S1075" t="e">
        <f t="shared" ca="1" si="518"/>
        <v>#VALUE!</v>
      </c>
      <c r="T1075" t="e">
        <f t="shared" ca="1" si="519"/>
        <v>#VALUE!</v>
      </c>
      <c r="U1075" t="e">
        <f t="shared" ca="1" si="540"/>
        <v>#VALUE!</v>
      </c>
      <c r="V1075" t="e">
        <f t="shared" ca="1" si="541"/>
        <v>#VALUE!</v>
      </c>
      <c r="W1075" t="e">
        <f t="shared" ca="1" si="520"/>
        <v>#VALUE!</v>
      </c>
      <c r="X1075" t="e">
        <f t="shared" ca="1" si="521"/>
        <v>#VALUE!</v>
      </c>
      <c r="Y1075" t="e">
        <f t="shared" ca="1" si="522"/>
        <v>#VALUE!</v>
      </c>
      <c r="Z1075" t="e">
        <f t="shared" ca="1" si="523"/>
        <v>#VALUE!</v>
      </c>
      <c r="AA1075" t="e">
        <f t="shared" ca="1" si="524"/>
        <v>#VALUE!</v>
      </c>
      <c r="AB1075" t="e">
        <f t="shared" ca="1" si="525"/>
        <v>#VALUE!</v>
      </c>
      <c r="AC1075" t="e">
        <f t="shared" ca="1" si="526"/>
        <v>#VALUE!</v>
      </c>
      <c r="AD1075" t="e">
        <f t="shared" ca="1" si="527"/>
        <v>#VALUE!</v>
      </c>
      <c r="AE1075" t="e">
        <f t="shared" ca="1" si="528"/>
        <v>#VALUE!</v>
      </c>
      <c r="AF1075" t="e">
        <f t="shared" ca="1" si="529"/>
        <v>#VALUE!</v>
      </c>
      <c r="AG1075" t="e">
        <f t="shared" ca="1" si="530"/>
        <v>#VALUE!</v>
      </c>
      <c r="AH1075" t="e">
        <f ca="1">IF(V32="Supercritical",L1075,IF(V32="Subcritical",W1075,IF(AND(V1075=1,AG1075=1),IF(T1075&gt;=AE1075,L1075,W1075),IF(V1075=1,L1075,IF(AG1075=1,W1075,MAX($D$16,POWER((ABS(K1075)^2)/($I$5*MAX(F1075,0.1)^2),1/3)))))))</f>
        <v>#VALUE!</v>
      </c>
      <c r="AI1075" t="e">
        <f t="shared" ca="1" si="531"/>
        <v>#VALUE!</v>
      </c>
      <c r="AJ1075" t="e">
        <f t="shared" ca="1" si="532"/>
        <v>#VALUE!</v>
      </c>
      <c r="AM1075">
        <v>0</v>
      </c>
      <c r="AN1075">
        <v>0</v>
      </c>
      <c r="AO1075">
        <f t="shared" si="533"/>
        <v>0</v>
      </c>
      <c r="AP1075">
        <f t="shared" si="542"/>
        <v>0</v>
      </c>
      <c r="AQ1075" t="e">
        <f t="shared" ca="1" si="534"/>
        <v>#VALUE!</v>
      </c>
      <c r="AR1075" t="e">
        <f t="shared" ca="1" si="535"/>
        <v>#VALUE!</v>
      </c>
      <c r="AS1075" t="e">
        <f t="shared" ca="1" si="536"/>
        <v>#VALUE!</v>
      </c>
    </row>
    <row r="1076" spans="1:45" x14ac:dyDescent="0.35">
      <c r="A1076">
        <v>927</v>
      </c>
      <c r="B1076">
        <v>925.88900000000001</v>
      </c>
      <c r="C1076">
        <v>616084.29299999995</v>
      </c>
      <c r="D1076">
        <v>3097077.983</v>
      </c>
      <c r="E1076">
        <v>632.09900000000005</v>
      </c>
      <c r="F1076">
        <v>5.2</v>
      </c>
      <c r="G1076">
        <v>0</v>
      </c>
      <c r="H1076" t="s">
        <v>191</v>
      </c>
      <c r="I1076">
        <v>0</v>
      </c>
      <c r="J1076">
        <f t="shared" si="537"/>
        <v>1</v>
      </c>
      <c r="K1076">
        <f t="shared" si="538"/>
        <v>51</v>
      </c>
      <c r="L1076" t="e">
        <f t="shared" ca="1" si="539"/>
        <v>#VALUE!</v>
      </c>
      <c r="M1076" t="e">
        <f t="shared" ca="1" si="512"/>
        <v>#VALUE!</v>
      </c>
      <c r="N1076" t="e">
        <f t="shared" ca="1" si="513"/>
        <v>#VALUE!</v>
      </c>
      <c r="O1076" t="e">
        <f t="shared" ca="1" si="514"/>
        <v>#VALUE!</v>
      </c>
      <c r="P1076" t="e">
        <f t="shared" ca="1" si="515"/>
        <v>#VALUE!</v>
      </c>
      <c r="Q1076" t="e">
        <f t="shared" ca="1" si="516"/>
        <v>#VALUE!</v>
      </c>
      <c r="R1076" t="e">
        <f t="shared" ca="1" si="517"/>
        <v>#VALUE!</v>
      </c>
      <c r="S1076" t="e">
        <f t="shared" ca="1" si="518"/>
        <v>#VALUE!</v>
      </c>
      <c r="T1076" t="e">
        <f t="shared" ca="1" si="519"/>
        <v>#VALUE!</v>
      </c>
      <c r="U1076" t="e">
        <f t="shared" ca="1" si="540"/>
        <v>#VALUE!</v>
      </c>
      <c r="V1076" t="e">
        <f t="shared" ca="1" si="541"/>
        <v>#VALUE!</v>
      </c>
      <c r="W1076" t="e">
        <f t="shared" ca="1" si="520"/>
        <v>#VALUE!</v>
      </c>
      <c r="X1076" t="e">
        <f t="shared" ca="1" si="521"/>
        <v>#VALUE!</v>
      </c>
      <c r="Y1076" t="e">
        <f t="shared" ca="1" si="522"/>
        <v>#VALUE!</v>
      </c>
      <c r="Z1076" t="e">
        <f t="shared" ca="1" si="523"/>
        <v>#VALUE!</v>
      </c>
      <c r="AA1076" t="e">
        <f t="shared" ca="1" si="524"/>
        <v>#VALUE!</v>
      </c>
      <c r="AB1076" t="e">
        <f t="shared" ca="1" si="525"/>
        <v>#VALUE!</v>
      </c>
      <c r="AC1076" t="e">
        <f t="shared" ca="1" si="526"/>
        <v>#VALUE!</v>
      </c>
      <c r="AD1076" t="e">
        <f t="shared" ca="1" si="527"/>
        <v>#VALUE!</v>
      </c>
      <c r="AE1076" t="e">
        <f t="shared" ca="1" si="528"/>
        <v>#VALUE!</v>
      </c>
      <c r="AF1076" t="e">
        <f t="shared" ca="1" si="529"/>
        <v>#VALUE!</v>
      </c>
      <c r="AG1076" t="e">
        <f t="shared" ca="1" si="530"/>
        <v>#VALUE!</v>
      </c>
      <c r="AH1076" t="e">
        <f ca="1">IF(V32="Supercritical",L1076,IF(V32="Subcritical",W1076,IF(AND(V1076=1,AG1076=1),IF(T1076&gt;=AE1076,L1076,W1076),IF(V1076=1,L1076,IF(AG1076=1,W1076,MAX($D$16,POWER((ABS(K1076)^2)/($I$5*MAX(F1076,0.1)^2),1/3)))))))</f>
        <v>#VALUE!</v>
      </c>
      <c r="AI1076" t="e">
        <f t="shared" ca="1" si="531"/>
        <v>#VALUE!</v>
      </c>
      <c r="AJ1076" t="e">
        <f t="shared" ca="1" si="532"/>
        <v>#VALUE!</v>
      </c>
      <c r="AM1076">
        <v>0</v>
      </c>
      <c r="AN1076">
        <v>0</v>
      </c>
      <c r="AO1076">
        <f t="shared" si="533"/>
        <v>0</v>
      </c>
      <c r="AP1076">
        <f t="shared" si="542"/>
        <v>0</v>
      </c>
      <c r="AQ1076" t="e">
        <f t="shared" ca="1" si="534"/>
        <v>#VALUE!</v>
      </c>
      <c r="AR1076" t="e">
        <f t="shared" ca="1" si="535"/>
        <v>#VALUE!</v>
      </c>
      <c r="AS1076" t="e">
        <f t="shared" ca="1" si="536"/>
        <v>#VALUE!</v>
      </c>
    </row>
    <row r="1077" spans="1:45" x14ac:dyDescent="0.35">
      <c r="A1077">
        <v>928</v>
      </c>
      <c r="B1077">
        <v>926.88900000000001</v>
      </c>
      <c r="C1077">
        <v>616084.25100000005</v>
      </c>
      <c r="D1077">
        <v>3097076.9840000002</v>
      </c>
      <c r="E1077">
        <v>632.09849999999994</v>
      </c>
      <c r="F1077">
        <v>5.2</v>
      </c>
      <c r="G1077">
        <v>0</v>
      </c>
      <c r="H1077" t="s">
        <v>191</v>
      </c>
      <c r="I1077">
        <v>2E-3</v>
      </c>
      <c r="J1077">
        <f t="shared" si="537"/>
        <v>1</v>
      </c>
      <c r="K1077">
        <f t="shared" si="538"/>
        <v>51</v>
      </c>
      <c r="L1077" t="e">
        <f t="shared" ca="1" si="539"/>
        <v>#VALUE!</v>
      </c>
      <c r="M1077" t="e">
        <f t="shared" ca="1" si="512"/>
        <v>#VALUE!</v>
      </c>
      <c r="N1077" t="e">
        <f t="shared" ca="1" si="513"/>
        <v>#VALUE!</v>
      </c>
      <c r="O1077" t="e">
        <f t="shared" ca="1" si="514"/>
        <v>#VALUE!</v>
      </c>
      <c r="P1077" t="e">
        <f t="shared" ca="1" si="515"/>
        <v>#VALUE!</v>
      </c>
      <c r="Q1077" t="e">
        <f t="shared" ca="1" si="516"/>
        <v>#VALUE!</v>
      </c>
      <c r="R1077" t="e">
        <f t="shared" ca="1" si="517"/>
        <v>#VALUE!</v>
      </c>
      <c r="S1077" t="e">
        <f t="shared" ca="1" si="518"/>
        <v>#VALUE!</v>
      </c>
      <c r="T1077" t="e">
        <f t="shared" ca="1" si="519"/>
        <v>#VALUE!</v>
      </c>
      <c r="U1077" t="e">
        <f t="shared" ca="1" si="540"/>
        <v>#VALUE!</v>
      </c>
      <c r="V1077" t="e">
        <f t="shared" ca="1" si="541"/>
        <v>#VALUE!</v>
      </c>
      <c r="W1077" t="e">
        <f t="shared" ca="1" si="520"/>
        <v>#VALUE!</v>
      </c>
      <c r="X1077" t="e">
        <f t="shared" ca="1" si="521"/>
        <v>#VALUE!</v>
      </c>
      <c r="Y1077" t="e">
        <f t="shared" ca="1" si="522"/>
        <v>#VALUE!</v>
      </c>
      <c r="Z1077" t="e">
        <f t="shared" ca="1" si="523"/>
        <v>#VALUE!</v>
      </c>
      <c r="AA1077" t="e">
        <f t="shared" ca="1" si="524"/>
        <v>#VALUE!</v>
      </c>
      <c r="AB1077" t="e">
        <f t="shared" ca="1" si="525"/>
        <v>#VALUE!</v>
      </c>
      <c r="AC1077" t="e">
        <f t="shared" ca="1" si="526"/>
        <v>#VALUE!</v>
      </c>
      <c r="AD1077" t="e">
        <f t="shared" ca="1" si="527"/>
        <v>#VALUE!</v>
      </c>
      <c r="AE1077" t="e">
        <f t="shared" ca="1" si="528"/>
        <v>#VALUE!</v>
      </c>
      <c r="AF1077" t="e">
        <f t="shared" ca="1" si="529"/>
        <v>#VALUE!</v>
      </c>
      <c r="AG1077" t="e">
        <f t="shared" ca="1" si="530"/>
        <v>#VALUE!</v>
      </c>
      <c r="AH1077" t="e">
        <f ca="1">IF(V32="Supercritical",L1077,IF(V32="Subcritical",W1077,IF(AND(V1077=1,AG1077=1),IF(T1077&gt;=AE1077,L1077,W1077),IF(V1077=1,L1077,IF(AG1077=1,W1077,MAX($D$16,POWER((ABS(K1077)^2)/($I$5*MAX(F1077,0.1)^2),1/3)))))))</f>
        <v>#VALUE!</v>
      </c>
      <c r="AI1077" t="e">
        <f t="shared" ca="1" si="531"/>
        <v>#VALUE!</v>
      </c>
      <c r="AJ1077" t="e">
        <f t="shared" ca="1" si="532"/>
        <v>#VALUE!</v>
      </c>
      <c r="AM1077">
        <v>0</v>
      </c>
      <c r="AN1077">
        <v>0</v>
      </c>
      <c r="AO1077">
        <f t="shared" si="533"/>
        <v>0</v>
      </c>
      <c r="AP1077">
        <f t="shared" si="542"/>
        <v>0</v>
      </c>
      <c r="AQ1077" t="e">
        <f t="shared" ca="1" si="534"/>
        <v>#VALUE!</v>
      </c>
      <c r="AR1077" t="e">
        <f t="shared" ca="1" si="535"/>
        <v>#VALUE!</v>
      </c>
      <c r="AS1077" t="e">
        <f t="shared" ca="1" si="536"/>
        <v>#VALUE!</v>
      </c>
    </row>
    <row r="1078" spans="1:45" x14ac:dyDescent="0.35">
      <c r="A1078">
        <v>929</v>
      </c>
      <c r="B1078">
        <v>927.89</v>
      </c>
      <c r="C1078">
        <v>616084.20900000003</v>
      </c>
      <c r="D1078">
        <v>3097075.9840000002</v>
      </c>
      <c r="E1078">
        <v>632.09799999999996</v>
      </c>
      <c r="F1078">
        <v>5.2</v>
      </c>
      <c r="G1078">
        <v>0</v>
      </c>
      <c r="H1078" t="s">
        <v>191</v>
      </c>
      <c r="I1078">
        <v>0.06</v>
      </c>
      <c r="J1078">
        <f t="shared" si="537"/>
        <v>1.0009999999999764</v>
      </c>
      <c r="K1078">
        <f t="shared" si="538"/>
        <v>51</v>
      </c>
      <c r="L1078" t="e">
        <f t="shared" ca="1" si="539"/>
        <v>#VALUE!</v>
      </c>
      <c r="M1078" t="e">
        <f t="shared" ca="1" si="512"/>
        <v>#VALUE!</v>
      </c>
      <c r="N1078" t="e">
        <f t="shared" ca="1" si="513"/>
        <v>#VALUE!</v>
      </c>
      <c r="O1078" t="e">
        <f t="shared" ca="1" si="514"/>
        <v>#VALUE!</v>
      </c>
      <c r="P1078" t="e">
        <f t="shared" ca="1" si="515"/>
        <v>#VALUE!</v>
      </c>
      <c r="Q1078" t="e">
        <f t="shared" ca="1" si="516"/>
        <v>#VALUE!</v>
      </c>
      <c r="R1078" t="e">
        <f t="shared" ca="1" si="517"/>
        <v>#VALUE!</v>
      </c>
      <c r="S1078" t="e">
        <f t="shared" ca="1" si="518"/>
        <v>#VALUE!</v>
      </c>
      <c r="T1078" t="e">
        <f t="shared" ca="1" si="519"/>
        <v>#VALUE!</v>
      </c>
      <c r="U1078" t="e">
        <f t="shared" ca="1" si="540"/>
        <v>#VALUE!</v>
      </c>
      <c r="V1078" t="e">
        <f t="shared" ca="1" si="541"/>
        <v>#VALUE!</v>
      </c>
      <c r="W1078" t="e">
        <f t="shared" ca="1" si="520"/>
        <v>#VALUE!</v>
      </c>
      <c r="X1078" t="e">
        <f t="shared" ca="1" si="521"/>
        <v>#VALUE!</v>
      </c>
      <c r="Y1078" t="e">
        <f t="shared" ca="1" si="522"/>
        <v>#VALUE!</v>
      </c>
      <c r="Z1078" t="e">
        <f t="shared" ca="1" si="523"/>
        <v>#VALUE!</v>
      </c>
      <c r="AA1078" t="e">
        <f t="shared" ca="1" si="524"/>
        <v>#VALUE!</v>
      </c>
      <c r="AB1078" t="e">
        <f t="shared" ca="1" si="525"/>
        <v>#VALUE!</v>
      </c>
      <c r="AC1078" t="e">
        <f t="shared" ca="1" si="526"/>
        <v>#VALUE!</v>
      </c>
      <c r="AD1078" t="e">
        <f t="shared" ca="1" si="527"/>
        <v>#VALUE!</v>
      </c>
      <c r="AE1078" t="e">
        <f t="shared" ca="1" si="528"/>
        <v>#VALUE!</v>
      </c>
      <c r="AF1078" t="e">
        <f t="shared" ca="1" si="529"/>
        <v>#VALUE!</v>
      </c>
      <c r="AG1078" t="e">
        <f t="shared" ca="1" si="530"/>
        <v>#VALUE!</v>
      </c>
      <c r="AH1078" t="e">
        <f ca="1">IF(V32="Supercritical",L1078,IF(V32="Subcritical",W1078,IF(AND(V1078=1,AG1078=1),IF(T1078&gt;=AE1078,L1078,W1078),IF(V1078=1,L1078,IF(AG1078=1,W1078,MAX($D$16,POWER((ABS(K1078)^2)/($I$5*MAX(F1078,0.1)^2),1/3)))))))</f>
        <v>#VALUE!</v>
      </c>
      <c r="AI1078" t="e">
        <f t="shared" ca="1" si="531"/>
        <v>#VALUE!</v>
      </c>
      <c r="AJ1078" t="e">
        <f t="shared" ca="1" si="532"/>
        <v>#VALUE!</v>
      </c>
      <c r="AM1078">
        <v>0</v>
      </c>
      <c r="AN1078">
        <v>0</v>
      </c>
      <c r="AO1078">
        <f t="shared" si="533"/>
        <v>0</v>
      </c>
      <c r="AP1078">
        <f t="shared" si="542"/>
        <v>0</v>
      </c>
      <c r="AQ1078" t="e">
        <f t="shared" ca="1" si="534"/>
        <v>#VALUE!</v>
      </c>
      <c r="AR1078" t="e">
        <f t="shared" ca="1" si="535"/>
        <v>#VALUE!</v>
      </c>
      <c r="AS1078" t="e">
        <f t="shared" ca="1" si="536"/>
        <v>#VALUE!</v>
      </c>
    </row>
    <row r="1079" spans="1:45" x14ac:dyDescent="0.35">
      <c r="A1079">
        <v>930</v>
      </c>
      <c r="B1079">
        <v>928.89</v>
      </c>
      <c r="C1079">
        <v>616084.16599999997</v>
      </c>
      <c r="D1079">
        <v>3097074.9849999999</v>
      </c>
      <c r="E1079">
        <v>632.09749999999997</v>
      </c>
      <c r="F1079">
        <v>5.2</v>
      </c>
      <c r="G1079">
        <v>0</v>
      </c>
      <c r="H1079" t="s">
        <v>191</v>
      </c>
      <c r="I1079">
        <v>5.7000000000000002E-2</v>
      </c>
      <c r="J1079">
        <f t="shared" si="537"/>
        <v>1</v>
      </c>
      <c r="K1079">
        <f t="shared" si="538"/>
        <v>51</v>
      </c>
      <c r="L1079" t="e">
        <f t="shared" ca="1" si="539"/>
        <v>#VALUE!</v>
      </c>
      <c r="M1079" t="e">
        <f t="shared" ca="1" si="512"/>
        <v>#VALUE!</v>
      </c>
      <c r="N1079" t="e">
        <f t="shared" ca="1" si="513"/>
        <v>#VALUE!</v>
      </c>
      <c r="O1079" t="e">
        <f t="shared" ca="1" si="514"/>
        <v>#VALUE!</v>
      </c>
      <c r="P1079" t="e">
        <f t="shared" ca="1" si="515"/>
        <v>#VALUE!</v>
      </c>
      <c r="Q1079" t="e">
        <f t="shared" ca="1" si="516"/>
        <v>#VALUE!</v>
      </c>
      <c r="R1079" t="e">
        <f t="shared" ca="1" si="517"/>
        <v>#VALUE!</v>
      </c>
      <c r="S1079" t="e">
        <f t="shared" ca="1" si="518"/>
        <v>#VALUE!</v>
      </c>
      <c r="T1079" t="e">
        <f t="shared" ca="1" si="519"/>
        <v>#VALUE!</v>
      </c>
      <c r="U1079" t="e">
        <f t="shared" ca="1" si="540"/>
        <v>#VALUE!</v>
      </c>
      <c r="V1079" t="e">
        <f t="shared" ca="1" si="541"/>
        <v>#VALUE!</v>
      </c>
      <c r="W1079" t="e">
        <f t="shared" ca="1" si="520"/>
        <v>#VALUE!</v>
      </c>
      <c r="X1079" t="e">
        <f t="shared" ca="1" si="521"/>
        <v>#VALUE!</v>
      </c>
      <c r="Y1079" t="e">
        <f t="shared" ca="1" si="522"/>
        <v>#VALUE!</v>
      </c>
      <c r="Z1079" t="e">
        <f t="shared" ca="1" si="523"/>
        <v>#VALUE!</v>
      </c>
      <c r="AA1079" t="e">
        <f t="shared" ca="1" si="524"/>
        <v>#VALUE!</v>
      </c>
      <c r="AB1079" t="e">
        <f t="shared" ca="1" si="525"/>
        <v>#VALUE!</v>
      </c>
      <c r="AC1079" t="e">
        <f t="shared" ca="1" si="526"/>
        <v>#VALUE!</v>
      </c>
      <c r="AD1079" t="e">
        <f t="shared" ca="1" si="527"/>
        <v>#VALUE!</v>
      </c>
      <c r="AE1079" t="e">
        <f t="shared" ca="1" si="528"/>
        <v>#VALUE!</v>
      </c>
      <c r="AF1079" t="e">
        <f t="shared" ca="1" si="529"/>
        <v>#VALUE!</v>
      </c>
      <c r="AG1079" t="e">
        <f t="shared" ca="1" si="530"/>
        <v>#VALUE!</v>
      </c>
      <c r="AH1079" t="e">
        <f ca="1">IF(V32="Supercritical",L1079,IF(V32="Subcritical",W1079,IF(AND(V1079=1,AG1079=1),IF(T1079&gt;=AE1079,L1079,W1079),IF(V1079=1,L1079,IF(AG1079=1,W1079,MAX($D$16,POWER((ABS(K1079)^2)/($I$5*MAX(F1079,0.1)^2),1/3)))))))</f>
        <v>#VALUE!</v>
      </c>
      <c r="AI1079" t="e">
        <f t="shared" ca="1" si="531"/>
        <v>#VALUE!</v>
      </c>
      <c r="AJ1079" t="e">
        <f t="shared" ca="1" si="532"/>
        <v>#VALUE!</v>
      </c>
      <c r="AM1079">
        <v>0</v>
      </c>
      <c r="AN1079">
        <v>0</v>
      </c>
      <c r="AO1079">
        <f t="shared" si="533"/>
        <v>0</v>
      </c>
      <c r="AP1079">
        <f t="shared" si="542"/>
        <v>0</v>
      </c>
      <c r="AQ1079" t="e">
        <f t="shared" ca="1" si="534"/>
        <v>#VALUE!</v>
      </c>
      <c r="AR1079" t="e">
        <f t="shared" ca="1" si="535"/>
        <v>#VALUE!</v>
      </c>
      <c r="AS1079" t="e">
        <f t="shared" ca="1" si="536"/>
        <v>#VALUE!</v>
      </c>
    </row>
    <row r="1080" spans="1:45" x14ac:dyDescent="0.35">
      <c r="A1080">
        <v>931</v>
      </c>
      <c r="B1080">
        <v>929.88900000000001</v>
      </c>
      <c r="C1080">
        <v>616084.12399999995</v>
      </c>
      <c r="D1080">
        <v>3097073.986</v>
      </c>
      <c r="E1080">
        <v>632.09699999999998</v>
      </c>
      <c r="F1080">
        <v>5.2</v>
      </c>
      <c r="G1080">
        <v>0</v>
      </c>
      <c r="H1080" t="s">
        <v>191</v>
      </c>
      <c r="I1080">
        <v>0</v>
      </c>
      <c r="J1080">
        <f t="shared" si="537"/>
        <v>0.99900000000002365</v>
      </c>
      <c r="K1080">
        <f t="shared" si="538"/>
        <v>51</v>
      </c>
      <c r="L1080" t="e">
        <f t="shared" ca="1" si="539"/>
        <v>#VALUE!</v>
      </c>
      <c r="M1080" t="e">
        <f t="shared" ca="1" si="512"/>
        <v>#VALUE!</v>
      </c>
      <c r="N1080" t="e">
        <f t="shared" ca="1" si="513"/>
        <v>#VALUE!</v>
      </c>
      <c r="O1080" t="e">
        <f t="shared" ca="1" si="514"/>
        <v>#VALUE!</v>
      </c>
      <c r="P1080" t="e">
        <f t="shared" ca="1" si="515"/>
        <v>#VALUE!</v>
      </c>
      <c r="Q1080" t="e">
        <f t="shared" ca="1" si="516"/>
        <v>#VALUE!</v>
      </c>
      <c r="R1080" t="e">
        <f t="shared" ca="1" si="517"/>
        <v>#VALUE!</v>
      </c>
      <c r="S1080" t="e">
        <f t="shared" ca="1" si="518"/>
        <v>#VALUE!</v>
      </c>
      <c r="T1080" t="e">
        <f t="shared" ca="1" si="519"/>
        <v>#VALUE!</v>
      </c>
      <c r="U1080" t="e">
        <f t="shared" ca="1" si="540"/>
        <v>#VALUE!</v>
      </c>
      <c r="V1080" t="e">
        <f t="shared" ca="1" si="541"/>
        <v>#VALUE!</v>
      </c>
      <c r="W1080" t="e">
        <f t="shared" ca="1" si="520"/>
        <v>#VALUE!</v>
      </c>
      <c r="X1080" t="e">
        <f t="shared" ca="1" si="521"/>
        <v>#VALUE!</v>
      </c>
      <c r="Y1080" t="e">
        <f t="shared" ca="1" si="522"/>
        <v>#VALUE!</v>
      </c>
      <c r="Z1080" t="e">
        <f t="shared" ca="1" si="523"/>
        <v>#VALUE!</v>
      </c>
      <c r="AA1080" t="e">
        <f t="shared" ca="1" si="524"/>
        <v>#VALUE!</v>
      </c>
      <c r="AB1080" t="e">
        <f t="shared" ca="1" si="525"/>
        <v>#VALUE!</v>
      </c>
      <c r="AC1080" t="e">
        <f t="shared" ca="1" si="526"/>
        <v>#VALUE!</v>
      </c>
      <c r="AD1080" t="e">
        <f t="shared" ca="1" si="527"/>
        <v>#VALUE!</v>
      </c>
      <c r="AE1080" t="e">
        <f t="shared" ca="1" si="528"/>
        <v>#VALUE!</v>
      </c>
      <c r="AF1080" t="e">
        <f t="shared" ca="1" si="529"/>
        <v>#VALUE!</v>
      </c>
      <c r="AG1080" t="e">
        <f t="shared" ca="1" si="530"/>
        <v>#VALUE!</v>
      </c>
      <c r="AH1080" t="e">
        <f ca="1">IF(V32="Supercritical",L1080,IF(V32="Subcritical",W1080,IF(AND(V1080=1,AG1080=1),IF(T1080&gt;=AE1080,L1080,W1080),IF(V1080=1,L1080,IF(AG1080=1,W1080,MAX($D$16,POWER((ABS(K1080)^2)/($I$5*MAX(F1080,0.1)^2),1/3)))))))</f>
        <v>#VALUE!</v>
      </c>
      <c r="AI1080" t="e">
        <f t="shared" ca="1" si="531"/>
        <v>#VALUE!</v>
      </c>
      <c r="AJ1080" t="e">
        <f t="shared" ca="1" si="532"/>
        <v>#VALUE!</v>
      </c>
      <c r="AM1080">
        <v>0</v>
      </c>
      <c r="AN1080">
        <v>0</v>
      </c>
      <c r="AO1080">
        <f t="shared" si="533"/>
        <v>0</v>
      </c>
      <c r="AP1080">
        <f t="shared" si="542"/>
        <v>0</v>
      </c>
      <c r="AQ1080" t="e">
        <f t="shared" ca="1" si="534"/>
        <v>#VALUE!</v>
      </c>
      <c r="AR1080" t="e">
        <f t="shared" ca="1" si="535"/>
        <v>#VALUE!</v>
      </c>
      <c r="AS1080" t="e">
        <f t="shared" ca="1" si="536"/>
        <v>#VALUE!</v>
      </c>
    </row>
    <row r="1081" spans="1:45" x14ac:dyDescent="0.35">
      <c r="A1081">
        <v>932</v>
      </c>
      <c r="B1081">
        <v>930.88900000000001</v>
      </c>
      <c r="C1081">
        <v>616084.08200000005</v>
      </c>
      <c r="D1081">
        <v>3097072.9870000002</v>
      </c>
      <c r="E1081">
        <v>632.09649999999999</v>
      </c>
      <c r="F1081">
        <v>5.2</v>
      </c>
      <c r="G1081">
        <v>0</v>
      </c>
      <c r="H1081" t="s">
        <v>191</v>
      </c>
      <c r="I1081">
        <v>0</v>
      </c>
      <c r="J1081">
        <f t="shared" si="537"/>
        <v>1</v>
      </c>
      <c r="K1081">
        <f t="shared" si="538"/>
        <v>51</v>
      </c>
      <c r="L1081" t="e">
        <f t="shared" ca="1" si="539"/>
        <v>#VALUE!</v>
      </c>
      <c r="M1081" t="e">
        <f t="shared" ca="1" si="512"/>
        <v>#VALUE!</v>
      </c>
      <c r="N1081" t="e">
        <f t="shared" ca="1" si="513"/>
        <v>#VALUE!</v>
      </c>
      <c r="O1081" t="e">
        <f t="shared" ca="1" si="514"/>
        <v>#VALUE!</v>
      </c>
      <c r="P1081" t="e">
        <f t="shared" ca="1" si="515"/>
        <v>#VALUE!</v>
      </c>
      <c r="Q1081" t="e">
        <f t="shared" ca="1" si="516"/>
        <v>#VALUE!</v>
      </c>
      <c r="R1081" t="e">
        <f t="shared" ca="1" si="517"/>
        <v>#VALUE!</v>
      </c>
      <c r="S1081" t="e">
        <f t="shared" ca="1" si="518"/>
        <v>#VALUE!</v>
      </c>
      <c r="T1081" t="e">
        <f t="shared" ca="1" si="519"/>
        <v>#VALUE!</v>
      </c>
      <c r="U1081" t="e">
        <f t="shared" ca="1" si="540"/>
        <v>#VALUE!</v>
      </c>
      <c r="V1081" t="e">
        <f t="shared" ca="1" si="541"/>
        <v>#VALUE!</v>
      </c>
      <c r="W1081" t="e">
        <f t="shared" ca="1" si="520"/>
        <v>#VALUE!</v>
      </c>
      <c r="X1081" t="e">
        <f t="shared" ca="1" si="521"/>
        <v>#VALUE!</v>
      </c>
      <c r="Y1081" t="e">
        <f t="shared" ca="1" si="522"/>
        <v>#VALUE!</v>
      </c>
      <c r="Z1081" t="e">
        <f t="shared" ca="1" si="523"/>
        <v>#VALUE!</v>
      </c>
      <c r="AA1081" t="e">
        <f t="shared" ca="1" si="524"/>
        <v>#VALUE!</v>
      </c>
      <c r="AB1081" t="e">
        <f t="shared" ca="1" si="525"/>
        <v>#VALUE!</v>
      </c>
      <c r="AC1081" t="e">
        <f t="shared" ca="1" si="526"/>
        <v>#VALUE!</v>
      </c>
      <c r="AD1081" t="e">
        <f t="shared" ca="1" si="527"/>
        <v>#VALUE!</v>
      </c>
      <c r="AE1081" t="e">
        <f t="shared" ca="1" si="528"/>
        <v>#VALUE!</v>
      </c>
      <c r="AF1081" t="e">
        <f t="shared" ca="1" si="529"/>
        <v>#VALUE!</v>
      </c>
      <c r="AG1081" t="e">
        <f t="shared" ca="1" si="530"/>
        <v>#VALUE!</v>
      </c>
      <c r="AH1081" t="e">
        <f ca="1">IF(V32="Supercritical",L1081,IF(V32="Subcritical",W1081,IF(AND(V1081=1,AG1081=1),IF(T1081&gt;=AE1081,L1081,W1081),IF(V1081=1,L1081,IF(AG1081=1,W1081,MAX($D$16,POWER((ABS(K1081)^2)/($I$5*MAX(F1081,0.1)^2),1/3)))))))</f>
        <v>#VALUE!</v>
      </c>
      <c r="AI1081" t="e">
        <f t="shared" ca="1" si="531"/>
        <v>#VALUE!</v>
      </c>
      <c r="AJ1081" t="e">
        <f t="shared" ca="1" si="532"/>
        <v>#VALUE!</v>
      </c>
      <c r="AM1081">
        <v>0</v>
      </c>
      <c r="AN1081">
        <v>0</v>
      </c>
      <c r="AO1081">
        <f t="shared" si="533"/>
        <v>0</v>
      </c>
      <c r="AP1081">
        <f t="shared" si="542"/>
        <v>0</v>
      </c>
      <c r="AQ1081" t="e">
        <f t="shared" ca="1" si="534"/>
        <v>#VALUE!</v>
      </c>
      <c r="AR1081" t="e">
        <f t="shared" ca="1" si="535"/>
        <v>#VALUE!</v>
      </c>
      <c r="AS1081" t="e">
        <f t="shared" ca="1" si="536"/>
        <v>#VALUE!</v>
      </c>
    </row>
    <row r="1082" spans="1:45" x14ac:dyDescent="0.35">
      <c r="A1082">
        <v>933</v>
      </c>
      <c r="B1082">
        <v>931.88900000000001</v>
      </c>
      <c r="C1082">
        <v>616084.04</v>
      </c>
      <c r="D1082">
        <v>3097071.9879999999</v>
      </c>
      <c r="E1082">
        <v>632.096</v>
      </c>
      <c r="F1082">
        <v>5.2</v>
      </c>
      <c r="G1082">
        <v>0</v>
      </c>
      <c r="H1082" t="s">
        <v>191</v>
      </c>
      <c r="I1082">
        <v>5.7000000000000002E-2</v>
      </c>
      <c r="J1082">
        <f t="shared" si="537"/>
        <v>1</v>
      </c>
      <c r="K1082">
        <f t="shared" si="538"/>
        <v>51</v>
      </c>
      <c r="L1082" t="e">
        <f t="shared" ca="1" si="539"/>
        <v>#VALUE!</v>
      </c>
      <c r="M1082" t="e">
        <f t="shared" ca="1" si="512"/>
        <v>#VALUE!</v>
      </c>
      <c r="N1082" t="e">
        <f t="shared" ca="1" si="513"/>
        <v>#VALUE!</v>
      </c>
      <c r="O1082" t="e">
        <f t="shared" ca="1" si="514"/>
        <v>#VALUE!</v>
      </c>
      <c r="P1082" t="e">
        <f t="shared" ca="1" si="515"/>
        <v>#VALUE!</v>
      </c>
      <c r="Q1082" t="e">
        <f t="shared" ca="1" si="516"/>
        <v>#VALUE!</v>
      </c>
      <c r="R1082" t="e">
        <f t="shared" ca="1" si="517"/>
        <v>#VALUE!</v>
      </c>
      <c r="S1082" t="e">
        <f t="shared" ca="1" si="518"/>
        <v>#VALUE!</v>
      </c>
      <c r="T1082" t="e">
        <f t="shared" ca="1" si="519"/>
        <v>#VALUE!</v>
      </c>
      <c r="U1082" t="e">
        <f t="shared" ca="1" si="540"/>
        <v>#VALUE!</v>
      </c>
      <c r="V1082" t="e">
        <f t="shared" ca="1" si="541"/>
        <v>#VALUE!</v>
      </c>
      <c r="W1082" t="e">
        <f t="shared" ca="1" si="520"/>
        <v>#VALUE!</v>
      </c>
      <c r="X1082" t="e">
        <f t="shared" ca="1" si="521"/>
        <v>#VALUE!</v>
      </c>
      <c r="Y1082" t="e">
        <f t="shared" ca="1" si="522"/>
        <v>#VALUE!</v>
      </c>
      <c r="Z1082" t="e">
        <f t="shared" ca="1" si="523"/>
        <v>#VALUE!</v>
      </c>
      <c r="AA1082" t="e">
        <f t="shared" ca="1" si="524"/>
        <v>#VALUE!</v>
      </c>
      <c r="AB1082" t="e">
        <f t="shared" ca="1" si="525"/>
        <v>#VALUE!</v>
      </c>
      <c r="AC1082" t="e">
        <f t="shared" ca="1" si="526"/>
        <v>#VALUE!</v>
      </c>
      <c r="AD1082" t="e">
        <f t="shared" ca="1" si="527"/>
        <v>#VALUE!</v>
      </c>
      <c r="AE1082" t="e">
        <f t="shared" ca="1" si="528"/>
        <v>#VALUE!</v>
      </c>
      <c r="AF1082" t="e">
        <f t="shared" ca="1" si="529"/>
        <v>#VALUE!</v>
      </c>
      <c r="AG1082" t="e">
        <f t="shared" ca="1" si="530"/>
        <v>#VALUE!</v>
      </c>
      <c r="AH1082" t="e">
        <f ca="1">IF(V32="Supercritical",L1082,IF(V32="Subcritical",W1082,IF(AND(V1082=1,AG1082=1),IF(T1082&gt;=AE1082,L1082,W1082),IF(V1082=1,L1082,IF(AG1082=1,W1082,MAX($D$16,POWER((ABS(K1082)^2)/($I$5*MAX(F1082,0.1)^2),1/3)))))))</f>
        <v>#VALUE!</v>
      </c>
      <c r="AI1082" t="e">
        <f t="shared" ca="1" si="531"/>
        <v>#VALUE!</v>
      </c>
      <c r="AJ1082" t="e">
        <f t="shared" ca="1" si="532"/>
        <v>#VALUE!</v>
      </c>
      <c r="AM1082">
        <v>0</v>
      </c>
      <c r="AN1082">
        <v>0</v>
      </c>
      <c r="AO1082">
        <f t="shared" si="533"/>
        <v>0</v>
      </c>
      <c r="AP1082">
        <f t="shared" si="542"/>
        <v>0</v>
      </c>
      <c r="AQ1082" t="e">
        <f t="shared" ca="1" si="534"/>
        <v>#VALUE!</v>
      </c>
      <c r="AR1082" t="e">
        <f t="shared" ca="1" si="535"/>
        <v>#VALUE!</v>
      </c>
      <c r="AS1082" t="e">
        <f t="shared" ca="1" si="536"/>
        <v>#VALUE!</v>
      </c>
    </row>
    <row r="1083" spans="1:45" x14ac:dyDescent="0.35">
      <c r="A1083">
        <v>934</v>
      </c>
      <c r="B1083">
        <v>932.88900000000001</v>
      </c>
      <c r="C1083">
        <v>616083.99699999997</v>
      </c>
      <c r="D1083">
        <v>3097070.9890000001</v>
      </c>
      <c r="E1083">
        <v>632.09550000000002</v>
      </c>
      <c r="F1083">
        <v>5.2</v>
      </c>
      <c r="G1083">
        <v>0</v>
      </c>
      <c r="H1083" t="s">
        <v>191</v>
      </c>
      <c r="I1083">
        <v>5.7000000000000002E-2</v>
      </c>
      <c r="J1083">
        <f t="shared" si="537"/>
        <v>1</v>
      </c>
      <c r="K1083">
        <f t="shared" si="538"/>
        <v>51</v>
      </c>
      <c r="L1083" t="e">
        <f t="shared" ca="1" si="539"/>
        <v>#VALUE!</v>
      </c>
      <c r="M1083" t="e">
        <f t="shared" ca="1" si="512"/>
        <v>#VALUE!</v>
      </c>
      <c r="N1083" t="e">
        <f t="shared" ca="1" si="513"/>
        <v>#VALUE!</v>
      </c>
      <c r="O1083" t="e">
        <f t="shared" ca="1" si="514"/>
        <v>#VALUE!</v>
      </c>
      <c r="P1083" t="e">
        <f t="shared" ca="1" si="515"/>
        <v>#VALUE!</v>
      </c>
      <c r="Q1083" t="e">
        <f t="shared" ca="1" si="516"/>
        <v>#VALUE!</v>
      </c>
      <c r="R1083" t="e">
        <f t="shared" ca="1" si="517"/>
        <v>#VALUE!</v>
      </c>
      <c r="S1083" t="e">
        <f t="shared" ca="1" si="518"/>
        <v>#VALUE!</v>
      </c>
      <c r="T1083" t="e">
        <f t="shared" ca="1" si="519"/>
        <v>#VALUE!</v>
      </c>
      <c r="U1083" t="e">
        <f t="shared" ca="1" si="540"/>
        <v>#VALUE!</v>
      </c>
      <c r="V1083" t="e">
        <f t="shared" ca="1" si="541"/>
        <v>#VALUE!</v>
      </c>
      <c r="W1083" t="e">
        <f t="shared" ca="1" si="520"/>
        <v>#VALUE!</v>
      </c>
      <c r="X1083" t="e">
        <f t="shared" ca="1" si="521"/>
        <v>#VALUE!</v>
      </c>
      <c r="Y1083" t="e">
        <f t="shared" ca="1" si="522"/>
        <v>#VALUE!</v>
      </c>
      <c r="Z1083" t="e">
        <f t="shared" ca="1" si="523"/>
        <v>#VALUE!</v>
      </c>
      <c r="AA1083" t="e">
        <f t="shared" ca="1" si="524"/>
        <v>#VALUE!</v>
      </c>
      <c r="AB1083" t="e">
        <f t="shared" ca="1" si="525"/>
        <v>#VALUE!</v>
      </c>
      <c r="AC1083" t="e">
        <f t="shared" ca="1" si="526"/>
        <v>#VALUE!</v>
      </c>
      <c r="AD1083" t="e">
        <f t="shared" ca="1" si="527"/>
        <v>#VALUE!</v>
      </c>
      <c r="AE1083" t="e">
        <f t="shared" ca="1" si="528"/>
        <v>#VALUE!</v>
      </c>
      <c r="AF1083" t="e">
        <f t="shared" ca="1" si="529"/>
        <v>#VALUE!</v>
      </c>
      <c r="AG1083" t="e">
        <f t="shared" ca="1" si="530"/>
        <v>#VALUE!</v>
      </c>
      <c r="AH1083" t="e">
        <f ca="1">IF(V32="Supercritical",L1083,IF(V32="Subcritical",W1083,IF(AND(V1083=1,AG1083=1),IF(T1083&gt;=AE1083,L1083,W1083),IF(V1083=1,L1083,IF(AG1083=1,W1083,MAX($D$16,POWER((ABS(K1083)^2)/($I$5*MAX(F1083,0.1)^2),1/3)))))))</f>
        <v>#VALUE!</v>
      </c>
      <c r="AI1083" t="e">
        <f t="shared" ca="1" si="531"/>
        <v>#VALUE!</v>
      </c>
      <c r="AJ1083" t="e">
        <f t="shared" ca="1" si="532"/>
        <v>#VALUE!</v>
      </c>
      <c r="AM1083">
        <v>0</v>
      </c>
      <c r="AN1083">
        <v>0</v>
      </c>
      <c r="AO1083">
        <f t="shared" si="533"/>
        <v>0</v>
      </c>
      <c r="AP1083">
        <f t="shared" si="542"/>
        <v>0</v>
      </c>
      <c r="AQ1083" t="e">
        <f t="shared" ca="1" si="534"/>
        <v>#VALUE!</v>
      </c>
      <c r="AR1083" t="e">
        <f t="shared" ca="1" si="535"/>
        <v>#VALUE!</v>
      </c>
      <c r="AS1083" t="e">
        <f t="shared" ca="1" si="536"/>
        <v>#VALUE!</v>
      </c>
    </row>
    <row r="1084" spans="1:45" x14ac:dyDescent="0.35">
      <c r="A1084">
        <v>935</v>
      </c>
      <c r="B1084">
        <v>933.88900000000001</v>
      </c>
      <c r="C1084">
        <v>616083.95499999996</v>
      </c>
      <c r="D1084">
        <v>3097069.99</v>
      </c>
      <c r="E1084">
        <v>632.09500000000003</v>
      </c>
      <c r="F1084">
        <v>5.2</v>
      </c>
      <c r="G1084">
        <v>0</v>
      </c>
      <c r="H1084" t="s">
        <v>191</v>
      </c>
      <c r="I1084">
        <v>0</v>
      </c>
      <c r="J1084">
        <f t="shared" si="537"/>
        <v>1</v>
      </c>
      <c r="K1084">
        <f t="shared" si="538"/>
        <v>51</v>
      </c>
      <c r="L1084" t="e">
        <f t="shared" ca="1" si="539"/>
        <v>#VALUE!</v>
      </c>
      <c r="M1084" t="e">
        <f t="shared" ca="1" si="512"/>
        <v>#VALUE!</v>
      </c>
      <c r="N1084" t="e">
        <f t="shared" ca="1" si="513"/>
        <v>#VALUE!</v>
      </c>
      <c r="O1084" t="e">
        <f t="shared" ca="1" si="514"/>
        <v>#VALUE!</v>
      </c>
      <c r="P1084" t="e">
        <f t="shared" ca="1" si="515"/>
        <v>#VALUE!</v>
      </c>
      <c r="Q1084" t="e">
        <f t="shared" ca="1" si="516"/>
        <v>#VALUE!</v>
      </c>
      <c r="R1084" t="e">
        <f t="shared" ca="1" si="517"/>
        <v>#VALUE!</v>
      </c>
      <c r="S1084" t="e">
        <f t="shared" ca="1" si="518"/>
        <v>#VALUE!</v>
      </c>
      <c r="T1084" t="e">
        <f t="shared" ca="1" si="519"/>
        <v>#VALUE!</v>
      </c>
      <c r="U1084" t="e">
        <f t="shared" ca="1" si="540"/>
        <v>#VALUE!</v>
      </c>
      <c r="V1084" t="e">
        <f t="shared" ca="1" si="541"/>
        <v>#VALUE!</v>
      </c>
      <c r="W1084" t="e">
        <f t="shared" ca="1" si="520"/>
        <v>#VALUE!</v>
      </c>
      <c r="X1084" t="e">
        <f t="shared" ca="1" si="521"/>
        <v>#VALUE!</v>
      </c>
      <c r="Y1084" t="e">
        <f t="shared" ca="1" si="522"/>
        <v>#VALUE!</v>
      </c>
      <c r="Z1084" t="e">
        <f t="shared" ca="1" si="523"/>
        <v>#VALUE!</v>
      </c>
      <c r="AA1084" t="e">
        <f t="shared" ca="1" si="524"/>
        <v>#VALUE!</v>
      </c>
      <c r="AB1084" t="e">
        <f t="shared" ca="1" si="525"/>
        <v>#VALUE!</v>
      </c>
      <c r="AC1084" t="e">
        <f t="shared" ca="1" si="526"/>
        <v>#VALUE!</v>
      </c>
      <c r="AD1084" t="e">
        <f t="shared" ca="1" si="527"/>
        <v>#VALUE!</v>
      </c>
      <c r="AE1084" t="e">
        <f t="shared" ca="1" si="528"/>
        <v>#VALUE!</v>
      </c>
      <c r="AF1084" t="e">
        <f t="shared" ca="1" si="529"/>
        <v>#VALUE!</v>
      </c>
      <c r="AG1084" t="e">
        <f t="shared" ca="1" si="530"/>
        <v>#VALUE!</v>
      </c>
      <c r="AH1084" t="e">
        <f ca="1">IF(V32="Supercritical",L1084,IF(V32="Subcritical",W1084,IF(AND(V1084=1,AG1084=1),IF(T1084&gt;=AE1084,L1084,W1084),IF(V1084=1,L1084,IF(AG1084=1,W1084,MAX($D$16,POWER((ABS(K1084)^2)/($I$5*MAX(F1084,0.1)^2),1/3)))))))</f>
        <v>#VALUE!</v>
      </c>
      <c r="AI1084" t="e">
        <f t="shared" ca="1" si="531"/>
        <v>#VALUE!</v>
      </c>
      <c r="AJ1084" t="e">
        <f t="shared" ca="1" si="532"/>
        <v>#VALUE!</v>
      </c>
      <c r="AM1084">
        <v>0</v>
      </c>
      <c r="AN1084">
        <v>0</v>
      </c>
      <c r="AO1084">
        <f t="shared" si="533"/>
        <v>0</v>
      </c>
      <c r="AP1084">
        <f t="shared" si="542"/>
        <v>0</v>
      </c>
      <c r="AQ1084" t="e">
        <f t="shared" ca="1" si="534"/>
        <v>#VALUE!</v>
      </c>
      <c r="AR1084" t="e">
        <f t="shared" ca="1" si="535"/>
        <v>#VALUE!</v>
      </c>
      <c r="AS1084" t="e">
        <f t="shared" ca="1" si="536"/>
        <v>#VALUE!</v>
      </c>
    </row>
    <row r="1085" spans="1:45" x14ac:dyDescent="0.35">
      <c r="A1085">
        <v>936</v>
      </c>
      <c r="B1085">
        <v>934.88900000000001</v>
      </c>
      <c r="C1085">
        <v>616083.91299999994</v>
      </c>
      <c r="D1085">
        <v>3097068.9909999999</v>
      </c>
      <c r="E1085">
        <v>632.09450000000004</v>
      </c>
      <c r="F1085">
        <v>5.2</v>
      </c>
      <c r="G1085">
        <v>0</v>
      </c>
      <c r="H1085" t="s">
        <v>191</v>
      </c>
      <c r="I1085">
        <v>0</v>
      </c>
      <c r="J1085">
        <f t="shared" si="537"/>
        <v>1</v>
      </c>
      <c r="K1085">
        <f t="shared" si="538"/>
        <v>51</v>
      </c>
      <c r="L1085" t="e">
        <f t="shared" ca="1" si="539"/>
        <v>#VALUE!</v>
      </c>
      <c r="M1085" t="e">
        <f t="shared" ca="1" si="512"/>
        <v>#VALUE!</v>
      </c>
      <c r="N1085" t="e">
        <f t="shared" ca="1" si="513"/>
        <v>#VALUE!</v>
      </c>
      <c r="O1085" t="e">
        <f t="shared" ca="1" si="514"/>
        <v>#VALUE!</v>
      </c>
      <c r="P1085" t="e">
        <f t="shared" ca="1" si="515"/>
        <v>#VALUE!</v>
      </c>
      <c r="Q1085" t="e">
        <f t="shared" ca="1" si="516"/>
        <v>#VALUE!</v>
      </c>
      <c r="R1085" t="e">
        <f t="shared" ca="1" si="517"/>
        <v>#VALUE!</v>
      </c>
      <c r="S1085" t="e">
        <f t="shared" ca="1" si="518"/>
        <v>#VALUE!</v>
      </c>
      <c r="T1085" t="e">
        <f t="shared" ca="1" si="519"/>
        <v>#VALUE!</v>
      </c>
      <c r="U1085" t="e">
        <f t="shared" ca="1" si="540"/>
        <v>#VALUE!</v>
      </c>
      <c r="V1085" t="e">
        <f t="shared" ca="1" si="541"/>
        <v>#VALUE!</v>
      </c>
      <c r="W1085" t="e">
        <f t="shared" ca="1" si="520"/>
        <v>#VALUE!</v>
      </c>
      <c r="X1085" t="e">
        <f t="shared" ca="1" si="521"/>
        <v>#VALUE!</v>
      </c>
      <c r="Y1085" t="e">
        <f t="shared" ca="1" si="522"/>
        <v>#VALUE!</v>
      </c>
      <c r="Z1085" t="e">
        <f t="shared" ca="1" si="523"/>
        <v>#VALUE!</v>
      </c>
      <c r="AA1085" t="e">
        <f t="shared" ca="1" si="524"/>
        <v>#VALUE!</v>
      </c>
      <c r="AB1085" t="e">
        <f t="shared" ca="1" si="525"/>
        <v>#VALUE!</v>
      </c>
      <c r="AC1085" t="e">
        <f t="shared" ca="1" si="526"/>
        <v>#VALUE!</v>
      </c>
      <c r="AD1085" t="e">
        <f t="shared" ca="1" si="527"/>
        <v>#VALUE!</v>
      </c>
      <c r="AE1085" t="e">
        <f t="shared" ca="1" si="528"/>
        <v>#VALUE!</v>
      </c>
      <c r="AF1085" t="e">
        <f t="shared" ca="1" si="529"/>
        <v>#VALUE!</v>
      </c>
      <c r="AG1085" t="e">
        <f t="shared" ca="1" si="530"/>
        <v>#VALUE!</v>
      </c>
      <c r="AH1085" t="e">
        <f ca="1">IF(V32="Supercritical",L1085,IF(V32="Subcritical",W1085,IF(AND(V1085=1,AG1085=1),IF(T1085&gt;=AE1085,L1085,W1085),IF(V1085=1,L1085,IF(AG1085=1,W1085,MAX($D$16,POWER((ABS(K1085)^2)/($I$5*MAX(F1085,0.1)^2),1/3)))))))</f>
        <v>#VALUE!</v>
      </c>
      <c r="AI1085" t="e">
        <f t="shared" ca="1" si="531"/>
        <v>#VALUE!</v>
      </c>
      <c r="AJ1085" t="e">
        <f t="shared" ca="1" si="532"/>
        <v>#VALUE!</v>
      </c>
      <c r="AM1085">
        <v>0</v>
      </c>
      <c r="AN1085">
        <v>0</v>
      </c>
      <c r="AO1085">
        <f t="shared" si="533"/>
        <v>0</v>
      </c>
      <c r="AP1085">
        <f t="shared" si="542"/>
        <v>0</v>
      </c>
      <c r="AQ1085" t="e">
        <f t="shared" ca="1" si="534"/>
        <v>#VALUE!</v>
      </c>
      <c r="AR1085" t="e">
        <f t="shared" ca="1" si="535"/>
        <v>#VALUE!</v>
      </c>
      <c r="AS1085" t="e">
        <f t="shared" ca="1" si="536"/>
        <v>#VALUE!</v>
      </c>
    </row>
    <row r="1086" spans="1:45" x14ac:dyDescent="0.35">
      <c r="A1086">
        <v>937</v>
      </c>
      <c r="B1086">
        <v>935.88900000000001</v>
      </c>
      <c r="C1086">
        <v>616083.87100000004</v>
      </c>
      <c r="D1086">
        <v>3097067.9920000001</v>
      </c>
      <c r="E1086">
        <v>632.09400000000005</v>
      </c>
      <c r="F1086">
        <v>5.2</v>
      </c>
      <c r="G1086">
        <v>0</v>
      </c>
      <c r="H1086" t="s">
        <v>191</v>
      </c>
      <c r="I1086">
        <v>5.5E-2</v>
      </c>
      <c r="J1086">
        <f t="shared" si="537"/>
        <v>1</v>
      </c>
      <c r="K1086">
        <f t="shared" si="538"/>
        <v>51</v>
      </c>
      <c r="L1086" t="e">
        <f t="shared" ca="1" si="539"/>
        <v>#VALUE!</v>
      </c>
      <c r="M1086" t="e">
        <f t="shared" ca="1" si="512"/>
        <v>#VALUE!</v>
      </c>
      <c r="N1086" t="e">
        <f t="shared" ca="1" si="513"/>
        <v>#VALUE!</v>
      </c>
      <c r="O1086" t="e">
        <f t="shared" ca="1" si="514"/>
        <v>#VALUE!</v>
      </c>
      <c r="P1086" t="e">
        <f t="shared" ca="1" si="515"/>
        <v>#VALUE!</v>
      </c>
      <c r="Q1086" t="e">
        <f t="shared" ca="1" si="516"/>
        <v>#VALUE!</v>
      </c>
      <c r="R1086" t="e">
        <f t="shared" ca="1" si="517"/>
        <v>#VALUE!</v>
      </c>
      <c r="S1086" t="e">
        <f t="shared" ca="1" si="518"/>
        <v>#VALUE!</v>
      </c>
      <c r="T1086" t="e">
        <f t="shared" ca="1" si="519"/>
        <v>#VALUE!</v>
      </c>
      <c r="U1086" t="e">
        <f t="shared" ca="1" si="540"/>
        <v>#VALUE!</v>
      </c>
      <c r="V1086" t="e">
        <f t="shared" ca="1" si="541"/>
        <v>#VALUE!</v>
      </c>
      <c r="W1086" t="e">
        <f t="shared" ca="1" si="520"/>
        <v>#VALUE!</v>
      </c>
      <c r="X1086" t="e">
        <f t="shared" ca="1" si="521"/>
        <v>#VALUE!</v>
      </c>
      <c r="Y1086" t="e">
        <f t="shared" ca="1" si="522"/>
        <v>#VALUE!</v>
      </c>
      <c r="Z1086" t="e">
        <f t="shared" ca="1" si="523"/>
        <v>#VALUE!</v>
      </c>
      <c r="AA1086" t="e">
        <f t="shared" ca="1" si="524"/>
        <v>#VALUE!</v>
      </c>
      <c r="AB1086" t="e">
        <f t="shared" ca="1" si="525"/>
        <v>#VALUE!</v>
      </c>
      <c r="AC1086" t="e">
        <f t="shared" ca="1" si="526"/>
        <v>#VALUE!</v>
      </c>
      <c r="AD1086" t="e">
        <f t="shared" ca="1" si="527"/>
        <v>#VALUE!</v>
      </c>
      <c r="AE1086" t="e">
        <f t="shared" ca="1" si="528"/>
        <v>#VALUE!</v>
      </c>
      <c r="AF1086" t="e">
        <f t="shared" ca="1" si="529"/>
        <v>#VALUE!</v>
      </c>
      <c r="AG1086" t="e">
        <f t="shared" ca="1" si="530"/>
        <v>#VALUE!</v>
      </c>
      <c r="AH1086" t="e">
        <f ca="1">IF(V32="Supercritical",L1086,IF(V32="Subcritical",W1086,IF(AND(V1086=1,AG1086=1),IF(T1086&gt;=AE1086,L1086,W1086),IF(V1086=1,L1086,IF(AG1086=1,W1086,MAX($D$16,POWER((ABS(K1086)^2)/($I$5*MAX(F1086,0.1)^2),1/3)))))))</f>
        <v>#VALUE!</v>
      </c>
      <c r="AI1086" t="e">
        <f t="shared" ca="1" si="531"/>
        <v>#VALUE!</v>
      </c>
      <c r="AJ1086" t="e">
        <f t="shared" ca="1" si="532"/>
        <v>#VALUE!</v>
      </c>
      <c r="AM1086">
        <v>0</v>
      </c>
      <c r="AN1086">
        <v>0</v>
      </c>
      <c r="AO1086">
        <f t="shared" si="533"/>
        <v>0</v>
      </c>
      <c r="AP1086">
        <f t="shared" si="542"/>
        <v>0</v>
      </c>
      <c r="AQ1086" t="e">
        <f t="shared" ca="1" si="534"/>
        <v>#VALUE!</v>
      </c>
      <c r="AR1086" t="e">
        <f t="shared" ca="1" si="535"/>
        <v>#VALUE!</v>
      </c>
      <c r="AS1086" t="e">
        <f t="shared" ca="1" si="536"/>
        <v>#VALUE!</v>
      </c>
    </row>
    <row r="1087" spans="1:45" x14ac:dyDescent="0.35">
      <c r="A1087">
        <v>938</v>
      </c>
      <c r="B1087">
        <v>936.89</v>
      </c>
      <c r="C1087">
        <v>616083.82799999998</v>
      </c>
      <c r="D1087">
        <v>3097066.9920000001</v>
      </c>
      <c r="E1087">
        <v>632.09349999999995</v>
      </c>
      <c r="F1087">
        <v>5.2</v>
      </c>
      <c r="G1087">
        <v>0</v>
      </c>
      <c r="H1087" t="s">
        <v>191</v>
      </c>
      <c r="I1087">
        <v>5.5E-2</v>
      </c>
      <c r="J1087">
        <f t="shared" si="537"/>
        <v>1.0009999999999764</v>
      </c>
      <c r="K1087">
        <f t="shared" si="538"/>
        <v>51</v>
      </c>
      <c r="L1087" t="e">
        <f t="shared" ca="1" si="539"/>
        <v>#VALUE!</v>
      </c>
      <c r="M1087" t="e">
        <f t="shared" ca="1" si="512"/>
        <v>#VALUE!</v>
      </c>
      <c r="N1087" t="e">
        <f t="shared" ca="1" si="513"/>
        <v>#VALUE!</v>
      </c>
      <c r="O1087" t="e">
        <f t="shared" ca="1" si="514"/>
        <v>#VALUE!</v>
      </c>
      <c r="P1087" t="e">
        <f t="shared" ca="1" si="515"/>
        <v>#VALUE!</v>
      </c>
      <c r="Q1087" t="e">
        <f t="shared" ca="1" si="516"/>
        <v>#VALUE!</v>
      </c>
      <c r="R1087" t="e">
        <f t="shared" ca="1" si="517"/>
        <v>#VALUE!</v>
      </c>
      <c r="S1087" t="e">
        <f t="shared" ca="1" si="518"/>
        <v>#VALUE!</v>
      </c>
      <c r="T1087" t="e">
        <f t="shared" ca="1" si="519"/>
        <v>#VALUE!</v>
      </c>
      <c r="U1087" t="e">
        <f t="shared" ca="1" si="540"/>
        <v>#VALUE!</v>
      </c>
      <c r="V1087" t="e">
        <f t="shared" ca="1" si="541"/>
        <v>#VALUE!</v>
      </c>
      <c r="W1087" t="e">
        <f t="shared" ca="1" si="520"/>
        <v>#VALUE!</v>
      </c>
      <c r="X1087" t="e">
        <f t="shared" ca="1" si="521"/>
        <v>#VALUE!</v>
      </c>
      <c r="Y1087" t="e">
        <f t="shared" ca="1" si="522"/>
        <v>#VALUE!</v>
      </c>
      <c r="Z1087" t="e">
        <f t="shared" ca="1" si="523"/>
        <v>#VALUE!</v>
      </c>
      <c r="AA1087" t="e">
        <f t="shared" ca="1" si="524"/>
        <v>#VALUE!</v>
      </c>
      <c r="AB1087" t="e">
        <f t="shared" ca="1" si="525"/>
        <v>#VALUE!</v>
      </c>
      <c r="AC1087" t="e">
        <f t="shared" ca="1" si="526"/>
        <v>#VALUE!</v>
      </c>
      <c r="AD1087" t="e">
        <f t="shared" ca="1" si="527"/>
        <v>#VALUE!</v>
      </c>
      <c r="AE1087" t="e">
        <f t="shared" ca="1" si="528"/>
        <v>#VALUE!</v>
      </c>
      <c r="AF1087" t="e">
        <f t="shared" ca="1" si="529"/>
        <v>#VALUE!</v>
      </c>
      <c r="AG1087" t="e">
        <f t="shared" ca="1" si="530"/>
        <v>#VALUE!</v>
      </c>
      <c r="AH1087" t="e">
        <f ca="1">IF(V32="Supercritical",L1087,IF(V32="Subcritical",W1087,IF(AND(V1087=1,AG1087=1),IF(T1087&gt;=AE1087,L1087,W1087),IF(V1087=1,L1087,IF(AG1087=1,W1087,MAX($D$16,POWER((ABS(K1087)^2)/($I$5*MAX(F1087,0.1)^2),1/3)))))))</f>
        <v>#VALUE!</v>
      </c>
      <c r="AI1087" t="e">
        <f t="shared" ca="1" si="531"/>
        <v>#VALUE!</v>
      </c>
      <c r="AJ1087" t="e">
        <f t="shared" ca="1" si="532"/>
        <v>#VALUE!</v>
      </c>
      <c r="AM1087">
        <v>0</v>
      </c>
      <c r="AN1087">
        <v>0</v>
      </c>
      <c r="AO1087">
        <f t="shared" si="533"/>
        <v>0</v>
      </c>
      <c r="AP1087">
        <f t="shared" si="542"/>
        <v>0</v>
      </c>
      <c r="AQ1087" t="e">
        <f t="shared" ca="1" si="534"/>
        <v>#VALUE!</v>
      </c>
      <c r="AR1087" t="e">
        <f t="shared" ca="1" si="535"/>
        <v>#VALUE!</v>
      </c>
      <c r="AS1087" t="e">
        <f t="shared" ca="1" si="536"/>
        <v>#VALUE!</v>
      </c>
    </row>
    <row r="1088" spans="1:45" x14ac:dyDescent="0.35">
      <c r="A1088">
        <v>939</v>
      </c>
      <c r="B1088">
        <v>937.89</v>
      </c>
      <c r="C1088">
        <v>616083.78599999996</v>
      </c>
      <c r="D1088">
        <v>3097065.9929999998</v>
      </c>
      <c r="E1088">
        <v>632.09299999999996</v>
      </c>
      <c r="F1088">
        <v>5.2</v>
      </c>
      <c r="G1088">
        <v>0</v>
      </c>
      <c r="H1088" t="s">
        <v>191</v>
      </c>
      <c r="I1088">
        <v>0</v>
      </c>
      <c r="J1088">
        <f t="shared" si="537"/>
        <v>1</v>
      </c>
      <c r="K1088">
        <f t="shared" si="538"/>
        <v>51</v>
      </c>
      <c r="L1088" t="e">
        <f t="shared" ca="1" si="539"/>
        <v>#VALUE!</v>
      </c>
      <c r="M1088" t="e">
        <f t="shared" ca="1" si="512"/>
        <v>#VALUE!</v>
      </c>
      <c r="N1088" t="e">
        <f t="shared" ca="1" si="513"/>
        <v>#VALUE!</v>
      </c>
      <c r="O1088" t="e">
        <f t="shared" ca="1" si="514"/>
        <v>#VALUE!</v>
      </c>
      <c r="P1088" t="e">
        <f t="shared" ca="1" si="515"/>
        <v>#VALUE!</v>
      </c>
      <c r="Q1088" t="e">
        <f t="shared" ca="1" si="516"/>
        <v>#VALUE!</v>
      </c>
      <c r="R1088" t="e">
        <f t="shared" ca="1" si="517"/>
        <v>#VALUE!</v>
      </c>
      <c r="S1088" t="e">
        <f t="shared" ca="1" si="518"/>
        <v>#VALUE!</v>
      </c>
      <c r="T1088" t="e">
        <f t="shared" ca="1" si="519"/>
        <v>#VALUE!</v>
      </c>
      <c r="U1088" t="e">
        <f t="shared" ca="1" si="540"/>
        <v>#VALUE!</v>
      </c>
      <c r="V1088" t="e">
        <f t="shared" ca="1" si="541"/>
        <v>#VALUE!</v>
      </c>
      <c r="W1088" t="e">
        <f t="shared" ca="1" si="520"/>
        <v>#VALUE!</v>
      </c>
      <c r="X1088" t="e">
        <f t="shared" ca="1" si="521"/>
        <v>#VALUE!</v>
      </c>
      <c r="Y1088" t="e">
        <f t="shared" ca="1" si="522"/>
        <v>#VALUE!</v>
      </c>
      <c r="Z1088" t="e">
        <f t="shared" ca="1" si="523"/>
        <v>#VALUE!</v>
      </c>
      <c r="AA1088" t="e">
        <f t="shared" ca="1" si="524"/>
        <v>#VALUE!</v>
      </c>
      <c r="AB1088" t="e">
        <f t="shared" ca="1" si="525"/>
        <v>#VALUE!</v>
      </c>
      <c r="AC1088" t="e">
        <f t="shared" ca="1" si="526"/>
        <v>#VALUE!</v>
      </c>
      <c r="AD1088" t="e">
        <f t="shared" ca="1" si="527"/>
        <v>#VALUE!</v>
      </c>
      <c r="AE1088" t="e">
        <f t="shared" ca="1" si="528"/>
        <v>#VALUE!</v>
      </c>
      <c r="AF1088" t="e">
        <f t="shared" ca="1" si="529"/>
        <v>#VALUE!</v>
      </c>
      <c r="AG1088" t="e">
        <f t="shared" ca="1" si="530"/>
        <v>#VALUE!</v>
      </c>
      <c r="AH1088" t="e">
        <f ca="1">IF(V32="Supercritical",L1088,IF(V32="Subcritical",W1088,IF(AND(V1088=1,AG1088=1),IF(T1088&gt;=AE1088,L1088,W1088),IF(V1088=1,L1088,IF(AG1088=1,W1088,MAX($D$16,POWER((ABS(K1088)^2)/($I$5*MAX(F1088,0.1)^2),1/3)))))))</f>
        <v>#VALUE!</v>
      </c>
      <c r="AI1088" t="e">
        <f t="shared" ca="1" si="531"/>
        <v>#VALUE!</v>
      </c>
      <c r="AJ1088" t="e">
        <f t="shared" ca="1" si="532"/>
        <v>#VALUE!</v>
      </c>
      <c r="AM1088">
        <v>0</v>
      </c>
      <c r="AN1088">
        <v>0</v>
      </c>
      <c r="AO1088">
        <f t="shared" si="533"/>
        <v>0</v>
      </c>
      <c r="AP1088">
        <f t="shared" si="542"/>
        <v>0</v>
      </c>
      <c r="AQ1088" t="e">
        <f t="shared" ca="1" si="534"/>
        <v>#VALUE!</v>
      </c>
      <c r="AR1088" t="e">
        <f t="shared" ca="1" si="535"/>
        <v>#VALUE!</v>
      </c>
      <c r="AS1088" t="e">
        <f t="shared" ca="1" si="536"/>
        <v>#VALUE!</v>
      </c>
    </row>
    <row r="1089" spans="1:45" x14ac:dyDescent="0.35">
      <c r="A1089">
        <v>940</v>
      </c>
      <c r="B1089">
        <v>938.89</v>
      </c>
      <c r="C1089">
        <v>616083.74399999995</v>
      </c>
      <c r="D1089">
        <v>3097064.9939999999</v>
      </c>
      <c r="E1089">
        <v>632.09249999999997</v>
      </c>
      <c r="F1089">
        <v>5.2</v>
      </c>
      <c r="G1089">
        <v>0</v>
      </c>
      <c r="H1089" t="s">
        <v>191</v>
      </c>
      <c r="I1089">
        <v>0</v>
      </c>
      <c r="J1089">
        <f t="shared" si="537"/>
        <v>1</v>
      </c>
      <c r="K1089">
        <f t="shared" si="538"/>
        <v>51</v>
      </c>
      <c r="L1089" t="e">
        <f t="shared" ca="1" si="539"/>
        <v>#VALUE!</v>
      </c>
      <c r="M1089" t="e">
        <f t="shared" ca="1" si="512"/>
        <v>#VALUE!</v>
      </c>
      <c r="N1089" t="e">
        <f t="shared" ca="1" si="513"/>
        <v>#VALUE!</v>
      </c>
      <c r="O1089" t="e">
        <f t="shared" ca="1" si="514"/>
        <v>#VALUE!</v>
      </c>
      <c r="P1089" t="e">
        <f t="shared" ca="1" si="515"/>
        <v>#VALUE!</v>
      </c>
      <c r="Q1089" t="e">
        <f t="shared" ca="1" si="516"/>
        <v>#VALUE!</v>
      </c>
      <c r="R1089" t="e">
        <f t="shared" ca="1" si="517"/>
        <v>#VALUE!</v>
      </c>
      <c r="S1089" t="e">
        <f t="shared" ca="1" si="518"/>
        <v>#VALUE!</v>
      </c>
      <c r="T1089" t="e">
        <f t="shared" ca="1" si="519"/>
        <v>#VALUE!</v>
      </c>
      <c r="U1089" t="e">
        <f t="shared" ca="1" si="540"/>
        <v>#VALUE!</v>
      </c>
      <c r="V1089" t="e">
        <f t="shared" ca="1" si="541"/>
        <v>#VALUE!</v>
      </c>
      <c r="W1089" t="e">
        <f t="shared" ca="1" si="520"/>
        <v>#VALUE!</v>
      </c>
      <c r="X1089" t="e">
        <f t="shared" ca="1" si="521"/>
        <v>#VALUE!</v>
      </c>
      <c r="Y1089" t="e">
        <f t="shared" ca="1" si="522"/>
        <v>#VALUE!</v>
      </c>
      <c r="Z1089" t="e">
        <f t="shared" ca="1" si="523"/>
        <v>#VALUE!</v>
      </c>
      <c r="AA1089" t="e">
        <f t="shared" ca="1" si="524"/>
        <v>#VALUE!</v>
      </c>
      <c r="AB1089" t="e">
        <f t="shared" ca="1" si="525"/>
        <v>#VALUE!</v>
      </c>
      <c r="AC1089" t="e">
        <f t="shared" ca="1" si="526"/>
        <v>#VALUE!</v>
      </c>
      <c r="AD1089" t="e">
        <f t="shared" ca="1" si="527"/>
        <v>#VALUE!</v>
      </c>
      <c r="AE1089" t="e">
        <f t="shared" ca="1" si="528"/>
        <v>#VALUE!</v>
      </c>
      <c r="AF1089" t="e">
        <f t="shared" ca="1" si="529"/>
        <v>#VALUE!</v>
      </c>
      <c r="AG1089" t="e">
        <f t="shared" ca="1" si="530"/>
        <v>#VALUE!</v>
      </c>
      <c r="AH1089" t="e">
        <f ca="1">IF(V32="Supercritical",L1089,IF(V32="Subcritical",W1089,IF(AND(V1089=1,AG1089=1),IF(T1089&gt;=AE1089,L1089,W1089),IF(V1089=1,L1089,IF(AG1089=1,W1089,MAX($D$16,POWER((ABS(K1089)^2)/($I$5*MAX(F1089,0.1)^2),1/3)))))))</f>
        <v>#VALUE!</v>
      </c>
      <c r="AI1089" t="e">
        <f t="shared" ca="1" si="531"/>
        <v>#VALUE!</v>
      </c>
      <c r="AJ1089" t="e">
        <f t="shared" ca="1" si="532"/>
        <v>#VALUE!</v>
      </c>
      <c r="AM1089">
        <v>0</v>
      </c>
      <c r="AN1089">
        <v>0</v>
      </c>
      <c r="AO1089">
        <f t="shared" si="533"/>
        <v>0</v>
      </c>
      <c r="AP1089">
        <f t="shared" si="542"/>
        <v>0</v>
      </c>
      <c r="AQ1089" t="e">
        <f t="shared" ca="1" si="534"/>
        <v>#VALUE!</v>
      </c>
      <c r="AR1089" t="e">
        <f t="shared" ca="1" si="535"/>
        <v>#VALUE!</v>
      </c>
      <c r="AS1089" t="e">
        <f t="shared" ca="1" si="536"/>
        <v>#VALUE!</v>
      </c>
    </row>
    <row r="1090" spans="1:45" x14ac:dyDescent="0.35">
      <c r="A1090">
        <v>941</v>
      </c>
      <c r="B1090">
        <v>939.88900000000001</v>
      </c>
      <c r="C1090">
        <v>616083.70200000005</v>
      </c>
      <c r="D1090">
        <v>3097063.9950000001</v>
      </c>
      <c r="E1090">
        <v>632.09199999999998</v>
      </c>
      <c r="F1090">
        <v>5.2</v>
      </c>
      <c r="G1090">
        <v>0</v>
      </c>
      <c r="H1090" t="s">
        <v>191</v>
      </c>
      <c r="I1090">
        <v>5.7000000000000002E-2</v>
      </c>
      <c r="J1090">
        <f t="shared" si="537"/>
        <v>0.99900000000002365</v>
      </c>
      <c r="K1090">
        <f t="shared" si="538"/>
        <v>51</v>
      </c>
      <c r="L1090" t="e">
        <f t="shared" ca="1" si="539"/>
        <v>#VALUE!</v>
      </c>
      <c r="M1090" t="e">
        <f t="shared" ca="1" si="512"/>
        <v>#VALUE!</v>
      </c>
      <c r="N1090" t="e">
        <f t="shared" ca="1" si="513"/>
        <v>#VALUE!</v>
      </c>
      <c r="O1090" t="e">
        <f t="shared" ca="1" si="514"/>
        <v>#VALUE!</v>
      </c>
      <c r="P1090" t="e">
        <f t="shared" ca="1" si="515"/>
        <v>#VALUE!</v>
      </c>
      <c r="Q1090" t="e">
        <f t="shared" ca="1" si="516"/>
        <v>#VALUE!</v>
      </c>
      <c r="R1090" t="e">
        <f t="shared" ca="1" si="517"/>
        <v>#VALUE!</v>
      </c>
      <c r="S1090" t="e">
        <f t="shared" ca="1" si="518"/>
        <v>#VALUE!</v>
      </c>
      <c r="T1090" t="e">
        <f t="shared" ca="1" si="519"/>
        <v>#VALUE!</v>
      </c>
      <c r="U1090" t="e">
        <f t="shared" ca="1" si="540"/>
        <v>#VALUE!</v>
      </c>
      <c r="V1090" t="e">
        <f t="shared" ca="1" si="541"/>
        <v>#VALUE!</v>
      </c>
      <c r="W1090" t="e">
        <f t="shared" ca="1" si="520"/>
        <v>#VALUE!</v>
      </c>
      <c r="X1090" t="e">
        <f t="shared" ca="1" si="521"/>
        <v>#VALUE!</v>
      </c>
      <c r="Y1090" t="e">
        <f t="shared" ca="1" si="522"/>
        <v>#VALUE!</v>
      </c>
      <c r="Z1090" t="e">
        <f t="shared" ca="1" si="523"/>
        <v>#VALUE!</v>
      </c>
      <c r="AA1090" t="e">
        <f t="shared" ca="1" si="524"/>
        <v>#VALUE!</v>
      </c>
      <c r="AB1090" t="e">
        <f t="shared" ca="1" si="525"/>
        <v>#VALUE!</v>
      </c>
      <c r="AC1090" t="e">
        <f t="shared" ca="1" si="526"/>
        <v>#VALUE!</v>
      </c>
      <c r="AD1090" t="e">
        <f t="shared" ca="1" si="527"/>
        <v>#VALUE!</v>
      </c>
      <c r="AE1090" t="e">
        <f t="shared" ca="1" si="528"/>
        <v>#VALUE!</v>
      </c>
      <c r="AF1090" t="e">
        <f t="shared" ca="1" si="529"/>
        <v>#VALUE!</v>
      </c>
      <c r="AG1090" t="e">
        <f t="shared" ca="1" si="530"/>
        <v>#VALUE!</v>
      </c>
      <c r="AH1090" t="e">
        <f ca="1">IF(V32="Supercritical",L1090,IF(V32="Subcritical",W1090,IF(AND(V1090=1,AG1090=1),IF(T1090&gt;=AE1090,L1090,W1090),IF(V1090=1,L1090,IF(AG1090=1,W1090,MAX($D$16,POWER((ABS(K1090)^2)/($I$5*MAX(F1090,0.1)^2),1/3)))))))</f>
        <v>#VALUE!</v>
      </c>
      <c r="AI1090" t="e">
        <f t="shared" ca="1" si="531"/>
        <v>#VALUE!</v>
      </c>
      <c r="AJ1090" t="e">
        <f t="shared" ca="1" si="532"/>
        <v>#VALUE!</v>
      </c>
      <c r="AM1090">
        <v>0</v>
      </c>
      <c r="AN1090">
        <v>0</v>
      </c>
      <c r="AO1090">
        <f t="shared" si="533"/>
        <v>0</v>
      </c>
      <c r="AP1090">
        <f t="shared" si="542"/>
        <v>0</v>
      </c>
      <c r="AQ1090" t="e">
        <f t="shared" ca="1" si="534"/>
        <v>#VALUE!</v>
      </c>
      <c r="AR1090" t="e">
        <f t="shared" ca="1" si="535"/>
        <v>#VALUE!</v>
      </c>
      <c r="AS1090" t="e">
        <f t="shared" ca="1" si="536"/>
        <v>#VALUE!</v>
      </c>
    </row>
    <row r="1091" spans="1:45" x14ac:dyDescent="0.35">
      <c r="A1091">
        <v>942</v>
      </c>
      <c r="B1091">
        <v>940.88900000000001</v>
      </c>
      <c r="C1091">
        <v>616083.65899999999</v>
      </c>
      <c r="D1091">
        <v>3097062.9959999998</v>
      </c>
      <c r="E1091">
        <v>632.0915</v>
      </c>
      <c r="F1091">
        <v>5.2</v>
      </c>
      <c r="G1091">
        <v>0</v>
      </c>
      <c r="H1091" t="s">
        <v>191</v>
      </c>
      <c r="I1091">
        <v>5.7000000000000002E-2</v>
      </c>
      <c r="J1091">
        <f t="shared" si="537"/>
        <v>1</v>
      </c>
      <c r="K1091">
        <f t="shared" si="538"/>
        <v>51</v>
      </c>
      <c r="L1091" t="e">
        <f t="shared" ca="1" si="539"/>
        <v>#VALUE!</v>
      </c>
      <c r="M1091" t="e">
        <f t="shared" ca="1" si="512"/>
        <v>#VALUE!</v>
      </c>
      <c r="N1091" t="e">
        <f t="shared" ca="1" si="513"/>
        <v>#VALUE!</v>
      </c>
      <c r="O1091" t="e">
        <f t="shared" ca="1" si="514"/>
        <v>#VALUE!</v>
      </c>
      <c r="P1091" t="e">
        <f t="shared" ca="1" si="515"/>
        <v>#VALUE!</v>
      </c>
      <c r="Q1091" t="e">
        <f t="shared" ca="1" si="516"/>
        <v>#VALUE!</v>
      </c>
      <c r="R1091" t="e">
        <f t="shared" ca="1" si="517"/>
        <v>#VALUE!</v>
      </c>
      <c r="S1091" t="e">
        <f t="shared" ca="1" si="518"/>
        <v>#VALUE!</v>
      </c>
      <c r="T1091" t="e">
        <f t="shared" ca="1" si="519"/>
        <v>#VALUE!</v>
      </c>
      <c r="U1091" t="e">
        <f t="shared" ca="1" si="540"/>
        <v>#VALUE!</v>
      </c>
      <c r="V1091" t="e">
        <f t="shared" ca="1" si="541"/>
        <v>#VALUE!</v>
      </c>
      <c r="W1091" t="e">
        <f t="shared" ca="1" si="520"/>
        <v>#VALUE!</v>
      </c>
      <c r="X1091" t="e">
        <f t="shared" ca="1" si="521"/>
        <v>#VALUE!</v>
      </c>
      <c r="Y1091" t="e">
        <f t="shared" ca="1" si="522"/>
        <v>#VALUE!</v>
      </c>
      <c r="Z1091" t="e">
        <f t="shared" ca="1" si="523"/>
        <v>#VALUE!</v>
      </c>
      <c r="AA1091" t="e">
        <f t="shared" ca="1" si="524"/>
        <v>#VALUE!</v>
      </c>
      <c r="AB1091" t="e">
        <f t="shared" ca="1" si="525"/>
        <v>#VALUE!</v>
      </c>
      <c r="AC1091" t="e">
        <f t="shared" ca="1" si="526"/>
        <v>#VALUE!</v>
      </c>
      <c r="AD1091" t="e">
        <f t="shared" ca="1" si="527"/>
        <v>#VALUE!</v>
      </c>
      <c r="AE1091" t="e">
        <f t="shared" ca="1" si="528"/>
        <v>#VALUE!</v>
      </c>
      <c r="AF1091" t="e">
        <f t="shared" ca="1" si="529"/>
        <v>#VALUE!</v>
      </c>
      <c r="AG1091" t="e">
        <f t="shared" ca="1" si="530"/>
        <v>#VALUE!</v>
      </c>
      <c r="AH1091" t="e">
        <f ca="1">IF(V32="Supercritical",L1091,IF(V32="Subcritical",W1091,IF(AND(V1091=1,AG1091=1),IF(T1091&gt;=AE1091,L1091,W1091),IF(V1091=1,L1091,IF(AG1091=1,W1091,MAX($D$16,POWER((ABS(K1091)^2)/($I$5*MAX(F1091,0.1)^2),1/3)))))))</f>
        <v>#VALUE!</v>
      </c>
      <c r="AI1091" t="e">
        <f t="shared" ca="1" si="531"/>
        <v>#VALUE!</v>
      </c>
      <c r="AJ1091" t="e">
        <f t="shared" ca="1" si="532"/>
        <v>#VALUE!</v>
      </c>
      <c r="AM1091">
        <v>0</v>
      </c>
      <c r="AN1091">
        <v>0</v>
      </c>
      <c r="AO1091">
        <f t="shared" si="533"/>
        <v>0</v>
      </c>
      <c r="AP1091">
        <f t="shared" si="542"/>
        <v>0</v>
      </c>
      <c r="AQ1091" t="e">
        <f t="shared" ca="1" si="534"/>
        <v>#VALUE!</v>
      </c>
      <c r="AR1091" t="e">
        <f t="shared" ca="1" si="535"/>
        <v>#VALUE!</v>
      </c>
      <c r="AS1091" t="e">
        <f t="shared" ca="1" si="536"/>
        <v>#VALUE!</v>
      </c>
    </row>
    <row r="1092" spans="1:45" x14ac:dyDescent="0.35">
      <c r="A1092">
        <v>943</v>
      </c>
      <c r="B1092">
        <v>941.88900000000001</v>
      </c>
      <c r="C1092">
        <v>616083.61699999997</v>
      </c>
      <c r="D1092">
        <v>3097061.997</v>
      </c>
      <c r="E1092">
        <v>632.09100000000001</v>
      </c>
      <c r="F1092">
        <v>5.2</v>
      </c>
      <c r="G1092">
        <v>0</v>
      </c>
      <c r="H1092" t="s">
        <v>191</v>
      </c>
      <c r="I1092">
        <v>0</v>
      </c>
      <c r="J1092">
        <f t="shared" si="537"/>
        <v>1</v>
      </c>
      <c r="K1092">
        <f t="shared" si="538"/>
        <v>51</v>
      </c>
      <c r="L1092" t="e">
        <f t="shared" ca="1" si="539"/>
        <v>#VALUE!</v>
      </c>
      <c r="M1092" t="e">
        <f t="shared" ca="1" si="512"/>
        <v>#VALUE!</v>
      </c>
      <c r="N1092" t="e">
        <f t="shared" ca="1" si="513"/>
        <v>#VALUE!</v>
      </c>
      <c r="O1092" t="e">
        <f t="shared" ca="1" si="514"/>
        <v>#VALUE!</v>
      </c>
      <c r="P1092" t="e">
        <f t="shared" ca="1" si="515"/>
        <v>#VALUE!</v>
      </c>
      <c r="Q1092" t="e">
        <f t="shared" ca="1" si="516"/>
        <v>#VALUE!</v>
      </c>
      <c r="R1092" t="e">
        <f t="shared" ca="1" si="517"/>
        <v>#VALUE!</v>
      </c>
      <c r="S1092" t="e">
        <f t="shared" ca="1" si="518"/>
        <v>#VALUE!</v>
      </c>
      <c r="T1092" t="e">
        <f t="shared" ca="1" si="519"/>
        <v>#VALUE!</v>
      </c>
      <c r="U1092" t="e">
        <f t="shared" ca="1" si="540"/>
        <v>#VALUE!</v>
      </c>
      <c r="V1092" t="e">
        <f t="shared" ca="1" si="541"/>
        <v>#VALUE!</v>
      </c>
      <c r="W1092" t="e">
        <f t="shared" ca="1" si="520"/>
        <v>#VALUE!</v>
      </c>
      <c r="X1092" t="e">
        <f t="shared" ca="1" si="521"/>
        <v>#VALUE!</v>
      </c>
      <c r="Y1092" t="e">
        <f t="shared" ca="1" si="522"/>
        <v>#VALUE!</v>
      </c>
      <c r="Z1092" t="e">
        <f t="shared" ca="1" si="523"/>
        <v>#VALUE!</v>
      </c>
      <c r="AA1092" t="e">
        <f t="shared" ca="1" si="524"/>
        <v>#VALUE!</v>
      </c>
      <c r="AB1092" t="e">
        <f t="shared" ca="1" si="525"/>
        <v>#VALUE!</v>
      </c>
      <c r="AC1092" t="e">
        <f t="shared" ca="1" si="526"/>
        <v>#VALUE!</v>
      </c>
      <c r="AD1092" t="e">
        <f t="shared" ca="1" si="527"/>
        <v>#VALUE!</v>
      </c>
      <c r="AE1092" t="e">
        <f t="shared" ca="1" si="528"/>
        <v>#VALUE!</v>
      </c>
      <c r="AF1092" t="e">
        <f t="shared" ca="1" si="529"/>
        <v>#VALUE!</v>
      </c>
      <c r="AG1092" t="e">
        <f t="shared" ca="1" si="530"/>
        <v>#VALUE!</v>
      </c>
      <c r="AH1092" t="e">
        <f ca="1">IF(V32="Supercritical",L1092,IF(V32="Subcritical",W1092,IF(AND(V1092=1,AG1092=1),IF(T1092&gt;=AE1092,L1092,W1092),IF(V1092=1,L1092,IF(AG1092=1,W1092,MAX($D$16,POWER((ABS(K1092)^2)/($I$5*MAX(F1092,0.1)^2),1/3)))))))</f>
        <v>#VALUE!</v>
      </c>
      <c r="AI1092" t="e">
        <f t="shared" ca="1" si="531"/>
        <v>#VALUE!</v>
      </c>
      <c r="AJ1092" t="e">
        <f t="shared" ca="1" si="532"/>
        <v>#VALUE!</v>
      </c>
      <c r="AM1092">
        <v>0</v>
      </c>
      <c r="AN1092">
        <v>0</v>
      </c>
      <c r="AO1092">
        <f t="shared" si="533"/>
        <v>0</v>
      </c>
      <c r="AP1092">
        <f t="shared" si="542"/>
        <v>0</v>
      </c>
      <c r="AQ1092" t="e">
        <f t="shared" ca="1" si="534"/>
        <v>#VALUE!</v>
      </c>
      <c r="AR1092" t="e">
        <f t="shared" ca="1" si="535"/>
        <v>#VALUE!</v>
      </c>
      <c r="AS1092" t="e">
        <f t="shared" ca="1" si="536"/>
        <v>#VALUE!</v>
      </c>
    </row>
    <row r="1093" spans="1:45" x14ac:dyDescent="0.35">
      <c r="A1093">
        <v>944</v>
      </c>
      <c r="B1093">
        <v>942.88900000000001</v>
      </c>
      <c r="C1093">
        <v>616083.57499999995</v>
      </c>
      <c r="D1093">
        <v>3097060.9980000001</v>
      </c>
      <c r="E1093">
        <v>632.09050000000002</v>
      </c>
      <c r="F1093">
        <v>5.2</v>
      </c>
      <c r="G1093">
        <v>0</v>
      </c>
      <c r="H1093" t="s">
        <v>191</v>
      </c>
      <c r="I1093">
        <v>0</v>
      </c>
      <c r="J1093">
        <f t="shared" si="537"/>
        <v>1</v>
      </c>
      <c r="K1093">
        <f t="shared" si="538"/>
        <v>51</v>
      </c>
      <c r="L1093" t="e">
        <f t="shared" ca="1" si="539"/>
        <v>#VALUE!</v>
      </c>
      <c r="M1093" t="e">
        <f t="shared" ca="1" si="512"/>
        <v>#VALUE!</v>
      </c>
      <c r="N1093" t="e">
        <f t="shared" ca="1" si="513"/>
        <v>#VALUE!</v>
      </c>
      <c r="O1093" t="e">
        <f t="shared" ca="1" si="514"/>
        <v>#VALUE!</v>
      </c>
      <c r="P1093" t="e">
        <f t="shared" ca="1" si="515"/>
        <v>#VALUE!</v>
      </c>
      <c r="Q1093" t="e">
        <f t="shared" ca="1" si="516"/>
        <v>#VALUE!</v>
      </c>
      <c r="R1093" t="e">
        <f t="shared" ca="1" si="517"/>
        <v>#VALUE!</v>
      </c>
      <c r="S1093" t="e">
        <f t="shared" ca="1" si="518"/>
        <v>#VALUE!</v>
      </c>
      <c r="T1093" t="e">
        <f t="shared" ca="1" si="519"/>
        <v>#VALUE!</v>
      </c>
      <c r="U1093" t="e">
        <f t="shared" ca="1" si="540"/>
        <v>#VALUE!</v>
      </c>
      <c r="V1093" t="e">
        <f t="shared" ca="1" si="541"/>
        <v>#VALUE!</v>
      </c>
      <c r="W1093" t="e">
        <f t="shared" ca="1" si="520"/>
        <v>#VALUE!</v>
      </c>
      <c r="X1093" t="e">
        <f t="shared" ca="1" si="521"/>
        <v>#VALUE!</v>
      </c>
      <c r="Y1093" t="e">
        <f t="shared" ca="1" si="522"/>
        <v>#VALUE!</v>
      </c>
      <c r="Z1093" t="e">
        <f t="shared" ca="1" si="523"/>
        <v>#VALUE!</v>
      </c>
      <c r="AA1093" t="e">
        <f t="shared" ca="1" si="524"/>
        <v>#VALUE!</v>
      </c>
      <c r="AB1093" t="e">
        <f t="shared" ca="1" si="525"/>
        <v>#VALUE!</v>
      </c>
      <c r="AC1093" t="e">
        <f t="shared" ca="1" si="526"/>
        <v>#VALUE!</v>
      </c>
      <c r="AD1093" t="e">
        <f t="shared" ca="1" si="527"/>
        <v>#VALUE!</v>
      </c>
      <c r="AE1093" t="e">
        <f t="shared" ca="1" si="528"/>
        <v>#VALUE!</v>
      </c>
      <c r="AF1093" t="e">
        <f t="shared" ca="1" si="529"/>
        <v>#VALUE!</v>
      </c>
      <c r="AG1093" t="e">
        <f t="shared" ca="1" si="530"/>
        <v>#VALUE!</v>
      </c>
      <c r="AH1093" t="e">
        <f ca="1">IF(V32="Supercritical",L1093,IF(V32="Subcritical",W1093,IF(AND(V1093=1,AG1093=1),IF(T1093&gt;=AE1093,L1093,W1093),IF(V1093=1,L1093,IF(AG1093=1,W1093,MAX($D$16,POWER((ABS(K1093)^2)/($I$5*MAX(F1093,0.1)^2),1/3)))))))</f>
        <v>#VALUE!</v>
      </c>
      <c r="AI1093" t="e">
        <f t="shared" ca="1" si="531"/>
        <v>#VALUE!</v>
      </c>
      <c r="AJ1093" t="e">
        <f t="shared" ca="1" si="532"/>
        <v>#VALUE!</v>
      </c>
      <c r="AM1093">
        <v>0</v>
      </c>
      <c r="AN1093">
        <v>0</v>
      </c>
      <c r="AO1093">
        <f t="shared" si="533"/>
        <v>0</v>
      </c>
      <c r="AP1093">
        <f t="shared" si="542"/>
        <v>0</v>
      </c>
      <c r="AQ1093" t="e">
        <f t="shared" ca="1" si="534"/>
        <v>#VALUE!</v>
      </c>
      <c r="AR1093" t="e">
        <f t="shared" ca="1" si="535"/>
        <v>#VALUE!</v>
      </c>
      <c r="AS1093" t="e">
        <f t="shared" ca="1" si="536"/>
        <v>#VALUE!</v>
      </c>
    </row>
    <row r="1094" spans="1:45" x14ac:dyDescent="0.35">
      <c r="A1094">
        <v>945</v>
      </c>
      <c r="B1094">
        <v>943.88900000000001</v>
      </c>
      <c r="C1094">
        <v>616083.53300000005</v>
      </c>
      <c r="D1094">
        <v>3097059.9989999998</v>
      </c>
      <c r="E1094">
        <v>632.09</v>
      </c>
      <c r="F1094">
        <v>5.2</v>
      </c>
      <c r="G1094">
        <v>0</v>
      </c>
      <c r="H1094" t="s">
        <v>191</v>
      </c>
      <c r="I1094">
        <v>5.7000000000000002E-2</v>
      </c>
      <c r="J1094">
        <f t="shared" si="537"/>
        <v>1</v>
      </c>
      <c r="K1094">
        <f t="shared" si="538"/>
        <v>51</v>
      </c>
      <c r="L1094" t="e">
        <f t="shared" ca="1" si="539"/>
        <v>#VALUE!</v>
      </c>
      <c r="M1094" t="e">
        <f t="shared" ca="1" si="512"/>
        <v>#VALUE!</v>
      </c>
      <c r="N1094" t="e">
        <f t="shared" ca="1" si="513"/>
        <v>#VALUE!</v>
      </c>
      <c r="O1094" t="e">
        <f t="shared" ca="1" si="514"/>
        <v>#VALUE!</v>
      </c>
      <c r="P1094" t="e">
        <f t="shared" ca="1" si="515"/>
        <v>#VALUE!</v>
      </c>
      <c r="Q1094" t="e">
        <f t="shared" ca="1" si="516"/>
        <v>#VALUE!</v>
      </c>
      <c r="R1094" t="e">
        <f t="shared" ca="1" si="517"/>
        <v>#VALUE!</v>
      </c>
      <c r="S1094" t="e">
        <f t="shared" ca="1" si="518"/>
        <v>#VALUE!</v>
      </c>
      <c r="T1094" t="e">
        <f t="shared" ca="1" si="519"/>
        <v>#VALUE!</v>
      </c>
      <c r="U1094" t="e">
        <f t="shared" ca="1" si="540"/>
        <v>#VALUE!</v>
      </c>
      <c r="V1094" t="e">
        <f t="shared" ca="1" si="541"/>
        <v>#VALUE!</v>
      </c>
      <c r="W1094" t="e">
        <f t="shared" ca="1" si="520"/>
        <v>#VALUE!</v>
      </c>
      <c r="X1094" t="e">
        <f t="shared" ca="1" si="521"/>
        <v>#VALUE!</v>
      </c>
      <c r="Y1094" t="e">
        <f t="shared" ca="1" si="522"/>
        <v>#VALUE!</v>
      </c>
      <c r="Z1094" t="e">
        <f t="shared" ca="1" si="523"/>
        <v>#VALUE!</v>
      </c>
      <c r="AA1094" t="e">
        <f t="shared" ca="1" si="524"/>
        <v>#VALUE!</v>
      </c>
      <c r="AB1094" t="e">
        <f t="shared" ca="1" si="525"/>
        <v>#VALUE!</v>
      </c>
      <c r="AC1094" t="e">
        <f t="shared" ca="1" si="526"/>
        <v>#VALUE!</v>
      </c>
      <c r="AD1094" t="e">
        <f t="shared" ca="1" si="527"/>
        <v>#VALUE!</v>
      </c>
      <c r="AE1094" t="e">
        <f t="shared" ca="1" si="528"/>
        <v>#VALUE!</v>
      </c>
      <c r="AF1094" t="e">
        <f t="shared" ca="1" si="529"/>
        <v>#VALUE!</v>
      </c>
      <c r="AG1094" t="e">
        <f t="shared" ca="1" si="530"/>
        <v>#VALUE!</v>
      </c>
      <c r="AH1094" t="e">
        <f ca="1">IF(V32="Supercritical",L1094,IF(V32="Subcritical",W1094,IF(AND(V1094=1,AG1094=1),IF(T1094&gt;=AE1094,L1094,W1094),IF(V1094=1,L1094,IF(AG1094=1,W1094,MAX($D$16,POWER((ABS(K1094)^2)/($I$5*MAX(F1094,0.1)^2),1/3)))))))</f>
        <v>#VALUE!</v>
      </c>
      <c r="AI1094" t="e">
        <f t="shared" ca="1" si="531"/>
        <v>#VALUE!</v>
      </c>
      <c r="AJ1094" t="e">
        <f t="shared" ca="1" si="532"/>
        <v>#VALUE!</v>
      </c>
      <c r="AM1094">
        <v>0</v>
      </c>
      <c r="AN1094">
        <v>0</v>
      </c>
      <c r="AO1094">
        <f t="shared" si="533"/>
        <v>0</v>
      </c>
      <c r="AP1094">
        <f t="shared" si="542"/>
        <v>0</v>
      </c>
      <c r="AQ1094" t="e">
        <f t="shared" ca="1" si="534"/>
        <v>#VALUE!</v>
      </c>
      <c r="AR1094" t="e">
        <f t="shared" ca="1" si="535"/>
        <v>#VALUE!</v>
      </c>
      <c r="AS1094" t="e">
        <f t="shared" ca="1" si="536"/>
        <v>#VALUE!</v>
      </c>
    </row>
    <row r="1095" spans="1:45" x14ac:dyDescent="0.35">
      <c r="A1095">
        <v>946</v>
      </c>
      <c r="B1095">
        <v>944.88900000000001</v>
      </c>
      <c r="C1095">
        <v>616083.49</v>
      </c>
      <c r="D1095">
        <v>3097059</v>
      </c>
      <c r="E1095">
        <v>632.08950000000004</v>
      </c>
      <c r="F1095">
        <v>5.2</v>
      </c>
      <c r="G1095">
        <v>0</v>
      </c>
      <c r="H1095" t="s">
        <v>191</v>
      </c>
      <c r="I1095">
        <v>5.7000000000000002E-2</v>
      </c>
      <c r="J1095">
        <f t="shared" si="537"/>
        <v>1</v>
      </c>
      <c r="K1095">
        <f t="shared" si="538"/>
        <v>51</v>
      </c>
      <c r="L1095" t="e">
        <f t="shared" ca="1" si="539"/>
        <v>#VALUE!</v>
      </c>
      <c r="M1095" t="e">
        <f t="shared" ca="1" si="512"/>
        <v>#VALUE!</v>
      </c>
      <c r="N1095" t="e">
        <f t="shared" ca="1" si="513"/>
        <v>#VALUE!</v>
      </c>
      <c r="O1095" t="e">
        <f t="shared" ca="1" si="514"/>
        <v>#VALUE!</v>
      </c>
      <c r="P1095" t="e">
        <f t="shared" ca="1" si="515"/>
        <v>#VALUE!</v>
      </c>
      <c r="Q1095" t="e">
        <f t="shared" ca="1" si="516"/>
        <v>#VALUE!</v>
      </c>
      <c r="R1095" t="e">
        <f t="shared" ca="1" si="517"/>
        <v>#VALUE!</v>
      </c>
      <c r="S1095" t="e">
        <f t="shared" ca="1" si="518"/>
        <v>#VALUE!</v>
      </c>
      <c r="T1095" t="e">
        <f t="shared" ca="1" si="519"/>
        <v>#VALUE!</v>
      </c>
      <c r="U1095" t="e">
        <f t="shared" ca="1" si="540"/>
        <v>#VALUE!</v>
      </c>
      <c r="V1095" t="e">
        <f t="shared" ca="1" si="541"/>
        <v>#VALUE!</v>
      </c>
      <c r="W1095" t="e">
        <f t="shared" ca="1" si="520"/>
        <v>#VALUE!</v>
      </c>
      <c r="X1095" t="e">
        <f t="shared" ca="1" si="521"/>
        <v>#VALUE!</v>
      </c>
      <c r="Y1095" t="e">
        <f t="shared" ca="1" si="522"/>
        <v>#VALUE!</v>
      </c>
      <c r="Z1095" t="e">
        <f t="shared" ca="1" si="523"/>
        <v>#VALUE!</v>
      </c>
      <c r="AA1095" t="e">
        <f t="shared" ca="1" si="524"/>
        <v>#VALUE!</v>
      </c>
      <c r="AB1095" t="e">
        <f t="shared" ca="1" si="525"/>
        <v>#VALUE!</v>
      </c>
      <c r="AC1095" t="e">
        <f t="shared" ca="1" si="526"/>
        <v>#VALUE!</v>
      </c>
      <c r="AD1095" t="e">
        <f t="shared" ca="1" si="527"/>
        <v>#VALUE!</v>
      </c>
      <c r="AE1095" t="e">
        <f t="shared" ca="1" si="528"/>
        <v>#VALUE!</v>
      </c>
      <c r="AF1095" t="e">
        <f t="shared" ca="1" si="529"/>
        <v>#VALUE!</v>
      </c>
      <c r="AG1095" t="e">
        <f t="shared" ca="1" si="530"/>
        <v>#VALUE!</v>
      </c>
      <c r="AH1095" t="e">
        <f ca="1">IF(V32="Supercritical",L1095,IF(V32="Subcritical",W1095,IF(AND(V1095=1,AG1095=1),IF(T1095&gt;=AE1095,L1095,W1095),IF(V1095=1,L1095,IF(AG1095=1,W1095,MAX($D$16,POWER((ABS(K1095)^2)/($I$5*MAX(F1095,0.1)^2),1/3)))))))</f>
        <v>#VALUE!</v>
      </c>
      <c r="AI1095" t="e">
        <f t="shared" ca="1" si="531"/>
        <v>#VALUE!</v>
      </c>
      <c r="AJ1095" t="e">
        <f t="shared" ca="1" si="532"/>
        <v>#VALUE!</v>
      </c>
      <c r="AM1095">
        <v>0</v>
      </c>
      <c r="AN1095">
        <v>0</v>
      </c>
      <c r="AO1095">
        <f t="shared" si="533"/>
        <v>0</v>
      </c>
      <c r="AP1095">
        <f t="shared" si="542"/>
        <v>0</v>
      </c>
      <c r="AQ1095" t="e">
        <f t="shared" ca="1" si="534"/>
        <v>#VALUE!</v>
      </c>
      <c r="AR1095" t="e">
        <f t="shared" ca="1" si="535"/>
        <v>#VALUE!</v>
      </c>
      <c r="AS1095" t="e">
        <f t="shared" ca="1" si="536"/>
        <v>#VALUE!</v>
      </c>
    </row>
    <row r="1096" spans="1:45" x14ac:dyDescent="0.35">
      <c r="A1096">
        <v>947</v>
      </c>
      <c r="B1096">
        <v>945.88900000000001</v>
      </c>
      <c r="C1096">
        <v>616083.44799999997</v>
      </c>
      <c r="D1096">
        <v>3097058.0010000002</v>
      </c>
      <c r="E1096">
        <v>632.08900000000006</v>
      </c>
      <c r="F1096">
        <v>5.2</v>
      </c>
      <c r="G1096">
        <v>0</v>
      </c>
      <c r="H1096" t="s">
        <v>191</v>
      </c>
      <c r="I1096">
        <v>2E-3</v>
      </c>
      <c r="J1096">
        <f t="shared" si="537"/>
        <v>1</v>
      </c>
      <c r="K1096">
        <f t="shared" si="538"/>
        <v>51</v>
      </c>
      <c r="L1096" t="e">
        <f t="shared" ca="1" si="539"/>
        <v>#VALUE!</v>
      </c>
      <c r="M1096" t="e">
        <f t="shared" ca="1" si="512"/>
        <v>#VALUE!</v>
      </c>
      <c r="N1096" t="e">
        <f t="shared" ca="1" si="513"/>
        <v>#VALUE!</v>
      </c>
      <c r="O1096" t="e">
        <f t="shared" ca="1" si="514"/>
        <v>#VALUE!</v>
      </c>
      <c r="P1096" t="e">
        <f t="shared" ca="1" si="515"/>
        <v>#VALUE!</v>
      </c>
      <c r="Q1096" t="e">
        <f t="shared" ca="1" si="516"/>
        <v>#VALUE!</v>
      </c>
      <c r="R1096" t="e">
        <f t="shared" ca="1" si="517"/>
        <v>#VALUE!</v>
      </c>
      <c r="S1096" t="e">
        <f t="shared" ca="1" si="518"/>
        <v>#VALUE!</v>
      </c>
      <c r="T1096" t="e">
        <f t="shared" ca="1" si="519"/>
        <v>#VALUE!</v>
      </c>
      <c r="U1096" t="e">
        <f t="shared" ca="1" si="540"/>
        <v>#VALUE!</v>
      </c>
      <c r="V1096" t="e">
        <f t="shared" ca="1" si="541"/>
        <v>#VALUE!</v>
      </c>
      <c r="W1096" t="e">
        <f t="shared" ca="1" si="520"/>
        <v>#VALUE!</v>
      </c>
      <c r="X1096" t="e">
        <f t="shared" ca="1" si="521"/>
        <v>#VALUE!</v>
      </c>
      <c r="Y1096" t="e">
        <f t="shared" ca="1" si="522"/>
        <v>#VALUE!</v>
      </c>
      <c r="Z1096" t="e">
        <f t="shared" ca="1" si="523"/>
        <v>#VALUE!</v>
      </c>
      <c r="AA1096" t="e">
        <f t="shared" ca="1" si="524"/>
        <v>#VALUE!</v>
      </c>
      <c r="AB1096" t="e">
        <f t="shared" ca="1" si="525"/>
        <v>#VALUE!</v>
      </c>
      <c r="AC1096" t="e">
        <f t="shared" ca="1" si="526"/>
        <v>#VALUE!</v>
      </c>
      <c r="AD1096" t="e">
        <f t="shared" ca="1" si="527"/>
        <v>#VALUE!</v>
      </c>
      <c r="AE1096" t="e">
        <f t="shared" ca="1" si="528"/>
        <v>#VALUE!</v>
      </c>
      <c r="AF1096" t="e">
        <f t="shared" ca="1" si="529"/>
        <v>#VALUE!</v>
      </c>
      <c r="AG1096" t="e">
        <f t="shared" ca="1" si="530"/>
        <v>#VALUE!</v>
      </c>
      <c r="AH1096" t="e">
        <f ca="1">IF(V32="Supercritical",L1096,IF(V32="Subcritical",W1096,IF(AND(V1096=1,AG1096=1),IF(T1096&gt;=AE1096,L1096,W1096),IF(V1096=1,L1096,IF(AG1096=1,W1096,MAX($D$16,POWER((ABS(K1096)^2)/($I$5*MAX(F1096,0.1)^2),1/3)))))))</f>
        <v>#VALUE!</v>
      </c>
      <c r="AI1096" t="e">
        <f t="shared" ca="1" si="531"/>
        <v>#VALUE!</v>
      </c>
      <c r="AJ1096" t="e">
        <f t="shared" ca="1" si="532"/>
        <v>#VALUE!</v>
      </c>
      <c r="AM1096">
        <v>0</v>
      </c>
      <c r="AN1096">
        <v>0</v>
      </c>
      <c r="AO1096">
        <f t="shared" si="533"/>
        <v>0</v>
      </c>
      <c r="AP1096">
        <f t="shared" si="542"/>
        <v>0</v>
      </c>
      <c r="AQ1096" t="e">
        <f t="shared" ca="1" si="534"/>
        <v>#VALUE!</v>
      </c>
      <c r="AR1096" t="e">
        <f t="shared" ca="1" si="535"/>
        <v>#VALUE!</v>
      </c>
      <c r="AS1096" t="e">
        <f t="shared" ca="1" si="536"/>
        <v>#VALUE!</v>
      </c>
    </row>
    <row r="1097" spans="1:45" x14ac:dyDescent="0.35">
      <c r="A1097">
        <v>948</v>
      </c>
      <c r="B1097">
        <v>946.89</v>
      </c>
      <c r="C1097">
        <v>616083.40599999996</v>
      </c>
      <c r="D1097">
        <v>3097057.0010000002</v>
      </c>
      <c r="E1097">
        <v>632.08849999999995</v>
      </c>
      <c r="F1097">
        <v>5.2</v>
      </c>
      <c r="G1097">
        <v>0</v>
      </c>
      <c r="H1097" t="s">
        <v>191</v>
      </c>
      <c r="I1097">
        <v>0.06</v>
      </c>
      <c r="J1097">
        <f t="shared" si="537"/>
        <v>1.0009999999999764</v>
      </c>
      <c r="K1097">
        <f t="shared" si="538"/>
        <v>51</v>
      </c>
      <c r="L1097" t="e">
        <f t="shared" ca="1" si="539"/>
        <v>#VALUE!</v>
      </c>
      <c r="M1097" t="e">
        <f t="shared" ca="1" si="512"/>
        <v>#VALUE!</v>
      </c>
      <c r="N1097" t="e">
        <f t="shared" ca="1" si="513"/>
        <v>#VALUE!</v>
      </c>
      <c r="O1097" t="e">
        <f t="shared" ca="1" si="514"/>
        <v>#VALUE!</v>
      </c>
      <c r="P1097" t="e">
        <f t="shared" ca="1" si="515"/>
        <v>#VALUE!</v>
      </c>
      <c r="Q1097" t="e">
        <f t="shared" ca="1" si="516"/>
        <v>#VALUE!</v>
      </c>
      <c r="R1097" t="e">
        <f t="shared" ca="1" si="517"/>
        <v>#VALUE!</v>
      </c>
      <c r="S1097" t="e">
        <f t="shared" ca="1" si="518"/>
        <v>#VALUE!</v>
      </c>
      <c r="T1097" t="e">
        <f t="shared" ca="1" si="519"/>
        <v>#VALUE!</v>
      </c>
      <c r="U1097" t="e">
        <f t="shared" ca="1" si="540"/>
        <v>#VALUE!</v>
      </c>
      <c r="V1097" t="e">
        <f t="shared" ca="1" si="541"/>
        <v>#VALUE!</v>
      </c>
      <c r="W1097" t="e">
        <f t="shared" ca="1" si="520"/>
        <v>#VALUE!</v>
      </c>
      <c r="X1097" t="e">
        <f t="shared" ca="1" si="521"/>
        <v>#VALUE!</v>
      </c>
      <c r="Y1097" t="e">
        <f t="shared" ca="1" si="522"/>
        <v>#VALUE!</v>
      </c>
      <c r="Z1097" t="e">
        <f t="shared" ca="1" si="523"/>
        <v>#VALUE!</v>
      </c>
      <c r="AA1097" t="e">
        <f t="shared" ca="1" si="524"/>
        <v>#VALUE!</v>
      </c>
      <c r="AB1097" t="e">
        <f t="shared" ca="1" si="525"/>
        <v>#VALUE!</v>
      </c>
      <c r="AC1097" t="e">
        <f t="shared" ca="1" si="526"/>
        <v>#VALUE!</v>
      </c>
      <c r="AD1097" t="e">
        <f t="shared" ca="1" si="527"/>
        <v>#VALUE!</v>
      </c>
      <c r="AE1097" t="e">
        <f t="shared" ca="1" si="528"/>
        <v>#VALUE!</v>
      </c>
      <c r="AF1097" t="e">
        <f t="shared" ca="1" si="529"/>
        <v>#VALUE!</v>
      </c>
      <c r="AG1097" t="e">
        <f t="shared" ca="1" si="530"/>
        <v>#VALUE!</v>
      </c>
      <c r="AH1097" t="e">
        <f ca="1">IF(V32="Supercritical",L1097,IF(V32="Subcritical",W1097,IF(AND(V1097=1,AG1097=1),IF(T1097&gt;=AE1097,L1097,W1097),IF(V1097=1,L1097,IF(AG1097=1,W1097,MAX($D$16,POWER((ABS(K1097)^2)/($I$5*MAX(F1097,0.1)^2),1/3)))))))</f>
        <v>#VALUE!</v>
      </c>
      <c r="AI1097" t="e">
        <f t="shared" ca="1" si="531"/>
        <v>#VALUE!</v>
      </c>
      <c r="AJ1097" t="e">
        <f t="shared" ca="1" si="532"/>
        <v>#VALUE!</v>
      </c>
      <c r="AM1097">
        <v>0</v>
      </c>
      <c r="AN1097">
        <v>0</v>
      </c>
      <c r="AO1097">
        <f t="shared" si="533"/>
        <v>0</v>
      </c>
      <c r="AP1097">
        <f t="shared" si="542"/>
        <v>0</v>
      </c>
      <c r="AQ1097" t="e">
        <f t="shared" ca="1" si="534"/>
        <v>#VALUE!</v>
      </c>
      <c r="AR1097" t="e">
        <f t="shared" ca="1" si="535"/>
        <v>#VALUE!</v>
      </c>
      <c r="AS1097" t="e">
        <f t="shared" ca="1" si="536"/>
        <v>#VALUE!</v>
      </c>
    </row>
    <row r="1098" spans="1:45" x14ac:dyDescent="0.35">
      <c r="A1098">
        <v>949</v>
      </c>
      <c r="B1098">
        <v>947.89</v>
      </c>
      <c r="C1098">
        <v>616083.36300000001</v>
      </c>
      <c r="D1098">
        <v>3097056.0019999999</v>
      </c>
      <c r="E1098">
        <v>632.08799999999997</v>
      </c>
      <c r="F1098">
        <v>5.2</v>
      </c>
      <c r="G1098">
        <v>0</v>
      </c>
      <c r="H1098" t="s">
        <v>191</v>
      </c>
      <c r="I1098">
        <v>5.7000000000000002E-2</v>
      </c>
      <c r="J1098">
        <f t="shared" si="537"/>
        <v>1</v>
      </c>
      <c r="K1098">
        <f t="shared" si="538"/>
        <v>51</v>
      </c>
      <c r="L1098" t="e">
        <f t="shared" ca="1" si="539"/>
        <v>#VALUE!</v>
      </c>
      <c r="M1098" t="e">
        <f t="shared" ca="1" si="512"/>
        <v>#VALUE!</v>
      </c>
      <c r="N1098" t="e">
        <f t="shared" ca="1" si="513"/>
        <v>#VALUE!</v>
      </c>
      <c r="O1098" t="e">
        <f t="shared" ca="1" si="514"/>
        <v>#VALUE!</v>
      </c>
      <c r="P1098" t="e">
        <f t="shared" ca="1" si="515"/>
        <v>#VALUE!</v>
      </c>
      <c r="Q1098" t="e">
        <f t="shared" ca="1" si="516"/>
        <v>#VALUE!</v>
      </c>
      <c r="R1098" t="e">
        <f t="shared" ca="1" si="517"/>
        <v>#VALUE!</v>
      </c>
      <c r="S1098" t="e">
        <f t="shared" ca="1" si="518"/>
        <v>#VALUE!</v>
      </c>
      <c r="T1098" t="e">
        <f t="shared" ca="1" si="519"/>
        <v>#VALUE!</v>
      </c>
      <c r="U1098" t="e">
        <f t="shared" ca="1" si="540"/>
        <v>#VALUE!</v>
      </c>
      <c r="V1098" t="e">
        <f t="shared" ca="1" si="541"/>
        <v>#VALUE!</v>
      </c>
      <c r="W1098" t="e">
        <f t="shared" ca="1" si="520"/>
        <v>#VALUE!</v>
      </c>
      <c r="X1098" t="e">
        <f t="shared" ca="1" si="521"/>
        <v>#VALUE!</v>
      </c>
      <c r="Y1098" t="e">
        <f t="shared" ca="1" si="522"/>
        <v>#VALUE!</v>
      </c>
      <c r="Z1098" t="e">
        <f t="shared" ca="1" si="523"/>
        <v>#VALUE!</v>
      </c>
      <c r="AA1098" t="e">
        <f t="shared" ca="1" si="524"/>
        <v>#VALUE!</v>
      </c>
      <c r="AB1098" t="e">
        <f t="shared" ca="1" si="525"/>
        <v>#VALUE!</v>
      </c>
      <c r="AC1098" t="e">
        <f t="shared" ca="1" si="526"/>
        <v>#VALUE!</v>
      </c>
      <c r="AD1098" t="e">
        <f t="shared" ca="1" si="527"/>
        <v>#VALUE!</v>
      </c>
      <c r="AE1098" t="e">
        <f t="shared" ca="1" si="528"/>
        <v>#VALUE!</v>
      </c>
      <c r="AF1098" t="e">
        <f t="shared" ca="1" si="529"/>
        <v>#VALUE!</v>
      </c>
      <c r="AG1098" t="e">
        <f t="shared" ca="1" si="530"/>
        <v>#VALUE!</v>
      </c>
      <c r="AH1098" t="e">
        <f ca="1">IF(V32="Supercritical",L1098,IF(V32="Subcritical",W1098,IF(AND(V1098=1,AG1098=1),IF(T1098&gt;=AE1098,L1098,W1098),IF(V1098=1,L1098,IF(AG1098=1,W1098,MAX($D$16,POWER((ABS(K1098)^2)/($I$5*MAX(F1098,0.1)^2),1/3)))))))</f>
        <v>#VALUE!</v>
      </c>
      <c r="AI1098" t="e">
        <f t="shared" ca="1" si="531"/>
        <v>#VALUE!</v>
      </c>
      <c r="AJ1098" t="e">
        <f t="shared" ca="1" si="532"/>
        <v>#VALUE!</v>
      </c>
      <c r="AM1098">
        <v>0</v>
      </c>
      <c r="AN1098">
        <v>0</v>
      </c>
      <c r="AO1098">
        <f t="shared" si="533"/>
        <v>0</v>
      </c>
      <c r="AP1098">
        <f t="shared" si="542"/>
        <v>0</v>
      </c>
      <c r="AQ1098" t="e">
        <f t="shared" ca="1" si="534"/>
        <v>#VALUE!</v>
      </c>
      <c r="AR1098" t="e">
        <f t="shared" ca="1" si="535"/>
        <v>#VALUE!</v>
      </c>
      <c r="AS1098" t="e">
        <f t="shared" ca="1" si="536"/>
        <v>#VALUE!</v>
      </c>
    </row>
    <row r="1099" spans="1:45" x14ac:dyDescent="0.35">
      <c r="A1099">
        <v>950</v>
      </c>
      <c r="B1099">
        <v>948.88900000000001</v>
      </c>
      <c r="C1099">
        <v>616083.321</v>
      </c>
      <c r="D1099">
        <v>3097055.003</v>
      </c>
      <c r="E1099">
        <v>632.08749999999998</v>
      </c>
      <c r="F1099">
        <v>5.2</v>
      </c>
      <c r="G1099">
        <v>0</v>
      </c>
      <c r="H1099" t="s">
        <v>191</v>
      </c>
      <c r="I1099">
        <v>0</v>
      </c>
      <c r="J1099">
        <f t="shared" si="537"/>
        <v>0.99900000000002365</v>
      </c>
      <c r="K1099">
        <f t="shared" si="538"/>
        <v>51</v>
      </c>
      <c r="L1099" t="e">
        <f t="shared" ca="1" si="539"/>
        <v>#VALUE!</v>
      </c>
      <c r="M1099" t="e">
        <f t="shared" ca="1" si="512"/>
        <v>#VALUE!</v>
      </c>
      <c r="N1099" t="e">
        <f t="shared" ca="1" si="513"/>
        <v>#VALUE!</v>
      </c>
      <c r="O1099" t="e">
        <f t="shared" ca="1" si="514"/>
        <v>#VALUE!</v>
      </c>
      <c r="P1099" t="e">
        <f t="shared" ca="1" si="515"/>
        <v>#VALUE!</v>
      </c>
      <c r="Q1099" t="e">
        <f t="shared" ca="1" si="516"/>
        <v>#VALUE!</v>
      </c>
      <c r="R1099" t="e">
        <f t="shared" ca="1" si="517"/>
        <v>#VALUE!</v>
      </c>
      <c r="S1099" t="e">
        <f t="shared" ca="1" si="518"/>
        <v>#VALUE!</v>
      </c>
      <c r="T1099" t="e">
        <f t="shared" ca="1" si="519"/>
        <v>#VALUE!</v>
      </c>
      <c r="U1099" t="e">
        <f t="shared" ca="1" si="540"/>
        <v>#VALUE!</v>
      </c>
      <c r="V1099" t="e">
        <f t="shared" ca="1" si="541"/>
        <v>#VALUE!</v>
      </c>
      <c r="W1099" t="e">
        <f t="shared" ca="1" si="520"/>
        <v>#VALUE!</v>
      </c>
      <c r="X1099" t="e">
        <f t="shared" ca="1" si="521"/>
        <v>#VALUE!</v>
      </c>
      <c r="Y1099" t="e">
        <f t="shared" ca="1" si="522"/>
        <v>#VALUE!</v>
      </c>
      <c r="Z1099" t="e">
        <f t="shared" ca="1" si="523"/>
        <v>#VALUE!</v>
      </c>
      <c r="AA1099" t="e">
        <f t="shared" ca="1" si="524"/>
        <v>#VALUE!</v>
      </c>
      <c r="AB1099" t="e">
        <f t="shared" ca="1" si="525"/>
        <v>#VALUE!</v>
      </c>
      <c r="AC1099" t="e">
        <f t="shared" ca="1" si="526"/>
        <v>#VALUE!</v>
      </c>
      <c r="AD1099" t="e">
        <f t="shared" ca="1" si="527"/>
        <v>#VALUE!</v>
      </c>
      <c r="AE1099" t="e">
        <f t="shared" ca="1" si="528"/>
        <v>#VALUE!</v>
      </c>
      <c r="AF1099" t="e">
        <f t="shared" ca="1" si="529"/>
        <v>#VALUE!</v>
      </c>
      <c r="AG1099" t="e">
        <f t="shared" ca="1" si="530"/>
        <v>#VALUE!</v>
      </c>
      <c r="AH1099" t="e">
        <f ca="1">IF(V32="Supercritical",L1099,IF(V32="Subcritical",W1099,IF(AND(V1099=1,AG1099=1),IF(T1099&gt;=AE1099,L1099,W1099),IF(V1099=1,L1099,IF(AG1099=1,W1099,MAX($D$16,POWER((ABS(K1099)^2)/($I$5*MAX(F1099,0.1)^2),1/3)))))))</f>
        <v>#VALUE!</v>
      </c>
      <c r="AI1099" t="e">
        <f t="shared" ca="1" si="531"/>
        <v>#VALUE!</v>
      </c>
      <c r="AJ1099" t="e">
        <f t="shared" ca="1" si="532"/>
        <v>#VALUE!</v>
      </c>
      <c r="AM1099">
        <v>0</v>
      </c>
      <c r="AN1099">
        <v>0</v>
      </c>
      <c r="AO1099">
        <f t="shared" si="533"/>
        <v>0</v>
      </c>
      <c r="AP1099">
        <f t="shared" si="542"/>
        <v>0</v>
      </c>
      <c r="AQ1099" t="e">
        <f t="shared" ca="1" si="534"/>
        <v>#VALUE!</v>
      </c>
      <c r="AR1099" t="e">
        <f t="shared" ca="1" si="535"/>
        <v>#VALUE!</v>
      </c>
      <c r="AS1099" t="e">
        <f t="shared" ca="1" si="536"/>
        <v>#VALUE!</v>
      </c>
    </row>
    <row r="1100" spans="1:45" x14ac:dyDescent="0.35">
      <c r="A1100">
        <v>951</v>
      </c>
      <c r="B1100">
        <v>949.88900000000001</v>
      </c>
      <c r="C1100">
        <v>616083.27899999998</v>
      </c>
      <c r="D1100">
        <v>3097054.0040000002</v>
      </c>
      <c r="E1100">
        <v>632.08699999999999</v>
      </c>
      <c r="F1100">
        <v>5.2</v>
      </c>
      <c r="G1100">
        <v>0</v>
      </c>
      <c r="H1100" t="s">
        <v>191</v>
      </c>
      <c r="I1100">
        <v>0</v>
      </c>
      <c r="J1100">
        <f t="shared" si="537"/>
        <v>1</v>
      </c>
      <c r="K1100">
        <f t="shared" si="538"/>
        <v>51</v>
      </c>
      <c r="L1100" t="e">
        <f t="shared" ca="1" si="539"/>
        <v>#VALUE!</v>
      </c>
      <c r="M1100" t="e">
        <f t="shared" ca="1" si="512"/>
        <v>#VALUE!</v>
      </c>
      <c r="N1100" t="e">
        <f t="shared" ca="1" si="513"/>
        <v>#VALUE!</v>
      </c>
      <c r="O1100" t="e">
        <f t="shared" ca="1" si="514"/>
        <v>#VALUE!</v>
      </c>
      <c r="P1100" t="e">
        <f t="shared" ca="1" si="515"/>
        <v>#VALUE!</v>
      </c>
      <c r="Q1100" t="e">
        <f t="shared" ca="1" si="516"/>
        <v>#VALUE!</v>
      </c>
      <c r="R1100" t="e">
        <f t="shared" ca="1" si="517"/>
        <v>#VALUE!</v>
      </c>
      <c r="S1100" t="e">
        <f t="shared" ca="1" si="518"/>
        <v>#VALUE!</v>
      </c>
      <c r="T1100" t="e">
        <f t="shared" ca="1" si="519"/>
        <v>#VALUE!</v>
      </c>
      <c r="U1100" t="e">
        <f t="shared" ca="1" si="540"/>
        <v>#VALUE!</v>
      </c>
      <c r="V1100" t="e">
        <f t="shared" ca="1" si="541"/>
        <v>#VALUE!</v>
      </c>
      <c r="W1100" t="e">
        <f t="shared" ca="1" si="520"/>
        <v>#VALUE!</v>
      </c>
      <c r="X1100" t="e">
        <f t="shared" ca="1" si="521"/>
        <v>#VALUE!</v>
      </c>
      <c r="Y1100" t="e">
        <f t="shared" ca="1" si="522"/>
        <v>#VALUE!</v>
      </c>
      <c r="Z1100" t="e">
        <f t="shared" ca="1" si="523"/>
        <v>#VALUE!</v>
      </c>
      <c r="AA1100" t="e">
        <f t="shared" ca="1" si="524"/>
        <v>#VALUE!</v>
      </c>
      <c r="AB1100" t="e">
        <f t="shared" ca="1" si="525"/>
        <v>#VALUE!</v>
      </c>
      <c r="AC1100" t="e">
        <f t="shared" ca="1" si="526"/>
        <v>#VALUE!</v>
      </c>
      <c r="AD1100" t="e">
        <f t="shared" ca="1" si="527"/>
        <v>#VALUE!</v>
      </c>
      <c r="AE1100" t="e">
        <f t="shared" ca="1" si="528"/>
        <v>#VALUE!</v>
      </c>
      <c r="AF1100" t="e">
        <f t="shared" ca="1" si="529"/>
        <v>#VALUE!</v>
      </c>
      <c r="AG1100" t="e">
        <f t="shared" ca="1" si="530"/>
        <v>#VALUE!</v>
      </c>
      <c r="AH1100" t="e">
        <f ca="1">IF(V32="Supercritical",L1100,IF(V32="Subcritical",W1100,IF(AND(V1100=1,AG1100=1),IF(T1100&gt;=AE1100,L1100,W1100),IF(V1100=1,L1100,IF(AG1100=1,W1100,MAX($D$16,POWER((ABS(K1100)^2)/($I$5*MAX(F1100,0.1)^2),1/3)))))))</f>
        <v>#VALUE!</v>
      </c>
      <c r="AI1100" t="e">
        <f t="shared" ca="1" si="531"/>
        <v>#VALUE!</v>
      </c>
      <c r="AJ1100" t="e">
        <f t="shared" ca="1" si="532"/>
        <v>#VALUE!</v>
      </c>
      <c r="AM1100">
        <v>0</v>
      </c>
      <c r="AN1100">
        <v>0</v>
      </c>
      <c r="AO1100">
        <f t="shared" si="533"/>
        <v>0</v>
      </c>
      <c r="AP1100">
        <f t="shared" si="542"/>
        <v>0</v>
      </c>
      <c r="AQ1100" t="e">
        <f t="shared" ca="1" si="534"/>
        <v>#VALUE!</v>
      </c>
      <c r="AR1100" t="e">
        <f t="shared" ca="1" si="535"/>
        <v>#VALUE!</v>
      </c>
      <c r="AS1100" t="e">
        <f t="shared" ca="1" si="536"/>
        <v>#VALUE!</v>
      </c>
    </row>
    <row r="1101" spans="1:45" x14ac:dyDescent="0.35">
      <c r="A1101">
        <v>952</v>
      </c>
      <c r="B1101">
        <v>950.88900000000001</v>
      </c>
      <c r="C1101">
        <v>616083.23699999996</v>
      </c>
      <c r="D1101">
        <v>3097053.0049999999</v>
      </c>
      <c r="E1101">
        <v>632.0865</v>
      </c>
      <c r="F1101">
        <v>5.2</v>
      </c>
      <c r="G1101">
        <v>0</v>
      </c>
      <c r="H1101" t="s">
        <v>191</v>
      </c>
      <c r="I1101">
        <v>5.7000000000000002E-2</v>
      </c>
      <c r="J1101">
        <f t="shared" si="537"/>
        <v>1</v>
      </c>
      <c r="K1101">
        <f t="shared" si="538"/>
        <v>51</v>
      </c>
      <c r="L1101" t="e">
        <f t="shared" ca="1" si="539"/>
        <v>#VALUE!</v>
      </c>
      <c r="M1101" t="e">
        <f t="shared" ca="1" si="512"/>
        <v>#VALUE!</v>
      </c>
      <c r="N1101" t="e">
        <f t="shared" ca="1" si="513"/>
        <v>#VALUE!</v>
      </c>
      <c r="O1101" t="e">
        <f t="shared" ca="1" si="514"/>
        <v>#VALUE!</v>
      </c>
      <c r="P1101" t="e">
        <f t="shared" ca="1" si="515"/>
        <v>#VALUE!</v>
      </c>
      <c r="Q1101" t="e">
        <f t="shared" ca="1" si="516"/>
        <v>#VALUE!</v>
      </c>
      <c r="R1101" t="e">
        <f t="shared" ca="1" si="517"/>
        <v>#VALUE!</v>
      </c>
      <c r="S1101" t="e">
        <f t="shared" ca="1" si="518"/>
        <v>#VALUE!</v>
      </c>
      <c r="T1101" t="e">
        <f t="shared" ca="1" si="519"/>
        <v>#VALUE!</v>
      </c>
      <c r="U1101" t="e">
        <f t="shared" ca="1" si="540"/>
        <v>#VALUE!</v>
      </c>
      <c r="V1101" t="e">
        <f t="shared" ca="1" si="541"/>
        <v>#VALUE!</v>
      </c>
      <c r="W1101" t="e">
        <f t="shared" ca="1" si="520"/>
        <v>#VALUE!</v>
      </c>
      <c r="X1101" t="e">
        <f t="shared" ca="1" si="521"/>
        <v>#VALUE!</v>
      </c>
      <c r="Y1101" t="e">
        <f t="shared" ca="1" si="522"/>
        <v>#VALUE!</v>
      </c>
      <c r="Z1101" t="e">
        <f t="shared" ca="1" si="523"/>
        <v>#VALUE!</v>
      </c>
      <c r="AA1101" t="e">
        <f t="shared" ca="1" si="524"/>
        <v>#VALUE!</v>
      </c>
      <c r="AB1101" t="e">
        <f t="shared" ca="1" si="525"/>
        <v>#VALUE!</v>
      </c>
      <c r="AC1101" t="e">
        <f t="shared" ca="1" si="526"/>
        <v>#VALUE!</v>
      </c>
      <c r="AD1101" t="e">
        <f t="shared" ca="1" si="527"/>
        <v>#VALUE!</v>
      </c>
      <c r="AE1101" t="e">
        <f t="shared" ca="1" si="528"/>
        <v>#VALUE!</v>
      </c>
      <c r="AF1101" t="e">
        <f t="shared" ca="1" si="529"/>
        <v>#VALUE!</v>
      </c>
      <c r="AG1101" t="e">
        <f t="shared" ca="1" si="530"/>
        <v>#VALUE!</v>
      </c>
      <c r="AH1101" t="e">
        <f ca="1">IF(V32="Supercritical",L1101,IF(V32="Subcritical",W1101,IF(AND(V1101=1,AG1101=1),IF(T1101&gt;=AE1101,L1101,W1101),IF(V1101=1,L1101,IF(AG1101=1,W1101,MAX($D$16,POWER((ABS(K1101)^2)/($I$5*MAX(F1101,0.1)^2),1/3)))))))</f>
        <v>#VALUE!</v>
      </c>
      <c r="AI1101" t="e">
        <f t="shared" ca="1" si="531"/>
        <v>#VALUE!</v>
      </c>
      <c r="AJ1101" t="e">
        <f t="shared" ca="1" si="532"/>
        <v>#VALUE!</v>
      </c>
      <c r="AM1101">
        <v>0</v>
      </c>
      <c r="AN1101">
        <v>0</v>
      </c>
      <c r="AO1101">
        <f t="shared" si="533"/>
        <v>0</v>
      </c>
      <c r="AP1101">
        <f t="shared" si="542"/>
        <v>0</v>
      </c>
      <c r="AQ1101" t="e">
        <f t="shared" ca="1" si="534"/>
        <v>#VALUE!</v>
      </c>
      <c r="AR1101" t="e">
        <f t="shared" ca="1" si="535"/>
        <v>#VALUE!</v>
      </c>
      <c r="AS1101" t="e">
        <f t="shared" ca="1" si="536"/>
        <v>#VALUE!</v>
      </c>
    </row>
    <row r="1102" spans="1:45" x14ac:dyDescent="0.35">
      <c r="A1102">
        <v>953</v>
      </c>
      <c r="B1102">
        <v>951.88900000000001</v>
      </c>
      <c r="C1102">
        <v>616083.19400000002</v>
      </c>
      <c r="D1102">
        <v>3097052.0060000001</v>
      </c>
      <c r="E1102">
        <v>632.08600000000001</v>
      </c>
      <c r="F1102">
        <v>5.2</v>
      </c>
      <c r="G1102">
        <v>0</v>
      </c>
      <c r="H1102" t="s">
        <v>191</v>
      </c>
      <c r="I1102">
        <v>5.7000000000000002E-2</v>
      </c>
      <c r="J1102">
        <f t="shared" si="537"/>
        <v>1</v>
      </c>
      <c r="K1102">
        <f t="shared" si="538"/>
        <v>51</v>
      </c>
      <c r="L1102" t="e">
        <f t="shared" ca="1" si="539"/>
        <v>#VALUE!</v>
      </c>
      <c r="M1102" t="e">
        <f t="shared" ca="1" si="512"/>
        <v>#VALUE!</v>
      </c>
      <c r="N1102" t="e">
        <f t="shared" ca="1" si="513"/>
        <v>#VALUE!</v>
      </c>
      <c r="O1102" t="e">
        <f t="shared" ca="1" si="514"/>
        <v>#VALUE!</v>
      </c>
      <c r="P1102" t="e">
        <f t="shared" ca="1" si="515"/>
        <v>#VALUE!</v>
      </c>
      <c r="Q1102" t="e">
        <f t="shared" ca="1" si="516"/>
        <v>#VALUE!</v>
      </c>
      <c r="R1102" t="e">
        <f t="shared" ca="1" si="517"/>
        <v>#VALUE!</v>
      </c>
      <c r="S1102" t="e">
        <f t="shared" ca="1" si="518"/>
        <v>#VALUE!</v>
      </c>
      <c r="T1102" t="e">
        <f t="shared" ca="1" si="519"/>
        <v>#VALUE!</v>
      </c>
      <c r="U1102" t="e">
        <f t="shared" ca="1" si="540"/>
        <v>#VALUE!</v>
      </c>
      <c r="V1102" t="e">
        <f t="shared" ca="1" si="541"/>
        <v>#VALUE!</v>
      </c>
      <c r="W1102" t="e">
        <f t="shared" ca="1" si="520"/>
        <v>#VALUE!</v>
      </c>
      <c r="X1102" t="e">
        <f t="shared" ca="1" si="521"/>
        <v>#VALUE!</v>
      </c>
      <c r="Y1102" t="e">
        <f t="shared" ca="1" si="522"/>
        <v>#VALUE!</v>
      </c>
      <c r="Z1102" t="e">
        <f t="shared" ca="1" si="523"/>
        <v>#VALUE!</v>
      </c>
      <c r="AA1102" t="e">
        <f t="shared" ca="1" si="524"/>
        <v>#VALUE!</v>
      </c>
      <c r="AB1102" t="e">
        <f t="shared" ca="1" si="525"/>
        <v>#VALUE!</v>
      </c>
      <c r="AC1102" t="e">
        <f t="shared" ca="1" si="526"/>
        <v>#VALUE!</v>
      </c>
      <c r="AD1102" t="e">
        <f t="shared" ca="1" si="527"/>
        <v>#VALUE!</v>
      </c>
      <c r="AE1102" t="e">
        <f t="shared" ca="1" si="528"/>
        <v>#VALUE!</v>
      </c>
      <c r="AF1102" t="e">
        <f t="shared" ca="1" si="529"/>
        <v>#VALUE!</v>
      </c>
      <c r="AG1102" t="e">
        <f t="shared" ca="1" si="530"/>
        <v>#VALUE!</v>
      </c>
      <c r="AH1102" t="e">
        <f ca="1">IF(V32="Supercritical",L1102,IF(V32="Subcritical",W1102,IF(AND(V1102=1,AG1102=1),IF(T1102&gt;=AE1102,L1102,W1102),IF(V1102=1,L1102,IF(AG1102=1,W1102,MAX($D$16,POWER((ABS(K1102)^2)/($I$5*MAX(F1102,0.1)^2),1/3)))))))</f>
        <v>#VALUE!</v>
      </c>
      <c r="AI1102" t="e">
        <f t="shared" ca="1" si="531"/>
        <v>#VALUE!</v>
      </c>
      <c r="AJ1102" t="e">
        <f t="shared" ca="1" si="532"/>
        <v>#VALUE!</v>
      </c>
      <c r="AM1102">
        <v>0</v>
      </c>
      <c r="AN1102">
        <v>0</v>
      </c>
      <c r="AO1102">
        <f t="shared" si="533"/>
        <v>0</v>
      </c>
      <c r="AP1102">
        <f t="shared" si="542"/>
        <v>0</v>
      </c>
      <c r="AQ1102" t="e">
        <f t="shared" ca="1" si="534"/>
        <v>#VALUE!</v>
      </c>
      <c r="AR1102" t="e">
        <f t="shared" ca="1" si="535"/>
        <v>#VALUE!</v>
      </c>
      <c r="AS1102" t="e">
        <f t="shared" ca="1" si="536"/>
        <v>#VALUE!</v>
      </c>
    </row>
    <row r="1103" spans="1:45" x14ac:dyDescent="0.35">
      <c r="A1103">
        <v>954</v>
      </c>
      <c r="B1103">
        <v>952.88900000000001</v>
      </c>
      <c r="C1103">
        <v>616083.152</v>
      </c>
      <c r="D1103">
        <v>3097051.0070000002</v>
      </c>
      <c r="E1103">
        <v>632.08550000000002</v>
      </c>
      <c r="F1103">
        <v>5.2</v>
      </c>
      <c r="G1103">
        <v>0</v>
      </c>
      <c r="H1103" t="s">
        <v>191</v>
      </c>
      <c r="I1103">
        <v>0</v>
      </c>
      <c r="J1103">
        <f t="shared" si="537"/>
        <v>1</v>
      </c>
      <c r="K1103">
        <f t="shared" si="538"/>
        <v>51</v>
      </c>
      <c r="L1103" t="e">
        <f t="shared" ca="1" si="539"/>
        <v>#VALUE!</v>
      </c>
      <c r="M1103" t="e">
        <f t="shared" ca="1" si="512"/>
        <v>#VALUE!</v>
      </c>
      <c r="N1103" t="e">
        <f t="shared" ca="1" si="513"/>
        <v>#VALUE!</v>
      </c>
      <c r="O1103" t="e">
        <f t="shared" ca="1" si="514"/>
        <v>#VALUE!</v>
      </c>
      <c r="P1103" t="e">
        <f t="shared" ca="1" si="515"/>
        <v>#VALUE!</v>
      </c>
      <c r="Q1103" t="e">
        <f t="shared" ca="1" si="516"/>
        <v>#VALUE!</v>
      </c>
      <c r="R1103" t="e">
        <f t="shared" ca="1" si="517"/>
        <v>#VALUE!</v>
      </c>
      <c r="S1103" t="e">
        <f t="shared" ca="1" si="518"/>
        <v>#VALUE!</v>
      </c>
      <c r="T1103" t="e">
        <f t="shared" ca="1" si="519"/>
        <v>#VALUE!</v>
      </c>
      <c r="U1103" t="e">
        <f t="shared" ca="1" si="540"/>
        <v>#VALUE!</v>
      </c>
      <c r="V1103" t="e">
        <f t="shared" ca="1" si="541"/>
        <v>#VALUE!</v>
      </c>
      <c r="W1103" t="e">
        <f t="shared" ca="1" si="520"/>
        <v>#VALUE!</v>
      </c>
      <c r="X1103" t="e">
        <f t="shared" ca="1" si="521"/>
        <v>#VALUE!</v>
      </c>
      <c r="Y1103" t="e">
        <f t="shared" ca="1" si="522"/>
        <v>#VALUE!</v>
      </c>
      <c r="Z1103" t="e">
        <f t="shared" ca="1" si="523"/>
        <v>#VALUE!</v>
      </c>
      <c r="AA1103" t="e">
        <f t="shared" ca="1" si="524"/>
        <v>#VALUE!</v>
      </c>
      <c r="AB1103" t="e">
        <f t="shared" ca="1" si="525"/>
        <v>#VALUE!</v>
      </c>
      <c r="AC1103" t="e">
        <f t="shared" ca="1" si="526"/>
        <v>#VALUE!</v>
      </c>
      <c r="AD1103" t="e">
        <f t="shared" ca="1" si="527"/>
        <v>#VALUE!</v>
      </c>
      <c r="AE1103" t="e">
        <f t="shared" ca="1" si="528"/>
        <v>#VALUE!</v>
      </c>
      <c r="AF1103" t="e">
        <f t="shared" ca="1" si="529"/>
        <v>#VALUE!</v>
      </c>
      <c r="AG1103" t="e">
        <f t="shared" ca="1" si="530"/>
        <v>#VALUE!</v>
      </c>
      <c r="AH1103" t="e">
        <f ca="1">IF(V32="Supercritical",L1103,IF(V32="Subcritical",W1103,IF(AND(V1103=1,AG1103=1),IF(T1103&gt;=AE1103,L1103,W1103),IF(V1103=1,L1103,IF(AG1103=1,W1103,MAX($D$16,POWER((ABS(K1103)^2)/($I$5*MAX(F1103,0.1)^2),1/3)))))))</f>
        <v>#VALUE!</v>
      </c>
      <c r="AI1103" t="e">
        <f t="shared" ca="1" si="531"/>
        <v>#VALUE!</v>
      </c>
      <c r="AJ1103" t="e">
        <f t="shared" ca="1" si="532"/>
        <v>#VALUE!</v>
      </c>
      <c r="AM1103">
        <v>0</v>
      </c>
      <c r="AN1103">
        <v>0</v>
      </c>
      <c r="AO1103">
        <f t="shared" si="533"/>
        <v>0</v>
      </c>
      <c r="AP1103">
        <f t="shared" si="542"/>
        <v>0</v>
      </c>
      <c r="AQ1103" t="e">
        <f t="shared" ca="1" si="534"/>
        <v>#VALUE!</v>
      </c>
      <c r="AR1103" t="e">
        <f t="shared" ca="1" si="535"/>
        <v>#VALUE!</v>
      </c>
      <c r="AS1103" t="e">
        <f t="shared" ca="1" si="536"/>
        <v>#VALUE!</v>
      </c>
    </row>
    <row r="1104" spans="1:45" x14ac:dyDescent="0.35">
      <c r="A1104">
        <v>955</v>
      </c>
      <c r="B1104">
        <v>953.88900000000001</v>
      </c>
      <c r="C1104">
        <v>616083.11</v>
      </c>
      <c r="D1104">
        <v>3097050.0079999999</v>
      </c>
      <c r="E1104">
        <v>632.08500000000004</v>
      </c>
      <c r="F1104">
        <v>5.2</v>
      </c>
      <c r="G1104">
        <v>0</v>
      </c>
      <c r="H1104" t="s">
        <v>191</v>
      </c>
      <c r="I1104">
        <v>0</v>
      </c>
      <c r="J1104">
        <f t="shared" si="537"/>
        <v>1</v>
      </c>
      <c r="K1104">
        <f t="shared" si="538"/>
        <v>51</v>
      </c>
      <c r="L1104" t="e">
        <f t="shared" ca="1" si="539"/>
        <v>#VALUE!</v>
      </c>
      <c r="M1104" t="e">
        <f t="shared" ca="1" si="512"/>
        <v>#VALUE!</v>
      </c>
      <c r="N1104" t="e">
        <f t="shared" ca="1" si="513"/>
        <v>#VALUE!</v>
      </c>
      <c r="O1104" t="e">
        <f t="shared" ca="1" si="514"/>
        <v>#VALUE!</v>
      </c>
      <c r="P1104" t="e">
        <f t="shared" ca="1" si="515"/>
        <v>#VALUE!</v>
      </c>
      <c r="Q1104" t="e">
        <f t="shared" ca="1" si="516"/>
        <v>#VALUE!</v>
      </c>
      <c r="R1104" t="e">
        <f t="shared" ca="1" si="517"/>
        <v>#VALUE!</v>
      </c>
      <c r="S1104" t="e">
        <f t="shared" ca="1" si="518"/>
        <v>#VALUE!</v>
      </c>
      <c r="T1104" t="e">
        <f t="shared" ca="1" si="519"/>
        <v>#VALUE!</v>
      </c>
      <c r="U1104" t="e">
        <f t="shared" ca="1" si="540"/>
        <v>#VALUE!</v>
      </c>
      <c r="V1104" t="e">
        <f t="shared" ca="1" si="541"/>
        <v>#VALUE!</v>
      </c>
      <c r="W1104" t="e">
        <f t="shared" ca="1" si="520"/>
        <v>#VALUE!</v>
      </c>
      <c r="X1104" t="e">
        <f t="shared" ca="1" si="521"/>
        <v>#VALUE!</v>
      </c>
      <c r="Y1104" t="e">
        <f t="shared" ca="1" si="522"/>
        <v>#VALUE!</v>
      </c>
      <c r="Z1104" t="e">
        <f t="shared" ca="1" si="523"/>
        <v>#VALUE!</v>
      </c>
      <c r="AA1104" t="e">
        <f t="shared" ca="1" si="524"/>
        <v>#VALUE!</v>
      </c>
      <c r="AB1104" t="e">
        <f t="shared" ca="1" si="525"/>
        <v>#VALUE!</v>
      </c>
      <c r="AC1104" t="e">
        <f t="shared" ca="1" si="526"/>
        <v>#VALUE!</v>
      </c>
      <c r="AD1104" t="e">
        <f t="shared" ca="1" si="527"/>
        <v>#VALUE!</v>
      </c>
      <c r="AE1104" t="e">
        <f t="shared" ca="1" si="528"/>
        <v>#VALUE!</v>
      </c>
      <c r="AF1104" t="e">
        <f t="shared" ca="1" si="529"/>
        <v>#VALUE!</v>
      </c>
      <c r="AG1104" t="e">
        <f t="shared" ca="1" si="530"/>
        <v>#VALUE!</v>
      </c>
      <c r="AH1104" t="e">
        <f ca="1">IF(V32="Supercritical",L1104,IF(V32="Subcritical",W1104,IF(AND(V1104=1,AG1104=1),IF(T1104&gt;=AE1104,L1104,W1104),IF(V1104=1,L1104,IF(AG1104=1,W1104,MAX($D$16,POWER((ABS(K1104)^2)/($I$5*MAX(F1104,0.1)^2),1/3)))))))</f>
        <v>#VALUE!</v>
      </c>
      <c r="AI1104" t="e">
        <f t="shared" ca="1" si="531"/>
        <v>#VALUE!</v>
      </c>
      <c r="AJ1104" t="e">
        <f t="shared" ca="1" si="532"/>
        <v>#VALUE!</v>
      </c>
      <c r="AM1104">
        <v>0</v>
      </c>
      <c r="AN1104">
        <v>0</v>
      </c>
      <c r="AO1104">
        <f t="shared" si="533"/>
        <v>0</v>
      </c>
      <c r="AP1104">
        <f t="shared" si="542"/>
        <v>0</v>
      </c>
      <c r="AQ1104" t="e">
        <f t="shared" ca="1" si="534"/>
        <v>#VALUE!</v>
      </c>
      <c r="AR1104" t="e">
        <f t="shared" ca="1" si="535"/>
        <v>#VALUE!</v>
      </c>
      <c r="AS1104" t="e">
        <f t="shared" ca="1" si="536"/>
        <v>#VALUE!</v>
      </c>
    </row>
    <row r="1105" spans="1:45" x14ac:dyDescent="0.35">
      <c r="A1105">
        <v>956</v>
      </c>
      <c r="B1105">
        <v>954.88900000000001</v>
      </c>
      <c r="C1105">
        <v>616083.06799999997</v>
      </c>
      <c r="D1105">
        <v>3097049.0090000001</v>
      </c>
      <c r="E1105">
        <v>632.08450000000005</v>
      </c>
      <c r="F1105">
        <v>5.2</v>
      </c>
      <c r="G1105">
        <v>0</v>
      </c>
      <c r="H1105" t="s">
        <v>191</v>
      </c>
      <c r="I1105">
        <v>5.5E-2</v>
      </c>
      <c r="J1105">
        <f t="shared" si="537"/>
        <v>1</v>
      </c>
      <c r="K1105">
        <f t="shared" si="538"/>
        <v>51</v>
      </c>
      <c r="L1105" t="e">
        <f t="shared" ca="1" si="539"/>
        <v>#VALUE!</v>
      </c>
      <c r="M1105" t="e">
        <f t="shared" ca="1" si="512"/>
        <v>#VALUE!</v>
      </c>
      <c r="N1105" t="e">
        <f t="shared" ca="1" si="513"/>
        <v>#VALUE!</v>
      </c>
      <c r="O1105" t="e">
        <f t="shared" ca="1" si="514"/>
        <v>#VALUE!</v>
      </c>
      <c r="P1105" t="e">
        <f t="shared" ca="1" si="515"/>
        <v>#VALUE!</v>
      </c>
      <c r="Q1105" t="e">
        <f t="shared" ca="1" si="516"/>
        <v>#VALUE!</v>
      </c>
      <c r="R1105" t="e">
        <f t="shared" ca="1" si="517"/>
        <v>#VALUE!</v>
      </c>
      <c r="S1105" t="e">
        <f t="shared" ca="1" si="518"/>
        <v>#VALUE!</v>
      </c>
      <c r="T1105" t="e">
        <f t="shared" ca="1" si="519"/>
        <v>#VALUE!</v>
      </c>
      <c r="U1105" t="e">
        <f t="shared" ca="1" si="540"/>
        <v>#VALUE!</v>
      </c>
      <c r="V1105" t="e">
        <f t="shared" ca="1" si="541"/>
        <v>#VALUE!</v>
      </c>
      <c r="W1105" t="e">
        <f t="shared" ca="1" si="520"/>
        <v>#VALUE!</v>
      </c>
      <c r="X1105" t="e">
        <f t="shared" ca="1" si="521"/>
        <v>#VALUE!</v>
      </c>
      <c r="Y1105" t="e">
        <f t="shared" ca="1" si="522"/>
        <v>#VALUE!</v>
      </c>
      <c r="Z1105" t="e">
        <f t="shared" ca="1" si="523"/>
        <v>#VALUE!</v>
      </c>
      <c r="AA1105" t="e">
        <f t="shared" ca="1" si="524"/>
        <v>#VALUE!</v>
      </c>
      <c r="AB1105" t="e">
        <f t="shared" ca="1" si="525"/>
        <v>#VALUE!</v>
      </c>
      <c r="AC1105" t="e">
        <f t="shared" ca="1" si="526"/>
        <v>#VALUE!</v>
      </c>
      <c r="AD1105" t="e">
        <f t="shared" ca="1" si="527"/>
        <v>#VALUE!</v>
      </c>
      <c r="AE1105" t="e">
        <f t="shared" ca="1" si="528"/>
        <v>#VALUE!</v>
      </c>
      <c r="AF1105" t="e">
        <f t="shared" ca="1" si="529"/>
        <v>#VALUE!</v>
      </c>
      <c r="AG1105" t="e">
        <f t="shared" ca="1" si="530"/>
        <v>#VALUE!</v>
      </c>
      <c r="AH1105" t="e">
        <f ca="1">IF(V32="Supercritical",L1105,IF(V32="Subcritical",W1105,IF(AND(V1105=1,AG1105=1),IF(T1105&gt;=AE1105,L1105,W1105),IF(V1105=1,L1105,IF(AG1105=1,W1105,MAX($D$16,POWER((ABS(K1105)^2)/($I$5*MAX(F1105,0.1)^2),1/3)))))))</f>
        <v>#VALUE!</v>
      </c>
      <c r="AI1105" t="e">
        <f t="shared" ca="1" si="531"/>
        <v>#VALUE!</v>
      </c>
      <c r="AJ1105" t="e">
        <f t="shared" ca="1" si="532"/>
        <v>#VALUE!</v>
      </c>
      <c r="AM1105">
        <v>0</v>
      </c>
      <c r="AN1105">
        <v>0</v>
      </c>
      <c r="AO1105">
        <f t="shared" si="533"/>
        <v>0</v>
      </c>
      <c r="AP1105">
        <f t="shared" si="542"/>
        <v>0</v>
      </c>
      <c r="AQ1105" t="e">
        <f t="shared" ca="1" si="534"/>
        <v>#VALUE!</v>
      </c>
      <c r="AR1105" t="e">
        <f t="shared" ca="1" si="535"/>
        <v>#VALUE!</v>
      </c>
      <c r="AS1105" t="e">
        <f t="shared" ca="1" si="536"/>
        <v>#VALUE!</v>
      </c>
    </row>
    <row r="1106" spans="1:45" x14ac:dyDescent="0.35">
      <c r="A1106">
        <v>957</v>
      </c>
      <c r="B1106">
        <v>955.89</v>
      </c>
      <c r="C1106">
        <v>616083.02500000002</v>
      </c>
      <c r="D1106">
        <v>3097048.0090000001</v>
      </c>
      <c r="E1106">
        <v>632.08399999999995</v>
      </c>
      <c r="F1106">
        <v>5.2</v>
      </c>
      <c r="G1106">
        <v>0</v>
      </c>
      <c r="H1106" t="s">
        <v>191</v>
      </c>
      <c r="I1106">
        <v>5.5E-2</v>
      </c>
      <c r="J1106">
        <f t="shared" si="537"/>
        <v>1.0009999999999764</v>
      </c>
      <c r="K1106">
        <f t="shared" si="538"/>
        <v>51</v>
      </c>
      <c r="L1106" t="e">
        <f t="shared" ca="1" si="539"/>
        <v>#VALUE!</v>
      </c>
      <c r="M1106" t="e">
        <f t="shared" ca="1" si="512"/>
        <v>#VALUE!</v>
      </c>
      <c r="N1106" t="e">
        <f t="shared" ca="1" si="513"/>
        <v>#VALUE!</v>
      </c>
      <c r="O1106" t="e">
        <f t="shared" ca="1" si="514"/>
        <v>#VALUE!</v>
      </c>
      <c r="P1106" t="e">
        <f t="shared" ca="1" si="515"/>
        <v>#VALUE!</v>
      </c>
      <c r="Q1106" t="e">
        <f t="shared" ca="1" si="516"/>
        <v>#VALUE!</v>
      </c>
      <c r="R1106" t="e">
        <f t="shared" ca="1" si="517"/>
        <v>#VALUE!</v>
      </c>
      <c r="S1106" t="e">
        <f t="shared" ca="1" si="518"/>
        <v>#VALUE!</v>
      </c>
      <c r="T1106" t="e">
        <f t="shared" ca="1" si="519"/>
        <v>#VALUE!</v>
      </c>
      <c r="U1106" t="e">
        <f t="shared" ca="1" si="540"/>
        <v>#VALUE!</v>
      </c>
      <c r="V1106" t="e">
        <f t="shared" ca="1" si="541"/>
        <v>#VALUE!</v>
      </c>
      <c r="W1106" t="e">
        <f t="shared" ca="1" si="520"/>
        <v>#VALUE!</v>
      </c>
      <c r="X1106" t="e">
        <f t="shared" ca="1" si="521"/>
        <v>#VALUE!</v>
      </c>
      <c r="Y1106" t="e">
        <f t="shared" ca="1" si="522"/>
        <v>#VALUE!</v>
      </c>
      <c r="Z1106" t="e">
        <f t="shared" ca="1" si="523"/>
        <v>#VALUE!</v>
      </c>
      <c r="AA1106" t="e">
        <f t="shared" ca="1" si="524"/>
        <v>#VALUE!</v>
      </c>
      <c r="AB1106" t="e">
        <f t="shared" ca="1" si="525"/>
        <v>#VALUE!</v>
      </c>
      <c r="AC1106" t="e">
        <f t="shared" ca="1" si="526"/>
        <v>#VALUE!</v>
      </c>
      <c r="AD1106" t="e">
        <f t="shared" ca="1" si="527"/>
        <v>#VALUE!</v>
      </c>
      <c r="AE1106" t="e">
        <f t="shared" ca="1" si="528"/>
        <v>#VALUE!</v>
      </c>
      <c r="AF1106" t="e">
        <f t="shared" ca="1" si="529"/>
        <v>#VALUE!</v>
      </c>
      <c r="AG1106" t="e">
        <f t="shared" ca="1" si="530"/>
        <v>#VALUE!</v>
      </c>
      <c r="AH1106" t="e">
        <f ca="1">IF(V32="Supercritical",L1106,IF(V32="Subcritical",W1106,IF(AND(V1106=1,AG1106=1),IF(T1106&gt;=AE1106,L1106,W1106),IF(V1106=1,L1106,IF(AG1106=1,W1106,MAX($D$16,POWER((ABS(K1106)^2)/($I$5*MAX(F1106,0.1)^2),1/3)))))))</f>
        <v>#VALUE!</v>
      </c>
      <c r="AI1106" t="e">
        <f t="shared" ca="1" si="531"/>
        <v>#VALUE!</v>
      </c>
      <c r="AJ1106" t="e">
        <f t="shared" ca="1" si="532"/>
        <v>#VALUE!</v>
      </c>
      <c r="AM1106">
        <v>0</v>
      </c>
      <c r="AN1106">
        <v>0</v>
      </c>
      <c r="AO1106">
        <f t="shared" si="533"/>
        <v>0</v>
      </c>
      <c r="AP1106">
        <f t="shared" si="542"/>
        <v>0</v>
      </c>
      <c r="AQ1106" t="e">
        <f t="shared" ca="1" si="534"/>
        <v>#VALUE!</v>
      </c>
      <c r="AR1106" t="e">
        <f t="shared" ca="1" si="535"/>
        <v>#VALUE!</v>
      </c>
      <c r="AS1106" t="e">
        <f t="shared" ca="1" si="536"/>
        <v>#VALUE!</v>
      </c>
    </row>
    <row r="1107" spans="1:45" x14ac:dyDescent="0.35">
      <c r="A1107">
        <v>958</v>
      </c>
      <c r="B1107">
        <v>956.89</v>
      </c>
      <c r="C1107">
        <v>616082.98300000001</v>
      </c>
      <c r="D1107">
        <v>3097047.01</v>
      </c>
      <c r="E1107">
        <v>632.08349999999996</v>
      </c>
      <c r="F1107">
        <v>5.2</v>
      </c>
      <c r="G1107">
        <v>0</v>
      </c>
      <c r="H1107" t="s">
        <v>191</v>
      </c>
      <c r="I1107">
        <v>0</v>
      </c>
      <c r="J1107">
        <f t="shared" si="537"/>
        <v>1</v>
      </c>
      <c r="K1107">
        <f t="shared" si="538"/>
        <v>51</v>
      </c>
      <c r="L1107" t="e">
        <f t="shared" ca="1" si="539"/>
        <v>#VALUE!</v>
      </c>
      <c r="M1107" t="e">
        <f t="shared" ca="1" si="512"/>
        <v>#VALUE!</v>
      </c>
      <c r="N1107" t="e">
        <f t="shared" ca="1" si="513"/>
        <v>#VALUE!</v>
      </c>
      <c r="O1107" t="e">
        <f t="shared" ca="1" si="514"/>
        <v>#VALUE!</v>
      </c>
      <c r="P1107" t="e">
        <f t="shared" ca="1" si="515"/>
        <v>#VALUE!</v>
      </c>
      <c r="Q1107" t="e">
        <f t="shared" ca="1" si="516"/>
        <v>#VALUE!</v>
      </c>
      <c r="R1107" t="e">
        <f t="shared" ca="1" si="517"/>
        <v>#VALUE!</v>
      </c>
      <c r="S1107" t="e">
        <f t="shared" ca="1" si="518"/>
        <v>#VALUE!</v>
      </c>
      <c r="T1107" t="e">
        <f t="shared" ca="1" si="519"/>
        <v>#VALUE!</v>
      </c>
      <c r="U1107" t="e">
        <f t="shared" ca="1" si="540"/>
        <v>#VALUE!</v>
      </c>
      <c r="V1107" t="e">
        <f t="shared" ca="1" si="541"/>
        <v>#VALUE!</v>
      </c>
      <c r="W1107" t="e">
        <f t="shared" ca="1" si="520"/>
        <v>#VALUE!</v>
      </c>
      <c r="X1107" t="e">
        <f t="shared" ca="1" si="521"/>
        <v>#VALUE!</v>
      </c>
      <c r="Y1107" t="e">
        <f t="shared" ca="1" si="522"/>
        <v>#VALUE!</v>
      </c>
      <c r="Z1107" t="e">
        <f t="shared" ca="1" si="523"/>
        <v>#VALUE!</v>
      </c>
      <c r="AA1107" t="e">
        <f t="shared" ca="1" si="524"/>
        <v>#VALUE!</v>
      </c>
      <c r="AB1107" t="e">
        <f t="shared" ca="1" si="525"/>
        <v>#VALUE!</v>
      </c>
      <c r="AC1107" t="e">
        <f t="shared" ca="1" si="526"/>
        <v>#VALUE!</v>
      </c>
      <c r="AD1107" t="e">
        <f t="shared" ca="1" si="527"/>
        <v>#VALUE!</v>
      </c>
      <c r="AE1107" t="e">
        <f t="shared" ca="1" si="528"/>
        <v>#VALUE!</v>
      </c>
      <c r="AF1107" t="e">
        <f t="shared" ca="1" si="529"/>
        <v>#VALUE!</v>
      </c>
      <c r="AG1107" t="e">
        <f t="shared" ca="1" si="530"/>
        <v>#VALUE!</v>
      </c>
      <c r="AH1107" t="e">
        <f ca="1">IF(V32="Supercritical",L1107,IF(V32="Subcritical",W1107,IF(AND(V1107=1,AG1107=1),IF(T1107&gt;=AE1107,L1107,W1107),IF(V1107=1,L1107,IF(AG1107=1,W1107,MAX($D$16,POWER((ABS(K1107)^2)/($I$5*MAX(F1107,0.1)^2),1/3)))))))</f>
        <v>#VALUE!</v>
      </c>
      <c r="AI1107" t="e">
        <f t="shared" ca="1" si="531"/>
        <v>#VALUE!</v>
      </c>
      <c r="AJ1107" t="e">
        <f t="shared" ca="1" si="532"/>
        <v>#VALUE!</v>
      </c>
      <c r="AM1107">
        <v>0</v>
      </c>
      <c r="AN1107">
        <v>0</v>
      </c>
      <c r="AO1107">
        <f t="shared" si="533"/>
        <v>0</v>
      </c>
      <c r="AP1107">
        <f t="shared" si="542"/>
        <v>0</v>
      </c>
      <c r="AQ1107" t="e">
        <f t="shared" ca="1" si="534"/>
        <v>#VALUE!</v>
      </c>
      <c r="AR1107" t="e">
        <f t="shared" ca="1" si="535"/>
        <v>#VALUE!</v>
      </c>
      <c r="AS1107" t="e">
        <f t="shared" ca="1" si="536"/>
        <v>#VALUE!</v>
      </c>
    </row>
    <row r="1108" spans="1:45" x14ac:dyDescent="0.35">
      <c r="A1108">
        <v>959</v>
      </c>
      <c r="B1108">
        <v>957.88900000000001</v>
      </c>
      <c r="C1108">
        <v>616082.94099999999</v>
      </c>
      <c r="D1108">
        <v>3097046.0109999999</v>
      </c>
      <c r="E1108">
        <v>632.08299999999997</v>
      </c>
      <c r="F1108">
        <v>5.2</v>
      </c>
      <c r="G1108">
        <v>0</v>
      </c>
      <c r="H1108" t="s">
        <v>191</v>
      </c>
      <c r="I1108">
        <v>0</v>
      </c>
      <c r="J1108">
        <f t="shared" si="537"/>
        <v>0.99900000000002365</v>
      </c>
      <c r="K1108">
        <f t="shared" si="538"/>
        <v>51</v>
      </c>
      <c r="L1108" t="e">
        <f t="shared" ca="1" si="539"/>
        <v>#VALUE!</v>
      </c>
      <c r="M1108" t="e">
        <f t="shared" ca="1" si="512"/>
        <v>#VALUE!</v>
      </c>
      <c r="N1108" t="e">
        <f t="shared" ca="1" si="513"/>
        <v>#VALUE!</v>
      </c>
      <c r="O1108" t="e">
        <f t="shared" ca="1" si="514"/>
        <v>#VALUE!</v>
      </c>
      <c r="P1108" t="e">
        <f t="shared" ca="1" si="515"/>
        <v>#VALUE!</v>
      </c>
      <c r="Q1108" t="e">
        <f t="shared" ca="1" si="516"/>
        <v>#VALUE!</v>
      </c>
      <c r="R1108" t="e">
        <f t="shared" ca="1" si="517"/>
        <v>#VALUE!</v>
      </c>
      <c r="S1108" t="e">
        <f t="shared" ca="1" si="518"/>
        <v>#VALUE!</v>
      </c>
      <c r="T1108" t="e">
        <f t="shared" ca="1" si="519"/>
        <v>#VALUE!</v>
      </c>
      <c r="U1108" t="e">
        <f t="shared" ca="1" si="540"/>
        <v>#VALUE!</v>
      </c>
      <c r="V1108" t="e">
        <f t="shared" ca="1" si="541"/>
        <v>#VALUE!</v>
      </c>
      <c r="W1108" t="e">
        <f t="shared" ca="1" si="520"/>
        <v>#VALUE!</v>
      </c>
      <c r="X1108" t="e">
        <f t="shared" ca="1" si="521"/>
        <v>#VALUE!</v>
      </c>
      <c r="Y1108" t="e">
        <f t="shared" ca="1" si="522"/>
        <v>#VALUE!</v>
      </c>
      <c r="Z1108" t="e">
        <f t="shared" ca="1" si="523"/>
        <v>#VALUE!</v>
      </c>
      <c r="AA1108" t="e">
        <f t="shared" ca="1" si="524"/>
        <v>#VALUE!</v>
      </c>
      <c r="AB1108" t="e">
        <f t="shared" ca="1" si="525"/>
        <v>#VALUE!</v>
      </c>
      <c r="AC1108" t="e">
        <f t="shared" ca="1" si="526"/>
        <v>#VALUE!</v>
      </c>
      <c r="AD1108" t="e">
        <f t="shared" ca="1" si="527"/>
        <v>#VALUE!</v>
      </c>
      <c r="AE1108" t="e">
        <f t="shared" ca="1" si="528"/>
        <v>#VALUE!</v>
      </c>
      <c r="AF1108" t="e">
        <f t="shared" ca="1" si="529"/>
        <v>#VALUE!</v>
      </c>
      <c r="AG1108" t="e">
        <f t="shared" ca="1" si="530"/>
        <v>#VALUE!</v>
      </c>
      <c r="AH1108" t="e">
        <f ca="1">IF(V32="Supercritical",L1108,IF(V32="Subcritical",W1108,IF(AND(V1108=1,AG1108=1),IF(T1108&gt;=AE1108,L1108,W1108),IF(V1108=1,L1108,IF(AG1108=1,W1108,MAX($D$16,POWER((ABS(K1108)^2)/($I$5*MAX(F1108,0.1)^2),1/3)))))))</f>
        <v>#VALUE!</v>
      </c>
      <c r="AI1108" t="e">
        <f t="shared" ca="1" si="531"/>
        <v>#VALUE!</v>
      </c>
      <c r="AJ1108" t="e">
        <f t="shared" ca="1" si="532"/>
        <v>#VALUE!</v>
      </c>
      <c r="AM1108">
        <v>0</v>
      </c>
      <c r="AN1108">
        <v>0</v>
      </c>
      <c r="AO1108">
        <f t="shared" si="533"/>
        <v>0</v>
      </c>
      <c r="AP1108">
        <f t="shared" si="542"/>
        <v>0</v>
      </c>
      <c r="AQ1108" t="e">
        <f t="shared" ca="1" si="534"/>
        <v>#VALUE!</v>
      </c>
      <c r="AR1108" t="e">
        <f t="shared" ca="1" si="535"/>
        <v>#VALUE!</v>
      </c>
      <c r="AS1108" t="e">
        <f t="shared" ca="1" si="536"/>
        <v>#VALUE!</v>
      </c>
    </row>
    <row r="1109" spans="1:45" x14ac:dyDescent="0.35">
      <c r="A1109">
        <v>960</v>
      </c>
      <c r="B1109">
        <v>958.88900000000001</v>
      </c>
      <c r="C1109">
        <v>616082.89899999998</v>
      </c>
      <c r="D1109">
        <v>3097045.0120000001</v>
      </c>
      <c r="E1109">
        <v>632.08249999999998</v>
      </c>
      <c r="F1109">
        <v>5.2</v>
      </c>
      <c r="G1109">
        <v>0</v>
      </c>
      <c r="H1109" t="s">
        <v>191</v>
      </c>
      <c r="I1109">
        <v>5.7000000000000002E-2</v>
      </c>
      <c r="J1109">
        <f t="shared" si="537"/>
        <v>1</v>
      </c>
      <c r="K1109">
        <f t="shared" si="538"/>
        <v>51</v>
      </c>
      <c r="L1109" t="e">
        <f t="shared" ca="1" si="539"/>
        <v>#VALUE!</v>
      </c>
      <c r="M1109" t="e">
        <f t="shared" ca="1" si="512"/>
        <v>#VALUE!</v>
      </c>
      <c r="N1109" t="e">
        <f t="shared" ca="1" si="513"/>
        <v>#VALUE!</v>
      </c>
      <c r="O1109" t="e">
        <f t="shared" ca="1" si="514"/>
        <v>#VALUE!</v>
      </c>
      <c r="P1109" t="e">
        <f t="shared" ca="1" si="515"/>
        <v>#VALUE!</v>
      </c>
      <c r="Q1109" t="e">
        <f t="shared" ca="1" si="516"/>
        <v>#VALUE!</v>
      </c>
      <c r="R1109" t="e">
        <f t="shared" ca="1" si="517"/>
        <v>#VALUE!</v>
      </c>
      <c r="S1109" t="e">
        <f t="shared" ca="1" si="518"/>
        <v>#VALUE!</v>
      </c>
      <c r="T1109" t="e">
        <f t="shared" ca="1" si="519"/>
        <v>#VALUE!</v>
      </c>
      <c r="U1109" t="e">
        <f t="shared" ca="1" si="540"/>
        <v>#VALUE!</v>
      </c>
      <c r="V1109" t="e">
        <f t="shared" ca="1" si="541"/>
        <v>#VALUE!</v>
      </c>
      <c r="W1109" t="e">
        <f t="shared" ca="1" si="520"/>
        <v>#VALUE!</v>
      </c>
      <c r="X1109" t="e">
        <f t="shared" ca="1" si="521"/>
        <v>#VALUE!</v>
      </c>
      <c r="Y1109" t="e">
        <f t="shared" ca="1" si="522"/>
        <v>#VALUE!</v>
      </c>
      <c r="Z1109" t="e">
        <f t="shared" ca="1" si="523"/>
        <v>#VALUE!</v>
      </c>
      <c r="AA1109" t="e">
        <f t="shared" ca="1" si="524"/>
        <v>#VALUE!</v>
      </c>
      <c r="AB1109" t="e">
        <f t="shared" ca="1" si="525"/>
        <v>#VALUE!</v>
      </c>
      <c r="AC1109" t="e">
        <f t="shared" ca="1" si="526"/>
        <v>#VALUE!</v>
      </c>
      <c r="AD1109" t="e">
        <f t="shared" ca="1" si="527"/>
        <v>#VALUE!</v>
      </c>
      <c r="AE1109" t="e">
        <f t="shared" ca="1" si="528"/>
        <v>#VALUE!</v>
      </c>
      <c r="AF1109" t="e">
        <f t="shared" ca="1" si="529"/>
        <v>#VALUE!</v>
      </c>
      <c r="AG1109" t="e">
        <f t="shared" ca="1" si="530"/>
        <v>#VALUE!</v>
      </c>
      <c r="AH1109" t="e">
        <f ca="1">IF(V32="Supercritical",L1109,IF(V32="Subcritical",W1109,IF(AND(V1109=1,AG1109=1),IF(T1109&gt;=AE1109,L1109,W1109),IF(V1109=1,L1109,IF(AG1109=1,W1109,MAX($D$16,POWER((ABS(K1109)^2)/($I$5*MAX(F1109,0.1)^2),1/3)))))))</f>
        <v>#VALUE!</v>
      </c>
      <c r="AI1109" t="e">
        <f t="shared" ca="1" si="531"/>
        <v>#VALUE!</v>
      </c>
      <c r="AJ1109" t="e">
        <f t="shared" ca="1" si="532"/>
        <v>#VALUE!</v>
      </c>
      <c r="AM1109">
        <v>0</v>
      </c>
      <c r="AN1109">
        <v>0</v>
      </c>
      <c r="AO1109">
        <f t="shared" si="533"/>
        <v>0</v>
      </c>
      <c r="AP1109">
        <f t="shared" si="542"/>
        <v>0</v>
      </c>
      <c r="AQ1109" t="e">
        <f t="shared" ca="1" si="534"/>
        <v>#VALUE!</v>
      </c>
      <c r="AR1109" t="e">
        <f t="shared" ca="1" si="535"/>
        <v>#VALUE!</v>
      </c>
      <c r="AS1109" t="e">
        <f t="shared" ca="1" si="536"/>
        <v>#VALUE!</v>
      </c>
    </row>
    <row r="1110" spans="1:45" x14ac:dyDescent="0.35">
      <c r="A1110">
        <v>961</v>
      </c>
      <c r="B1110">
        <v>959.88900000000001</v>
      </c>
      <c r="C1110">
        <v>616082.85600000003</v>
      </c>
      <c r="D1110">
        <v>3097044.0129999998</v>
      </c>
      <c r="E1110">
        <v>632.08199999999999</v>
      </c>
      <c r="F1110">
        <v>5.2</v>
      </c>
      <c r="G1110">
        <v>0</v>
      </c>
      <c r="H1110" t="s">
        <v>191</v>
      </c>
      <c r="I1110">
        <v>5.7000000000000002E-2</v>
      </c>
      <c r="J1110">
        <f t="shared" si="537"/>
        <v>1</v>
      </c>
      <c r="K1110">
        <f t="shared" si="538"/>
        <v>51</v>
      </c>
      <c r="L1110" t="e">
        <f t="shared" ca="1" si="539"/>
        <v>#VALUE!</v>
      </c>
      <c r="M1110" t="e">
        <f t="shared" ref="M1110:M1173" ca="1" si="543">((F1110)+(G1110)*(L1110))*(L1110)</f>
        <v>#VALUE!</v>
      </c>
      <c r="N1110" t="e">
        <f t="shared" ref="N1110:N1173" ca="1" si="544">(((F1110)+(G1110)*(L1110))*(L1110))/MAX((F1110)+2*(L1110)*SQRT(1+(G1110)^2),0.000001)</f>
        <v>#VALUE!</v>
      </c>
      <c r="O1110" t="e">
        <f t="shared" ref="O1110:O1173" ca="1" si="545">ABS(K1110)/MAX(((F1110)+(G1110)*(L1110))*(L1110),0.000001)</f>
        <v>#VALUE!</v>
      </c>
      <c r="P1110" t="e">
        <f t="shared" ref="P1110:P1173" ca="1" si="546">E1110+L1110</f>
        <v>#VALUE!</v>
      </c>
      <c r="Q1110" t="e">
        <f t="shared" ref="Q1110:Q1173" ca="1" si="547">P1110+((ABS(K1110)/MAX(((F1110)+(G1110)*(L1110))*(L1110),0.000001))^2)/(2*$I$5)</f>
        <v>#VALUE!</v>
      </c>
      <c r="R1110" t="e">
        <f t="shared" ref="R1110:R1173" ca="1" si="548">((ABS(K1110)*$D$6)/(MAX(((F1110)+(G1110)*(L1110))*(L1110),0.000001)*MAX(((((F1110)+(G1110)*(L1110))*(L1110))/MAX((F1110)+2*(L1110)*SQRT(1+(G1110)^2),0.000001))^(2/3),0.000001)))^2</f>
        <v>#VALUE!</v>
      </c>
      <c r="S1110" t="e">
        <f t="shared" ref="S1110:S1173" ca="1" si="549">ABS(ABS(K1110)/MAX(((F1110)+(G1110)*(L1110))*(L1110),0.000001))/SQRT($I$5*MAX((((F1110)+(G1110)*(L1110))*(L1110))/MAX((F1110)+2*(G1110)*(L1110),0.000001),0.000001))</f>
        <v>#VALUE!</v>
      </c>
      <c r="T1110" t="e">
        <f t="shared" ref="T1110:T1173" ca="1" si="550">((F1110)*(L1110)^2)/2+(G1110)*(L1110)^3/3+(ABS(K1110)^2)/($I$5*MAX(((F1110)+(G1110)*(L1110))*(L1110),0.000001))</f>
        <v>#VALUE!</v>
      </c>
      <c r="U1110" t="e">
        <f t="shared" ca="1" si="540"/>
        <v>#VALUE!</v>
      </c>
      <c r="V1110" t="e">
        <f t="shared" ca="1" si="541"/>
        <v>#VALUE!</v>
      </c>
      <c r="W1110" t="e">
        <f t="shared" ref="W1110:W1173" ca="1" si="551">IF($D$20=0,W1111,IF(AG1111=0,W1111,IF(W1110=0,W1111,IF(ABS(AF1110)&gt;$D$19,MAX($D$16,W1110+((AF1110)*$D$18*IF((AD1110)&lt;1,1,-1))),W1110))))</f>
        <v>#VALUE!</v>
      </c>
      <c r="X1110" t="e">
        <f t="shared" ref="X1110:X1173" ca="1" si="552">((F1110)+(G1110)*(W1110))*(W1110)</f>
        <v>#VALUE!</v>
      </c>
      <c r="Y1110" t="e">
        <f t="shared" ref="Y1110:Y1173" ca="1" si="553">(((F1110)+(G1110)*(W1110))*(W1110))/MAX((F1110)+2*(W1110)*SQRT(1+(G1110)^2),0.000001)</f>
        <v>#VALUE!</v>
      </c>
      <c r="Z1110" t="e">
        <f t="shared" ref="Z1110:Z1173" ca="1" si="554">ABS(K1110)/MAX(((F1110)+(G1110)*(W1110))*(W1110),0.000001)</f>
        <v>#VALUE!</v>
      </c>
      <c r="AA1110" t="e">
        <f t="shared" ref="AA1110:AA1173" ca="1" si="555">E1110+W1110</f>
        <v>#VALUE!</v>
      </c>
      <c r="AB1110" t="e">
        <f t="shared" ref="AB1110:AB1173" ca="1" si="556">AA1110+((ABS(K1110)/MAX(((F1110)+(G1110)*(W1110))*(W1110),0.000001))^2)/(2*$I$5)</f>
        <v>#VALUE!</v>
      </c>
      <c r="AC1110" t="e">
        <f t="shared" ref="AC1110:AC1173" ca="1" si="557">((ABS(K1110)*$D$6)/(MAX(((F1110)+(G1110)*(W1110))*(W1110),0.000001)*MAX(((((F1110)+(G1110)*(W1110))*(W1110))/MAX((F1110)+2*(W1110)*SQRT(1+(G1110)^2),0.000001))^(2/3),0.000001)))^2</f>
        <v>#VALUE!</v>
      </c>
      <c r="AD1110" t="e">
        <f t="shared" ref="AD1110:AD1173" ca="1" si="558">ABS(ABS(K1110)/MAX(((F1110)+(G1110)*(W1110))*(W1110),0.000001))/SQRT($I$5*MAX((((F1110)+(G1110)*(W1110))*(W1110))/MAX((F1110)+2*(G1110)*(W1110),0.000001),0.000001))</f>
        <v>#VALUE!</v>
      </c>
      <c r="AE1110" t="e">
        <f t="shared" ref="AE1110:AE1173" ca="1" si="559">((F1110)*(W1110)^2)/2+(G1110)*(W1110)^3/3+(ABS(K1110)^2)/($I$5*MAX(((F1110)+(G1110)*(W1110))*(W1110),0.000001))</f>
        <v>#VALUE!</v>
      </c>
      <c r="AF1110" t="e">
        <f t="shared" ref="AF1110:AF1173" ca="1" si="560">AB1111+(((AC1110+AC1111)/2)*J1111)+(IF(Z1110&gt;Z1111,$D$8*((Z1110^2-Z1111^2)/(2*$I$5)),$D$9*((Z1111^2-Z1110^2)/(2*$I$5)))+($D$10*(ABS(I1111)/90)*(MAX(Z1110^2,Z1111^2)/(2*$I$5))))-AB1110</f>
        <v>#VALUE!</v>
      </c>
      <c r="AG1110" t="e">
        <f t="shared" ref="AG1110:AG1173" ca="1" si="561">IF(ABS(AF1110)&lt;$D$19,1,0)</f>
        <v>#VALUE!</v>
      </c>
      <c r="AH1110" t="e">
        <f ca="1">IF(V32="Supercritical",L1110,IF(V32="Subcritical",W1110,IF(AND(V1110=1,AG1110=1),IF(T1110&gt;=AE1110,L1110,W1110),IF(V1110=1,L1110,IF(AG1110=1,W1110,MAX($D$16,POWER((ABS(K1110)^2)/($I$5*MAX(F1110,0.1)^2),1/3)))))))</f>
        <v>#VALUE!</v>
      </c>
      <c r="AI1110" t="e">
        <f t="shared" ref="AI1110:AI1173" ca="1" si="562">E1110+AH1110</f>
        <v>#VALUE!</v>
      </c>
      <c r="AJ1110" t="e">
        <f t="shared" ref="AJ1110:AJ1173" ca="1" si="563">AI1110+((ABS(K1110)/MAX(((F1110)+(G1110)*(AH1110))*(AH1110),0.000001))^2)/(2*$I$5)</f>
        <v>#VALUE!</v>
      </c>
      <c r="AM1110">
        <v>0</v>
      </c>
      <c r="AN1110">
        <v>0</v>
      </c>
      <c r="AO1110">
        <f t="shared" ref="AO1110:AO1173" si="564">AM1110+AN1110</f>
        <v>0</v>
      </c>
      <c r="AP1110">
        <f t="shared" si="542"/>
        <v>0</v>
      </c>
      <c r="AQ1110" t="e">
        <f t="shared" ref="AQ1110:AQ1173" ca="1" si="565">ABS(ABS(K1110)/MAX(((F1110)+(G1110)*(AH1110))*(AH1110),0.000001))/SQRT($I$5*MAX((((F1110)+(G1110)*(AH1110))*(AH1110))/MAX((F1110)+2*(G1110)*(AH1110),0.000001),0.000001))</f>
        <v>#VALUE!</v>
      </c>
      <c r="AR1110" t="e">
        <f t="shared" ref="AR1110:AR1173" ca="1" si="566">IF(AQ1110&lt;1,"Subcritical","Supercritical")</f>
        <v>#VALUE!</v>
      </c>
      <c r="AS1110" t="e">
        <f t="shared" ref="AS1110:AS1173" ca="1" si="567">((ABS(K1110)*$D$6)/(MAX(((F1110)+(G1110)*(AH1110))*(AH1110),0.000001)*MAX(((((F1110)+(G1110)*(AH1110))*(AH1110))/MAX((F1110)+2*(AH1110)*SQRT(1+(G1110)^2),0.000001))^(2/3),0.000001)))^2</f>
        <v>#VALUE!</v>
      </c>
    </row>
    <row r="1111" spans="1:45" x14ac:dyDescent="0.35">
      <c r="A1111">
        <v>962</v>
      </c>
      <c r="B1111">
        <v>960.88900000000001</v>
      </c>
      <c r="C1111">
        <v>616082.81400000001</v>
      </c>
      <c r="D1111">
        <v>3097043.014</v>
      </c>
      <c r="E1111">
        <v>632.08150000000001</v>
      </c>
      <c r="F1111">
        <v>5.2</v>
      </c>
      <c r="G1111">
        <v>0</v>
      </c>
      <c r="H1111" t="s">
        <v>191</v>
      </c>
      <c r="I1111">
        <v>0</v>
      </c>
      <c r="J1111">
        <f t="shared" ref="J1111:J1174" si="568">B1111-B1110</f>
        <v>1</v>
      </c>
      <c r="K1111">
        <f t="shared" ref="K1111:K1174" si="569">MAX(0,K1110-AO1110)</f>
        <v>51</v>
      </c>
      <c r="L1111" t="e">
        <f t="shared" ref="L1111:L1174" ca="1" si="570">IF($D$20=0,L1110,IF(V1110=0,L1110,IF(L1111=0,L1110,IF(ABS(U1111)&gt;$D$19,MAX($D$16,L1111+((U1111)*$D$18*IF((S1111)&lt;1,1,-1))),L1111))))</f>
        <v>#VALUE!</v>
      </c>
      <c r="M1111" t="e">
        <f t="shared" ca="1" si="543"/>
        <v>#VALUE!</v>
      </c>
      <c r="N1111" t="e">
        <f t="shared" ca="1" si="544"/>
        <v>#VALUE!</v>
      </c>
      <c r="O1111" t="e">
        <f t="shared" ca="1" si="545"/>
        <v>#VALUE!</v>
      </c>
      <c r="P1111" t="e">
        <f t="shared" ca="1" si="546"/>
        <v>#VALUE!</v>
      </c>
      <c r="Q1111" t="e">
        <f t="shared" ca="1" si="547"/>
        <v>#VALUE!</v>
      </c>
      <c r="R1111" t="e">
        <f t="shared" ca="1" si="548"/>
        <v>#VALUE!</v>
      </c>
      <c r="S1111" t="e">
        <f t="shared" ca="1" si="549"/>
        <v>#VALUE!</v>
      </c>
      <c r="T1111" t="e">
        <f t="shared" ca="1" si="550"/>
        <v>#VALUE!</v>
      </c>
      <c r="U1111" t="e">
        <f t="shared" ref="U1111:U1174" ca="1" si="571">Q1110-(((R1110+R1111)/2)*J1111)-(IF(O1110&gt;O1111,$D$8*((O1110^2-O1111^2)/(2*$I$5)),$D$9*((O1111^2-O1110^2)/(2*$I$5)))+($D$10*(ABS(I1111)/90)*(MAX(O1110^2,O1111^2)/(2*$I$5))))-Q1111</f>
        <v>#VALUE!</v>
      </c>
      <c r="V1111" t="e">
        <f t="shared" ref="V1111:V1174" ca="1" si="572">IF(ABS(U1111)&lt;$D$19,1,0)</f>
        <v>#VALUE!</v>
      </c>
      <c r="W1111" t="e">
        <f t="shared" ca="1" si="551"/>
        <v>#VALUE!</v>
      </c>
      <c r="X1111" t="e">
        <f t="shared" ca="1" si="552"/>
        <v>#VALUE!</v>
      </c>
      <c r="Y1111" t="e">
        <f t="shared" ca="1" si="553"/>
        <v>#VALUE!</v>
      </c>
      <c r="Z1111" t="e">
        <f t="shared" ca="1" si="554"/>
        <v>#VALUE!</v>
      </c>
      <c r="AA1111" t="e">
        <f t="shared" ca="1" si="555"/>
        <v>#VALUE!</v>
      </c>
      <c r="AB1111" t="e">
        <f t="shared" ca="1" si="556"/>
        <v>#VALUE!</v>
      </c>
      <c r="AC1111" t="e">
        <f t="shared" ca="1" si="557"/>
        <v>#VALUE!</v>
      </c>
      <c r="AD1111" t="e">
        <f t="shared" ca="1" si="558"/>
        <v>#VALUE!</v>
      </c>
      <c r="AE1111" t="e">
        <f t="shared" ca="1" si="559"/>
        <v>#VALUE!</v>
      </c>
      <c r="AF1111" t="e">
        <f t="shared" ca="1" si="560"/>
        <v>#VALUE!</v>
      </c>
      <c r="AG1111" t="e">
        <f t="shared" ca="1" si="561"/>
        <v>#VALUE!</v>
      </c>
      <c r="AH1111" t="e">
        <f ca="1">IF(V32="Supercritical",L1111,IF(V32="Subcritical",W1111,IF(AND(V1111=1,AG1111=1),IF(T1111&gt;=AE1111,L1111,W1111),IF(V1111=1,L1111,IF(AG1111=1,W1111,MAX($D$16,POWER((ABS(K1111)^2)/($I$5*MAX(F1111,0.1)^2),1/3)))))))</f>
        <v>#VALUE!</v>
      </c>
      <c r="AI1111" t="e">
        <f t="shared" ca="1" si="562"/>
        <v>#VALUE!</v>
      </c>
      <c r="AJ1111" t="e">
        <f t="shared" ca="1" si="563"/>
        <v>#VALUE!</v>
      </c>
      <c r="AM1111">
        <v>0</v>
      </c>
      <c r="AN1111">
        <v>0</v>
      </c>
      <c r="AO1111">
        <f t="shared" si="564"/>
        <v>0</v>
      </c>
      <c r="AP1111">
        <f t="shared" ref="AP1111:AP1174" si="573">AP1110+AO1111</f>
        <v>0</v>
      </c>
      <c r="AQ1111" t="e">
        <f t="shared" ca="1" si="565"/>
        <v>#VALUE!</v>
      </c>
      <c r="AR1111" t="e">
        <f t="shared" ca="1" si="566"/>
        <v>#VALUE!</v>
      </c>
      <c r="AS1111" t="e">
        <f t="shared" ca="1" si="567"/>
        <v>#VALUE!</v>
      </c>
    </row>
    <row r="1112" spans="1:45" x14ac:dyDescent="0.35">
      <c r="A1112">
        <v>963</v>
      </c>
      <c r="B1112">
        <v>961.88900000000001</v>
      </c>
      <c r="C1112">
        <v>616082.772</v>
      </c>
      <c r="D1112">
        <v>3097042.0150000001</v>
      </c>
      <c r="E1112">
        <v>632.08100000000002</v>
      </c>
      <c r="F1112">
        <v>5.2</v>
      </c>
      <c r="G1112">
        <v>0</v>
      </c>
      <c r="H1112" t="s">
        <v>191</v>
      </c>
      <c r="I1112">
        <v>0</v>
      </c>
      <c r="J1112">
        <f t="shared" si="568"/>
        <v>1</v>
      </c>
      <c r="K1112">
        <f t="shared" si="569"/>
        <v>51</v>
      </c>
      <c r="L1112" t="e">
        <f t="shared" ca="1" si="570"/>
        <v>#VALUE!</v>
      </c>
      <c r="M1112" t="e">
        <f t="shared" ca="1" si="543"/>
        <v>#VALUE!</v>
      </c>
      <c r="N1112" t="e">
        <f t="shared" ca="1" si="544"/>
        <v>#VALUE!</v>
      </c>
      <c r="O1112" t="e">
        <f t="shared" ca="1" si="545"/>
        <v>#VALUE!</v>
      </c>
      <c r="P1112" t="e">
        <f t="shared" ca="1" si="546"/>
        <v>#VALUE!</v>
      </c>
      <c r="Q1112" t="e">
        <f t="shared" ca="1" si="547"/>
        <v>#VALUE!</v>
      </c>
      <c r="R1112" t="e">
        <f t="shared" ca="1" si="548"/>
        <v>#VALUE!</v>
      </c>
      <c r="S1112" t="e">
        <f t="shared" ca="1" si="549"/>
        <v>#VALUE!</v>
      </c>
      <c r="T1112" t="e">
        <f t="shared" ca="1" si="550"/>
        <v>#VALUE!</v>
      </c>
      <c r="U1112" t="e">
        <f t="shared" ca="1" si="571"/>
        <v>#VALUE!</v>
      </c>
      <c r="V1112" t="e">
        <f t="shared" ca="1" si="572"/>
        <v>#VALUE!</v>
      </c>
      <c r="W1112" t="e">
        <f t="shared" ca="1" si="551"/>
        <v>#VALUE!</v>
      </c>
      <c r="X1112" t="e">
        <f t="shared" ca="1" si="552"/>
        <v>#VALUE!</v>
      </c>
      <c r="Y1112" t="e">
        <f t="shared" ca="1" si="553"/>
        <v>#VALUE!</v>
      </c>
      <c r="Z1112" t="e">
        <f t="shared" ca="1" si="554"/>
        <v>#VALUE!</v>
      </c>
      <c r="AA1112" t="e">
        <f t="shared" ca="1" si="555"/>
        <v>#VALUE!</v>
      </c>
      <c r="AB1112" t="e">
        <f t="shared" ca="1" si="556"/>
        <v>#VALUE!</v>
      </c>
      <c r="AC1112" t="e">
        <f t="shared" ca="1" si="557"/>
        <v>#VALUE!</v>
      </c>
      <c r="AD1112" t="e">
        <f t="shared" ca="1" si="558"/>
        <v>#VALUE!</v>
      </c>
      <c r="AE1112" t="e">
        <f t="shared" ca="1" si="559"/>
        <v>#VALUE!</v>
      </c>
      <c r="AF1112" t="e">
        <f t="shared" ca="1" si="560"/>
        <v>#VALUE!</v>
      </c>
      <c r="AG1112" t="e">
        <f t="shared" ca="1" si="561"/>
        <v>#VALUE!</v>
      </c>
      <c r="AH1112" t="e">
        <f ca="1">IF(V32="Supercritical",L1112,IF(V32="Subcritical",W1112,IF(AND(V1112=1,AG1112=1),IF(T1112&gt;=AE1112,L1112,W1112),IF(V1112=1,L1112,IF(AG1112=1,W1112,MAX($D$16,POWER((ABS(K1112)^2)/($I$5*MAX(F1112,0.1)^2),1/3)))))))</f>
        <v>#VALUE!</v>
      </c>
      <c r="AI1112" t="e">
        <f t="shared" ca="1" si="562"/>
        <v>#VALUE!</v>
      </c>
      <c r="AJ1112" t="e">
        <f t="shared" ca="1" si="563"/>
        <v>#VALUE!</v>
      </c>
      <c r="AM1112">
        <v>0</v>
      </c>
      <c r="AN1112">
        <v>0</v>
      </c>
      <c r="AO1112">
        <f t="shared" si="564"/>
        <v>0</v>
      </c>
      <c r="AP1112">
        <f t="shared" si="573"/>
        <v>0</v>
      </c>
      <c r="AQ1112" t="e">
        <f t="shared" ca="1" si="565"/>
        <v>#VALUE!</v>
      </c>
      <c r="AR1112" t="e">
        <f t="shared" ca="1" si="566"/>
        <v>#VALUE!</v>
      </c>
      <c r="AS1112" t="e">
        <f t="shared" ca="1" si="567"/>
        <v>#VALUE!</v>
      </c>
    </row>
    <row r="1113" spans="1:45" x14ac:dyDescent="0.35">
      <c r="A1113">
        <v>964</v>
      </c>
      <c r="B1113">
        <v>962.88900000000001</v>
      </c>
      <c r="C1113">
        <v>616082.73</v>
      </c>
      <c r="D1113">
        <v>3097041.0159999998</v>
      </c>
      <c r="E1113">
        <v>632.08050000000003</v>
      </c>
      <c r="F1113">
        <v>5.2</v>
      </c>
      <c r="G1113">
        <v>0</v>
      </c>
      <c r="H1113" t="s">
        <v>191</v>
      </c>
      <c r="I1113">
        <v>5.7000000000000002E-2</v>
      </c>
      <c r="J1113">
        <f t="shared" si="568"/>
        <v>1</v>
      </c>
      <c r="K1113">
        <f t="shared" si="569"/>
        <v>51</v>
      </c>
      <c r="L1113" t="e">
        <f t="shared" ca="1" si="570"/>
        <v>#VALUE!</v>
      </c>
      <c r="M1113" t="e">
        <f t="shared" ca="1" si="543"/>
        <v>#VALUE!</v>
      </c>
      <c r="N1113" t="e">
        <f t="shared" ca="1" si="544"/>
        <v>#VALUE!</v>
      </c>
      <c r="O1113" t="e">
        <f t="shared" ca="1" si="545"/>
        <v>#VALUE!</v>
      </c>
      <c r="P1113" t="e">
        <f t="shared" ca="1" si="546"/>
        <v>#VALUE!</v>
      </c>
      <c r="Q1113" t="e">
        <f t="shared" ca="1" si="547"/>
        <v>#VALUE!</v>
      </c>
      <c r="R1113" t="e">
        <f t="shared" ca="1" si="548"/>
        <v>#VALUE!</v>
      </c>
      <c r="S1113" t="e">
        <f t="shared" ca="1" si="549"/>
        <v>#VALUE!</v>
      </c>
      <c r="T1113" t="e">
        <f t="shared" ca="1" si="550"/>
        <v>#VALUE!</v>
      </c>
      <c r="U1113" t="e">
        <f t="shared" ca="1" si="571"/>
        <v>#VALUE!</v>
      </c>
      <c r="V1113" t="e">
        <f t="shared" ca="1" si="572"/>
        <v>#VALUE!</v>
      </c>
      <c r="W1113" t="e">
        <f t="shared" ca="1" si="551"/>
        <v>#VALUE!</v>
      </c>
      <c r="X1113" t="e">
        <f t="shared" ca="1" si="552"/>
        <v>#VALUE!</v>
      </c>
      <c r="Y1113" t="e">
        <f t="shared" ca="1" si="553"/>
        <v>#VALUE!</v>
      </c>
      <c r="Z1113" t="e">
        <f t="shared" ca="1" si="554"/>
        <v>#VALUE!</v>
      </c>
      <c r="AA1113" t="e">
        <f t="shared" ca="1" si="555"/>
        <v>#VALUE!</v>
      </c>
      <c r="AB1113" t="e">
        <f t="shared" ca="1" si="556"/>
        <v>#VALUE!</v>
      </c>
      <c r="AC1113" t="e">
        <f t="shared" ca="1" si="557"/>
        <v>#VALUE!</v>
      </c>
      <c r="AD1113" t="e">
        <f t="shared" ca="1" si="558"/>
        <v>#VALUE!</v>
      </c>
      <c r="AE1113" t="e">
        <f t="shared" ca="1" si="559"/>
        <v>#VALUE!</v>
      </c>
      <c r="AF1113" t="e">
        <f t="shared" ca="1" si="560"/>
        <v>#VALUE!</v>
      </c>
      <c r="AG1113" t="e">
        <f t="shared" ca="1" si="561"/>
        <v>#VALUE!</v>
      </c>
      <c r="AH1113" t="e">
        <f ca="1">IF(V32="Supercritical",L1113,IF(V32="Subcritical",W1113,IF(AND(V1113=1,AG1113=1),IF(T1113&gt;=AE1113,L1113,W1113),IF(V1113=1,L1113,IF(AG1113=1,W1113,MAX($D$16,POWER((ABS(K1113)^2)/($I$5*MAX(F1113,0.1)^2),1/3)))))))</f>
        <v>#VALUE!</v>
      </c>
      <c r="AI1113" t="e">
        <f t="shared" ca="1" si="562"/>
        <v>#VALUE!</v>
      </c>
      <c r="AJ1113" t="e">
        <f t="shared" ca="1" si="563"/>
        <v>#VALUE!</v>
      </c>
      <c r="AM1113">
        <v>0</v>
      </c>
      <c r="AN1113">
        <v>0</v>
      </c>
      <c r="AO1113">
        <f t="shared" si="564"/>
        <v>0</v>
      </c>
      <c r="AP1113">
        <f t="shared" si="573"/>
        <v>0</v>
      </c>
      <c r="AQ1113" t="e">
        <f t="shared" ca="1" si="565"/>
        <v>#VALUE!</v>
      </c>
      <c r="AR1113" t="e">
        <f t="shared" ca="1" si="566"/>
        <v>#VALUE!</v>
      </c>
      <c r="AS1113" t="e">
        <f t="shared" ca="1" si="567"/>
        <v>#VALUE!</v>
      </c>
    </row>
    <row r="1114" spans="1:45" x14ac:dyDescent="0.35">
      <c r="A1114">
        <v>965</v>
      </c>
      <c r="B1114">
        <v>963.88900000000001</v>
      </c>
      <c r="C1114">
        <v>616082.68700000003</v>
      </c>
      <c r="D1114">
        <v>3097040.017</v>
      </c>
      <c r="E1114">
        <v>632.08000000000004</v>
      </c>
      <c r="F1114">
        <v>5.2</v>
      </c>
      <c r="G1114">
        <v>0</v>
      </c>
      <c r="H1114" t="s">
        <v>191</v>
      </c>
      <c r="I1114">
        <v>0.06</v>
      </c>
      <c r="J1114">
        <f t="shared" si="568"/>
        <v>1</v>
      </c>
      <c r="K1114">
        <f t="shared" si="569"/>
        <v>51</v>
      </c>
      <c r="L1114" t="e">
        <f t="shared" ca="1" si="570"/>
        <v>#VALUE!</v>
      </c>
      <c r="M1114" t="e">
        <f t="shared" ca="1" si="543"/>
        <v>#VALUE!</v>
      </c>
      <c r="N1114" t="e">
        <f t="shared" ca="1" si="544"/>
        <v>#VALUE!</v>
      </c>
      <c r="O1114" t="e">
        <f t="shared" ca="1" si="545"/>
        <v>#VALUE!</v>
      </c>
      <c r="P1114" t="e">
        <f t="shared" ca="1" si="546"/>
        <v>#VALUE!</v>
      </c>
      <c r="Q1114" t="e">
        <f t="shared" ca="1" si="547"/>
        <v>#VALUE!</v>
      </c>
      <c r="R1114" t="e">
        <f t="shared" ca="1" si="548"/>
        <v>#VALUE!</v>
      </c>
      <c r="S1114" t="e">
        <f t="shared" ca="1" si="549"/>
        <v>#VALUE!</v>
      </c>
      <c r="T1114" t="e">
        <f t="shared" ca="1" si="550"/>
        <v>#VALUE!</v>
      </c>
      <c r="U1114" t="e">
        <f t="shared" ca="1" si="571"/>
        <v>#VALUE!</v>
      </c>
      <c r="V1114" t="e">
        <f t="shared" ca="1" si="572"/>
        <v>#VALUE!</v>
      </c>
      <c r="W1114" t="e">
        <f t="shared" ca="1" si="551"/>
        <v>#VALUE!</v>
      </c>
      <c r="X1114" t="e">
        <f t="shared" ca="1" si="552"/>
        <v>#VALUE!</v>
      </c>
      <c r="Y1114" t="e">
        <f t="shared" ca="1" si="553"/>
        <v>#VALUE!</v>
      </c>
      <c r="Z1114" t="e">
        <f t="shared" ca="1" si="554"/>
        <v>#VALUE!</v>
      </c>
      <c r="AA1114" t="e">
        <f t="shared" ca="1" si="555"/>
        <v>#VALUE!</v>
      </c>
      <c r="AB1114" t="e">
        <f t="shared" ca="1" si="556"/>
        <v>#VALUE!</v>
      </c>
      <c r="AC1114" t="e">
        <f t="shared" ca="1" si="557"/>
        <v>#VALUE!</v>
      </c>
      <c r="AD1114" t="e">
        <f t="shared" ca="1" si="558"/>
        <v>#VALUE!</v>
      </c>
      <c r="AE1114" t="e">
        <f t="shared" ca="1" si="559"/>
        <v>#VALUE!</v>
      </c>
      <c r="AF1114" t="e">
        <f t="shared" ca="1" si="560"/>
        <v>#VALUE!</v>
      </c>
      <c r="AG1114" t="e">
        <f t="shared" ca="1" si="561"/>
        <v>#VALUE!</v>
      </c>
      <c r="AH1114" t="e">
        <f ca="1">IF(V32="Supercritical",L1114,IF(V32="Subcritical",W1114,IF(AND(V1114=1,AG1114=1),IF(T1114&gt;=AE1114,L1114,W1114),IF(V1114=1,L1114,IF(AG1114=1,W1114,MAX($D$16,POWER((ABS(K1114)^2)/($I$5*MAX(F1114,0.1)^2),1/3)))))))</f>
        <v>#VALUE!</v>
      </c>
      <c r="AI1114" t="e">
        <f t="shared" ca="1" si="562"/>
        <v>#VALUE!</v>
      </c>
      <c r="AJ1114" t="e">
        <f t="shared" ca="1" si="563"/>
        <v>#VALUE!</v>
      </c>
      <c r="AM1114">
        <v>0</v>
      </c>
      <c r="AN1114">
        <v>0</v>
      </c>
      <c r="AO1114">
        <f t="shared" si="564"/>
        <v>0</v>
      </c>
      <c r="AP1114">
        <f t="shared" si="573"/>
        <v>0</v>
      </c>
      <c r="AQ1114" t="e">
        <f t="shared" ca="1" si="565"/>
        <v>#VALUE!</v>
      </c>
      <c r="AR1114" t="e">
        <f t="shared" ca="1" si="566"/>
        <v>#VALUE!</v>
      </c>
      <c r="AS1114" t="e">
        <f t="shared" ca="1" si="567"/>
        <v>#VALUE!</v>
      </c>
    </row>
    <row r="1115" spans="1:45" x14ac:dyDescent="0.35">
      <c r="A1115">
        <v>966</v>
      </c>
      <c r="B1115">
        <v>964.89</v>
      </c>
      <c r="C1115">
        <v>616082.64500000002</v>
      </c>
      <c r="D1115">
        <v>3097039.017</v>
      </c>
      <c r="E1115">
        <v>632.07950000000005</v>
      </c>
      <c r="F1115">
        <v>5.2</v>
      </c>
      <c r="G1115">
        <v>0</v>
      </c>
      <c r="H1115" t="s">
        <v>191</v>
      </c>
      <c r="I1115">
        <v>2E-3</v>
      </c>
      <c r="J1115">
        <f t="shared" si="568"/>
        <v>1.0009999999999764</v>
      </c>
      <c r="K1115">
        <f t="shared" si="569"/>
        <v>51</v>
      </c>
      <c r="L1115" t="e">
        <f t="shared" ca="1" si="570"/>
        <v>#VALUE!</v>
      </c>
      <c r="M1115" t="e">
        <f t="shared" ca="1" si="543"/>
        <v>#VALUE!</v>
      </c>
      <c r="N1115" t="e">
        <f t="shared" ca="1" si="544"/>
        <v>#VALUE!</v>
      </c>
      <c r="O1115" t="e">
        <f t="shared" ca="1" si="545"/>
        <v>#VALUE!</v>
      </c>
      <c r="P1115" t="e">
        <f t="shared" ca="1" si="546"/>
        <v>#VALUE!</v>
      </c>
      <c r="Q1115" t="e">
        <f t="shared" ca="1" si="547"/>
        <v>#VALUE!</v>
      </c>
      <c r="R1115" t="e">
        <f t="shared" ca="1" si="548"/>
        <v>#VALUE!</v>
      </c>
      <c r="S1115" t="e">
        <f t="shared" ca="1" si="549"/>
        <v>#VALUE!</v>
      </c>
      <c r="T1115" t="e">
        <f t="shared" ca="1" si="550"/>
        <v>#VALUE!</v>
      </c>
      <c r="U1115" t="e">
        <f t="shared" ca="1" si="571"/>
        <v>#VALUE!</v>
      </c>
      <c r="V1115" t="e">
        <f t="shared" ca="1" si="572"/>
        <v>#VALUE!</v>
      </c>
      <c r="W1115" t="e">
        <f t="shared" ca="1" si="551"/>
        <v>#VALUE!</v>
      </c>
      <c r="X1115" t="e">
        <f t="shared" ca="1" si="552"/>
        <v>#VALUE!</v>
      </c>
      <c r="Y1115" t="e">
        <f t="shared" ca="1" si="553"/>
        <v>#VALUE!</v>
      </c>
      <c r="Z1115" t="e">
        <f t="shared" ca="1" si="554"/>
        <v>#VALUE!</v>
      </c>
      <c r="AA1115" t="e">
        <f t="shared" ca="1" si="555"/>
        <v>#VALUE!</v>
      </c>
      <c r="AB1115" t="e">
        <f t="shared" ca="1" si="556"/>
        <v>#VALUE!</v>
      </c>
      <c r="AC1115" t="e">
        <f t="shared" ca="1" si="557"/>
        <v>#VALUE!</v>
      </c>
      <c r="AD1115" t="e">
        <f t="shared" ca="1" si="558"/>
        <v>#VALUE!</v>
      </c>
      <c r="AE1115" t="e">
        <f t="shared" ca="1" si="559"/>
        <v>#VALUE!</v>
      </c>
      <c r="AF1115" t="e">
        <f t="shared" ca="1" si="560"/>
        <v>#VALUE!</v>
      </c>
      <c r="AG1115" t="e">
        <f t="shared" ca="1" si="561"/>
        <v>#VALUE!</v>
      </c>
      <c r="AH1115" t="e">
        <f ca="1">IF(V32="Supercritical",L1115,IF(V32="Subcritical",W1115,IF(AND(V1115=1,AG1115=1),IF(T1115&gt;=AE1115,L1115,W1115),IF(V1115=1,L1115,IF(AG1115=1,W1115,MAX($D$16,POWER((ABS(K1115)^2)/($I$5*MAX(F1115,0.1)^2),1/3)))))))</f>
        <v>#VALUE!</v>
      </c>
      <c r="AI1115" t="e">
        <f t="shared" ca="1" si="562"/>
        <v>#VALUE!</v>
      </c>
      <c r="AJ1115" t="e">
        <f t="shared" ca="1" si="563"/>
        <v>#VALUE!</v>
      </c>
      <c r="AM1115">
        <v>0</v>
      </c>
      <c r="AN1115">
        <v>0</v>
      </c>
      <c r="AO1115">
        <f t="shared" si="564"/>
        <v>0</v>
      </c>
      <c r="AP1115">
        <f t="shared" si="573"/>
        <v>0</v>
      </c>
      <c r="AQ1115" t="e">
        <f t="shared" ca="1" si="565"/>
        <v>#VALUE!</v>
      </c>
      <c r="AR1115" t="e">
        <f t="shared" ca="1" si="566"/>
        <v>#VALUE!</v>
      </c>
      <c r="AS1115" t="e">
        <f t="shared" ca="1" si="567"/>
        <v>#VALUE!</v>
      </c>
    </row>
    <row r="1116" spans="1:45" x14ac:dyDescent="0.35">
      <c r="A1116">
        <v>967</v>
      </c>
      <c r="B1116">
        <v>965.89</v>
      </c>
      <c r="C1116">
        <v>616082.603</v>
      </c>
      <c r="D1116">
        <v>3097038.0180000002</v>
      </c>
      <c r="E1116">
        <v>632.07899999999995</v>
      </c>
      <c r="F1116">
        <v>5.2</v>
      </c>
      <c r="G1116">
        <v>0</v>
      </c>
      <c r="H1116" t="s">
        <v>191</v>
      </c>
      <c r="I1116">
        <v>0</v>
      </c>
      <c r="J1116">
        <f t="shared" si="568"/>
        <v>1</v>
      </c>
      <c r="K1116">
        <f t="shared" si="569"/>
        <v>51</v>
      </c>
      <c r="L1116" t="e">
        <f t="shared" ca="1" si="570"/>
        <v>#VALUE!</v>
      </c>
      <c r="M1116" t="e">
        <f t="shared" ca="1" si="543"/>
        <v>#VALUE!</v>
      </c>
      <c r="N1116" t="e">
        <f t="shared" ca="1" si="544"/>
        <v>#VALUE!</v>
      </c>
      <c r="O1116" t="e">
        <f t="shared" ca="1" si="545"/>
        <v>#VALUE!</v>
      </c>
      <c r="P1116" t="e">
        <f t="shared" ca="1" si="546"/>
        <v>#VALUE!</v>
      </c>
      <c r="Q1116" t="e">
        <f t="shared" ca="1" si="547"/>
        <v>#VALUE!</v>
      </c>
      <c r="R1116" t="e">
        <f t="shared" ca="1" si="548"/>
        <v>#VALUE!</v>
      </c>
      <c r="S1116" t="e">
        <f t="shared" ca="1" si="549"/>
        <v>#VALUE!</v>
      </c>
      <c r="T1116" t="e">
        <f t="shared" ca="1" si="550"/>
        <v>#VALUE!</v>
      </c>
      <c r="U1116" t="e">
        <f t="shared" ca="1" si="571"/>
        <v>#VALUE!</v>
      </c>
      <c r="V1116" t="e">
        <f t="shared" ca="1" si="572"/>
        <v>#VALUE!</v>
      </c>
      <c r="W1116" t="e">
        <f t="shared" ca="1" si="551"/>
        <v>#VALUE!</v>
      </c>
      <c r="X1116" t="e">
        <f t="shared" ca="1" si="552"/>
        <v>#VALUE!</v>
      </c>
      <c r="Y1116" t="e">
        <f t="shared" ca="1" si="553"/>
        <v>#VALUE!</v>
      </c>
      <c r="Z1116" t="e">
        <f t="shared" ca="1" si="554"/>
        <v>#VALUE!</v>
      </c>
      <c r="AA1116" t="e">
        <f t="shared" ca="1" si="555"/>
        <v>#VALUE!</v>
      </c>
      <c r="AB1116" t="e">
        <f t="shared" ca="1" si="556"/>
        <v>#VALUE!</v>
      </c>
      <c r="AC1116" t="e">
        <f t="shared" ca="1" si="557"/>
        <v>#VALUE!</v>
      </c>
      <c r="AD1116" t="e">
        <f t="shared" ca="1" si="558"/>
        <v>#VALUE!</v>
      </c>
      <c r="AE1116" t="e">
        <f t="shared" ca="1" si="559"/>
        <v>#VALUE!</v>
      </c>
      <c r="AF1116" t="e">
        <f t="shared" ca="1" si="560"/>
        <v>#VALUE!</v>
      </c>
      <c r="AG1116" t="e">
        <f t="shared" ca="1" si="561"/>
        <v>#VALUE!</v>
      </c>
      <c r="AH1116" t="e">
        <f ca="1">IF(V32="Supercritical",L1116,IF(V32="Subcritical",W1116,IF(AND(V1116=1,AG1116=1),IF(T1116&gt;=AE1116,L1116,W1116),IF(V1116=1,L1116,IF(AG1116=1,W1116,MAX($D$16,POWER((ABS(K1116)^2)/($I$5*MAX(F1116,0.1)^2),1/3)))))))</f>
        <v>#VALUE!</v>
      </c>
      <c r="AI1116" t="e">
        <f t="shared" ca="1" si="562"/>
        <v>#VALUE!</v>
      </c>
      <c r="AJ1116" t="e">
        <f t="shared" ca="1" si="563"/>
        <v>#VALUE!</v>
      </c>
      <c r="AM1116">
        <v>0</v>
      </c>
      <c r="AN1116">
        <v>0</v>
      </c>
      <c r="AO1116">
        <f t="shared" si="564"/>
        <v>0</v>
      </c>
      <c r="AP1116">
        <f t="shared" si="573"/>
        <v>0</v>
      </c>
      <c r="AQ1116" t="e">
        <f t="shared" ca="1" si="565"/>
        <v>#VALUE!</v>
      </c>
      <c r="AR1116" t="e">
        <f t="shared" ca="1" si="566"/>
        <v>#VALUE!</v>
      </c>
      <c r="AS1116" t="e">
        <f t="shared" ca="1" si="567"/>
        <v>#VALUE!</v>
      </c>
    </row>
    <row r="1117" spans="1:45" x14ac:dyDescent="0.35">
      <c r="A1117">
        <v>968</v>
      </c>
      <c r="B1117">
        <v>966.89</v>
      </c>
      <c r="C1117">
        <v>616082.56099999999</v>
      </c>
      <c r="D1117">
        <v>3097037.0189999999</v>
      </c>
      <c r="E1117">
        <v>632.07849999999996</v>
      </c>
      <c r="F1117">
        <v>5.2</v>
      </c>
      <c r="G1117">
        <v>0</v>
      </c>
      <c r="H1117" t="s">
        <v>191</v>
      </c>
      <c r="I1117">
        <v>5.7000000000000002E-2</v>
      </c>
      <c r="J1117">
        <f t="shared" si="568"/>
        <v>1</v>
      </c>
      <c r="K1117">
        <f t="shared" si="569"/>
        <v>51</v>
      </c>
      <c r="L1117" t="e">
        <f t="shared" ca="1" si="570"/>
        <v>#VALUE!</v>
      </c>
      <c r="M1117" t="e">
        <f t="shared" ca="1" si="543"/>
        <v>#VALUE!</v>
      </c>
      <c r="N1117" t="e">
        <f t="shared" ca="1" si="544"/>
        <v>#VALUE!</v>
      </c>
      <c r="O1117" t="e">
        <f t="shared" ca="1" si="545"/>
        <v>#VALUE!</v>
      </c>
      <c r="P1117" t="e">
        <f t="shared" ca="1" si="546"/>
        <v>#VALUE!</v>
      </c>
      <c r="Q1117" t="e">
        <f t="shared" ca="1" si="547"/>
        <v>#VALUE!</v>
      </c>
      <c r="R1117" t="e">
        <f t="shared" ca="1" si="548"/>
        <v>#VALUE!</v>
      </c>
      <c r="S1117" t="e">
        <f t="shared" ca="1" si="549"/>
        <v>#VALUE!</v>
      </c>
      <c r="T1117" t="e">
        <f t="shared" ca="1" si="550"/>
        <v>#VALUE!</v>
      </c>
      <c r="U1117" t="e">
        <f t="shared" ca="1" si="571"/>
        <v>#VALUE!</v>
      </c>
      <c r="V1117" t="e">
        <f t="shared" ca="1" si="572"/>
        <v>#VALUE!</v>
      </c>
      <c r="W1117" t="e">
        <f t="shared" ca="1" si="551"/>
        <v>#VALUE!</v>
      </c>
      <c r="X1117" t="e">
        <f t="shared" ca="1" si="552"/>
        <v>#VALUE!</v>
      </c>
      <c r="Y1117" t="e">
        <f t="shared" ca="1" si="553"/>
        <v>#VALUE!</v>
      </c>
      <c r="Z1117" t="e">
        <f t="shared" ca="1" si="554"/>
        <v>#VALUE!</v>
      </c>
      <c r="AA1117" t="e">
        <f t="shared" ca="1" si="555"/>
        <v>#VALUE!</v>
      </c>
      <c r="AB1117" t="e">
        <f t="shared" ca="1" si="556"/>
        <v>#VALUE!</v>
      </c>
      <c r="AC1117" t="e">
        <f t="shared" ca="1" si="557"/>
        <v>#VALUE!</v>
      </c>
      <c r="AD1117" t="e">
        <f t="shared" ca="1" si="558"/>
        <v>#VALUE!</v>
      </c>
      <c r="AE1117" t="e">
        <f t="shared" ca="1" si="559"/>
        <v>#VALUE!</v>
      </c>
      <c r="AF1117" t="e">
        <f t="shared" ca="1" si="560"/>
        <v>#VALUE!</v>
      </c>
      <c r="AG1117" t="e">
        <f t="shared" ca="1" si="561"/>
        <v>#VALUE!</v>
      </c>
      <c r="AH1117" t="e">
        <f ca="1">IF(V32="Supercritical",L1117,IF(V32="Subcritical",W1117,IF(AND(V1117=1,AG1117=1),IF(T1117&gt;=AE1117,L1117,W1117),IF(V1117=1,L1117,IF(AG1117=1,W1117,MAX($D$16,POWER((ABS(K1117)^2)/($I$5*MAX(F1117,0.1)^2),1/3)))))))</f>
        <v>#VALUE!</v>
      </c>
      <c r="AI1117" t="e">
        <f t="shared" ca="1" si="562"/>
        <v>#VALUE!</v>
      </c>
      <c r="AJ1117" t="e">
        <f t="shared" ca="1" si="563"/>
        <v>#VALUE!</v>
      </c>
      <c r="AM1117">
        <v>0</v>
      </c>
      <c r="AN1117">
        <v>0</v>
      </c>
      <c r="AO1117">
        <f t="shared" si="564"/>
        <v>0</v>
      </c>
      <c r="AP1117">
        <f t="shared" si="573"/>
        <v>0</v>
      </c>
      <c r="AQ1117" t="e">
        <f t="shared" ca="1" si="565"/>
        <v>#VALUE!</v>
      </c>
      <c r="AR1117" t="e">
        <f t="shared" ca="1" si="566"/>
        <v>#VALUE!</v>
      </c>
      <c r="AS1117" t="e">
        <f t="shared" ca="1" si="567"/>
        <v>#VALUE!</v>
      </c>
    </row>
    <row r="1118" spans="1:45" x14ac:dyDescent="0.35">
      <c r="A1118">
        <v>969</v>
      </c>
      <c r="B1118">
        <v>967.88900000000001</v>
      </c>
      <c r="C1118">
        <v>616082.51800000004</v>
      </c>
      <c r="D1118">
        <v>3097036.02</v>
      </c>
      <c r="E1118">
        <v>632.07799999999997</v>
      </c>
      <c r="F1118">
        <v>5.2</v>
      </c>
      <c r="G1118">
        <v>0</v>
      </c>
      <c r="H1118" t="s">
        <v>191</v>
      </c>
      <c r="I1118">
        <v>5.7000000000000002E-2</v>
      </c>
      <c r="J1118">
        <f t="shared" si="568"/>
        <v>0.99900000000002365</v>
      </c>
      <c r="K1118">
        <f t="shared" si="569"/>
        <v>51</v>
      </c>
      <c r="L1118" t="e">
        <f t="shared" ca="1" si="570"/>
        <v>#VALUE!</v>
      </c>
      <c r="M1118" t="e">
        <f t="shared" ca="1" si="543"/>
        <v>#VALUE!</v>
      </c>
      <c r="N1118" t="e">
        <f t="shared" ca="1" si="544"/>
        <v>#VALUE!</v>
      </c>
      <c r="O1118" t="e">
        <f t="shared" ca="1" si="545"/>
        <v>#VALUE!</v>
      </c>
      <c r="P1118" t="e">
        <f t="shared" ca="1" si="546"/>
        <v>#VALUE!</v>
      </c>
      <c r="Q1118" t="e">
        <f t="shared" ca="1" si="547"/>
        <v>#VALUE!</v>
      </c>
      <c r="R1118" t="e">
        <f t="shared" ca="1" si="548"/>
        <v>#VALUE!</v>
      </c>
      <c r="S1118" t="e">
        <f t="shared" ca="1" si="549"/>
        <v>#VALUE!</v>
      </c>
      <c r="T1118" t="e">
        <f t="shared" ca="1" si="550"/>
        <v>#VALUE!</v>
      </c>
      <c r="U1118" t="e">
        <f t="shared" ca="1" si="571"/>
        <v>#VALUE!</v>
      </c>
      <c r="V1118" t="e">
        <f t="shared" ca="1" si="572"/>
        <v>#VALUE!</v>
      </c>
      <c r="W1118" t="e">
        <f t="shared" ca="1" si="551"/>
        <v>#VALUE!</v>
      </c>
      <c r="X1118" t="e">
        <f t="shared" ca="1" si="552"/>
        <v>#VALUE!</v>
      </c>
      <c r="Y1118" t="e">
        <f t="shared" ca="1" si="553"/>
        <v>#VALUE!</v>
      </c>
      <c r="Z1118" t="e">
        <f t="shared" ca="1" si="554"/>
        <v>#VALUE!</v>
      </c>
      <c r="AA1118" t="e">
        <f t="shared" ca="1" si="555"/>
        <v>#VALUE!</v>
      </c>
      <c r="AB1118" t="e">
        <f t="shared" ca="1" si="556"/>
        <v>#VALUE!</v>
      </c>
      <c r="AC1118" t="e">
        <f t="shared" ca="1" si="557"/>
        <v>#VALUE!</v>
      </c>
      <c r="AD1118" t="e">
        <f t="shared" ca="1" si="558"/>
        <v>#VALUE!</v>
      </c>
      <c r="AE1118" t="e">
        <f t="shared" ca="1" si="559"/>
        <v>#VALUE!</v>
      </c>
      <c r="AF1118" t="e">
        <f t="shared" ca="1" si="560"/>
        <v>#VALUE!</v>
      </c>
      <c r="AG1118" t="e">
        <f t="shared" ca="1" si="561"/>
        <v>#VALUE!</v>
      </c>
      <c r="AH1118" t="e">
        <f ca="1">IF(V32="Supercritical",L1118,IF(V32="Subcritical",W1118,IF(AND(V1118=1,AG1118=1),IF(T1118&gt;=AE1118,L1118,W1118),IF(V1118=1,L1118,IF(AG1118=1,W1118,MAX($D$16,POWER((ABS(K1118)^2)/($I$5*MAX(F1118,0.1)^2),1/3)))))))</f>
        <v>#VALUE!</v>
      </c>
      <c r="AI1118" t="e">
        <f t="shared" ca="1" si="562"/>
        <v>#VALUE!</v>
      </c>
      <c r="AJ1118" t="e">
        <f t="shared" ca="1" si="563"/>
        <v>#VALUE!</v>
      </c>
      <c r="AM1118">
        <v>0</v>
      </c>
      <c r="AN1118">
        <v>0</v>
      </c>
      <c r="AO1118">
        <f t="shared" si="564"/>
        <v>0</v>
      </c>
      <c r="AP1118">
        <f t="shared" si="573"/>
        <v>0</v>
      </c>
      <c r="AQ1118" t="e">
        <f t="shared" ca="1" si="565"/>
        <v>#VALUE!</v>
      </c>
      <c r="AR1118" t="e">
        <f t="shared" ca="1" si="566"/>
        <v>#VALUE!</v>
      </c>
      <c r="AS1118" t="e">
        <f t="shared" ca="1" si="567"/>
        <v>#VALUE!</v>
      </c>
    </row>
    <row r="1119" spans="1:45" x14ac:dyDescent="0.35">
      <c r="A1119">
        <v>970</v>
      </c>
      <c r="B1119">
        <v>968.88900000000001</v>
      </c>
      <c r="C1119">
        <v>616082.47600000002</v>
      </c>
      <c r="D1119">
        <v>3097035.0210000002</v>
      </c>
      <c r="E1119">
        <v>632.07749999999999</v>
      </c>
      <c r="F1119">
        <v>5.2</v>
      </c>
      <c r="G1119">
        <v>0</v>
      </c>
      <c r="H1119" t="s">
        <v>191</v>
      </c>
      <c r="I1119">
        <v>0</v>
      </c>
      <c r="J1119">
        <f t="shared" si="568"/>
        <v>1</v>
      </c>
      <c r="K1119">
        <f t="shared" si="569"/>
        <v>51</v>
      </c>
      <c r="L1119" t="e">
        <f t="shared" ca="1" si="570"/>
        <v>#VALUE!</v>
      </c>
      <c r="M1119" t="e">
        <f t="shared" ca="1" si="543"/>
        <v>#VALUE!</v>
      </c>
      <c r="N1119" t="e">
        <f t="shared" ca="1" si="544"/>
        <v>#VALUE!</v>
      </c>
      <c r="O1119" t="e">
        <f t="shared" ca="1" si="545"/>
        <v>#VALUE!</v>
      </c>
      <c r="P1119" t="e">
        <f t="shared" ca="1" si="546"/>
        <v>#VALUE!</v>
      </c>
      <c r="Q1119" t="e">
        <f t="shared" ca="1" si="547"/>
        <v>#VALUE!</v>
      </c>
      <c r="R1119" t="e">
        <f t="shared" ca="1" si="548"/>
        <v>#VALUE!</v>
      </c>
      <c r="S1119" t="e">
        <f t="shared" ca="1" si="549"/>
        <v>#VALUE!</v>
      </c>
      <c r="T1119" t="e">
        <f t="shared" ca="1" si="550"/>
        <v>#VALUE!</v>
      </c>
      <c r="U1119" t="e">
        <f t="shared" ca="1" si="571"/>
        <v>#VALUE!</v>
      </c>
      <c r="V1119" t="e">
        <f t="shared" ca="1" si="572"/>
        <v>#VALUE!</v>
      </c>
      <c r="W1119" t="e">
        <f t="shared" ca="1" si="551"/>
        <v>#VALUE!</v>
      </c>
      <c r="X1119" t="e">
        <f t="shared" ca="1" si="552"/>
        <v>#VALUE!</v>
      </c>
      <c r="Y1119" t="e">
        <f t="shared" ca="1" si="553"/>
        <v>#VALUE!</v>
      </c>
      <c r="Z1119" t="e">
        <f t="shared" ca="1" si="554"/>
        <v>#VALUE!</v>
      </c>
      <c r="AA1119" t="e">
        <f t="shared" ca="1" si="555"/>
        <v>#VALUE!</v>
      </c>
      <c r="AB1119" t="e">
        <f t="shared" ca="1" si="556"/>
        <v>#VALUE!</v>
      </c>
      <c r="AC1119" t="e">
        <f t="shared" ca="1" si="557"/>
        <v>#VALUE!</v>
      </c>
      <c r="AD1119" t="e">
        <f t="shared" ca="1" si="558"/>
        <v>#VALUE!</v>
      </c>
      <c r="AE1119" t="e">
        <f t="shared" ca="1" si="559"/>
        <v>#VALUE!</v>
      </c>
      <c r="AF1119" t="e">
        <f t="shared" ca="1" si="560"/>
        <v>#VALUE!</v>
      </c>
      <c r="AG1119" t="e">
        <f t="shared" ca="1" si="561"/>
        <v>#VALUE!</v>
      </c>
      <c r="AH1119" t="e">
        <f ca="1">IF(V32="Supercritical",L1119,IF(V32="Subcritical",W1119,IF(AND(V1119=1,AG1119=1),IF(T1119&gt;=AE1119,L1119,W1119),IF(V1119=1,L1119,IF(AG1119=1,W1119,MAX($D$16,POWER((ABS(K1119)^2)/($I$5*MAX(F1119,0.1)^2),1/3)))))))</f>
        <v>#VALUE!</v>
      </c>
      <c r="AI1119" t="e">
        <f t="shared" ca="1" si="562"/>
        <v>#VALUE!</v>
      </c>
      <c r="AJ1119" t="e">
        <f t="shared" ca="1" si="563"/>
        <v>#VALUE!</v>
      </c>
      <c r="AM1119">
        <v>0</v>
      </c>
      <c r="AN1119">
        <v>0</v>
      </c>
      <c r="AO1119">
        <f t="shared" si="564"/>
        <v>0</v>
      </c>
      <c r="AP1119">
        <f t="shared" si="573"/>
        <v>0</v>
      </c>
      <c r="AQ1119" t="e">
        <f t="shared" ca="1" si="565"/>
        <v>#VALUE!</v>
      </c>
      <c r="AR1119" t="e">
        <f t="shared" ca="1" si="566"/>
        <v>#VALUE!</v>
      </c>
      <c r="AS1119" t="e">
        <f t="shared" ca="1" si="567"/>
        <v>#VALUE!</v>
      </c>
    </row>
    <row r="1120" spans="1:45" x14ac:dyDescent="0.35">
      <c r="A1120">
        <v>971</v>
      </c>
      <c r="B1120">
        <v>969.88900000000001</v>
      </c>
      <c r="C1120">
        <v>616082.43400000001</v>
      </c>
      <c r="D1120">
        <v>3097034.0219999999</v>
      </c>
      <c r="E1120">
        <v>632.077</v>
      </c>
      <c r="F1120">
        <v>5.2</v>
      </c>
      <c r="G1120">
        <v>0</v>
      </c>
      <c r="H1120" t="s">
        <v>191</v>
      </c>
      <c r="I1120">
        <v>0</v>
      </c>
      <c r="J1120">
        <f t="shared" si="568"/>
        <v>1</v>
      </c>
      <c r="K1120">
        <f t="shared" si="569"/>
        <v>51</v>
      </c>
      <c r="L1120" t="e">
        <f t="shared" ca="1" si="570"/>
        <v>#VALUE!</v>
      </c>
      <c r="M1120" t="e">
        <f t="shared" ca="1" si="543"/>
        <v>#VALUE!</v>
      </c>
      <c r="N1120" t="e">
        <f t="shared" ca="1" si="544"/>
        <v>#VALUE!</v>
      </c>
      <c r="O1120" t="e">
        <f t="shared" ca="1" si="545"/>
        <v>#VALUE!</v>
      </c>
      <c r="P1120" t="e">
        <f t="shared" ca="1" si="546"/>
        <v>#VALUE!</v>
      </c>
      <c r="Q1120" t="e">
        <f t="shared" ca="1" si="547"/>
        <v>#VALUE!</v>
      </c>
      <c r="R1120" t="e">
        <f t="shared" ca="1" si="548"/>
        <v>#VALUE!</v>
      </c>
      <c r="S1120" t="e">
        <f t="shared" ca="1" si="549"/>
        <v>#VALUE!</v>
      </c>
      <c r="T1120" t="e">
        <f t="shared" ca="1" si="550"/>
        <v>#VALUE!</v>
      </c>
      <c r="U1120" t="e">
        <f t="shared" ca="1" si="571"/>
        <v>#VALUE!</v>
      </c>
      <c r="V1120" t="e">
        <f t="shared" ca="1" si="572"/>
        <v>#VALUE!</v>
      </c>
      <c r="W1120" t="e">
        <f t="shared" ca="1" si="551"/>
        <v>#VALUE!</v>
      </c>
      <c r="X1120" t="e">
        <f t="shared" ca="1" si="552"/>
        <v>#VALUE!</v>
      </c>
      <c r="Y1120" t="e">
        <f t="shared" ca="1" si="553"/>
        <v>#VALUE!</v>
      </c>
      <c r="Z1120" t="e">
        <f t="shared" ca="1" si="554"/>
        <v>#VALUE!</v>
      </c>
      <c r="AA1120" t="e">
        <f t="shared" ca="1" si="555"/>
        <v>#VALUE!</v>
      </c>
      <c r="AB1120" t="e">
        <f t="shared" ca="1" si="556"/>
        <v>#VALUE!</v>
      </c>
      <c r="AC1120" t="e">
        <f t="shared" ca="1" si="557"/>
        <v>#VALUE!</v>
      </c>
      <c r="AD1120" t="e">
        <f t="shared" ca="1" si="558"/>
        <v>#VALUE!</v>
      </c>
      <c r="AE1120" t="e">
        <f t="shared" ca="1" si="559"/>
        <v>#VALUE!</v>
      </c>
      <c r="AF1120" t="e">
        <f t="shared" ca="1" si="560"/>
        <v>#VALUE!</v>
      </c>
      <c r="AG1120" t="e">
        <f t="shared" ca="1" si="561"/>
        <v>#VALUE!</v>
      </c>
      <c r="AH1120" t="e">
        <f ca="1">IF(V32="Supercritical",L1120,IF(V32="Subcritical",W1120,IF(AND(V1120=1,AG1120=1),IF(T1120&gt;=AE1120,L1120,W1120),IF(V1120=1,L1120,IF(AG1120=1,W1120,MAX($D$16,POWER((ABS(K1120)^2)/($I$5*MAX(F1120,0.1)^2),1/3)))))))</f>
        <v>#VALUE!</v>
      </c>
      <c r="AI1120" t="e">
        <f t="shared" ca="1" si="562"/>
        <v>#VALUE!</v>
      </c>
      <c r="AJ1120" t="e">
        <f t="shared" ca="1" si="563"/>
        <v>#VALUE!</v>
      </c>
      <c r="AM1120">
        <v>0</v>
      </c>
      <c r="AN1120">
        <v>0</v>
      </c>
      <c r="AO1120">
        <f t="shared" si="564"/>
        <v>0</v>
      </c>
      <c r="AP1120">
        <f t="shared" si="573"/>
        <v>0</v>
      </c>
      <c r="AQ1120" t="e">
        <f t="shared" ca="1" si="565"/>
        <v>#VALUE!</v>
      </c>
      <c r="AR1120" t="e">
        <f t="shared" ca="1" si="566"/>
        <v>#VALUE!</v>
      </c>
      <c r="AS1120" t="e">
        <f t="shared" ca="1" si="567"/>
        <v>#VALUE!</v>
      </c>
    </row>
    <row r="1121" spans="1:45" x14ac:dyDescent="0.35">
      <c r="A1121">
        <v>972</v>
      </c>
      <c r="B1121">
        <v>970.88900000000001</v>
      </c>
      <c r="C1121">
        <v>616082.39199999999</v>
      </c>
      <c r="D1121">
        <v>3097033.023</v>
      </c>
      <c r="E1121">
        <v>632.07650000000001</v>
      </c>
      <c r="F1121">
        <v>5.2</v>
      </c>
      <c r="G1121">
        <v>0</v>
      </c>
      <c r="H1121" t="s">
        <v>191</v>
      </c>
      <c r="I1121">
        <v>5.7000000000000002E-2</v>
      </c>
      <c r="J1121">
        <f t="shared" si="568"/>
        <v>1</v>
      </c>
      <c r="K1121">
        <f t="shared" si="569"/>
        <v>51</v>
      </c>
      <c r="L1121" t="e">
        <f t="shared" ca="1" si="570"/>
        <v>#VALUE!</v>
      </c>
      <c r="M1121" t="e">
        <f t="shared" ca="1" si="543"/>
        <v>#VALUE!</v>
      </c>
      <c r="N1121" t="e">
        <f t="shared" ca="1" si="544"/>
        <v>#VALUE!</v>
      </c>
      <c r="O1121" t="e">
        <f t="shared" ca="1" si="545"/>
        <v>#VALUE!</v>
      </c>
      <c r="P1121" t="e">
        <f t="shared" ca="1" si="546"/>
        <v>#VALUE!</v>
      </c>
      <c r="Q1121" t="e">
        <f t="shared" ca="1" si="547"/>
        <v>#VALUE!</v>
      </c>
      <c r="R1121" t="e">
        <f t="shared" ca="1" si="548"/>
        <v>#VALUE!</v>
      </c>
      <c r="S1121" t="e">
        <f t="shared" ca="1" si="549"/>
        <v>#VALUE!</v>
      </c>
      <c r="T1121" t="e">
        <f t="shared" ca="1" si="550"/>
        <v>#VALUE!</v>
      </c>
      <c r="U1121" t="e">
        <f t="shared" ca="1" si="571"/>
        <v>#VALUE!</v>
      </c>
      <c r="V1121" t="e">
        <f t="shared" ca="1" si="572"/>
        <v>#VALUE!</v>
      </c>
      <c r="W1121" t="e">
        <f t="shared" ca="1" si="551"/>
        <v>#VALUE!</v>
      </c>
      <c r="X1121" t="e">
        <f t="shared" ca="1" si="552"/>
        <v>#VALUE!</v>
      </c>
      <c r="Y1121" t="e">
        <f t="shared" ca="1" si="553"/>
        <v>#VALUE!</v>
      </c>
      <c r="Z1121" t="e">
        <f t="shared" ca="1" si="554"/>
        <v>#VALUE!</v>
      </c>
      <c r="AA1121" t="e">
        <f t="shared" ca="1" si="555"/>
        <v>#VALUE!</v>
      </c>
      <c r="AB1121" t="e">
        <f t="shared" ca="1" si="556"/>
        <v>#VALUE!</v>
      </c>
      <c r="AC1121" t="e">
        <f t="shared" ca="1" si="557"/>
        <v>#VALUE!</v>
      </c>
      <c r="AD1121" t="e">
        <f t="shared" ca="1" si="558"/>
        <v>#VALUE!</v>
      </c>
      <c r="AE1121" t="e">
        <f t="shared" ca="1" si="559"/>
        <v>#VALUE!</v>
      </c>
      <c r="AF1121" t="e">
        <f t="shared" ca="1" si="560"/>
        <v>#VALUE!</v>
      </c>
      <c r="AG1121" t="e">
        <f t="shared" ca="1" si="561"/>
        <v>#VALUE!</v>
      </c>
      <c r="AH1121" t="e">
        <f ca="1">IF(V32="Supercritical",L1121,IF(V32="Subcritical",W1121,IF(AND(V1121=1,AG1121=1),IF(T1121&gt;=AE1121,L1121,W1121),IF(V1121=1,L1121,IF(AG1121=1,W1121,MAX($D$16,POWER((ABS(K1121)^2)/($I$5*MAX(F1121,0.1)^2),1/3)))))))</f>
        <v>#VALUE!</v>
      </c>
      <c r="AI1121" t="e">
        <f t="shared" ca="1" si="562"/>
        <v>#VALUE!</v>
      </c>
      <c r="AJ1121" t="e">
        <f t="shared" ca="1" si="563"/>
        <v>#VALUE!</v>
      </c>
      <c r="AM1121">
        <v>0</v>
      </c>
      <c r="AN1121">
        <v>0</v>
      </c>
      <c r="AO1121">
        <f t="shared" si="564"/>
        <v>0</v>
      </c>
      <c r="AP1121">
        <f t="shared" si="573"/>
        <v>0</v>
      </c>
      <c r="AQ1121" t="e">
        <f t="shared" ca="1" si="565"/>
        <v>#VALUE!</v>
      </c>
      <c r="AR1121" t="e">
        <f t="shared" ca="1" si="566"/>
        <v>#VALUE!</v>
      </c>
      <c r="AS1121" t="e">
        <f t="shared" ca="1" si="567"/>
        <v>#VALUE!</v>
      </c>
    </row>
    <row r="1122" spans="1:45" x14ac:dyDescent="0.35">
      <c r="A1122">
        <v>973</v>
      </c>
      <c r="B1122">
        <v>971.88900000000001</v>
      </c>
      <c r="C1122">
        <v>616082.34900000005</v>
      </c>
      <c r="D1122">
        <v>3097032.0240000002</v>
      </c>
      <c r="E1122">
        <v>632.07600000000002</v>
      </c>
      <c r="F1122">
        <v>5.2</v>
      </c>
      <c r="G1122">
        <v>0</v>
      </c>
      <c r="H1122" t="s">
        <v>191</v>
      </c>
      <c r="I1122">
        <v>5.7000000000000002E-2</v>
      </c>
      <c r="J1122">
        <f t="shared" si="568"/>
        <v>1</v>
      </c>
      <c r="K1122">
        <f t="shared" si="569"/>
        <v>51</v>
      </c>
      <c r="L1122" t="e">
        <f t="shared" ca="1" si="570"/>
        <v>#VALUE!</v>
      </c>
      <c r="M1122" t="e">
        <f t="shared" ca="1" si="543"/>
        <v>#VALUE!</v>
      </c>
      <c r="N1122" t="e">
        <f t="shared" ca="1" si="544"/>
        <v>#VALUE!</v>
      </c>
      <c r="O1122" t="e">
        <f t="shared" ca="1" si="545"/>
        <v>#VALUE!</v>
      </c>
      <c r="P1122" t="e">
        <f t="shared" ca="1" si="546"/>
        <v>#VALUE!</v>
      </c>
      <c r="Q1122" t="e">
        <f t="shared" ca="1" si="547"/>
        <v>#VALUE!</v>
      </c>
      <c r="R1122" t="e">
        <f t="shared" ca="1" si="548"/>
        <v>#VALUE!</v>
      </c>
      <c r="S1122" t="e">
        <f t="shared" ca="1" si="549"/>
        <v>#VALUE!</v>
      </c>
      <c r="T1122" t="e">
        <f t="shared" ca="1" si="550"/>
        <v>#VALUE!</v>
      </c>
      <c r="U1122" t="e">
        <f t="shared" ca="1" si="571"/>
        <v>#VALUE!</v>
      </c>
      <c r="V1122" t="e">
        <f t="shared" ca="1" si="572"/>
        <v>#VALUE!</v>
      </c>
      <c r="W1122" t="e">
        <f t="shared" ca="1" si="551"/>
        <v>#VALUE!</v>
      </c>
      <c r="X1122" t="e">
        <f t="shared" ca="1" si="552"/>
        <v>#VALUE!</v>
      </c>
      <c r="Y1122" t="e">
        <f t="shared" ca="1" si="553"/>
        <v>#VALUE!</v>
      </c>
      <c r="Z1122" t="e">
        <f t="shared" ca="1" si="554"/>
        <v>#VALUE!</v>
      </c>
      <c r="AA1122" t="e">
        <f t="shared" ca="1" si="555"/>
        <v>#VALUE!</v>
      </c>
      <c r="AB1122" t="e">
        <f t="shared" ca="1" si="556"/>
        <v>#VALUE!</v>
      </c>
      <c r="AC1122" t="e">
        <f t="shared" ca="1" si="557"/>
        <v>#VALUE!</v>
      </c>
      <c r="AD1122" t="e">
        <f t="shared" ca="1" si="558"/>
        <v>#VALUE!</v>
      </c>
      <c r="AE1122" t="e">
        <f t="shared" ca="1" si="559"/>
        <v>#VALUE!</v>
      </c>
      <c r="AF1122" t="e">
        <f t="shared" ca="1" si="560"/>
        <v>#VALUE!</v>
      </c>
      <c r="AG1122" t="e">
        <f t="shared" ca="1" si="561"/>
        <v>#VALUE!</v>
      </c>
      <c r="AH1122" t="e">
        <f ca="1">IF(V32="Supercritical",L1122,IF(V32="Subcritical",W1122,IF(AND(V1122=1,AG1122=1),IF(T1122&gt;=AE1122,L1122,W1122),IF(V1122=1,L1122,IF(AG1122=1,W1122,MAX($D$16,POWER((ABS(K1122)^2)/($I$5*MAX(F1122,0.1)^2),1/3)))))))</f>
        <v>#VALUE!</v>
      </c>
      <c r="AI1122" t="e">
        <f t="shared" ca="1" si="562"/>
        <v>#VALUE!</v>
      </c>
      <c r="AJ1122" t="e">
        <f t="shared" ca="1" si="563"/>
        <v>#VALUE!</v>
      </c>
      <c r="AM1122">
        <v>0</v>
      </c>
      <c r="AN1122">
        <v>0</v>
      </c>
      <c r="AO1122">
        <f t="shared" si="564"/>
        <v>0</v>
      </c>
      <c r="AP1122">
        <f t="shared" si="573"/>
        <v>0</v>
      </c>
      <c r="AQ1122" t="e">
        <f t="shared" ca="1" si="565"/>
        <v>#VALUE!</v>
      </c>
      <c r="AR1122" t="e">
        <f t="shared" ca="1" si="566"/>
        <v>#VALUE!</v>
      </c>
      <c r="AS1122" t="e">
        <f t="shared" ca="1" si="567"/>
        <v>#VALUE!</v>
      </c>
    </row>
    <row r="1123" spans="1:45" x14ac:dyDescent="0.35">
      <c r="A1123">
        <v>974</v>
      </c>
      <c r="B1123">
        <v>972.88900000000001</v>
      </c>
      <c r="C1123">
        <v>616082.30700000003</v>
      </c>
      <c r="D1123">
        <v>3097031.0249999999</v>
      </c>
      <c r="E1123">
        <v>632.07550000000003</v>
      </c>
      <c r="F1123">
        <v>5.2</v>
      </c>
      <c r="G1123">
        <v>0</v>
      </c>
      <c r="H1123" t="s">
        <v>191</v>
      </c>
      <c r="I1123">
        <v>0</v>
      </c>
      <c r="J1123">
        <f t="shared" si="568"/>
        <v>1</v>
      </c>
      <c r="K1123">
        <f t="shared" si="569"/>
        <v>51</v>
      </c>
      <c r="L1123" t="e">
        <f t="shared" ca="1" si="570"/>
        <v>#VALUE!</v>
      </c>
      <c r="M1123" t="e">
        <f t="shared" ca="1" si="543"/>
        <v>#VALUE!</v>
      </c>
      <c r="N1123" t="e">
        <f t="shared" ca="1" si="544"/>
        <v>#VALUE!</v>
      </c>
      <c r="O1123" t="e">
        <f t="shared" ca="1" si="545"/>
        <v>#VALUE!</v>
      </c>
      <c r="P1123" t="e">
        <f t="shared" ca="1" si="546"/>
        <v>#VALUE!</v>
      </c>
      <c r="Q1123" t="e">
        <f t="shared" ca="1" si="547"/>
        <v>#VALUE!</v>
      </c>
      <c r="R1123" t="e">
        <f t="shared" ca="1" si="548"/>
        <v>#VALUE!</v>
      </c>
      <c r="S1123" t="e">
        <f t="shared" ca="1" si="549"/>
        <v>#VALUE!</v>
      </c>
      <c r="T1123" t="e">
        <f t="shared" ca="1" si="550"/>
        <v>#VALUE!</v>
      </c>
      <c r="U1123" t="e">
        <f t="shared" ca="1" si="571"/>
        <v>#VALUE!</v>
      </c>
      <c r="V1123" t="e">
        <f t="shared" ca="1" si="572"/>
        <v>#VALUE!</v>
      </c>
      <c r="W1123" t="e">
        <f t="shared" ca="1" si="551"/>
        <v>#VALUE!</v>
      </c>
      <c r="X1123" t="e">
        <f t="shared" ca="1" si="552"/>
        <v>#VALUE!</v>
      </c>
      <c r="Y1123" t="e">
        <f t="shared" ca="1" si="553"/>
        <v>#VALUE!</v>
      </c>
      <c r="Z1123" t="e">
        <f t="shared" ca="1" si="554"/>
        <v>#VALUE!</v>
      </c>
      <c r="AA1123" t="e">
        <f t="shared" ca="1" si="555"/>
        <v>#VALUE!</v>
      </c>
      <c r="AB1123" t="e">
        <f t="shared" ca="1" si="556"/>
        <v>#VALUE!</v>
      </c>
      <c r="AC1123" t="e">
        <f t="shared" ca="1" si="557"/>
        <v>#VALUE!</v>
      </c>
      <c r="AD1123" t="e">
        <f t="shared" ca="1" si="558"/>
        <v>#VALUE!</v>
      </c>
      <c r="AE1123" t="e">
        <f t="shared" ca="1" si="559"/>
        <v>#VALUE!</v>
      </c>
      <c r="AF1123" t="e">
        <f t="shared" ca="1" si="560"/>
        <v>#VALUE!</v>
      </c>
      <c r="AG1123" t="e">
        <f t="shared" ca="1" si="561"/>
        <v>#VALUE!</v>
      </c>
      <c r="AH1123" t="e">
        <f ca="1">IF(V32="Supercritical",L1123,IF(V32="Subcritical",W1123,IF(AND(V1123=1,AG1123=1),IF(T1123&gt;=AE1123,L1123,W1123),IF(V1123=1,L1123,IF(AG1123=1,W1123,MAX($D$16,POWER((ABS(K1123)^2)/($I$5*MAX(F1123,0.1)^2),1/3)))))))</f>
        <v>#VALUE!</v>
      </c>
      <c r="AI1123" t="e">
        <f t="shared" ca="1" si="562"/>
        <v>#VALUE!</v>
      </c>
      <c r="AJ1123" t="e">
        <f t="shared" ca="1" si="563"/>
        <v>#VALUE!</v>
      </c>
      <c r="AM1123">
        <v>0</v>
      </c>
      <c r="AN1123">
        <v>0</v>
      </c>
      <c r="AO1123">
        <f t="shared" si="564"/>
        <v>0</v>
      </c>
      <c r="AP1123">
        <f t="shared" si="573"/>
        <v>0</v>
      </c>
      <c r="AQ1123" t="e">
        <f t="shared" ca="1" si="565"/>
        <v>#VALUE!</v>
      </c>
      <c r="AR1123" t="e">
        <f t="shared" ca="1" si="566"/>
        <v>#VALUE!</v>
      </c>
      <c r="AS1123" t="e">
        <f t="shared" ca="1" si="567"/>
        <v>#VALUE!</v>
      </c>
    </row>
    <row r="1124" spans="1:45" x14ac:dyDescent="0.35">
      <c r="A1124">
        <v>975</v>
      </c>
      <c r="B1124">
        <v>973.88900000000001</v>
      </c>
      <c r="C1124">
        <v>616082.26500000001</v>
      </c>
      <c r="D1124">
        <v>3097030.0260000001</v>
      </c>
      <c r="E1124">
        <v>632.07500000000005</v>
      </c>
      <c r="F1124">
        <v>5.2</v>
      </c>
      <c r="G1124">
        <v>0</v>
      </c>
      <c r="H1124" t="s">
        <v>191</v>
      </c>
      <c r="I1124">
        <v>5.5E-2</v>
      </c>
      <c r="J1124">
        <f t="shared" si="568"/>
        <v>1</v>
      </c>
      <c r="K1124">
        <f t="shared" si="569"/>
        <v>51</v>
      </c>
      <c r="L1124" t="e">
        <f t="shared" ca="1" si="570"/>
        <v>#VALUE!</v>
      </c>
      <c r="M1124" t="e">
        <f t="shared" ca="1" si="543"/>
        <v>#VALUE!</v>
      </c>
      <c r="N1124" t="e">
        <f t="shared" ca="1" si="544"/>
        <v>#VALUE!</v>
      </c>
      <c r="O1124" t="e">
        <f t="shared" ca="1" si="545"/>
        <v>#VALUE!</v>
      </c>
      <c r="P1124" t="e">
        <f t="shared" ca="1" si="546"/>
        <v>#VALUE!</v>
      </c>
      <c r="Q1124" t="e">
        <f t="shared" ca="1" si="547"/>
        <v>#VALUE!</v>
      </c>
      <c r="R1124" t="e">
        <f t="shared" ca="1" si="548"/>
        <v>#VALUE!</v>
      </c>
      <c r="S1124" t="e">
        <f t="shared" ca="1" si="549"/>
        <v>#VALUE!</v>
      </c>
      <c r="T1124" t="e">
        <f t="shared" ca="1" si="550"/>
        <v>#VALUE!</v>
      </c>
      <c r="U1124" t="e">
        <f t="shared" ca="1" si="571"/>
        <v>#VALUE!</v>
      </c>
      <c r="V1124" t="e">
        <f t="shared" ca="1" si="572"/>
        <v>#VALUE!</v>
      </c>
      <c r="W1124" t="e">
        <f t="shared" ca="1" si="551"/>
        <v>#VALUE!</v>
      </c>
      <c r="X1124" t="e">
        <f t="shared" ca="1" si="552"/>
        <v>#VALUE!</v>
      </c>
      <c r="Y1124" t="e">
        <f t="shared" ca="1" si="553"/>
        <v>#VALUE!</v>
      </c>
      <c r="Z1124" t="e">
        <f t="shared" ca="1" si="554"/>
        <v>#VALUE!</v>
      </c>
      <c r="AA1124" t="e">
        <f t="shared" ca="1" si="555"/>
        <v>#VALUE!</v>
      </c>
      <c r="AB1124" t="e">
        <f t="shared" ca="1" si="556"/>
        <v>#VALUE!</v>
      </c>
      <c r="AC1124" t="e">
        <f t="shared" ca="1" si="557"/>
        <v>#VALUE!</v>
      </c>
      <c r="AD1124" t="e">
        <f t="shared" ca="1" si="558"/>
        <v>#VALUE!</v>
      </c>
      <c r="AE1124" t="e">
        <f t="shared" ca="1" si="559"/>
        <v>#VALUE!</v>
      </c>
      <c r="AF1124" t="e">
        <f t="shared" ca="1" si="560"/>
        <v>#VALUE!</v>
      </c>
      <c r="AG1124" t="e">
        <f t="shared" ca="1" si="561"/>
        <v>#VALUE!</v>
      </c>
      <c r="AH1124" t="e">
        <f ca="1">IF(V32="Supercritical",L1124,IF(V32="Subcritical",W1124,IF(AND(V1124=1,AG1124=1),IF(T1124&gt;=AE1124,L1124,W1124),IF(V1124=1,L1124,IF(AG1124=1,W1124,MAX($D$16,POWER((ABS(K1124)^2)/($I$5*MAX(F1124,0.1)^2),1/3)))))))</f>
        <v>#VALUE!</v>
      </c>
      <c r="AI1124" t="e">
        <f t="shared" ca="1" si="562"/>
        <v>#VALUE!</v>
      </c>
      <c r="AJ1124" t="e">
        <f t="shared" ca="1" si="563"/>
        <v>#VALUE!</v>
      </c>
      <c r="AM1124">
        <v>0</v>
      </c>
      <c r="AN1124">
        <v>0</v>
      </c>
      <c r="AO1124">
        <f t="shared" si="564"/>
        <v>0</v>
      </c>
      <c r="AP1124">
        <f t="shared" si="573"/>
        <v>0</v>
      </c>
      <c r="AQ1124" t="e">
        <f t="shared" ca="1" si="565"/>
        <v>#VALUE!</v>
      </c>
      <c r="AR1124" t="e">
        <f t="shared" ca="1" si="566"/>
        <v>#VALUE!</v>
      </c>
      <c r="AS1124" t="e">
        <f t="shared" ca="1" si="567"/>
        <v>#VALUE!</v>
      </c>
    </row>
    <row r="1125" spans="1:45" x14ac:dyDescent="0.35">
      <c r="A1125">
        <v>976</v>
      </c>
      <c r="B1125">
        <v>974.89</v>
      </c>
      <c r="C1125">
        <v>616082.22199999995</v>
      </c>
      <c r="D1125">
        <v>3097029.0260000001</v>
      </c>
      <c r="E1125">
        <v>632.07449999999994</v>
      </c>
      <c r="F1125">
        <v>5.2</v>
      </c>
      <c r="G1125">
        <v>0</v>
      </c>
      <c r="H1125" t="s">
        <v>191</v>
      </c>
      <c r="I1125">
        <v>5.5E-2</v>
      </c>
      <c r="J1125">
        <f t="shared" si="568"/>
        <v>1.0009999999999764</v>
      </c>
      <c r="K1125">
        <f t="shared" si="569"/>
        <v>51</v>
      </c>
      <c r="L1125" t="e">
        <f t="shared" ca="1" si="570"/>
        <v>#VALUE!</v>
      </c>
      <c r="M1125" t="e">
        <f t="shared" ca="1" si="543"/>
        <v>#VALUE!</v>
      </c>
      <c r="N1125" t="e">
        <f t="shared" ca="1" si="544"/>
        <v>#VALUE!</v>
      </c>
      <c r="O1125" t="e">
        <f t="shared" ca="1" si="545"/>
        <v>#VALUE!</v>
      </c>
      <c r="P1125" t="e">
        <f t="shared" ca="1" si="546"/>
        <v>#VALUE!</v>
      </c>
      <c r="Q1125" t="e">
        <f t="shared" ca="1" si="547"/>
        <v>#VALUE!</v>
      </c>
      <c r="R1125" t="e">
        <f t="shared" ca="1" si="548"/>
        <v>#VALUE!</v>
      </c>
      <c r="S1125" t="e">
        <f t="shared" ca="1" si="549"/>
        <v>#VALUE!</v>
      </c>
      <c r="T1125" t="e">
        <f t="shared" ca="1" si="550"/>
        <v>#VALUE!</v>
      </c>
      <c r="U1125" t="e">
        <f t="shared" ca="1" si="571"/>
        <v>#VALUE!</v>
      </c>
      <c r="V1125" t="e">
        <f t="shared" ca="1" si="572"/>
        <v>#VALUE!</v>
      </c>
      <c r="W1125" t="e">
        <f t="shared" ca="1" si="551"/>
        <v>#VALUE!</v>
      </c>
      <c r="X1125" t="e">
        <f t="shared" ca="1" si="552"/>
        <v>#VALUE!</v>
      </c>
      <c r="Y1125" t="e">
        <f t="shared" ca="1" si="553"/>
        <v>#VALUE!</v>
      </c>
      <c r="Z1125" t="e">
        <f t="shared" ca="1" si="554"/>
        <v>#VALUE!</v>
      </c>
      <c r="AA1125" t="e">
        <f t="shared" ca="1" si="555"/>
        <v>#VALUE!</v>
      </c>
      <c r="AB1125" t="e">
        <f t="shared" ca="1" si="556"/>
        <v>#VALUE!</v>
      </c>
      <c r="AC1125" t="e">
        <f t="shared" ca="1" si="557"/>
        <v>#VALUE!</v>
      </c>
      <c r="AD1125" t="e">
        <f t="shared" ca="1" si="558"/>
        <v>#VALUE!</v>
      </c>
      <c r="AE1125" t="e">
        <f t="shared" ca="1" si="559"/>
        <v>#VALUE!</v>
      </c>
      <c r="AF1125" t="e">
        <f t="shared" ca="1" si="560"/>
        <v>#VALUE!</v>
      </c>
      <c r="AG1125" t="e">
        <f t="shared" ca="1" si="561"/>
        <v>#VALUE!</v>
      </c>
      <c r="AH1125" t="e">
        <f ca="1">IF(V32="Supercritical",L1125,IF(V32="Subcritical",W1125,IF(AND(V1125=1,AG1125=1),IF(T1125&gt;=AE1125,L1125,W1125),IF(V1125=1,L1125,IF(AG1125=1,W1125,MAX($D$16,POWER((ABS(K1125)^2)/($I$5*MAX(F1125,0.1)^2),1/3)))))))</f>
        <v>#VALUE!</v>
      </c>
      <c r="AI1125" t="e">
        <f t="shared" ca="1" si="562"/>
        <v>#VALUE!</v>
      </c>
      <c r="AJ1125" t="e">
        <f t="shared" ca="1" si="563"/>
        <v>#VALUE!</v>
      </c>
      <c r="AM1125">
        <v>0</v>
      </c>
      <c r="AN1125">
        <v>0</v>
      </c>
      <c r="AO1125">
        <f t="shared" si="564"/>
        <v>0</v>
      </c>
      <c r="AP1125">
        <f t="shared" si="573"/>
        <v>0</v>
      </c>
      <c r="AQ1125" t="e">
        <f t="shared" ca="1" si="565"/>
        <v>#VALUE!</v>
      </c>
      <c r="AR1125" t="e">
        <f t="shared" ca="1" si="566"/>
        <v>#VALUE!</v>
      </c>
      <c r="AS1125" t="e">
        <f t="shared" ca="1" si="567"/>
        <v>#VALUE!</v>
      </c>
    </row>
    <row r="1126" spans="1:45" x14ac:dyDescent="0.35">
      <c r="A1126">
        <v>977</v>
      </c>
      <c r="B1126">
        <v>975.89</v>
      </c>
      <c r="C1126">
        <v>616082.18000000005</v>
      </c>
      <c r="D1126">
        <v>3097028.0269999998</v>
      </c>
      <c r="E1126">
        <v>632.07399999999996</v>
      </c>
      <c r="F1126">
        <v>5.2</v>
      </c>
      <c r="G1126">
        <v>0</v>
      </c>
      <c r="H1126" t="s">
        <v>191</v>
      </c>
      <c r="I1126">
        <v>0</v>
      </c>
      <c r="J1126">
        <f t="shared" si="568"/>
        <v>1</v>
      </c>
      <c r="K1126">
        <f t="shared" si="569"/>
        <v>51</v>
      </c>
      <c r="L1126" t="e">
        <f t="shared" ca="1" si="570"/>
        <v>#VALUE!</v>
      </c>
      <c r="M1126" t="e">
        <f t="shared" ca="1" si="543"/>
        <v>#VALUE!</v>
      </c>
      <c r="N1126" t="e">
        <f t="shared" ca="1" si="544"/>
        <v>#VALUE!</v>
      </c>
      <c r="O1126" t="e">
        <f t="shared" ca="1" si="545"/>
        <v>#VALUE!</v>
      </c>
      <c r="P1126" t="e">
        <f t="shared" ca="1" si="546"/>
        <v>#VALUE!</v>
      </c>
      <c r="Q1126" t="e">
        <f t="shared" ca="1" si="547"/>
        <v>#VALUE!</v>
      </c>
      <c r="R1126" t="e">
        <f t="shared" ca="1" si="548"/>
        <v>#VALUE!</v>
      </c>
      <c r="S1126" t="e">
        <f t="shared" ca="1" si="549"/>
        <v>#VALUE!</v>
      </c>
      <c r="T1126" t="e">
        <f t="shared" ca="1" si="550"/>
        <v>#VALUE!</v>
      </c>
      <c r="U1126" t="e">
        <f t="shared" ca="1" si="571"/>
        <v>#VALUE!</v>
      </c>
      <c r="V1126" t="e">
        <f t="shared" ca="1" si="572"/>
        <v>#VALUE!</v>
      </c>
      <c r="W1126" t="e">
        <f t="shared" ca="1" si="551"/>
        <v>#VALUE!</v>
      </c>
      <c r="X1126" t="e">
        <f t="shared" ca="1" si="552"/>
        <v>#VALUE!</v>
      </c>
      <c r="Y1126" t="e">
        <f t="shared" ca="1" si="553"/>
        <v>#VALUE!</v>
      </c>
      <c r="Z1126" t="e">
        <f t="shared" ca="1" si="554"/>
        <v>#VALUE!</v>
      </c>
      <c r="AA1126" t="e">
        <f t="shared" ca="1" si="555"/>
        <v>#VALUE!</v>
      </c>
      <c r="AB1126" t="e">
        <f t="shared" ca="1" si="556"/>
        <v>#VALUE!</v>
      </c>
      <c r="AC1126" t="e">
        <f t="shared" ca="1" si="557"/>
        <v>#VALUE!</v>
      </c>
      <c r="AD1126" t="e">
        <f t="shared" ca="1" si="558"/>
        <v>#VALUE!</v>
      </c>
      <c r="AE1126" t="e">
        <f t="shared" ca="1" si="559"/>
        <v>#VALUE!</v>
      </c>
      <c r="AF1126" t="e">
        <f t="shared" ca="1" si="560"/>
        <v>#VALUE!</v>
      </c>
      <c r="AG1126" t="e">
        <f t="shared" ca="1" si="561"/>
        <v>#VALUE!</v>
      </c>
      <c r="AH1126" t="e">
        <f ca="1">IF(V32="Supercritical",L1126,IF(V32="Subcritical",W1126,IF(AND(V1126=1,AG1126=1),IF(T1126&gt;=AE1126,L1126,W1126),IF(V1126=1,L1126,IF(AG1126=1,W1126,MAX($D$16,POWER((ABS(K1126)^2)/($I$5*MAX(F1126,0.1)^2),1/3)))))))</f>
        <v>#VALUE!</v>
      </c>
      <c r="AI1126" t="e">
        <f t="shared" ca="1" si="562"/>
        <v>#VALUE!</v>
      </c>
      <c r="AJ1126" t="e">
        <f t="shared" ca="1" si="563"/>
        <v>#VALUE!</v>
      </c>
      <c r="AM1126">
        <v>0</v>
      </c>
      <c r="AN1126">
        <v>0</v>
      </c>
      <c r="AO1126">
        <f t="shared" si="564"/>
        <v>0</v>
      </c>
      <c r="AP1126">
        <f t="shared" si="573"/>
        <v>0</v>
      </c>
      <c r="AQ1126" t="e">
        <f t="shared" ca="1" si="565"/>
        <v>#VALUE!</v>
      </c>
      <c r="AR1126" t="e">
        <f t="shared" ca="1" si="566"/>
        <v>#VALUE!</v>
      </c>
      <c r="AS1126" t="e">
        <f t="shared" ca="1" si="567"/>
        <v>#VALUE!</v>
      </c>
    </row>
    <row r="1127" spans="1:45" x14ac:dyDescent="0.35">
      <c r="A1127">
        <v>978</v>
      </c>
      <c r="B1127">
        <v>976.88900000000001</v>
      </c>
      <c r="C1127">
        <v>616082.13800000004</v>
      </c>
      <c r="D1127">
        <v>3097027.0279999999</v>
      </c>
      <c r="E1127">
        <v>632.07349999999997</v>
      </c>
      <c r="F1127">
        <v>5.2</v>
      </c>
      <c r="G1127">
        <v>0</v>
      </c>
      <c r="H1127" t="s">
        <v>191</v>
      </c>
      <c r="I1127">
        <v>0</v>
      </c>
      <c r="J1127">
        <f t="shared" si="568"/>
        <v>0.99900000000002365</v>
      </c>
      <c r="K1127">
        <f t="shared" si="569"/>
        <v>51</v>
      </c>
      <c r="L1127" t="e">
        <f t="shared" ca="1" si="570"/>
        <v>#VALUE!</v>
      </c>
      <c r="M1127" t="e">
        <f t="shared" ca="1" si="543"/>
        <v>#VALUE!</v>
      </c>
      <c r="N1127" t="e">
        <f t="shared" ca="1" si="544"/>
        <v>#VALUE!</v>
      </c>
      <c r="O1127" t="e">
        <f t="shared" ca="1" si="545"/>
        <v>#VALUE!</v>
      </c>
      <c r="P1127" t="e">
        <f t="shared" ca="1" si="546"/>
        <v>#VALUE!</v>
      </c>
      <c r="Q1127" t="e">
        <f t="shared" ca="1" si="547"/>
        <v>#VALUE!</v>
      </c>
      <c r="R1127" t="e">
        <f t="shared" ca="1" si="548"/>
        <v>#VALUE!</v>
      </c>
      <c r="S1127" t="e">
        <f t="shared" ca="1" si="549"/>
        <v>#VALUE!</v>
      </c>
      <c r="T1127" t="e">
        <f t="shared" ca="1" si="550"/>
        <v>#VALUE!</v>
      </c>
      <c r="U1127" t="e">
        <f t="shared" ca="1" si="571"/>
        <v>#VALUE!</v>
      </c>
      <c r="V1127" t="e">
        <f t="shared" ca="1" si="572"/>
        <v>#VALUE!</v>
      </c>
      <c r="W1127" t="e">
        <f t="shared" ca="1" si="551"/>
        <v>#VALUE!</v>
      </c>
      <c r="X1127" t="e">
        <f t="shared" ca="1" si="552"/>
        <v>#VALUE!</v>
      </c>
      <c r="Y1127" t="e">
        <f t="shared" ca="1" si="553"/>
        <v>#VALUE!</v>
      </c>
      <c r="Z1127" t="e">
        <f t="shared" ca="1" si="554"/>
        <v>#VALUE!</v>
      </c>
      <c r="AA1127" t="e">
        <f t="shared" ca="1" si="555"/>
        <v>#VALUE!</v>
      </c>
      <c r="AB1127" t="e">
        <f t="shared" ca="1" si="556"/>
        <v>#VALUE!</v>
      </c>
      <c r="AC1127" t="e">
        <f t="shared" ca="1" si="557"/>
        <v>#VALUE!</v>
      </c>
      <c r="AD1127" t="e">
        <f t="shared" ca="1" si="558"/>
        <v>#VALUE!</v>
      </c>
      <c r="AE1127" t="e">
        <f t="shared" ca="1" si="559"/>
        <v>#VALUE!</v>
      </c>
      <c r="AF1127" t="e">
        <f t="shared" ca="1" si="560"/>
        <v>#VALUE!</v>
      </c>
      <c r="AG1127" t="e">
        <f t="shared" ca="1" si="561"/>
        <v>#VALUE!</v>
      </c>
      <c r="AH1127" t="e">
        <f ca="1">IF(V32="Supercritical",L1127,IF(V32="Subcritical",W1127,IF(AND(V1127=1,AG1127=1),IF(T1127&gt;=AE1127,L1127,W1127),IF(V1127=1,L1127,IF(AG1127=1,W1127,MAX($D$16,POWER((ABS(K1127)^2)/($I$5*MAX(F1127,0.1)^2),1/3)))))))</f>
        <v>#VALUE!</v>
      </c>
      <c r="AI1127" t="e">
        <f t="shared" ca="1" si="562"/>
        <v>#VALUE!</v>
      </c>
      <c r="AJ1127" t="e">
        <f t="shared" ca="1" si="563"/>
        <v>#VALUE!</v>
      </c>
      <c r="AM1127">
        <v>0</v>
      </c>
      <c r="AN1127">
        <v>0</v>
      </c>
      <c r="AO1127">
        <f t="shared" si="564"/>
        <v>0</v>
      </c>
      <c r="AP1127">
        <f t="shared" si="573"/>
        <v>0</v>
      </c>
      <c r="AQ1127" t="e">
        <f t="shared" ca="1" si="565"/>
        <v>#VALUE!</v>
      </c>
      <c r="AR1127" t="e">
        <f t="shared" ca="1" si="566"/>
        <v>#VALUE!</v>
      </c>
      <c r="AS1127" t="e">
        <f t="shared" ca="1" si="567"/>
        <v>#VALUE!</v>
      </c>
    </row>
    <row r="1128" spans="1:45" x14ac:dyDescent="0.35">
      <c r="A1128">
        <v>979</v>
      </c>
      <c r="B1128">
        <v>977.88900000000001</v>
      </c>
      <c r="C1128">
        <v>616082.09600000002</v>
      </c>
      <c r="D1128">
        <v>3097026.0290000001</v>
      </c>
      <c r="E1128">
        <v>632.07299999999998</v>
      </c>
      <c r="F1128">
        <v>5.2</v>
      </c>
      <c r="G1128">
        <v>0</v>
      </c>
      <c r="H1128" t="s">
        <v>191</v>
      </c>
      <c r="I1128">
        <v>5.7000000000000002E-2</v>
      </c>
      <c r="J1128">
        <f t="shared" si="568"/>
        <v>1</v>
      </c>
      <c r="K1128">
        <f t="shared" si="569"/>
        <v>51</v>
      </c>
      <c r="L1128" t="e">
        <f t="shared" ca="1" si="570"/>
        <v>#VALUE!</v>
      </c>
      <c r="M1128" t="e">
        <f t="shared" ca="1" si="543"/>
        <v>#VALUE!</v>
      </c>
      <c r="N1128" t="e">
        <f t="shared" ca="1" si="544"/>
        <v>#VALUE!</v>
      </c>
      <c r="O1128" t="e">
        <f t="shared" ca="1" si="545"/>
        <v>#VALUE!</v>
      </c>
      <c r="P1128" t="e">
        <f t="shared" ca="1" si="546"/>
        <v>#VALUE!</v>
      </c>
      <c r="Q1128" t="e">
        <f t="shared" ca="1" si="547"/>
        <v>#VALUE!</v>
      </c>
      <c r="R1128" t="e">
        <f t="shared" ca="1" si="548"/>
        <v>#VALUE!</v>
      </c>
      <c r="S1128" t="e">
        <f t="shared" ca="1" si="549"/>
        <v>#VALUE!</v>
      </c>
      <c r="T1128" t="e">
        <f t="shared" ca="1" si="550"/>
        <v>#VALUE!</v>
      </c>
      <c r="U1128" t="e">
        <f t="shared" ca="1" si="571"/>
        <v>#VALUE!</v>
      </c>
      <c r="V1128" t="e">
        <f t="shared" ca="1" si="572"/>
        <v>#VALUE!</v>
      </c>
      <c r="W1128" t="e">
        <f t="shared" ca="1" si="551"/>
        <v>#VALUE!</v>
      </c>
      <c r="X1128" t="e">
        <f t="shared" ca="1" si="552"/>
        <v>#VALUE!</v>
      </c>
      <c r="Y1128" t="e">
        <f t="shared" ca="1" si="553"/>
        <v>#VALUE!</v>
      </c>
      <c r="Z1128" t="e">
        <f t="shared" ca="1" si="554"/>
        <v>#VALUE!</v>
      </c>
      <c r="AA1128" t="e">
        <f t="shared" ca="1" si="555"/>
        <v>#VALUE!</v>
      </c>
      <c r="AB1128" t="e">
        <f t="shared" ca="1" si="556"/>
        <v>#VALUE!</v>
      </c>
      <c r="AC1128" t="e">
        <f t="shared" ca="1" si="557"/>
        <v>#VALUE!</v>
      </c>
      <c r="AD1128" t="e">
        <f t="shared" ca="1" si="558"/>
        <v>#VALUE!</v>
      </c>
      <c r="AE1128" t="e">
        <f t="shared" ca="1" si="559"/>
        <v>#VALUE!</v>
      </c>
      <c r="AF1128" t="e">
        <f t="shared" ca="1" si="560"/>
        <v>#VALUE!</v>
      </c>
      <c r="AG1128" t="e">
        <f t="shared" ca="1" si="561"/>
        <v>#VALUE!</v>
      </c>
      <c r="AH1128" t="e">
        <f ca="1">IF(V32="Supercritical",L1128,IF(V32="Subcritical",W1128,IF(AND(V1128=1,AG1128=1),IF(T1128&gt;=AE1128,L1128,W1128),IF(V1128=1,L1128,IF(AG1128=1,W1128,MAX($D$16,POWER((ABS(K1128)^2)/($I$5*MAX(F1128,0.1)^2),1/3)))))))</f>
        <v>#VALUE!</v>
      </c>
      <c r="AI1128" t="e">
        <f t="shared" ca="1" si="562"/>
        <v>#VALUE!</v>
      </c>
      <c r="AJ1128" t="e">
        <f t="shared" ca="1" si="563"/>
        <v>#VALUE!</v>
      </c>
      <c r="AM1128">
        <v>0</v>
      </c>
      <c r="AN1128">
        <v>0</v>
      </c>
      <c r="AO1128">
        <f t="shared" si="564"/>
        <v>0</v>
      </c>
      <c r="AP1128">
        <f t="shared" si="573"/>
        <v>0</v>
      </c>
      <c r="AQ1128" t="e">
        <f t="shared" ca="1" si="565"/>
        <v>#VALUE!</v>
      </c>
      <c r="AR1128" t="e">
        <f t="shared" ca="1" si="566"/>
        <v>#VALUE!</v>
      </c>
      <c r="AS1128" t="e">
        <f t="shared" ca="1" si="567"/>
        <v>#VALUE!</v>
      </c>
    </row>
    <row r="1129" spans="1:45" x14ac:dyDescent="0.35">
      <c r="A1129">
        <v>980</v>
      </c>
      <c r="B1129">
        <v>978.88900000000001</v>
      </c>
      <c r="C1129">
        <v>616082.05299999996</v>
      </c>
      <c r="D1129">
        <v>3097025.03</v>
      </c>
      <c r="E1129">
        <v>632.07249999999999</v>
      </c>
      <c r="F1129">
        <v>5.2</v>
      </c>
      <c r="G1129">
        <v>0</v>
      </c>
      <c r="H1129" t="s">
        <v>191</v>
      </c>
      <c r="I1129">
        <v>5.7000000000000002E-2</v>
      </c>
      <c r="J1129">
        <f t="shared" si="568"/>
        <v>1</v>
      </c>
      <c r="K1129">
        <f t="shared" si="569"/>
        <v>51</v>
      </c>
      <c r="L1129" t="e">
        <f t="shared" ca="1" si="570"/>
        <v>#VALUE!</v>
      </c>
      <c r="M1129" t="e">
        <f t="shared" ca="1" si="543"/>
        <v>#VALUE!</v>
      </c>
      <c r="N1129" t="e">
        <f t="shared" ca="1" si="544"/>
        <v>#VALUE!</v>
      </c>
      <c r="O1129" t="e">
        <f t="shared" ca="1" si="545"/>
        <v>#VALUE!</v>
      </c>
      <c r="P1129" t="e">
        <f t="shared" ca="1" si="546"/>
        <v>#VALUE!</v>
      </c>
      <c r="Q1129" t="e">
        <f t="shared" ca="1" si="547"/>
        <v>#VALUE!</v>
      </c>
      <c r="R1129" t="e">
        <f t="shared" ca="1" si="548"/>
        <v>#VALUE!</v>
      </c>
      <c r="S1129" t="e">
        <f t="shared" ca="1" si="549"/>
        <v>#VALUE!</v>
      </c>
      <c r="T1129" t="e">
        <f t="shared" ca="1" si="550"/>
        <v>#VALUE!</v>
      </c>
      <c r="U1129" t="e">
        <f t="shared" ca="1" si="571"/>
        <v>#VALUE!</v>
      </c>
      <c r="V1129" t="e">
        <f t="shared" ca="1" si="572"/>
        <v>#VALUE!</v>
      </c>
      <c r="W1129" t="e">
        <f t="shared" ca="1" si="551"/>
        <v>#VALUE!</v>
      </c>
      <c r="X1129" t="e">
        <f t="shared" ca="1" si="552"/>
        <v>#VALUE!</v>
      </c>
      <c r="Y1129" t="e">
        <f t="shared" ca="1" si="553"/>
        <v>#VALUE!</v>
      </c>
      <c r="Z1129" t="e">
        <f t="shared" ca="1" si="554"/>
        <v>#VALUE!</v>
      </c>
      <c r="AA1129" t="e">
        <f t="shared" ca="1" si="555"/>
        <v>#VALUE!</v>
      </c>
      <c r="AB1129" t="e">
        <f t="shared" ca="1" si="556"/>
        <v>#VALUE!</v>
      </c>
      <c r="AC1129" t="e">
        <f t="shared" ca="1" si="557"/>
        <v>#VALUE!</v>
      </c>
      <c r="AD1129" t="e">
        <f t="shared" ca="1" si="558"/>
        <v>#VALUE!</v>
      </c>
      <c r="AE1129" t="e">
        <f t="shared" ca="1" si="559"/>
        <v>#VALUE!</v>
      </c>
      <c r="AF1129" t="e">
        <f t="shared" ca="1" si="560"/>
        <v>#VALUE!</v>
      </c>
      <c r="AG1129" t="e">
        <f t="shared" ca="1" si="561"/>
        <v>#VALUE!</v>
      </c>
      <c r="AH1129" t="e">
        <f ca="1">IF(V32="Supercritical",L1129,IF(V32="Subcritical",W1129,IF(AND(V1129=1,AG1129=1),IF(T1129&gt;=AE1129,L1129,W1129),IF(V1129=1,L1129,IF(AG1129=1,W1129,MAX($D$16,POWER((ABS(K1129)^2)/($I$5*MAX(F1129,0.1)^2),1/3)))))))</f>
        <v>#VALUE!</v>
      </c>
      <c r="AI1129" t="e">
        <f t="shared" ca="1" si="562"/>
        <v>#VALUE!</v>
      </c>
      <c r="AJ1129" t="e">
        <f t="shared" ca="1" si="563"/>
        <v>#VALUE!</v>
      </c>
      <c r="AM1129">
        <v>0</v>
      </c>
      <c r="AN1129">
        <v>0</v>
      </c>
      <c r="AO1129">
        <f t="shared" si="564"/>
        <v>0</v>
      </c>
      <c r="AP1129">
        <f t="shared" si="573"/>
        <v>0</v>
      </c>
      <c r="AQ1129" t="e">
        <f t="shared" ca="1" si="565"/>
        <v>#VALUE!</v>
      </c>
      <c r="AR1129" t="e">
        <f t="shared" ca="1" si="566"/>
        <v>#VALUE!</v>
      </c>
      <c r="AS1129" t="e">
        <f t="shared" ca="1" si="567"/>
        <v>#VALUE!</v>
      </c>
    </row>
    <row r="1130" spans="1:45" x14ac:dyDescent="0.35">
      <c r="A1130">
        <v>981</v>
      </c>
      <c r="B1130">
        <v>979.88900000000001</v>
      </c>
      <c r="C1130">
        <v>616082.01100000006</v>
      </c>
      <c r="D1130">
        <v>3097024.031</v>
      </c>
      <c r="E1130">
        <v>632.072</v>
      </c>
      <c r="F1130">
        <v>5.2</v>
      </c>
      <c r="G1130">
        <v>0</v>
      </c>
      <c r="H1130" t="s">
        <v>191</v>
      </c>
      <c r="I1130">
        <v>0</v>
      </c>
      <c r="J1130">
        <f t="shared" si="568"/>
        <v>1</v>
      </c>
      <c r="K1130">
        <f t="shared" si="569"/>
        <v>51</v>
      </c>
      <c r="L1130" t="e">
        <f t="shared" ca="1" si="570"/>
        <v>#VALUE!</v>
      </c>
      <c r="M1130" t="e">
        <f t="shared" ca="1" si="543"/>
        <v>#VALUE!</v>
      </c>
      <c r="N1130" t="e">
        <f t="shared" ca="1" si="544"/>
        <v>#VALUE!</v>
      </c>
      <c r="O1130" t="e">
        <f t="shared" ca="1" si="545"/>
        <v>#VALUE!</v>
      </c>
      <c r="P1130" t="e">
        <f t="shared" ca="1" si="546"/>
        <v>#VALUE!</v>
      </c>
      <c r="Q1130" t="e">
        <f t="shared" ca="1" si="547"/>
        <v>#VALUE!</v>
      </c>
      <c r="R1130" t="e">
        <f t="shared" ca="1" si="548"/>
        <v>#VALUE!</v>
      </c>
      <c r="S1130" t="e">
        <f t="shared" ca="1" si="549"/>
        <v>#VALUE!</v>
      </c>
      <c r="T1130" t="e">
        <f t="shared" ca="1" si="550"/>
        <v>#VALUE!</v>
      </c>
      <c r="U1130" t="e">
        <f t="shared" ca="1" si="571"/>
        <v>#VALUE!</v>
      </c>
      <c r="V1130" t="e">
        <f t="shared" ca="1" si="572"/>
        <v>#VALUE!</v>
      </c>
      <c r="W1130" t="e">
        <f t="shared" ca="1" si="551"/>
        <v>#VALUE!</v>
      </c>
      <c r="X1130" t="e">
        <f t="shared" ca="1" si="552"/>
        <v>#VALUE!</v>
      </c>
      <c r="Y1130" t="e">
        <f t="shared" ca="1" si="553"/>
        <v>#VALUE!</v>
      </c>
      <c r="Z1130" t="e">
        <f t="shared" ca="1" si="554"/>
        <v>#VALUE!</v>
      </c>
      <c r="AA1130" t="e">
        <f t="shared" ca="1" si="555"/>
        <v>#VALUE!</v>
      </c>
      <c r="AB1130" t="e">
        <f t="shared" ca="1" si="556"/>
        <v>#VALUE!</v>
      </c>
      <c r="AC1130" t="e">
        <f t="shared" ca="1" si="557"/>
        <v>#VALUE!</v>
      </c>
      <c r="AD1130" t="e">
        <f t="shared" ca="1" si="558"/>
        <v>#VALUE!</v>
      </c>
      <c r="AE1130" t="e">
        <f t="shared" ca="1" si="559"/>
        <v>#VALUE!</v>
      </c>
      <c r="AF1130" t="e">
        <f t="shared" ca="1" si="560"/>
        <v>#VALUE!</v>
      </c>
      <c r="AG1130" t="e">
        <f t="shared" ca="1" si="561"/>
        <v>#VALUE!</v>
      </c>
      <c r="AH1130" t="e">
        <f ca="1">IF(V32="Supercritical",L1130,IF(V32="Subcritical",W1130,IF(AND(V1130=1,AG1130=1),IF(T1130&gt;=AE1130,L1130,W1130),IF(V1130=1,L1130,IF(AG1130=1,W1130,MAX($D$16,POWER((ABS(K1130)^2)/($I$5*MAX(F1130,0.1)^2),1/3)))))))</f>
        <v>#VALUE!</v>
      </c>
      <c r="AI1130" t="e">
        <f t="shared" ca="1" si="562"/>
        <v>#VALUE!</v>
      </c>
      <c r="AJ1130" t="e">
        <f t="shared" ca="1" si="563"/>
        <v>#VALUE!</v>
      </c>
      <c r="AM1130">
        <v>0</v>
      </c>
      <c r="AN1130">
        <v>0</v>
      </c>
      <c r="AO1130">
        <f t="shared" si="564"/>
        <v>0</v>
      </c>
      <c r="AP1130">
        <f t="shared" si="573"/>
        <v>0</v>
      </c>
      <c r="AQ1130" t="e">
        <f t="shared" ca="1" si="565"/>
        <v>#VALUE!</v>
      </c>
      <c r="AR1130" t="e">
        <f t="shared" ca="1" si="566"/>
        <v>#VALUE!</v>
      </c>
      <c r="AS1130" t="e">
        <f t="shared" ca="1" si="567"/>
        <v>#VALUE!</v>
      </c>
    </row>
    <row r="1131" spans="1:45" x14ac:dyDescent="0.35">
      <c r="A1131">
        <v>982</v>
      </c>
      <c r="B1131">
        <v>980.88900000000001</v>
      </c>
      <c r="C1131">
        <v>616081.96900000004</v>
      </c>
      <c r="D1131">
        <v>3097023.0320000001</v>
      </c>
      <c r="E1131">
        <v>632.07150000000001</v>
      </c>
      <c r="F1131">
        <v>5.2</v>
      </c>
      <c r="G1131">
        <v>0</v>
      </c>
      <c r="H1131" t="s">
        <v>191</v>
      </c>
      <c r="I1131">
        <v>0</v>
      </c>
      <c r="J1131">
        <f t="shared" si="568"/>
        <v>1</v>
      </c>
      <c r="K1131">
        <f t="shared" si="569"/>
        <v>51</v>
      </c>
      <c r="L1131" t="e">
        <f t="shared" ca="1" si="570"/>
        <v>#VALUE!</v>
      </c>
      <c r="M1131" t="e">
        <f t="shared" ca="1" si="543"/>
        <v>#VALUE!</v>
      </c>
      <c r="N1131" t="e">
        <f t="shared" ca="1" si="544"/>
        <v>#VALUE!</v>
      </c>
      <c r="O1131" t="e">
        <f t="shared" ca="1" si="545"/>
        <v>#VALUE!</v>
      </c>
      <c r="P1131" t="e">
        <f t="shared" ca="1" si="546"/>
        <v>#VALUE!</v>
      </c>
      <c r="Q1131" t="e">
        <f t="shared" ca="1" si="547"/>
        <v>#VALUE!</v>
      </c>
      <c r="R1131" t="e">
        <f t="shared" ca="1" si="548"/>
        <v>#VALUE!</v>
      </c>
      <c r="S1131" t="e">
        <f t="shared" ca="1" si="549"/>
        <v>#VALUE!</v>
      </c>
      <c r="T1131" t="e">
        <f t="shared" ca="1" si="550"/>
        <v>#VALUE!</v>
      </c>
      <c r="U1131" t="e">
        <f t="shared" ca="1" si="571"/>
        <v>#VALUE!</v>
      </c>
      <c r="V1131" t="e">
        <f t="shared" ca="1" si="572"/>
        <v>#VALUE!</v>
      </c>
      <c r="W1131" t="e">
        <f t="shared" ca="1" si="551"/>
        <v>#VALUE!</v>
      </c>
      <c r="X1131" t="e">
        <f t="shared" ca="1" si="552"/>
        <v>#VALUE!</v>
      </c>
      <c r="Y1131" t="e">
        <f t="shared" ca="1" si="553"/>
        <v>#VALUE!</v>
      </c>
      <c r="Z1131" t="e">
        <f t="shared" ca="1" si="554"/>
        <v>#VALUE!</v>
      </c>
      <c r="AA1131" t="e">
        <f t="shared" ca="1" si="555"/>
        <v>#VALUE!</v>
      </c>
      <c r="AB1131" t="e">
        <f t="shared" ca="1" si="556"/>
        <v>#VALUE!</v>
      </c>
      <c r="AC1131" t="e">
        <f t="shared" ca="1" si="557"/>
        <v>#VALUE!</v>
      </c>
      <c r="AD1131" t="e">
        <f t="shared" ca="1" si="558"/>
        <v>#VALUE!</v>
      </c>
      <c r="AE1131" t="e">
        <f t="shared" ca="1" si="559"/>
        <v>#VALUE!</v>
      </c>
      <c r="AF1131" t="e">
        <f t="shared" ca="1" si="560"/>
        <v>#VALUE!</v>
      </c>
      <c r="AG1131" t="e">
        <f t="shared" ca="1" si="561"/>
        <v>#VALUE!</v>
      </c>
      <c r="AH1131" t="e">
        <f ca="1">IF(V32="Supercritical",L1131,IF(V32="Subcritical",W1131,IF(AND(V1131=1,AG1131=1),IF(T1131&gt;=AE1131,L1131,W1131),IF(V1131=1,L1131,IF(AG1131=1,W1131,MAX($D$16,POWER((ABS(K1131)^2)/($I$5*MAX(F1131,0.1)^2),1/3)))))))</f>
        <v>#VALUE!</v>
      </c>
      <c r="AI1131" t="e">
        <f t="shared" ca="1" si="562"/>
        <v>#VALUE!</v>
      </c>
      <c r="AJ1131" t="e">
        <f t="shared" ca="1" si="563"/>
        <v>#VALUE!</v>
      </c>
      <c r="AM1131">
        <v>0</v>
      </c>
      <c r="AN1131">
        <v>0</v>
      </c>
      <c r="AO1131">
        <f t="shared" si="564"/>
        <v>0</v>
      </c>
      <c r="AP1131">
        <f t="shared" si="573"/>
        <v>0</v>
      </c>
      <c r="AQ1131" t="e">
        <f t="shared" ca="1" si="565"/>
        <v>#VALUE!</v>
      </c>
      <c r="AR1131" t="e">
        <f t="shared" ca="1" si="566"/>
        <v>#VALUE!</v>
      </c>
      <c r="AS1131" t="e">
        <f t="shared" ca="1" si="567"/>
        <v>#VALUE!</v>
      </c>
    </row>
    <row r="1132" spans="1:45" x14ac:dyDescent="0.35">
      <c r="A1132">
        <v>983</v>
      </c>
      <c r="B1132">
        <v>981.88900000000001</v>
      </c>
      <c r="C1132">
        <v>616081.92700000003</v>
      </c>
      <c r="D1132">
        <v>3097022.0329999998</v>
      </c>
      <c r="E1132">
        <v>632.07100000000003</v>
      </c>
      <c r="F1132">
        <v>5.2</v>
      </c>
      <c r="G1132">
        <v>0</v>
      </c>
      <c r="H1132" t="s">
        <v>191</v>
      </c>
      <c r="I1132">
        <v>5.7000000000000002E-2</v>
      </c>
      <c r="J1132">
        <f t="shared" si="568"/>
        <v>1</v>
      </c>
      <c r="K1132">
        <f t="shared" si="569"/>
        <v>51</v>
      </c>
      <c r="L1132" t="e">
        <f t="shared" ca="1" si="570"/>
        <v>#VALUE!</v>
      </c>
      <c r="M1132" t="e">
        <f t="shared" ca="1" si="543"/>
        <v>#VALUE!</v>
      </c>
      <c r="N1132" t="e">
        <f t="shared" ca="1" si="544"/>
        <v>#VALUE!</v>
      </c>
      <c r="O1132" t="e">
        <f t="shared" ca="1" si="545"/>
        <v>#VALUE!</v>
      </c>
      <c r="P1132" t="e">
        <f t="shared" ca="1" si="546"/>
        <v>#VALUE!</v>
      </c>
      <c r="Q1132" t="e">
        <f t="shared" ca="1" si="547"/>
        <v>#VALUE!</v>
      </c>
      <c r="R1132" t="e">
        <f t="shared" ca="1" si="548"/>
        <v>#VALUE!</v>
      </c>
      <c r="S1132" t="e">
        <f t="shared" ca="1" si="549"/>
        <v>#VALUE!</v>
      </c>
      <c r="T1132" t="e">
        <f t="shared" ca="1" si="550"/>
        <v>#VALUE!</v>
      </c>
      <c r="U1132" t="e">
        <f t="shared" ca="1" si="571"/>
        <v>#VALUE!</v>
      </c>
      <c r="V1132" t="e">
        <f t="shared" ca="1" si="572"/>
        <v>#VALUE!</v>
      </c>
      <c r="W1132" t="e">
        <f t="shared" ca="1" si="551"/>
        <v>#VALUE!</v>
      </c>
      <c r="X1132" t="e">
        <f t="shared" ca="1" si="552"/>
        <v>#VALUE!</v>
      </c>
      <c r="Y1132" t="e">
        <f t="shared" ca="1" si="553"/>
        <v>#VALUE!</v>
      </c>
      <c r="Z1132" t="e">
        <f t="shared" ca="1" si="554"/>
        <v>#VALUE!</v>
      </c>
      <c r="AA1132" t="e">
        <f t="shared" ca="1" si="555"/>
        <v>#VALUE!</v>
      </c>
      <c r="AB1132" t="e">
        <f t="shared" ca="1" si="556"/>
        <v>#VALUE!</v>
      </c>
      <c r="AC1132" t="e">
        <f t="shared" ca="1" si="557"/>
        <v>#VALUE!</v>
      </c>
      <c r="AD1132" t="e">
        <f t="shared" ca="1" si="558"/>
        <v>#VALUE!</v>
      </c>
      <c r="AE1132" t="e">
        <f t="shared" ca="1" si="559"/>
        <v>#VALUE!</v>
      </c>
      <c r="AF1132" t="e">
        <f t="shared" ca="1" si="560"/>
        <v>#VALUE!</v>
      </c>
      <c r="AG1132" t="e">
        <f t="shared" ca="1" si="561"/>
        <v>#VALUE!</v>
      </c>
      <c r="AH1132" t="e">
        <f ca="1">IF(V32="Supercritical",L1132,IF(V32="Subcritical",W1132,IF(AND(V1132=1,AG1132=1),IF(T1132&gt;=AE1132,L1132,W1132),IF(V1132=1,L1132,IF(AG1132=1,W1132,MAX($D$16,POWER((ABS(K1132)^2)/($I$5*MAX(F1132,0.1)^2),1/3)))))))</f>
        <v>#VALUE!</v>
      </c>
      <c r="AI1132" t="e">
        <f t="shared" ca="1" si="562"/>
        <v>#VALUE!</v>
      </c>
      <c r="AJ1132" t="e">
        <f t="shared" ca="1" si="563"/>
        <v>#VALUE!</v>
      </c>
      <c r="AM1132">
        <v>0</v>
      </c>
      <c r="AN1132">
        <v>0</v>
      </c>
      <c r="AO1132">
        <f t="shared" si="564"/>
        <v>0</v>
      </c>
      <c r="AP1132">
        <f t="shared" si="573"/>
        <v>0</v>
      </c>
      <c r="AQ1132" t="e">
        <f t="shared" ca="1" si="565"/>
        <v>#VALUE!</v>
      </c>
      <c r="AR1132" t="e">
        <f t="shared" ca="1" si="566"/>
        <v>#VALUE!</v>
      </c>
      <c r="AS1132" t="e">
        <f t="shared" ca="1" si="567"/>
        <v>#VALUE!</v>
      </c>
    </row>
    <row r="1133" spans="1:45" x14ac:dyDescent="0.35">
      <c r="A1133">
        <v>984</v>
      </c>
      <c r="B1133">
        <v>982.88900000000001</v>
      </c>
      <c r="C1133">
        <v>616081.88399999996</v>
      </c>
      <c r="D1133">
        <v>3097021.034</v>
      </c>
      <c r="E1133">
        <v>632.07050000000004</v>
      </c>
      <c r="F1133">
        <v>5.2</v>
      </c>
      <c r="G1133">
        <v>0</v>
      </c>
      <c r="H1133" t="s">
        <v>191</v>
      </c>
      <c r="I1133">
        <v>0.06</v>
      </c>
      <c r="J1133">
        <f t="shared" si="568"/>
        <v>1</v>
      </c>
      <c r="K1133">
        <f t="shared" si="569"/>
        <v>51</v>
      </c>
      <c r="L1133" t="e">
        <f t="shared" ca="1" si="570"/>
        <v>#VALUE!</v>
      </c>
      <c r="M1133" t="e">
        <f t="shared" ca="1" si="543"/>
        <v>#VALUE!</v>
      </c>
      <c r="N1133" t="e">
        <f t="shared" ca="1" si="544"/>
        <v>#VALUE!</v>
      </c>
      <c r="O1133" t="e">
        <f t="shared" ca="1" si="545"/>
        <v>#VALUE!</v>
      </c>
      <c r="P1133" t="e">
        <f t="shared" ca="1" si="546"/>
        <v>#VALUE!</v>
      </c>
      <c r="Q1133" t="e">
        <f t="shared" ca="1" si="547"/>
        <v>#VALUE!</v>
      </c>
      <c r="R1133" t="e">
        <f t="shared" ca="1" si="548"/>
        <v>#VALUE!</v>
      </c>
      <c r="S1133" t="e">
        <f t="shared" ca="1" si="549"/>
        <v>#VALUE!</v>
      </c>
      <c r="T1133" t="e">
        <f t="shared" ca="1" si="550"/>
        <v>#VALUE!</v>
      </c>
      <c r="U1133" t="e">
        <f t="shared" ca="1" si="571"/>
        <v>#VALUE!</v>
      </c>
      <c r="V1133" t="e">
        <f t="shared" ca="1" si="572"/>
        <v>#VALUE!</v>
      </c>
      <c r="W1133" t="e">
        <f t="shared" ca="1" si="551"/>
        <v>#VALUE!</v>
      </c>
      <c r="X1133" t="e">
        <f t="shared" ca="1" si="552"/>
        <v>#VALUE!</v>
      </c>
      <c r="Y1133" t="e">
        <f t="shared" ca="1" si="553"/>
        <v>#VALUE!</v>
      </c>
      <c r="Z1133" t="e">
        <f t="shared" ca="1" si="554"/>
        <v>#VALUE!</v>
      </c>
      <c r="AA1133" t="e">
        <f t="shared" ca="1" si="555"/>
        <v>#VALUE!</v>
      </c>
      <c r="AB1133" t="e">
        <f t="shared" ca="1" si="556"/>
        <v>#VALUE!</v>
      </c>
      <c r="AC1133" t="e">
        <f t="shared" ca="1" si="557"/>
        <v>#VALUE!</v>
      </c>
      <c r="AD1133" t="e">
        <f t="shared" ca="1" si="558"/>
        <v>#VALUE!</v>
      </c>
      <c r="AE1133" t="e">
        <f t="shared" ca="1" si="559"/>
        <v>#VALUE!</v>
      </c>
      <c r="AF1133" t="e">
        <f t="shared" ca="1" si="560"/>
        <v>#VALUE!</v>
      </c>
      <c r="AG1133" t="e">
        <f t="shared" ca="1" si="561"/>
        <v>#VALUE!</v>
      </c>
      <c r="AH1133" t="e">
        <f ca="1">IF(V32="Supercritical",L1133,IF(V32="Subcritical",W1133,IF(AND(V1133=1,AG1133=1),IF(T1133&gt;=AE1133,L1133,W1133),IF(V1133=1,L1133,IF(AG1133=1,W1133,MAX($D$16,POWER((ABS(K1133)^2)/($I$5*MAX(F1133,0.1)^2),1/3)))))))</f>
        <v>#VALUE!</v>
      </c>
      <c r="AI1133" t="e">
        <f t="shared" ca="1" si="562"/>
        <v>#VALUE!</v>
      </c>
      <c r="AJ1133" t="e">
        <f t="shared" ca="1" si="563"/>
        <v>#VALUE!</v>
      </c>
      <c r="AM1133">
        <v>0</v>
      </c>
      <c r="AN1133">
        <v>0</v>
      </c>
      <c r="AO1133">
        <f t="shared" si="564"/>
        <v>0</v>
      </c>
      <c r="AP1133">
        <f t="shared" si="573"/>
        <v>0</v>
      </c>
      <c r="AQ1133" t="e">
        <f t="shared" ca="1" si="565"/>
        <v>#VALUE!</v>
      </c>
      <c r="AR1133" t="e">
        <f t="shared" ca="1" si="566"/>
        <v>#VALUE!</v>
      </c>
      <c r="AS1133" t="e">
        <f t="shared" ca="1" si="567"/>
        <v>#VALUE!</v>
      </c>
    </row>
    <row r="1134" spans="1:45" x14ac:dyDescent="0.35">
      <c r="A1134">
        <v>985</v>
      </c>
      <c r="B1134">
        <v>983.89</v>
      </c>
      <c r="C1134">
        <v>616081.84199999995</v>
      </c>
      <c r="D1134">
        <v>3097020.034</v>
      </c>
      <c r="E1134">
        <v>632.07000000000005</v>
      </c>
      <c r="F1134">
        <v>5.2</v>
      </c>
      <c r="G1134">
        <v>0</v>
      </c>
      <c r="H1134" t="s">
        <v>191</v>
      </c>
      <c r="I1134">
        <v>2E-3</v>
      </c>
      <c r="J1134">
        <f t="shared" si="568"/>
        <v>1.0009999999999764</v>
      </c>
      <c r="K1134">
        <f t="shared" si="569"/>
        <v>51</v>
      </c>
      <c r="L1134" t="e">
        <f t="shared" ca="1" si="570"/>
        <v>#VALUE!</v>
      </c>
      <c r="M1134" t="e">
        <f t="shared" ca="1" si="543"/>
        <v>#VALUE!</v>
      </c>
      <c r="N1134" t="e">
        <f t="shared" ca="1" si="544"/>
        <v>#VALUE!</v>
      </c>
      <c r="O1134" t="e">
        <f t="shared" ca="1" si="545"/>
        <v>#VALUE!</v>
      </c>
      <c r="P1134" t="e">
        <f t="shared" ca="1" si="546"/>
        <v>#VALUE!</v>
      </c>
      <c r="Q1134" t="e">
        <f t="shared" ca="1" si="547"/>
        <v>#VALUE!</v>
      </c>
      <c r="R1134" t="e">
        <f t="shared" ca="1" si="548"/>
        <v>#VALUE!</v>
      </c>
      <c r="S1134" t="e">
        <f t="shared" ca="1" si="549"/>
        <v>#VALUE!</v>
      </c>
      <c r="T1134" t="e">
        <f t="shared" ca="1" si="550"/>
        <v>#VALUE!</v>
      </c>
      <c r="U1134" t="e">
        <f t="shared" ca="1" si="571"/>
        <v>#VALUE!</v>
      </c>
      <c r="V1134" t="e">
        <f t="shared" ca="1" si="572"/>
        <v>#VALUE!</v>
      </c>
      <c r="W1134" t="e">
        <f t="shared" ca="1" si="551"/>
        <v>#VALUE!</v>
      </c>
      <c r="X1134" t="e">
        <f t="shared" ca="1" si="552"/>
        <v>#VALUE!</v>
      </c>
      <c r="Y1134" t="e">
        <f t="shared" ca="1" si="553"/>
        <v>#VALUE!</v>
      </c>
      <c r="Z1134" t="e">
        <f t="shared" ca="1" si="554"/>
        <v>#VALUE!</v>
      </c>
      <c r="AA1134" t="e">
        <f t="shared" ca="1" si="555"/>
        <v>#VALUE!</v>
      </c>
      <c r="AB1134" t="e">
        <f t="shared" ca="1" si="556"/>
        <v>#VALUE!</v>
      </c>
      <c r="AC1134" t="e">
        <f t="shared" ca="1" si="557"/>
        <v>#VALUE!</v>
      </c>
      <c r="AD1134" t="e">
        <f t="shared" ca="1" si="558"/>
        <v>#VALUE!</v>
      </c>
      <c r="AE1134" t="e">
        <f t="shared" ca="1" si="559"/>
        <v>#VALUE!</v>
      </c>
      <c r="AF1134" t="e">
        <f t="shared" ca="1" si="560"/>
        <v>#VALUE!</v>
      </c>
      <c r="AG1134" t="e">
        <f t="shared" ca="1" si="561"/>
        <v>#VALUE!</v>
      </c>
      <c r="AH1134" t="e">
        <f ca="1">IF(V32="Supercritical",L1134,IF(V32="Subcritical",W1134,IF(AND(V1134=1,AG1134=1),IF(T1134&gt;=AE1134,L1134,W1134),IF(V1134=1,L1134,IF(AG1134=1,W1134,MAX($D$16,POWER((ABS(K1134)^2)/($I$5*MAX(F1134,0.1)^2),1/3)))))))</f>
        <v>#VALUE!</v>
      </c>
      <c r="AI1134" t="e">
        <f t="shared" ca="1" si="562"/>
        <v>#VALUE!</v>
      </c>
      <c r="AJ1134" t="e">
        <f t="shared" ca="1" si="563"/>
        <v>#VALUE!</v>
      </c>
      <c r="AM1134">
        <v>0</v>
      </c>
      <c r="AN1134">
        <v>0</v>
      </c>
      <c r="AO1134">
        <f t="shared" si="564"/>
        <v>0</v>
      </c>
      <c r="AP1134">
        <f t="shared" si="573"/>
        <v>0</v>
      </c>
      <c r="AQ1134" t="e">
        <f t="shared" ca="1" si="565"/>
        <v>#VALUE!</v>
      </c>
      <c r="AR1134" t="e">
        <f t="shared" ca="1" si="566"/>
        <v>#VALUE!</v>
      </c>
      <c r="AS1134" t="e">
        <f t="shared" ca="1" si="567"/>
        <v>#VALUE!</v>
      </c>
    </row>
    <row r="1135" spans="1:45" x14ac:dyDescent="0.35">
      <c r="A1135">
        <v>986</v>
      </c>
      <c r="B1135">
        <v>984.89</v>
      </c>
      <c r="C1135">
        <v>616081.80000000005</v>
      </c>
      <c r="D1135">
        <v>3097019.0350000001</v>
      </c>
      <c r="E1135">
        <v>632.06949999999995</v>
      </c>
      <c r="F1135">
        <v>5.2</v>
      </c>
      <c r="G1135">
        <v>0</v>
      </c>
      <c r="H1135" t="s">
        <v>191</v>
      </c>
      <c r="I1135">
        <v>0</v>
      </c>
      <c r="J1135">
        <f t="shared" si="568"/>
        <v>1</v>
      </c>
      <c r="K1135">
        <f t="shared" si="569"/>
        <v>51</v>
      </c>
      <c r="L1135" t="e">
        <f t="shared" ca="1" si="570"/>
        <v>#VALUE!</v>
      </c>
      <c r="M1135" t="e">
        <f t="shared" ca="1" si="543"/>
        <v>#VALUE!</v>
      </c>
      <c r="N1135" t="e">
        <f t="shared" ca="1" si="544"/>
        <v>#VALUE!</v>
      </c>
      <c r="O1135" t="e">
        <f t="shared" ca="1" si="545"/>
        <v>#VALUE!</v>
      </c>
      <c r="P1135" t="e">
        <f t="shared" ca="1" si="546"/>
        <v>#VALUE!</v>
      </c>
      <c r="Q1135" t="e">
        <f t="shared" ca="1" si="547"/>
        <v>#VALUE!</v>
      </c>
      <c r="R1135" t="e">
        <f t="shared" ca="1" si="548"/>
        <v>#VALUE!</v>
      </c>
      <c r="S1135" t="e">
        <f t="shared" ca="1" si="549"/>
        <v>#VALUE!</v>
      </c>
      <c r="T1135" t="e">
        <f t="shared" ca="1" si="550"/>
        <v>#VALUE!</v>
      </c>
      <c r="U1135" t="e">
        <f t="shared" ca="1" si="571"/>
        <v>#VALUE!</v>
      </c>
      <c r="V1135" t="e">
        <f t="shared" ca="1" si="572"/>
        <v>#VALUE!</v>
      </c>
      <c r="W1135" t="e">
        <f t="shared" ca="1" si="551"/>
        <v>#VALUE!</v>
      </c>
      <c r="X1135" t="e">
        <f t="shared" ca="1" si="552"/>
        <v>#VALUE!</v>
      </c>
      <c r="Y1135" t="e">
        <f t="shared" ca="1" si="553"/>
        <v>#VALUE!</v>
      </c>
      <c r="Z1135" t="e">
        <f t="shared" ca="1" si="554"/>
        <v>#VALUE!</v>
      </c>
      <c r="AA1135" t="e">
        <f t="shared" ca="1" si="555"/>
        <v>#VALUE!</v>
      </c>
      <c r="AB1135" t="e">
        <f t="shared" ca="1" si="556"/>
        <v>#VALUE!</v>
      </c>
      <c r="AC1135" t="e">
        <f t="shared" ca="1" si="557"/>
        <v>#VALUE!</v>
      </c>
      <c r="AD1135" t="e">
        <f t="shared" ca="1" si="558"/>
        <v>#VALUE!</v>
      </c>
      <c r="AE1135" t="e">
        <f t="shared" ca="1" si="559"/>
        <v>#VALUE!</v>
      </c>
      <c r="AF1135" t="e">
        <f t="shared" ca="1" si="560"/>
        <v>#VALUE!</v>
      </c>
      <c r="AG1135" t="e">
        <f t="shared" ca="1" si="561"/>
        <v>#VALUE!</v>
      </c>
      <c r="AH1135" t="e">
        <f ca="1">IF(V32="Supercritical",L1135,IF(V32="Subcritical",W1135,IF(AND(V1135=1,AG1135=1),IF(T1135&gt;=AE1135,L1135,W1135),IF(V1135=1,L1135,IF(AG1135=1,W1135,MAX($D$16,POWER((ABS(K1135)^2)/($I$5*MAX(F1135,0.1)^2),1/3)))))))</f>
        <v>#VALUE!</v>
      </c>
      <c r="AI1135" t="e">
        <f t="shared" ca="1" si="562"/>
        <v>#VALUE!</v>
      </c>
      <c r="AJ1135" t="e">
        <f t="shared" ca="1" si="563"/>
        <v>#VALUE!</v>
      </c>
      <c r="AM1135">
        <v>0</v>
      </c>
      <c r="AN1135">
        <v>0</v>
      </c>
      <c r="AO1135">
        <f t="shared" si="564"/>
        <v>0</v>
      </c>
      <c r="AP1135">
        <f t="shared" si="573"/>
        <v>0</v>
      </c>
      <c r="AQ1135" t="e">
        <f t="shared" ca="1" si="565"/>
        <v>#VALUE!</v>
      </c>
      <c r="AR1135" t="e">
        <f t="shared" ca="1" si="566"/>
        <v>#VALUE!</v>
      </c>
      <c r="AS1135" t="e">
        <f t="shared" ca="1" si="567"/>
        <v>#VALUE!</v>
      </c>
    </row>
    <row r="1136" spans="1:45" x14ac:dyDescent="0.35">
      <c r="A1136">
        <v>987</v>
      </c>
      <c r="B1136">
        <v>985.88900000000001</v>
      </c>
      <c r="C1136">
        <v>616081.75800000003</v>
      </c>
      <c r="D1136">
        <v>3097018.0359999998</v>
      </c>
      <c r="E1136">
        <v>632.06899999999996</v>
      </c>
      <c r="F1136">
        <v>5.2</v>
      </c>
      <c r="G1136">
        <v>0</v>
      </c>
      <c r="H1136" t="s">
        <v>191</v>
      </c>
      <c r="I1136">
        <v>5.7000000000000002E-2</v>
      </c>
      <c r="J1136">
        <f t="shared" si="568"/>
        <v>0.99900000000002365</v>
      </c>
      <c r="K1136">
        <f t="shared" si="569"/>
        <v>51</v>
      </c>
      <c r="L1136" t="e">
        <f t="shared" ca="1" si="570"/>
        <v>#VALUE!</v>
      </c>
      <c r="M1136" t="e">
        <f t="shared" ca="1" si="543"/>
        <v>#VALUE!</v>
      </c>
      <c r="N1136" t="e">
        <f t="shared" ca="1" si="544"/>
        <v>#VALUE!</v>
      </c>
      <c r="O1136" t="e">
        <f t="shared" ca="1" si="545"/>
        <v>#VALUE!</v>
      </c>
      <c r="P1136" t="e">
        <f t="shared" ca="1" si="546"/>
        <v>#VALUE!</v>
      </c>
      <c r="Q1136" t="e">
        <f t="shared" ca="1" si="547"/>
        <v>#VALUE!</v>
      </c>
      <c r="R1136" t="e">
        <f t="shared" ca="1" si="548"/>
        <v>#VALUE!</v>
      </c>
      <c r="S1136" t="e">
        <f t="shared" ca="1" si="549"/>
        <v>#VALUE!</v>
      </c>
      <c r="T1136" t="e">
        <f t="shared" ca="1" si="550"/>
        <v>#VALUE!</v>
      </c>
      <c r="U1136" t="e">
        <f t="shared" ca="1" si="571"/>
        <v>#VALUE!</v>
      </c>
      <c r="V1136" t="e">
        <f t="shared" ca="1" si="572"/>
        <v>#VALUE!</v>
      </c>
      <c r="W1136" t="e">
        <f t="shared" ca="1" si="551"/>
        <v>#VALUE!</v>
      </c>
      <c r="X1136" t="e">
        <f t="shared" ca="1" si="552"/>
        <v>#VALUE!</v>
      </c>
      <c r="Y1136" t="e">
        <f t="shared" ca="1" si="553"/>
        <v>#VALUE!</v>
      </c>
      <c r="Z1136" t="e">
        <f t="shared" ca="1" si="554"/>
        <v>#VALUE!</v>
      </c>
      <c r="AA1136" t="e">
        <f t="shared" ca="1" si="555"/>
        <v>#VALUE!</v>
      </c>
      <c r="AB1136" t="e">
        <f t="shared" ca="1" si="556"/>
        <v>#VALUE!</v>
      </c>
      <c r="AC1136" t="e">
        <f t="shared" ca="1" si="557"/>
        <v>#VALUE!</v>
      </c>
      <c r="AD1136" t="e">
        <f t="shared" ca="1" si="558"/>
        <v>#VALUE!</v>
      </c>
      <c r="AE1136" t="e">
        <f t="shared" ca="1" si="559"/>
        <v>#VALUE!</v>
      </c>
      <c r="AF1136" t="e">
        <f t="shared" ca="1" si="560"/>
        <v>#VALUE!</v>
      </c>
      <c r="AG1136" t="e">
        <f t="shared" ca="1" si="561"/>
        <v>#VALUE!</v>
      </c>
      <c r="AH1136" t="e">
        <f ca="1">IF(V32="Supercritical",L1136,IF(V32="Subcritical",W1136,IF(AND(V1136=1,AG1136=1),IF(T1136&gt;=AE1136,L1136,W1136),IF(V1136=1,L1136,IF(AG1136=1,W1136,MAX($D$16,POWER((ABS(K1136)^2)/($I$5*MAX(F1136,0.1)^2),1/3)))))))</f>
        <v>#VALUE!</v>
      </c>
      <c r="AI1136" t="e">
        <f t="shared" ca="1" si="562"/>
        <v>#VALUE!</v>
      </c>
      <c r="AJ1136" t="e">
        <f t="shared" ca="1" si="563"/>
        <v>#VALUE!</v>
      </c>
      <c r="AM1136">
        <v>0</v>
      </c>
      <c r="AN1136">
        <v>0</v>
      </c>
      <c r="AO1136">
        <f t="shared" si="564"/>
        <v>0</v>
      </c>
      <c r="AP1136">
        <f t="shared" si="573"/>
        <v>0</v>
      </c>
      <c r="AQ1136" t="e">
        <f t="shared" ca="1" si="565"/>
        <v>#VALUE!</v>
      </c>
      <c r="AR1136" t="e">
        <f t="shared" ca="1" si="566"/>
        <v>#VALUE!</v>
      </c>
      <c r="AS1136" t="e">
        <f t="shared" ca="1" si="567"/>
        <v>#VALUE!</v>
      </c>
    </row>
    <row r="1137" spans="1:45" x14ac:dyDescent="0.35">
      <c r="A1137">
        <v>988</v>
      </c>
      <c r="B1137">
        <v>986.88900000000001</v>
      </c>
      <c r="C1137">
        <v>616081.71499999997</v>
      </c>
      <c r="D1137">
        <v>3097017.037</v>
      </c>
      <c r="E1137">
        <v>632.06849999999997</v>
      </c>
      <c r="F1137">
        <v>5.2</v>
      </c>
      <c r="G1137">
        <v>0</v>
      </c>
      <c r="H1137" t="s">
        <v>191</v>
      </c>
      <c r="I1137">
        <v>5.7000000000000002E-2</v>
      </c>
      <c r="J1137">
        <f t="shared" si="568"/>
        <v>1</v>
      </c>
      <c r="K1137">
        <f t="shared" si="569"/>
        <v>51</v>
      </c>
      <c r="L1137" t="e">
        <f t="shared" ca="1" si="570"/>
        <v>#VALUE!</v>
      </c>
      <c r="M1137" t="e">
        <f t="shared" ca="1" si="543"/>
        <v>#VALUE!</v>
      </c>
      <c r="N1137" t="e">
        <f t="shared" ca="1" si="544"/>
        <v>#VALUE!</v>
      </c>
      <c r="O1137" t="e">
        <f t="shared" ca="1" si="545"/>
        <v>#VALUE!</v>
      </c>
      <c r="P1137" t="e">
        <f t="shared" ca="1" si="546"/>
        <v>#VALUE!</v>
      </c>
      <c r="Q1137" t="e">
        <f t="shared" ca="1" si="547"/>
        <v>#VALUE!</v>
      </c>
      <c r="R1137" t="e">
        <f t="shared" ca="1" si="548"/>
        <v>#VALUE!</v>
      </c>
      <c r="S1137" t="e">
        <f t="shared" ca="1" si="549"/>
        <v>#VALUE!</v>
      </c>
      <c r="T1137" t="e">
        <f t="shared" ca="1" si="550"/>
        <v>#VALUE!</v>
      </c>
      <c r="U1137" t="e">
        <f t="shared" ca="1" si="571"/>
        <v>#VALUE!</v>
      </c>
      <c r="V1137" t="e">
        <f t="shared" ca="1" si="572"/>
        <v>#VALUE!</v>
      </c>
      <c r="W1137" t="e">
        <f t="shared" ca="1" si="551"/>
        <v>#VALUE!</v>
      </c>
      <c r="X1137" t="e">
        <f t="shared" ca="1" si="552"/>
        <v>#VALUE!</v>
      </c>
      <c r="Y1137" t="e">
        <f t="shared" ca="1" si="553"/>
        <v>#VALUE!</v>
      </c>
      <c r="Z1137" t="e">
        <f t="shared" ca="1" si="554"/>
        <v>#VALUE!</v>
      </c>
      <c r="AA1137" t="e">
        <f t="shared" ca="1" si="555"/>
        <v>#VALUE!</v>
      </c>
      <c r="AB1137" t="e">
        <f t="shared" ca="1" si="556"/>
        <v>#VALUE!</v>
      </c>
      <c r="AC1137" t="e">
        <f t="shared" ca="1" si="557"/>
        <v>#VALUE!</v>
      </c>
      <c r="AD1137" t="e">
        <f t="shared" ca="1" si="558"/>
        <v>#VALUE!</v>
      </c>
      <c r="AE1137" t="e">
        <f t="shared" ca="1" si="559"/>
        <v>#VALUE!</v>
      </c>
      <c r="AF1137" t="e">
        <f t="shared" ca="1" si="560"/>
        <v>#VALUE!</v>
      </c>
      <c r="AG1137" t="e">
        <f t="shared" ca="1" si="561"/>
        <v>#VALUE!</v>
      </c>
      <c r="AH1137" t="e">
        <f ca="1">IF(V32="Supercritical",L1137,IF(V32="Subcritical",W1137,IF(AND(V1137=1,AG1137=1),IF(T1137&gt;=AE1137,L1137,W1137),IF(V1137=1,L1137,IF(AG1137=1,W1137,MAX($D$16,POWER((ABS(K1137)^2)/($I$5*MAX(F1137,0.1)^2),1/3)))))))</f>
        <v>#VALUE!</v>
      </c>
      <c r="AI1137" t="e">
        <f t="shared" ca="1" si="562"/>
        <v>#VALUE!</v>
      </c>
      <c r="AJ1137" t="e">
        <f t="shared" ca="1" si="563"/>
        <v>#VALUE!</v>
      </c>
      <c r="AM1137">
        <v>0</v>
      </c>
      <c r="AN1137">
        <v>0</v>
      </c>
      <c r="AO1137">
        <f t="shared" si="564"/>
        <v>0</v>
      </c>
      <c r="AP1137">
        <f t="shared" si="573"/>
        <v>0</v>
      </c>
      <c r="AQ1137" t="e">
        <f t="shared" ca="1" si="565"/>
        <v>#VALUE!</v>
      </c>
      <c r="AR1137" t="e">
        <f t="shared" ca="1" si="566"/>
        <v>#VALUE!</v>
      </c>
      <c r="AS1137" t="e">
        <f t="shared" ca="1" si="567"/>
        <v>#VALUE!</v>
      </c>
    </row>
    <row r="1138" spans="1:45" x14ac:dyDescent="0.35">
      <c r="A1138">
        <v>989</v>
      </c>
      <c r="B1138">
        <v>987.88900000000001</v>
      </c>
      <c r="C1138">
        <v>616081.67299999995</v>
      </c>
      <c r="D1138">
        <v>3097016.0380000002</v>
      </c>
      <c r="E1138">
        <v>632.06799999999998</v>
      </c>
      <c r="F1138">
        <v>5.2</v>
      </c>
      <c r="G1138">
        <v>0</v>
      </c>
      <c r="H1138" t="s">
        <v>191</v>
      </c>
      <c r="I1138">
        <v>0</v>
      </c>
      <c r="J1138">
        <f t="shared" si="568"/>
        <v>1</v>
      </c>
      <c r="K1138">
        <f t="shared" si="569"/>
        <v>51</v>
      </c>
      <c r="L1138" t="e">
        <f t="shared" ca="1" si="570"/>
        <v>#VALUE!</v>
      </c>
      <c r="M1138" t="e">
        <f t="shared" ca="1" si="543"/>
        <v>#VALUE!</v>
      </c>
      <c r="N1138" t="e">
        <f t="shared" ca="1" si="544"/>
        <v>#VALUE!</v>
      </c>
      <c r="O1138" t="e">
        <f t="shared" ca="1" si="545"/>
        <v>#VALUE!</v>
      </c>
      <c r="P1138" t="e">
        <f t="shared" ca="1" si="546"/>
        <v>#VALUE!</v>
      </c>
      <c r="Q1138" t="e">
        <f t="shared" ca="1" si="547"/>
        <v>#VALUE!</v>
      </c>
      <c r="R1138" t="e">
        <f t="shared" ca="1" si="548"/>
        <v>#VALUE!</v>
      </c>
      <c r="S1138" t="e">
        <f t="shared" ca="1" si="549"/>
        <v>#VALUE!</v>
      </c>
      <c r="T1138" t="e">
        <f t="shared" ca="1" si="550"/>
        <v>#VALUE!</v>
      </c>
      <c r="U1138" t="e">
        <f t="shared" ca="1" si="571"/>
        <v>#VALUE!</v>
      </c>
      <c r="V1138" t="e">
        <f t="shared" ca="1" si="572"/>
        <v>#VALUE!</v>
      </c>
      <c r="W1138" t="e">
        <f t="shared" ca="1" si="551"/>
        <v>#VALUE!</v>
      </c>
      <c r="X1138" t="e">
        <f t="shared" ca="1" si="552"/>
        <v>#VALUE!</v>
      </c>
      <c r="Y1138" t="e">
        <f t="shared" ca="1" si="553"/>
        <v>#VALUE!</v>
      </c>
      <c r="Z1138" t="e">
        <f t="shared" ca="1" si="554"/>
        <v>#VALUE!</v>
      </c>
      <c r="AA1138" t="e">
        <f t="shared" ca="1" si="555"/>
        <v>#VALUE!</v>
      </c>
      <c r="AB1138" t="e">
        <f t="shared" ca="1" si="556"/>
        <v>#VALUE!</v>
      </c>
      <c r="AC1138" t="e">
        <f t="shared" ca="1" si="557"/>
        <v>#VALUE!</v>
      </c>
      <c r="AD1138" t="e">
        <f t="shared" ca="1" si="558"/>
        <v>#VALUE!</v>
      </c>
      <c r="AE1138" t="e">
        <f t="shared" ca="1" si="559"/>
        <v>#VALUE!</v>
      </c>
      <c r="AF1138" t="e">
        <f t="shared" ca="1" si="560"/>
        <v>#VALUE!</v>
      </c>
      <c r="AG1138" t="e">
        <f t="shared" ca="1" si="561"/>
        <v>#VALUE!</v>
      </c>
      <c r="AH1138" t="e">
        <f ca="1">IF(V32="Supercritical",L1138,IF(V32="Subcritical",W1138,IF(AND(V1138=1,AG1138=1),IF(T1138&gt;=AE1138,L1138,W1138),IF(V1138=1,L1138,IF(AG1138=1,W1138,MAX($D$16,POWER((ABS(K1138)^2)/($I$5*MAX(F1138,0.1)^2),1/3)))))))</f>
        <v>#VALUE!</v>
      </c>
      <c r="AI1138" t="e">
        <f t="shared" ca="1" si="562"/>
        <v>#VALUE!</v>
      </c>
      <c r="AJ1138" t="e">
        <f t="shared" ca="1" si="563"/>
        <v>#VALUE!</v>
      </c>
      <c r="AM1138">
        <v>0</v>
      </c>
      <c r="AN1138">
        <v>0</v>
      </c>
      <c r="AO1138">
        <f t="shared" si="564"/>
        <v>0</v>
      </c>
      <c r="AP1138">
        <f t="shared" si="573"/>
        <v>0</v>
      </c>
      <c r="AQ1138" t="e">
        <f t="shared" ca="1" si="565"/>
        <v>#VALUE!</v>
      </c>
      <c r="AR1138" t="e">
        <f t="shared" ca="1" si="566"/>
        <v>#VALUE!</v>
      </c>
      <c r="AS1138" t="e">
        <f t="shared" ca="1" si="567"/>
        <v>#VALUE!</v>
      </c>
    </row>
    <row r="1139" spans="1:45" x14ac:dyDescent="0.35">
      <c r="A1139">
        <v>990</v>
      </c>
      <c r="B1139">
        <v>988.88900000000001</v>
      </c>
      <c r="C1139">
        <v>616081.63100000005</v>
      </c>
      <c r="D1139">
        <v>3097015.0389999999</v>
      </c>
      <c r="E1139">
        <v>632.0675</v>
      </c>
      <c r="F1139">
        <v>5.2</v>
      </c>
      <c r="G1139">
        <v>0</v>
      </c>
      <c r="H1139" t="s">
        <v>191</v>
      </c>
      <c r="I1139">
        <v>0</v>
      </c>
      <c r="J1139">
        <f t="shared" si="568"/>
        <v>1</v>
      </c>
      <c r="K1139">
        <f t="shared" si="569"/>
        <v>51</v>
      </c>
      <c r="L1139" t="e">
        <f t="shared" ca="1" si="570"/>
        <v>#VALUE!</v>
      </c>
      <c r="M1139" t="e">
        <f t="shared" ca="1" si="543"/>
        <v>#VALUE!</v>
      </c>
      <c r="N1139" t="e">
        <f t="shared" ca="1" si="544"/>
        <v>#VALUE!</v>
      </c>
      <c r="O1139" t="e">
        <f t="shared" ca="1" si="545"/>
        <v>#VALUE!</v>
      </c>
      <c r="P1139" t="e">
        <f t="shared" ca="1" si="546"/>
        <v>#VALUE!</v>
      </c>
      <c r="Q1139" t="e">
        <f t="shared" ca="1" si="547"/>
        <v>#VALUE!</v>
      </c>
      <c r="R1139" t="e">
        <f t="shared" ca="1" si="548"/>
        <v>#VALUE!</v>
      </c>
      <c r="S1139" t="e">
        <f t="shared" ca="1" si="549"/>
        <v>#VALUE!</v>
      </c>
      <c r="T1139" t="e">
        <f t="shared" ca="1" si="550"/>
        <v>#VALUE!</v>
      </c>
      <c r="U1139" t="e">
        <f t="shared" ca="1" si="571"/>
        <v>#VALUE!</v>
      </c>
      <c r="V1139" t="e">
        <f t="shared" ca="1" si="572"/>
        <v>#VALUE!</v>
      </c>
      <c r="W1139" t="e">
        <f t="shared" ca="1" si="551"/>
        <v>#VALUE!</v>
      </c>
      <c r="X1139" t="e">
        <f t="shared" ca="1" si="552"/>
        <v>#VALUE!</v>
      </c>
      <c r="Y1139" t="e">
        <f t="shared" ca="1" si="553"/>
        <v>#VALUE!</v>
      </c>
      <c r="Z1139" t="e">
        <f t="shared" ca="1" si="554"/>
        <v>#VALUE!</v>
      </c>
      <c r="AA1139" t="e">
        <f t="shared" ca="1" si="555"/>
        <v>#VALUE!</v>
      </c>
      <c r="AB1139" t="e">
        <f t="shared" ca="1" si="556"/>
        <v>#VALUE!</v>
      </c>
      <c r="AC1139" t="e">
        <f t="shared" ca="1" si="557"/>
        <v>#VALUE!</v>
      </c>
      <c r="AD1139" t="e">
        <f t="shared" ca="1" si="558"/>
        <v>#VALUE!</v>
      </c>
      <c r="AE1139" t="e">
        <f t="shared" ca="1" si="559"/>
        <v>#VALUE!</v>
      </c>
      <c r="AF1139" t="e">
        <f t="shared" ca="1" si="560"/>
        <v>#VALUE!</v>
      </c>
      <c r="AG1139" t="e">
        <f t="shared" ca="1" si="561"/>
        <v>#VALUE!</v>
      </c>
      <c r="AH1139" t="e">
        <f ca="1">IF(V32="Supercritical",L1139,IF(V32="Subcritical",W1139,IF(AND(V1139=1,AG1139=1),IF(T1139&gt;=AE1139,L1139,W1139),IF(V1139=1,L1139,IF(AG1139=1,W1139,MAX($D$16,POWER((ABS(K1139)^2)/($I$5*MAX(F1139,0.1)^2),1/3)))))))</f>
        <v>#VALUE!</v>
      </c>
      <c r="AI1139" t="e">
        <f t="shared" ca="1" si="562"/>
        <v>#VALUE!</v>
      </c>
      <c r="AJ1139" t="e">
        <f t="shared" ca="1" si="563"/>
        <v>#VALUE!</v>
      </c>
      <c r="AM1139">
        <v>0</v>
      </c>
      <c r="AN1139">
        <v>0</v>
      </c>
      <c r="AO1139">
        <f t="shared" si="564"/>
        <v>0</v>
      </c>
      <c r="AP1139">
        <f t="shared" si="573"/>
        <v>0</v>
      </c>
      <c r="AQ1139" t="e">
        <f t="shared" ca="1" si="565"/>
        <v>#VALUE!</v>
      </c>
      <c r="AR1139" t="e">
        <f t="shared" ca="1" si="566"/>
        <v>#VALUE!</v>
      </c>
      <c r="AS1139" t="e">
        <f t="shared" ca="1" si="567"/>
        <v>#VALUE!</v>
      </c>
    </row>
    <row r="1140" spans="1:45" x14ac:dyDescent="0.35">
      <c r="A1140">
        <v>991</v>
      </c>
      <c r="B1140">
        <v>989.88900000000001</v>
      </c>
      <c r="C1140">
        <v>616081.58900000004</v>
      </c>
      <c r="D1140">
        <v>3097014.04</v>
      </c>
      <c r="E1140">
        <v>632.06700000000001</v>
      </c>
      <c r="F1140">
        <v>5.2</v>
      </c>
      <c r="G1140">
        <v>0</v>
      </c>
      <c r="H1140" t="s">
        <v>191</v>
      </c>
      <c r="I1140">
        <v>5.7000000000000002E-2</v>
      </c>
      <c r="J1140">
        <f t="shared" si="568"/>
        <v>1</v>
      </c>
      <c r="K1140">
        <f t="shared" si="569"/>
        <v>51</v>
      </c>
      <c r="L1140" t="e">
        <f t="shared" ca="1" si="570"/>
        <v>#VALUE!</v>
      </c>
      <c r="M1140" t="e">
        <f t="shared" ca="1" si="543"/>
        <v>#VALUE!</v>
      </c>
      <c r="N1140" t="e">
        <f t="shared" ca="1" si="544"/>
        <v>#VALUE!</v>
      </c>
      <c r="O1140" t="e">
        <f t="shared" ca="1" si="545"/>
        <v>#VALUE!</v>
      </c>
      <c r="P1140" t="e">
        <f t="shared" ca="1" si="546"/>
        <v>#VALUE!</v>
      </c>
      <c r="Q1140" t="e">
        <f t="shared" ca="1" si="547"/>
        <v>#VALUE!</v>
      </c>
      <c r="R1140" t="e">
        <f t="shared" ca="1" si="548"/>
        <v>#VALUE!</v>
      </c>
      <c r="S1140" t="e">
        <f t="shared" ca="1" si="549"/>
        <v>#VALUE!</v>
      </c>
      <c r="T1140" t="e">
        <f t="shared" ca="1" si="550"/>
        <v>#VALUE!</v>
      </c>
      <c r="U1140" t="e">
        <f t="shared" ca="1" si="571"/>
        <v>#VALUE!</v>
      </c>
      <c r="V1140" t="e">
        <f t="shared" ca="1" si="572"/>
        <v>#VALUE!</v>
      </c>
      <c r="W1140" t="e">
        <f t="shared" ca="1" si="551"/>
        <v>#VALUE!</v>
      </c>
      <c r="X1140" t="e">
        <f t="shared" ca="1" si="552"/>
        <v>#VALUE!</v>
      </c>
      <c r="Y1140" t="e">
        <f t="shared" ca="1" si="553"/>
        <v>#VALUE!</v>
      </c>
      <c r="Z1140" t="e">
        <f t="shared" ca="1" si="554"/>
        <v>#VALUE!</v>
      </c>
      <c r="AA1140" t="e">
        <f t="shared" ca="1" si="555"/>
        <v>#VALUE!</v>
      </c>
      <c r="AB1140" t="e">
        <f t="shared" ca="1" si="556"/>
        <v>#VALUE!</v>
      </c>
      <c r="AC1140" t="e">
        <f t="shared" ca="1" si="557"/>
        <v>#VALUE!</v>
      </c>
      <c r="AD1140" t="e">
        <f t="shared" ca="1" si="558"/>
        <v>#VALUE!</v>
      </c>
      <c r="AE1140" t="e">
        <f t="shared" ca="1" si="559"/>
        <v>#VALUE!</v>
      </c>
      <c r="AF1140" t="e">
        <f t="shared" ca="1" si="560"/>
        <v>#VALUE!</v>
      </c>
      <c r="AG1140" t="e">
        <f t="shared" ca="1" si="561"/>
        <v>#VALUE!</v>
      </c>
      <c r="AH1140" t="e">
        <f ca="1">IF(V32="Supercritical",L1140,IF(V32="Subcritical",W1140,IF(AND(V1140=1,AG1140=1),IF(T1140&gt;=AE1140,L1140,W1140),IF(V1140=1,L1140,IF(AG1140=1,W1140,MAX($D$16,POWER((ABS(K1140)^2)/($I$5*MAX(F1140,0.1)^2),1/3)))))))</f>
        <v>#VALUE!</v>
      </c>
      <c r="AI1140" t="e">
        <f t="shared" ca="1" si="562"/>
        <v>#VALUE!</v>
      </c>
      <c r="AJ1140" t="e">
        <f t="shared" ca="1" si="563"/>
        <v>#VALUE!</v>
      </c>
      <c r="AM1140">
        <v>0</v>
      </c>
      <c r="AN1140">
        <v>0</v>
      </c>
      <c r="AO1140">
        <f t="shared" si="564"/>
        <v>0</v>
      </c>
      <c r="AP1140">
        <f t="shared" si="573"/>
        <v>0</v>
      </c>
      <c r="AQ1140" t="e">
        <f t="shared" ca="1" si="565"/>
        <v>#VALUE!</v>
      </c>
      <c r="AR1140" t="e">
        <f t="shared" ca="1" si="566"/>
        <v>#VALUE!</v>
      </c>
      <c r="AS1140" t="e">
        <f t="shared" ca="1" si="567"/>
        <v>#VALUE!</v>
      </c>
    </row>
    <row r="1141" spans="1:45" x14ac:dyDescent="0.35">
      <c r="A1141">
        <v>992</v>
      </c>
      <c r="B1141">
        <v>990.88900000000001</v>
      </c>
      <c r="C1141">
        <v>616081.54599999997</v>
      </c>
      <c r="D1141">
        <v>3097013.0410000002</v>
      </c>
      <c r="E1141">
        <v>632.06650000000002</v>
      </c>
      <c r="F1141">
        <v>5.2</v>
      </c>
      <c r="G1141">
        <v>0</v>
      </c>
      <c r="H1141" t="s">
        <v>191</v>
      </c>
      <c r="I1141">
        <v>5.7000000000000002E-2</v>
      </c>
      <c r="J1141">
        <f t="shared" si="568"/>
        <v>1</v>
      </c>
      <c r="K1141">
        <f t="shared" si="569"/>
        <v>51</v>
      </c>
      <c r="L1141" t="e">
        <f t="shared" ca="1" si="570"/>
        <v>#VALUE!</v>
      </c>
      <c r="M1141" t="e">
        <f t="shared" ca="1" si="543"/>
        <v>#VALUE!</v>
      </c>
      <c r="N1141" t="e">
        <f t="shared" ca="1" si="544"/>
        <v>#VALUE!</v>
      </c>
      <c r="O1141" t="e">
        <f t="shared" ca="1" si="545"/>
        <v>#VALUE!</v>
      </c>
      <c r="P1141" t="e">
        <f t="shared" ca="1" si="546"/>
        <v>#VALUE!</v>
      </c>
      <c r="Q1141" t="e">
        <f t="shared" ca="1" si="547"/>
        <v>#VALUE!</v>
      </c>
      <c r="R1141" t="e">
        <f t="shared" ca="1" si="548"/>
        <v>#VALUE!</v>
      </c>
      <c r="S1141" t="e">
        <f t="shared" ca="1" si="549"/>
        <v>#VALUE!</v>
      </c>
      <c r="T1141" t="e">
        <f t="shared" ca="1" si="550"/>
        <v>#VALUE!</v>
      </c>
      <c r="U1141" t="e">
        <f t="shared" ca="1" si="571"/>
        <v>#VALUE!</v>
      </c>
      <c r="V1141" t="e">
        <f t="shared" ca="1" si="572"/>
        <v>#VALUE!</v>
      </c>
      <c r="W1141" t="e">
        <f t="shared" ca="1" si="551"/>
        <v>#VALUE!</v>
      </c>
      <c r="X1141" t="e">
        <f t="shared" ca="1" si="552"/>
        <v>#VALUE!</v>
      </c>
      <c r="Y1141" t="e">
        <f t="shared" ca="1" si="553"/>
        <v>#VALUE!</v>
      </c>
      <c r="Z1141" t="e">
        <f t="shared" ca="1" si="554"/>
        <v>#VALUE!</v>
      </c>
      <c r="AA1141" t="e">
        <f t="shared" ca="1" si="555"/>
        <v>#VALUE!</v>
      </c>
      <c r="AB1141" t="e">
        <f t="shared" ca="1" si="556"/>
        <v>#VALUE!</v>
      </c>
      <c r="AC1141" t="e">
        <f t="shared" ca="1" si="557"/>
        <v>#VALUE!</v>
      </c>
      <c r="AD1141" t="e">
        <f t="shared" ca="1" si="558"/>
        <v>#VALUE!</v>
      </c>
      <c r="AE1141" t="e">
        <f t="shared" ca="1" si="559"/>
        <v>#VALUE!</v>
      </c>
      <c r="AF1141" t="e">
        <f t="shared" ca="1" si="560"/>
        <v>#VALUE!</v>
      </c>
      <c r="AG1141" t="e">
        <f t="shared" ca="1" si="561"/>
        <v>#VALUE!</v>
      </c>
      <c r="AH1141" t="e">
        <f ca="1">IF(V32="Supercritical",L1141,IF(V32="Subcritical",W1141,IF(AND(V1141=1,AG1141=1),IF(T1141&gt;=AE1141,L1141,W1141),IF(V1141=1,L1141,IF(AG1141=1,W1141,MAX($D$16,POWER((ABS(K1141)^2)/($I$5*MAX(F1141,0.1)^2),1/3)))))))</f>
        <v>#VALUE!</v>
      </c>
      <c r="AI1141" t="e">
        <f t="shared" ca="1" si="562"/>
        <v>#VALUE!</v>
      </c>
      <c r="AJ1141" t="e">
        <f t="shared" ca="1" si="563"/>
        <v>#VALUE!</v>
      </c>
      <c r="AM1141">
        <v>0</v>
      </c>
      <c r="AN1141">
        <v>0</v>
      </c>
      <c r="AO1141">
        <f t="shared" si="564"/>
        <v>0</v>
      </c>
      <c r="AP1141">
        <f t="shared" si="573"/>
        <v>0</v>
      </c>
      <c r="AQ1141" t="e">
        <f t="shared" ca="1" si="565"/>
        <v>#VALUE!</v>
      </c>
      <c r="AR1141" t="e">
        <f t="shared" ca="1" si="566"/>
        <v>#VALUE!</v>
      </c>
      <c r="AS1141" t="e">
        <f t="shared" ca="1" si="567"/>
        <v>#VALUE!</v>
      </c>
    </row>
    <row r="1142" spans="1:45" x14ac:dyDescent="0.35">
      <c r="A1142">
        <v>993</v>
      </c>
      <c r="B1142">
        <v>991.88900000000001</v>
      </c>
      <c r="C1142">
        <v>616081.50399999996</v>
      </c>
      <c r="D1142">
        <v>3097012.0419999999</v>
      </c>
      <c r="E1142">
        <v>632.06600000000003</v>
      </c>
      <c r="F1142">
        <v>5.2</v>
      </c>
      <c r="G1142">
        <v>0</v>
      </c>
      <c r="H1142" t="s">
        <v>191</v>
      </c>
      <c r="I1142">
        <v>2E-3</v>
      </c>
      <c r="J1142">
        <f t="shared" si="568"/>
        <v>1</v>
      </c>
      <c r="K1142">
        <f t="shared" si="569"/>
        <v>51</v>
      </c>
      <c r="L1142" t="e">
        <f t="shared" ca="1" si="570"/>
        <v>#VALUE!</v>
      </c>
      <c r="M1142" t="e">
        <f t="shared" ca="1" si="543"/>
        <v>#VALUE!</v>
      </c>
      <c r="N1142" t="e">
        <f t="shared" ca="1" si="544"/>
        <v>#VALUE!</v>
      </c>
      <c r="O1142" t="e">
        <f t="shared" ca="1" si="545"/>
        <v>#VALUE!</v>
      </c>
      <c r="P1142" t="e">
        <f t="shared" ca="1" si="546"/>
        <v>#VALUE!</v>
      </c>
      <c r="Q1142" t="e">
        <f t="shared" ca="1" si="547"/>
        <v>#VALUE!</v>
      </c>
      <c r="R1142" t="e">
        <f t="shared" ca="1" si="548"/>
        <v>#VALUE!</v>
      </c>
      <c r="S1142" t="e">
        <f t="shared" ca="1" si="549"/>
        <v>#VALUE!</v>
      </c>
      <c r="T1142" t="e">
        <f t="shared" ca="1" si="550"/>
        <v>#VALUE!</v>
      </c>
      <c r="U1142" t="e">
        <f t="shared" ca="1" si="571"/>
        <v>#VALUE!</v>
      </c>
      <c r="V1142" t="e">
        <f t="shared" ca="1" si="572"/>
        <v>#VALUE!</v>
      </c>
      <c r="W1142" t="e">
        <f t="shared" ca="1" si="551"/>
        <v>#VALUE!</v>
      </c>
      <c r="X1142" t="e">
        <f t="shared" ca="1" si="552"/>
        <v>#VALUE!</v>
      </c>
      <c r="Y1142" t="e">
        <f t="shared" ca="1" si="553"/>
        <v>#VALUE!</v>
      </c>
      <c r="Z1142" t="e">
        <f t="shared" ca="1" si="554"/>
        <v>#VALUE!</v>
      </c>
      <c r="AA1142" t="e">
        <f t="shared" ca="1" si="555"/>
        <v>#VALUE!</v>
      </c>
      <c r="AB1142" t="e">
        <f t="shared" ca="1" si="556"/>
        <v>#VALUE!</v>
      </c>
      <c r="AC1142" t="e">
        <f t="shared" ca="1" si="557"/>
        <v>#VALUE!</v>
      </c>
      <c r="AD1142" t="e">
        <f t="shared" ca="1" si="558"/>
        <v>#VALUE!</v>
      </c>
      <c r="AE1142" t="e">
        <f t="shared" ca="1" si="559"/>
        <v>#VALUE!</v>
      </c>
      <c r="AF1142" t="e">
        <f t="shared" ca="1" si="560"/>
        <v>#VALUE!</v>
      </c>
      <c r="AG1142" t="e">
        <f t="shared" ca="1" si="561"/>
        <v>#VALUE!</v>
      </c>
      <c r="AH1142" t="e">
        <f ca="1">IF(V32="Supercritical",L1142,IF(V32="Subcritical",W1142,IF(AND(V1142=1,AG1142=1),IF(T1142&gt;=AE1142,L1142,W1142),IF(V1142=1,L1142,IF(AG1142=1,W1142,MAX($D$16,POWER((ABS(K1142)^2)/($I$5*MAX(F1142,0.1)^2),1/3)))))))</f>
        <v>#VALUE!</v>
      </c>
      <c r="AI1142" t="e">
        <f t="shared" ca="1" si="562"/>
        <v>#VALUE!</v>
      </c>
      <c r="AJ1142" t="e">
        <f t="shared" ca="1" si="563"/>
        <v>#VALUE!</v>
      </c>
      <c r="AM1142">
        <v>0</v>
      </c>
      <c r="AN1142">
        <v>0</v>
      </c>
      <c r="AO1142">
        <f t="shared" si="564"/>
        <v>0</v>
      </c>
      <c r="AP1142">
        <f t="shared" si="573"/>
        <v>0</v>
      </c>
      <c r="AQ1142" t="e">
        <f t="shared" ca="1" si="565"/>
        <v>#VALUE!</v>
      </c>
      <c r="AR1142" t="e">
        <f t="shared" ca="1" si="566"/>
        <v>#VALUE!</v>
      </c>
      <c r="AS1142" t="e">
        <f t="shared" ca="1" si="567"/>
        <v>#VALUE!</v>
      </c>
    </row>
    <row r="1143" spans="1:45" x14ac:dyDescent="0.35">
      <c r="A1143">
        <v>994</v>
      </c>
      <c r="B1143">
        <v>992.89</v>
      </c>
      <c r="C1143">
        <v>616081.46200000006</v>
      </c>
      <c r="D1143">
        <v>3097011.0419999999</v>
      </c>
      <c r="E1143">
        <v>632.06550000000004</v>
      </c>
      <c r="F1143">
        <v>5.2</v>
      </c>
      <c r="G1143">
        <v>0</v>
      </c>
      <c r="H1143" t="s">
        <v>191</v>
      </c>
      <c r="I1143">
        <v>2E-3</v>
      </c>
      <c r="J1143">
        <f t="shared" si="568"/>
        <v>1.0009999999999764</v>
      </c>
      <c r="K1143">
        <f t="shared" si="569"/>
        <v>51</v>
      </c>
      <c r="L1143" t="e">
        <f t="shared" ca="1" si="570"/>
        <v>#VALUE!</v>
      </c>
      <c r="M1143" t="e">
        <f t="shared" ca="1" si="543"/>
        <v>#VALUE!</v>
      </c>
      <c r="N1143" t="e">
        <f t="shared" ca="1" si="544"/>
        <v>#VALUE!</v>
      </c>
      <c r="O1143" t="e">
        <f t="shared" ca="1" si="545"/>
        <v>#VALUE!</v>
      </c>
      <c r="P1143" t="e">
        <f t="shared" ca="1" si="546"/>
        <v>#VALUE!</v>
      </c>
      <c r="Q1143" t="e">
        <f t="shared" ca="1" si="547"/>
        <v>#VALUE!</v>
      </c>
      <c r="R1143" t="e">
        <f t="shared" ca="1" si="548"/>
        <v>#VALUE!</v>
      </c>
      <c r="S1143" t="e">
        <f t="shared" ca="1" si="549"/>
        <v>#VALUE!</v>
      </c>
      <c r="T1143" t="e">
        <f t="shared" ca="1" si="550"/>
        <v>#VALUE!</v>
      </c>
      <c r="U1143" t="e">
        <f t="shared" ca="1" si="571"/>
        <v>#VALUE!</v>
      </c>
      <c r="V1143" t="e">
        <f t="shared" ca="1" si="572"/>
        <v>#VALUE!</v>
      </c>
      <c r="W1143" t="e">
        <f t="shared" ca="1" si="551"/>
        <v>#VALUE!</v>
      </c>
      <c r="X1143" t="e">
        <f t="shared" ca="1" si="552"/>
        <v>#VALUE!</v>
      </c>
      <c r="Y1143" t="e">
        <f t="shared" ca="1" si="553"/>
        <v>#VALUE!</v>
      </c>
      <c r="Z1143" t="e">
        <f t="shared" ca="1" si="554"/>
        <v>#VALUE!</v>
      </c>
      <c r="AA1143" t="e">
        <f t="shared" ca="1" si="555"/>
        <v>#VALUE!</v>
      </c>
      <c r="AB1143" t="e">
        <f t="shared" ca="1" si="556"/>
        <v>#VALUE!</v>
      </c>
      <c r="AC1143" t="e">
        <f t="shared" ca="1" si="557"/>
        <v>#VALUE!</v>
      </c>
      <c r="AD1143" t="e">
        <f t="shared" ca="1" si="558"/>
        <v>#VALUE!</v>
      </c>
      <c r="AE1143" t="e">
        <f t="shared" ca="1" si="559"/>
        <v>#VALUE!</v>
      </c>
      <c r="AF1143" t="e">
        <f t="shared" ca="1" si="560"/>
        <v>#VALUE!</v>
      </c>
      <c r="AG1143" t="e">
        <f t="shared" ca="1" si="561"/>
        <v>#VALUE!</v>
      </c>
      <c r="AH1143" t="e">
        <f ca="1">IF(V32="Supercritical",L1143,IF(V32="Subcritical",W1143,IF(AND(V1143=1,AG1143=1),IF(T1143&gt;=AE1143,L1143,W1143),IF(V1143=1,L1143,IF(AG1143=1,W1143,MAX($D$16,POWER((ABS(K1143)^2)/($I$5*MAX(F1143,0.1)^2),1/3)))))))</f>
        <v>#VALUE!</v>
      </c>
      <c r="AI1143" t="e">
        <f t="shared" ca="1" si="562"/>
        <v>#VALUE!</v>
      </c>
      <c r="AJ1143" t="e">
        <f t="shared" ca="1" si="563"/>
        <v>#VALUE!</v>
      </c>
      <c r="AM1143">
        <v>0</v>
      </c>
      <c r="AN1143">
        <v>0</v>
      </c>
      <c r="AO1143">
        <f t="shared" si="564"/>
        <v>0</v>
      </c>
      <c r="AP1143">
        <f t="shared" si="573"/>
        <v>0</v>
      </c>
      <c r="AQ1143" t="e">
        <f t="shared" ca="1" si="565"/>
        <v>#VALUE!</v>
      </c>
      <c r="AR1143" t="e">
        <f t="shared" ca="1" si="566"/>
        <v>#VALUE!</v>
      </c>
      <c r="AS1143" t="e">
        <f t="shared" ca="1" si="567"/>
        <v>#VALUE!</v>
      </c>
    </row>
    <row r="1144" spans="1:45" x14ac:dyDescent="0.35">
      <c r="A1144">
        <v>995</v>
      </c>
      <c r="B1144">
        <v>993.89</v>
      </c>
      <c r="C1144">
        <v>616081.42000000004</v>
      </c>
      <c r="D1144">
        <v>3097010.0430000001</v>
      </c>
      <c r="E1144">
        <v>632.06500000000005</v>
      </c>
      <c r="F1144">
        <v>5.2</v>
      </c>
      <c r="G1144">
        <v>0</v>
      </c>
      <c r="H1144" t="s">
        <v>191</v>
      </c>
      <c r="I1144">
        <v>5.7000000000000002E-2</v>
      </c>
      <c r="J1144">
        <f t="shared" si="568"/>
        <v>1</v>
      </c>
      <c r="K1144">
        <f t="shared" si="569"/>
        <v>51</v>
      </c>
      <c r="L1144" t="e">
        <f t="shared" ca="1" si="570"/>
        <v>#VALUE!</v>
      </c>
      <c r="M1144" t="e">
        <f t="shared" ca="1" si="543"/>
        <v>#VALUE!</v>
      </c>
      <c r="N1144" t="e">
        <f t="shared" ca="1" si="544"/>
        <v>#VALUE!</v>
      </c>
      <c r="O1144" t="e">
        <f t="shared" ca="1" si="545"/>
        <v>#VALUE!</v>
      </c>
      <c r="P1144" t="e">
        <f t="shared" ca="1" si="546"/>
        <v>#VALUE!</v>
      </c>
      <c r="Q1144" t="e">
        <f t="shared" ca="1" si="547"/>
        <v>#VALUE!</v>
      </c>
      <c r="R1144" t="e">
        <f t="shared" ca="1" si="548"/>
        <v>#VALUE!</v>
      </c>
      <c r="S1144" t="e">
        <f t="shared" ca="1" si="549"/>
        <v>#VALUE!</v>
      </c>
      <c r="T1144" t="e">
        <f t="shared" ca="1" si="550"/>
        <v>#VALUE!</v>
      </c>
      <c r="U1144" t="e">
        <f t="shared" ca="1" si="571"/>
        <v>#VALUE!</v>
      </c>
      <c r="V1144" t="e">
        <f t="shared" ca="1" si="572"/>
        <v>#VALUE!</v>
      </c>
      <c r="W1144" t="e">
        <f t="shared" ca="1" si="551"/>
        <v>#VALUE!</v>
      </c>
      <c r="X1144" t="e">
        <f t="shared" ca="1" si="552"/>
        <v>#VALUE!</v>
      </c>
      <c r="Y1144" t="e">
        <f t="shared" ca="1" si="553"/>
        <v>#VALUE!</v>
      </c>
      <c r="Z1144" t="e">
        <f t="shared" ca="1" si="554"/>
        <v>#VALUE!</v>
      </c>
      <c r="AA1144" t="e">
        <f t="shared" ca="1" si="555"/>
        <v>#VALUE!</v>
      </c>
      <c r="AB1144" t="e">
        <f t="shared" ca="1" si="556"/>
        <v>#VALUE!</v>
      </c>
      <c r="AC1144" t="e">
        <f t="shared" ca="1" si="557"/>
        <v>#VALUE!</v>
      </c>
      <c r="AD1144" t="e">
        <f t="shared" ca="1" si="558"/>
        <v>#VALUE!</v>
      </c>
      <c r="AE1144" t="e">
        <f t="shared" ca="1" si="559"/>
        <v>#VALUE!</v>
      </c>
      <c r="AF1144" t="e">
        <f t="shared" ca="1" si="560"/>
        <v>#VALUE!</v>
      </c>
      <c r="AG1144" t="e">
        <f t="shared" ca="1" si="561"/>
        <v>#VALUE!</v>
      </c>
      <c r="AH1144" t="e">
        <f ca="1">IF(V32="Supercritical",L1144,IF(V32="Subcritical",W1144,IF(AND(V1144=1,AG1144=1),IF(T1144&gt;=AE1144,L1144,W1144),IF(V1144=1,L1144,IF(AG1144=1,W1144,MAX($D$16,POWER((ABS(K1144)^2)/($I$5*MAX(F1144,0.1)^2),1/3)))))))</f>
        <v>#VALUE!</v>
      </c>
      <c r="AI1144" t="e">
        <f t="shared" ca="1" si="562"/>
        <v>#VALUE!</v>
      </c>
      <c r="AJ1144" t="e">
        <f t="shared" ca="1" si="563"/>
        <v>#VALUE!</v>
      </c>
      <c r="AM1144">
        <v>0</v>
      </c>
      <c r="AN1144">
        <v>0</v>
      </c>
      <c r="AO1144">
        <f t="shared" si="564"/>
        <v>0</v>
      </c>
      <c r="AP1144">
        <f t="shared" si="573"/>
        <v>0</v>
      </c>
      <c r="AQ1144" t="e">
        <f t="shared" ca="1" si="565"/>
        <v>#VALUE!</v>
      </c>
      <c r="AR1144" t="e">
        <f t="shared" ca="1" si="566"/>
        <v>#VALUE!</v>
      </c>
      <c r="AS1144" t="e">
        <f t="shared" ca="1" si="567"/>
        <v>#VALUE!</v>
      </c>
    </row>
    <row r="1145" spans="1:45" x14ac:dyDescent="0.35">
      <c r="A1145">
        <v>996</v>
      </c>
      <c r="B1145">
        <v>994.89</v>
      </c>
      <c r="C1145">
        <v>616081.37699999998</v>
      </c>
      <c r="D1145">
        <v>3097009.0440000002</v>
      </c>
      <c r="E1145">
        <v>632.06449999999995</v>
      </c>
      <c r="F1145">
        <v>5.2</v>
      </c>
      <c r="G1145">
        <v>0</v>
      </c>
      <c r="H1145" t="s">
        <v>191</v>
      </c>
      <c r="I1145">
        <v>5.7000000000000002E-2</v>
      </c>
      <c r="J1145">
        <f t="shared" si="568"/>
        <v>1</v>
      </c>
      <c r="K1145">
        <f t="shared" si="569"/>
        <v>51</v>
      </c>
      <c r="L1145" t="e">
        <f t="shared" ca="1" si="570"/>
        <v>#VALUE!</v>
      </c>
      <c r="M1145" t="e">
        <f t="shared" ca="1" si="543"/>
        <v>#VALUE!</v>
      </c>
      <c r="N1145" t="e">
        <f t="shared" ca="1" si="544"/>
        <v>#VALUE!</v>
      </c>
      <c r="O1145" t="e">
        <f t="shared" ca="1" si="545"/>
        <v>#VALUE!</v>
      </c>
      <c r="P1145" t="e">
        <f t="shared" ca="1" si="546"/>
        <v>#VALUE!</v>
      </c>
      <c r="Q1145" t="e">
        <f t="shared" ca="1" si="547"/>
        <v>#VALUE!</v>
      </c>
      <c r="R1145" t="e">
        <f t="shared" ca="1" si="548"/>
        <v>#VALUE!</v>
      </c>
      <c r="S1145" t="e">
        <f t="shared" ca="1" si="549"/>
        <v>#VALUE!</v>
      </c>
      <c r="T1145" t="e">
        <f t="shared" ca="1" si="550"/>
        <v>#VALUE!</v>
      </c>
      <c r="U1145" t="e">
        <f t="shared" ca="1" si="571"/>
        <v>#VALUE!</v>
      </c>
      <c r="V1145" t="e">
        <f t="shared" ca="1" si="572"/>
        <v>#VALUE!</v>
      </c>
      <c r="W1145" t="e">
        <f t="shared" ca="1" si="551"/>
        <v>#VALUE!</v>
      </c>
      <c r="X1145" t="e">
        <f t="shared" ca="1" si="552"/>
        <v>#VALUE!</v>
      </c>
      <c r="Y1145" t="e">
        <f t="shared" ca="1" si="553"/>
        <v>#VALUE!</v>
      </c>
      <c r="Z1145" t="e">
        <f t="shared" ca="1" si="554"/>
        <v>#VALUE!</v>
      </c>
      <c r="AA1145" t="e">
        <f t="shared" ca="1" si="555"/>
        <v>#VALUE!</v>
      </c>
      <c r="AB1145" t="e">
        <f t="shared" ca="1" si="556"/>
        <v>#VALUE!</v>
      </c>
      <c r="AC1145" t="e">
        <f t="shared" ca="1" si="557"/>
        <v>#VALUE!</v>
      </c>
      <c r="AD1145" t="e">
        <f t="shared" ca="1" si="558"/>
        <v>#VALUE!</v>
      </c>
      <c r="AE1145" t="e">
        <f t="shared" ca="1" si="559"/>
        <v>#VALUE!</v>
      </c>
      <c r="AF1145" t="e">
        <f t="shared" ca="1" si="560"/>
        <v>#VALUE!</v>
      </c>
      <c r="AG1145" t="e">
        <f t="shared" ca="1" si="561"/>
        <v>#VALUE!</v>
      </c>
      <c r="AH1145" t="e">
        <f ca="1">IF(V32="Supercritical",L1145,IF(V32="Subcritical",W1145,IF(AND(V1145=1,AG1145=1),IF(T1145&gt;=AE1145,L1145,W1145),IF(V1145=1,L1145,IF(AG1145=1,W1145,MAX($D$16,POWER((ABS(K1145)^2)/($I$5*MAX(F1145,0.1)^2),1/3)))))))</f>
        <v>#VALUE!</v>
      </c>
      <c r="AI1145" t="e">
        <f t="shared" ca="1" si="562"/>
        <v>#VALUE!</v>
      </c>
      <c r="AJ1145" t="e">
        <f t="shared" ca="1" si="563"/>
        <v>#VALUE!</v>
      </c>
      <c r="AM1145">
        <v>0</v>
      </c>
      <c r="AN1145">
        <v>0</v>
      </c>
      <c r="AO1145">
        <f t="shared" si="564"/>
        <v>0</v>
      </c>
      <c r="AP1145">
        <f t="shared" si="573"/>
        <v>0</v>
      </c>
      <c r="AQ1145" t="e">
        <f t="shared" ca="1" si="565"/>
        <v>#VALUE!</v>
      </c>
      <c r="AR1145" t="e">
        <f t="shared" ca="1" si="566"/>
        <v>#VALUE!</v>
      </c>
      <c r="AS1145" t="e">
        <f t="shared" ca="1" si="567"/>
        <v>#VALUE!</v>
      </c>
    </row>
    <row r="1146" spans="1:45" x14ac:dyDescent="0.35">
      <c r="A1146">
        <v>997</v>
      </c>
      <c r="B1146">
        <v>995.88900000000001</v>
      </c>
      <c r="C1146">
        <v>616081.33499999996</v>
      </c>
      <c r="D1146">
        <v>3097008.0449999999</v>
      </c>
      <c r="E1146">
        <v>632.06399999999996</v>
      </c>
      <c r="F1146">
        <v>5.2</v>
      </c>
      <c r="G1146">
        <v>0</v>
      </c>
      <c r="H1146" t="s">
        <v>191</v>
      </c>
      <c r="I1146">
        <v>0</v>
      </c>
      <c r="J1146">
        <f t="shared" si="568"/>
        <v>0.99900000000002365</v>
      </c>
      <c r="K1146">
        <f t="shared" si="569"/>
        <v>51</v>
      </c>
      <c r="L1146" t="e">
        <f t="shared" ca="1" si="570"/>
        <v>#VALUE!</v>
      </c>
      <c r="M1146" t="e">
        <f t="shared" ca="1" si="543"/>
        <v>#VALUE!</v>
      </c>
      <c r="N1146" t="e">
        <f t="shared" ca="1" si="544"/>
        <v>#VALUE!</v>
      </c>
      <c r="O1146" t="e">
        <f t="shared" ca="1" si="545"/>
        <v>#VALUE!</v>
      </c>
      <c r="P1146" t="e">
        <f t="shared" ca="1" si="546"/>
        <v>#VALUE!</v>
      </c>
      <c r="Q1146" t="e">
        <f t="shared" ca="1" si="547"/>
        <v>#VALUE!</v>
      </c>
      <c r="R1146" t="e">
        <f t="shared" ca="1" si="548"/>
        <v>#VALUE!</v>
      </c>
      <c r="S1146" t="e">
        <f t="shared" ca="1" si="549"/>
        <v>#VALUE!</v>
      </c>
      <c r="T1146" t="e">
        <f t="shared" ca="1" si="550"/>
        <v>#VALUE!</v>
      </c>
      <c r="U1146" t="e">
        <f t="shared" ca="1" si="571"/>
        <v>#VALUE!</v>
      </c>
      <c r="V1146" t="e">
        <f t="shared" ca="1" si="572"/>
        <v>#VALUE!</v>
      </c>
      <c r="W1146" t="e">
        <f t="shared" ca="1" si="551"/>
        <v>#VALUE!</v>
      </c>
      <c r="X1146" t="e">
        <f t="shared" ca="1" si="552"/>
        <v>#VALUE!</v>
      </c>
      <c r="Y1146" t="e">
        <f t="shared" ca="1" si="553"/>
        <v>#VALUE!</v>
      </c>
      <c r="Z1146" t="e">
        <f t="shared" ca="1" si="554"/>
        <v>#VALUE!</v>
      </c>
      <c r="AA1146" t="e">
        <f t="shared" ca="1" si="555"/>
        <v>#VALUE!</v>
      </c>
      <c r="AB1146" t="e">
        <f t="shared" ca="1" si="556"/>
        <v>#VALUE!</v>
      </c>
      <c r="AC1146" t="e">
        <f t="shared" ca="1" si="557"/>
        <v>#VALUE!</v>
      </c>
      <c r="AD1146" t="e">
        <f t="shared" ca="1" si="558"/>
        <v>#VALUE!</v>
      </c>
      <c r="AE1146" t="e">
        <f t="shared" ca="1" si="559"/>
        <v>#VALUE!</v>
      </c>
      <c r="AF1146" t="e">
        <f t="shared" ca="1" si="560"/>
        <v>#VALUE!</v>
      </c>
      <c r="AG1146" t="e">
        <f t="shared" ca="1" si="561"/>
        <v>#VALUE!</v>
      </c>
      <c r="AH1146" t="e">
        <f ca="1">IF(V32="Supercritical",L1146,IF(V32="Subcritical",W1146,IF(AND(V1146=1,AG1146=1),IF(T1146&gt;=AE1146,L1146,W1146),IF(V1146=1,L1146,IF(AG1146=1,W1146,MAX($D$16,POWER((ABS(K1146)^2)/($I$5*MAX(F1146,0.1)^2),1/3)))))))</f>
        <v>#VALUE!</v>
      </c>
      <c r="AI1146" t="e">
        <f t="shared" ca="1" si="562"/>
        <v>#VALUE!</v>
      </c>
      <c r="AJ1146" t="e">
        <f t="shared" ca="1" si="563"/>
        <v>#VALUE!</v>
      </c>
      <c r="AM1146">
        <v>0</v>
      </c>
      <c r="AN1146">
        <v>0</v>
      </c>
      <c r="AO1146">
        <f t="shared" si="564"/>
        <v>0</v>
      </c>
      <c r="AP1146">
        <f t="shared" si="573"/>
        <v>0</v>
      </c>
      <c r="AQ1146" t="e">
        <f t="shared" ca="1" si="565"/>
        <v>#VALUE!</v>
      </c>
      <c r="AR1146" t="e">
        <f t="shared" ca="1" si="566"/>
        <v>#VALUE!</v>
      </c>
      <c r="AS1146" t="e">
        <f t="shared" ca="1" si="567"/>
        <v>#VALUE!</v>
      </c>
    </row>
    <row r="1147" spans="1:45" x14ac:dyDescent="0.35">
      <c r="A1147">
        <v>998</v>
      </c>
      <c r="B1147">
        <v>996.88900000000001</v>
      </c>
      <c r="C1147">
        <v>616081.29299999995</v>
      </c>
      <c r="D1147">
        <v>3097007.0460000001</v>
      </c>
      <c r="E1147">
        <v>632.06349999999998</v>
      </c>
      <c r="F1147">
        <v>5.2</v>
      </c>
      <c r="G1147">
        <v>0</v>
      </c>
      <c r="H1147" t="s">
        <v>191</v>
      </c>
      <c r="I1147">
        <v>0</v>
      </c>
      <c r="J1147">
        <f t="shared" si="568"/>
        <v>1</v>
      </c>
      <c r="K1147">
        <f t="shared" si="569"/>
        <v>51</v>
      </c>
      <c r="L1147" t="e">
        <f t="shared" ca="1" si="570"/>
        <v>#VALUE!</v>
      </c>
      <c r="M1147" t="e">
        <f t="shared" ca="1" si="543"/>
        <v>#VALUE!</v>
      </c>
      <c r="N1147" t="e">
        <f t="shared" ca="1" si="544"/>
        <v>#VALUE!</v>
      </c>
      <c r="O1147" t="e">
        <f t="shared" ca="1" si="545"/>
        <v>#VALUE!</v>
      </c>
      <c r="P1147" t="e">
        <f t="shared" ca="1" si="546"/>
        <v>#VALUE!</v>
      </c>
      <c r="Q1147" t="e">
        <f t="shared" ca="1" si="547"/>
        <v>#VALUE!</v>
      </c>
      <c r="R1147" t="e">
        <f t="shared" ca="1" si="548"/>
        <v>#VALUE!</v>
      </c>
      <c r="S1147" t="e">
        <f t="shared" ca="1" si="549"/>
        <v>#VALUE!</v>
      </c>
      <c r="T1147" t="e">
        <f t="shared" ca="1" si="550"/>
        <v>#VALUE!</v>
      </c>
      <c r="U1147" t="e">
        <f t="shared" ca="1" si="571"/>
        <v>#VALUE!</v>
      </c>
      <c r="V1147" t="e">
        <f t="shared" ca="1" si="572"/>
        <v>#VALUE!</v>
      </c>
      <c r="W1147" t="e">
        <f t="shared" ca="1" si="551"/>
        <v>#VALUE!</v>
      </c>
      <c r="X1147" t="e">
        <f t="shared" ca="1" si="552"/>
        <v>#VALUE!</v>
      </c>
      <c r="Y1147" t="e">
        <f t="shared" ca="1" si="553"/>
        <v>#VALUE!</v>
      </c>
      <c r="Z1147" t="e">
        <f t="shared" ca="1" si="554"/>
        <v>#VALUE!</v>
      </c>
      <c r="AA1147" t="e">
        <f t="shared" ca="1" si="555"/>
        <v>#VALUE!</v>
      </c>
      <c r="AB1147" t="e">
        <f t="shared" ca="1" si="556"/>
        <v>#VALUE!</v>
      </c>
      <c r="AC1147" t="e">
        <f t="shared" ca="1" si="557"/>
        <v>#VALUE!</v>
      </c>
      <c r="AD1147" t="e">
        <f t="shared" ca="1" si="558"/>
        <v>#VALUE!</v>
      </c>
      <c r="AE1147" t="e">
        <f t="shared" ca="1" si="559"/>
        <v>#VALUE!</v>
      </c>
      <c r="AF1147" t="e">
        <f t="shared" ca="1" si="560"/>
        <v>#VALUE!</v>
      </c>
      <c r="AG1147" t="e">
        <f t="shared" ca="1" si="561"/>
        <v>#VALUE!</v>
      </c>
      <c r="AH1147" t="e">
        <f ca="1">IF(V32="Supercritical",L1147,IF(V32="Subcritical",W1147,IF(AND(V1147=1,AG1147=1),IF(T1147&gt;=AE1147,L1147,W1147),IF(V1147=1,L1147,IF(AG1147=1,W1147,MAX($D$16,POWER((ABS(K1147)^2)/($I$5*MAX(F1147,0.1)^2),1/3)))))))</f>
        <v>#VALUE!</v>
      </c>
      <c r="AI1147" t="e">
        <f t="shared" ca="1" si="562"/>
        <v>#VALUE!</v>
      </c>
      <c r="AJ1147" t="e">
        <f t="shared" ca="1" si="563"/>
        <v>#VALUE!</v>
      </c>
      <c r="AM1147">
        <v>0</v>
      </c>
      <c r="AN1147">
        <v>0</v>
      </c>
      <c r="AO1147">
        <f t="shared" si="564"/>
        <v>0</v>
      </c>
      <c r="AP1147">
        <f t="shared" si="573"/>
        <v>0</v>
      </c>
      <c r="AQ1147" t="e">
        <f t="shared" ca="1" si="565"/>
        <v>#VALUE!</v>
      </c>
      <c r="AR1147" t="e">
        <f t="shared" ca="1" si="566"/>
        <v>#VALUE!</v>
      </c>
      <c r="AS1147" t="e">
        <f t="shared" ca="1" si="567"/>
        <v>#VALUE!</v>
      </c>
    </row>
    <row r="1148" spans="1:45" x14ac:dyDescent="0.35">
      <c r="A1148">
        <v>999</v>
      </c>
      <c r="B1148">
        <v>997.88900000000001</v>
      </c>
      <c r="C1148">
        <v>616081.25100000005</v>
      </c>
      <c r="D1148">
        <v>3097006.0469999998</v>
      </c>
      <c r="E1148">
        <v>632.06299999999999</v>
      </c>
      <c r="F1148">
        <v>5.2</v>
      </c>
      <c r="G1148">
        <v>0</v>
      </c>
      <c r="H1148" t="s">
        <v>191</v>
      </c>
      <c r="I1148">
        <v>5.7000000000000002E-2</v>
      </c>
      <c r="J1148">
        <f t="shared" si="568"/>
        <v>1</v>
      </c>
      <c r="K1148">
        <f t="shared" si="569"/>
        <v>51</v>
      </c>
      <c r="L1148" t="e">
        <f t="shared" ca="1" si="570"/>
        <v>#VALUE!</v>
      </c>
      <c r="M1148" t="e">
        <f t="shared" ca="1" si="543"/>
        <v>#VALUE!</v>
      </c>
      <c r="N1148" t="e">
        <f t="shared" ca="1" si="544"/>
        <v>#VALUE!</v>
      </c>
      <c r="O1148" t="e">
        <f t="shared" ca="1" si="545"/>
        <v>#VALUE!</v>
      </c>
      <c r="P1148" t="e">
        <f t="shared" ca="1" si="546"/>
        <v>#VALUE!</v>
      </c>
      <c r="Q1148" t="e">
        <f t="shared" ca="1" si="547"/>
        <v>#VALUE!</v>
      </c>
      <c r="R1148" t="e">
        <f t="shared" ca="1" si="548"/>
        <v>#VALUE!</v>
      </c>
      <c r="S1148" t="e">
        <f t="shared" ca="1" si="549"/>
        <v>#VALUE!</v>
      </c>
      <c r="T1148" t="e">
        <f t="shared" ca="1" si="550"/>
        <v>#VALUE!</v>
      </c>
      <c r="U1148" t="e">
        <f t="shared" ca="1" si="571"/>
        <v>#VALUE!</v>
      </c>
      <c r="V1148" t="e">
        <f t="shared" ca="1" si="572"/>
        <v>#VALUE!</v>
      </c>
      <c r="W1148" t="e">
        <f t="shared" ca="1" si="551"/>
        <v>#VALUE!</v>
      </c>
      <c r="X1148" t="e">
        <f t="shared" ca="1" si="552"/>
        <v>#VALUE!</v>
      </c>
      <c r="Y1148" t="e">
        <f t="shared" ca="1" si="553"/>
        <v>#VALUE!</v>
      </c>
      <c r="Z1148" t="e">
        <f t="shared" ca="1" si="554"/>
        <v>#VALUE!</v>
      </c>
      <c r="AA1148" t="e">
        <f t="shared" ca="1" si="555"/>
        <v>#VALUE!</v>
      </c>
      <c r="AB1148" t="e">
        <f t="shared" ca="1" si="556"/>
        <v>#VALUE!</v>
      </c>
      <c r="AC1148" t="e">
        <f t="shared" ca="1" si="557"/>
        <v>#VALUE!</v>
      </c>
      <c r="AD1148" t="e">
        <f t="shared" ca="1" si="558"/>
        <v>#VALUE!</v>
      </c>
      <c r="AE1148" t="e">
        <f t="shared" ca="1" si="559"/>
        <v>#VALUE!</v>
      </c>
      <c r="AF1148" t="e">
        <f t="shared" ca="1" si="560"/>
        <v>#VALUE!</v>
      </c>
      <c r="AG1148" t="e">
        <f t="shared" ca="1" si="561"/>
        <v>#VALUE!</v>
      </c>
      <c r="AH1148" t="e">
        <f ca="1">IF(V32="Supercritical",L1148,IF(V32="Subcritical",W1148,IF(AND(V1148=1,AG1148=1),IF(T1148&gt;=AE1148,L1148,W1148),IF(V1148=1,L1148,IF(AG1148=1,W1148,MAX($D$16,POWER((ABS(K1148)^2)/($I$5*MAX(F1148,0.1)^2),1/3)))))))</f>
        <v>#VALUE!</v>
      </c>
      <c r="AI1148" t="e">
        <f t="shared" ca="1" si="562"/>
        <v>#VALUE!</v>
      </c>
      <c r="AJ1148" t="e">
        <f t="shared" ca="1" si="563"/>
        <v>#VALUE!</v>
      </c>
      <c r="AM1148">
        <v>0</v>
      </c>
      <c r="AN1148">
        <v>0</v>
      </c>
      <c r="AO1148">
        <f t="shared" si="564"/>
        <v>0</v>
      </c>
      <c r="AP1148">
        <f t="shared" si="573"/>
        <v>0</v>
      </c>
      <c r="AQ1148" t="e">
        <f t="shared" ca="1" si="565"/>
        <v>#VALUE!</v>
      </c>
      <c r="AR1148" t="e">
        <f t="shared" ca="1" si="566"/>
        <v>#VALUE!</v>
      </c>
      <c r="AS1148" t="e">
        <f t="shared" ca="1" si="567"/>
        <v>#VALUE!</v>
      </c>
    </row>
    <row r="1149" spans="1:45" x14ac:dyDescent="0.35">
      <c r="A1149">
        <v>1000</v>
      </c>
      <c r="B1149">
        <v>998.88900000000001</v>
      </c>
      <c r="C1149">
        <v>616081.20799999998</v>
      </c>
      <c r="D1149">
        <v>3097005.048</v>
      </c>
      <c r="E1149">
        <v>632.0625</v>
      </c>
      <c r="F1149">
        <v>5.2</v>
      </c>
      <c r="G1149">
        <v>0</v>
      </c>
      <c r="H1149" t="s">
        <v>191</v>
      </c>
      <c r="I1149">
        <v>5.7000000000000002E-2</v>
      </c>
      <c r="J1149">
        <f t="shared" si="568"/>
        <v>1</v>
      </c>
      <c r="K1149">
        <f t="shared" si="569"/>
        <v>51</v>
      </c>
      <c r="L1149" t="e">
        <f t="shared" ca="1" si="570"/>
        <v>#VALUE!</v>
      </c>
      <c r="M1149" t="e">
        <f t="shared" ca="1" si="543"/>
        <v>#VALUE!</v>
      </c>
      <c r="N1149" t="e">
        <f t="shared" ca="1" si="544"/>
        <v>#VALUE!</v>
      </c>
      <c r="O1149" t="e">
        <f t="shared" ca="1" si="545"/>
        <v>#VALUE!</v>
      </c>
      <c r="P1149" t="e">
        <f t="shared" ca="1" si="546"/>
        <v>#VALUE!</v>
      </c>
      <c r="Q1149" t="e">
        <f t="shared" ca="1" si="547"/>
        <v>#VALUE!</v>
      </c>
      <c r="R1149" t="e">
        <f t="shared" ca="1" si="548"/>
        <v>#VALUE!</v>
      </c>
      <c r="S1149" t="e">
        <f t="shared" ca="1" si="549"/>
        <v>#VALUE!</v>
      </c>
      <c r="T1149" t="e">
        <f t="shared" ca="1" si="550"/>
        <v>#VALUE!</v>
      </c>
      <c r="U1149" t="e">
        <f t="shared" ca="1" si="571"/>
        <v>#VALUE!</v>
      </c>
      <c r="V1149" t="e">
        <f t="shared" ca="1" si="572"/>
        <v>#VALUE!</v>
      </c>
      <c r="W1149" t="e">
        <f t="shared" ca="1" si="551"/>
        <v>#VALUE!</v>
      </c>
      <c r="X1149" t="e">
        <f t="shared" ca="1" si="552"/>
        <v>#VALUE!</v>
      </c>
      <c r="Y1149" t="e">
        <f t="shared" ca="1" si="553"/>
        <v>#VALUE!</v>
      </c>
      <c r="Z1149" t="e">
        <f t="shared" ca="1" si="554"/>
        <v>#VALUE!</v>
      </c>
      <c r="AA1149" t="e">
        <f t="shared" ca="1" si="555"/>
        <v>#VALUE!</v>
      </c>
      <c r="AB1149" t="e">
        <f t="shared" ca="1" si="556"/>
        <v>#VALUE!</v>
      </c>
      <c r="AC1149" t="e">
        <f t="shared" ca="1" si="557"/>
        <v>#VALUE!</v>
      </c>
      <c r="AD1149" t="e">
        <f t="shared" ca="1" si="558"/>
        <v>#VALUE!</v>
      </c>
      <c r="AE1149" t="e">
        <f t="shared" ca="1" si="559"/>
        <v>#VALUE!</v>
      </c>
      <c r="AF1149" t="e">
        <f t="shared" ca="1" si="560"/>
        <v>#VALUE!</v>
      </c>
      <c r="AG1149" t="e">
        <f t="shared" ca="1" si="561"/>
        <v>#VALUE!</v>
      </c>
      <c r="AH1149" t="e">
        <f ca="1">IF(V32="Supercritical",L1149,IF(V32="Subcritical",W1149,IF(AND(V1149=1,AG1149=1),IF(T1149&gt;=AE1149,L1149,W1149),IF(V1149=1,L1149,IF(AG1149=1,W1149,MAX($D$16,POWER((ABS(K1149)^2)/($I$5*MAX(F1149,0.1)^2),1/3)))))))</f>
        <v>#VALUE!</v>
      </c>
      <c r="AI1149" t="e">
        <f t="shared" ca="1" si="562"/>
        <v>#VALUE!</v>
      </c>
      <c r="AJ1149" t="e">
        <f t="shared" ca="1" si="563"/>
        <v>#VALUE!</v>
      </c>
      <c r="AM1149">
        <v>0</v>
      </c>
      <c r="AN1149">
        <v>0</v>
      </c>
      <c r="AO1149">
        <f t="shared" si="564"/>
        <v>0</v>
      </c>
      <c r="AP1149">
        <f t="shared" si="573"/>
        <v>0</v>
      </c>
      <c r="AQ1149" t="e">
        <f t="shared" ca="1" si="565"/>
        <v>#VALUE!</v>
      </c>
      <c r="AR1149" t="e">
        <f t="shared" ca="1" si="566"/>
        <v>#VALUE!</v>
      </c>
      <c r="AS1149" t="e">
        <f t="shared" ca="1" si="567"/>
        <v>#VALUE!</v>
      </c>
    </row>
    <row r="1150" spans="1:45" x14ac:dyDescent="0.35">
      <c r="A1150">
        <v>1001</v>
      </c>
      <c r="B1150">
        <v>999.88900000000001</v>
      </c>
      <c r="C1150">
        <v>616081.16599999997</v>
      </c>
      <c r="D1150">
        <v>3097004.0490000001</v>
      </c>
      <c r="E1150">
        <v>632.06200000000001</v>
      </c>
      <c r="F1150">
        <v>5.2</v>
      </c>
      <c r="G1150">
        <v>0</v>
      </c>
      <c r="H1150" t="s">
        <v>191</v>
      </c>
      <c r="I1150">
        <v>0</v>
      </c>
      <c r="J1150">
        <f t="shared" si="568"/>
        <v>1</v>
      </c>
      <c r="K1150">
        <f t="shared" si="569"/>
        <v>51</v>
      </c>
      <c r="L1150" t="e">
        <f t="shared" ca="1" si="570"/>
        <v>#VALUE!</v>
      </c>
      <c r="M1150" t="e">
        <f t="shared" ca="1" si="543"/>
        <v>#VALUE!</v>
      </c>
      <c r="N1150" t="e">
        <f t="shared" ca="1" si="544"/>
        <v>#VALUE!</v>
      </c>
      <c r="O1150" t="e">
        <f t="shared" ca="1" si="545"/>
        <v>#VALUE!</v>
      </c>
      <c r="P1150" t="e">
        <f t="shared" ca="1" si="546"/>
        <v>#VALUE!</v>
      </c>
      <c r="Q1150" t="e">
        <f t="shared" ca="1" si="547"/>
        <v>#VALUE!</v>
      </c>
      <c r="R1150" t="e">
        <f t="shared" ca="1" si="548"/>
        <v>#VALUE!</v>
      </c>
      <c r="S1150" t="e">
        <f t="shared" ca="1" si="549"/>
        <v>#VALUE!</v>
      </c>
      <c r="T1150" t="e">
        <f t="shared" ca="1" si="550"/>
        <v>#VALUE!</v>
      </c>
      <c r="U1150" t="e">
        <f t="shared" ca="1" si="571"/>
        <v>#VALUE!</v>
      </c>
      <c r="V1150" t="e">
        <f t="shared" ca="1" si="572"/>
        <v>#VALUE!</v>
      </c>
      <c r="W1150" t="e">
        <f t="shared" ca="1" si="551"/>
        <v>#VALUE!</v>
      </c>
      <c r="X1150" t="e">
        <f t="shared" ca="1" si="552"/>
        <v>#VALUE!</v>
      </c>
      <c r="Y1150" t="e">
        <f t="shared" ca="1" si="553"/>
        <v>#VALUE!</v>
      </c>
      <c r="Z1150" t="e">
        <f t="shared" ca="1" si="554"/>
        <v>#VALUE!</v>
      </c>
      <c r="AA1150" t="e">
        <f t="shared" ca="1" si="555"/>
        <v>#VALUE!</v>
      </c>
      <c r="AB1150" t="e">
        <f t="shared" ca="1" si="556"/>
        <v>#VALUE!</v>
      </c>
      <c r="AC1150" t="e">
        <f t="shared" ca="1" si="557"/>
        <v>#VALUE!</v>
      </c>
      <c r="AD1150" t="e">
        <f t="shared" ca="1" si="558"/>
        <v>#VALUE!</v>
      </c>
      <c r="AE1150" t="e">
        <f t="shared" ca="1" si="559"/>
        <v>#VALUE!</v>
      </c>
      <c r="AF1150" t="e">
        <f t="shared" ca="1" si="560"/>
        <v>#VALUE!</v>
      </c>
      <c r="AG1150" t="e">
        <f t="shared" ca="1" si="561"/>
        <v>#VALUE!</v>
      </c>
      <c r="AH1150" t="e">
        <f ca="1">IF(V32="Supercritical",L1150,IF(V32="Subcritical",W1150,IF(AND(V1150=1,AG1150=1),IF(T1150&gt;=AE1150,L1150,W1150),IF(V1150=1,L1150,IF(AG1150=1,W1150,MAX($D$16,POWER((ABS(K1150)^2)/($I$5*MAX(F1150,0.1)^2),1/3)))))))</f>
        <v>#VALUE!</v>
      </c>
      <c r="AI1150" t="e">
        <f t="shared" ca="1" si="562"/>
        <v>#VALUE!</v>
      </c>
      <c r="AJ1150" t="e">
        <f t="shared" ca="1" si="563"/>
        <v>#VALUE!</v>
      </c>
      <c r="AM1150">
        <v>0</v>
      </c>
      <c r="AN1150">
        <v>0</v>
      </c>
      <c r="AO1150">
        <f t="shared" si="564"/>
        <v>0</v>
      </c>
      <c r="AP1150">
        <f t="shared" si="573"/>
        <v>0</v>
      </c>
      <c r="AQ1150" t="e">
        <f t="shared" ca="1" si="565"/>
        <v>#VALUE!</v>
      </c>
      <c r="AR1150" t="e">
        <f t="shared" ca="1" si="566"/>
        <v>#VALUE!</v>
      </c>
      <c r="AS1150" t="e">
        <f t="shared" ca="1" si="567"/>
        <v>#VALUE!</v>
      </c>
    </row>
    <row r="1151" spans="1:45" x14ac:dyDescent="0.35">
      <c r="A1151">
        <v>1002</v>
      </c>
      <c r="B1151">
        <v>1000.889</v>
      </c>
      <c r="C1151">
        <v>616081.12399999995</v>
      </c>
      <c r="D1151">
        <v>3097003.05</v>
      </c>
      <c r="E1151">
        <v>632.06150000000002</v>
      </c>
      <c r="F1151">
        <v>5.2</v>
      </c>
      <c r="G1151">
        <v>0</v>
      </c>
      <c r="H1151" t="s">
        <v>191</v>
      </c>
      <c r="I1151">
        <v>0</v>
      </c>
      <c r="J1151">
        <f t="shared" si="568"/>
        <v>1</v>
      </c>
      <c r="K1151">
        <f t="shared" si="569"/>
        <v>51</v>
      </c>
      <c r="L1151" t="e">
        <f t="shared" ca="1" si="570"/>
        <v>#VALUE!</v>
      </c>
      <c r="M1151" t="e">
        <f t="shared" ca="1" si="543"/>
        <v>#VALUE!</v>
      </c>
      <c r="N1151" t="e">
        <f t="shared" ca="1" si="544"/>
        <v>#VALUE!</v>
      </c>
      <c r="O1151" t="e">
        <f t="shared" ca="1" si="545"/>
        <v>#VALUE!</v>
      </c>
      <c r="P1151" t="e">
        <f t="shared" ca="1" si="546"/>
        <v>#VALUE!</v>
      </c>
      <c r="Q1151" t="e">
        <f t="shared" ca="1" si="547"/>
        <v>#VALUE!</v>
      </c>
      <c r="R1151" t="e">
        <f t="shared" ca="1" si="548"/>
        <v>#VALUE!</v>
      </c>
      <c r="S1151" t="e">
        <f t="shared" ca="1" si="549"/>
        <v>#VALUE!</v>
      </c>
      <c r="T1151" t="e">
        <f t="shared" ca="1" si="550"/>
        <v>#VALUE!</v>
      </c>
      <c r="U1151" t="e">
        <f t="shared" ca="1" si="571"/>
        <v>#VALUE!</v>
      </c>
      <c r="V1151" t="e">
        <f t="shared" ca="1" si="572"/>
        <v>#VALUE!</v>
      </c>
      <c r="W1151" t="e">
        <f t="shared" ca="1" si="551"/>
        <v>#VALUE!</v>
      </c>
      <c r="X1151" t="e">
        <f t="shared" ca="1" si="552"/>
        <v>#VALUE!</v>
      </c>
      <c r="Y1151" t="e">
        <f t="shared" ca="1" si="553"/>
        <v>#VALUE!</v>
      </c>
      <c r="Z1151" t="e">
        <f t="shared" ca="1" si="554"/>
        <v>#VALUE!</v>
      </c>
      <c r="AA1151" t="e">
        <f t="shared" ca="1" si="555"/>
        <v>#VALUE!</v>
      </c>
      <c r="AB1151" t="e">
        <f t="shared" ca="1" si="556"/>
        <v>#VALUE!</v>
      </c>
      <c r="AC1151" t="e">
        <f t="shared" ca="1" si="557"/>
        <v>#VALUE!</v>
      </c>
      <c r="AD1151" t="e">
        <f t="shared" ca="1" si="558"/>
        <v>#VALUE!</v>
      </c>
      <c r="AE1151" t="e">
        <f t="shared" ca="1" si="559"/>
        <v>#VALUE!</v>
      </c>
      <c r="AF1151" t="e">
        <f t="shared" ca="1" si="560"/>
        <v>#VALUE!</v>
      </c>
      <c r="AG1151" t="e">
        <f t="shared" ca="1" si="561"/>
        <v>#VALUE!</v>
      </c>
      <c r="AH1151" t="e">
        <f ca="1">IF(V32="Supercritical",L1151,IF(V32="Subcritical",W1151,IF(AND(V1151=1,AG1151=1),IF(T1151&gt;=AE1151,L1151,W1151),IF(V1151=1,L1151,IF(AG1151=1,W1151,MAX($D$16,POWER((ABS(K1151)^2)/($I$5*MAX(F1151,0.1)^2),1/3)))))))</f>
        <v>#VALUE!</v>
      </c>
      <c r="AI1151" t="e">
        <f t="shared" ca="1" si="562"/>
        <v>#VALUE!</v>
      </c>
      <c r="AJ1151" t="e">
        <f t="shared" ca="1" si="563"/>
        <v>#VALUE!</v>
      </c>
      <c r="AM1151">
        <v>0</v>
      </c>
      <c r="AN1151">
        <v>0</v>
      </c>
      <c r="AO1151">
        <f t="shared" si="564"/>
        <v>0</v>
      </c>
      <c r="AP1151">
        <f t="shared" si="573"/>
        <v>0</v>
      </c>
      <c r="AQ1151" t="e">
        <f t="shared" ca="1" si="565"/>
        <v>#VALUE!</v>
      </c>
      <c r="AR1151" t="e">
        <f t="shared" ca="1" si="566"/>
        <v>#VALUE!</v>
      </c>
      <c r="AS1151" t="e">
        <f t="shared" ca="1" si="567"/>
        <v>#VALUE!</v>
      </c>
    </row>
    <row r="1152" spans="1:45" x14ac:dyDescent="0.35">
      <c r="A1152">
        <v>1003</v>
      </c>
      <c r="B1152">
        <v>1001.889</v>
      </c>
      <c r="C1152">
        <v>616081.08200000005</v>
      </c>
      <c r="D1152">
        <v>3097002.051</v>
      </c>
      <c r="E1152">
        <v>632.06100000000004</v>
      </c>
      <c r="F1152">
        <v>5.2</v>
      </c>
      <c r="G1152">
        <v>0</v>
      </c>
      <c r="H1152" t="s">
        <v>191</v>
      </c>
      <c r="I1152">
        <v>5.5E-2</v>
      </c>
      <c r="J1152">
        <f t="shared" si="568"/>
        <v>1</v>
      </c>
      <c r="K1152">
        <f t="shared" si="569"/>
        <v>51</v>
      </c>
      <c r="L1152" t="e">
        <f t="shared" ca="1" si="570"/>
        <v>#VALUE!</v>
      </c>
      <c r="M1152" t="e">
        <f t="shared" ca="1" si="543"/>
        <v>#VALUE!</v>
      </c>
      <c r="N1152" t="e">
        <f t="shared" ca="1" si="544"/>
        <v>#VALUE!</v>
      </c>
      <c r="O1152" t="e">
        <f t="shared" ca="1" si="545"/>
        <v>#VALUE!</v>
      </c>
      <c r="P1152" t="e">
        <f t="shared" ca="1" si="546"/>
        <v>#VALUE!</v>
      </c>
      <c r="Q1152" t="e">
        <f t="shared" ca="1" si="547"/>
        <v>#VALUE!</v>
      </c>
      <c r="R1152" t="e">
        <f t="shared" ca="1" si="548"/>
        <v>#VALUE!</v>
      </c>
      <c r="S1152" t="e">
        <f t="shared" ca="1" si="549"/>
        <v>#VALUE!</v>
      </c>
      <c r="T1152" t="e">
        <f t="shared" ca="1" si="550"/>
        <v>#VALUE!</v>
      </c>
      <c r="U1152" t="e">
        <f t="shared" ca="1" si="571"/>
        <v>#VALUE!</v>
      </c>
      <c r="V1152" t="e">
        <f t="shared" ca="1" si="572"/>
        <v>#VALUE!</v>
      </c>
      <c r="W1152" t="e">
        <f t="shared" ca="1" si="551"/>
        <v>#VALUE!</v>
      </c>
      <c r="X1152" t="e">
        <f t="shared" ca="1" si="552"/>
        <v>#VALUE!</v>
      </c>
      <c r="Y1152" t="e">
        <f t="shared" ca="1" si="553"/>
        <v>#VALUE!</v>
      </c>
      <c r="Z1152" t="e">
        <f t="shared" ca="1" si="554"/>
        <v>#VALUE!</v>
      </c>
      <c r="AA1152" t="e">
        <f t="shared" ca="1" si="555"/>
        <v>#VALUE!</v>
      </c>
      <c r="AB1152" t="e">
        <f t="shared" ca="1" si="556"/>
        <v>#VALUE!</v>
      </c>
      <c r="AC1152" t="e">
        <f t="shared" ca="1" si="557"/>
        <v>#VALUE!</v>
      </c>
      <c r="AD1152" t="e">
        <f t="shared" ca="1" si="558"/>
        <v>#VALUE!</v>
      </c>
      <c r="AE1152" t="e">
        <f t="shared" ca="1" si="559"/>
        <v>#VALUE!</v>
      </c>
      <c r="AF1152" t="e">
        <f t="shared" ca="1" si="560"/>
        <v>#VALUE!</v>
      </c>
      <c r="AG1152" t="e">
        <f t="shared" ca="1" si="561"/>
        <v>#VALUE!</v>
      </c>
      <c r="AH1152" t="e">
        <f ca="1">IF(V32="Supercritical",L1152,IF(V32="Subcritical",W1152,IF(AND(V1152=1,AG1152=1),IF(T1152&gt;=AE1152,L1152,W1152),IF(V1152=1,L1152,IF(AG1152=1,W1152,MAX($D$16,POWER((ABS(K1152)^2)/($I$5*MAX(F1152,0.1)^2),1/3)))))))</f>
        <v>#VALUE!</v>
      </c>
      <c r="AI1152" t="e">
        <f t="shared" ca="1" si="562"/>
        <v>#VALUE!</v>
      </c>
      <c r="AJ1152" t="e">
        <f t="shared" ca="1" si="563"/>
        <v>#VALUE!</v>
      </c>
      <c r="AM1152">
        <v>0</v>
      </c>
      <c r="AN1152">
        <v>0</v>
      </c>
      <c r="AO1152">
        <f t="shared" si="564"/>
        <v>0</v>
      </c>
      <c r="AP1152">
        <f t="shared" si="573"/>
        <v>0</v>
      </c>
      <c r="AQ1152" t="e">
        <f t="shared" ca="1" si="565"/>
        <v>#VALUE!</v>
      </c>
      <c r="AR1152" t="e">
        <f t="shared" ca="1" si="566"/>
        <v>#VALUE!</v>
      </c>
      <c r="AS1152" t="e">
        <f t="shared" ca="1" si="567"/>
        <v>#VALUE!</v>
      </c>
    </row>
    <row r="1153" spans="1:45" x14ac:dyDescent="0.35">
      <c r="A1153">
        <v>1004</v>
      </c>
      <c r="B1153">
        <v>1002.89</v>
      </c>
      <c r="C1153">
        <v>616081.03899999999</v>
      </c>
      <c r="D1153">
        <v>3097001.051</v>
      </c>
      <c r="E1153">
        <v>632.06050000000005</v>
      </c>
      <c r="F1153">
        <v>5.2</v>
      </c>
      <c r="G1153">
        <v>0</v>
      </c>
      <c r="H1153" t="s">
        <v>191</v>
      </c>
      <c r="I1153">
        <v>5.5E-2</v>
      </c>
      <c r="J1153">
        <f t="shared" si="568"/>
        <v>1.0009999999999764</v>
      </c>
      <c r="K1153">
        <f t="shared" si="569"/>
        <v>51</v>
      </c>
      <c r="L1153" t="e">
        <f t="shared" ca="1" si="570"/>
        <v>#VALUE!</v>
      </c>
      <c r="M1153" t="e">
        <f t="shared" ca="1" si="543"/>
        <v>#VALUE!</v>
      </c>
      <c r="N1153" t="e">
        <f t="shared" ca="1" si="544"/>
        <v>#VALUE!</v>
      </c>
      <c r="O1153" t="e">
        <f t="shared" ca="1" si="545"/>
        <v>#VALUE!</v>
      </c>
      <c r="P1153" t="e">
        <f t="shared" ca="1" si="546"/>
        <v>#VALUE!</v>
      </c>
      <c r="Q1153" t="e">
        <f t="shared" ca="1" si="547"/>
        <v>#VALUE!</v>
      </c>
      <c r="R1153" t="e">
        <f t="shared" ca="1" si="548"/>
        <v>#VALUE!</v>
      </c>
      <c r="S1153" t="e">
        <f t="shared" ca="1" si="549"/>
        <v>#VALUE!</v>
      </c>
      <c r="T1153" t="e">
        <f t="shared" ca="1" si="550"/>
        <v>#VALUE!</v>
      </c>
      <c r="U1153" t="e">
        <f t="shared" ca="1" si="571"/>
        <v>#VALUE!</v>
      </c>
      <c r="V1153" t="e">
        <f t="shared" ca="1" si="572"/>
        <v>#VALUE!</v>
      </c>
      <c r="W1153" t="e">
        <f t="shared" ca="1" si="551"/>
        <v>#VALUE!</v>
      </c>
      <c r="X1153" t="e">
        <f t="shared" ca="1" si="552"/>
        <v>#VALUE!</v>
      </c>
      <c r="Y1153" t="e">
        <f t="shared" ca="1" si="553"/>
        <v>#VALUE!</v>
      </c>
      <c r="Z1153" t="e">
        <f t="shared" ca="1" si="554"/>
        <v>#VALUE!</v>
      </c>
      <c r="AA1153" t="e">
        <f t="shared" ca="1" si="555"/>
        <v>#VALUE!</v>
      </c>
      <c r="AB1153" t="e">
        <f t="shared" ca="1" si="556"/>
        <v>#VALUE!</v>
      </c>
      <c r="AC1153" t="e">
        <f t="shared" ca="1" si="557"/>
        <v>#VALUE!</v>
      </c>
      <c r="AD1153" t="e">
        <f t="shared" ca="1" si="558"/>
        <v>#VALUE!</v>
      </c>
      <c r="AE1153" t="e">
        <f t="shared" ca="1" si="559"/>
        <v>#VALUE!</v>
      </c>
      <c r="AF1153" t="e">
        <f t="shared" ca="1" si="560"/>
        <v>#VALUE!</v>
      </c>
      <c r="AG1153" t="e">
        <f t="shared" ca="1" si="561"/>
        <v>#VALUE!</v>
      </c>
      <c r="AH1153" t="e">
        <f ca="1">IF(V32="Supercritical",L1153,IF(V32="Subcritical",W1153,IF(AND(V1153=1,AG1153=1),IF(T1153&gt;=AE1153,L1153,W1153),IF(V1153=1,L1153,IF(AG1153=1,W1153,MAX($D$16,POWER((ABS(K1153)^2)/($I$5*MAX(F1153,0.1)^2),1/3)))))))</f>
        <v>#VALUE!</v>
      </c>
      <c r="AI1153" t="e">
        <f t="shared" ca="1" si="562"/>
        <v>#VALUE!</v>
      </c>
      <c r="AJ1153" t="e">
        <f t="shared" ca="1" si="563"/>
        <v>#VALUE!</v>
      </c>
      <c r="AM1153">
        <v>0</v>
      </c>
      <c r="AN1153">
        <v>0</v>
      </c>
      <c r="AO1153">
        <f t="shared" si="564"/>
        <v>0</v>
      </c>
      <c r="AP1153">
        <f t="shared" si="573"/>
        <v>0</v>
      </c>
      <c r="AQ1153" t="e">
        <f t="shared" ca="1" si="565"/>
        <v>#VALUE!</v>
      </c>
      <c r="AR1153" t="e">
        <f t="shared" ca="1" si="566"/>
        <v>#VALUE!</v>
      </c>
      <c r="AS1153" t="e">
        <f t="shared" ca="1" si="567"/>
        <v>#VALUE!</v>
      </c>
    </row>
    <row r="1154" spans="1:45" x14ac:dyDescent="0.35">
      <c r="A1154">
        <v>1005</v>
      </c>
      <c r="B1154">
        <v>1003.89</v>
      </c>
      <c r="C1154">
        <v>616080.99699999997</v>
      </c>
      <c r="D1154">
        <v>3097000.0520000001</v>
      </c>
      <c r="E1154">
        <v>632.05999999999995</v>
      </c>
      <c r="F1154">
        <v>5.2</v>
      </c>
      <c r="G1154">
        <v>0</v>
      </c>
      <c r="H1154" t="s">
        <v>191</v>
      </c>
      <c r="I1154">
        <v>0</v>
      </c>
      <c r="J1154">
        <f t="shared" si="568"/>
        <v>1</v>
      </c>
      <c r="K1154">
        <f t="shared" si="569"/>
        <v>51</v>
      </c>
      <c r="L1154" t="e">
        <f t="shared" ca="1" si="570"/>
        <v>#VALUE!</v>
      </c>
      <c r="M1154" t="e">
        <f t="shared" ca="1" si="543"/>
        <v>#VALUE!</v>
      </c>
      <c r="N1154" t="e">
        <f t="shared" ca="1" si="544"/>
        <v>#VALUE!</v>
      </c>
      <c r="O1154" t="e">
        <f t="shared" ca="1" si="545"/>
        <v>#VALUE!</v>
      </c>
      <c r="P1154" t="e">
        <f t="shared" ca="1" si="546"/>
        <v>#VALUE!</v>
      </c>
      <c r="Q1154" t="e">
        <f t="shared" ca="1" si="547"/>
        <v>#VALUE!</v>
      </c>
      <c r="R1154" t="e">
        <f t="shared" ca="1" si="548"/>
        <v>#VALUE!</v>
      </c>
      <c r="S1154" t="e">
        <f t="shared" ca="1" si="549"/>
        <v>#VALUE!</v>
      </c>
      <c r="T1154" t="e">
        <f t="shared" ca="1" si="550"/>
        <v>#VALUE!</v>
      </c>
      <c r="U1154" t="e">
        <f t="shared" ca="1" si="571"/>
        <v>#VALUE!</v>
      </c>
      <c r="V1154" t="e">
        <f t="shared" ca="1" si="572"/>
        <v>#VALUE!</v>
      </c>
      <c r="W1154" t="e">
        <f t="shared" ca="1" si="551"/>
        <v>#VALUE!</v>
      </c>
      <c r="X1154" t="e">
        <f t="shared" ca="1" si="552"/>
        <v>#VALUE!</v>
      </c>
      <c r="Y1154" t="e">
        <f t="shared" ca="1" si="553"/>
        <v>#VALUE!</v>
      </c>
      <c r="Z1154" t="e">
        <f t="shared" ca="1" si="554"/>
        <v>#VALUE!</v>
      </c>
      <c r="AA1154" t="e">
        <f t="shared" ca="1" si="555"/>
        <v>#VALUE!</v>
      </c>
      <c r="AB1154" t="e">
        <f t="shared" ca="1" si="556"/>
        <v>#VALUE!</v>
      </c>
      <c r="AC1154" t="e">
        <f t="shared" ca="1" si="557"/>
        <v>#VALUE!</v>
      </c>
      <c r="AD1154" t="e">
        <f t="shared" ca="1" si="558"/>
        <v>#VALUE!</v>
      </c>
      <c r="AE1154" t="e">
        <f t="shared" ca="1" si="559"/>
        <v>#VALUE!</v>
      </c>
      <c r="AF1154" t="e">
        <f t="shared" ca="1" si="560"/>
        <v>#VALUE!</v>
      </c>
      <c r="AG1154" t="e">
        <f t="shared" ca="1" si="561"/>
        <v>#VALUE!</v>
      </c>
      <c r="AH1154" t="e">
        <f ca="1">IF(V32="Supercritical",L1154,IF(V32="Subcritical",W1154,IF(AND(V1154=1,AG1154=1),IF(T1154&gt;=AE1154,L1154,W1154),IF(V1154=1,L1154,IF(AG1154=1,W1154,MAX($D$16,POWER((ABS(K1154)^2)/($I$5*MAX(F1154,0.1)^2),1/3)))))))</f>
        <v>#VALUE!</v>
      </c>
      <c r="AI1154" t="e">
        <f t="shared" ca="1" si="562"/>
        <v>#VALUE!</v>
      </c>
      <c r="AJ1154" t="e">
        <f t="shared" ca="1" si="563"/>
        <v>#VALUE!</v>
      </c>
      <c r="AM1154">
        <v>0</v>
      </c>
      <c r="AN1154">
        <v>0</v>
      </c>
      <c r="AO1154">
        <f t="shared" si="564"/>
        <v>0</v>
      </c>
      <c r="AP1154">
        <f t="shared" si="573"/>
        <v>0</v>
      </c>
      <c r="AQ1154" t="e">
        <f t="shared" ca="1" si="565"/>
        <v>#VALUE!</v>
      </c>
      <c r="AR1154" t="e">
        <f t="shared" ca="1" si="566"/>
        <v>#VALUE!</v>
      </c>
      <c r="AS1154" t="e">
        <f t="shared" ca="1" si="567"/>
        <v>#VALUE!</v>
      </c>
    </row>
    <row r="1155" spans="1:45" x14ac:dyDescent="0.35">
      <c r="A1155">
        <v>1006</v>
      </c>
      <c r="B1155">
        <v>1004.889</v>
      </c>
      <c r="C1155">
        <v>616080.95499999996</v>
      </c>
      <c r="D1155">
        <v>3096999.0529999998</v>
      </c>
      <c r="E1155">
        <v>632.05949999999996</v>
      </c>
      <c r="F1155">
        <v>5.2</v>
      </c>
      <c r="G1155">
        <v>0</v>
      </c>
      <c r="H1155" t="s">
        <v>191</v>
      </c>
      <c r="I1155">
        <v>5.7000000000000002E-2</v>
      </c>
      <c r="J1155">
        <f t="shared" si="568"/>
        <v>0.99900000000002365</v>
      </c>
      <c r="K1155">
        <f t="shared" si="569"/>
        <v>51</v>
      </c>
      <c r="L1155" t="e">
        <f t="shared" ca="1" si="570"/>
        <v>#VALUE!</v>
      </c>
      <c r="M1155" t="e">
        <f t="shared" ca="1" si="543"/>
        <v>#VALUE!</v>
      </c>
      <c r="N1155" t="e">
        <f t="shared" ca="1" si="544"/>
        <v>#VALUE!</v>
      </c>
      <c r="O1155" t="e">
        <f t="shared" ca="1" si="545"/>
        <v>#VALUE!</v>
      </c>
      <c r="P1155" t="e">
        <f t="shared" ca="1" si="546"/>
        <v>#VALUE!</v>
      </c>
      <c r="Q1155" t="e">
        <f t="shared" ca="1" si="547"/>
        <v>#VALUE!</v>
      </c>
      <c r="R1155" t="e">
        <f t="shared" ca="1" si="548"/>
        <v>#VALUE!</v>
      </c>
      <c r="S1155" t="e">
        <f t="shared" ca="1" si="549"/>
        <v>#VALUE!</v>
      </c>
      <c r="T1155" t="e">
        <f t="shared" ca="1" si="550"/>
        <v>#VALUE!</v>
      </c>
      <c r="U1155" t="e">
        <f t="shared" ca="1" si="571"/>
        <v>#VALUE!</v>
      </c>
      <c r="V1155" t="e">
        <f t="shared" ca="1" si="572"/>
        <v>#VALUE!</v>
      </c>
      <c r="W1155" t="e">
        <f t="shared" ca="1" si="551"/>
        <v>#VALUE!</v>
      </c>
      <c r="X1155" t="e">
        <f t="shared" ca="1" si="552"/>
        <v>#VALUE!</v>
      </c>
      <c r="Y1155" t="e">
        <f t="shared" ca="1" si="553"/>
        <v>#VALUE!</v>
      </c>
      <c r="Z1155" t="e">
        <f t="shared" ca="1" si="554"/>
        <v>#VALUE!</v>
      </c>
      <c r="AA1155" t="e">
        <f t="shared" ca="1" si="555"/>
        <v>#VALUE!</v>
      </c>
      <c r="AB1155" t="e">
        <f t="shared" ca="1" si="556"/>
        <v>#VALUE!</v>
      </c>
      <c r="AC1155" t="e">
        <f t="shared" ca="1" si="557"/>
        <v>#VALUE!</v>
      </c>
      <c r="AD1155" t="e">
        <f t="shared" ca="1" si="558"/>
        <v>#VALUE!</v>
      </c>
      <c r="AE1155" t="e">
        <f t="shared" ca="1" si="559"/>
        <v>#VALUE!</v>
      </c>
      <c r="AF1155" t="e">
        <f t="shared" ca="1" si="560"/>
        <v>#VALUE!</v>
      </c>
      <c r="AG1155" t="e">
        <f t="shared" ca="1" si="561"/>
        <v>#VALUE!</v>
      </c>
      <c r="AH1155" t="e">
        <f ca="1">IF(V32="Supercritical",L1155,IF(V32="Subcritical",W1155,IF(AND(V1155=1,AG1155=1),IF(T1155&gt;=AE1155,L1155,W1155),IF(V1155=1,L1155,IF(AG1155=1,W1155,MAX($D$16,POWER((ABS(K1155)^2)/($I$5*MAX(F1155,0.1)^2),1/3)))))))</f>
        <v>#VALUE!</v>
      </c>
      <c r="AI1155" t="e">
        <f t="shared" ca="1" si="562"/>
        <v>#VALUE!</v>
      </c>
      <c r="AJ1155" t="e">
        <f t="shared" ca="1" si="563"/>
        <v>#VALUE!</v>
      </c>
      <c r="AM1155">
        <v>0</v>
      </c>
      <c r="AN1155">
        <v>0</v>
      </c>
      <c r="AO1155">
        <f t="shared" si="564"/>
        <v>0</v>
      </c>
      <c r="AP1155">
        <f t="shared" si="573"/>
        <v>0</v>
      </c>
      <c r="AQ1155" t="e">
        <f t="shared" ca="1" si="565"/>
        <v>#VALUE!</v>
      </c>
      <c r="AR1155" t="e">
        <f t="shared" ca="1" si="566"/>
        <v>#VALUE!</v>
      </c>
      <c r="AS1155" t="e">
        <f t="shared" ca="1" si="567"/>
        <v>#VALUE!</v>
      </c>
    </row>
    <row r="1156" spans="1:45" x14ac:dyDescent="0.35">
      <c r="A1156">
        <v>1007</v>
      </c>
      <c r="B1156">
        <v>1005.889</v>
      </c>
      <c r="C1156">
        <v>616080.91200000001</v>
      </c>
      <c r="D1156">
        <v>3096998.054</v>
      </c>
      <c r="E1156">
        <v>632.05899999999997</v>
      </c>
      <c r="F1156">
        <v>5.2</v>
      </c>
      <c r="G1156">
        <v>0</v>
      </c>
      <c r="H1156" t="s">
        <v>191</v>
      </c>
      <c r="I1156">
        <v>5.7000000000000002E-2</v>
      </c>
      <c r="J1156">
        <f t="shared" si="568"/>
        <v>1</v>
      </c>
      <c r="K1156">
        <f t="shared" si="569"/>
        <v>51</v>
      </c>
      <c r="L1156" t="e">
        <f t="shared" ca="1" si="570"/>
        <v>#VALUE!</v>
      </c>
      <c r="M1156" t="e">
        <f t="shared" ca="1" si="543"/>
        <v>#VALUE!</v>
      </c>
      <c r="N1156" t="e">
        <f t="shared" ca="1" si="544"/>
        <v>#VALUE!</v>
      </c>
      <c r="O1156" t="e">
        <f t="shared" ca="1" si="545"/>
        <v>#VALUE!</v>
      </c>
      <c r="P1156" t="e">
        <f t="shared" ca="1" si="546"/>
        <v>#VALUE!</v>
      </c>
      <c r="Q1156" t="e">
        <f t="shared" ca="1" si="547"/>
        <v>#VALUE!</v>
      </c>
      <c r="R1156" t="e">
        <f t="shared" ca="1" si="548"/>
        <v>#VALUE!</v>
      </c>
      <c r="S1156" t="e">
        <f t="shared" ca="1" si="549"/>
        <v>#VALUE!</v>
      </c>
      <c r="T1156" t="e">
        <f t="shared" ca="1" si="550"/>
        <v>#VALUE!</v>
      </c>
      <c r="U1156" t="e">
        <f t="shared" ca="1" si="571"/>
        <v>#VALUE!</v>
      </c>
      <c r="V1156" t="e">
        <f t="shared" ca="1" si="572"/>
        <v>#VALUE!</v>
      </c>
      <c r="W1156" t="e">
        <f t="shared" ca="1" si="551"/>
        <v>#VALUE!</v>
      </c>
      <c r="X1156" t="e">
        <f t="shared" ca="1" si="552"/>
        <v>#VALUE!</v>
      </c>
      <c r="Y1156" t="e">
        <f t="shared" ca="1" si="553"/>
        <v>#VALUE!</v>
      </c>
      <c r="Z1156" t="e">
        <f t="shared" ca="1" si="554"/>
        <v>#VALUE!</v>
      </c>
      <c r="AA1156" t="e">
        <f t="shared" ca="1" si="555"/>
        <v>#VALUE!</v>
      </c>
      <c r="AB1156" t="e">
        <f t="shared" ca="1" si="556"/>
        <v>#VALUE!</v>
      </c>
      <c r="AC1156" t="e">
        <f t="shared" ca="1" si="557"/>
        <v>#VALUE!</v>
      </c>
      <c r="AD1156" t="e">
        <f t="shared" ca="1" si="558"/>
        <v>#VALUE!</v>
      </c>
      <c r="AE1156" t="e">
        <f t="shared" ca="1" si="559"/>
        <v>#VALUE!</v>
      </c>
      <c r="AF1156" t="e">
        <f t="shared" ca="1" si="560"/>
        <v>#VALUE!</v>
      </c>
      <c r="AG1156" t="e">
        <f t="shared" ca="1" si="561"/>
        <v>#VALUE!</v>
      </c>
      <c r="AH1156" t="e">
        <f ca="1">IF(V32="Supercritical",L1156,IF(V32="Subcritical",W1156,IF(AND(V1156=1,AG1156=1),IF(T1156&gt;=AE1156,L1156,W1156),IF(V1156=1,L1156,IF(AG1156=1,W1156,MAX($D$16,POWER((ABS(K1156)^2)/($I$5*MAX(F1156,0.1)^2),1/3)))))))</f>
        <v>#VALUE!</v>
      </c>
      <c r="AI1156" t="e">
        <f t="shared" ca="1" si="562"/>
        <v>#VALUE!</v>
      </c>
      <c r="AJ1156" t="e">
        <f t="shared" ca="1" si="563"/>
        <v>#VALUE!</v>
      </c>
      <c r="AM1156">
        <v>0</v>
      </c>
      <c r="AN1156">
        <v>0</v>
      </c>
      <c r="AO1156">
        <f t="shared" si="564"/>
        <v>0</v>
      </c>
      <c r="AP1156">
        <f t="shared" si="573"/>
        <v>0</v>
      </c>
      <c r="AQ1156" t="e">
        <f t="shared" ca="1" si="565"/>
        <v>#VALUE!</v>
      </c>
      <c r="AR1156" t="e">
        <f t="shared" ca="1" si="566"/>
        <v>#VALUE!</v>
      </c>
      <c r="AS1156" t="e">
        <f t="shared" ca="1" si="567"/>
        <v>#VALUE!</v>
      </c>
    </row>
    <row r="1157" spans="1:45" x14ac:dyDescent="0.35">
      <c r="A1157">
        <v>1008</v>
      </c>
      <c r="B1157">
        <v>1006.889</v>
      </c>
      <c r="C1157">
        <v>616080.87</v>
      </c>
      <c r="D1157">
        <v>3096997.0550000002</v>
      </c>
      <c r="E1157">
        <v>632.05849999999998</v>
      </c>
      <c r="F1157">
        <v>5.2</v>
      </c>
      <c r="G1157">
        <v>0</v>
      </c>
      <c r="H1157" t="s">
        <v>191</v>
      </c>
      <c r="I1157">
        <v>0</v>
      </c>
      <c r="J1157">
        <f t="shared" si="568"/>
        <v>1</v>
      </c>
      <c r="K1157">
        <f t="shared" si="569"/>
        <v>51</v>
      </c>
      <c r="L1157" t="e">
        <f t="shared" ca="1" si="570"/>
        <v>#VALUE!</v>
      </c>
      <c r="M1157" t="e">
        <f t="shared" ca="1" si="543"/>
        <v>#VALUE!</v>
      </c>
      <c r="N1157" t="e">
        <f t="shared" ca="1" si="544"/>
        <v>#VALUE!</v>
      </c>
      <c r="O1157" t="e">
        <f t="shared" ca="1" si="545"/>
        <v>#VALUE!</v>
      </c>
      <c r="P1157" t="e">
        <f t="shared" ca="1" si="546"/>
        <v>#VALUE!</v>
      </c>
      <c r="Q1157" t="e">
        <f t="shared" ca="1" si="547"/>
        <v>#VALUE!</v>
      </c>
      <c r="R1157" t="e">
        <f t="shared" ca="1" si="548"/>
        <v>#VALUE!</v>
      </c>
      <c r="S1157" t="e">
        <f t="shared" ca="1" si="549"/>
        <v>#VALUE!</v>
      </c>
      <c r="T1157" t="e">
        <f t="shared" ca="1" si="550"/>
        <v>#VALUE!</v>
      </c>
      <c r="U1157" t="e">
        <f t="shared" ca="1" si="571"/>
        <v>#VALUE!</v>
      </c>
      <c r="V1157" t="e">
        <f t="shared" ca="1" si="572"/>
        <v>#VALUE!</v>
      </c>
      <c r="W1157" t="e">
        <f t="shared" ca="1" si="551"/>
        <v>#VALUE!</v>
      </c>
      <c r="X1157" t="e">
        <f t="shared" ca="1" si="552"/>
        <v>#VALUE!</v>
      </c>
      <c r="Y1157" t="e">
        <f t="shared" ca="1" si="553"/>
        <v>#VALUE!</v>
      </c>
      <c r="Z1157" t="e">
        <f t="shared" ca="1" si="554"/>
        <v>#VALUE!</v>
      </c>
      <c r="AA1157" t="e">
        <f t="shared" ca="1" si="555"/>
        <v>#VALUE!</v>
      </c>
      <c r="AB1157" t="e">
        <f t="shared" ca="1" si="556"/>
        <v>#VALUE!</v>
      </c>
      <c r="AC1157" t="e">
        <f t="shared" ca="1" si="557"/>
        <v>#VALUE!</v>
      </c>
      <c r="AD1157" t="e">
        <f t="shared" ca="1" si="558"/>
        <v>#VALUE!</v>
      </c>
      <c r="AE1157" t="e">
        <f t="shared" ca="1" si="559"/>
        <v>#VALUE!</v>
      </c>
      <c r="AF1157" t="e">
        <f t="shared" ca="1" si="560"/>
        <v>#VALUE!</v>
      </c>
      <c r="AG1157" t="e">
        <f t="shared" ca="1" si="561"/>
        <v>#VALUE!</v>
      </c>
      <c r="AH1157" t="e">
        <f ca="1">IF(V32="Supercritical",L1157,IF(V32="Subcritical",W1157,IF(AND(V1157=1,AG1157=1),IF(T1157&gt;=AE1157,L1157,W1157),IF(V1157=1,L1157,IF(AG1157=1,W1157,MAX($D$16,POWER((ABS(K1157)^2)/($I$5*MAX(F1157,0.1)^2),1/3)))))))</f>
        <v>#VALUE!</v>
      </c>
      <c r="AI1157" t="e">
        <f t="shared" ca="1" si="562"/>
        <v>#VALUE!</v>
      </c>
      <c r="AJ1157" t="e">
        <f t="shared" ca="1" si="563"/>
        <v>#VALUE!</v>
      </c>
      <c r="AM1157">
        <v>0</v>
      </c>
      <c r="AN1157">
        <v>0</v>
      </c>
      <c r="AO1157">
        <f t="shared" si="564"/>
        <v>0</v>
      </c>
      <c r="AP1157">
        <f t="shared" si="573"/>
        <v>0</v>
      </c>
      <c r="AQ1157" t="e">
        <f t="shared" ca="1" si="565"/>
        <v>#VALUE!</v>
      </c>
      <c r="AR1157" t="e">
        <f t="shared" ca="1" si="566"/>
        <v>#VALUE!</v>
      </c>
      <c r="AS1157" t="e">
        <f t="shared" ca="1" si="567"/>
        <v>#VALUE!</v>
      </c>
    </row>
    <row r="1158" spans="1:45" x14ac:dyDescent="0.35">
      <c r="A1158">
        <v>1009</v>
      </c>
      <c r="B1158">
        <v>1007.889</v>
      </c>
      <c r="C1158">
        <v>616080.82799999998</v>
      </c>
      <c r="D1158">
        <v>3096996.0559999999</v>
      </c>
      <c r="E1158">
        <v>632.05799999999999</v>
      </c>
      <c r="F1158">
        <v>5.2</v>
      </c>
      <c r="G1158">
        <v>0</v>
      </c>
      <c r="H1158" t="s">
        <v>191</v>
      </c>
      <c r="I1158">
        <v>0</v>
      </c>
      <c r="J1158">
        <f t="shared" si="568"/>
        <v>1</v>
      </c>
      <c r="K1158">
        <f t="shared" si="569"/>
        <v>51</v>
      </c>
      <c r="L1158" t="e">
        <f t="shared" ca="1" si="570"/>
        <v>#VALUE!</v>
      </c>
      <c r="M1158" t="e">
        <f t="shared" ca="1" si="543"/>
        <v>#VALUE!</v>
      </c>
      <c r="N1158" t="e">
        <f t="shared" ca="1" si="544"/>
        <v>#VALUE!</v>
      </c>
      <c r="O1158" t="e">
        <f t="shared" ca="1" si="545"/>
        <v>#VALUE!</v>
      </c>
      <c r="P1158" t="e">
        <f t="shared" ca="1" si="546"/>
        <v>#VALUE!</v>
      </c>
      <c r="Q1158" t="e">
        <f t="shared" ca="1" si="547"/>
        <v>#VALUE!</v>
      </c>
      <c r="R1158" t="e">
        <f t="shared" ca="1" si="548"/>
        <v>#VALUE!</v>
      </c>
      <c r="S1158" t="e">
        <f t="shared" ca="1" si="549"/>
        <v>#VALUE!</v>
      </c>
      <c r="T1158" t="e">
        <f t="shared" ca="1" si="550"/>
        <v>#VALUE!</v>
      </c>
      <c r="U1158" t="e">
        <f t="shared" ca="1" si="571"/>
        <v>#VALUE!</v>
      </c>
      <c r="V1158" t="e">
        <f t="shared" ca="1" si="572"/>
        <v>#VALUE!</v>
      </c>
      <c r="W1158" t="e">
        <f t="shared" ca="1" si="551"/>
        <v>#VALUE!</v>
      </c>
      <c r="X1158" t="e">
        <f t="shared" ca="1" si="552"/>
        <v>#VALUE!</v>
      </c>
      <c r="Y1158" t="e">
        <f t="shared" ca="1" si="553"/>
        <v>#VALUE!</v>
      </c>
      <c r="Z1158" t="e">
        <f t="shared" ca="1" si="554"/>
        <v>#VALUE!</v>
      </c>
      <c r="AA1158" t="e">
        <f t="shared" ca="1" si="555"/>
        <v>#VALUE!</v>
      </c>
      <c r="AB1158" t="e">
        <f t="shared" ca="1" si="556"/>
        <v>#VALUE!</v>
      </c>
      <c r="AC1158" t="e">
        <f t="shared" ca="1" si="557"/>
        <v>#VALUE!</v>
      </c>
      <c r="AD1158" t="e">
        <f t="shared" ca="1" si="558"/>
        <v>#VALUE!</v>
      </c>
      <c r="AE1158" t="e">
        <f t="shared" ca="1" si="559"/>
        <v>#VALUE!</v>
      </c>
      <c r="AF1158" t="e">
        <f t="shared" ca="1" si="560"/>
        <v>#VALUE!</v>
      </c>
      <c r="AG1158" t="e">
        <f t="shared" ca="1" si="561"/>
        <v>#VALUE!</v>
      </c>
      <c r="AH1158" t="e">
        <f ca="1">IF(V32="Supercritical",L1158,IF(V32="Subcritical",W1158,IF(AND(V1158=1,AG1158=1),IF(T1158&gt;=AE1158,L1158,W1158),IF(V1158=1,L1158,IF(AG1158=1,W1158,MAX($D$16,POWER((ABS(K1158)^2)/($I$5*MAX(F1158,0.1)^2),1/3)))))))</f>
        <v>#VALUE!</v>
      </c>
      <c r="AI1158" t="e">
        <f t="shared" ca="1" si="562"/>
        <v>#VALUE!</v>
      </c>
      <c r="AJ1158" t="e">
        <f t="shared" ca="1" si="563"/>
        <v>#VALUE!</v>
      </c>
      <c r="AM1158">
        <v>0</v>
      </c>
      <c r="AN1158">
        <v>0</v>
      </c>
      <c r="AO1158">
        <f t="shared" si="564"/>
        <v>0</v>
      </c>
      <c r="AP1158">
        <f t="shared" si="573"/>
        <v>0</v>
      </c>
      <c r="AQ1158" t="e">
        <f t="shared" ca="1" si="565"/>
        <v>#VALUE!</v>
      </c>
      <c r="AR1158" t="e">
        <f t="shared" ca="1" si="566"/>
        <v>#VALUE!</v>
      </c>
      <c r="AS1158" t="e">
        <f t="shared" ca="1" si="567"/>
        <v>#VALUE!</v>
      </c>
    </row>
    <row r="1159" spans="1:45" x14ac:dyDescent="0.35">
      <c r="A1159">
        <v>1010</v>
      </c>
      <c r="B1159">
        <v>1008.889</v>
      </c>
      <c r="C1159">
        <v>616080.78599999996</v>
      </c>
      <c r="D1159">
        <v>3096995.057</v>
      </c>
      <c r="E1159">
        <v>632.0575</v>
      </c>
      <c r="F1159">
        <v>5.2</v>
      </c>
      <c r="G1159">
        <v>0</v>
      </c>
      <c r="H1159" t="s">
        <v>191</v>
      </c>
      <c r="I1159">
        <v>5.7000000000000002E-2</v>
      </c>
      <c r="J1159">
        <f t="shared" si="568"/>
        <v>1</v>
      </c>
      <c r="K1159">
        <f t="shared" si="569"/>
        <v>51</v>
      </c>
      <c r="L1159" t="e">
        <f t="shared" ca="1" si="570"/>
        <v>#VALUE!</v>
      </c>
      <c r="M1159" t="e">
        <f t="shared" ca="1" si="543"/>
        <v>#VALUE!</v>
      </c>
      <c r="N1159" t="e">
        <f t="shared" ca="1" si="544"/>
        <v>#VALUE!</v>
      </c>
      <c r="O1159" t="e">
        <f t="shared" ca="1" si="545"/>
        <v>#VALUE!</v>
      </c>
      <c r="P1159" t="e">
        <f t="shared" ca="1" si="546"/>
        <v>#VALUE!</v>
      </c>
      <c r="Q1159" t="e">
        <f t="shared" ca="1" si="547"/>
        <v>#VALUE!</v>
      </c>
      <c r="R1159" t="e">
        <f t="shared" ca="1" si="548"/>
        <v>#VALUE!</v>
      </c>
      <c r="S1159" t="e">
        <f t="shared" ca="1" si="549"/>
        <v>#VALUE!</v>
      </c>
      <c r="T1159" t="e">
        <f t="shared" ca="1" si="550"/>
        <v>#VALUE!</v>
      </c>
      <c r="U1159" t="e">
        <f t="shared" ca="1" si="571"/>
        <v>#VALUE!</v>
      </c>
      <c r="V1159" t="e">
        <f t="shared" ca="1" si="572"/>
        <v>#VALUE!</v>
      </c>
      <c r="W1159" t="e">
        <f t="shared" ca="1" si="551"/>
        <v>#VALUE!</v>
      </c>
      <c r="X1159" t="e">
        <f t="shared" ca="1" si="552"/>
        <v>#VALUE!</v>
      </c>
      <c r="Y1159" t="e">
        <f t="shared" ca="1" si="553"/>
        <v>#VALUE!</v>
      </c>
      <c r="Z1159" t="e">
        <f t="shared" ca="1" si="554"/>
        <v>#VALUE!</v>
      </c>
      <c r="AA1159" t="e">
        <f t="shared" ca="1" si="555"/>
        <v>#VALUE!</v>
      </c>
      <c r="AB1159" t="e">
        <f t="shared" ca="1" si="556"/>
        <v>#VALUE!</v>
      </c>
      <c r="AC1159" t="e">
        <f t="shared" ca="1" si="557"/>
        <v>#VALUE!</v>
      </c>
      <c r="AD1159" t="e">
        <f t="shared" ca="1" si="558"/>
        <v>#VALUE!</v>
      </c>
      <c r="AE1159" t="e">
        <f t="shared" ca="1" si="559"/>
        <v>#VALUE!</v>
      </c>
      <c r="AF1159" t="e">
        <f t="shared" ca="1" si="560"/>
        <v>#VALUE!</v>
      </c>
      <c r="AG1159" t="e">
        <f t="shared" ca="1" si="561"/>
        <v>#VALUE!</v>
      </c>
      <c r="AH1159" t="e">
        <f ca="1">IF(V32="Supercritical",L1159,IF(V32="Subcritical",W1159,IF(AND(V1159=1,AG1159=1),IF(T1159&gt;=AE1159,L1159,W1159),IF(V1159=1,L1159,IF(AG1159=1,W1159,MAX($D$16,POWER((ABS(K1159)^2)/($I$5*MAX(F1159,0.1)^2),1/3)))))))</f>
        <v>#VALUE!</v>
      </c>
      <c r="AI1159" t="e">
        <f t="shared" ca="1" si="562"/>
        <v>#VALUE!</v>
      </c>
      <c r="AJ1159" t="e">
        <f t="shared" ca="1" si="563"/>
        <v>#VALUE!</v>
      </c>
      <c r="AM1159">
        <v>0</v>
      </c>
      <c r="AN1159">
        <v>0</v>
      </c>
      <c r="AO1159">
        <f t="shared" si="564"/>
        <v>0</v>
      </c>
      <c r="AP1159">
        <f t="shared" si="573"/>
        <v>0</v>
      </c>
      <c r="AQ1159" t="e">
        <f t="shared" ca="1" si="565"/>
        <v>#VALUE!</v>
      </c>
      <c r="AR1159" t="e">
        <f t="shared" ca="1" si="566"/>
        <v>#VALUE!</v>
      </c>
      <c r="AS1159" t="e">
        <f t="shared" ca="1" si="567"/>
        <v>#VALUE!</v>
      </c>
    </row>
    <row r="1160" spans="1:45" x14ac:dyDescent="0.35">
      <c r="A1160">
        <v>1011</v>
      </c>
      <c r="B1160">
        <v>1009.889</v>
      </c>
      <c r="C1160">
        <v>616080.74300000002</v>
      </c>
      <c r="D1160">
        <v>3096994.0580000002</v>
      </c>
      <c r="E1160">
        <v>632.05700000000002</v>
      </c>
      <c r="F1160">
        <v>5.2</v>
      </c>
      <c r="G1160">
        <v>0</v>
      </c>
      <c r="H1160" t="s">
        <v>191</v>
      </c>
      <c r="I1160">
        <v>5.7000000000000002E-2</v>
      </c>
      <c r="J1160">
        <f t="shared" si="568"/>
        <v>1</v>
      </c>
      <c r="K1160">
        <f t="shared" si="569"/>
        <v>51</v>
      </c>
      <c r="L1160" t="e">
        <f t="shared" ca="1" si="570"/>
        <v>#VALUE!</v>
      </c>
      <c r="M1160" t="e">
        <f t="shared" ca="1" si="543"/>
        <v>#VALUE!</v>
      </c>
      <c r="N1160" t="e">
        <f t="shared" ca="1" si="544"/>
        <v>#VALUE!</v>
      </c>
      <c r="O1160" t="e">
        <f t="shared" ca="1" si="545"/>
        <v>#VALUE!</v>
      </c>
      <c r="P1160" t="e">
        <f t="shared" ca="1" si="546"/>
        <v>#VALUE!</v>
      </c>
      <c r="Q1160" t="e">
        <f t="shared" ca="1" si="547"/>
        <v>#VALUE!</v>
      </c>
      <c r="R1160" t="e">
        <f t="shared" ca="1" si="548"/>
        <v>#VALUE!</v>
      </c>
      <c r="S1160" t="e">
        <f t="shared" ca="1" si="549"/>
        <v>#VALUE!</v>
      </c>
      <c r="T1160" t="e">
        <f t="shared" ca="1" si="550"/>
        <v>#VALUE!</v>
      </c>
      <c r="U1160" t="e">
        <f t="shared" ca="1" si="571"/>
        <v>#VALUE!</v>
      </c>
      <c r="V1160" t="e">
        <f t="shared" ca="1" si="572"/>
        <v>#VALUE!</v>
      </c>
      <c r="W1160" t="e">
        <f t="shared" ca="1" si="551"/>
        <v>#VALUE!</v>
      </c>
      <c r="X1160" t="e">
        <f t="shared" ca="1" si="552"/>
        <v>#VALUE!</v>
      </c>
      <c r="Y1160" t="e">
        <f t="shared" ca="1" si="553"/>
        <v>#VALUE!</v>
      </c>
      <c r="Z1160" t="e">
        <f t="shared" ca="1" si="554"/>
        <v>#VALUE!</v>
      </c>
      <c r="AA1160" t="e">
        <f t="shared" ca="1" si="555"/>
        <v>#VALUE!</v>
      </c>
      <c r="AB1160" t="e">
        <f t="shared" ca="1" si="556"/>
        <v>#VALUE!</v>
      </c>
      <c r="AC1160" t="e">
        <f t="shared" ca="1" si="557"/>
        <v>#VALUE!</v>
      </c>
      <c r="AD1160" t="e">
        <f t="shared" ca="1" si="558"/>
        <v>#VALUE!</v>
      </c>
      <c r="AE1160" t="e">
        <f t="shared" ca="1" si="559"/>
        <v>#VALUE!</v>
      </c>
      <c r="AF1160" t="e">
        <f t="shared" ca="1" si="560"/>
        <v>#VALUE!</v>
      </c>
      <c r="AG1160" t="e">
        <f t="shared" ca="1" si="561"/>
        <v>#VALUE!</v>
      </c>
      <c r="AH1160" t="e">
        <f ca="1">IF(V32="Supercritical",L1160,IF(V32="Subcritical",W1160,IF(AND(V1160=1,AG1160=1),IF(T1160&gt;=AE1160,L1160,W1160),IF(V1160=1,L1160,IF(AG1160=1,W1160,MAX($D$16,POWER((ABS(K1160)^2)/($I$5*MAX(F1160,0.1)^2),1/3)))))))</f>
        <v>#VALUE!</v>
      </c>
      <c r="AI1160" t="e">
        <f t="shared" ca="1" si="562"/>
        <v>#VALUE!</v>
      </c>
      <c r="AJ1160" t="e">
        <f t="shared" ca="1" si="563"/>
        <v>#VALUE!</v>
      </c>
      <c r="AM1160">
        <v>0</v>
      </c>
      <c r="AN1160">
        <v>0</v>
      </c>
      <c r="AO1160">
        <f t="shared" si="564"/>
        <v>0</v>
      </c>
      <c r="AP1160">
        <f t="shared" si="573"/>
        <v>0</v>
      </c>
      <c r="AQ1160" t="e">
        <f t="shared" ca="1" si="565"/>
        <v>#VALUE!</v>
      </c>
      <c r="AR1160" t="e">
        <f t="shared" ca="1" si="566"/>
        <v>#VALUE!</v>
      </c>
      <c r="AS1160" t="e">
        <f t="shared" ca="1" si="567"/>
        <v>#VALUE!</v>
      </c>
    </row>
    <row r="1161" spans="1:45" x14ac:dyDescent="0.35">
      <c r="A1161">
        <v>1012</v>
      </c>
      <c r="B1161">
        <v>1010.889</v>
      </c>
      <c r="C1161">
        <v>616080.701</v>
      </c>
      <c r="D1161">
        <v>3096993.0589999999</v>
      </c>
      <c r="E1161">
        <v>632.05650000000003</v>
      </c>
      <c r="F1161">
        <v>5.2</v>
      </c>
      <c r="G1161">
        <v>0</v>
      </c>
      <c r="H1161" t="s">
        <v>191</v>
      </c>
      <c r="I1161">
        <v>2E-3</v>
      </c>
      <c r="J1161">
        <f t="shared" si="568"/>
        <v>1</v>
      </c>
      <c r="K1161">
        <f t="shared" si="569"/>
        <v>51</v>
      </c>
      <c r="L1161" t="e">
        <f t="shared" ca="1" si="570"/>
        <v>#VALUE!</v>
      </c>
      <c r="M1161" t="e">
        <f t="shared" ca="1" si="543"/>
        <v>#VALUE!</v>
      </c>
      <c r="N1161" t="e">
        <f t="shared" ca="1" si="544"/>
        <v>#VALUE!</v>
      </c>
      <c r="O1161" t="e">
        <f t="shared" ca="1" si="545"/>
        <v>#VALUE!</v>
      </c>
      <c r="P1161" t="e">
        <f t="shared" ca="1" si="546"/>
        <v>#VALUE!</v>
      </c>
      <c r="Q1161" t="e">
        <f t="shared" ca="1" si="547"/>
        <v>#VALUE!</v>
      </c>
      <c r="R1161" t="e">
        <f t="shared" ca="1" si="548"/>
        <v>#VALUE!</v>
      </c>
      <c r="S1161" t="e">
        <f t="shared" ca="1" si="549"/>
        <v>#VALUE!</v>
      </c>
      <c r="T1161" t="e">
        <f t="shared" ca="1" si="550"/>
        <v>#VALUE!</v>
      </c>
      <c r="U1161" t="e">
        <f t="shared" ca="1" si="571"/>
        <v>#VALUE!</v>
      </c>
      <c r="V1161" t="e">
        <f t="shared" ca="1" si="572"/>
        <v>#VALUE!</v>
      </c>
      <c r="W1161" t="e">
        <f t="shared" ca="1" si="551"/>
        <v>#VALUE!</v>
      </c>
      <c r="X1161" t="e">
        <f t="shared" ca="1" si="552"/>
        <v>#VALUE!</v>
      </c>
      <c r="Y1161" t="e">
        <f t="shared" ca="1" si="553"/>
        <v>#VALUE!</v>
      </c>
      <c r="Z1161" t="e">
        <f t="shared" ca="1" si="554"/>
        <v>#VALUE!</v>
      </c>
      <c r="AA1161" t="e">
        <f t="shared" ca="1" si="555"/>
        <v>#VALUE!</v>
      </c>
      <c r="AB1161" t="e">
        <f t="shared" ca="1" si="556"/>
        <v>#VALUE!</v>
      </c>
      <c r="AC1161" t="e">
        <f t="shared" ca="1" si="557"/>
        <v>#VALUE!</v>
      </c>
      <c r="AD1161" t="e">
        <f t="shared" ca="1" si="558"/>
        <v>#VALUE!</v>
      </c>
      <c r="AE1161" t="e">
        <f t="shared" ca="1" si="559"/>
        <v>#VALUE!</v>
      </c>
      <c r="AF1161" t="e">
        <f t="shared" ca="1" si="560"/>
        <v>#VALUE!</v>
      </c>
      <c r="AG1161" t="e">
        <f t="shared" ca="1" si="561"/>
        <v>#VALUE!</v>
      </c>
      <c r="AH1161" t="e">
        <f ca="1">IF(V32="Supercritical",L1161,IF(V32="Subcritical",W1161,IF(AND(V1161=1,AG1161=1),IF(T1161&gt;=AE1161,L1161,W1161),IF(V1161=1,L1161,IF(AG1161=1,W1161,MAX($D$16,POWER((ABS(K1161)^2)/($I$5*MAX(F1161,0.1)^2),1/3)))))))</f>
        <v>#VALUE!</v>
      </c>
      <c r="AI1161" t="e">
        <f t="shared" ca="1" si="562"/>
        <v>#VALUE!</v>
      </c>
      <c r="AJ1161" t="e">
        <f t="shared" ca="1" si="563"/>
        <v>#VALUE!</v>
      </c>
      <c r="AM1161">
        <v>0</v>
      </c>
      <c r="AN1161">
        <v>0</v>
      </c>
      <c r="AO1161">
        <f t="shared" si="564"/>
        <v>0</v>
      </c>
      <c r="AP1161">
        <f t="shared" si="573"/>
        <v>0</v>
      </c>
      <c r="AQ1161" t="e">
        <f t="shared" ca="1" si="565"/>
        <v>#VALUE!</v>
      </c>
      <c r="AR1161" t="e">
        <f t="shared" ca="1" si="566"/>
        <v>#VALUE!</v>
      </c>
      <c r="AS1161" t="e">
        <f t="shared" ca="1" si="567"/>
        <v>#VALUE!</v>
      </c>
    </row>
    <row r="1162" spans="1:45" x14ac:dyDescent="0.35">
      <c r="A1162">
        <v>1013</v>
      </c>
      <c r="B1162">
        <v>1011.89</v>
      </c>
      <c r="C1162">
        <v>616080.65899999999</v>
      </c>
      <c r="D1162">
        <v>3096992.0589999999</v>
      </c>
      <c r="E1162">
        <v>632.05600000000004</v>
      </c>
      <c r="F1162">
        <v>5.2</v>
      </c>
      <c r="G1162">
        <v>0</v>
      </c>
      <c r="H1162" t="s">
        <v>191</v>
      </c>
      <c r="I1162">
        <v>2E-3</v>
      </c>
      <c r="J1162">
        <f t="shared" si="568"/>
        <v>1.0009999999999764</v>
      </c>
      <c r="K1162">
        <f t="shared" si="569"/>
        <v>51</v>
      </c>
      <c r="L1162" t="e">
        <f t="shared" ca="1" si="570"/>
        <v>#VALUE!</v>
      </c>
      <c r="M1162" t="e">
        <f t="shared" ca="1" si="543"/>
        <v>#VALUE!</v>
      </c>
      <c r="N1162" t="e">
        <f t="shared" ca="1" si="544"/>
        <v>#VALUE!</v>
      </c>
      <c r="O1162" t="e">
        <f t="shared" ca="1" si="545"/>
        <v>#VALUE!</v>
      </c>
      <c r="P1162" t="e">
        <f t="shared" ca="1" si="546"/>
        <v>#VALUE!</v>
      </c>
      <c r="Q1162" t="e">
        <f t="shared" ca="1" si="547"/>
        <v>#VALUE!</v>
      </c>
      <c r="R1162" t="e">
        <f t="shared" ca="1" si="548"/>
        <v>#VALUE!</v>
      </c>
      <c r="S1162" t="e">
        <f t="shared" ca="1" si="549"/>
        <v>#VALUE!</v>
      </c>
      <c r="T1162" t="e">
        <f t="shared" ca="1" si="550"/>
        <v>#VALUE!</v>
      </c>
      <c r="U1162" t="e">
        <f t="shared" ca="1" si="571"/>
        <v>#VALUE!</v>
      </c>
      <c r="V1162" t="e">
        <f t="shared" ca="1" si="572"/>
        <v>#VALUE!</v>
      </c>
      <c r="W1162" t="e">
        <f t="shared" ca="1" si="551"/>
        <v>#VALUE!</v>
      </c>
      <c r="X1162" t="e">
        <f t="shared" ca="1" si="552"/>
        <v>#VALUE!</v>
      </c>
      <c r="Y1162" t="e">
        <f t="shared" ca="1" si="553"/>
        <v>#VALUE!</v>
      </c>
      <c r="Z1162" t="e">
        <f t="shared" ca="1" si="554"/>
        <v>#VALUE!</v>
      </c>
      <c r="AA1162" t="e">
        <f t="shared" ca="1" si="555"/>
        <v>#VALUE!</v>
      </c>
      <c r="AB1162" t="e">
        <f t="shared" ca="1" si="556"/>
        <v>#VALUE!</v>
      </c>
      <c r="AC1162" t="e">
        <f t="shared" ca="1" si="557"/>
        <v>#VALUE!</v>
      </c>
      <c r="AD1162" t="e">
        <f t="shared" ca="1" si="558"/>
        <v>#VALUE!</v>
      </c>
      <c r="AE1162" t="e">
        <f t="shared" ca="1" si="559"/>
        <v>#VALUE!</v>
      </c>
      <c r="AF1162" t="e">
        <f t="shared" ca="1" si="560"/>
        <v>#VALUE!</v>
      </c>
      <c r="AG1162" t="e">
        <f t="shared" ca="1" si="561"/>
        <v>#VALUE!</v>
      </c>
      <c r="AH1162" t="e">
        <f ca="1">IF(V32="Supercritical",L1162,IF(V32="Subcritical",W1162,IF(AND(V1162=1,AG1162=1),IF(T1162&gt;=AE1162,L1162,W1162),IF(V1162=1,L1162,IF(AG1162=1,W1162,MAX($D$16,POWER((ABS(K1162)^2)/($I$5*MAX(F1162,0.1)^2),1/3)))))))</f>
        <v>#VALUE!</v>
      </c>
      <c r="AI1162" t="e">
        <f t="shared" ca="1" si="562"/>
        <v>#VALUE!</v>
      </c>
      <c r="AJ1162" t="e">
        <f t="shared" ca="1" si="563"/>
        <v>#VALUE!</v>
      </c>
      <c r="AM1162">
        <v>0</v>
      </c>
      <c r="AN1162">
        <v>0</v>
      </c>
      <c r="AO1162">
        <f t="shared" si="564"/>
        <v>0</v>
      </c>
      <c r="AP1162">
        <f t="shared" si="573"/>
        <v>0</v>
      </c>
      <c r="AQ1162" t="e">
        <f t="shared" ca="1" si="565"/>
        <v>#VALUE!</v>
      </c>
      <c r="AR1162" t="e">
        <f t="shared" ca="1" si="566"/>
        <v>#VALUE!</v>
      </c>
      <c r="AS1162" t="e">
        <f t="shared" ca="1" si="567"/>
        <v>#VALUE!</v>
      </c>
    </row>
    <row r="1163" spans="1:45" x14ac:dyDescent="0.35">
      <c r="A1163">
        <v>1014</v>
      </c>
      <c r="B1163">
        <v>1012.89</v>
      </c>
      <c r="C1163">
        <v>616080.61699999997</v>
      </c>
      <c r="D1163">
        <v>3096991.06</v>
      </c>
      <c r="E1163">
        <v>632.05550000000005</v>
      </c>
      <c r="F1163">
        <v>5.2</v>
      </c>
      <c r="G1163">
        <v>0</v>
      </c>
      <c r="H1163" t="s">
        <v>191</v>
      </c>
      <c r="I1163">
        <v>5.7000000000000002E-2</v>
      </c>
      <c r="J1163">
        <f t="shared" si="568"/>
        <v>1</v>
      </c>
      <c r="K1163">
        <f t="shared" si="569"/>
        <v>51</v>
      </c>
      <c r="L1163" t="e">
        <f t="shared" ca="1" si="570"/>
        <v>#VALUE!</v>
      </c>
      <c r="M1163" t="e">
        <f t="shared" ca="1" si="543"/>
        <v>#VALUE!</v>
      </c>
      <c r="N1163" t="e">
        <f t="shared" ca="1" si="544"/>
        <v>#VALUE!</v>
      </c>
      <c r="O1163" t="e">
        <f t="shared" ca="1" si="545"/>
        <v>#VALUE!</v>
      </c>
      <c r="P1163" t="e">
        <f t="shared" ca="1" si="546"/>
        <v>#VALUE!</v>
      </c>
      <c r="Q1163" t="e">
        <f t="shared" ca="1" si="547"/>
        <v>#VALUE!</v>
      </c>
      <c r="R1163" t="e">
        <f t="shared" ca="1" si="548"/>
        <v>#VALUE!</v>
      </c>
      <c r="S1163" t="e">
        <f t="shared" ca="1" si="549"/>
        <v>#VALUE!</v>
      </c>
      <c r="T1163" t="e">
        <f t="shared" ca="1" si="550"/>
        <v>#VALUE!</v>
      </c>
      <c r="U1163" t="e">
        <f t="shared" ca="1" si="571"/>
        <v>#VALUE!</v>
      </c>
      <c r="V1163" t="e">
        <f t="shared" ca="1" si="572"/>
        <v>#VALUE!</v>
      </c>
      <c r="W1163" t="e">
        <f t="shared" ca="1" si="551"/>
        <v>#VALUE!</v>
      </c>
      <c r="X1163" t="e">
        <f t="shared" ca="1" si="552"/>
        <v>#VALUE!</v>
      </c>
      <c r="Y1163" t="e">
        <f t="shared" ca="1" si="553"/>
        <v>#VALUE!</v>
      </c>
      <c r="Z1163" t="e">
        <f t="shared" ca="1" si="554"/>
        <v>#VALUE!</v>
      </c>
      <c r="AA1163" t="e">
        <f t="shared" ca="1" si="555"/>
        <v>#VALUE!</v>
      </c>
      <c r="AB1163" t="e">
        <f t="shared" ca="1" si="556"/>
        <v>#VALUE!</v>
      </c>
      <c r="AC1163" t="e">
        <f t="shared" ca="1" si="557"/>
        <v>#VALUE!</v>
      </c>
      <c r="AD1163" t="e">
        <f t="shared" ca="1" si="558"/>
        <v>#VALUE!</v>
      </c>
      <c r="AE1163" t="e">
        <f t="shared" ca="1" si="559"/>
        <v>#VALUE!</v>
      </c>
      <c r="AF1163" t="e">
        <f t="shared" ca="1" si="560"/>
        <v>#VALUE!</v>
      </c>
      <c r="AG1163" t="e">
        <f t="shared" ca="1" si="561"/>
        <v>#VALUE!</v>
      </c>
      <c r="AH1163" t="e">
        <f ca="1">IF(V32="Supercritical",L1163,IF(V32="Subcritical",W1163,IF(AND(V1163=1,AG1163=1),IF(T1163&gt;=AE1163,L1163,W1163),IF(V1163=1,L1163,IF(AG1163=1,W1163,MAX($D$16,POWER((ABS(K1163)^2)/($I$5*MAX(F1163,0.1)^2),1/3)))))))</f>
        <v>#VALUE!</v>
      </c>
      <c r="AI1163" t="e">
        <f t="shared" ca="1" si="562"/>
        <v>#VALUE!</v>
      </c>
      <c r="AJ1163" t="e">
        <f t="shared" ca="1" si="563"/>
        <v>#VALUE!</v>
      </c>
      <c r="AM1163">
        <v>0</v>
      </c>
      <c r="AN1163">
        <v>0</v>
      </c>
      <c r="AO1163">
        <f t="shared" si="564"/>
        <v>0</v>
      </c>
      <c r="AP1163">
        <f t="shared" si="573"/>
        <v>0</v>
      </c>
      <c r="AQ1163" t="e">
        <f t="shared" ca="1" si="565"/>
        <v>#VALUE!</v>
      </c>
      <c r="AR1163" t="e">
        <f t="shared" ca="1" si="566"/>
        <v>#VALUE!</v>
      </c>
      <c r="AS1163" t="e">
        <f t="shared" ca="1" si="567"/>
        <v>#VALUE!</v>
      </c>
    </row>
    <row r="1164" spans="1:45" x14ac:dyDescent="0.35">
      <c r="A1164">
        <v>1015</v>
      </c>
      <c r="B1164">
        <v>1013.89</v>
      </c>
      <c r="C1164">
        <v>616080.57400000002</v>
      </c>
      <c r="D1164">
        <v>3096990.0610000002</v>
      </c>
      <c r="E1164">
        <v>632.05499999999995</v>
      </c>
      <c r="F1164">
        <v>5.2</v>
      </c>
      <c r="G1164">
        <v>0</v>
      </c>
      <c r="H1164" t="s">
        <v>191</v>
      </c>
      <c r="I1164">
        <v>5.7000000000000002E-2</v>
      </c>
      <c r="J1164">
        <f t="shared" si="568"/>
        <v>1</v>
      </c>
      <c r="K1164">
        <f t="shared" si="569"/>
        <v>51</v>
      </c>
      <c r="L1164" t="e">
        <f t="shared" ca="1" si="570"/>
        <v>#VALUE!</v>
      </c>
      <c r="M1164" t="e">
        <f t="shared" ca="1" si="543"/>
        <v>#VALUE!</v>
      </c>
      <c r="N1164" t="e">
        <f t="shared" ca="1" si="544"/>
        <v>#VALUE!</v>
      </c>
      <c r="O1164" t="e">
        <f t="shared" ca="1" si="545"/>
        <v>#VALUE!</v>
      </c>
      <c r="P1164" t="e">
        <f t="shared" ca="1" si="546"/>
        <v>#VALUE!</v>
      </c>
      <c r="Q1164" t="e">
        <f t="shared" ca="1" si="547"/>
        <v>#VALUE!</v>
      </c>
      <c r="R1164" t="e">
        <f t="shared" ca="1" si="548"/>
        <v>#VALUE!</v>
      </c>
      <c r="S1164" t="e">
        <f t="shared" ca="1" si="549"/>
        <v>#VALUE!</v>
      </c>
      <c r="T1164" t="e">
        <f t="shared" ca="1" si="550"/>
        <v>#VALUE!</v>
      </c>
      <c r="U1164" t="e">
        <f t="shared" ca="1" si="571"/>
        <v>#VALUE!</v>
      </c>
      <c r="V1164" t="e">
        <f t="shared" ca="1" si="572"/>
        <v>#VALUE!</v>
      </c>
      <c r="W1164" t="e">
        <f t="shared" ca="1" si="551"/>
        <v>#VALUE!</v>
      </c>
      <c r="X1164" t="e">
        <f t="shared" ca="1" si="552"/>
        <v>#VALUE!</v>
      </c>
      <c r="Y1164" t="e">
        <f t="shared" ca="1" si="553"/>
        <v>#VALUE!</v>
      </c>
      <c r="Z1164" t="e">
        <f t="shared" ca="1" si="554"/>
        <v>#VALUE!</v>
      </c>
      <c r="AA1164" t="e">
        <f t="shared" ca="1" si="555"/>
        <v>#VALUE!</v>
      </c>
      <c r="AB1164" t="e">
        <f t="shared" ca="1" si="556"/>
        <v>#VALUE!</v>
      </c>
      <c r="AC1164" t="e">
        <f t="shared" ca="1" si="557"/>
        <v>#VALUE!</v>
      </c>
      <c r="AD1164" t="e">
        <f t="shared" ca="1" si="558"/>
        <v>#VALUE!</v>
      </c>
      <c r="AE1164" t="e">
        <f t="shared" ca="1" si="559"/>
        <v>#VALUE!</v>
      </c>
      <c r="AF1164" t="e">
        <f t="shared" ca="1" si="560"/>
        <v>#VALUE!</v>
      </c>
      <c r="AG1164" t="e">
        <f t="shared" ca="1" si="561"/>
        <v>#VALUE!</v>
      </c>
      <c r="AH1164" t="e">
        <f ca="1">IF(V32="Supercritical",L1164,IF(V32="Subcritical",W1164,IF(AND(V1164=1,AG1164=1),IF(T1164&gt;=AE1164,L1164,W1164),IF(V1164=1,L1164,IF(AG1164=1,W1164,MAX($D$16,POWER((ABS(K1164)^2)/($I$5*MAX(F1164,0.1)^2),1/3)))))))</f>
        <v>#VALUE!</v>
      </c>
      <c r="AI1164" t="e">
        <f t="shared" ca="1" si="562"/>
        <v>#VALUE!</v>
      </c>
      <c r="AJ1164" t="e">
        <f t="shared" ca="1" si="563"/>
        <v>#VALUE!</v>
      </c>
      <c r="AM1164">
        <v>0</v>
      </c>
      <c r="AN1164">
        <v>0</v>
      </c>
      <c r="AO1164">
        <f t="shared" si="564"/>
        <v>0</v>
      </c>
      <c r="AP1164">
        <f t="shared" si="573"/>
        <v>0</v>
      </c>
      <c r="AQ1164" t="e">
        <f t="shared" ca="1" si="565"/>
        <v>#VALUE!</v>
      </c>
      <c r="AR1164" t="e">
        <f t="shared" ca="1" si="566"/>
        <v>#VALUE!</v>
      </c>
      <c r="AS1164" t="e">
        <f t="shared" ca="1" si="567"/>
        <v>#VALUE!</v>
      </c>
    </row>
    <row r="1165" spans="1:45" x14ac:dyDescent="0.35">
      <c r="A1165">
        <v>1016</v>
      </c>
      <c r="B1165">
        <v>1014.889</v>
      </c>
      <c r="C1165">
        <v>616080.53200000001</v>
      </c>
      <c r="D1165">
        <v>3096989.0619999999</v>
      </c>
      <c r="E1165">
        <v>632.05449999999996</v>
      </c>
      <c r="F1165">
        <v>5.2</v>
      </c>
      <c r="G1165">
        <v>0</v>
      </c>
      <c r="H1165" t="s">
        <v>191</v>
      </c>
      <c r="I1165">
        <v>0</v>
      </c>
      <c r="J1165">
        <f t="shared" si="568"/>
        <v>0.99900000000002365</v>
      </c>
      <c r="K1165">
        <f t="shared" si="569"/>
        <v>51</v>
      </c>
      <c r="L1165" t="e">
        <f t="shared" ca="1" si="570"/>
        <v>#VALUE!</v>
      </c>
      <c r="M1165" t="e">
        <f t="shared" ca="1" si="543"/>
        <v>#VALUE!</v>
      </c>
      <c r="N1165" t="e">
        <f t="shared" ca="1" si="544"/>
        <v>#VALUE!</v>
      </c>
      <c r="O1165" t="e">
        <f t="shared" ca="1" si="545"/>
        <v>#VALUE!</v>
      </c>
      <c r="P1165" t="e">
        <f t="shared" ca="1" si="546"/>
        <v>#VALUE!</v>
      </c>
      <c r="Q1165" t="e">
        <f t="shared" ca="1" si="547"/>
        <v>#VALUE!</v>
      </c>
      <c r="R1165" t="e">
        <f t="shared" ca="1" si="548"/>
        <v>#VALUE!</v>
      </c>
      <c r="S1165" t="e">
        <f t="shared" ca="1" si="549"/>
        <v>#VALUE!</v>
      </c>
      <c r="T1165" t="e">
        <f t="shared" ca="1" si="550"/>
        <v>#VALUE!</v>
      </c>
      <c r="U1165" t="e">
        <f t="shared" ca="1" si="571"/>
        <v>#VALUE!</v>
      </c>
      <c r="V1165" t="e">
        <f t="shared" ca="1" si="572"/>
        <v>#VALUE!</v>
      </c>
      <c r="W1165" t="e">
        <f t="shared" ca="1" si="551"/>
        <v>#VALUE!</v>
      </c>
      <c r="X1165" t="e">
        <f t="shared" ca="1" si="552"/>
        <v>#VALUE!</v>
      </c>
      <c r="Y1165" t="e">
        <f t="shared" ca="1" si="553"/>
        <v>#VALUE!</v>
      </c>
      <c r="Z1165" t="e">
        <f t="shared" ca="1" si="554"/>
        <v>#VALUE!</v>
      </c>
      <c r="AA1165" t="e">
        <f t="shared" ca="1" si="555"/>
        <v>#VALUE!</v>
      </c>
      <c r="AB1165" t="e">
        <f t="shared" ca="1" si="556"/>
        <v>#VALUE!</v>
      </c>
      <c r="AC1165" t="e">
        <f t="shared" ca="1" si="557"/>
        <v>#VALUE!</v>
      </c>
      <c r="AD1165" t="e">
        <f t="shared" ca="1" si="558"/>
        <v>#VALUE!</v>
      </c>
      <c r="AE1165" t="e">
        <f t="shared" ca="1" si="559"/>
        <v>#VALUE!</v>
      </c>
      <c r="AF1165" t="e">
        <f t="shared" ca="1" si="560"/>
        <v>#VALUE!</v>
      </c>
      <c r="AG1165" t="e">
        <f t="shared" ca="1" si="561"/>
        <v>#VALUE!</v>
      </c>
      <c r="AH1165" t="e">
        <f ca="1">IF(V32="Supercritical",L1165,IF(V32="Subcritical",W1165,IF(AND(V1165=1,AG1165=1),IF(T1165&gt;=AE1165,L1165,W1165),IF(V1165=1,L1165,IF(AG1165=1,W1165,MAX($D$16,POWER((ABS(K1165)^2)/($I$5*MAX(F1165,0.1)^2),1/3)))))))</f>
        <v>#VALUE!</v>
      </c>
      <c r="AI1165" t="e">
        <f t="shared" ca="1" si="562"/>
        <v>#VALUE!</v>
      </c>
      <c r="AJ1165" t="e">
        <f t="shared" ca="1" si="563"/>
        <v>#VALUE!</v>
      </c>
      <c r="AM1165">
        <v>0</v>
      </c>
      <c r="AN1165">
        <v>0</v>
      </c>
      <c r="AO1165">
        <f t="shared" si="564"/>
        <v>0</v>
      </c>
      <c r="AP1165">
        <f t="shared" si="573"/>
        <v>0</v>
      </c>
      <c r="AQ1165" t="e">
        <f t="shared" ca="1" si="565"/>
        <v>#VALUE!</v>
      </c>
      <c r="AR1165" t="e">
        <f t="shared" ca="1" si="566"/>
        <v>#VALUE!</v>
      </c>
      <c r="AS1165" t="e">
        <f t="shared" ca="1" si="567"/>
        <v>#VALUE!</v>
      </c>
    </row>
    <row r="1166" spans="1:45" x14ac:dyDescent="0.35">
      <c r="A1166">
        <v>1017</v>
      </c>
      <c r="B1166">
        <v>1015.889</v>
      </c>
      <c r="C1166">
        <v>616080.49</v>
      </c>
      <c r="D1166">
        <v>3096988.0630000001</v>
      </c>
      <c r="E1166">
        <v>632.05399999999997</v>
      </c>
      <c r="F1166">
        <v>5.2</v>
      </c>
      <c r="G1166">
        <v>0</v>
      </c>
      <c r="H1166" t="s">
        <v>191</v>
      </c>
      <c r="I1166">
        <v>0</v>
      </c>
      <c r="J1166">
        <f t="shared" si="568"/>
        <v>1</v>
      </c>
      <c r="K1166">
        <f t="shared" si="569"/>
        <v>51</v>
      </c>
      <c r="L1166" t="e">
        <f t="shared" ca="1" si="570"/>
        <v>#VALUE!</v>
      </c>
      <c r="M1166" t="e">
        <f t="shared" ca="1" si="543"/>
        <v>#VALUE!</v>
      </c>
      <c r="N1166" t="e">
        <f t="shared" ca="1" si="544"/>
        <v>#VALUE!</v>
      </c>
      <c r="O1166" t="e">
        <f t="shared" ca="1" si="545"/>
        <v>#VALUE!</v>
      </c>
      <c r="P1166" t="e">
        <f t="shared" ca="1" si="546"/>
        <v>#VALUE!</v>
      </c>
      <c r="Q1166" t="e">
        <f t="shared" ca="1" si="547"/>
        <v>#VALUE!</v>
      </c>
      <c r="R1166" t="e">
        <f t="shared" ca="1" si="548"/>
        <v>#VALUE!</v>
      </c>
      <c r="S1166" t="e">
        <f t="shared" ca="1" si="549"/>
        <v>#VALUE!</v>
      </c>
      <c r="T1166" t="e">
        <f t="shared" ca="1" si="550"/>
        <v>#VALUE!</v>
      </c>
      <c r="U1166" t="e">
        <f t="shared" ca="1" si="571"/>
        <v>#VALUE!</v>
      </c>
      <c r="V1166" t="e">
        <f t="shared" ca="1" si="572"/>
        <v>#VALUE!</v>
      </c>
      <c r="W1166" t="e">
        <f t="shared" ca="1" si="551"/>
        <v>#VALUE!</v>
      </c>
      <c r="X1166" t="e">
        <f t="shared" ca="1" si="552"/>
        <v>#VALUE!</v>
      </c>
      <c r="Y1166" t="e">
        <f t="shared" ca="1" si="553"/>
        <v>#VALUE!</v>
      </c>
      <c r="Z1166" t="e">
        <f t="shared" ca="1" si="554"/>
        <v>#VALUE!</v>
      </c>
      <c r="AA1166" t="e">
        <f t="shared" ca="1" si="555"/>
        <v>#VALUE!</v>
      </c>
      <c r="AB1166" t="e">
        <f t="shared" ca="1" si="556"/>
        <v>#VALUE!</v>
      </c>
      <c r="AC1166" t="e">
        <f t="shared" ca="1" si="557"/>
        <v>#VALUE!</v>
      </c>
      <c r="AD1166" t="e">
        <f t="shared" ca="1" si="558"/>
        <v>#VALUE!</v>
      </c>
      <c r="AE1166" t="e">
        <f t="shared" ca="1" si="559"/>
        <v>#VALUE!</v>
      </c>
      <c r="AF1166" t="e">
        <f t="shared" ca="1" si="560"/>
        <v>#VALUE!</v>
      </c>
      <c r="AG1166" t="e">
        <f t="shared" ca="1" si="561"/>
        <v>#VALUE!</v>
      </c>
      <c r="AH1166" t="e">
        <f ca="1">IF(V32="Supercritical",L1166,IF(V32="Subcritical",W1166,IF(AND(V1166=1,AG1166=1),IF(T1166&gt;=AE1166,L1166,W1166),IF(V1166=1,L1166,IF(AG1166=1,W1166,MAX($D$16,POWER((ABS(K1166)^2)/($I$5*MAX(F1166,0.1)^2),1/3)))))))</f>
        <v>#VALUE!</v>
      </c>
      <c r="AI1166" t="e">
        <f t="shared" ca="1" si="562"/>
        <v>#VALUE!</v>
      </c>
      <c r="AJ1166" t="e">
        <f t="shared" ca="1" si="563"/>
        <v>#VALUE!</v>
      </c>
      <c r="AM1166">
        <v>0</v>
      </c>
      <c r="AN1166">
        <v>0</v>
      </c>
      <c r="AO1166">
        <f t="shared" si="564"/>
        <v>0</v>
      </c>
      <c r="AP1166">
        <f t="shared" si="573"/>
        <v>0</v>
      </c>
      <c r="AQ1166" t="e">
        <f t="shared" ca="1" si="565"/>
        <v>#VALUE!</v>
      </c>
      <c r="AR1166" t="e">
        <f t="shared" ca="1" si="566"/>
        <v>#VALUE!</v>
      </c>
      <c r="AS1166" t="e">
        <f t="shared" ca="1" si="567"/>
        <v>#VALUE!</v>
      </c>
    </row>
    <row r="1167" spans="1:45" x14ac:dyDescent="0.35">
      <c r="A1167">
        <v>1018</v>
      </c>
      <c r="B1167">
        <v>1016.889</v>
      </c>
      <c r="C1167">
        <v>616080.44799999997</v>
      </c>
      <c r="D1167">
        <v>3096987.0639999998</v>
      </c>
      <c r="E1167">
        <v>632.05349999999999</v>
      </c>
      <c r="F1167">
        <v>5.2</v>
      </c>
      <c r="G1167">
        <v>0</v>
      </c>
      <c r="H1167" t="s">
        <v>191</v>
      </c>
      <c r="I1167">
        <v>5.7000000000000002E-2</v>
      </c>
      <c r="J1167">
        <f t="shared" si="568"/>
        <v>1</v>
      </c>
      <c r="K1167">
        <f t="shared" si="569"/>
        <v>51</v>
      </c>
      <c r="L1167" t="e">
        <f t="shared" ca="1" si="570"/>
        <v>#VALUE!</v>
      </c>
      <c r="M1167" t="e">
        <f t="shared" ca="1" si="543"/>
        <v>#VALUE!</v>
      </c>
      <c r="N1167" t="e">
        <f t="shared" ca="1" si="544"/>
        <v>#VALUE!</v>
      </c>
      <c r="O1167" t="e">
        <f t="shared" ca="1" si="545"/>
        <v>#VALUE!</v>
      </c>
      <c r="P1167" t="e">
        <f t="shared" ca="1" si="546"/>
        <v>#VALUE!</v>
      </c>
      <c r="Q1167" t="e">
        <f t="shared" ca="1" si="547"/>
        <v>#VALUE!</v>
      </c>
      <c r="R1167" t="e">
        <f t="shared" ca="1" si="548"/>
        <v>#VALUE!</v>
      </c>
      <c r="S1167" t="e">
        <f t="shared" ca="1" si="549"/>
        <v>#VALUE!</v>
      </c>
      <c r="T1167" t="e">
        <f t="shared" ca="1" si="550"/>
        <v>#VALUE!</v>
      </c>
      <c r="U1167" t="e">
        <f t="shared" ca="1" si="571"/>
        <v>#VALUE!</v>
      </c>
      <c r="V1167" t="e">
        <f t="shared" ca="1" si="572"/>
        <v>#VALUE!</v>
      </c>
      <c r="W1167" t="e">
        <f t="shared" ca="1" si="551"/>
        <v>#VALUE!</v>
      </c>
      <c r="X1167" t="e">
        <f t="shared" ca="1" si="552"/>
        <v>#VALUE!</v>
      </c>
      <c r="Y1167" t="e">
        <f t="shared" ca="1" si="553"/>
        <v>#VALUE!</v>
      </c>
      <c r="Z1167" t="e">
        <f t="shared" ca="1" si="554"/>
        <v>#VALUE!</v>
      </c>
      <c r="AA1167" t="e">
        <f t="shared" ca="1" si="555"/>
        <v>#VALUE!</v>
      </c>
      <c r="AB1167" t="e">
        <f t="shared" ca="1" si="556"/>
        <v>#VALUE!</v>
      </c>
      <c r="AC1167" t="e">
        <f t="shared" ca="1" si="557"/>
        <v>#VALUE!</v>
      </c>
      <c r="AD1167" t="e">
        <f t="shared" ca="1" si="558"/>
        <v>#VALUE!</v>
      </c>
      <c r="AE1167" t="e">
        <f t="shared" ca="1" si="559"/>
        <v>#VALUE!</v>
      </c>
      <c r="AF1167" t="e">
        <f t="shared" ca="1" si="560"/>
        <v>#VALUE!</v>
      </c>
      <c r="AG1167" t="e">
        <f t="shared" ca="1" si="561"/>
        <v>#VALUE!</v>
      </c>
      <c r="AH1167" t="e">
        <f ca="1">IF(V32="Supercritical",L1167,IF(V32="Subcritical",W1167,IF(AND(V1167=1,AG1167=1),IF(T1167&gt;=AE1167,L1167,W1167),IF(V1167=1,L1167,IF(AG1167=1,W1167,MAX($D$16,POWER((ABS(K1167)^2)/($I$5*MAX(F1167,0.1)^2),1/3)))))))</f>
        <v>#VALUE!</v>
      </c>
      <c r="AI1167" t="e">
        <f t="shared" ca="1" si="562"/>
        <v>#VALUE!</v>
      </c>
      <c r="AJ1167" t="e">
        <f t="shared" ca="1" si="563"/>
        <v>#VALUE!</v>
      </c>
      <c r="AM1167">
        <v>0</v>
      </c>
      <c r="AN1167">
        <v>0</v>
      </c>
      <c r="AO1167">
        <f t="shared" si="564"/>
        <v>0</v>
      </c>
      <c r="AP1167">
        <f t="shared" si="573"/>
        <v>0</v>
      </c>
      <c r="AQ1167" t="e">
        <f t="shared" ca="1" si="565"/>
        <v>#VALUE!</v>
      </c>
      <c r="AR1167" t="e">
        <f t="shared" ca="1" si="566"/>
        <v>#VALUE!</v>
      </c>
      <c r="AS1167" t="e">
        <f t="shared" ca="1" si="567"/>
        <v>#VALUE!</v>
      </c>
    </row>
    <row r="1168" spans="1:45" x14ac:dyDescent="0.35">
      <c r="A1168">
        <v>1019</v>
      </c>
      <c r="B1168">
        <v>1017.889</v>
      </c>
      <c r="C1168">
        <v>616080.40500000003</v>
      </c>
      <c r="D1168">
        <v>3096986.0649999999</v>
      </c>
      <c r="E1168">
        <v>632.053</v>
      </c>
      <c r="F1168">
        <v>5.2</v>
      </c>
      <c r="G1168">
        <v>0</v>
      </c>
      <c r="H1168" t="s">
        <v>191</v>
      </c>
      <c r="I1168">
        <v>5.7000000000000002E-2</v>
      </c>
      <c r="J1168">
        <f t="shared" si="568"/>
        <v>1</v>
      </c>
      <c r="K1168">
        <f t="shared" si="569"/>
        <v>51</v>
      </c>
      <c r="L1168" t="e">
        <f t="shared" ca="1" si="570"/>
        <v>#VALUE!</v>
      </c>
      <c r="M1168" t="e">
        <f t="shared" ca="1" si="543"/>
        <v>#VALUE!</v>
      </c>
      <c r="N1168" t="e">
        <f t="shared" ca="1" si="544"/>
        <v>#VALUE!</v>
      </c>
      <c r="O1168" t="e">
        <f t="shared" ca="1" si="545"/>
        <v>#VALUE!</v>
      </c>
      <c r="P1168" t="e">
        <f t="shared" ca="1" si="546"/>
        <v>#VALUE!</v>
      </c>
      <c r="Q1168" t="e">
        <f t="shared" ca="1" si="547"/>
        <v>#VALUE!</v>
      </c>
      <c r="R1168" t="e">
        <f t="shared" ca="1" si="548"/>
        <v>#VALUE!</v>
      </c>
      <c r="S1168" t="e">
        <f t="shared" ca="1" si="549"/>
        <v>#VALUE!</v>
      </c>
      <c r="T1168" t="e">
        <f t="shared" ca="1" si="550"/>
        <v>#VALUE!</v>
      </c>
      <c r="U1168" t="e">
        <f t="shared" ca="1" si="571"/>
        <v>#VALUE!</v>
      </c>
      <c r="V1168" t="e">
        <f t="shared" ca="1" si="572"/>
        <v>#VALUE!</v>
      </c>
      <c r="W1168" t="e">
        <f t="shared" ca="1" si="551"/>
        <v>#VALUE!</v>
      </c>
      <c r="X1168" t="e">
        <f t="shared" ca="1" si="552"/>
        <v>#VALUE!</v>
      </c>
      <c r="Y1168" t="e">
        <f t="shared" ca="1" si="553"/>
        <v>#VALUE!</v>
      </c>
      <c r="Z1168" t="e">
        <f t="shared" ca="1" si="554"/>
        <v>#VALUE!</v>
      </c>
      <c r="AA1168" t="e">
        <f t="shared" ca="1" si="555"/>
        <v>#VALUE!</v>
      </c>
      <c r="AB1168" t="e">
        <f t="shared" ca="1" si="556"/>
        <v>#VALUE!</v>
      </c>
      <c r="AC1168" t="e">
        <f t="shared" ca="1" si="557"/>
        <v>#VALUE!</v>
      </c>
      <c r="AD1168" t="e">
        <f t="shared" ca="1" si="558"/>
        <v>#VALUE!</v>
      </c>
      <c r="AE1168" t="e">
        <f t="shared" ca="1" si="559"/>
        <v>#VALUE!</v>
      </c>
      <c r="AF1168" t="e">
        <f t="shared" ca="1" si="560"/>
        <v>#VALUE!</v>
      </c>
      <c r="AG1168" t="e">
        <f t="shared" ca="1" si="561"/>
        <v>#VALUE!</v>
      </c>
      <c r="AH1168" t="e">
        <f ca="1">IF(V32="Supercritical",L1168,IF(V32="Subcritical",W1168,IF(AND(V1168=1,AG1168=1),IF(T1168&gt;=AE1168,L1168,W1168),IF(V1168=1,L1168,IF(AG1168=1,W1168,MAX($D$16,POWER((ABS(K1168)^2)/($I$5*MAX(F1168,0.1)^2),1/3)))))))</f>
        <v>#VALUE!</v>
      </c>
      <c r="AI1168" t="e">
        <f t="shared" ca="1" si="562"/>
        <v>#VALUE!</v>
      </c>
      <c r="AJ1168" t="e">
        <f t="shared" ca="1" si="563"/>
        <v>#VALUE!</v>
      </c>
      <c r="AM1168">
        <v>0</v>
      </c>
      <c r="AN1168">
        <v>0</v>
      </c>
      <c r="AO1168">
        <f t="shared" si="564"/>
        <v>0</v>
      </c>
      <c r="AP1168">
        <f t="shared" si="573"/>
        <v>0</v>
      </c>
      <c r="AQ1168" t="e">
        <f t="shared" ca="1" si="565"/>
        <v>#VALUE!</v>
      </c>
      <c r="AR1168" t="e">
        <f t="shared" ca="1" si="566"/>
        <v>#VALUE!</v>
      </c>
      <c r="AS1168" t="e">
        <f t="shared" ca="1" si="567"/>
        <v>#VALUE!</v>
      </c>
    </row>
    <row r="1169" spans="1:45" x14ac:dyDescent="0.35">
      <c r="A1169">
        <v>1020</v>
      </c>
      <c r="B1169">
        <v>1018.889</v>
      </c>
      <c r="C1169">
        <v>616080.36300000001</v>
      </c>
      <c r="D1169">
        <v>3096985.0660000001</v>
      </c>
      <c r="E1169">
        <v>632.05250000000001</v>
      </c>
      <c r="F1169">
        <v>5.2</v>
      </c>
      <c r="G1169">
        <v>0</v>
      </c>
      <c r="H1169" t="s">
        <v>191</v>
      </c>
      <c r="I1169">
        <v>0</v>
      </c>
      <c r="J1169">
        <f t="shared" si="568"/>
        <v>1</v>
      </c>
      <c r="K1169">
        <f t="shared" si="569"/>
        <v>51</v>
      </c>
      <c r="L1169" t="e">
        <f t="shared" ca="1" si="570"/>
        <v>#VALUE!</v>
      </c>
      <c r="M1169" t="e">
        <f t="shared" ca="1" si="543"/>
        <v>#VALUE!</v>
      </c>
      <c r="N1169" t="e">
        <f t="shared" ca="1" si="544"/>
        <v>#VALUE!</v>
      </c>
      <c r="O1169" t="e">
        <f t="shared" ca="1" si="545"/>
        <v>#VALUE!</v>
      </c>
      <c r="P1169" t="e">
        <f t="shared" ca="1" si="546"/>
        <v>#VALUE!</v>
      </c>
      <c r="Q1169" t="e">
        <f t="shared" ca="1" si="547"/>
        <v>#VALUE!</v>
      </c>
      <c r="R1169" t="e">
        <f t="shared" ca="1" si="548"/>
        <v>#VALUE!</v>
      </c>
      <c r="S1169" t="e">
        <f t="shared" ca="1" si="549"/>
        <v>#VALUE!</v>
      </c>
      <c r="T1169" t="e">
        <f t="shared" ca="1" si="550"/>
        <v>#VALUE!</v>
      </c>
      <c r="U1169" t="e">
        <f t="shared" ca="1" si="571"/>
        <v>#VALUE!</v>
      </c>
      <c r="V1169" t="e">
        <f t="shared" ca="1" si="572"/>
        <v>#VALUE!</v>
      </c>
      <c r="W1169" t="e">
        <f t="shared" ca="1" si="551"/>
        <v>#VALUE!</v>
      </c>
      <c r="X1169" t="e">
        <f t="shared" ca="1" si="552"/>
        <v>#VALUE!</v>
      </c>
      <c r="Y1169" t="e">
        <f t="shared" ca="1" si="553"/>
        <v>#VALUE!</v>
      </c>
      <c r="Z1169" t="e">
        <f t="shared" ca="1" si="554"/>
        <v>#VALUE!</v>
      </c>
      <c r="AA1169" t="e">
        <f t="shared" ca="1" si="555"/>
        <v>#VALUE!</v>
      </c>
      <c r="AB1169" t="e">
        <f t="shared" ca="1" si="556"/>
        <v>#VALUE!</v>
      </c>
      <c r="AC1169" t="e">
        <f t="shared" ca="1" si="557"/>
        <v>#VALUE!</v>
      </c>
      <c r="AD1169" t="e">
        <f t="shared" ca="1" si="558"/>
        <v>#VALUE!</v>
      </c>
      <c r="AE1169" t="e">
        <f t="shared" ca="1" si="559"/>
        <v>#VALUE!</v>
      </c>
      <c r="AF1169" t="e">
        <f t="shared" ca="1" si="560"/>
        <v>#VALUE!</v>
      </c>
      <c r="AG1169" t="e">
        <f t="shared" ca="1" si="561"/>
        <v>#VALUE!</v>
      </c>
      <c r="AH1169" t="e">
        <f ca="1">IF(V32="Supercritical",L1169,IF(V32="Subcritical",W1169,IF(AND(V1169=1,AG1169=1),IF(T1169&gt;=AE1169,L1169,W1169),IF(V1169=1,L1169,IF(AG1169=1,W1169,MAX($D$16,POWER((ABS(K1169)^2)/($I$5*MAX(F1169,0.1)^2),1/3)))))))</f>
        <v>#VALUE!</v>
      </c>
      <c r="AI1169" t="e">
        <f t="shared" ca="1" si="562"/>
        <v>#VALUE!</v>
      </c>
      <c r="AJ1169" t="e">
        <f t="shared" ca="1" si="563"/>
        <v>#VALUE!</v>
      </c>
      <c r="AM1169">
        <v>0</v>
      </c>
      <c r="AN1169">
        <v>0</v>
      </c>
      <c r="AO1169">
        <f t="shared" si="564"/>
        <v>0</v>
      </c>
      <c r="AP1169">
        <f t="shared" si="573"/>
        <v>0</v>
      </c>
      <c r="AQ1169" t="e">
        <f t="shared" ca="1" si="565"/>
        <v>#VALUE!</v>
      </c>
      <c r="AR1169" t="e">
        <f t="shared" ca="1" si="566"/>
        <v>#VALUE!</v>
      </c>
      <c r="AS1169" t="e">
        <f t="shared" ca="1" si="567"/>
        <v>#VALUE!</v>
      </c>
    </row>
    <row r="1170" spans="1:45" x14ac:dyDescent="0.35">
      <c r="A1170">
        <v>1021</v>
      </c>
      <c r="B1170">
        <v>1019.889</v>
      </c>
      <c r="C1170">
        <v>616080.321</v>
      </c>
      <c r="D1170">
        <v>3096984.0669999998</v>
      </c>
      <c r="E1170">
        <v>632.05200000000002</v>
      </c>
      <c r="F1170">
        <v>5.2</v>
      </c>
      <c r="G1170">
        <v>0</v>
      </c>
      <c r="H1170" t="s">
        <v>191</v>
      </c>
      <c r="I1170">
        <v>0</v>
      </c>
      <c r="J1170">
        <f t="shared" si="568"/>
        <v>1</v>
      </c>
      <c r="K1170">
        <f t="shared" si="569"/>
        <v>51</v>
      </c>
      <c r="L1170" t="e">
        <f t="shared" ca="1" si="570"/>
        <v>#VALUE!</v>
      </c>
      <c r="M1170" t="e">
        <f t="shared" ca="1" si="543"/>
        <v>#VALUE!</v>
      </c>
      <c r="N1170" t="e">
        <f t="shared" ca="1" si="544"/>
        <v>#VALUE!</v>
      </c>
      <c r="O1170" t="e">
        <f t="shared" ca="1" si="545"/>
        <v>#VALUE!</v>
      </c>
      <c r="P1170" t="e">
        <f t="shared" ca="1" si="546"/>
        <v>#VALUE!</v>
      </c>
      <c r="Q1170" t="e">
        <f t="shared" ca="1" si="547"/>
        <v>#VALUE!</v>
      </c>
      <c r="R1170" t="e">
        <f t="shared" ca="1" si="548"/>
        <v>#VALUE!</v>
      </c>
      <c r="S1170" t="e">
        <f t="shared" ca="1" si="549"/>
        <v>#VALUE!</v>
      </c>
      <c r="T1170" t="e">
        <f t="shared" ca="1" si="550"/>
        <v>#VALUE!</v>
      </c>
      <c r="U1170" t="e">
        <f t="shared" ca="1" si="571"/>
        <v>#VALUE!</v>
      </c>
      <c r="V1170" t="e">
        <f t="shared" ca="1" si="572"/>
        <v>#VALUE!</v>
      </c>
      <c r="W1170" t="e">
        <f t="shared" ca="1" si="551"/>
        <v>#VALUE!</v>
      </c>
      <c r="X1170" t="e">
        <f t="shared" ca="1" si="552"/>
        <v>#VALUE!</v>
      </c>
      <c r="Y1170" t="e">
        <f t="shared" ca="1" si="553"/>
        <v>#VALUE!</v>
      </c>
      <c r="Z1170" t="e">
        <f t="shared" ca="1" si="554"/>
        <v>#VALUE!</v>
      </c>
      <c r="AA1170" t="e">
        <f t="shared" ca="1" si="555"/>
        <v>#VALUE!</v>
      </c>
      <c r="AB1170" t="e">
        <f t="shared" ca="1" si="556"/>
        <v>#VALUE!</v>
      </c>
      <c r="AC1170" t="e">
        <f t="shared" ca="1" si="557"/>
        <v>#VALUE!</v>
      </c>
      <c r="AD1170" t="e">
        <f t="shared" ca="1" si="558"/>
        <v>#VALUE!</v>
      </c>
      <c r="AE1170" t="e">
        <f t="shared" ca="1" si="559"/>
        <v>#VALUE!</v>
      </c>
      <c r="AF1170" t="e">
        <f t="shared" ca="1" si="560"/>
        <v>#VALUE!</v>
      </c>
      <c r="AG1170" t="e">
        <f t="shared" ca="1" si="561"/>
        <v>#VALUE!</v>
      </c>
      <c r="AH1170" t="e">
        <f ca="1">IF(V32="Supercritical",L1170,IF(V32="Subcritical",W1170,IF(AND(V1170=1,AG1170=1),IF(T1170&gt;=AE1170,L1170,W1170),IF(V1170=1,L1170,IF(AG1170=1,W1170,MAX($D$16,POWER((ABS(K1170)^2)/($I$5*MAX(F1170,0.1)^2),1/3)))))))</f>
        <v>#VALUE!</v>
      </c>
      <c r="AI1170" t="e">
        <f t="shared" ca="1" si="562"/>
        <v>#VALUE!</v>
      </c>
      <c r="AJ1170" t="e">
        <f t="shared" ca="1" si="563"/>
        <v>#VALUE!</v>
      </c>
      <c r="AM1170">
        <v>0</v>
      </c>
      <c r="AN1170">
        <v>0</v>
      </c>
      <c r="AO1170">
        <f t="shared" si="564"/>
        <v>0</v>
      </c>
      <c r="AP1170">
        <f t="shared" si="573"/>
        <v>0</v>
      </c>
      <c r="AQ1170" t="e">
        <f t="shared" ca="1" si="565"/>
        <v>#VALUE!</v>
      </c>
      <c r="AR1170" t="e">
        <f t="shared" ca="1" si="566"/>
        <v>#VALUE!</v>
      </c>
      <c r="AS1170" t="e">
        <f t="shared" ca="1" si="567"/>
        <v>#VALUE!</v>
      </c>
    </row>
    <row r="1171" spans="1:45" x14ac:dyDescent="0.35">
      <c r="A1171">
        <v>1022</v>
      </c>
      <c r="B1171">
        <v>1020.889</v>
      </c>
      <c r="C1171">
        <v>616080.27899999998</v>
      </c>
      <c r="D1171">
        <v>3096983.068</v>
      </c>
      <c r="E1171">
        <v>632.05150000000003</v>
      </c>
      <c r="F1171">
        <v>5.2</v>
      </c>
      <c r="G1171">
        <v>0</v>
      </c>
      <c r="H1171" t="s">
        <v>191</v>
      </c>
      <c r="I1171">
        <v>5.5E-2</v>
      </c>
      <c r="J1171">
        <f t="shared" si="568"/>
        <v>1</v>
      </c>
      <c r="K1171">
        <f t="shared" si="569"/>
        <v>51</v>
      </c>
      <c r="L1171" t="e">
        <f t="shared" ca="1" si="570"/>
        <v>#VALUE!</v>
      </c>
      <c r="M1171" t="e">
        <f t="shared" ca="1" si="543"/>
        <v>#VALUE!</v>
      </c>
      <c r="N1171" t="e">
        <f t="shared" ca="1" si="544"/>
        <v>#VALUE!</v>
      </c>
      <c r="O1171" t="e">
        <f t="shared" ca="1" si="545"/>
        <v>#VALUE!</v>
      </c>
      <c r="P1171" t="e">
        <f t="shared" ca="1" si="546"/>
        <v>#VALUE!</v>
      </c>
      <c r="Q1171" t="e">
        <f t="shared" ca="1" si="547"/>
        <v>#VALUE!</v>
      </c>
      <c r="R1171" t="e">
        <f t="shared" ca="1" si="548"/>
        <v>#VALUE!</v>
      </c>
      <c r="S1171" t="e">
        <f t="shared" ca="1" si="549"/>
        <v>#VALUE!</v>
      </c>
      <c r="T1171" t="e">
        <f t="shared" ca="1" si="550"/>
        <v>#VALUE!</v>
      </c>
      <c r="U1171" t="e">
        <f t="shared" ca="1" si="571"/>
        <v>#VALUE!</v>
      </c>
      <c r="V1171" t="e">
        <f t="shared" ca="1" si="572"/>
        <v>#VALUE!</v>
      </c>
      <c r="W1171" t="e">
        <f t="shared" ca="1" si="551"/>
        <v>#VALUE!</v>
      </c>
      <c r="X1171" t="e">
        <f t="shared" ca="1" si="552"/>
        <v>#VALUE!</v>
      </c>
      <c r="Y1171" t="e">
        <f t="shared" ca="1" si="553"/>
        <v>#VALUE!</v>
      </c>
      <c r="Z1171" t="e">
        <f t="shared" ca="1" si="554"/>
        <v>#VALUE!</v>
      </c>
      <c r="AA1171" t="e">
        <f t="shared" ca="1" si="555"/>
        <v>#VALUE!</v>
      </c>
      <c r="AB1171" t="e">
        <f t="shared" ca="1" si="556"/>
        <v>#VALUE!</v>
      </c>
      <c r="AC1171" t="e">
        <f t="shared" ca="1" si="557"/>
        <v>#VALUE!</v>
      </c>
      <c r="AD1171" t="e">
        <f t="shared" ca="1" si="558"/>
        <v>#VALUE!</v>
      </c>
      <c r="AE1171" t="e">
        <f t="shared" ca="1" si="559"/>
        <v>#VALUE!</v>
      </c>
      <c r="AF1171" t="e">
        <f t="shared" ca="1" si="560"/>
        <v>#VALUE!</v>
      </c>
      <c r="AG1171" t="e">
        <f t="shared" ca="1" si="561"/>
        <v>#VALUE!</v>
      </c>
      <c r="AH1171" t="e">
        <f ca="1">IF(V32="Supercritical",L1171,IF(V32="Subcritical",W1171,IF(AND(V1171=1,AG1171=1),IF(T1171&gt;=AE1171,L1171,W1171),IF(V1171=1,L1171,IF(AG1171=1,W1171,MAX($D$16,POWER((ABS(K1171)^2)/($I$5*MAX(F1171,0.1)^2),1/3)))))))</f>
        <v>#VALUE!</v>
      </c>
      <c r="AI1171" t="e">
        <f t="shared" ca="1" si="562"/>
        <v>#VALUE!</v>
      </c>
      <c r="AJ1171" t="e">
        <f t="shared" ca="1" si="563"/>
        <v>#VALUE!</v>
      </c>
      <c r="AM1171">
        <v>0</v>
      </c>
      <c r="AN1171">
        <v>0</v>
      </c>
      <c r="AO1171">
        <f t="shared" si="564"/>
        <v>0</v>
      </c>
      <c r="AP1171">
        <f t="shared" si="573"/>
        <v>0</v>
      </c>
      <c r="AQ1171" t="e">
        <f t="shared" ca="1" si="565"/>
        <v>#VALUE!</v>
      </c>
      <c r="AR1171" t="e">
        <f t="shared" ca="1" si="566"/>
        <v>#VALUE!</v>
      </c>
      <c r="AS1171" t="e">
        <f t="shared" ca="1" si="567"/>
        <v>#VALUE!</v>
      </c>
    </row>
    <row r="1172" spans="1:45" x14ac:dyDescent="0.35">
      <c r="A1172">
        <v>1023</v>
      </c>
      <c r="B1172">
        <v>1021.89</v>
      </c>
      <c r="C1172">
        <v>616080.23600000003</v>
      </c>
      <c r="D1172">
        <v>3096982.068</v>
      </c>
      <c r="E1172">
        <v>632.05100000000004</v>
      </c>
      <c r="F1172">
        <v>5.2</v>
      </c>
      <c r="G1172">
        <v>0</v>
      </c>
      <c r="H1172" t="s">
        <v>191</v>
      </c>
      <c r="I1172">
        <v>5.5E-2</v>
      </c>
      <c r="J1172">
        <f t="shared" si="568"/>
        <v>1.0009999999999764</v>
      </c>
      <c r="K1172">
        <f t="shared" si="569"/>
        <v>51</v>
      </c>
      <c r="L1172" t="e">
        <f t="shared" ca="1" si="570"/>
        <v>#VALUE!</v>
      </c>
      <c r="M1172" t="e">
        <f t="shared" ca="1" si="543"/>
        <v>#VALUE!</v>
      </c>
      <c r="N1172" t="e">
        <f t="shared" ca="1" si="544"/>
        <v>#VALUE!</v>
      </c>
      <c r="O1172" t="e">
        <f t="shared" ca="1" si="545"/>
        <v>#VALUE!</v>
      </c>
      <c r="P1172" t="e">
        <f t="shared" ca="1" si="546"/>
        <v>#VALUE!</v>
      </c>
      <c r="Q1172" t="e">
        <f t="shared" ca="1" si="547"/>
        <v>#VALUE!</v>
      </c>
      <c r="R1172" t="e">
        <f t="shared" ca="1" si="548"/>
        <v>#VALUE!</v>
      </c>
      <c r="S1172" t="e">
        <f t="shared" ca="1" si="549"/>
        <v>#VALUE!</v>
      </c>
      <c r="T1172" t="e">
        <f t="shared" ca="1" si="550"/>
        <v>#VALUE!</v>
      </c>
      <c r="U1172" t="e">
        <f t="shared" ca="1" si="571"/>
        <v>#VALUE!</v>
      </c>
      <c r="V1172" t="e">
        <f t="shared" ca="1" si="572"/>
        <v>#VALUE!</v>
      </c>
      <c r="W1172" t="e">
        <f t="shared" ca="1" si="551"/>
        <v>#VALUE!</v>
      </c>
      <c r="X1172" t="e">
        <f t="shared" ca="1" si="552"/>
        <v>#VALUE!</v>
      </c>
      <c r="Y1172" t="e">
        <f t="shared" ca="1" si="553"/>
        <v>#VALUE!</v>
      </c>
      <c r="Z1172" t="e">
        <f t="shared" ca="1" si="554"/>
        <v>#VALUE!</v>
      </c>
      <c r="AA1172" t="e">
        <f t="shared" ca="1" si="555"/>
        <v>#VALUE!</v>
      </c>
      <c r="AB1172" t="e">
        <f t="shared" ca="1" si="556"/>
        <v>#VALUE!</v>
      </c>
      <c r="AC1172" t="e">
        <f t="shared" ca="1" si="557"/>
        <v>#VALUE!</v>
      </c>
      <c r="AD1172" t="e">
        <f t="shared" ca="1" si="558"/>
        <v>#VALUE!</v>
      </c>
      <c r="AE1172" t="e">
        <f t="shared" ca="1" si="559"/>
        <v>#VALUE!</v>
      </c>
      <c r="AF1172" t="e">
        <f t="shared" ca="1" si="560"/>
        <v>#VALUE!</v>
      </c>
      <c r="AG1172" t="e">
        <f t="shared" ca="1" si="561"/>
        <v>#VALUE!</v>
      </c>
      <c r="AH1172" t="e">
        <f ca="1">IF(V32="Supercritical",L1172,IF(V32="Subcritical",W1172,IF(AND(V1172=1,AG1172=1),IF(T1172&gt;=AE1172,L1172,W1172),IF(V1172=1,L1172,IF(AG1172=1,W1172,MAX($D$16,POWER((ABS(K1172)^2)/($I$5*MAX(F1172,0.1)^2),1/3)))))))</f>
        <v>#VALUE!</v>
      </c>
      <c r="AI1172" t="e">
        <f t="shared" ca="1" si="562"/>
        <v>#VALUE!</v>
      </c>
      <c r="AJ1172" t="e">
        <f t="shared" ca="1" si="563"/>
        <v>#VALUE!</v>
      </c>
      <c r="AM1172">
        <v>0</v>
      </c>
      <c r="AN1172">
        <v>0</v>
      </c>
      <c r="AO1172">
        <f t="shared" si="564"/>
        <v>0</v>
      </c>
      <c r="AP1172">
        <f t="shared" si="573"/>
        <v>0</v>
      </c>
      <c r="AQ1172" t="e">
        <f t="shared" ca="1" si="565"/>
        <v>#VALUE!</v>
      </c>
      <c r="AR1172" t="e">
        <f t="shared" ca="1" si="566"/>
        <v>#VALUE!</v>
      </c>
      <c r="AS1172" t="e">
        <f t="shared" ca="1" si="567"/>
        <v>#VALUE!</v>
      </c>
    </row>
    <row r="1173" spans="1:45" x14ac:dyDescent="0.35">
      <c r="A1173">
        <v>1024</v>
      </c>
      <c r="B1173">
        <v>1022.89</v>
      </c>
      <c r="C1173">
        <v>616080.19400000002</v>
      </c>
      <c r="D1173">
        <v>3096981.0690000001</v>
      </c>
      <c r="E1173">
        <v>632.05050000000006</v>
      </c>
      <c r="F1173">
        <v>5.2</v>
      </c>
      <c r="G1173">
        <v>0</v>
      </c>
      <c r="H1173" t="s">
        <v>191</v>
      </c>
      <c r="I1173">
        <v>0</v>
      </c>
      <c r="J1173">
        <f t="shared" si="568"/>
        <v>1</v>
      </c>
      <c r="K1173">
        <f t="shared" si="569"/>
        <v>51</v>
      </c>
      <c r="L1173" t="e">
        <f t="shared" ca="1" si="570"/>
        <v>#VALUE!</v>
      </c>
      <c r="M1173" t="e">
        <f t="shared" ca="1" si="543"/>
        <v>#VALUE!</v>
      </c>
      <c r="N1173" t="e">
        <f t="shared" ca="1" si="544"/>
        <v>#VALUE!</v>
      </c>
      <c r="O1173" t="e">
        <f t="shared" ca="1" si="545"/>
        <v>#VALUE!</v>
      </c>
      <c r="P1173" t="e">
        <f t="shared" ca="1" si="546"/>
        <v>#VALUE!</v>
      </c>
      <c r="Q1173" t="e">
        <f t="shared" ca="1" si="547"/>
        <v>#VALUE!</v>
      </c>
      <c r="R1173" t="e">
        <f t="shared" ca="1" si="548"/>
        <v>#VALUE!</v>
      </c>
      <c r="S1173" t="e">
        <f t="shared" ca="1" si="549"/>
        <v>#VALUE!</v>
      </c>
      <c r="T1173" t="e">
        <f t="shared" ca="1" si="550"/>
        <v>#VALUE!</v>
      </c>
      <c r="U1173" t="e">
        <f t="shared" ca="1" si="571"/>
        <v>#VALUE!</v>
      </c>
      <c r="V1173" t="e">
        <f t="shared" ca="1" si="572"/>
        <v>#VALUE!</v>
      </c>
      <c r="W1173" t="e">
        <f t="shared" ca="1" si="551"/>
        <v>#VALUE!</v>
      </c>
      <c r="X1173" t="e">
        <f t="shared" ca="1" si="552"/>
        <v>#VALUE!</v>
      </c>
      <c r="Y1173" t="e">
        <f t="shared" ca="1" si="553"/>
        <v>#VALUE!</v>
      </c>
      <c r="Z1173" t="e">
        <f t="shared" ca="1" si="554"/>
        <v>#VALUE!</v>
      </c>
      <c r="AA1173" t="e">
        <f t="shared" ca="1" si="555"/>
        <v>#VALUE!</v>
      </c>
      <c r="AB1173" t="e">
        <f t="shared" ca="1" si="556"/>
        <v>#VALUE!</v>
      </c>
      <c r="AC1173" t="e">
        <f t="shared" ca="1" si="557"/>
        <v>#VALUE!</v>
      </c>
      <c r="AD1173" t="e">
        <f t="shared" ca="1" si="558"/>
        <v>#VALUE!</v>
      </c>
      <c r="AE1173" t="e">
        <f t="shared" ca="1" si="559"/>
        <v>#VALUE!</v>
      </c>
      <c r="AF1173" t="e">
        <f t="shared" ca="1" si="560"/>
        <v>#VALUE!</v>
      </c>
      <c r="AG1173" t="e">
        <f t="shared" ca="1" si="561"/>
        <v>#VALUE!</v>
      </c>
      <c r="AH1173" t="e">
        <f ca="1">IF(V32="Supercritical",L1173,IF(V32="Subcritical",W1173,IF(AND(V1173=1,AG1173=1),IF(T1173&gt;=AE1173,L1173,W1173),IF(V1173=1,L1173,IF(AG1173=1,W1173,MAX($D$16,POWER((ABS(K1173)^2)/($I$5*MAX(F1173,0.1)^2),1/3)))))))</f>
        <v>#VALUE!</v>
      </c>
      <c r="AI1173" t="e">
        <f t="shared" ca="1" si="562"/>
        <v>#VALUE!</v>
      </c>
      <c r="AJ1173" t="e">
        <f t="shared" ca="1" si="563"/>
        <v>#VALUE!</v>
      </c>
      <c r="AM1173">
        <v>0</v>
      </c>
      <c r="AN1173">
        <v>0</v>
      </c>
      <c r="AO1173">
        <f t="shared" si="564"/>
        <v>0</v>
      </c>
      <c r="AP1173">
        <f t="shared" si="573"/>
        <v>0</v>
      </c>
      <c r="AQ1173" t="e">
        <f t="shared" ca="1" si="565"/>
        <v>#VALUE!</v>
      </c>
      <c r="AR1173" t="e">
        <f t="shared" ca="1" si="566"/>
        <v>#VALUE!</v>
      </c>
      <c r="AS1173" t="e">
        <f t="shared" ca="1" si="567"/>
        <v>#VALUE!</v>
      </c>
    </row>
    <row r="1174" spans="1:45" x14ac:dyDescent="0.35">
      <c r="A1174">
        <v>1025</v>
      </c>
      <c r="B1174">
        <v>1023.889</v>
      </c>
      <c r="C1174">
        <v>616080.152</v>
      </c>
      <c r="D1174">
        <v>3096980.07</v>
      </c>
      <c r="E1174">
        <v>632.04999999999995</v>
      </c>
      <c r="F1174">
        <v>5.2</v>
      </c>
      <c r="G1174">
        <v>0</v>
      </c>
      <c r="H1174" t="s">
        <v>191</v>
      </c>
      <c r="I1174">
        <v>0</v>
      </c>
      <c r="J1174">
        <f t="shared" si="568"/>
        <v>0.99900000000002365</v>
      </c>
      <c r="K1174">
        <f t="shared" si="569"/>
        <v>51</v>
      </c>
      <c r="L1174" t="e">
        <f t="shared" ca="1" si="570"/>
        <v>#VALUE!</v>
      </c>
      <c r="M1174" t="e">
        <f t="shared" ref="M1174:M1237" ca="1" si="574">((F1174)+(G1174)*(L1174))*(L1174)</f>
        <v>#VALUE!</v>
      </c>
      <c r="N1174" t="e">
        <f t="shared" ref="N1174:N1237" ca="1" si="575">(((F1174)+(G1174)*(L1174))*(L1174))/MAX((F1174)+2*(L1174)*SQRT(1+(G1174)^2),0.000001)</f>
        <v>#VALUE!</v>
      </c>
      <c r="O1174" t="e">
        <f t="shared" ref="O1174:O1237" ca="1" si="576">ABS(K1174)/MAX(((F1174)+(G1174)*(L1174))*(L1174),0.000001)</f>
        <v>#VALUE!</v>
      </c>
      <c r="P1174" t="e">
        <f t="shared" ref="P1174:P1237" ca="1" si="577">E1174+L1174</f>
        <v>#VALUE!</v>
      </c>
      <c r="Q1174" t="e">
        <f t="shared" ref="Q1174:Q1237" ca="1" si="578">P1174+((ABS(K1174)/MAX(((F1174)+(G1174)*(L1174))*(L1174),0.000001))^2)/(2*$I$5)</f>
        <v>#VALUE!</v>
      </c>
      <c r="R1174" t="e">
        <f t="shared" ref="R1174:R1237" ca="1" si="579">((ABS(K1174)*$D$6)/(MAX(((F1174)+(G1174)*(L1174))*(L1174),0.000001)*MAX(((((F1174)+(G1174)*(L1174))*(L1174))/MAX((F1174)+2*(L1174)*SQRT(1+(G1174)^2),0.000001))^(2/3),0.000001)))^2</f>
        <v>#VALUE!</v>
      </c>
      <c r="S1174" t="e">
        <f t="shared" ref="S1174:S1237" ca="1" si="580">ABS(ABS(K1174)/MAX(((F1174)+(G1174)*(L1174))*(L1174),0.000001))/SQRT($I$5*MAX((((F1174)+(G1174)*(L1174))*(L1174))/MAX((F1174)+2*(G1174)*(L1174),0.000001),0.000001))</f>
        <v>#VALUE!</v>
      </c>
      <c r="T1174" t="e">
        <f t="shared" ref="T1174:T1237" ca="1" si="581">((F1174)*(L1174)^2)/2+(G1174)*(L1174)^3/3+(ABS(K1174)^2)/($I$5*MAX(((F1174)+(G1174)*(L1174))*(L1174),0.000001))</f>
        <v>#VALUE!</v>
      </c>
      <c r="U1174" t="e">
        <f t="shared" ca="1" si="571"/>
        <v>#VALUE!</v>
      </c>
      <c r="V1174" t="e">
        <f t="shared" ca="1" si="572"/>
        <v>#VALUE!</v>
      </c>
      <c r="W1174" t="e">
        <f t="shared" ref="W1174:W1237" ca="1" si="582">IF($D$20=0,W1175,IF(AG1175=0,W1175,IF(W1174=0,W1175,IF(ABS(AF1174)&gt;$D$19,MAX($D$16,W1174+((AF1174)*$D$18*IF((AD1174)&lt;1,1,-1))),W1174))))</f>
        <v>#VALUE!</v>
      </c>
      <c r="X1174" t="e">
        <f t="shared" ref="X1174:X1237" ca="1" si="583">((F1174)+(G1174)*(W1174))*(W1174)</f>
        <v>#VALUE!</v>
      </c>
      <c r="Y1174" t="e">
        <f t="shared" ref="Y1174:Y1237" ca="1" si="584">(((F1174)+(G1174)*(W1174))*(W1174))/MAX((F1174)+2*(W1174)*SQRT(1+(G1174)^2),0.000001)</f>
        <v>#VALUE!</v>
      </c>
      <c r="Z1174" t="e">
        <f t="shared" ref="Z1174:Z1237" ca="1" si="585">ABS(K1174)/MAX(((F1174)+(G1174)*(W1174))*(W1174),0.000001)</f>
        <v>#VALUE!</v>
      </c>
      <c r="AA1174" t="e">
        <f t="shared" ref="AA1174:AA1237" ca="1" si="586">E1174+W1174</f>
        <v>#VALUE!</v>
      </c>
      <c r="AB1174" t="e">
        <f t="shared" ref="AB1174:AB1237" ca="1" si="587">AA1174+((ABS(K1174)/MAX(((F1174)+(G1174)*(W1174))*(W1174),0.000001))^2)/(2*$I$5)</f>
        <v>#VALUE!</v>
      </c>
      <c r="AC1174" t="e">
        <f t="shared" ref="AC1174:AC1237" ca="1" si="588">((ABS(K1174)*$D$6)/(MAX(((F1174)+(G1174)*(W1174))*(W1174),0.000001)*MAX(((((F1174)+(G1174)*(W1174))*(W1174))/MAX((F1174)+2*(W1174)*SQRT(1+(G1174)^2),0.000001))^(2/3),0.000001)))^2</f>
        <v>#VALUE!</v>
      </c>
      <c r="AD1174" t="e">
        <f t="shared" ref="AD1174:AD1237" ca="1" si="589">ABS(ABS(K1174)/MAX(((F1174)+(G1174)*(W1174))*(W1174),0.000001))/SQRT($I$5*MAX((((F1174)+(G1174)*(W1174))*(W1174))/MAX((F1174)+2*(G1174)*(W1174),0.000001),0.000001))</f>
        <v>#VALUE!</v>
      </c>
      <c r="AE1174" t="e">
        <f t="shared" ref="AE1174:AE1237" ca="1" si="590">((F1174)*(W1174)^2)/2+(G1174)*(W1174)^3/3+(ABS(K1174)^2)/($I$5*MAX(((F1174)+(G1174)*(W1174))*(W1174),0.000001))</f>
        <v>#VALUE!</v>
      </c>
      <c r="AF1174" t="e">
        <f t="shared" ref="AF1174:AF1237" ca="1" si="591">AB1175+(((AC1174+AC1175)/2)*J1175)+(IF(Z1174&gt;Z1175,$D$8*((Z1174^2-Z1175^2)/(2*$I$5)),$D$9*((Z1175^2-Z1174^2)/(2*$I$5)))+($D$10*(ABS(I1175)/90)*(MAX(Z1174^2,Z1175^2)/(2*$I$5))))-AB1174</f>
        <v>#VALUE!</v>
      </c>
      <c r="AG1174" t="e">
        <f t="shared" ref="AG1174:AG1237" ca="1" si="592">IF(ABS(AF1174)&lt;$D$19,1,0)</f>
        <v>#VALUE!</v>
      </c>
      <c r="AH1174" t="e">
        <f ca="1">IF(V32="Supercritical",L1174,IF(V32="Subcritical",W1174,IF(AND(V1174=1,AG1174=1),IF(T1174&gt;=AE1174,L1174,W1174),IF(V1174=1,L1174,IF(AG1174=1,W1174,MAX($D$16,POWER((ABS(K1174)^2)/($I$5*MAX(F1174,0.1)^2),1/3)))))))</f>
        <v>#VALUE!</v>
      </c>
      <c r="AI1174" t="e">
        <f t="shared" ref="AI1174:AI1237" ca="1" si="593">E1174+AH1174</f>
        <v>#VALUE!</v>
      </c>
      <c r="AJ1174" t="e">
        <f t="shared" ref="AJ1174:AJ1237" ca="1" si="594">AI1174+((ABS(K1174)/MAX(((F1174)+(G1174)*(AH1174))*(AH1174),0.000001))^2)/(2*$I$5)</f>
        <v>#VALUE!</v>
      </c>
      <c r="AM1174">
        <v>0</v>
      </c>
      <c r="AN1174">
        <v>0</v>
      </c>
      <c r="AO1174">
        <f t="shared" ref="AO1174:AO1237" si="595">AM1174+AN1174</f>
        <v>0</v>
      </c>
      <c r="AP1174">
        <f t="shared" si="573"/>
        <v>0</v>
      </c>
      <c r="AQ1174" t="e">
        <f t="shared" ref="AQ1174:AQ1237" ca="1" si="596">ABS(ABS(K1174)/MAX(((F1174)+(G1174)*(AH1174))*(AH1174),0.000001))/SQRT($I$5*MAX((((F1174)+(G1174)*(AH1174))*(AH1174))/MAX((F1174)+2*(G1174)*(AH1174),0.000001),0.000001))</f>
        <v>#VALUE!</v>
      </c>
      <c r="AR1174" t="e">
        <f t="shared" ref="AR1174:AR1237" ca="1" si="597">IF(AQ1174&lt;1,"Subcritical","Supercritical")</f>
        <v>#VALUE!</v>
      </c>
      <c r="AS1174" t="e">
        <f t="shared" ref="AS1174:AS1237" ca="1" si="598">((ABS(K1174)*$D$6)/(MAX(((F1174)+(G1174)*(AH1174))*(AH1174),0.000001)*MAX(((((F1174)+(G1174)*(AH1174))*(AH1174))/MAX((F1174)+2*(AH1174)*SQRT(1+(G1174)^2),0.000001))^(2/3),0.000001)))^2</f>
        <v>#VALUE!</v>
      </c>
    </row>
    <row r="1175" spans="1:45" x14ac:dyDescent="0.35">
      <c r="A1175">
        <v>1026</v>
      </c>
      <c r="B1175">
        <v>1024.8889999999999</v>
      </c>
      <c r="C1175">
        <v>616080.11</v>
      </c>
      <c r="D1175">
        <v>3096979.071</v>
      </c>
      <c r="E1175">
        <v>632.04949999999997</v>
      </c>
      <c r="F1175">
        <v>5.2</v>
      </c>
      <c r="G1175">
        <v>0</v>
      </c>
      <c r="H1175" t="s">
        <v>191</v>
      </c>
      <c r="I1175">
        <v>5.7000000000000002E-2</v>
      </c>
      <c r="J1175">
        <f t="shared" ref="J1175:J1238" si="599">B1175-B1174</f>
        <v>0.99999999999988631</v>
      </c>
      <c r="K1175">
        <f t="shared" ref="K1175:K1238" si="600">MAX(0,K1174-AO1174)</f>
        <v>51</v>
      </c>
      <c r="L1175" t="e">
        <f t="shared" ref="L1175:L1238" ca="1" si="601">IF($D$20=0,L1174,IF(V1174=0,L1174,IF(L1175=0,L1174,IF(ABS(U1175)&gt;$D$19,MAX($D$16,L1175+((U1175)*$D$18*IF((S1175)&lt;1,1,-1))),L1175))))</f>
        <v>#VALUE!</v>
      </c>
      <c r="M1175" t="e">
        <f t="shared" ca="1" si="574"/>
        <v>#VALUE!</v>
      </c>
      <c r="N1175" t="e">
        <f t="shared" ca="1" si="575"/>
        <v>#VALUE!</v>
      </c>
      <c r="O1175" t="e">
        <f t="shared" ca="1" si="576"/>
        <v>#VALUE!</v>
      </c>
      <c r="P1175" t="e">
        <f t="shared" ca="1" si="577"/>
        <v>#VALUE!</v>
      </c>
      <c r="Q1175" t="e">
        <f t="shared" ca="1" si="578"/>
        <v>#VALUE!</v>
      </c>
      <c r="R1175" t="e">
        <f t="shared" ca="1" si="579"/>
        <v>#VALUE!</v>
      </c>
      <c r="S1175" t="e">
        <f t="shared" ca="1" si="580"/>
        <v>#VALUE!</v>
      </c>
      <c r="T1175" t="e">
        <f t="shared" ca="1" si="581"/>
        <v>#VALUE!</v>
      </c>
      <c r="U1175" t="e">
        <f t="shared" ref="U1175:U1238" ca="1" si="602">Q1174-(((R1174+R1175)/2)*J1175)-(IF(O1174&gt;O1175,$D$8*((O1174^2-O1175^2)/(2*$I$5)),$D$9*((O1175^2-O1174^2)/(2*$I$5)))+($D$10*(ABS(I1175)/90)*(MAX(O1174^2,O1175^2)/(2*$I$5))))-Q1175</f>
        <v>#VALUE!</v>
      </c>
      <c r="V1175" t="e">
        <f t="shared" ref="V1175:V1238" ca="1" si="603">IF(ABS(U1175)&lt;$D$19,1,0)</f>
        <v>#VALUE!</v>
      </c>
      <c r="W1175" t="e">
        <f t="shared" ca="1" si="582"/>
        <v>#VALUE!</v>
      </c>
      <c r="X1175" t="e">
        <f t="shared" ca="1" si="583"/>
        <v>#VALUE!</v>
      </c>
      <c r="Y1175" t="e">
        <f t="shared" ca="1" si="584"/>
        <v>#VALUE!</v>
      </c>
      <c r="Z1175" t="e">
        <f t="shared" ca="1" si="585"/>
        <v>#VALUE!</v>
      </c>
      <c r="AA1175" t="e">
        <f t="shared" ca="1" si="586"/>
        <v>#VALUE!</v>
      </c>
      <c r="AB1175" t="e">
        <f t="shared" ca="1" si="587"/>
        <v>#VALUE!</v>
      </c>
      <c r="AC1175" t="e">
        <f t="shared" ca="1" si="588"/>
        <v>#VALUE!</v>
      </c>
      <c r="AD1175" t="e">
        <f t="shared" ca="1" si="589"/>
        <v>#VALUE!</v>
      </c>
      <c r="AE1175" t="e">
        <f t="shared" ca="1" si="590"/>
        <v>#VALUE!</v>
      </c>
      <c r="AF1175" t="e">
        <f t="shared" ca="1" si="591"/>
        <v>#VALUE!</v>
      </c>
      <c r="AG1175" t="e">
        <f t="shared" ca="1" si="592"/>
        <v>#VALUE!</v>
      </c>
      <c r="AH1175" t="e">
        <f ca="1">IF(V32="Supercritical",L1175,IF(V32="Subcritical",W1175,IF(AND(V1175=1,AG1175=1),IF(T1175&gt;=AE1175,L1175,W1175),IF(V1175=1,L1175,IF(AG1175=1,W1175,MAX($D$16,POWER((ABS(K1175)^2)/($I$5*MAX(F1175,0.1)^2),1/3)))))))</f>
        <v>#VALUE!</v>
      </c>
      <c r="AI1175" t="e">
        <f t="shared" ca="1" si="593"/>
        <v>#VALUE!</v>
      </c>
      <c r="AJ1175" t="e">
        <f t="shared" ca="1" si="594"/>
        <v>#VALUE!</v>
      </c>
      <c r="AM1175">
        <v>0</v>
      </c>
      <c r="AN1175">
        <v>0</v>
      </c>
      <c r="AO1175">
        <f t="shared" si="595"/>
        <v>0</v>
      </c>
      <c r="AP1175">
        <f t="shared" ref="AP1175:AP1238" si="604">AP1174+AO1175</f>
        <v>0</v>
      </c>
      <c r="AQ1175" t="e">
        <f t="shared" ca="1" si="596"/>
        <v>#VALUE!</v>
      </c>
      <c r="AR1175" t="e">
        <f t="shared" ca="1" si="597"/>
        <v>#VALUE!</v>
      </c>
      <c r="AS1175" t="e">
        <f t="shared" ca="1" si="598"/>
        <v>#VALUE!</v>
      </c>
    </row>
    <row r="1176" spans="1:45" x14ac:dyDescent="0.35">
      <c r="A1176">
        <v>1027</v>
      </c>
      <c r="B1176">
        <v>1025.8889999999999</v>
      </c>
      <c r="C1176">
        <v>616080.06700000004</v>
      </c>
      <c r="D1176">
        <v>3096978.0720000002</v>
      </c>
      <c r="E1176">
        <v>632.04899999999998</v>
      </c>
      <c r="F1176">
        <v>5.2</v>
      </c>
      <c r="G1176">
        <v>0</v>
      </c>
      <c r="H1176" t="s">
        <v>191</v>
      </c>
      <c r="I1176">
        <v>5.7000000000000002E-2</v>
      </c>
      <c r="J1176">
        <f t="shared" si="599"/>
        <v>1</v>
      </c>
      <c r="K1176">
        <f t="shared" si="600"/>
        <v>51</v>
      </c>
      <c r="L1176" t="e">
        <f t="shared" ca="1" si="601"/>
        <v>#VALUE!</v>
      </c>
      <c r="M1176" t="e">
        <f t="shared" ca="1" si="574"/>
        <v>#VALUE!</v>
      </c>
      <c r="N1176" t="e">
        <f t="shared" ca="1" si="575"/>
        <v>#VALUE!</v>
      </c>
      <c r="O1176" t="e">
        <f t="shared" ca="1" si="576"/>
        <v>#VALUE!</v>
      </c>
      <c r="P1176" t="e">
        <f t="shared" ca="1" si="577"/>
        <v>#VALUE!</v>
      </c>
      <c r="Q1176" t="e">
        <f t="shared" ca="1" si="578"/>
        <v>#VALUE!</v>
      </c>
      <c r="R1176" t="e">
        <f t="shared" ca="1" si="579"/>
        <v>#VALUE!</v>
      </c>
      <c r="S1176" t="e">
        <f t="shared" ca="1" si="580"/>
        <v>#VALUE!</v>
      </c>
      <c r="T1176" t="e">
        <f t="shared" ca="1" si="581"/>
        <v>#VALUE!</v>
      </c>
      <c r="U1176" t="e">
        <f t="shared" ca="1" si="602"/>
        <v>#VALUE!</v>
      </c>
      <c r="V1176" t="e">
        <f t="shared" ca="1" si="603"/>
        <v>#VALUE!</v>
      </c>
      <c r="W1176" t="e">
        <f t="shared" ca="1" si="582"/>
        <v>#VALUE!</v>
      </c>
      <c r="X1176" t="e">
        <f t="shared" ca="1" si="583"/>
        <v>#VALUE!</v>
      </c>
      <c r="Y1176" t="e">
        <f t="shared" ca="1" si="584"/>
        <v>#VALUE!</v>
      </c>
      <c r="Z1176" t="e">
        <f t="shared" ca="1" si="585"/>
        <v>#VALUE!</v>
      </c>
      <c r="AA1176" t="e">
        <f t="shared" ca="1" si="586"/>
        <v>#VALUE!</v>
      </c>
      <c r="AB1176" t="e">
        <f t="shared" ca="1" si="587"/>
        <v>#VALUE!</v>
      </c>
      <c r="AC1176" t="e">
        <f t="shared" ca="1" si="588"/>
        <v>#VALUE!</v>
      </c>
      <c r="AD1176" t="e">
        <f t="shared" ca="1" si="589"/>
        <v>#VALUE!</v>
      </c>
      <c r="AE1176" t="e">
        <f t="shared" ca="1" si="590"/>
        <v>#VALUE!</v>
      </c>
      <c r="AF1176" t="e">
        <f t="shared" ca="1" si="591"/>
        <v>#VALUE!</v>
      </c>
      <c r="AG1176" t="e">
        <f t="shared" ca="1" si="592"/>
        <v>#VALUE!</v>
      </c>
      <c r="AH1176" t="e">
        <f ca="1">IF(V32="Supercritical",L1176,IF(V32="Subcritical",W1176,IF(AND(V1176=1,AG1176=1),IF(T1176&gt;=AE1176,L1176,W1176),IF(V1176=1,L1176,IF(AG1176=1,W1176,MAX($D$16,POWER((ABS(K1176)^2)/($I$5*MAX(F1176,0.1)^2),1/3)))))))</f>
        <v>#VALUE!</v>
      </c>
      <c r="AI1176" t="e">
        <f t="shared" ca="1" si="593"/>
        <v>#VALUE!</v>
      </c>
      <c r="AJ1176" t="e">
        <f t="shared" ca="1" si="594"/>
        <v>#VALUE!</v>
      </c>
      <c r="AM1176">
        <v>0</v>
      </c>
      <c r="AN1176">
        <v>0</v>
      </c>
      <c r="AO1176">
        <f t="shared" si="595"/>
        <v>0</v>
      </c>
      <c r="AP1176">
        <f t="shared" si="604"/>
        <v>0</v>
      </c>
      <c r="AQ1176" t="e">
        <f t="shared" ca="1" si="596"/>
        <v>#VALUE!</v>
      </c>
      <c r="AR1176" t="e">
        <f t="shared" ca="1" si="597"/>
        <v>#VALUE!</v>
      </c>
      <c r="AS1176" t="e">
        <f t="shared" ca="1" si="598"/>
        <v>#VALUE!</v>
      </c>
    </row>
    <row r="1177" spans="1:45" x14ac:dyDescent="0.35">
      <c r="A1177">
        <v>1028</v>
      </c>
      <c r="B1177">
        <v>1026.8889999999999</v>
      </c>
      <c r="C1177">
        <v>616080.02500000002</v>
      </c>
      <c r="D1177">
        <v>3096977.0729999999</v>
      </c>
      <c r="E1177">
        <v>632.04849999999999</v>
      </c>
      <c r="F1177">
        <v>5.2</v>
      </c>
      <c r="G1177">
        <v>0</v>
      </c>
      <c r="H1177" t="s">
        <v>191</v>
      </c>
      <c r="I1177">
        <v>0</v>
      </c>
      <c r="J1177">
        <f t="shared" si="599"/>
        <v>1</v>
      </c>
      <c r="K1177">
        <f t="shared" si="600"/>
        <v>51</v>
      </c>
      <c r="L1177" t="e">
        <f t="shared" ca="1" si="601"/>
        <v>#VALUE!</v>
      </c>
      <c r="M1177" t="e">
        <f t="shared" ca="1" si="574"/>
        <v>#VALUE!</v>
      </c>
      <c r="N1177" t="e">
        <f t="shared" ca="1" si="575"/>
        <v>#VALUE!</v>
      </c>
      <c r="O1177" t="e">
        <f t="shared" ca="1" si="576"/>
        <v>#VALUE!</v>
      </c>
      <c r="P1177" t="e">
        <f t="shared" ca="1" si="577"/>
        <v>#VALUE!</v>
      </c>
      <c r="Q1177" t="e">
        <f t="shared" ca="1" si="578"/>
        <v>#VALUE!</v>
      </c>
      <c r="R1177" t="e">
        <f t="shared" ca="1" si="579"/>
        <v>#VALUE!</v>
      </c>
      <c r="S1177" t="e">
        <f t="shared" ca="1" si="580"/>
        <v>#VALUE!</v>
      </c>
      <c r="T1177" t="e">
        <f t="shared" ca="1" si="581"/>
        <v>#VALUE!</v>
      </c>
      <c r="U1177" t="e">
        <f t="shared" ca="1" si="602"/>
        <v>#VALUE!</v>
      </c>
      <c r="V1177" t="e">
        <f t="shared" ca="1" si="603"/>
        <v>#VALUE!</v>
      </c>
      <c r="W1177" t="e">
        <f t="shared" ca="1" si="582"/>
        <v>#VALUE!</v>
      </c>
      <c r="X1177" t="e">
        <f t="shared" ca="1" si="583"/>
        <v>#VALUE!</v>
      </c>
      <c r="Y1177" t="e">
        <f t="shared" ca="1" si="584"/>
        <v>#VALUE!</v>
      </c>
      <c r="Z1177" t="e">
        <f t="shared" ca="1" si="585"/>
        <v>#VALUE!</v>
      </c>
      <c r="AA1177" t="e">
        <f t="shared" ca="1" si="586"/>
        <v>#VALUE!</v>
      </c>
      <c r="AB1177" t="e">
        <f t="shared" ca="1" si="587"/>
        <v>#VALUE!</v>
      </c>
      <c r="AC1177" t="e">
        <f t="shared" ca="1" si="588"/>
        <v>#VALUE!</v>
      </c>
      <c r="AD1177" t="e">
        <f t="shared" ca="1" si="589"/>
        <v>#VALUE!</v>
      </c>
      <c r="AE1177" t="e">
        <f t="shared" ca="1" si="590"/>
        <v>#VALUE!</v>
      </c>
      <c r="AF1177" t="e">
        <f t="shared" ca="1" si="591"/>
        <v>#VALUE!</v>
      </c>
      <c r="AG1177" t="e">
        <f t="shared" ca="1" si="592"/>
        <v>#VALUE!</v>
      </c>
      <c r="AH1177" t="e">
        <f ca="1">IF(V32="Supercritical",L1177,IF(V32="Subcritical",W1177,IF(AND(V1177=1,AG1177=1),IF(T1177&gt;=AE1177,L1177,W1177),IF(V1177=1,L1177,IF(AG1177=1,W1177,MAX($D$16,POWER((ABS(K1177)^2)/($I$5*MAX(F1177,0.1)^2),1/3)))))))</f>
        <v>#VALUE!</v>
      </c>
      <c r="AI1177" t="e">
        <f t="shared" ca="1" si="593"/>
        <v>#VALUE!</v>
      </c>
      <c r="AJ1177" t="e">
        <f t="shared" ca="1" si="594"/>
        <v>#VALUE!</v>
      </c>
      <c r="AM1177">
        <v>0</v>
      </c>
      <c r="AN1177">
        <v>0</v>
      </c>
      <c r="AO1177">
        <f t="shared" si="595"/>
        <v>0</v>
      </c>
      <c r="AP1177">
        <f t="shared" si="604"/>
        <v>0</v>
      </c>
      <c r="AQ1177" t="e">
        <f t="shared" ca="1" si="596"/>
        <v>#VALUE!</v>
      </c>
      <c r="AR1177" t="e">
        <f t="shared" ca="1" si="597"/>
        <v>#VALUE!</v>
      </c>
      <c r="AS1177" t="e">
        <f t="shared" ca="1" si="598"/>
        <v>#VALUE!</v>
      </c>
    </row>
    <row r="1178" spans="1:45" x14ac:dyDescent="0.35">
      <c r="A1178">
        <v>1029</v>
      </c>
      <c r="B1178">
        <v>1027.8889999999999</v>
      </c>
      <c r="C1178">
        <v>616079.98300000001</v>
      </c>
      <c r="D1178">
        <v>3096976.074</v>
      </c>
      <c r="E1178">
        <v>632.048</v>
      </c>
      <c r="F1178">
        <v>5.2</v>
      </c>
      <c r="G1178">
        <v>0</v>
      </c>
      <c r="H1178" t="s">
        <v>191</v>
      </c>
      <c r="I1178">
        <v>0</v>
      </c>
      <c r="J1178">
        <f t="shared" si="599"/>
        <v>1</v>
      </c>
      <c r="K1178">
        <f t="shared" si="600"/>
        <v>51</v>
      </c>
      <c r="L1178" t="e">
        <f t="shared" ca="1" si="601"/>
        <v>#VALUE!</v>
      </c>
      <c r="M1178" t="e">
        <f t="shared" ca="1" si="574"/>
        <v>#VALUE!</v>
      </c>
      <c r="N1178" t="e">
        <f t="shared" ca="1" si="575"/>
        <v>#VALUE!</v>
      </c>
      <c r="O1178" t="e">
        <f t="shared" ca="1" si="576"/>
        <v>#VALUE!</v>
      </c>
      <c r="P1178" t="e">
        <f t="shared" ca="1" si="577"/>
        <v>#VALUE!</v>
      </c>
      <c r="Q1178" t="e">
        <f t="shared" ca="1" si="578"/>
        <v>#VALUE!</v>
      </c>
      <c r="R1178" t="e">
        <f t="shared" ca="1" si="579"/>
        <v>#VALUE!</v>
      </c>
      <c r="S1178" t="e">
        <f t="shared" ca="1" si="580"/>
        <v>#VALUE!</v>
      </c>
      <c r="T1178" t="e">
        <f t="shared" ca="1" si="581"/>
        <v>#VALUE!</v>
      </c>
      <c r="U1178" t="e">
        <f t="shared" ca="1" si="602"/>
        <v>#VALUE!</v>
      </c>
      <c r="V1178" t="e">
        <f t="shared" ca="1" si="603"/>
        <v>#VALUE!</v>
      </c>
      <c r="W1178" t="e">
        <f t="shared" ca="1" si="582"/>
        <v>#VALUE!</v>
      </c>
      <c r="X1178" t="e">
        <f t="shared" ca="1" si="583"/>
        <v>#VALUE!</v>
      </c>
      <c r="Y1178" t="e">
        <f t="shared" ca="1" si="584"/>
        <v>#VALUE!</v>
      </c>
      <c r="Z1178" t="e">
        <f t="shared" ca="1" si="585"/>
        <v>#VALUE!</v>
      </c>
      <c r="AA1178" t="e">
        <f t="shared" ca="1" si="586"/>
        <v>#VALUE!</v>
      </c>
      <c r="AB1178" t="e">
        <f t="shared" ca="1" si="587"/>
        <v>#VALUE!</v>
      </c>
      <c r="AC1178" t="e">
        <f t="shared" ca="1" si="588"/>
        <v>#VALUE!</v>
      </c>
      <c r="AD1178" t="e">
        <f t="shared" ca="1" si="589"/>
        <v>#VALUE!</v>
      </c>
      <c r="AE1178" t="e">
        <f t="shared" ca="1" si="590"/>
        <v>#VALUE!</v>
      </c>
      <c r="AF1178" t="e">
        <f t="shared" ca="1" si="591"/>
        <v>#VALUE!</v>
      </c>
      <c r="AG1178" t="e">
        <f t="shared" ca="1" si="592"/>
        <v>#VALUE!</v>
      </c>
      <c r="AH1178" t="e">
        <f ca="1">IF(V32="Supercritical",L1178,IF(V32="Subcritical",W1178,IF(AND(V1178=1,AG1178=1),IF(T1178&gt;=AE1178,L1178,W1178),IF(V1178=1,L1178,IF(AG1178=1,W1178,MAX($D$16,POWER((ABS(K1178)^2)/($I$5*MAX(F1178,0.1)^2),1/3)))))))</f>
        <v>#VALUE!</v>
      </c>
      <c r="AI1178" t="e">
        <f t="shared" ca="1" si="593"/>
        <v>#VALUE!</v>
      </c>
      <c r="AJ1178" t="e">
        <f t="shared" ca="1" si="594"/>
        <v>#VALUE!</v>
      </c>
      <c r="AM1178">
        <v>0</v>
      </c>
      <c r="AN1178">
        <v>0</v>
      </c>
      <c r="AO1178">
        <f t="shared" si="595"/>
        <v>0</v>
      </c>
      <c r="AP1178">
        <f t="shared" si="604"/>
        <v>0</v>
      </c>
      <c r="AQ1178" t="e">
        <f t="shared" ca="1" si="596"/>
        <v>#VALUE!</v>
      </c>
      <c r="AR1178" t="e">
        <f t="shared" ca="1" si="597"/>
        <v>#VALUE!</v>
      </c>
      <c r="AS1178" t="e">
        <f t="shared" ca="1" si="598"/>
        <v>#VALUE!</v>
      </c>
    </row>
    <row r="1179" spans="1:45" x14ac:dyDescent="0.35">
      <c r="A1179">
        <v>1030</v>
      </c>
      <c r="B1179">
        <v>1028.8889999999999</v>
      </c>
      <c r="C1179">
        <v>616079.94099999999</v>
      </c>
      <c r="D1179">
        <v>3096975.0750000002</v>
      </c>
      <c r="E1179">
        <v>632.04750000000001</v>
      </c>
      <c r="F1179">
        <v>5.2</v>
      </c>
      <c r="G1179">
        <v>0</v>
      </c>
      <c r="H1179" t="s">
        <v>191</v>
      </c>
      <c r="I1179">
        <v>5.7000000000000002E-2</v>
      </c>
      <c r="J1179">
        <f t="shared" si="599"/>
        <v>1</v>
      </c>
      <c r="K1179">
        <f t="shared" si="600"/>
        <v>51</v>
      </c>
      <c r="L1179" t="e">
        <f t="shared" ca="1" si="601"/>
        <v>#VALUE!</v>
      </c>
      <c r="M1179" t="e">
        <f t="shared" ca="1" si="574"/>
        <v>#VALUE!</v>
      </c>
      <c r="N1179" t="e">
        <f t="shared" ca="1" si="575"/>
        <v>#VALUE!</v>
      </c>
      <c r="O1179" t="e">
        <f t="shared" ca="1" si="576"/>
        <v>#VALUE!</v>
      </c>
      <c r="P1179" t="e">
        <f t="shared" ca="1" si="577"/>
        <v>#VALUE!</v>
      </c>
      <c r="Q1179" t="e">
        <f t="shared" ca="1" si="578"/>
        <v>#VALUE!</v>
      </c>
      <c r="R1179" t="e">
        <f t="shared" ca="1" si="579"/>
        <v>#VALUE!</v>
      </c>
      <c r="S1179" t="e">
        <f t="shared" ca="1" si="580"/>
        <v>#VALUE!</v>
      </c>
      <c r="T1179" t="e">
        <f t="shared" ca="1" si="581"/>
        <v>#VALUE!</v>
      </c>
      <c r="U1179" t="e">
        <f t="shared" ca="1" si="602"/>
        <v>#VALUE!</v>
      </c>
      <c r="V1179" t="e">
        <f t="shared" ca="1" si="603"/>
        <v>#VALUE!</v>
      </c>
      <c r="W1179" t="e">
        <f t="shared" ca="1" si="582"/>
        <v>#VALUE!</v>
      </c>
      <c r="X1179" t="e">
        <f t="shared" ca="1" si="583"/>
        <v>#VALUE!</v>
      </c>
      <c r="Y1179" t="e">
        <f t="shared" ca="1" si="584"/>
        <v>#VALUE!</v>
      </c>
      <c r="Z1179" t="e">
        <f t="shared" ca="1" si="585"/>
        <v>#VALUE!</v>
      </c>
      <c r="AA1179" t="e">
        <f t="shared" ca="1" si="586"/>
        <v>#VALUE!</v>
      </c>
      <c r="AB1179" t="e">
        <f t="shared" ca="1" si="587"/>
        <v>#VALUE!</v>
      </c>
      <c r="AC1179" t="e">
        <f t="shared" ca="1" si="588"/>
        <v>#VALUE!</v>
      </c>
      <c r="AD1179" t="e">
        <f t="shared" ca="1" si="589"/>
        <v>#VALUE!</v>
      </c>
      <c r="AE1179" t="e">
        <f t="shared" ca="1" si="590"/>
        <v>#VALUE!</v>
      </c>
      <c r="AF1179" t="e">
        <f t="shared" ca="1" si="591"/>
        <v>#VALUE!</v>
      </c>
      <c r="AG1179" t="e">
        <f t="shared" ca="1" si="592"/>
        <v>#VALUE!</v>
      </c>
      <c r="AH1179" t="e">
        <f ca="1">IF(V32="Supercritical",L1179,IF(V32="Subcritical",W1179,IF(AND(V1179=1,AG1179=1),IF(T1179&gt;=AE1179,L1179,W1179),IF(V1179=1,L1179,IF(AG1179=1,W1179,MAX($D$16,POWER((ABS(K1179)^2)/($I$5*MAX(F1179,0.1)^2),1/3)))))))</f>
        <v>#VALUE!</v>
      </c>
      <c r="AI1179" t="e">
        <f t="shared" ca="1" si="593"/>
        <v>#VALUE!</v>
      </c>
      <c r="AJ1179" t="e">
        <f t="shared" ca="1" si="594"/>
        <v>#VALUE!</v>
      </c>
      <c r="AM1179">
        <v>0</v>
      </c>
      <c r="AN1179">
        <v>0</v>
      </c>
      <c r="AO1179">
        <f t="shared" si="595"/>
        <v>0</v>
      </c>
      <c r="AP1179">
        <f t="shared" si="604"/>
        <v>0</v>
      </c>
      <c r="AQ1179" t="e">
        <f t="shared" ca="1" si="596"/>
        <v>#VALUE!</v>
      </c>
      <c r="AR1179" t="e">
        <f t="shared" ca="1" si="597"/>
        <v>#VALUE!</v>
      </c>
      <c r="AS1179" t="e">
        <f t="shared" ca="1" si="598"/>
        <v>#VALUE!</v>
      </c>
    </row>
    <row r="1180" spans="1:45" x14ac:dyDescent="0.35">
      <c r="A1180">
        <v>1031</v>
      </c>
      <c r="B1180">
        <v>1029.8889999999999</v>
      </c>
      <c r="C1180">
        <v>616079.89800000004</v>
      </c>
      <c r="D1180">
        <v>3096974.0759999999</v>
      </c>
      <c r="E1180">
        <v>632.04700000000003</v>
      </c>
      <c r="F1180">
        <v>5.2</v>
      </c>
      <c r="G1180">
        <v>0</v>
      </c>
      <c r="H1180" t="s">
        <v>191</v>
      </c>
      <c r="I1180">
        <v>0.06</v>
      </c>
      <c r="J1180">
        <f t="shared" si="599"/>
        <v>1</v>
      </c>
      <c r="K1180">
        <f t="shared" si="600"/>
        <v>51</v>
      </c>
      <c r="L1180" t="e">
        <f t="shared" ca="1" si="601"/>
        <v>#VALUE!</v>
      </c>
      <c r="M1180" t="e">
        <f t="shared" ca="1" si="574"/>
        <v>#VALUE!</v>
      </c>
      <c r="N1180" t="e">
        <f t="shared" ca="1" si="575"/>
        <v>#VALUE!</v>
      </c>
      <c r="O1180" t="e">
        <f t="shared" ca="1" si="576"/>
        <v>#VALUE!</v>
      </c>
      <c r="P1180" t="e">
        <f t="shared" ca="1" si="577"/>
        <v>#VALUE!</v>
      </c>
      <c r="Q1180" t="e">
        <f t="shared" ca="1" si="578"/>
        <v>#VALUE!</v>
      </c>
      <c r="R1180" t="e">
        <f t="shared" ca="1" si="579"/>
        <v>#VALUE!</v>
      </c>
      <c r="S1180" t="e">
        <f t="shared" ca="1" si="580"/>
        <v>#VALUE!</v>
      </c>
      <c r="T1180" t="e">
        <f t="shared" ca="1" si="581"/>
        <v>#VALUE!</v>
      </c>
      <c r="U1180" t="e">
        <f t="shared" ca="1" si="602"/>
        <v>#VALUE!</v>
      </c>
      <c r="V1180" t="e">
        <f t="shared" ca="1" si="603"/>
        <v>#VALUE!</v>
      </c>
      <c r="W1180" t="e">
        <f t="shared" ca="1" si="582"/>
        <v>#VALUE!</v>
      </c>
      <c r="X1180" t="e">
        <f t="shared" ca="1" si="583"/>
        <v>#VALUE!</v>
      </c>
      <c r="Y1180" t="e">
        <f t="shared" ca="1" si="584"/>
        <v>#VALUE!</v>
      </c>
      <c r="Z1180" t="e">
        <f t="shared" ca="1" si="585"/>
        <v>#VALUE!</v>
      </c>
      <c r="AA1180" t="e">
        <f t="shared" ca="1" si="586"/>
        <v>#VALUE!</v>
      </c>
      <c r="AB1180" t="e">
        <f t="shared" ca="1" si="587"/>
        <v>#VALUE!</v>
      </c>
      <c r="AC1180" t="e">
        <f t="shared" ca="1" si="588"/>
        <v>#VALUE!</v>
      </c>
      <c r="AD1180" t="e">
        <f t="shared" ca="1" si="589"/>
        <v>#VALUE!</v>
      </c>
      <c r="AE1180" t="e">
        <f t="shared" ca="1" si="590"/>
        <v>#VALUE!</v>
      </c>
      <c r="AF1180" t="e">
        <f t="shared" ca="1" si="591"/>
        <v>#VALUE!</v>
      </c>
      <c r="AG1180" t="e">
        <f t="shared" ca="1" si="592"/>
        <v>#VALUE!</v>
      </c>
      <c r="AH1180" t="e">
        <f ca="1">IF(V32="Supercritical",L1180,IF(V32="Subcritical",W1180,IF(AND(V1180=1,AG1180=1),IF(T1180&gt;=AE1180,L1180,W1180),IF(V1180=1,L1180,IF(AG1180=1,W1180,MAX($D$16,POWER((ABS(K1180)^2)/($I$5*MAX(F1180,0.1)^2),1/3)))))))</f>
        <v>#VALUE!</v>
      </c>
      <c r="AI1180" t="e">
        <f t="shared" ca="1" si="593"/>
        <v>#VALUE!</v>
      </c>
      <c r="AJ1180" t="e">
        <f t="shared" ca="1" si="594"/>
        <v>#VALUE!</v>
      </c>
      <c r="AM1180">
        <v>0</v>
      </c>
      <c r="AN1180">
        <v>0</v>
      </c>
      <c r="AO1180">
        <f t="shared" si="595"/>
        <v>0</v>
      </c>
      <c r="AP1180">
        <f t="shared" si="604"/>
        <v>0</v>
      </c>
      <c r="AQ1180" t="e">
        <f t="shared" ca="1" si="596"/>
        <v>#VALUE!</v>
      </c>
      <c r="AR1180" t="e">
        <f t="shared" ca="1" si="597"/>
        <v>#VALUE!</v>
      </c>
      <c r="AS1180" t="e">
        <f t="shared" ca="1" si="598"/>
        <v>#VALUE!</v>
      </c>
    </row>
    <row r="1181" spans="1:45" x14ac:dyDescent="0.35">
      <c r="A1181">
        <v>1032</v>
      </c>
      <c r="B1181">
        <v>1030.8900000000001</v>
      </c>
      <c r="C1181">
        <v>616079.85600000003</v>
      </c>
      <c r="D1181">
        <v>3096973.0759999999</v>
      </c>
      <c r="E1181">
        <v>632.04650000000004</v>
      </c>
      <c r="F1181">
        <v>5.2</v>
      </c>
      <c r="G1181">
        <v>0</v>
      </c>
      <c r="H1181" t="s">
        <v>191</v>
      </c>
      <c r="I1181">
        <v>2E-3</v>
      </c>
      <c r="J1181">
        <f t="shared" si="599"/>
        <v>1.0010000000002037</v>
      </c>
      <c r="K1181">
        <f t="shared" si="600"/>
        <v>51</v>
      </c>
      <c r="L1181" t="e">
        <f t="shared" ca="1" si="601"/>
        <v>#VALUE!</v>
      </c>
      <c r="M1181" t="e">
        <f t="shared" ca="1" si="574"/>
        <v>#VALUE!</v>
      </c>
      <c r="N1181" t="e">
        <f t="shared" ca="1" si="575"/>
        <v>#VALUE!</v>
      </c>
      <c r="O1181" t="e">
        <f t="shared" ca="1" si="576"/>
        <v>#VALUE!</v>
      </c>
      <c r="P1181" t="e">
        <f t="shared" ca="1" si="577"/>
        <v>#VALUE!</v>
      </c>
      <c r="Q1181" t="e">
        <f t="shared" ca="1" si="578"/>
        <v>#VALUE!</v>
      </c>
      <c r="R1181" t="e">
        <f t="shared" ca="1" si="579"/>
        <v>#VALUE!</v>
      </c>
      <c r="S1181" t="e">
        <f t="shared" ca="1" si="580"/>
        <v>#VALUE!</v>
      </c>
      <c r="T1181" t="e">
        <f t="shared" ca="1" si="581"/>
        <v>#VALUE!</v>
      </c>
      <c r="U1181" t="e">
        <f t="shared" ca="1" si="602"/>
        <v>#VALUE!</v>
      </c>
      <c r="V1181" t="e">
        <f t="shared" ca="1" si="603"/>
        <v>#VALUE!</v>
      </c>
      <c r="W1181" t="e">
        <f t="shared" ca="1" si="582"/>
        <v>#VALUE!</v>
      </c>
      <c r="X1181" t="e">
        <f t="shared" ca="1" si="583"/>
        <v>#VALUE!</v>
      </c>
      <c r="Y1181" t="e">
        <f t="shared" ca="1" si="584"/>
        <v>#VALUE!</v>
      </c>
      <c r="Z1181" t="e">
        <f t="shared" ca="1" si="585"/>
        <v>#VALUE!</v>
      </c>
      <c r="AA1181" t="e">
        <f t="shared" ca="1" si="586"/>
        <v>#VALUE!</v>
      </c>
      <c r="AB1181" t="e">
        <f t="shared" ca="1" si="587"/>
        <v>#VALUE!</v>
      </c>
      <c r="AC1181" t="e">
        <f t="shared" ca="1" si="588"/>
        <v>#VALUE!</v>
      </c>
      <c r="AD1181" t="e">
        <f t="shared" ca="1" si="589"/>
        <v>#VALUE!</v>
      </c>
      <c r="AE1181" t="e">
        <f t="shared" ca="1" si="590"/>
        <v>#VALUE!</v>
      </c>
      <c r="AF1181" t="e">
        <f t="shared" ca="1" si="591"/>
        <v>#VALUE!</v>
      </c>
      <c r="AG1181" t="e">
        <f t="shared" ca="1" si="592"/>
        <v>#VALUE!</v>
      </c>
      <c r="AH1181" t="e">
        <f ca="1">IF(V32="Supercritical",L1181,IF(V32="Subcritical",W1181,IF(AND(V1181=1,AG1181=1),IF(T1181&gt;=AE1181,L1181,W1181),IF(V1181=1,L1181,IF(AG1181=1,W1181,MAX($D$16,POWER((ABS(K1181)^2)/($I$5*MAX(F1181,0.1)^2),1/3)))))))</f>
        <v>#VALUE!</v>
      </c>
      <c r="AI1181" t="e">
        <f t="shared" ca="1" si="593"/>
        <v>#VALUE!</v>
      </c>
      <c r="AJ1181" t="e">
        <f t="shared" ca="1" si="594"/>
        <v>#VALUE!</v>
      </c>
      <c r="AM1181">
        <v>0</v>
      </c>
      <c r="AN1181">
        <v>0</v>
      </c>
      <c r="AO1181">
        <f t="shared" si="595"/>
        <v>0</v>
      </c>
      <c r="AP1181">
        <f t="shared" si="604"/>
        <v>0</v>
      </c>
      <c r="AQ1181" t="e">
        <f t="shared" ca="1" si="596"/>
        <v>#VALUE!</v>
      </c>
      <c r="AR1181" t="e">
        <f t="shared" ca="1" si="597"/>
        <v>#VALUE!</v>
      </c>
      <c r="AS1181" t="e">
        <f t="shared" ca="1" si="598"/>
        <v>#VALUE!</v>
      </c>
    </row>
    <row r="1182" spans="1:45" x14ac:dyDescent="0.35">
      <c r="A1182">
        <v>1033</v>
      </c>
      <c r="B1182">
        <v>1031.8900000000001</v>
      </c>
      <c r="C1182">
        <v>616079.81400000001</v>
      </c>
      <c r="D1182">
        <v>3096972.077</v>
      </c>
      <c r="E1182">
        <v>632.04600000000005</v>
      </c>
      <c r="F1182">
        <v>5.2</v>
      </c>
      <c r="G1182">
        <v>0</v>
      </c>
      <c r="H1182" t="s">
        <v>191</v>
      </c>
      <c r="I1182">
        <v>5.7000000000000002E-2</v>
      </c>
      <c r="J1182">
        <f t="shared" si="599"/>
        <v>1</v>
      </c>
      <c r="K1182">
        <f t="shared" si="600"/>
        <v>51</v>
      </c>
      <c r="L1182" t="e">
        <f t="shared" ca="1" si="601"/>
        <v>#VALUE!</v>
      </c>
      <c r="M1182" t="e">
        <f t="shared" ca="1" si="574"/>
        <v>#VALUE!</v>
      </c>
      <c r="N1182" t="e">
        <f t="shared" ca="1" si="575"/>
        <v>#VALUE!</v>
      </c>
      <c r="O1182" t="e">
        <f t="shared" ca="1" si="576"/>
        <v>#VALUE!</v>
      </c>
      <c r="P1182" t="e">
        <f t="shared" ca="1" si="577"/>
        <v>#VALUE!</v>
      </c>
      <c r="Q1182" t="e">
        <f t="shared" ca="1" si="578"/>
        <v>#VALUE!</v>
      </c>
      <c r="R1182" t="e">
        <f t="shared" ca="1" si="579"/>
        <v>#VALUE!</v>
      </c>
      <c r="S1182" t="e">
        <f t="shared" ca="1" si="580"/>
        <v>#VALUE!</v>
      </c>
      <c r="T1182" t="e">
        <f t="shared" ca="1" si="581"/>
        <v>#VALUE!</v>
      </c>
      <c r="U1182" t="e">
        <f t="shared" ca="1" si="602"/>
        <v>#VALUE!</v>
      </c>
      <c r="V1182" t="e">
        <f t="shared" ca="1" si="603"/>
        <v>#VALUE!</v>
      </c>
      <c r="W1182" t="e">
        <f t="shared" ca="1" si="582"/>
        <v>#VALUE!</v>
      </c>
      <c r="X1182" t="e">
        <f t="shared" ca="1" si="583"/>
        <v>#VALUE!</v>
      </c>
      <c r="Y1182" t="e">
        <f t="shared" ca="1" si="584"/>
        <v>#VALUE!</v>
      </c>
      <c r="Z1182" t="e">
        <f t="shared" ca="1" si="585"/>
        <v>#VALUE!</v>
      </c>
      <c r="AA1182" t="e">
        <f t="shared" ca="1" si="586"/>
        <v>#VALUE!</v>
      </c>
      <c r="AB1182" t="e">
        <f t="shared" ca="1" si="587"/>
        <v>#VALUE!</v>
      </c>
      <c r="AC1182" t="e">
        <f t="shared" ca="1" si="588"/>
        <v>#VALUE!</v>
      </c>
      <c r="AD1182" t="e">
        <f t="shared" ca="1" si="589"/>
        <v>#VALUE!</v>
      </c>
      <c r="AE1182" t="e">
        <f t="shared" ca="1" si="590"/>
        <v>#VALUE!</v>
      </c>
      <c r="AF1182" t="e">
        <f t="shared" ca="1" si="591"/>
        <v>#VALUE!</v>
      </c>
      <c r="AG1182" t="e">
        <f t="shared" ca="1" si="592"/>
        <v>#VALUE!</v>
      </c>
      <c r="AH1182" t="e">
        <f ca="1">IF(V32="Supercritical",L1182,IF(V32="Subcritical",W1182,IF(AND(V1182=1,AG1182=1),IF(T1182&gt;=AE1182,L1182,W1182),IF(V1182=1,L1182,IF(AG1182=1,W1182,MAX($D$16,POWER((ABS(K1182)^2)/($I$5*MAX(F1182,0.1)^2),1/3)))))))</f>
        <v>#VALUE!</v>
      </c>
      <c r="AI1182" t="e">
        <f t="shared" ca="1" si="593"/>
        <v>#VALUE!</v>
      </c>
      <c r="AJ1182" t="e">
        <f t="shared" ca="1" si="594"/>
        <v>#VALUE!</v>
      </c>
      <c r="AM1182">
        <v>0</v>
      </c>
      <c r="AN1182">
        <v>0</v>
      </c>
      <c r="AO1182">
        <f t="shared" si="595"/>
        <v>0</v>
      </c>
      <c r="AP1182">
        <f t="shared" si="604"/>
        <v>0</v>
      </c>
      <c r="AQ1182" t="e">
        <f t="shared" ca="1" si="596"/>
        <v>#VALUE!</v>
      </c>
      <c r="AR1182" t="e">
        <f t="shared" ca="1" si="597"/>
        <v>#VALUE!</v>
      </c>
      <c r="AS1182" t="e">
        <f t="shared" ca="1" si="598"/>
        <v>#VALUE!</v>
      </c>
    </row>
    <row r="1183" spans="1:45" x14ac:dyDescent="0.35">
      <c r="A1183">
        <v>1034</v>
      </c>
      <c r="B1183">
        <v>1032.8900000000001</v>
      </c>
      <c r="C1183">
        <v>616079.77099999995</v>
      </c>
      <c r="D1183">
        <v>3096971.0780000002</v>
      </c>
      <c r="E1183">
        <v>632.04549999999995</v>
      </c>
      <c r="F1183">
        <v>5.2</v>
      </c>
      <c r="G1183">
        <v>0</v>
      </c>
      <c r="H1183" t="s">
        <v>191</v>
      </c>
      <c r="I1183">
        <v>5.7000000000000002E-2</v>
      </c>
      <c r="J1183">
        <f t="shared" si="599"/>
        <v>1</v>
      </c>
      <c r="K1183">
        <f t="shared" si="600"/>
        <v>51</v>
      </c>
      <c r="L1183" t="e">
        <f t="shared" ca="1" si="601"/>
        <v>#VALUE!</v>
      </c>
      <c r="M1183" t="e">
        <f t="shared" ca="1" si="574"/>
        <v>#VALUE!</v>
      </c>
      <c r="N1183" t="e">
        <f t="shared" ca="1" si="575"/>
        <v>#VALUE!</v>
      </c>
      <c r="O1183" t="e">
        <f t="shared" ca="1" si="576"/>
        <v>#VALUE!</v>
      </c>
      <c r="P1183" t="e">
        <f t="shared" ca="1" si="577"/>
        <v>#VALUE!</v>
      </c>
      <c r="Q1183" t="e">
        <f t="shared" ca="1" si="578"/>
        <v>#VALUE!</v>
      </c>
      <c r="R1183" t="e">
        <f t="shared" ca="1" si="579"/>
        <v>#VALUE!</v>
      </c>
      <c r="S1183" t="e">
        <f t="shared" ca="1" si="580"/>
        <v>#VALUE!</v>
      </c>
      <c r="T1183" t="e">
        <f t="shared" ca="1" si="581"/>
        <v>#VALUE!</v>
      </c>
      <c r="U1183" t="e">
        <f t="shared" ca="1" si="602"/>
        <v>#VALUE!</v>
      </c>
      <c r="V1183" t="e">
        <f t="shared" ca="1" si="603"/>
        <v>#VALUE!</v>
      </c>
      <c r="W1183" t="e">
        <f t="shared" ca="1" si="582"/>
        <v>#VALUE!</v>
      </c>
      <c r="X1183" t="e">
        <f t="shared" ca="1" si="583"/>
        <v>#VALUE!</v>
      </c>
      <c r="Y1183" t="e">
        <f t="shared" ca="1" si="584"/>
        <v>#VALUE!</v>
      </c>
      <c r="Z1183" t="e">
        <f t="shared" ca="1" si="585"/>
        <v>#VALUE!</v>
      </c>
      <c r="AA1183" t="e">
        <f t="shared" ca="1" si="586"/>
        <v>#VALUE!</v>
      </c>
      <c r="AB1183" t="e">
        <f t="shared" ca="1" si="587"/>
        <v>#VALUE!</v>
      </c>
      <c r="AC1183" t="e">
        <f t="shared" ca="1" si="588"/>
        <v>#VALUE!</v>
      </c>
      <c r="AD1183" t="e">
        <f t="shared" ca="1" si="589"/>
        <v>#VALUE!</v>
      </c>
      <c r="AE1183" t="e">
        <f t="shared" ca="1" si="590"/>
        <v>#VALUE!</v>
      </c>
      <c r="AF1183" t="e">
        <f t="shared" ca="1" si="591"/>
        <v>#VALUE!</v>
      </c>
      <c r="AG1183" t="e">
        <f t="shared" ca="1" si="592"/>
        <v>#VALUE!</v>
      </c>
      <c r="AH1183" t="e">
        <f ca="1">IF(V32="Supercritical",L1183,IF(V32="Subcritical",W1183,IF(AND(V1183=1,AG1183=1),IF(T1183&gt;=AE1183,L1183,W1183),IF(V1183=1,L1183,IF(AG1183=1,W1183,MAX($D$16,POWER((ABS(K1183)^2)/($I$5*MAX(F1183,0.1)^2),1/3)))))))</f>
        <v>#VALUE!</v>
      </c>
      <c r="AI1183" t="e">
        <f t="shared" ca="1" si="593"/>
        <v>#VALUE!</v>
      </c>
      <c r="AJ1183" t="e">
        <f t="shared" ca="1" si="594"/>
        <v>#VALUE!</v>
      </c>
      <c r="AM1183">
        <v>0</v>
      </c>
      <c r="AN1183">
        <v>0</v>
      </c>
      <c r="AO1183">
        <f t="shared" si="595"/>
        <v>0</v>
      </c>
      <c r="AP1183">
        <f t="shared" si="604"/>
        <v>0</v>
      </c>
      <c r="AQ1183" t="e">
        <f t="shared" ca="1" si="596"/>
        <v>#VALUE!</v>
      </c>
      <c r="AR1183" t="e">
        <f t="shared" ca="1" si="597"/>
        <v>#VALUE!</v>
      </c>
      <c r="AS1183" t="e">
        <f t="shared" ca="1" si="598"/>
        <v>#VALUE!</v>
      </c>
    </row>
    <row r="1184" spans="1:45" x14ac:dyDescent="0.35">
      <c r="A1184">
        <v>1035</v>
      </c>
      <c r="B1184">
        <v>1033.8889999999999</v>
      </c>
      <c r="C1184">
        <v>616079.72900000005</v>
      </c>
      <c r="D1184">
        <v>3096970.0789999999</v>
      </c>
      <c r="E1184">
        <v>632.04499999999996</v>
      </c>
      <c r="F1184">
        <v>5.2</v>
      </c>
      <c r="G1184">
        <v>0</v>
      </c>
      <c r="H1184" t="s">
        <v>191</v>
      </c>
      <c r="I1184">
        <v>0</v>
      </c>
      <c r="J1184">
        <f t="shared" si="599"/>
        <v>0.99899999999979627</v>
      </c>
      <c r="K1184">
        <f t="shared" si="600"/>
        <v>51</v>
      </c>
      <c r="L1184" t="e">
        <f t="shared" ca="1" si="601"/>
        <v>#VALUE!</v>
      </c>
      <c r="M1184" t="e">
        <f t="shared" ca="1" si="574"/>
        <v>#VALUE!</v>
      </c>
      <c r="N1184" t="e">
        <f t="shared" ca="1" si="575"/>
        <v>#VALUE!</v>
      </c>
      <c r="O1184" t="e">
        <f t="shared" ca="1" si="576"/>
        <v>#VALUE!</v>
      </c>
      <c r="P1184" t="e">
        <f t="shared" ca="1" si="577"/>
        <v>#VALUE!</v>
      </c>
      <c r="Q1184" t="e">
        <f t="shared" ca="1" si="578"/>
        <v>#VALUE!</v>
      </c>
      <c r="R1184" t="e">
        <f t="shared" ca="1" si="579"/>
        <v>#VALUE!</v>
      </c>
      <c r="S1184" t="e">
        <f t="shared" ca="1" si="580"/>
        <v>#VALUE!</v>
      </c>
      <c r="T1184" t="e">
        <f t="shared" ca="1" si="581"/>
        <v>#VALUE!</v>
      </c>
      <c r="U1184" t="e">
        <f t="shared" ca="1" si="602"/>
        <v>#VALUE!</v>
      </c>
      <c r="V1184" t="e">
        <f t="shared" ca="1" si="603"/>
        <v>#VALUE!</v>
      </c>
      <c r="W1184" t="e">
        <f t="shared" ca="1" si="582"/>
        <v>#VALUE!</v>
      </c>
      <c r="X1184" t="e">
        <f t="shared" ca="1" si="583"/>
        <v>#VALUE!</v>
      </c>
      <c r="Y1184" t="e">
        <f t="shared" ca="1" si="584"/>
        <v>#VALUE!</v>
      </c>
      <c r="Z1184" t="e">
        <f t="shared" ca="1" si="585"/>
        <v>#VALUE!</v>
      </c>
      <c r="AA1184" t="e">
        <f t="shared" ca="1" si="586"/>
        <v>#VALUE!</v>
      </c>
      <c r="AB1184" t="e">
        <f t="shared" ca="1" si="587"/>
        <v>#VALUE!</v>
      </c>
      <c r="AC1184" t="e">
        <f t="shared" ca="1" si="588"/>
        <v>#VALUE!</v>
      </c>
      <c r="AD1184" t="e">
        <f t="shared" ca="1" si="589"/>
        <v>#VALUE!</v>
      </c>
      <c r="AE1184" t="e">
        <f t="shared" ca="1" si="590"/>
        <v>#VALUE!</v>
      </c>
      <c r="AF1184" t="e">
        <f t="shared" ca="1" si="591"/>
        <v>#VALUE!</v>
      </c>
      <c r="AG1184" t="e">
        <f t="shared" ca="1" si="592"/>
        <v>#VALUE!</v>
      </c>
      <c r="AH1184" t="e">
        <f ca="1">IF(V32="Supercritical",L1184,IF(V32="Subcritical",W1184,IF(AND(V1184=1,AG1184=1),IF(T1184&gt;=AE1184,L1184,W1184),IF(V1184=1,L1184,IF(AG1184=1,W1184,MAX($D$16,POWER((ABS(K1184)^2)/($I$5*MAX(F1184,0.1)^2),1/3)))))))</f>
        <v>#VALUE!</v>
      </c>
      <c r="AI1184" t="e">
        <f t="shared" ca="1" si="593"/>
        <v>#VALUE!</v>
      </c>
      <c r="AJ1184" t="e">
        <f t="shared" ca="1" si="594"/>
        <v>#VALUE!</v>
      </c>
      <c r="AM1184">
        <v>0</v>
      </c>
      <c r="AN1184">
        <v>0</v>
      </c>
      <c r="AO1184">
        <f t="shared" si="595"/>
        <v>0</v>
      </c>
      <c r="AP1184">
        <f t="shared" si="604"/>
        <v>0</v>
      </c>
      <c r="AQ1184" t="e">
        <f t="shared" ca="1" si="596"/>
        <v>#VALUE!</v>
      </c>
      <c r="AR1184" t="e">
        <f t="shared" ca="1" si="597"/>
        <v>#VALUE!</v>
      </c>
      <c r="AS1184" t="e">
        <f t="shared" ca="1" si="598"/>
        <v>#VALUE!</v>
      </c>
    </row>
    <row r="1185" spans="1:45" x14ac:dyDescent="0.35">
      <c r="A1185">
        <v>1036</v>
      </c>
      <c r="B1185">
        <v>1034.8889999999999</v>
      </c>
      <c r="C1185">
        <v>616079.68700000003</v>
      </c>
      <c r="D1185">
        <v>3096969.08</v>
      </c>
      <c r="E1185">
        <v>632.04449999999997</v>
      </c>
      <c r="F1185">
        <v>5.2</v>
      </c>
      <c r="G1185">
        <v>0</v>
      </c>
      <c r="H1185" t="s">
        <v>191</v>
      </c>
      <c r="I1185">
        <v>0</v>
      </c>
      <c r="J1185">
        <f t="shared" si="599"/>
        <v>1</v>
      </c>
      <c r="K1185">
        <f t="shared" si="600"/>
        <v>51</v>
      </c>
      <c r="L1185" t="e">
        <f t="shared" ca="1" si="601"/>
        <v>#VALUE!</v>
      </c>
      <c r="M1185" t="e">
        <f t="shared" ca="1" si="574"/>
        <v>#VALUE!</v>
      </c>
      <c r="N1185" t="e">
        <f t="shared" ca="1" si="575"/>
        <v>#VALUE!</v>
      </c>
      <c r="O1185" t="e">
        <f t="shared" ca="1" si="576"/>
        <v>#VALUE!</v>
      </c>
      <c r="P1185" t="e">
        <f t="shared" ca="1" si="577"/>
        <v>#VALUE!</v>
      </c>
      <c r="Q1185" t="e">
        <f t="shared" ca="1" si="578"/>
        <v>#VALUE!</v>
      </c>
      <c r="R1185" t="e">
        <f t="shared" ca="1" si="579"/>
        <v>#VALUE!</v>
      </c>
      <c r="S1185" t="e">
        <f t="shared" ca="1" si="580"/>
        <v>#VALUE!</v>
      </c>
      <c r="T1185" t="e">
        <f t="shared" ca="1" si="581"/>
        <v>#VALUE!</v>
      </c>
      <c r="U1185" t="e">
        <f t="shared" ca="1" si="602"/>
        <v>#VALUE!</v>
      </c>
      <c r="V1185" t="e">
        <f t="shared" ca="1" si="603"/>
        <v>#VALUE!</v>
      </c>
      <c r="W1185" t="e">
        <f t="shared" ca="1" si="582"/>
        <v>#VALUE!</v>
      </c>
      <c r="X1185" t="e">
        <f t="shared" ca="1" si="583"/>
        <v>#VALUE!</v>
      </c>
      <c r="Y1185" t="e">
        <f t="shared" ca="1" si="584"/>
        <v>#VALUE!</v>
      </c>
      <c r="Z1185" t="e">
        <f t="shared" ca="1" si="585"/>
        <v>#VALUE!</v>
      </c>
      <c r="AA1185" t="e">
        <f t="shared" ca="1" si="586"/>
        <v>#VALUE!</v>
      </c>
      <c r="AB1185" t="e">
        <f t="shared" ca="1" si="587"/>
        <v>#VALUE!</v>
      </c>
      <c r="AC1185" t="e">
        <f t="shared" ca="1" si="588"/>
        <v>#VALUE!</v>
      </c>
      <c r="AD1185" t="e">
        <f t="shared" ca="1" si="589"/>
        <v>#VALUE!</v>
      </c>
      <c r="AE1185" t="e">
        <f t="shared" ca="1" si="590"/>
        <v>#VALUE!</v>
      </c>
      <c r="AF1185" t="e">
        <f t="shared" ca="1" si="591"/>
        <v>#VALUE!</v>
      </c>
      <c r="AG1185" t="e">
        <f t="shared" ca="1" si="592"/>
        <v>#VALUE!</v>
      </c>
      <c r="AH1185" t="e">
        <f ca="1">IF(V32="Supercritical",L1185,IF(V32="Subcritical",W1185,IF(AND(V1185=1,AG1185=1),IF(T1185&gt;=AE1185,L1185,W1185),IF(V1185=1,L1185,IF(AG1185=1,W1185,MAX($D$16,POWER((ABS(K1185)^2)/($I$5*MAX(F1185,0.1)^2),1/3)))))))</f>
        <v>#VALUE!</v>
      </c>
      <c r="AI1185" t="e">
        <f t="shared" ca="1" si="593"/>
        <v>#VALUE!</v>
      </c>
      <c r="AJ1185" t="e">
        <f t="shared" ca="1" si="594"/>
        <v>#VALUE!</v>
      </c>
      <c r="AM1185">
        <v>0</v>
      </c>
      <c r="AN1185">
        <v>0</v>
      </c>
      <c r="AO1185">
        <f t="shared" si="595"/>
        <v>0</v>
      </c>
      <c r="AP1185">
        <f t="shared" si="604"/>
        <v>0</v>
      </c>
      <c r="AQ1185" t="e">
        <f t="shared" ca="1" si="596"/>
        <v>#VALUE!</v>
      </c>
      <c r="AR1185" t="e">
        <f t="shared" ca="1" si="597"/>
        <v>#VALUE!</v>
      </c>
      <c r="AS1185" t="e">
        <f t="shared" ca="1" si="598"/>
        <v>#VALUE!</v>
      </c>
    </row>
    <row r="1186" spans="1:45" x14ac:dyDescent="0.35">
      <c r="A1186">
        <v>1037</v>
      </c>
      <c r="B1186">
        <v>1035.8889999999999</v>
      </c>
      <c r="C1186">
        <v>616079.64500000002</v>
      </c>
      <c r="D1186">
        <v>3096968.0809999998</v>
      </c>
      <c r="E1186">
        <v>632.04399999999998</v>
      </c>
      <c r="F1186">
        <v>5.2</v>
      </c>
      <c r="G1186">
        <v>0</v>
      </c>
      <c r="H1186" t="s">
        <v>191</v>
      </c>
      <c r="I1186">
        <v>5.7000000000000002E-2</v>
      </c>
      <c r="J1186">
        <f t="shared" si="599"/>
        <v>1</v>
      </c>
      <c r="K1186">
        <f t="shared" si="600"/>
        <v>51</v>
      </c>
      <c r="L1186" t="e">
        <f t="shared" ca="1" si="601"/>
        <v>#VALUE!</v>
      </c>
      <c r="M1186" t="e">
        <f t="shared" ca="1" si="574"/>
        <v>#VALUE!</v>
      </c>
      <c r="N1186" t="e">
        <f t="shared" ca="1" si="575"/>
        <v>#VALUE!</v>
      </c>
      <c r="O1186" t="e">
        <f t="shared" ca="1" si="576"/>
        <v>#VALUE!</v>
      </c>
      <c r="P1186" t="e">
        <f t="shared" ca="1" si="577"/>
        <v>#VALUE!</v>
      </c>
      <c r="Q1186" t="e">
        <f t="shared" ca="1" si="578"/>
        <v>#VALUE!</v>
      </c>
      <c r="R1186" t="e">
        <f t="shared" ca="1" si="579"/>
        <v>#VALUE!</v>
      </c>
      <c r="S1186" t="e">
        <f t="shared" ca="1" si="580"/>
        <v>#VALUE!</v>
      </c>
      <c r="T1186" t="e">
        <f t="shared" ca="1" si="581"/>
        <v>#VALUE!</v>
      </c>
      <c r="U1186" t="e">
        <f t="shared" ca="1" si="602"/>
        <v>#VALUE!</v>
      </c>
      <c r="V1186" t="e">
        <f t="shared" ca="1" si="603"/>
        <v>#VALUE!</v>
      </c>
      <c r="W1186" t="e">
        <f t="shared" ca="1" si="582"/>
        <v>#VALUE!</v>
      </c>
      <c r="X1186" t="e">
        <f t="shared" ca="1" si="583"/>
        <v>#VALUE!</v>
      </c>
      <c r="Y1186" t="e">
        <f t="shared" ca="1" si="584"/>
        <v>#VALUE!</v>
      </c>
      <c r="Z1186" t="e">
        <f t="shared" ca="1" si="585"/>
        <v>#VALUE!</v>
      </c>
      <c r="AA1186" t="e">
        <f t="shared" ca="1" si="586"/>
        <v>#VALUE!</v>
      </c>
      <c r="AB1186" t="e">
        <f t="shared" ca="1" si="587"/>
        <v>#VALUE!</v>
      </c>
      <c r="AC1186" t="e">
        <f t="shared" ca="1" si="588"/>
        <v>#VALUE!</v>
      </c>
      <c r="AD1186" t="e">
        <f t="shared" ca="1" si="589"/>
        <v>#VALUE!</v>
      </c>
      <c r="AE1186" t="e">
        <f t="shared" ca="1" si="590"/>
        <v>#VALUE!</v>
      </c>
      <c r="AF1186" t="e">
        <f t="shared" ca="1" si="591"/>
        <v>#VALUE!</v>
      </c>
      <c r="AG1186" t="e">
        <f t="shared" ca="1" si="592"/>
        <v>#VALUE!</v>
      </c>
      <c r="AH1186" t="e">
        <f ca="1">IF(V32="Supercritical",L1186,IF(V32="Subcritical",W1186,IF(AND(V1186=1,AG1186=1),IF(T1186&gt;=AE1186,L1186,W1186),IF(V1186=1,L1186,IF(AG1186=1,W1186,MAX($D$16,POWER((ABS(K1186)^2)/($I$5*MAX(F1186,0.1)^2),1/3)))))))</f>
        <v>#VALUE!</v>
      </c>
      <c r="AI1186" t="e">
        <f t="shared" ca="1" si="593"/>
        <v>#VALUE!</v>
      </c>
      <c r="AJ1186" t="e">
        <f t="shared" ca="1" si="594"/>
        <v>#VALUE!</v>
      </c>
      <c r="AM1186">
        <v>0</v>
      </c>
      <c r="AN1186">
        <v>0</v>
      </c>
      <c r="AO1186">
        <f t="shared" si="595"/>
        <v>0</v>
      </c>
      <c r="AP1186">
        <f t="shared" si="604"/>
        <v>0</v>
      </c>
      <c r="AQ1186" t="e">
        <f t="shared" ca="1" si="596"/>
        <v>#VALUE!</v>
      </c>
      <c r="AR1186" t="e">
        <f t="shared" ca="1" si="597"/>
        <v>#VALUE!</v>
      </c>
      <c r="AS1186" t="e">
        <f t="shared" ca="1" si="598"/>
        <v>#VALUE!</v>
      </c>
    </row>
    <row r="1187" spans="1:45" x14ac:dyDescent="0.35">
      <c r="A1187">
        <v>1038</v>
      </c>
      <c r="B1187">
        <v>1036.8889999999999</v>
      </c>
      <c r="C1187">
        <v>616079.60199999996</v>
      </c>
      <c r="D1187">
        <v>3096967.0819999999</v>
      </c>
      <c r="E1187">
        <v>632.04349999999999</v>
      </c>
      <c r="F1187">
        <v>5.2</v>
      </c>
      <c r="G1187">
        <v>0</v>
      </c>
      <c r="H1187" t="s">
        <v>191</v>
      </c>
      <c r="I1187">
        <v>5.7000000000000002E-2</v>
      </c>
      <c r="J1187">
        <f t="shared" si="599"/>
        <v>1</v>
      </c>
      <c r="K1187">
        <f t="shared" si="600"/>
        <v>51</v>
      </c>
      <c r="L1187" t="e">
        <f t="shared" ca="1" si="601"/>
        <v>#VALUE!</v>
      </c>
      <c r="M1187" t="e">
        <f t="shared" ca="1" si="574"/>
        <v>#VALUE!</v>
      </c>
      <c r="N1187" t="e">
        <f t="shared" ca="1" si="575"/>
        <v>#VALUE!</v>
      </c>
      <c r="O1187" t="e">
        <f t="shared" ca="1" si="576"/>
        <v>#VALUE!</v>
      </c>
      <c r="P1187" t="e">
        <f t="shared" ca="1" si="577"/>
        <v>#VALUE!</v>
      </c>
      <c r="Q1187" t="e">
        <f t="shared" ca="1" si="578"/>
        <v>#VALUE!</v>
      </c>
      <c r="R1187" t="e">
        <f t="shared" ca="1" si="579"/>
        <v>#VALUE!</v>
      </c>
      <c r="S1187" t="e">
        <f t="shared" ca="1" si="580"/>
        <v>#VALUE!</v>
      </c>
      <c r="T1187" t="e">
        <f t="shared" ca="1" si="581"/>
        <v>#VALUE!</v>
      </c>
      <c r="U1187" t="e">
        <f t="shared" ca="1" si="602"/>
        <v>#VALUE!</v>
      </c>
      <c r="V1187" t="e">
        <f t="shared" ca="1" si="603"/>
        <v>#VALUE!</v>
      </c>
      <c r="W1187" t="e">
        <f t="shared" ca="1" si="582"/>
        <v>#VALUE!</v>
      </c>
      <c r="X1187" t="e">
        <f t="shared" ca="1" si="583"/>
        <v>#VALUE!</v>
      </c>
      <c r="Y1187" t="e">
        <f t="shared" ca="1" si="584"/>
        <v>#VALUE!</v>
      </c>
      <c r="Z1187" t="e">
        <f t="shared" ca="1" si="585"/>
        <v>#VALUE!</v>
      </c>
      <c r="AA1187" t="e">
        <f t="shared" ca="1" si="586"/>
        <v>#VALUE!</v>
      </c>
      <c r="AB1187" t="e">
        <f t="shared" ca="1" si="587"/>
        <v>#VALUE!</v>
      </c>
      <c r="AC1187" t="e">
        <f t="shared" ca="1" si="588"/>
        <v>#VALUE!</v>
      </c>
      <c r="AD1187" t="e">
        <f t="shared" ca="1" si="589"/>
        <v>#VALUE!</v>
      </c>
      <c r="AE1187" t="e">
        <f t="shared" ca="1" si="590"/>
        <v>#VALUE!</v>
      </c>
      <c r="AF1187" t="e">
        <f t="shared" ca="1" si="591"/>
        <v>#VALUE!</v>
      </c>
      <c r="AG1187" t="e">
        <f t="shared" ca="1" si="592"/>
        <v>#VALUE!</v>
      </c>
      <c r="AH1187" t="e">
        <f ca="1">IF(V32="Supercritical",L1187,IF(V32="Subcritical",W1187,IF(AND(V1187=1,AG1187=1),IF(T1187&gt;=AE1187,L1187,W1187),IF(V1187=1,L1187,IF(AG1187=1,W1187,MAX($D$16,POWER((ABS(K1187)^2)/($I$5*MAX(F1187,0.1)^2),1/3)))))))</f>
        <v>#VALUE!</v>
      </c>
      <c r="AI1187" t="e">
        <f t="shared" ca="1" si="593"/>
        <v>#VALUE!</v>
      </c>
      <c r="AJ1187" t="e">
        <f t="shared" ca="1" si="594"/>
        <v>#VALUE!</v>
      </c>
      <c r="AM1187">
        <v>0</v>
      </c>
      <c r="AN1187">
        <v>0</v>
      </c>
      <c r="AO1187">
        <f t="shared" si="595"/>
        <v>0</v>
      </c>
      <c r="AP1187">
        <f t="shared" si="604"/>
        <v>0</v>
      </c>
      <c r="AQ1187" t="e">
        <f t="shared" ca="1" si="596"/>
        <v>#VALUE!</v>
      </c>
      <c r="AR1187" t="e">
        <f t="shared" ca="1" si="597"/>
        <v>#VALUE!</v>
      </c>
      <c r="AS1187" t="e">
        <f t="shared" ca="1" si="598"/>
        <v>#VALUE!</v>
      </c>
    </row>
    <row r="1188" spans="1:45" x14ac:dyDescent="0.35">
      <c r="A1188">
        <v>1039</v>
      </c>
      <c r="B1188">
        <v>1037.8889999999999</v>
      </c>
      <c r="C1188">
        <v>616079.56000000006</v>
      </c>
      <c r="D1188">
        <v>3096966.0830000001</v>
      </c>
      <c r="E1188">
        <v>632.04300000000001</v>
      </c>
      <c r="F1188">
        <v>5.2</v>
      </c>
      <c r="G1188">
        <v>0</v>
      </c>
      <c r="H1188" t="s">
        <v>191</v>
      </c>
      <c r="I1188">
        <v>0</v>
      </c>
      <c r="J1188">
        <f t="shared" si="599"/>
        <v>1</v>
      </c>
      <c r="K1188">
        <f t="shared" si="600"/>
        <v>51</v>
      </c>
      <c r="L1188" t="e">
        <f t="shared" ca="1" si="601"/>
        <v>#VALUE!</v>
      </c>
      <c r="M1188" t="e">
        <f t="shared" ca="1" si="574"/>
        <v>#VALUE!</v>
      </c>
      <c r="N1188" t="e">
        <f t="shared" ca="1" si="575"/>
        <v>#VALUE!</v>
      </c>
      <c r="O1188" t="e">
        <f t="shared" ca="1" si="576"/>
        <v>#VALUE!</v>
      </c>
      <c r="P1188" t="e">
        <f t="shared" ca="1" si="577"/>
        <v>#VALUE!</v>
      </c>
      <c r="Q1188" t="e">
        <f t="shared" ca="1" si="578"/>
        <v>#VALUE!</v>
      </c>
      <c r="R1188" t="e">
        <f t="shared" ca="1" si="579"/>
        <v>#VALUE!</v>
      </c>
      <c r="S1188" t="e">
        <f t="shared" ca="1" si="580"/>
        <v>#VALUE!</v>
      </c>
      <c r="T1188" t="e">
        <f t="shared" ca="1" si="581"/>
        <v>#VALUE!</v>
      </c>
      <c r="U1188" t="e">
        <f t="shared" ca="1" si="602"/>
        <v>#VALUE!</v>
      </c>
      <c r="V1188" t="e">
        <f t="shared" ca="1" si="603"/>
        <v>#VALUE!</v>
      </c>
      <c r="W1188" t="e">
        <f t="shared" ca="1" si="582"/>
        <v>#VALUE!</v>
      </c>
      <c r="X1188" t="e">
        <f t="shared" ca="1" si="583"/>
        <v>#VALUE!</v>
      </c>
      <c r="Y1188" t="e">
        <f t="shared" ca="1" si="584"/>
        <v>#VALUE!</v>
      </c>
      <c r="Z1188" t="e">
        <f t="shared" ca="1" si="585"/>
        <v>#VALUE!</v>
      </c>
      <c r="AA1188" t="e">
        <f t="shared" ca="1" si="586"/>
        <v>#VALUE!</v>
      </c>
      <c r="AB1188" t="e">
        <f t="shared" ca="1" si="587"/>
        <v>#VALUE!</v>
      </c>
      <c r="AC1188" t="e">
        <f t="shared" ca="1" si="588"/>
        <v>#VALUE!</v>
      </c>
      <c r="AD1188" t="e">
        <f t="shared" ca="1" si="589"/>
        <v>#VALUE!</v>
      </c>
      <c r="AE1188" t="e">
        <f t="shared" ca="1" si="590"/>
        <v>#VALUE!</v>
      </c>
      <c r="AF1188" t="e">
        <f t="shared" ca="1" si="591"/>
        <v>#VALUE!</v>
      </c>
      <c r="AG1188" t="e">
        <f t="shared" ca="1" si="592"/>
        <v>#VALUE!</v>
      </c>
      <c r="AH1188" t="e">
        <f ca="1">IF(V32="Supercritical",L1188,IF(V32="Subcritical",W1188,IF(AND(V1188=1,AG1188=1),IF(T1188&gt;=AE1188,L1188,W1188),IF(V1188=1,L1188,IF(AG1188=1,W1188,MAX($D$16,POWER((ABS(K1188)^2)/($I$5*MAX(F1188,0.1)^2),1/3)))))))</f>
        <v>#VALUE!</v>
      </c>
      <c r="AI1188" t="e">
        <f t="shared" ca="1" si="593"/>
        <v>#VALUE!</v>
      </c>
      <c r="AJ1188" t="e">
        <f t="shared" ca="1" si="594"/>
        <v>#VALUE!</v>
      </c>
      <c r="AM1188">
        <v>0</v>
      </c>
      <c r="AN1188">
        <v>0</v>
      </c>
      <c r="AO1188">
        <f t="shared" si="595"/>
        <v>0</v>
      </c>
      <c r="AP1188">
        <f t="shared" si="604"/>
        <v>0</v>
      </c>
      <c r="AQ1188" t="e">
        <f t="shared" ca="1" si="596"/>
        <v>#VALUE!</v>
      </c>
      <c r="AR1188" t="e">
        <f t="shared" ca="1" si="597"/>
        <v>#VALUE!</v>
      </c>
      <c r="AS1188" t="e">
        <f t="shared" ca="1" si="598"/>
        <v>#VALUE!</v>
      </c>
    </row>
    <row r="1189" spans="1:45" x14ac:dyDescent="0.35">
      <c r="A1189">
        <v>1040</v>
      </c>
      <c r="B1189">
        <v>1038.8889999999999</v>
      </c>
      <c r="C1189">
        <v>616079.51800000004</v>
      </c>
      <c r="D1189">
        <v>3096965.0839999998</v>
      </c>
      <c r="E1189">
        <v>632.04250000000002</v>
      </c>
      <c r="F1189">
        <v>5.2</v>
      </c>
      <c r="G1189">
        <v>0</v>
      </c>
      <c r="H1189" t="s">
        <v>191</v>
      </c>
      <c r="I1189">
        <v>2E-3</v>
      </c>
      <c r="J1189">
        <f t="shared" si="599"/>
        <v>1</v>
      </c>
      <c r="K1189">
        <f t="shared" si="600"/>
        <v>51</v>
      </c>
      <c r="L1189" t="e">
        <f t="shared" ca="1" si="601"/>
        <v>#VALUE!</v>
      </c>
      <c r="M1189" t="e">
        <f t="shared" ca="1" si="574"/>
        <v>#VALUE!</v>
      </c>
      <c r="N1189" t="e">
        <f t="shared" ca="1" si="575"/>
        <v>#VALUE!</v>
      </c>
      <c r="O1189" t="e">
        <f t="shared" ca="1" si="576"/>
        <v>#VALUE!</v>
      </c>
      <c r="P1189" t="e">
        <f t="shared" ca="1" si="577"/>
        <v>#VALUE!</v>
      </c>
      <c r="Q1189" t="e">
        <f t="shared" ca="1" si="578"/>
        <v>#VALUE!</v>
      </c>
      <c r="R1189" t="e">
        <f t="shared" ca="1" si="579"/>
        <v>#VALUE!</v>
      </c>
      <c r="S1189" t="e">
        <f t="shared" ca="1" si="580"/>
        <v>#VALUE!</v>
      </c>
      <c r="T1189" t="e">
        <f t="shared" ca="1" si="581"/>
        <v>#VALUE!</v>
      </c>
      <c r="U1189" t="e">
        <f t="shared" ca="1" si="602"/>
        <v>#VALUE!</v>
      </c>
      <c r="V1189" t="e">
        <f t="shared" ca="1" si="603"/>
        <v>#VALUE!</v>
      </c>
      <c r="W1189" t="e">
        <f t="shared" ca="1" si="582"/>
        <v>#VALUE!</v>
      </c>
      <c r="X1189" t="e">
        <f t="shared" ca="1" si="583"/>
        <v>#VALUE!</v>
      </c>
      <c r="Y1189" t="e">
        <f t="shared" ca="1" si="584"/>
        <v>#VALUE!</v>
      </c>
      <c r="Z1189" t="e">
        <f t="shared" ca="1" si="585"/>
        <v>#VALUE!</v>
      </c>
      <c r="AA1189" t="e">
        <f t="shared" ca="1" si="586"/>
        <v>#VALUE!</v>
      </c>
      <c r="AB1189" t="e">
        <f t="shared" ca="1" si="587"/>
        <v>#VALUE!</v>
      </c>
      <c r="AC1189" t="e">
        <f t="shared" ca="1" si="588"/>
        <v>#VALUE!</v>
      </c>
      <c r="AD1189" t="e">
        <f t="shared" ca="1" si="589"/>
        <v>#VALUE!</v>
      </c>
      <c r="AE1189" t="e">
        <f t="shared" ca="1" si="590"/>
        <v>#VALUE!</v>
      </c>
      <c r="AF1189" t="e">
        <f t="shared" ca="1" si="591"/>
        <v>#VALUE!</v>
      </c>
      <c r="AG1189" t="e">
        <f t="shared" ca="1" si="592"/>
        <v>#VALUE!</v>
      </c>
      <c r="AH1189" t="e">
        <f ca="1">IF(V32="Supercritical",L1189,IF(V32="Subcritical",W1189,IF(AND(V1189=1,AG1189=1),IF(T1189&gt;=AE1189,L1189,W1189),IF(V1189=1,L1189,IF(AG1189=1,W1189,MAX($D$16,POWER((ABS(K1189)^2)/($I$5*MAX(F1189,0.1)^2),1/3)))))))</f>
        <v>#VALUE!</v>
      </c>
      <c r="AI1189" t="e">
        <f t="shared" ca="1" si="593"/>
        <v>#VALUE!</v>
      </c>
      <c r="AJ1189" t="e">
        <f t="shared" ca="1" si="594"/>
        <v>#VALUE!</v>
      </c>
      <c r="AM1189">
        <v>0</v>
      </c>
      <c r="AN1189">
        <v>0</v>
      </c>
      <c r="AO1189">
        <f t="shared" si="595"/>
        <v>0</v>
      </c>
      <c r="AP1189">
        <f t="shared" si="604"/>
        <v>0</v>
      </c>
      <c r="AQ1189" t="e">
        <f t="shared" ca="1" si="596"/>
        <v>#VALUE!</v>
      </c>
      <c r="AR1189" t="e">
        <f t="shared" ca="1" si="597"/>
        <v>#VALUE!</v>
      </c>
      <c r="AS1189" t="e">
        <f t="shared" ca="1" si="598"/>
        <v>#VALUE!</v>
      </c>
    </row>
    <row r="1190" spans="1:45" x14ac:dyDescent="0.35">
      <c r="A1190">
        <v>1041</v>
      </c>
      <c r="B1190">
        <v>1039.8900000000001</v>
      </c>
      <c r="C1190">
        <v>616079.47600000002</v>
      </c>
      <c r="D1190">
        <v>3096964.0839999998</v>
      </c>
      <c r="E1190">
        <v>632.04200000000003</v>
      </c>
      <c r="F1190">
        <v>5.2</v>
      </c>
      <c r="G1190">
        <v>0</v>
      </c>
      <c r="H1190" t="s">
        <v>191</v>
      </c>
      <c r="I1190">
        <v>0.06</v>
      </c>
      <c r="J1190">
        <f t="shared" si="599"/>
        <v>1.0010000000002037</v>
      </c>
      <c r="K1190">
        <f t="shared" si="600"/>
        <v>51</v>
      </c>
      <c r="L1190" t="e">
        <f t="shared" ca="1" si="601"/>
        <v>#VALUE!</v>
      </c>
      <c r="M1190" t="e">
        <f t="shared" ca="1" si="574"/>
        <v>#VALUE!</v>
      </c>
      <c r="N1190" t="e">
        <f t="shared" ca="1" si="575"/>
        <v>#VALUE!</v>
      </c>
      <c r="O1190" t="e">
        <f t="shared" ca="1" si="576"/>
        <v>#VALUE!</v>
      </c>
      <c r="P1190" t="e">
        <f t="shared" ca="1" si="577"/>
        <v>#VALUE!</v>
      </c>
      <c r="Q1190" t="e">
        <f t="shared" ca="1" si="578"/>
        <v>#VALUE!</v>
      </c>
      <c r="R1190" t="e">
        <f t="shared" ca="1" si="579"/>
        <v>#VALUE!</v>
      </c>
      <c r="S1190" t="e">
        <f t="shared" ca="1" si="580"/>
        <v>#VALUE!</v>
      </c>
      <c r="T1190" t="e">
        <f t="shared" ca="1" si="581"/>
        <v>#VALUE!</v>
      </c>
      <c r="U1190" t="e">
        <f t="shared" ca="1" si="602"/>
        <v>#VALUE!</v>
      </c>
      <c r="V1190" t="e">
        <f t="shared" ca="1" si="603"/>
        <v>#VALUE!</v>
      </c>
      <c r="W1190" t="e">
        <f t="shared" ca="1" si="582"/>
        <v>#VALUE!</v>
      </c>
      <c r="X1190" t="e">
        <f t="shared" ca="1" si="583"/>
        <v>#VALUE!</v>
      </c>
      <c r="Y1190" t="e">
        <f t="shared" ca="1" si="584"/>
        <v>#VALUE!</v>
      </c>
      <c r="Z1190" t="e">
        <f t="shared" ca="1" si="585"/>
        <v>#VALUE!</v>
      </c>
      <c r="AA1190" t="e">
        <f t="shared" ca="1" si="586"/>
        <v>#VALUE!</v>
      </c>
      <c r="AB1190" t="e">
        <f t="shared" ca="1" si="587"/>
        <v>#VALUE!</v>
      </c>
      <c r="AC1190" t="e">
        <f t="shared" ca="1" si="588"/>
        <v>#VALUE!</v>
      </c>
      <c r="AD1190" t="e">
        <f t="shared" ca="1" si="589"/>
        <v>#VALUE!</v>
      </c>
      <c r="AE1190" t="e">
        <f t="shared" ca="1" si="590"/>
        <v>#VALUE!</v>
      </c>
      <c r="AF1190" t="e">
        <f t="shared" ca="1" si="591"/>
        <v>#VALUE!</v>
      </c>
      <c r="AG1190" t="e">
        <f t="shared" ca="1" si="592"/>
        <v>#VALUE!</v>
      </c>
      <c r="AH1190" t="e">
        <f ca="1">IF(V32="Supercritical",L1190,IF(V32="Subcritical",W1190,IF(AND(V1190=1,AG1190=1),IF(T1190&gt;=AE1190,L1190,W1190),IF(V1190=1,L1190,IF(AG1190=1,W1190,MAX($D$16,POWER((ABS(K1190)^2)/($I$5*MAX(F1190,0.1)^2),1/3)))))))</f>
        <v>#VALUE!</v>
      </c>
      <c r="AI1190" t="e">
        <f t="shared" ca="1" si="593"/>
        <v>#VALUE!</v>
      </c>
      <c r="AJ1190" t="e">
        <f t="shared" ca="1" si="594"/>
        <v>#VALUE!</v>
      </c>
      <c r="AM1190">
        <v>0</v>
      </c>
      <c r="AN1190">
        <v>0</v>
      </c>
      <c r="AO1190">
        <f t="shared" si="595"/>
        <v>0</v>
      </c>
      <c r="AP1190">
        <f t="shared" si="604"/>
        <v>0</v>
      </c>
      <c r="AQ1190" t="e">
        <f t="shared" ca="1" si="596"/>
        <v>#VALUE!</v>
      </c>
      <c r="AR1190" t="e">
        <f t="shared" ca="1" si="597"/>
        <v>#VALUE!</v>
      </c>
      <c r="AS1190" t="e">
        <f t="shared" ca="1" si="598"/>
        <v>#VALUE!</v>
      </c>
    </row>
    <row r="1191" spans="1:45" x14ac:dyDescent="0.35">
      <c r="A1191">
        <v>1042</v>
      </c>
      <c r="B1191">
        <v>1040.8900000000001</v>
      </c>
      <c r="C1191">
        <v>616079.43299999996</v>
      </c>
      <c r="D1191">
        <v>3096963.085</v>
      </c>
      <c r="E1191">
        <v>632.04150000000004</v>
      </c>
      <c r="F1191">
        <v>5.2</v>
      </c>
      <c r="G1191">
        <v>0</v>
      </c>
      <c r="H1191" t="s">
        <v>191</v>
      </c>
      <c r="I1191">
        <v>5.7000000000000002E-2</v>
      </c>
      <c r="J1191">
        <f t="shared" si="599"/>
        <v>1</v>
      </c>
      <c r="K1191">
        <f t="shared" si="600"/>
        <v>51</v>
      </c>
      <c r="L1191" t="e">
        <f t="shared" ca="1" si="601"/>
        <v>#VALUE!</v>
      </c>
      <c r="M1191" t="e">
        <f t="shared" ca="1" si="574"/>
        <v>#VALUE!</v>
      </c>
      <c r="N1191" t="e">
        <f t="shared" ca="1" si="575"/>
        <v>#VALUE!</v>
      </c>
      <c r="O1191" t="e">
        <f t="shared" ca="1" si="576"/>
        <v>#VALUE!</v>
      </c>
      <c r="P1191" t="e">
        <f t="shared" ca="1" si="577"/>
        <v>#VALUE!</v>
      </c>
      <c r="Q1191" t="e">
        <f t="shared" ca="1" si="578"/>
        <v>#VALUE!</v>
      </c>
      <c r="R1191" t="e">
        <f t="shared" ca="1" si="579"/>
        <v>#VALUE!</v>
      </c>
      <c r="S1191" t="e">
        <f t="shared" ca="1" si="580"/>
        <v>#VALUE!</v>
      </c>
      <c r="T1191" t="e">
        <f t="shared" ca="1" si="581"/>
        <v>#VALUE!</v>
      </c>
      <c r="U1191" t="e">
        <f t="shared" ca="1" si="602"/>
        <v>#VALUE!</v>
      </c>
      <c r="V1191" t="e">
        <f t="shared" ca="1" si="603"/>
        <v>#VALUE!</v>
      </c>
      <c r="W1191" t="e">
        <f t="shared" ca="1" si="582"/>
        <v>#VALUE!</v>
      </c>
      <c r="X1191" t="e">
        <f t="shared" ca="1" si="583"/>
        <v>#VALUE!</v>
      </c>
      <c r="Y1191" t="e">
        <f t="shared" ca="1" si="584"/>
        <v>#VALUE!</v>
      </c>
      <c r="Z1191" t="e">
        <f t="shared" ca="1" si="585"/>
        <v>#VALUE!</v>
      </c>
      <c r="AA1191" t="e">
        <f t="shared" ca="1" si="586"/>
        <v>#VALUE!</v>
      </c>
      <c r="AB1191" t="e">
        <f t="shared" ca="1" si="587"/>
        <v>#VALUE!</v>
      </c>
      <c r="AC1191" t="e">
        <f t="shared" ca="1" si="588"/>
        <v>#VALUE!</v>
      </c>
      <c r="AD1191" t="e">
        <f t="shared" ca="1" si="589"/>
        <v>#VALUE!</v>
      </c>
      <c r="AE1191" t="e">
        <f t="shared" ca="1" si="590"/>
        <v>#VALUE!</v>
      </c>
      <c r="AF1191" t="e">
        <f t="shared" ca="1" si="591"/>
        <v>#VALUE!</v>
      </c>
      <c r="AG1191" t="e">
        <f t="shared" ca="1" si="592"/>
        <v>#VALUE!</v>
      </c>
      <c r="AH1191" t="e">
        <f ca="1">IF(V32="Supercritical",L1191,IF(V32="Subcritical",W1191,IF(AND(V1191=1,AG1191=1),IF(T1191&gt;=AE1191,L1191,W1191),IF(V1191=1,L1191,IF(AG1191=1,W1191,MAX($D$16,POWER((ABS(K1191)^2)/($I$5*MAX(F1191,0.1)^2),1/3)))))))</f>
        <v>#VALUE!</v>
      </c>
      <c r="AI1191" t="e">
        <f t="shared" ca="1" si="593"/>
        <v>#VALUE!</v>
      </c>
      <c r="AJ1191" t="e">
        <f t="shared" ca="1" si="594"/>
        <v>#VALUE!</v>
      </c>
      <c r="AM1191">
        <v>0</v>
      </c>
      <c r="AN1191">
        <v>0</v>
      </c>
      <c r="AO1191">
        <f t="shared" si="595"/>
        <v>0</v>
      </c>
      <c r="AP1191">
        <f t="shared" si="604"/>
        <v>0</v>
      </c>
      <c r="AQ1191" t="e">
        <f t="shared" ca="1" si="596"/>
        <v>#VALUE!</v>
      </c>
      <c r="AR1191" t="e">
        <f t="shared" ca="1" si="597"/>
        <v>#VALUE!</v>
      </c>
      <c r="AS1191" t="e">
        <f t="shared" ca="1" si="598"/>
        <v>#VALUE!</v>
      </c>
    </row>
    <row r="1192" spans="1:45" x14ac:dyDescent="0.35">
      <c r="A1192">
        <v>1043</v>
      </c>
      <c r="B1192">
        <v>1041.8900000000001</v>
      </c>
      <c r="C1192">
        <v>616079.39099999995</v>
      </c>
      <c r="D1192">
        <v>3096962.0860000001</v>
      </c>
      <c r="E1192">
        <v>632.04100000000005</v>
      </c>
      <c r="F1192">
        <v>5.2</v>
      </c>
      <c r="G1192">
        <v>0</v>
      </c>
      <c r="H1192" t="s">
        <v>191</v>
      </c>
      <c r="I1192">
        <v>0</v>
      </c>
      <c r="J1192">
        <f t="shared" si="599"/>
        <v>1</v>
      </c>
      <c r="K1192">
        <f t="shared" si="600"/>
        <v>51</v>
      </c>
      <c r="L1192" t="e">
        <f t="shared" ca="1" si="601"/>
        <v>#VALUE!</v>
      </c>
      <c r="M1192" t="e">
        <f t="shared" ca="1" si="574"/>
        <v>#VALUE!</v>
      </c>
      <c r="N1192" t="e">
        <f t="shared" ca="1" si="575"/>
        <v>#VALUE!</v>
      </c>
      <c r="O1192" t="e">
        <f t="shared" ca="1" si="576"/>
        <v>#VALUE!</v>
      </c>
      <c r="P1192" t="e">
        <f t="shared" ca="1" si="577"/>
        <v>#VALUE!</v>
      </c>
      <c r="Q1192" t="e">
        <f t="shared" ca="1" si="578"/>
        <v>#VALUE!</v>
      </c>
      <c r="R1192" t="e">
        <f t="shared" ca="1" si="579"/>
        <v>#VALUE!</v>
      </c>
      <c r="S1192" t="e">
        <f t="shared" ca="1" si="580"/>
        <v>#VALUE!</v>
      </c>
      <c r="T1192" t="e">
        <f t="shared" ca="1" si="581"/>
        <v>#VALUE!</v>
      </c>
      <c r="U1192" t="e">
        <f t="shared" ca="1" si="602"/>
        <v>#VALUE!</v>
      </c>
      <c r="V1192" t="e">
        <f t="shared" ca="1" si="603"/>
        <v>#VALUE!</v>
      </c>
      <c r="W1192" t="e">
        <f t="shared" ca="1" si="582"/>
        <v>#VALUE!</v>
      </c>
      <c r="X1192" t="e">
        <f t="shared" ca="1" si="583"/>
        <v>#VALUE!</v>
      </c>
      <c r="Y1192" t="e">
        <f t="shared" ca="1" si="584"/>
        <v>#VALUE!</v>
      </c>
      <c r="Z1192" t="e">
        <f t="shared" ca="1" si="585"/>
        <v>#VALUE!</v>
      </c>
      <c r="AA1192" t="e">
        <f t="shared" ca="1" si="586"/>
        <v>#VALUE!</v>
      </c>
      <c r="AB1192" t="e">
        <f t="shared" ca="1" si="587"/>
        <v>#VALUE!</v>
      </c>
      <c r="AC1192" t="e">
        <f t="shared" ca="1" si="588"/>
        <v>#VALUE!</v>
      </c>
      <c r="AD1192" t="e">
        <f t="shared" ca="1" si="589"/>
        <v>#VALUE!</v>
      </c>
      <c r="AE1192" t="e">
        <f t="shared" ca="1" si="590"/>
        <v>#VALUE!</v>
      </c>
      <c r="AF1192" t="e">
        <f t="shared" ca="1" si="591"/>
        <v>#VALUE!</v>
      </c>
      <c r="AG1192" t="e">
        <f t="shared" ca="1" si="592"/>
        <v>#VALUE!</v>
      </c>
      <c r="AH1192" t="e">
        <f ca="1">IF(V32="Supercritical",L1192,IF(V32="Subcritical",W1192,IF(AND(V1192=1,AG1192=1),IF(T1192&gt;=AE1192,L1192,W1192),IF(V1192=1,L1192,IF(AG1192=1,W1192,MAX($D$16,POWER((ABS(K1192)^2)/($I$5*MAX(F1192,0.1)^2),1/3)))))))</f>
        <v>#VALUE!</v>
      </c>
      <c r="AI1192" t="e">
        <f t="shared" ca="1" si="593"/>
        <v>#VALUE!</v>
      </c>
      <c r="AJ1192" t="e">
        <f t="shared" ca="1" si="594"/>
        <v>#VALUE!</v>
      </c>
      <c r="AM1192">
        <v>0</v>
      </c>
      <c r="AN1192">
        <v>0</v>
      </c>
      <c r="AO1192">
        <f t="shared" si="595"/>
        <v>0</v>
      </c>
      <c r="AP1192">
        <f t="shared" si="604"/>
        <v>0</v>
      </c>
      <c r="AQ1192" t="e">
        <f t="shared" ca="1" si="596"/>
        <v>#VALUE!</v>
      </c>
      <c r="AR1192" t="e">
        <f t="shared" ca="1" si="597"/>
        <v>#VALUE!</v>
      </c>
      <c r="AS1192" t="e">
        <f t="shared" ca="1" si="598"/>
        <v>#VALUE!</v>
      </c>
    </row>
    <row r="1193" spans="1:45" x14ac:dyDescent="0.35">
      <c r="A1193">
        <v>1044</v>
      </c>
      <c r="B1193">
        <v>1042.8889999999999</v>
      </c>
      <c r="C1193">
        <v>616079.34900000005</v>
      </c>
      <c r="D1193">
        <v>3096961.0869999998</v>
      </c>
      <c r="E1193">
        <v>632.04049999999995</v>
      </c>
      <c r="F1193">
        <v>5.2</v>
      </c>
      <c r="G1193">
        <v>0</v>
      </c>
      <c r="H1193" t="s">
        <v>191</v>
      </c>
      <c r="I1193">
        <v>0</v>
      </c>
      <c r="J1193">
        <f t="shared" si="599"/>
        <v>0.99899999999979627</v>
      </c>
      <c r="K1193">
        <f t="shared" si="600"/>
        <v>51</v>
      </c>
      <c r="L1193" t="e">
        <f t="shared" ca="1" si="601"/>
        <v>#VALUE!</v>
      </c>
      <c r="M1193" t="e">
        <f t="shared" ca="1" si="574"/>
        <v>#VALUE!</v>
      </c>
      <c r="N1193" t="e">
        <f t="shared" ca="1" si="575"/>
        <v>#VALUE!</v>
      </c>
      <c r="O1193" t="e">
        <f t="shared" ca="1" si="576"/>
        <v>#VALUE!</v>
      </c>
      <c r="P1193" t="e">
        <f t="shared" ca="1" si="577"/>
        <v>#VALUE!</v>
      </c>
      <c r="Q1193" t="e">
        <f t="shared" ca="1" si="578"/>
        <v>#VALUE!</v>
      </c>
      <c r="R1193" t="e">
        <f t="shared" ca="1" si="579"/>
        <v>#VALUE!</v>
      </c>
      <c r="S1193" t="e">
        <f t="shared" ca="1" si="580"/>
        <v>#VALUE!</v>
      </c>
      <c r="T1193" t="e">
        <f t="shared" ca="1" si="581"/>
        <v>#VALUE!</v>
      </c>
      <c r="U1193" t="e">
        <f t="shared" ca="1" si="602"/>
        <v>#VALUE!</v>
      </c>
      <c r="V1193" t="e">
        <f t="shared" ca="1" si="603"/>
        <v>#VALUE!</v>
      </c>
      <c r="W1193" t="e">
        <f t="shared" ca="1" si="582"/>
        <v>#VALUE!</v>
      </c>
      <c r="X1193" t="e">
        <f t="shared" ca="1" si="583"/>
        <v>#VALUE!</v>
      </c>
      <c r="Y1193" t="e">
        <f t="shared" ca="1" si="584"/>
        <v>#VALUE!</v>
      </c>
      <c r="Z1193" t="e">
        <f t="shared" ca="1" si="585"/>
        <v>#VALUE!</v>
      </c>
      <c r="AA1193" t="e">
        <f t="shared" ca="1" si="586"/>
        <v>#VALUE!</v>
      </c>
      <c r="AB1193" t="e">
        <f t="shared" ca="1" si="587"/>
        <v>#VALUE!</v>
      </c>
      <c r="AC1193" t="e">
        <f t="shared" ca="1" si="588"/>
        <v>#VALUE!</v>
      </c>
      <c r="AD1193" t="e">
        <f t="shared" ca="1" si="589"/>
        <v>#VALUE!</v>
      </c>
      <c r="AE1193" t="e">
        <f t="shared" ca="1" si="590"/>
        <v>#VALUE!</v>
      </c>
      <c r="AF1193" t="e">
        <f t="shared" ca="1" si="591"/>
        <v>#VALUE!</v>
      </c>
      <c r="AG1193" t="e">
        <f t="shared" ca="1" si="592"/>
        <v>#VALUE!</v>
      </c>
      <c r="AH1193" t="e">
        <f ca="1">IF(V32="Supercritical",L1193,IF(V32="Subcritical",W1193,IF(AND(V1193=1,AG1193=1),IF(T1193&gt;=AE1193,L1193,W1193),IF(V1193=1,L1193,IF(AG1193=1,W1193,MAX($D$16,POWER((ABS(K1193)^2)/($I$5*MAX(F1193,0.1)^2),1/3)))))))</f>
        <v>#VALUE!</v>
      </c>
      <c r="AI1193" t="e">
        <f t="shared" ca="1" si="593"/>
        <v>#VALUE!</v>
      </c>
      <c r="AJ1193" t="e">
        <f t="shared" ca="1" si="594"/>
        <v>#VALUE!</v>
      </c>
      <c r="AM1193">
        <v>0</v>
      </c>
      <c r="AN1193">
        <v>0</v>
      </c>
      <c r="AO1193">
        <f t="shared" si="595"/>
        <v>0</v>
      </c>
      <c r="AP1193">
        <f t="shared" si="604"/>
        <v>0</v>
      </c>
      <c r="AQ1193" t="e">
        <f t="shared" ca="1" si="596"/>
        <v>#VALUE!</v>
      </c>
      <c r="AR1193" t="e">
        <f t="shared" ca="1" si="597"/>
        <v>#VALUE!</v>
      </c>
      <c r="AS1193" t="e">
        <f t="shared" ca="1" si="598"/>
        <v>#VALUE!</v>
      </c>
    </row>
    <row r="1194" spans="1:45" x14ac:dyDescent="0.35">
      <c r="A1194">
        <v>1045</v>
      </c>
      <c r="B1194">
        <v>1043.8889999999999</v>
      </c>
      <c r="C1194">
        <v>616079.30700000003</v>
      </c>
      <c r="D1194">
        <v>3096960.088</v>
      </c>
      <c r="E1194">
        <v>632.04</v>
      </c>
      <c r="F1194">
        <v>5.2</v>
      </c>
      <c r="G1194">
        <v>0</v>
      </c>
      <c r="H1194" t="s">
        <v>191</v>
      </c>
      <c r="I1194">
        <v>5.7000000000000002E-2</v>
      </c>
      <c r="J1194">
        <f t="shared" si="599"/>
        <v>1</v>
      </c>
      <c r="K1194">
        <f t="shared" si="600"/>
        <v>51</v>
      </c>
      <c r="L1194" t="e">
        <f t="shared" ca="1" si="601"/>
        <v>#VALUE!</v>
      </c>
      <c r="M1194" t="e">
        <f t="shared" ca="1" si="574"/>
        <v>#VALUE!</v>
      </c>
      <c r="N1194" t="e">
        <f t="shared" ca="1" si="575"/>
        <v>#VALUE!</v>
      </c>
      <c r="O1194" t="e">
        <f t="shared" ca="1" si="576"/>
        <v>#VALUE!</v>
      </c>
      <c r="P1194" t="e">
        <f t="shared" ca="1" si="577"/>
        <v>#VALUE!</v>
      </c>
      <c r="Q1194" t="e">
        <f t="shared" ca="1" si="578"/>
        <v>#VALUE!</v>
      </c>
      <c r="R1194" t="e">
        <f t="shared" ca="1" si="579"/>
        <v>#VALUE!</v>
      </c>
      <c r="S1194" t="e">
        <f t="shared" ca="1" si="580"/>
        <v>#VALUE!</v>
      </c>
      <c r="T1194" t="e">
        <f t="shared" ca="1" si="581"/>
        <v>#VALUE!</v>
      </c>
      <c r="U1194" t="e">
        <f t="shared" ca="1" si="602"/>
        <v>#VALUE!</v>
      </c>
      <c r="V1194" t="e">
        <f t="shared" ca="1" si="603"/>
        <v>#VALUE!</v>
      </c>
      <c r="W1194" t="e">
        <f t="shared" ca="1" si="582"/>
        <v>#VALUE!</v>
      </c>
      <c r="X1194" t="e">
        <f t="shared" ca="1" si="583"/>
        <v>#VALUE!</v>
      </c>
      <c r="Y1194" t="e">
        <f t="shared" ca="1" si="584"/>
        <v>#VALUE!</v>
      </c>
      <c r="Z1194" t="e">
        <f t="shared" ca="1" si="585"/>
        <v>#VALUE!</v>
      </c>
      <c r="AA1194" t="e">
        <f t="shared" ca="1" si="586"/>
        <v>#VALUE!</v>
      </c>
      <c r="AB1194" t="e">
        <f t="shared" ca="1" si="587"/>
        <v>#VALUE!</v>
      </c>
      <c r="AC1194" t="e">
        <f t="shared" ca="1" si="588"/>
        <v>#VALUE!</v>
      </c>
      <c r="AD1194" t="e">
        <f t="shared" ca="1" si="589"/>
        <v>#VALUE!</v>
      </c>
      <c r="AE1194" t="e">
        <f t="shared" ca="1" si="590"/>
        <v>#VALUE!</v>
      </c>
      <c r="AF1194" t="e">
        <f t="shared" ca="1" si="591"/>
        <v>#VALUE!</v>
      </c>
      <c r="AG1194" t="e">
        <f t="shared" ca="1" si="592"/>
        <v>#VALUE!</v>
      </c>
      <c r="AH1194" t="e">
        <f ca="1">IF(V32="Supercritical",L1194,IF(V32="Subcritical",W1194,IF(AND(V1194=1,AG1194=1),IF(T1194&gt;=AE1194,L1194,W1194),IF(V1194=1,L1194,IF(AG1194=1,W1194,MAX($D$16,POWER((ABS(K1194)^2)/($I$5*MAX(F1194,0.1)^2),1/3)))))))</f>
        <v>#VALUE!</v>
      </c>
      <c r="AI1194" t="e">
        <f t="shared" ca="1" si="593"/>
        <v>#VALUE!</v>
      </c>
      <c r="AJ1194" t="e">
        <f t="shared" ca="1" si="594"/>
        <v>#VALUE!</v>
      </c>
      <c r="AM1194">
        <v>0</v>
      </c>
      <c r="AN1194">
        <v>0</v>
      </c>
      <c r="AO1194">
        <f t="shared" si="595"/>
        <v>0</v>
      </c>
      <c r="AP1194">
        <f t="shared" si="604"/>
        <v>0</v>
      </c>
      <c r="AQ1194" t="e">
        <f t="shared" ca="1" si="596"/>
        <v>#VALUE!</v>
      </c>
      <c r="AR1194" t="e">
        <f t="shared" ca="1" si="597"/>
        <v>#VALUE!</v>
      </c>
      <c r="AS1194" t="e">
        <f t="shared" ca="1" si="598"/>
        <v>#VALUE!</v>
      </c>
    </row>
    <row r="1195" spans="1:45" x14ac:dyDescent="0.35">
      <c r="A1195">
        <v>1046</v>
      </c>
      <c r="B1195">
        <v>1044.8889999999999</v>
      </c>
      <c r="C1195">
        <v>616079.26399999997</v>
      </c>
      <c r="D1195">
        <v>3096959.0890000002</v>
      </c>
      <c r="E1195">
        <v>632.03949999999998</v>
      </c>
      <c r="F1195">
        <v>5.2</v>
      </c>
      <c r="G1195">
        <v>0</v>
      </c>
      <c r="H1195" t="s">
        <v>191</v>
      </c>
      <c r="I1195">
        <v>5.7000000000000002E-2</v>
      </c>
      <c r="J1195">
        <f t="shared" si="599"/>
        <v>1</v>
      </c>
      <c r="K1195">
        <f t="shared" si="600"/>
        <v>51</v>
      </c>
      <c r="L1195" t="e">
        <f t="shared" ca="1" si="601"/>
        <v>#VALUE!</v>
      </c>
      <c r="M1195" t="e">
        <f t="shared" ca="1" si="574"/>
        <v>#VALUE!</v>
      </c>
      <c r="N1195" t="e">
        <f t="shared" ca="1" si="575"/>
        <v>#VALUE!</v>
      </c>
      <c r="O1195" t="e">
        <f t="shared" ca="1" si="576"/>
        <v>#VALUE!</v>
      </c>
      <c r="P1195" t="e">
        <f t="shared" ca="1" si="577"/>
        <v>#VALUE!</v>
      </c>
      <c r="Q1195" t="e">
        <f t="shared" ca="1" si="578"/>
        <v>#VALUE!</v>
      </c>
      <c r="R1195" t="e">
        <f t="shared" ca="1" si="579"/>
        <v>#VALUE!</v>
      </c>
      <c r="S1195" t="e">
        <f t="shared" ca="1" si="580"/>
        <v>#VALUE!</v>
      </c>
      <c r="T1195" t="e">
        <f t="shared" ca="1" si="581"/>
        <v>#VALUE!</v>
      </c>
      <c r="U1195" t="e">
        <f t="shared" ca="1" si="602"/>
        <v>#VALUE!</v>
      </c>
      <c r="V1195" t="e">
        <f t="shared" ca="1" si="603"/>
        <v>#VALUE!</v>
      </c>
      <c r="W1195" t="e">
        <f t="shared" ca="1" si="582"/>
        <v>#VALUE!</v>
      </c>
      <c r="X1195" t="e">
        <f t="shared" ca="1" si="583"/>
        <v>#VALUE!</v>
      </c>
      <c r="Y1195" t="e">
        <f t="shared" ca="1" si="584"/>
        <v>#VALUE!</v>
      </c>
      <c r="Z1195" t="e">
        <f t="shared" ca="1" si="585"/>
        <v>#VALUE!</v>
      </c>
      <c r="AA1195" t="e">
        <f t="shared" ca="1" si="586"/>
        <v>#VALUE!</v>
      </c>
      <c r="AB1195" t="e">
        <f t="shared" ca="1" si="587"/>
        <v>#VALUE!</v>
      </c>
      <c r="AC1195" t="e">
        <f t="shared" ca="1" si="588"/>
        <v>#VALUE!</v>
      </c>
      <c r="AD1195" t="e">
        <f t="shared" ca="1" si="589"/>
        <v>#VALUE!</v>
      </c>
      <c r="AE1195" t="e">
        <f t="shared" ca="1" si="590"/>
        <v>#VALUE!</v>
      </c>
      <c r="AF1195" t="e">
        <f t="shared" ca="1" si="591"/>
        <v>#VALUE!</v>
      </c>
      <c r="AG1195" t="e">
        <f t="shared" ca="1" si="592"/>
        <v>#VALUE!</v>
      </c>
      <c r="AH1195" t="e">
        <f ca="1">IF(V32="Supercritical",L1195,IF(V32="Subcritical",W1195,IF(AND(V1195=1,AG1195=1),IF(T1195&gt;=AE1195,L1195,W1195),IF(V1195=1,L1195,IF(AG1195=1,W1195,MAX($D$16,POWER((ABS(K1195)^2)/($I$5*MAX(F1195,0.1)^2),1/3)))))))</f>
        <v>#VALUE!</v>
      </c>
      <c r="AI1195" t="e">
        <f t="shared" ca="1" si="593"/>
        <v>#VALUE!</v>
      </c>
      <c r="AJ1195" t="e">
        <f t="shared" ca="1" si="594"/>
        <v>#VALUE!</v>
      </c>
      <c r="AM1195">
        <v>0</v>
      </c>
      <c r="AN1195">
        <v>0</v>
      </c>
      <c r="AO1195">
        <f t="shared" si="595"/>
        <v>0</v>
      </c>
      <c r="AP1195">
        <f t="shared" si="604"/>
        <v>0</v>
      </c>
      <c r="AQ1195" t="e">
        <f t="shared" ca="1" si="596"/>
        <v>#VALUE!</v>
      </c>
      <c r="AR1195" t="e">
        <f t="shared" ca="1" si="597"/>
        <v>#VALUE!</v>
      </c>
      <c r="AS1195" t="e">
        <f t="shared" ca="1" si="598"/>
        <v>#VALUE!</v>
      </c>
    </row>
    <row r="1196" spans="1:45" x14ac:dyDescent="0.35">
      <c r="A1196">
        <v>1047</v>
      </c>
      <c r="B1196">
        <v>1045.8889999999999</v>
      </c>
      <c r="C1196">
        <v>616079.22199999995</v>
      </c>
      <c r="D1196">
        <v>3096958.09</v>
      </c>
      <c r="E1196">
        <v>632.03899999999999</v>
      </c>
      <c r="F1196">
        <v>5.2</v>
      </c>
      <c r="G1196">
        <v>0</v>
      </c>
      <c r="H1196" t="s">
        <v>191</v>
      </c>
      <c r="I1196">
        <v>0</v>
      </c>
      <c r="J1196">
        <f t="shared" si="599"/>
        <v>1</v>
      </c>
      <c r="K1196">
        <f t="shared" si="600"/>
        <v>51</v>
      </c>
      <c r="L1196" t="e">
        <f t="shared" ca="1" si="601"/>
        <v>#VALUE!</v>
      </c>
      <c r="M1196" t="e">
        <f t="shared" ca="1" si="574"/>
        <v>#VALUE!</v>
      </c>
      <c r="N1196" t="e">
        <f t="shared" ca="1" si="575"/>
        <v>#VALUE!</v>
      </c>
      <c r="O1196" t="e">
        <f t="shared" ca="1" si="576"/>
        <v>#VALUE!</v>
      </c>
      <c r="P1196" t="e">
        <f t="shared" ca="1" si="577"/>
        <v>#VALUE!</v>
      </c>
      <c r="Q1196" t="e">
        <f t="shared" ca="1" si="578"/>
        <v>#VALUE!</v>
      </c>
      <c r="R1196" t="e">
        <f t="shared" ca="1" si="579"/>
        <v>#VALUE!</v>
      </c>
      <c r="S1196" t="e">
        <f t="shared" ca="1" si="580"/>
        <v>#VALUE!</v>
      </c>
      <c r="T1196" t="e">
        <f t="shared" ca="1" si="581"/>
        <v>#VALUE!</v>
      </c>
      <c r="U1196" t="e">
        <f t="shared" ca="1" si="602"/>
        <v>#VALUE!</v>
      </c>
      <c r="V1196" t="e">
        <f t="shared" ca="1" si="603"/>
        <v>#VALUE!</v>
      </c>
      <c r="W1196" t="e">
        <f t="shared" ca="1" si="582"/>
        <v>#VALUE!</v>
      </c>
      <c r="X1196" t="e">
        <f t="shared" ca="1" si="583"/>
        <v>#VALUE!</v>
      </c>
      <c r="Y1196" t="e">
        <f t="shared" ca="1" si="584"/>
        <v>#VALUE!</v>
      </c>
      <c r="Z1196" t="e">
        <f t="shared" ca="1" si="585"/>
        <v>#VALUE!</v>
      </c>
      <c r="AA1196" t="e">
        <f t="shared" ca="1" si="586"/>
        <v>#VALUE!</v>
      </c>
      <c r="AB1196" t="e">
        <f t="shared" ca="1" si="587"/>
        <v>#VALUE!</v>
      </c>
      <c r="AC1196" t="e">
        <f t="shared" ca="1" si="588"/>
        <v>#VALUE!</v>
      </c>
      <c r="AD1196" t="e">
        <f t="shared" ca="1" si="589"/>
        <v>#VALUE!</v>
      </c>
      <c r="AE1196" t="e">
        <f t="shared" ca="1" si="590"/>
        <v>#VALUE!</v>
      </c>
      <c r="AF1196" t="e">
        <f t="shared" ca="1" si="591"/>
        <v>#VALUE!</v>
      </c>
      <c r="AG1196" t="e">
        <f t="shared" ca="1" si="592"/>
        <v>#VALUE!</v>
      </c>
      <c r="AH1196" t="e">
        <f ca="1">IF(V32="Supercritical",L1196,IF(V32="Subcritical",W1196,IF(AND(V1196=1,AG1196=1),IF(T1196&gt;=AE1196,L1196,W1196),IF(V1196=1,L1196,IF(AG1196=1,W1196,MAX($D$16,POWER((ABS(K1196)^2)/($I$5*MAX(F1196,0.1)^2),1/3)))))))</f>
        <v>#VALUE!</v>
      </c>
      <c r="AI1196" t="e">
        <f t="shared" ca="1" si="593"/>
        <v>#VALUE!</v>
      </c>
      <c r="AJ1196" t="e">
        <f t="shared" ca="1" si="594"/>
        <v>#VALUE!</v>
      </c>
      <c r="AM1196">
        <v>0</v>
      </c>
      <c r="AN1196">
        <v>0</v>
      </c>
      <c r="AO1196">
        <f t="shared" si="595"/>
        <v>0</v>
      </c>
      <c r="AP1196">
        <f t="shared" si="604"/>
        <v>0</v>
      </c>
      <c r="AQ1196" t="e">
        <f t="shared" ca="1" si="596"/>
        <v>#VALUE!</v>
      </c>
      <c r="AR1196" t="e">
        <f t="shared" ca="1" si="597"/>
        <v>#VALUE!</v>
      </c>
      <c r="AS1196" t="e">
        <f t="shared" ca="1" si="598"/>
        <v>#VALUE!</v>
      </c>
    </row>
    <row r="1197" spans="1:45" x14ac:dyDescent="0.35">
      <c r="A1197">
        <v>1048</v>
      </c>
      <c r="B1197">
        <v>1046.8889999999999</v>
      </c>
      <c r="C1197">
        <v>616079.18000000005</v>
      </c>
      <c r="D1197">
        <v>3096957.091</v>
      </c>
      <c r="E1197">
        <v>632.0385</v>
      </c>
      <c r="F1197">
        <v>5.2</v>
      </c>
      <c r="G1197">
        <v>0</v>
      </c>
      <c r="H1197" t="s">
        <v>191</v>
      </c>
      <c r="I1197">
        <v>0</v>
      </c>
      <c r="J1197">
        <f t="shared" si="599"/>
        <v>1</v>
      </c>
      <c r="K1197">
        <f t="shared" si="600"/>
        <v>51</v>
      </c>
      <c r="L1197" t="e">
        <f t="shared" ca="1" si="601"/>
        <v>#VALUE!</v>
      </c>
      <c r="M1197" t="e">
        <f t="shared" ca="1" si="574"/>
        <v>#VALUE!</v>
      </c>
      <c r="N1197" t="e">
        <f t="shared" ca="1" si="575"/>
        <v>#VALUE!</v>
      </c>
      <c r="O1197" t="e">
        <f t="shared" ca="1" si="576"/>
        <v>#VALUE!</v>
      </c>
      <c r="P1197" t="e">
        <f t="shared" ca="1" si="577"/>
        <v>#VALUE!</v>
      </c>
      <c r="Q1197" t="e">
        <f t="shared" ca="1" si="578"/>
        <v>#VALUE!</v>
      </c>
      <c r="R1197" t="e">
        <f t="shared" ca="1" si="579"/>
        <v>#VALUE!</v>
      </c>
      <c r="S1197" t="e">
        <f t="shared" ca="1" si="580"/>
        <v>#VALUE!</v>
      </c>
      <c r="T1197" t="e">
        <f t="shared" ca="1" si="581"/>
        <v>#VALUE!</v>
      </c>
      <c r="U1197" t="e">
        <f t="shared" ca="1" si="602"/>
        <v>#VALUE!</v>
      </c>
      <c r="V1197" t="e">
        <f t="shared" ca="1" si="603"/>
        <v>#VALUE!</v>
      </c>
      <c r="W1197" t="e">
        <f t="shared" ca="1" si="582"/>
        <v>#VALUE!</v>
      </c>
      <c r="X1197" t="e">
        <f t="shared" ca="1" si="583"/>
        <v>#VALUE!</v>
      </c>
      <c r="Y1197" t="e">
        <f t="shared" ca="1" si="584"/>
        <v>#VALUE!</v>
      </c>
      <c r="Z1197" t="e">
        <f t="shared" ca="1" si="585"/>
        <v>#VALUE!</v>
      </c>
      <c r="AA1197" t="e">
        <f t="shared" ca="1" si="586"/>
        <v>#VALUE!</v>
      </c>
      <c r="AB1197" t="e">
        <f t="shared" ca="1" si="587"/>
        <v>#VALUE!</v>
      </c>
      <c r="AC1197" t="e">
        <f t="shared" ca="1" si="588"/>
        <v>#VALUE!</v>
      </c>
      <c r="AD1197" t="e">
        <f t="shared" ca="1" si="589"/>
        <v>#VALUE!</v>
      </c>
      <c r="AE1197" t="e">
        <f t="shared" ca="1" si="590"/>
        <v>#VALUE!</v>
      </c>
      <c r="AF1197" t="e">
        <f t="shared" ca="1" si="591"/>
        <v>#VALUE!</v>
      </c>
      <c r="AG1197" t="e">
        <f t="shared" ca="1" si="592"/>
        <v>#VALUE!</v>
      </c>
      <c r="AH1197" t="e">
        <f ca="1">IF(V32="Supercritical",L1197,IF(V32="Subcritical",W1197,IF(AND(V1197=1,AG1197=1),IF(T1197&gt;=AE1197,L1197,W1197),IF(V1197=1,L1197,IF(AG1197=1,W1197,MAX($D$16,POWER((ABS(K1197)^2)/($I$5*MAX(F1197,0.1)^2),1/3)))))))</f>
        <v>#VALUE!</v>
      </c>
      <c r="AI1197" t="e">
        <f t="shared" ca="1" si="593"/>
        <v>#VALUE!</v>
      </c>
      <c r="AJ1197" t="e">
        <f t="shared" ca="1" si="594"/>
        <v>#VALUE!</v>
      </c>
      <c r="AM1197">
        <v>0</v>
      </c>
      <c r="AN1197">
        <v>0</v>
      </c>
      <c r="AO1197">
        <f t="shared" si="595"/>
        <v>0</v>
      </c>
      <c r="AP1197">
        <f t="shared" si="604"/>
        <v>0</v>
      </c>
      <c r="AQ1197" t="e">
        <f t="shared" ca="1" si="596"/>
        <v>#VALUE!</v>
      </c>
      <c r="AR1197" t="e">
        <f t="shared" ca="1" si="597"/>
        <v>#VALUE!</v>
      </c>
      <c r="AS1197" t="e">
        <f t="shared" ca="1" si="598"/>
        <v>#VALUE!</v>
      </c>
    </row>
    <row r="1198" spans="1:45" x14ac:dyDescent="0.35">
      <c r="A1198">
        <v>1049</v>
      </c>
      <c r="B1198">
        <v>1047.8889999999999</v>
      </c>
      <c r="C1198">
        <v>616079.13800000004</v>
      </c>
      <c r="D1198">
        <v>3096956.0920000002</v>
      </c>
      <c r="E1198">
        <v>632.03800000000001</v>
      </c>
      <c r="F1198">
        <v>5.2</v>
      </c>
      <c r="G1198">
        <v>0</v>
      </c>
      <c r="H1198" t="s">
        <v>191</v>
      </c>
      <c r="I1198">
        <v>5.7000000000000002E-2</v>
      </c>
      <c r="J1198">
        <f t="shared" si="599"/>
        <v>1</v>
      </c>
      <c r="K1198">
        <f t="shared" si="600"/>
        <v>51</v>
      </c>
      <c r="L1198" t="e">
        <f t="shared" ca="1" si="601"/>
        <v>#VALUE!</v>
      </c>
      <c r="M1198" t="e">
        <f t="shared" ca="1" si="574"/>
        <v>#VALUE!</v>
      </c>
      <c r="N1198" t="e">
        <f t="shared" ca="1" si="575"/>
        <v>#VALUE!</v>
      </c>
      <c r="O1198" t="e">
        <f t="shared" ca="1" si="576"/>
        <v>#VALUE!</v>
      </c>
      <c r="P1198" t="e">
        <f t="shared" ca="1" si="577"/>
        <v>#VALUE!</v>
      </c>
      <c r="Q1198" t="e">
        <f t="shared" ca="1" si="578"/>
        <v>#VALUE!</v>
      </c>
      <c r="R1198" t="e">
        <f t="shared" ca="1" si="579"/>
        <v>#VALUE!</v>
      </c>
      <c r="S1198" t="e">
        <f t="shared" ca="1" si="580"/>
        <v>#VALUE!</v>
      </c>
      <c r="T1198" t="e">
        <f t="shared" ca="1" si="581"/>
        <v>#VALUE!</v>
      </c>
      <c r="U1198" t="e">
        <f t="shared" ca="1" si="602"/>
        <v>#VALUE!</v>
      </c>
      <c r="V1198" t="e">
        <f t="shared" ca="1" si="603"/>
        <v>#VALUE!</v>
      </c>
      <c r="W1198" t="e">
        <f t="shared" ca="1" si="582"/>
        <v>#VALUE!</v>
      </c>
      <c r="X1198" t="e">
        <f t="shared" ca="1" si="583"/>
        <v>#VALUE!</v>
      </c>
      <c r="Y1198" t="e">
        <f t="shared" ca="1" si="584"/>
        <v>#VALUE!</v>
      </c>
      <c r="Z1198" t="e">
        <f t="shared" ca="1" si="585"/>
        <v>#VALUE!</v>
      </c>
      <c r="AA1198" t="e">
        <f t="shared" ca="1" si="586"/>
        <v>#VALUE!</v>
      </c>
      <c r="AB1198" t="e">
        <f t="shared" ca="1" si="587"/>
        <v>#VALUE!</v>
      </c>
      <c r="AC1198" t="e">
        <f t="shared" ca="1" si="588"/>
        <v>#VALUE!</v>
      </c>
      <c r="AD1198" t="e">
        <f t="shared" ca="1" si="589"/>
        <v>#VALUE!</v>
      </c>
      <c r="AE1198" t="e">
        <f t="shared" ca="1" si="590"/>
        <v>#VALUE!</v>
      </c>
      <c r="AF1198" t="e">
        <f t="shared" ca="1" si="591"/>
        <v>#VALUE!</v>
      </c>
      <c r="AG1198" t="e">
        <f t="shared" ca="1" si="592"/>
        <v>#VALUE!</v>
      </c>
      <c r="AH1198" t="e">
        <f ca="1">IF(V32="Supercritical",L1198,IF(V32="Subcritical",W1198,IF(AND(V1198=1,AG1198=1),IF(T1198&gt;=AE1198,L1198,W1198),IF(V1198=1,L1198,IF(AG1198=1,W1198,MAX($D$16,POWER((ABS(K1198)^2)/($I$5*MAX(F1198,0.1)^2),1/3)))))))</f>
        <v>#VALUE!</v>
      </c>
      <c r="AI1198" t="e">
        <f t="shared" ca="1" si="593"/>
        <v>#VALUE!</v>
      </c>
      <c r="AJ1198" t="e">
        <f t="shared" ca="1" si="594"/>
        <v>#VALUE!</v>
      </c>
      <c r="AM1198">
        <v>0</v>
      </c>
      <c r="AN1198">
        <v>0</v>
      </c>
      <c r="AO1198">
        <f t="shared" si="595"/>
        <v>0</v>
      </c>
      <c r="AP1198">
        <f t="shared" si="604"/>
        <v>0</v>
      </c>
      <c r="AQ1198" t="e">
        <f t="shared" ca="1" si="596"/>
        <v>#VALUE!</v>
      </c>
      <c r="AR1198" t="e">
        <f t="shared" ca="1" si="597"/>
        <v>#VALUE!</v>
      </c>
      <c r="AS1198" t="e">
        <f t="shared" ca="1" si="598"/>
        <v>#VALUE!</v>
      </c>
    </row>
    <row r="1199" spans="1:45" x14ac:dyDescent="0.35">
      <c r="A1199">
        <v>1050</v>
      </c>
      <c r="B1199">
        <v>1048.8889999999999</v>
      </c>
      <c r="C1199">
        <v>616079.09499999997</v>
      </c>
      <c r="D1199">
        <v>3096955.0929999999</v>
      </c>
      <c r="E1199">
        <v>632.03750000000002</v>
      </c>
      <c r="F1199">
        <v>5.2</v>
      </c>
      <c r="G1199">
        <v>0</v>
      </c>
      <c r="H1199" t="s">
        <v>191</v>
      </c>
      <c r="I1199">
        <v>0.06</v>
      </c>
      <c r="J1199">
        <f t="shared" si="599"/>
        <v>1</v>
      </c>
      <c r="K1199">
        <f t="shared" si="600"/>
        <v>51</v>
      </c>
      <c r="L1199" t="e">
        <f t="shared" ca="1" si="601"/>
        <v>#VALUE!</v>
      </c>
      <c r="M1199" t="e">
        <f t="shared" ca="1" si="574"/>
        <v>#VALUE!</v>
      </c>
      <c r="N1199" t="e">
        <f t="shared" ca="1" si="575"/>
        <v>#VALUE!</v>
      </c>
      <c r="O1199" t="e">
        <f t="shared" ca="1" si="576"/>
        <v>#VALUE!</v>
      </c>
      <c r="P1199" t="e">
        <f t="shared" ca="1" si="577"/>
        <v>#VALUE!</v>
      </c>
      <c r="Q1199" t="e">
        <f t="shared" ca="1" si="578"/>
        <v>#VALUE!</v>
      </c>
      <c r="R1199" t="e">
        <f t="shared" ca="1" si="579"/>
        <v>#VALUE!</v>
      </c>
      <c r="S1199" t="e">
        <f t="shared" ca="1" si="580"/>
        <v>#VALUE!</v>
      </c>
      <c r="T1199" t="e">
        <f t="shared" ca="1" si="581"/>
        <v>#VALUE!</v>
      </c>
      <c r="U1199" t="e">
        <f t="shared" ca="1" si="602"/>
        <v>#VALUE!</v>
      </c>
      <c r="V1199" t="e">
        <f t="shared" ca="1" si="603"/>
        <v>#VALUE!</v>
      </c>
      <c r="W1199" t="e">
        <f t="shared" ca="1" si="582"/>
        <v>#VALUE!</v>
      </c>
      <c r="X1199" t="e">
        <f t="shared" ca="1" si="583"/>
        <v>#VALUE!</v>
      </c>
      <c r="Y1199" t="e">
        <f t="shared" ca="1" si="584"/>
        <v>#VALUE!</v>
      </c>
      <c r="Z1199" t="e">
        <f t="shared" ca="1" si="585"/>
        <v>#VALUE!</v>
      </c>
      <c r="AA1199" t="e">
        <f t="shared" ca="1" si="586"/>
        <v>#VALUE!</v>
      </c>
      <c r="AB1199" t="e">
        <f t="shared" ca="1" si="587"/>
        <v>#VALUE!</v>
      </c>
      <c r="AC1199" t="e">
        <f t="shared" ca="1" si="588"/>
        <v>#VALUE!</v>
      </c>
      <c r="AD1199" t="e">
        <f t="shared" ca="1" si="589"/>
        <v>#VALUE!</v>
      </c>
      <c r="AE1199" t="e">
        <f t="shared" ca="1" si="590"/>
        <v>#VALUE!</v>
      </c>
      <c r="AF1199" t="e">
        <f t="shared" ca="1" si="591"/>
        <v>#VALUE!</v>
      </c>
      <c r="AG1199" t="e">
        <f t="shared" ca="1" si="592"/>
        <v>#VALUE!</v>
      </c>
      <c r="AH1199" t="e">
        <f ca="1">IF(V32="Supercritical",L1199,IF(V32="Subcritical",W1199,IF(AND(V1199=1,AG1199=1),IF(T1199&gt;=AE1199,L1199,W1199),IF(V1199=1,L1199,IF(AG1199=1,W1199,MAX($D$16,POWER((ABS(K1199)^2)/($I$5*MAX(F1199,0.1)^2),1/3)))))))</f>
        <v>#VALUE!</v>
      </c>
      <c r="AI1199" t="e">
        <f t="shared" ca="1" si="593"/>
        <v>#VALUE!</v>
      </c>
      <c r="AJ1199" t="e">
        <f t="shared" ca="1" si="594"/>
        <v>#VALUE!</v>
      </c>
      <c r="AM1199">
        <v>0</v>
      </c>
      <c r="AN1199">
        <v>0</v>
      </c>
      <c r="AO1199">
        <f t="shared" si="595"/>
        <v>0</v>
      </c>
      <c r="AP1199">
        <f t="shared" si="604"/>
        <v>0</v>
      </c>
      <c r="AQ1199" t="e">
        <f t="shared" ca="1" si="596"/>
        <v>#VALUE!</v>
      </c>
      <c r="AR1199" t="e">
        <f t="shared" ca="1" si="597"/>
        <v>#VALUE!</v>
      </c>
      <c r="AS1199" t="e">
        <f t="shared" ca="1" si="598"/>
        <v>#VALUE!</v>
      </c>
    </row>
    <row r="1200" spans="1:45" x14ac:dyDescent="0.35">
      <c r="A1200">
        <v>1051</v>
      </c>
      <c r="B1200">
        <v>1049.8900000000001</v>
      </c>
      <c r="C1200">
        <v>616079.05299999996</v>
      </c>
      <c r="D1200">
        <v>3096954.0929999999</v>
      </c>
      <c r="E1200">
        <v>632.03700000000003</v>
      </c>
      <c r="F1200">
        <v>5.2</v>
      </c>
      <c r="G1200">
        <v>0</v>
      </c>
      <c r="H1200" t="s">
        <v>191</v>
      </c>
      <c r="I1200">
        <v>2E-3</v>
      </c>
      <c r="J1200">
        <f t="shared" si="599"/>
        <v>1.0010000000002037</v>
      </c>
      <c r="K1200">
        <f t="shared" si="600"/>
        <v>51</v>
      </c>
      <c r="L1200" t="e">
        <f t="shared" ca="1" si="601"/>
        <v>#VALUE!</v>
      </c>
      <c r="M1200" t="e">
        <f t="shared" ca="1" si="574"/>
        <v>#VALUE!</v>
      </c>
      <c r="N1200" t="e">
        <f t="shared" ca="1" si="575"/>
        <v>#VALUE!</v>
      </c>
      <c r="O1200" t="e">
        <f t="shared" ca="1" si="576"/>
        <v>#VALUE!</v>
      </c>
      <c r="P1200" t="e">
        <f t="shared" ca="1" si="577"/>
        <v>#VALUE!</v>
      </c>
      <c r="Q1200" t="e">
        <f t="shared" ca="1" si="578"/>
        <v>#VALUE!</v>
      </c>
      <c r="R1200" t="e">
        <f t="shared" ca="1" si="579"/>
        <v>#VALUE!</v>
      </c>
      <c r="S1200" t="e">
        <f t="shared" ca="1" si="580"/>
        <v>#VALUE!</v>
      </c>
      <c r="T1200" t="e">
        <f t="shared" ca="1" si="581"/>
        <v>#VALUE!</v>
      </c>
      <c r="U1200" t="e">
        <f t="shared" ca="1" si="602"/>
        <v>#VALUE!</v>
      </c>
      <c r="V1200" t="e">
        <f t="shared" ca="1" si="603"/>
        <v>#VALUE!</v>
      </c>
      <c r="W1200" t="e">
        <f t="shared" ca="1" si="582"/>
        <v>#VALUE!</v>
      </c>
      <c r="X1200" t="e">
        <f t="shared" ca="1" si="583"/>
        <v>#VALUE!</v>
      </c>
      <c r="Y1200" t="e">
        <f t="shared" ca="1" si="584"/>
        <v>#VALUE!</v>
      </c>
      <c r="Z1200" t="e">
        <f t="shared" ca="1" si="585"/>
        <v>#VALUE!</v>
      </c>
      <c r="AA1200" t="e">
        <f t="shared" ca="1" si="586"/>
        <v>#VALUE!</v>
      </c>
      <c r="AB1200" t="e">
        <f t="shared" ca="1" si="587"/>
        <v>#VALUE!</v>
      </c>
      <c r="AC1200" t="e">
        <f t="shared" ca="1" si="588"/>
        <v>#VALUE!</v>
      </c>
      <c r="AD1200" t="e">
        <f t="shared" ca="1" si="589"/>
        <v>#VALUE!</v>
      </c>
      <c r="AE1200" t="e">
        <f t="shared" ca="1" si="590"/>
        <v>#VALUE!</v>
      </c>
      <c r="AF1200" t="e">
        <f t="shared" ca="1" si="591"/>
        <v>#VALUE!</v>
      </c>
      <c r="AG1200" t="e">
        <f t="shared" ca="1" si="592"/>
        <v>#VALUE!</v>
      </c>
      <c r="AH1200" t="e">
        <f ca="1">IF(V32="Supercritical",L1200,IF(V32="Subcritical",W1200,IF(AND(V1200=1,AG1200=1),IF(T1200&gt;=AE1200,L1200,W1200),IF(V1200=1,L1200,IF(AG1200=1,W1200,MAX($D$16,POWER((ABS(K1200)^2)/($I$5*MAX(F1200,0.1)^2),1/3)))))))</f>
        <v>#VALUE!</v>
      </c>
      <c r="AI1200" t="e">
        <f t="shared" ca="1" si="593"/>
        <v>#VALUE!</v>
      </c>
      <c r="AJ1200" t="e">
        <f t="shared" ca="1" si="594"/>
        <v>#VALUE!</v>
      </c>
      <c r="AM1200">
        <v>0</v>
      </c>
      <c r="AN1200">
        <v>0</v>
      </c>
      <c r="AO1200">
        <f t="shared" si="595"/>
        <v>0</v>
      </c>
      <c r="AP1200">
        <f t="shared" si="604"/>
        <v>0</v>
      </c>
      <c r="AQ1200" t="e">
        <f t="shared" ca="1" si="596"/>
        <v>#VALUE!</v>
      </c>
      <c r="AR1200" t="e">
        <f t="shared" ca="1" si="597"/>
        <v>#VALUE!</v>
      </c>
      <c r="AS1200" t="e">
        <f t="shared" ca="1" si="598"/>
        <v>#VALUE!</v>
      </c>
    </row>
    <row r="1201" spans="1:45" x14ac:dyDescent="0.35">
      <c r="A1201">
        <v>1052</v>
      </c>
      <c r="B1201">
        <v>1050.8900000000001</v>
      </c>
      <c r="C1201">
        <v>616079.01100000006</v>
      </c>
      <c r="D1201">
        <v>3096953.094</v>
      </c>
      <c r="E1201">
        <v>632.03650000000005</v>
      </c>
      <c r="F1201">
        <v>5.2</v>
      </c>
      <c r="G1201">
        <v>0</v>
      </c>
      <c r="H1201" t="s">
        <v>191</v>
      </c>
      <c r="I1201">
        <v>0</v>
      </c>
      <c r="J1201">
        <f t="shared" si="599"/>
        <v>1</v>
      </c>
      <c r="K1201">
        <f t="shared" si="600"/>
        <v>51</v>
      </c>
      <c r="L1201" t="e">
        <f t="shared" ca="1" si="601"/>
        <v>#VALUE!</v>
      </c>
      <c r="M1201" t="e">
        <f t="shared" ca="1" si="574"/>
        <v>#VALUE!</v>
      </c>
      <c r="N1201" t="e">
        <f t="shared" ca="1" si="575"/>
        <v>#VALUE!</v>
      </c>
      <c r="O1201" t="e">
        <f t="shared" ca="1" si="576"/>
        <v>#VALUE!</v>
      </c>
      <c r="P1201" t="e">
        <f t="shared" ca="1" si="577"/>
        <v>#VALUE!</v>
      </c>
      <c r="Q1201" t="e">
        <f t="shared" ca="1" si="578"/>
        <v>#VALUE!</v>
      </c>
      <c r="R1201" t="e">
        <f t="shared" ca="1" si="579"/>
        <v>#VALUE!</v>
      </c>
      <c r="S1201" t="e">
        <f t="shared" ca="1" si="580"/>
        <v>#VALUE!</v>
      </c>
      <c r="T1201" t="e">
        <f t="shared" ca="1" si="581"/>
        <v>#VALUE!</v>
      </c>
      <c r="U1201" t="e">
        <f t="shared" ca="1" si="602"/>
        <v>#VALUE!</v>
      </c>
      <c r="V1201" t="e">
        <f t="shared" ca="1" si="603"/>
        <v>#VALUE!</v>
      </c>
      <c r="W1201" t="e">
        <f t="shared" ca="1" si="582"/>
        <v>#VALUE!</v>
      </c>
      <c r="X1201" t="e">
        <f t="shared" ca="1" si="583"/>
        <v>#VALUE!</v>
      </c>
      <c r="Y1201" t="e">
        <f t="shared" ca="1" si="584"/>
        <v>#VALUE!</v>
      </c>
      <c r="Z1201" t="e">
        <f t="shared" ca="1" si="585"/>
        <v>#VALUE!</v>
      </c>
      <c r="AA1201" t="e">
        <f t="shared" ca="1" si="586"/>
        <v>#VALUE!</v>
      </c>
      <c r="AB1201" t="e">
        <f t="shared" ca="1" si="587"/>
        <v>#VALUE!</v>
      </c>
      <c r="AC1201" t="e">
        <f t="shared" ca="1" si="588"/>
        <v>#VALUE!</v>
      </c>
      <c r="AD1201" t="e">
        <f t="shared" ca="1" si="589"/>
        <v>#VALUE!</v>
      </c>
      <c r="AE1201" t="e">
        <f t="shared" ca="1" si="590"/>
        <v>#VALUE!</v>
      </c>
      <c r="AF1201" t="e">
        <f t="shared" ca="1" si="591"/>
        <v>#VALUE!</v>
      </c>
      <c r="AG1201" t="e">
        <f t="shared" ca="1" si="592"/>
        <v>#VALUE!</v>
      </c>
      <c r="AH1201" t="e">
        <f ca="1">IF(V32="Supercritical",L1201,IF(V32="Subcritical",W1201,IF(AND(V1201=1,AG1201=1),IF(T1201&gt;=AE1201,L1201,W1201),IF(V1201=1,L1201,IF(AG1201=1,W1201,MAX($D$16,POWER((ABS(K1201)^2)/($I$5*MAX(F1201,0.1)^2),1/3)))))))</f>
        <v>#VALUE!</v>
      </c>
      <c r="AI1201" t="e">
        <f t="shared" ca="1" si="593"/>
        <v>#VALUE!</v>
      </c>
      <c r="AJ1201" t="e">
        <f t="shared" ca="1" si="594"/>
        <v>#VALUE!</v>
      </c>
      <c r="AM1201">
        <v>0</v>
      </c>
      <c r="AN1201">
        <v>0</v>
      </c>
      <c r="AO1201">
        <f t="shared" si="595"/>
        <v>0</v>
      </c>
      <c r="AP1201">
        <f t="shared" si="604"/>
        <v>0</v>
      </c>
      <c r="AQ1201" t="e">
        <f t="shared" ca="1" si="596"/>
        <v>#VALUE!</v>
      </c>
      <c r="AR1201" t="e">
        <f t="shared" ca="1" si="597"/>
        <v>#VALUE!</v>
      </c>
      <c r="AS1201" t="e">
        <f t="shared" ca="1" si="598"/>
        <v>#VALUE!</v>
      </c>
    </row>
    <row r="1202" spans="1:45" x14ac:dyDescent="0.35">
      <c r="A1202">
        <v>1053</v>
      </c>
      <c r="B1202">
        <v>1051.8889999999999</v>
      </c>
      <c r="C1202">
        <v>616078.96900000004</v>
      </c>
      <c r="D1202">
        <v>3096952.0950000002</v>
      </c>
      <c r="E1202">
        <v>632.03599999999994</v>
      </c>
      <c r="F1202">
        <v>5.2</v>
      </c>
      <c r="G1202">
        <v>0</v>
      </c>
      <c r="H1202" t="s">
        <v>191</v>
      </c>
      <c r="I1202">
        <v>5.7000000000000002E-2</v>
      </c>
      <c r="J1202">
        <f t="shared" si="599"/>
        <v>0.99899999999979627</v>
      </c>
      <c r="K1202">
        <f t="shared" si="600"/>
        <v>51</v>
      </c>
      <c r="L1202" t="e">
        <f t="shared" ca="1" si="601"/>
        <v>#VALUE!</v>
      </c>
      <c r="M1202" t="e">
        <f t="shared" ca="1" si="574"/>
        <v>#VALUE!</v>
      </c>
      <c r="N1202" t="e">
        <f t="shared" ca="1" si="575"/>
        <v>#VALUE!</v>
      </c>
      <c r="O1202" t="e">
        <f t="shared" ca="1" si="576"/>
        <v>#VALUE!</v>
      </c>
      <c r="P1202" t="e">
        <f t="shared" ca="1" si="577"/>
        <v>#VALUE!</v>
      </c>
      <c r="Q1202" t="e">
        <f t="shared" ca="1" si="578"/>
        <v>#VALUE!</v>
      </c>
      <c r="R1202" t="e">
        <f t="shared" ca="1" si="579"/>
        <v>#VALUE!</v>
      </c>
      <c r="S1202" t="e">
        <f t="shared" ca="1" si="580"/>
        <v>#VALUE!</v>
      </c>
      <c r="T1202" t="e">
        <f t="shared" ca="1" si="581"/>
        <v>#VALUE!</v>
      </c>
      <c r="U1202" t="e">
        <f t="shared" ca="1" si="602"/>
        <v>#VALUE!</v>
      </c>
      <c r="V1202" t="e">
        <f t="shared" ca="1" si="603"/>
        <v>#VALUE!</v>
      </c>
      <c r="W1202" t="e">
        <f t="shared" ca="1" si="582"/>
        <v>#VALUE!</v>
      </c>
      <c r="X1202" t="e">
        <f t="shared" ca="1" si="583"/>
        <v>#VALUE!</v>
      </c>
      <c r="Y1202" t="e">
        <f t="shared" ca="1" si="584"/>
        <v>#VALUE!</v>
      </c>
      <c r="Z1202" t="e">
        <f t="shared" ca="1" si="585"/>
        <v>#VALUE!</v>
      </c>
      <c r="AA1202" t="e">
        <f t="shared" ca="1" si="586"/>
        <v>#VALUE!</v>
      </c>
      <c r="AB1202" t="e">
        <f t="shared" ca="1" si="587"/>
        <v>#VALUE!</v>
      </c>
      <c r="AC1202" t="e">
        <f t="shared" ca="1" si="588"/>
        <v>#VALUE!</v>
      </c>
      <c r="AD1202" t="e">
        <f t="shared" ca="1" si="589"/>
        <v>#VALUE!</v>
      </c>
      <c r="AE1202" t="e">
        <f t="shared" ca="1" si="590"/>
        <v>#VALUE!</v>
      </c>
      <c r="AF1202" t="e">
        <f t="shared" ca="1" si="591"/>
        <v>#VALUE!</v>
      </c>
      <c r="AG1202" t="e">
        <f t="shared" ca="1" si="592"/>
        <v>#VALUE!</v>
      </c>
      <c r="AH1202" t="e">
        <f ca="1">IF(V32="Supercritical",L1202,IF(V32="Subcritical",W1202,IF(AND(V1202=1,AG1202=1),IF(T1202&gt;=AE1202,L1202,W1202),IF(V1202=1,L1202,IF(AG1202=1,W1202,MAX($D$16,POWER((ABS(K1202)^2)/($I$5*MAX(F1202,0.1)^2),1/3)))))))</f>
        <v>#VALUE!</v>
      </c>
      <c r="AI1202" t="e">
        <f t="shared" ca="1" si="593"/>
        <v>#VALUE!</v>
      </c>
      <c r="AJ1202" t="e">
        <f t="shared" ca="1" si="594"/>
        <v>#VALUE!</v>
      </c>
      <c r="AM1202">
        <v>0</v>
      </c>
      <c r="AN1202">
        <v>0</v>
      </c>
      <c r="AO1202">
        <f t="shared" si="595"/>
        <v>0</v>
      </c>
      <c r="AP1202">
        <f t="shared" si="604"/>
        <v>0</v>
      </c>
      <c r="AQ1202" t="e">
        <f t="shared" ca="1" si="596"/>
        <v>#VALUE!</v>
      </c>
      <c r="AR1202" t="e">
        <f t="shared" ca="1" si="597"/>
        <v>#VALUE!</v>
      </c>
      <c r="AS1202" t="e">
        <f t="shared" ca="1" si="598"/>
        <v>#VALUE!</v>
      </c>
    </row>
    <row r="1203" spans="1:45" x14ac:dyDescent="0.35">
      <c r="A1203">
        <v>1054</v>
      </c>
      <c r="B1203">
        <v>1052.8889999999999</v>
      </c>
      <c r="C1203">
        <v>616078.92599999998</v>
      </c>
      <c r="D1203">
        <v>3096951.0959999999</v>
      </c>
      <c r="E1203">
        <v>632.03549999999996</v>
      </c>
      <c r="F1203">
        <v>5.2</v>
      </c>
      <c r="G1203">
        <v>0</v>
      </c>
      <c r="H1203" t="s">
        <v>191</v>
      </c>
      <c r="I1203">
        <v>5.7000000000000002E-2</v>
      </c>
      <c r="J1203">
        <f t="shared" si="599"/>
        <v>1</v>
      </c>
      <c r="K1203">
        <f t="shared" si="600"/>
        <v>51</v>
      </c>
      <c r="L1203" t="e">
        <f t="shared" ca="1" si="601"/>
        <v>#VALUE!</v>
      </c>
      <c r="M1203" t="e">
        <f t="shared" ca="1" si="574"/>
        <v>#VALUE!</v>
      </c>
      <c r="N1203" t="e">
        <f t="shared" ca="1" si="575"/>
        <v>#VALUE!</v>
      </c>
      <c r="O1203" t="e">
        <f t="shared" ca="1" si="576"/>
        <v>#VALUE!</v>
      </c>
      <c r="P1203" t="e">
        <f t="shared" ca="1" si="577"/>
        <v>#VALUE!</v>
      </c>
      <c r="Q1203" t="e">
        <f t="shared" ca="1" si="578"/>
        <v>#VALUE!</v>
      </c>
      <c r="R1203" t="e">
        <f t="shared" ca="1" si="579"/>
        <v>#VALUE!</v>
      </c>
      <c r="S1203" t="e">
        <f t="shared" ca="1" si="580"/>
        <v>#VALUE!</v>
      </c>
      <c r="T1203" t="e">
        <f t="shared" ca="1" si="581"/>
        <v>#VALUE!</v>
      </c>
      <c r="U1203" t="e">
        <f t="shared" ca="1" si="602"/>
        <v>#VALUE!</v>
      </c>
      <c r="V1203" t="e">
        <f t="shared" ca="1" si="603"/>
        <v>#VALUE!</v>
      </c>
      <c r="W1203" t="e">
        <f t="shared" ca="1" si="582"/>
        <v>#VALUE!</v>
      </c>
      <c r="X1203" t="e">
        <f t="shared" ca="1" si="583"/>
        <v>#VALUE!</v>
      </c>
      <c r="Y1203" t="e">
        <f t="shared" ca="1" si="584"/>
        <v>#VALUE!</v>
      </c>
      <c r="Z1203" t="e">
        <f t="shared" ca="1" si="585"/>
        <v>#VALUE!</v>
      </c>
      <c r="AA1203" t="e">
        <f t="shared" ca="1" si="586"/>
        <v>#VALUE!</v>
      </c>
      <c r="AB1203" t="e">
        <f t="shared" ca="1" si="587"/>
        <v>#VALUE!</v>
      </c>
      <c r="AC1203" t="e">
        <f t="shared" ca="1" si="588"/>
        <v>#VALUE!</v>
      </c>
      <c r="AD1203" t="e">
        <f t="shared" ca="1" si="589"/>
        <v>#VALUE!</v>
      </c>
      <c r="AE1203" t="e">
        <f t="shared" ca="1" si="590"/>
        <v>#VALUE!</v>
      </c>
      <c r="AF1203" t="e">
        <f t="shared" ca="1" si="591"/>
        <v>#VALUE!</v>
      </c>
      <c r="AG1203" t="e">
        <f t="shared" ca="1" si="592"/>
        <v>#VALUE!</v>
      </c>
      <c r="AH1203" t="e">
        <f ca="1">IF(V32="Supercritical",L1203,IF(V32="Subcritical",W1203,IF(AND(V1203=1,AG1203=1),IF(T1203&gt;=AE1203,L1203,W1203),IF(V1203=1,L1203,IF(AG1203=1,W1203,MAX($D$16,POWER((ABS(K1203)^2)/($I$5*MAX(F1203,0.1)^2),1/3)))))))</f>
        <v>#VALUE!</v>
      </c>
      <c r="AI1203" t="e">
        <f t="shared" ca="1" si="593"/>
        <v>#VALUE!</v>
      </c>
      <c r="AJ1203" t="e">
        <f t="shared" ca="1" si="594"/>
        <v>#VALUE!</v>
      </c>
      <c r="AM1203">
        <v>0</v>
      </c>
      <c r="AN1203">
        <v>0</v>
      </c>
      <c r="AO1203">
        <f t="shared" si="595"/>
        <v>0</v>
      </c>
      <c r="AP1203">
        <f t="shared" si="604"/>
        <v>0</v>
      </c>
      <c r="AQ1203" t="e">
        <f t="shared" ca="1" si="596"/>
        <v>#VALUE!</v>
      </c>
      <c r="AR1203" t="e">
        <f t="shared" ca="1" si="597"/>
        <v>#VALUE!</v>
      </c>
      <c r="AS1203" t="e">
        <f t="shared" ca="1" si="598"/>
        <v>#VALUE!</v>
      </c>
    </row>
    <row r="1204" spans="1:45" x14ac:dyDescent="0.35">
      <c r="A1204">
        <v>1055</v>
      </c>
      <c r="B1204">
        <v>1053.8889999999999</v>
      </c>
      <c r="C1204">
        <v>616078.88399999996</v>
      </c>
      <c r="D1204">
        <v>3096950.0970000001</v>
      </c>
      <c r="E1204">
        <v>632.03499999999997</v>
      </c>
      <c r="F1204">
        <v>5.2</v>
      </c>
      <c r="G1204">
        <v>0</v>
      </c>
      <c r="H1204" t="s">
        <v>191</v>
      </c>
      <c r="I1204">
        <v>0</v>
      </c>
      <c r="J1204">
        <f t="shared" si="599"/>
        <v>1</v>
      </c>
      <c r="K1204">
        <f t="shared" si="600"/>
        <v>51</v>
      </c>
      <c r="L1204" t="e">
        <f t="shared" ca="1" si="601"/>
        <v>#VALUE!</v>
      </c>
      <c r="M1204" t="e">
        <f t="shared" ca="1" si="574"/>
        <v>#VALUE!</v>
      </c>
      <c r="N1204" t="e">
        <f t="shared" ca="1" si="575"/>
        <v>#VALUE!</v>
      </c>
      <c r="O1204" t="e">
        <f t="shared" ca="1" si="576"/>
        <v>#VALUE!</v>
      </c>
      <c r="P1204" t="e">
        <f t="shared" ca="1" si="577"/>
        <v>#VALUE!</v>
      </c>
      <c r="Q1204" t="e">
        <f t="shared" ca="1" si="578"/>
        <v>#VALUE!</v>
      </c>
      <c r="R1204" t="e">
        <f t="shared" ca="1" si="579"/>
        <v>#VALUE!</v>
      </c>
      <c r="S1204" t="e">
        <f t="shared" ca="1" si="580"/>
        <v>#VALUE!</v>
      </c>
      <c r="T1204" t="e">
        <f t="shared" ca="1" si="581"/>
        <v>#VALUE!</v>
      </c>
      <c r="U1204" t="e">
        <f t="shared" ca="1" si="602"/>
        <v>#VALUE!</v>
      </c>
      <c r="V1204" t="e">
        <f t="shared" ca="1" si="603"/>
        <v>#VALUE!</v>
      </c>
      <c r="W1204" t="e">
        <f t="shared" ca="1" si="582"/>
        <v>#VALUE!</v>
      </c>
      <c r="X1204" t="e">
        <f t="shared" ca="1" si="583"/>
        <v>#VALUE!</v>
      </c>
      <c r="Y1204" t="e">
        <f t="shared" ca="1" si="584"/>
        <v>#VALUE!</v>
      </c>
      <c r="Z1204" t="e">
        <f t="shared" ca="1" si="585"/>
        <v>#VALUE!</v>
      </c>
      <c r="AA1204" t="e">
        <f t="shared" ca="1" si="586"/>
        <v>#VALUE!</v>
      </c>
      <c r="AB1204" t="e">
        <f t="shared" ca="1" si="587"/>
        <v>#VALUE!</v>
      </c>
      <c r="AC1204" t="e">
        <f t="shared" ca="1" si="588"/>
        <v>#VALUE!</v>
      </c>
      <c r="AD1204" t="e">
        <f t="shared" ca="1" si="589"/>
        <v>#VALUE!</v>
      </c>
      <c r="AE1204" t="e">
        <f t="shared" ca="1" si="590"/>
        <v>#VALUE!</v>
      </c>
      <c r="AF1204" t="e">
        <f t="shared" ca="1" si="591"/>
        <v>#VALUE!</v>
      </c>
      <c r="AG1204" t="e">
        <f t="shared" ca="1" si="592"/>
        <v>#VALUE!</v>
      </c>
      <c r="AH1204" t="e">
        <f ca="1">IF(V32="Supercritical",L1204,IF(V32="Subcritical",W1204,IF(AND(V1204=1,AG1204=1),IF(T1204&gt;=AE1204,L1204,W1204),IF(V1204=1,L1204,IF(AG1204=1,W1204,MAX($D$16,POWER((ABS(K1204)^2)/($I$5*MAX(F1204,0.1)^2),1/3)))))))</f>
        <v>#VALUE!</v>
      </c>
      <c r="AI1204" t="e">
        <f t="shared" ca="1" si="593"/>
        <v>#VALUE!</v>
      </c>
      <c r="AJ1204" t="e">
        <f t="shared" ca="1" si="594"/>
        <v>#VALUE!</v>
      </c>
      <c r="AM1204">
        <v>0</v>
      </c>
      <c r="AN1204">
        <v>0</v>
      </c>
      <c r="AO1204">
        <f t="shared" si="595"/>
        <v>0</v>
      </c>
      <c r="AP1204">
        <f t="shared" si="604"/>
        <v>0</v>
      </c>
      <c r="AQ1204" t="e">
        <f t="shared" ca="1" si="596"/>
        <v>#VALUE!</v>
      </c>
      <c r="AR1204" t="e">
        <f t="shared" ca="1" si="597"/>
        <v>#VALUE!</v>
      </c>
      <c r="AS1204" t="e">
        <f t="shared" ca="1" si="598"/>
        <v>#VALUE!</v>
      </c>
    </row>
    <row r="1205" spans="1:45" x14ac:dyDescent="0.35">
      <c r="A1205">
        <v>1056</v>
      </c>
      <c r="B1205">
        <v>1054.8889999999999</v>
      </c>
      <c r="C1205">
        <v>616078.84199999995</v>
      </c>
      <c r="D1205">
        <v>3096949.0980000002</v>
      </c>
      <c r="E1205">
        <v>632.03449999999998</v>
      </c>
      <c r="F1205">
        <v>5.2</v>
      </c>
      <c r="G1205">
        <v>0</v>
      </c>
      <c r="H1205" t="s">
        <v>191</v>
      </c>
      <c r="I1205">
        <v>0</v>
      </c>
      <c r="J1205">
        <f t="shared" si="599"/>
        <v>1</v>
      </c>
      <c r="K1205">
        <f t="shared" si="600"/>
        <v>51</v>
      </c>
      <c r="L1205" t="e">
        <f t="shared" ca="1" si="601"/>
        <v>#VALUE!</v>
      </c>
      <c r="M1205" t="e">
        <f t="shared" ca="1" si="574"/>
        <v>#VALUE!</v>
      </c>
      <c r="N1205" t="e">
        <f t="shared" ca="1" si="575"/>
        <v>#VALUE!</v>
      </c>
      <c r="O1205" t="e">
        <f t="shared" ca="1" si="576"/>
        <v>#VALUE!</v>
      </c>
      <c r="P1205" t="e">
        <f t="shared" ca="1" si="577"/>
        <v>#VALUE!</v>
      </c>
      <c r="Q1205" t="e">
        <f t="shared" ca="1" si="578"/>
        <v>#VALUE!</v>
      </c>
      <c r="R1205" t="e">
        <f t="shared" ca="1" si="579"/>
        <v>#VALUE!</v>
      </c>
      <c r="S1205" t="e">
        <f t="shared" ca="1" si="580"/>
        <v>#VALUE!</v>
      </c>
      <c r="T1205" t="e">
        <f t="shared" ca="1" si="581"/>
        <v>#VALUE!</v>
      </c>
      <c r="U1205" t="e">
        <f t="shared" ca="1" si="602"/>
        <v>#VALUE!</v>
      </c>
      <c r="V1205" t="e">
        <f t="shared" ca="1" si="603"/>
        <v>#VALUE!</v>
      </c>
      <c r="W1205" t="e">
        <f t="shared" ca="1" si="582"/>
        <v>#VALUE!</v>
      </c>
      <c r="X1205" t="e">
        <f t="shared" ca="1" si="583"/>
        <v>#VALUE!</v>
      </c>
      <c r="Y1205" t="e">
        <f t="shared" ca="1" si="584"/>
        <v>#VALUE!</v>
      </c>
      <c r="Z1205" t="e">
        <f t="shared" ca="1" si="585"/>
        <v>#VALUE!</v>
      </c>
      <c r="AA1205" t="e">
        <f t="shared" ca="1" si="586"/>
        <v>#VALUE!</v>
      </c>
      <c r="AB1205" t="e">
        <f t="shared" ca="1" si="587"/>
        <v>#VALUE!</v>
      </c>
      <c r="AC1205" t="e">
        <f t="shared" ca="1" si="588"/>
        <v>#VALUE!</v>
      </c>
      <c r="AD1205" t="e">
        <f t="shared" ca="1" si="589"/>
        <v>#VALUE!</v>
      </c>
      <c r="AE1205" t="e">
        <f t="shared" ca="1" si="590"/>
        <v>#VALUE!</v>
      </c>
      <c r="AF1205" t="e">
        <f t="shared" ca="1" si="591"/>
        <v>#VALUE!</v>
      </c>
      <c r="AG1205" t="e">
        <f t="shared" ca="1" si="592"/>
        <v>#VALUE!</v>
      </c>
      <c r="AH1205" t="e">
        <f ca="1">IF(V32="Supercritical",L1205,IF(V32="Subcritical",W1205,IF(AND(V1205=1,AG1205=1),IF(T1205&gt;=AE1205,L1205,W1205),IF(V1205=1,L1205,IF(AG1205=1,W1205,MAX($D$16,POWER((ABS(K1205)^2)/($I$5*MAX(F1205,0.1)^2),1/3)))))))</f>
        <v>#VALUE!</v>
      </c>
      <c r="AI1205" t="e">
        <f t="shared" ca="1" si="593"/>
        <v>#VALUE!</v>
      </c>
      <c r="AJ1205" t="e">
        <f t="shared" ca="1" si="594"/>
        <v>#VALUE!</v>
      </c>
      <c r="AM1205">
        <v>0</v>
      </c>
      <c r="AN1205">
        <v>0</v>
      </c>
      <c r="AO1205">
        <f t="shared" si="595"/>
        <v>0</v>
      </c>
      <c r="AP1205">
        <f t="shared" si="604"/>
        <v>0</v>
      </c>
      <c r="AQ1205" t="e">
        <f t="shared" ca="1" si="596"/>
        <v>#VALUE!</v>
      </c>
      <c r="AR1205" t="e">
        <f t="shared" ca="1" si="597"/>
        <v>#VALUE!</v>
      </c>
      <c r="AS1205" t="e">
        <f t="shared" ca="1" si="598"/>
        <v>#VALUE!</v>
      </c>
    </row>
    <row r="1206" spans="1:45" x14ac:dyDescent="0.35">
      <c r="A1206">
        <v>1057</v>
      </c>
      <c r="B1206">
        <v>1055.8889999999999</v>
      </c>
      <c r="C1206">
        <v>616078.80000000005</v>
      </c>
      <c r="D1206">
        <v>3096948.0989999999</v>
      </c>
      <c r="E1206">
        <v>632.03399999999999</v>
      </c>
      <c r="F1206">
        <v>5.2</v>
      </c>
      <c r="G1206">
        <v>0</v>
      </c>
      <c r="H1206" t="s">
        <v>191</v>
      </c>
      <c r="I1206">
        <v>5.7000000000000002E-2</v>
      </c>
      <c r="J1206">
        <f t="shared" si="599"/>
        <v>1</v>
      </c>
      <c r="K1206">
        <f t="shared" si="600"/>
        <v>51</v>
      </c>
      <c r="L1206" t="e">
        <f t="shared" ca="1" si="601"/>
        <v>#VALUE!</v>
      </c>
      <c r="M1206" t="e">
        <f t="shared" ca="1" si="574"/>
        <v>#VALUE!</v>
      </c>
      <c r="N1206" t="e">
        <f t="shared" ca="1" si="575"/>
        <v>#VALUE!</v>
      </c>
      <c r="O1206" t="e">
        <f t="shared" ca="1" si="576"/>
        <v>#VALUE!</v>
      </c>
      <c r="P1206" t="e">
        <f t="shared" ca="1" si="577"/>
        <v>#VALUE!</v>
      </c>
      <c r="Q1206" t="e">
        <f t="shared" ca="1" si="578"/>
        <v>#VALUE!</v>
      </c>
      <c r="R1206" t="e">
        <f t="shared" ca="1" si="579"/>
        <v>#VALUE!</v>
      </c>
      <c r="S1206" t="e">
        <f t="shared" ca="1" si="580"/>
        <v>#VALUE!</v>
      </c>
      <c r="T1206" t="e">
        <f t="shared" ca="1" si="581"/>
        <v>#VALUE!</v>
      </c>
      <c r="U1206" t="e">
        <f t="shared" ca="1" si="602"/>
        <v>#VALUE!</v>
      </c>
      <c r="V1206" t="e">
        <f t="shared" ca="1" si="603"/>
        <v>#VALUE!</v>
      </c>
      <c r="W1206" t="e">
        <f t="shared" ca="1" si="582"/>
        <v>#VALUE!</v>
      </c>
      <c r="X1206" t="e">
        <f t="shared" ca="1" si="583"/>
        <v>#VALUE!</v>
      </c>
      <c r="Y1206" t="e">
        <f t="shared" ca="1" si="584"/>
        <v>#VALUE!</v>
      </c>
      <c r="Z1206" t="e">
        <f t="shared" ca="1" si="585"/>
        <v>#VALUE!</v>
      </c>
      <c r="AA1206" t="e">
        <f t="shared" ca="1" si="586"/>
        <v>#VALUE!</v>
      </c>
      <c r="AB1206" t="e">
        <f t="shared" ca="1" si="587"/>
        <v>#VALUE!</v>
      </c>
      <c r="AC1206" t="e">
        <f t="shared" ca="1" si="588"/>
        <v>#VALUE!</v>
      </c>
      <c r="AD1206" t="e">
        <f t="shared" ca="1" si="589"/>
        <v>#VALUE!</v>
      </c>
      <c r="AE1206" t="e">
        <f t="shared" ca="1" si="590"/>
        <v>#VALUE!</v>
      </c>
      <c r="AF1206" t="e">
        <f t="shared" ca="1" si="591"/>
        <v>#VALUE!</v>
      </c>
      <c r="AG1206" t="e">
        <f t="shared" ca="1" si="592"/>
        <v>#VALUE!</v>
      </c>
      <c r="AH1206" t="e">
        <f ca="1">IF(V32="Supercritical",L1206,IF(V32="Subcritical",W1206,IF(AND(V1206=1,AG1206=1),IF(T1206&gt;=AE1206,L1206,W1206),IF(V1206=1,L1206,IF(AG1206=1,W1206,MAX($D$16,POWER((ABS(K1206)^2)/($I$5*MAX(F1206,0.1)^2),1/3)))))))</f>
        <v>#VALUE!</v>
      </c>
      <c r="AI1206" t="e">
        <f t="shared" ca="1" si="593"/>
        <v>#VALUE!</v>
      </c>
      <c r="AJ1206" t="e">
        <f t="shared" ca="1" si="594"/>
        <v>#VALUE!</v>
      </c>
      <c r="AM1206">
        <v>0</v>
      </c>
      <c r="AN1206">
        <v>0</v>
      </c>
      <c r="AO1206">
        <f t="shared" si="595"/>
        <v>0</v>
      </c>
      <c r="AP1206">
        <f t="shared" si="604"/>
        <v>0</v>
      </c>
      <c r="AQ1206" t="e">
        <f t="shared" ca="1" si="596"/>
        <v>#VALUE!</v>
      </c>
      <c r="AR1206" t="e">
        <f t="shared" ca="1" si="597"/>
        <v>#VALUE!</v>
      </c>
      <c r="AS1206" t="e">
        <f t="shared" ca="1" si="598"/>
        <v>#VALUE!</v>
      </c>
    </row>
    <row r="1207" spans="1:45" x14ac:dyDescent="0.35">
      <c r="A1207">
        <v>1058</v>
      </c>
      <c r="B1207">
        <v>1056.8889999999999</v>
      </c>
      <c r="C1207">
        <v>616078.75699999998</v>
      </c>
      <c r="D1207">
        <v>3096947.1</v>
      </c>
      <c r="E1207">
        <v>632.0335</v>
      </c>
      <c r="F1207">
        <v>5.2</v>
      </c>
      <c r="G1207">
        <v>0</v>
      </c>
      <c r="H1207" t="s">
        <v>191</v>
      </c>
      <c r="I1207">
        <v>5.7000000000000002E-2</v>
      </c>
      <c r="J1207">
        <f t="shared" si="599"/>
        <v>1</v>
      </c>
      <c r="K1207">
        <f t="shared" si="600"/>
        <v>51</v>
      </c>
      <c r="L1207" t="e">
        <f t="shared" ca="1" si="601"/>
        <v>#VALUE!</v>
      </c>
      <c r="M1207" t="e">
        <f t="shared" ca="1" si="574"/>
        <v>#VALUE!</v>
      </c>
      <c r="N1207" t="e">
        <f t="shared" ca="1" si="575"/>
        <v>#VALUE!</v>
      </c>
      <c r="O1207" t="e">
        <f t="shared" ca="1" si="576"/>
        <v>#VALUE!</v>
      </c>
      <c r="P1207" t="e">
        <f t="shared" ca="1" si="577"/>
        <v>#VALUE!</v>
      </c>
      <c r="Q1207" t="e">
        <f t="shared" ca="1" si="578"/>
        <v>#VALUE!</v>
      </c>
      <c r="R1207" t="e">
        <f t="shared" ca="1" si="579"/>
        <v>#VALUE!</v>
      </c>
      <c r="S1207" t="e">
        <f t="shared" ca="1" si="580"/>
        <v>#VALUE!</v>
      </c>
      <c r="T1207" t="e">
        <f t="shared" ca="1" si="581"/>
        <v>#VALUE!</v>
      </c>
      <c r="U1207" t="e">
        <f t="shared" ca="1" si="602"/>
        <v>#VALUE!</v>
      </c>
      <c r="V1207" t="e">
        <f t="shared" ca="1" si="603"/>
        <v>#VALUE!</v>
      </c>
      <c r="W1207" t="e">
        <f t="shared" ca="1" si="582"/>
        <v>#VALUE!</v>
      </c>
      <c r="X1207" t="e">
        <f t="shared" ca="1" si="583"/>
        <v>#VALUE!</v>
      </c>
      <c r="Y1207" t="e">
        <f t="shared" ca="1" si="584"/>
        <v>#VALUE!</v>
      </c>
      <c r="Z1207" t="e">
        <f t="shared" ca="1" si="585"/>
        <v>#VALUE!</v>
      </c>
      <c r="AA1207" t="e">
        <f t="shared" ca="1" si="586"/>
        <v>#VALUE!</v>
      </c>
      <c r="AB1207" t="e">
        <f t="shared" ca="1" si="587"/>
        <v>#VALUE!</v>
      </c>
      <c r="AC1207" t="e">
        <f t="shared" ca="1" si="588"/>
        <v>#VALUE!</v>
      </c>
      <c r="AD1207" t="e">
        <f t="shared" ca="1" si="589"/>
        <v>#VALUE!</v>
      </c>
      <c r="AE1207" t="e">
        <f t="shared" ca="1" si="590"/>
        <v>#VALUE!</v>
      </c>
      <c r="AF1207" t="e">
        <f t="shared" ca="1" si="591"/>
        <v>#VALUE!</v>
      </c>
      <c r="AG1207" t="e">
        <f t="shared" ca="1" si="592"/>
        <v>#VALUE!</v>
      </c>
      <c r="AH1207" t="e">
        <f ca="1">IF(V32="Supercritical",L1207,IF(V32="Subcritical",W1207,IF(AND(V1207=1,AG1207=1),IF(T1207&gt;=AE1207,L1207,W1207),IF(V1207=1,L1207,IF(AG1207=1,W1207,MAX($D$16,POWER((ABS(K1207)^2)/($I$5*MAX(F1207,0.1)^2),1/3)))))))</f>
        <v>#VALUE!</v>
      </c>
      <c r="AI1207" t="e">
        <f t="shared" ca="1" si="593"/>
        <v>#VALUE!</v>
      </c>
      <c r="AJ1207" t="e">
        <f t="shared" ca="1" si="594"/>
        <v>#VALUE!</v>
      </c>
      <c r="AM1207">
        <v>0</v>
      </c>
      <c r="AN1207">
        <v>0</v>
      </c>
      <c r="AO1207">
        <f t="shared" si="595"/>
        <v>0</v>
      </c>
      <c r="AP1207">
        <f t="shared" si="604"/>
        <v>0</v>
      </c>
      <c r="AQ1207" t="e">
        <f t="shared" ca="1" si="596"/>
        <v>#VALUE!</v>
      </c>
      <c r="AR1207" t="e">
        <f t="shared" ca="1" si="597"/>
        <v>#VALUE!</v>
      </c>
      <c r="AS1207" t="e">
        <f t="shared" ca="1" si="598"/>
        <v>#VALUE!</v>
      </c>
    </row>
    <row r="1208" spans="1:45" x14ac:dyDescent="0.35">
      <c r="A1208">
        <v>1059</v>
      </c>
      <c r="B1208">
        <v>1057.8889999999999</v>
      </c>
      <c r="C1208">
        <v>616078.71499999997</v>
      </c>
      <c r="D1208">
        <v>3096946.1009999998</v>
      </c>
      <c r="E1208">
        <v>632.03300000000002</v>
      </c>
      <c r="F1208">
        <v>5.2</v>
      </c>
      <c r="G1208">
        <v>0</v>
      </c>
      <c r="H1208" t="s">
        <v>191</v>
      </c>
      <c r="I1208">
        <v>2E-3</v>
      </c>
      <c r="J1208">
        <f t="shared" si="599"/>
        <v>1</v>
      </c>
      <c r="K1208">
        <f t="shared" si="600"/>
        <v>51</v>
      </c>
      <c r="L1208" t="e">
        <f t="shared" ca="1" si="601"/>
        <v>#VALUE!</v>
      </c>
      <c r="M1208" t="e">
        <f t="shared" ca="1" si="574"/>
        <v>#VALUE!</v>
      </c>
      <c r="N1208" t="e">
        <f t="shared" ca="1" si="575"/>
        <v>#VALUE!</v>
      </c>
      <c r="O1208" t="e">
        <f t="shared" ca="1" si="576"/>
        <v>#VALUE!</v>
      </c>
      <c r="P1208" t="e">
        <f t="shared" ca="1" si="577"/>
        <v>#VALUE!</v>
      </c>
      <c r="Q1208" t="e">
        <f t="shared" ca="1" si="578"/>
        <v>#VALUE!</v>
      </c>
      <c r="R1208" t="e">
        <f t="shared" ca="1" si="579"/>
        <v>#VALUE!</v>
      </c>
      <c r="S1208" t="e">
        <f t="shared" ca="1" si="580"/>
        <v>#VALUE!</v>
      </c>
      <c r="T1208" t="e">
        <f t="shared" ca="1" si="581"/>
        <v>#VALUE!</v>
      </c>
      <c r="U1208" t="e">
        <f t="shared" ca="1" si="602"/>
        <v>#VALUE!</v>
      </c>
      <c r="V1208" t="e">
        <f t="shared" ca="1" si="603"/>
        <v>#VALUE!</v>
      </c>
      <c r="W1208" t="e">
        <f t="shared" ca="1" si="582"/>
        <v>#VALUE!</v>
      </c>
      <c r="X1208" t="e">
        <f t="shared" ca="1" si="583"/>
        <v>#VALUE!</v>
      </c>
      <c r="Y1208" t="e">
        <f t="shared" ca="1" si="584"/>
        <v>#VALUE!</v>
      </c>
      <c r="Z1208" t="e">
        <f t="shared" ca="1" si="585"/>
        <v>#VALUE!</v>
      </c>
      <c r="AA1208" t="e">
        <f t="shared" ca="1" si="586"/>
        <v>#VALUE!</v>
      </c>
      <c r="AB1208" t="e">
        <f t="shared" ca="1" si="587"/>
        <v>#VALUE!</v>
      </c>
      <c r="AC1208" t="e">
        <f t="shared" ca="1" si="588"/>
        <v>#VALUE!</v>
      </c>
      <c r="AD1208" t="e">
        <f t="shared" ca="1" si="589"/>
        <v>#VALUE!</v>
      </c>
      <c r="AE1208" t="e">
        <f t="shared" ca="1" si="590"/>
        <v>#VALUE!</v>
      </c>
      <c r="AF1208" t="e">
        <f t="shared" ca="1" si="591"/>
        <v>#VALUE!</v>
      </c>
      <c r="AG1208" t="e">
        <f t="shared" ca="1" si="592"/>
        <v>#VALUE!</v>
      </c>
      <c r="AH1208" t="e">
        <f ca="1">IF(V32="Supercritical",L1208,IF(V32="Subcritical",W1208,IF(AND(V1208=1,AG1208=1),IF(T1208&gt;=AE1208,L1208,W1208),IF(V1208=1,L1208,IF(AG1208=1,W1208,MAX($D$16,POWER((ABS(K1208)^2)/($I$5*MAX(F1208,0.1)^2),1/3)))))))</f>
        <v>#VALUE!</v>
      </c>
      <c r="AI1208" t="e">
        <f t="shared" ca="1" si="593"/>
        <v>#VALUE!</v>
      </c>
      <c r="AJ1208" t="e">
        <f t="shared" ca="1" si="594"/>
        <v>#VALUE!</v>
      </c>
      <c r="AM1208">
        <v>0</v>
      </c>
      <c r="AN1208">
        <v>0</v>
      </c>
      <c r="AO1208">
        <f t="shared" si="595"/>
        <v>0</v>
      </c>
      <c r="AP1208">
        <f t="shared" si="604"/>
        <v>0</v>
      </c>
      <c r="AQ1208" t="e">
        <f t="shared" ca="1" si="596"/>
        <v>#VALUE!</v>
      </c>
      <c r="AR1208" t="e">
        <f t="shared" ca="1" si="597"/>
        <v>#VALUE!</v>
      </c>
      <c r="AS1208" t="e">
        <f t="shared" ca="1" si="598"/>
        <v>#VALUE!</v>
      </c>
    </row>
    <row r="1209" spans="1:45" x14ac:dyDescent="0.35">
      <c r="A1209">
        <v>1060</v>
      </c>
      <c r="B1209">
        <v>1058.8900000000001</v>
      </c>
      <c r="C1209">
        <v>616078.67299999995</v>
      </c>
      <c r="D1209">
        <v>3096945.1009999998</v>
      </c>
      <c r="E1209">
        <v>632.03250000000003</v>
      </c>
      <c r="F1209">
        <v>5.2</v>
      </c>
      <c r="G1209">
        <v>0</v>
      </c>
      <c r="H1209" t="s">
        <v>191</v>
      </c>
      <c r="I1209">
        <v>0.06</v>
      </c>
      <c r="J1209">
        <f t="shared" si="599"/>
        <v>1.0010000000002037</v>
      </c>
      <c r="K1209">
        <f t="shared" si="600"/>
        <v>51</v>
      </c>
      <c r="L1209" t="e">
        <f t="shared" ca="1" si="601"/>
        <v>#VALUE!</v>
      </c>
      <c r="M1209" t="e">
        <f t="shared" ca="1" si="574"/>
        <v>#VALUE!</v>
      </c>
      <c r="N1209" t="e">
        <f t="shared" ca="1" si="575"/>
        <v>#VALUE!</v>
      </c>
      <c r="O1209" t="e">
        <f t="shared" ca="1" si="576"/>
        <v>#VALUE!</v>
      </c>
      <c r="P1209" t="e">
        <f t="shared" ca="1" si="577"/>
        <v>#VALUE!</v>
      </c>
      <c r="Q1209" t="e">
        <f t="shared" ca="1" si="578"/>
        <v>#VALUE!</v>
      </c>
      <c r="R1209" t="e">
        <f t="shared" ca="1" si="579"/>
        <v>#VALUE!</v>
      </c>
      <c r="S1209" t="e">
        <f t="shared" ca="1" si="580"/>
        <v>#VALUE!</v>
      </c>
      <c r="T1209" t="e">
        <f t="shared" ca="1" si="581"/>
        <v>#VALUE!</v>
      </c>
      <c r="U1209" t="e">
        <f t="shared" ca="1" si="602"/>
        <v>#VALUE!</v>
      </c>
      <c r="V1209" t="e">
        <f t="shared" ca="1" si="603"/>
        <v>#VALUE!</v>
      </c>
      <c r="W1209" t="e">
        <f t="shared" ca="1" si="582"/>
        <v>#VALUE!</v>
      </c>
      <c r="X1209" t="e">
        <f t="shared" ca="1" si="583"/>
        <v>#VALUE!</v>
      </c>
      <c r="Y1209" t="e">
        <f t="shared" ca="1" si="584"/>
        <v>#VALUE!</v>
      </c>
      <c r="Z1209" t="e">
        <f t="shared" ca="1" si="585"/>
        <v>#VALUE!</v>
      </c>
      <c r="AA1209" t="e">
        <f t="shared" ca="1" si="586"/>
        <v>#VALUE!</v>
      </c>
      <c r="AB1209" t="e">
        <f t="shared" ca="1" si="587"/>
        <v>#VALUE!</v>
      </c>
      <c r="AC1209" t="e">
        <f t="shared" ca="1" si="588"/>
        <v>#VALUE!</v>
      </c>
      <c r="AD1209" t="e">
        <f t="shared" ca="1" si="589"/>
        <v>#VALUE!</v>
      </c>
      <c r="AE1209" t="e">
        <f t="shared" ca="1" si="590"/>
        <v>#VALUE!</v>
      </c>
      <c r="AF1209" t="e">
        <f t="shared" ca="1" si="591"/>
        <v>#VALUE!</v>
      </c>
      <c r="AG1209" t="e">
        <f t="shared" ca="1" si="592"/>
        <v>#VALUE!</v>
      </c>
      <c r="AH1209" t="e">
        <f ca="1">IF(V32="Supercritical",L1209,IF(V32="Subcritical",W1209,IF(AND(V1209=1,AG1209=1),IF(T1209&gt;=AE1209,L1209,W1209),IF(V1209=1,L1209,IF(AG1209=1,W1209,MAX($D$16,POWER((ABS(K1209)^2)/($I$5*MAX(F1209,0.1)^2),1/3)))))))</f>
        <v>#VALUE!</v>
      </c>
      <c r="AI1209" t="e">
        <f t="shared" ca="1" si="593"/>
        <v>#VALUE!</v>
      </c>
      <c r="AJ1209" t="e">
        <f t="shared" ca="1" si="594"/>
        <v>#VALUE!</v>
      </c>
      <c r="AM1209">
        <v>0</v>
      </c>
      <c r="AN1209">
        <v>0</v>
      </c>
      <c r="AO1209">
        <f t="shared" si="595"/>
        <v>0</v>
      </c>
      <c r="AP1209">
        <f t="shared" si="604"/>
        <v>0</v>
      </c>
      <c r="AQ1209" t="e">
        <f t="shared" ca="1" si="596"/>
        <v>#VALUE!</v>
      </c>
      <c r="AR1209" t="e">
        <f t="shared" ca="1" si="597"/>
        <v>#VALUE!</v>
      </c>
      <c r="AS1209" t="e">
        <f t="shared" ca="1" si="598"/>
        <v>#VALUE!</v>
      </c>
    </row>
    <row r="1210" spans="1:45" x14ac:dyDescent="0.35">
      <c r="A1210">
        <v>1061</v>
      </c>
      <c r="B1210">
        <v>1059.8900000000001</v>
      </c>
      <c r="C1210">
        <v>616078.63</v>
      </c>
      <c r="D1210">
        <v>3096944.102</v>
      </c>
      <c r="E1210">
        <v>632.03200000000004</v>
      </c>
      <c r="F1210">
        <v>5.2</v>
      </c>
      <c r="G1210">
        <v>0</v>
      </c>
      <c r="H1210" t="s">
        <v>191</v>
      </c>
      <c r="I1210">
        <v>5.7000000000000002E-2</v>
      </c>
      <c r="J1210">
        <f t="shared" si="599"/>
        <v>1</v>
      </c>
      <c r="K1210">
        <f t="shared" si="600"/>
        <v>51</v>
      </c>
      <c r="L1210" t="e">
        <f t="shared" ca="1" si="601"/>
        <v>#VALUE!</v>
      </c>
      <c r="M1210" t="e">
        <f t="shared" ca="1" si="574"/>
        <v>#VALUE!</v>
      </c>
      <c r="N1210" t="e">
        <f t="shared" ca="1" si="575"/>
        <v>#VALUE!</v>
      </c>
      <c r="O1210" t="e">
        <f t="shared" ca="1" si="576"/>
        <v>#VALUE!</v>
      </c>
      <c r="P1210" t="e">
        <f t="shared" ca="1" si="577"/>
        <v>#VALUE!</v>
      </c>
      <c r="Q1210" t="e">
        <f t="shared" ca="1" si="578"/>
        <v>#VALUE!</v>
      </c>
      <c r="R1210" t="e">
        <f t="shared" ca="1" si="579"/>
        <v>#VALUE!</v>
      </c>
      <c r="S1210" t="e">
        <f t="shared" ca="1" si="580"/>
        <v>#VALUE!</v>
      </c>
      <c r="T1210" t="e">
        <f t="shared" ca="1" si="581"/>
        <v>#VALUE!</v>
      </c>
      <c r="U1210" t="e">
        <f t="shared" ca="1" si="602"/>
        <v>#VALUE!</v>
      </c>
      <c r="V1210" t="e">
        <f t="shared" ca="1" si="603"/>
        <v>#VALUE!</v>
      </c>
      <c r="W1210" t="e">
        <f t="shared" ca="1" si="582"/>
        <v>#VALUE!</v>
      </c>
      <c r="X1210" t="e">
        <f t="shared" ca="1" si="583"/>
        <v>#VALUE!</v>
      </c>
      <c r="Y1210" t="e">
        <f t="shared" ca="1" si="584"/>
        <v>#VALUE!</v>
      </c>
      <c r="Z1210" t="e">
        <f t="shared" ca="1" si="585"/>
        <v>#VALUE!</v>
      </c>
      <c r="AA1210" t="e">
        <f t="shared" ca="1" si="586"/>
        <v>#VALUE!</v>
      </c>
      <c r="AB1210" t="e">
        <f t="shared" ca="1" si="587"/>
        <v>#VALUE!</v>
      </c>
      <c r="AC1210" t="e">
        <f t="shared" ca="1" si="588"/>
        <v>#VALUE!</v>
      </c>
      <c r="AD1210" t="e">
        <f t="shared" ca="1" si="589"/>
        <v>#VALUE!</v>
      </c>
      <c r="AE1210" t="e">
        <f t="shared" ca="1" si="590"/>
        <v>#VALUE!</v>
      </c>
      <c r="AF1210" t="e">
        <f t="shared" ca="1" si="591"/>
        <v>#VALUE!</v>
      </c>
      <c r="AG1210" t="e">
        <f t="shared" ca="1" si="592"/>
        <v>#VALUE!</v>
      </c>
      <c r="AH1210" t="e">
        <f ca="1">IF(V32="Supercritical",L1210,IF(V32="Subcritical",W1210,IF(AND(V1210=1,AG1210=1),IF(T1210&gt;=AE1210,L1210,W1210),IF(V1210=1,L1210,IF(AG1210=1,W1210,MAX($D$16,POWER((ABS(K1210)^2)/($I$5*MAX(F1210,0.1)^2),1/3)))))))</f>
        <v>#VALUE!</v>
      </c>
      <c r="AI1210" t="e">
        <f t="shared" ca="1" si="593"/>
        <v>#VALUE!</v>
      </c>
      <c r="AJ1210" t="e">
        <f t="shared" ca="1" si="594"/>
        <v>#VALUE!</v>
      </c>
      <c r="AM1210">
        <v>0</v>
      </c>
      <c r="AN1210">
        <v>0</v>
      </c>
      <c r="AO1210">
        <f t="shared" si="595"/>
        <v>0</v>
      </c>
      <c r="AP1210">
        <f t="shared" si="604"/>
        <v>0</v>
      </c>
      <c r="AQ1210" t="e">
        <f t="shared" ca="1" si="596"/>
        <v>#VALUE!</v>
      </c>
      <c r="AR1210" t="e">
        <f t="shared" ca="1" si="597"/>
        <v>#VALUE!</v>
      </c>
      <c r="AS1210" t="e">
        <f t="shared" ca="1" si="598"/>
        <v>#VALUE!</v>
      </c>
    </row>
    <row r="1211" spans="1:45" x14ac:dyDescent="0.35">
      <c r="A1211">
        <v>1062</v>
      </c>
      <c r="B1211">
        <v>1060.8900000000001</v>
      </c>
      <c r="C1211">
        <v>616078.58799999999</v>
      </c>
      <c r="D1211">
        <v>3096943.1030000001</v>
      </c>
      <c r="E1211">
        <v>632.03150000000005</v>
      </c>
      <c r="F1211">
        <v>5.2</v>
      </c>
      <c r="G1211">
        <v>0</v>
      </c>
      <c r="H1211" t="s">
        <v>191</v>
      </c>
      <c r="I1211">
        <v>0</v>
      </c>
      <c r="J1211">
        <f t="shared" si="599"/>
        <v>1</v>
      </c>
      <c r="K1211">
        <f t="shared" si="600"/>
        <v>51</v>
      </c>
      <c r="L1211" t="e">
        <f t="shared" ca="1" si="601"/>
        <v>#VALUE!</v>
      </c>
      <c r="M1211" t="e">
        <f t="shared" ca="1" si="574"/>
        <v>#VALUE!</v>
      </c>
      <c r="N1211" t="e">
        <f t="shared" ca="1" si="575"/>
        <v>#VALUE!</v>
      </c>
      <c r="O1211" t="e">
        <f t="shared" ca="1" si="576"/>
        <v>#VALUE!</v>
      </c>
      <c r="P1211" t="e">
        <f t="shared" ca="1" si="577"/>
        <v>#VALUE!</v>
      </c>
      <c r="Q1211" t="e">
        <f t="shared" ca="1" si="578"/>
        <v>#VALUE!</v>
      </c>
      <c r="R1211" t="e">
        <f t="shared" ca="1" si="579"/>
        <v>#VALUE!</v>
      </c>
      <c r="S1211" t="e">
        <f t="shared" ca="1" si="580"/>
        <v>#VALUE!</v>
      </c>
      <c r="T1211" t="e">
        <f t="shared" ca="1" si="581"/>
        <v>#VALUE!</v>
      </c>
      <c r="U1211" t="e">
        <f t="shared" ca="1" si="602"/>
        <v>#VALUE!</v>
      </c>
      <c r="V1211" t="e">
        <f t="shared" ca="1" si="603"/>
        <v>#VALUE!</v>
      </c>
      <c r="W1211" t="e">
        <f t="shared" ca="1" si="582"/>
        <v>#VALUE!</v>
      </c>
      <c r="X1211" t="e">
        <f t="shared" ca="1" si="583"/>
        <v>#VALUE!</v>
      </c>
      <c r="Y1211" t="e">
        <f t="shared" ca="1" si="584"/>
        <v>#VALUE!</v>
      </c>
      <c r="Z1211" t="e">
        <f t="shared" ca="1" si="585"/>
        <v>#VALUE!</v>
      </c>
      <c r="AA1211" t="e">
        <f t="shared" ca="1" si="586"/>
        <v>#VALUE!</v>
      </c>
      <c r="AB1211" t="e">
        <f t="shared" ca="1" si="587"/>
        <v>#VALUE!</v>
      </c>
      <c r="AC1211" t="e">
        <f t="shared" ca="1" si="588"/>
        <v>#VALUE!</v>
      </c>
      <c r="AD1211" t="e">
        <f t="shared" ca="1" si="589"/>
        <v>#VALUE!</v>
      </c>
      <c r="AE1211" t="e">
        <f t="shared" ca="1" si="590"/>
        <v>#VALUE!</v>
      </c>
      <c r="AF1211" t="e">
        <f t="shared" ca="1" si="591"/>
        <v>#VALUE!</v>
      </c>
      <c r="AG1211" t="e">
        <f t="shared" ca="1" si="592"/>
        <v>#VALUE!</v>
      </c>
      <c r="AH1211" t="e">
        <f ca="1">IF(V32="Supercritical",L1211,IF(V32="Subcritical",W1211,IF(AND(V1211=1,AG1211=1),IF(T1211&gt;=AE1211,L1211,W1211),IF(V1211=1,L1211,IF(AG1211=1,W1211,MAX($D$16,POWER((ABS(K1211)^2)/($I$5*MAX(F1211,0.1)^2),1/3)))))))</f>
        <v>#VALUE!</v>
      </c>
      <c r="AI1211" t="e">
        <f t="shared" ca="1" si="593"/>
        <v>#VALUE!</v>
      </c>
      <c r="AJ1211" t="e">
        <f t="shared" ca="1" si="594"/>
        <v>#VALUE!</v>
      </c>
      <c r="AM1211">
        <v>0</v>
      </c>
      <c r="AN1211">
        <v>0</v>
      </c>
      <c r="AO1211">
        <f t="shared" si="595"/>
        <v>0</v>
      </c>
      <c r="AP1211">
        <f t="shared" si="604"/>
        <v>0</v>
      </c>
      <c r="AQ1211" t="e">
        <f t="shared" ca="1" si="596"/>
        <v>#VALUE!</v>
      </c>
      <c r="AR1211" t="e">
        <f t="shared" ca="1" si="597"/>
        <v>#VALUE!</v>
      </c>
      <c r="AS1211" t="e">
        <f t="shared" ca="1" si="598"/>
        <v>#VALUE!</v>
      </c>
    </row>
    <row r="1212" spans="1:45" x14ac:dyDescent="0.35">
      <c r="A1212">
        <v>1063</v>
      </c>
      <c r="B1212">
        <v>1061.8889999999999</v>
      </c>
      <c r="C1212">
        <v>616078.54599999997</v>
      </c>
      <c r="D1212">
        <v>3096942.1039999998</v>
      </c>
      <c r="E1212">
        <v>632.03099999999995</v>
      </c>
      <c r="F1212">
        <v>5.2</v>
      </c>
      <c r="G1212">
        <v>0</v>
      </c>
      <c r="H1212" t="s">
        <v>191</v>
      </c>
      <c r="I1212">
        <v>0</v>
      </c>
      <c r="J1212">
        <f t="shared" si="599"/>
        <v>0.99899999999979627</v>
      </c>
      <c r="K1212">
        <f t="shared" si="600"/>
        <v>51</v>
      </c>
      <c r="L1212" t="e">
        <f t="shared" ca="1" si="601"/>
        <v>#VALUE!</v>
      </c>
      <c r="M1212" t="e">
        <f t="shared" ca="1" si="574"/>
        <v>#VALUE!</v>
      </c>
      <c r="N1212" t="e">
        <f t="shared" ca="1" si="575"/>
        <v>#VALUE!</v>
      </c>
      <c r="O1212" t="e">
        <f t="shared" ca="1" si="576"/>
        <v>#VALUE!</v>
      </c>
      <c r="P1212" t="e">
        <f t="shared" ca="1" si="577"/>
        <v>#VALUE!</v>
      </c>
      <c r="Q1212" t="e">
        <f t="shared" ca="1" si="578"/>
        <v>#VALUE!</v>
      </c>
      <c r="R1212" t="e">
        <f t="shared" ca="1" si="579"/>
        <v>#VALUE!</v>
      </c>
      <c r="S1212" t="e">
        <f t="shared" ca="1" si="580"/>
        <v>#VALUE!</v>
      </c>
      <c r="T1212" t="e">
        <f t="shared" ca="1" si="581"/>
        <v>#VALUE!</v>
      </c>
      <c r="U1212" t="e">
        <f t="shared" ca="1" si="602"/>
        <v>#VALUE!</v>
      </c>
      <c r="V1212" t="e">
        <f t="shared" ca="1" si="603"/>
        <v>#VALUE!</v>
      </c>
      <c r="W1212" t="e">
        <f t="shared" ca="1" si="582"/>
        <v>#VALUE!</v>
      </c>
      <c r="X1212" t="e">
        <f t="shared" ca="1" si="583"/>
        <v>#VALUE!</v>
      </c>
      <c r="Y1212" t="e">
        <f t="shared" ca="1" si="584"/>
        <v>#VALUE!</v>
      </c>
      <c r="Z1212" t="e">
        <f t="shared" ca="1" si="585"/>
        <v>#VALUE!</v>
      </c>
      <c r="AA1212" t="e">
        <f t="shared" ca="1" si="586"/>
        <v>#VALUE!</v>
      </c>
      <c r="AB1212" t="e">
        <f t="shared" ca="1" si="587"/>
        <v>#VALUE!</v>
      </c>
      <c r="AC1212" t="e">
        <f t="shared" ca="1" si="588"/>
        <v>#VALUE!</v>
      </c>
      <c r="AD1212" t="e">
        <f t="shared" ca="1" si="589"/>
        <v>#VALUE!</v>
      </c>
      <c r="AE1212" t="e">
        <f t="shared" ca="1" si="590"/>
        <v>#VALUE!</v>
      </c>
      <c r="AF1212" t="e">
        <f t="shared" ca="1" si="591"/>
        <v>#VALUE!</v>
      </c>
      <c r="AG1212" t="e">
        <f t="shared" ca="1" si="592"/>
        <v>#VALUE!</v>
      </c>
      <c r="AH1212" t="e">
        <f ca="1">IF(V32="Supercritical",L1212,IF(V32="Subcritical",W1212,IF(AND(V1212=1,AG1212=1),IF(T1212&gt;=AE1212,L1212,W1212),IF(V1212=1,L1212,IF(AG1212=1,W1212,MAX($D$16,POWER((ABS(K1212)^2)/($I$5*MAX(F1212,0.1)^2),1/3)))))))</f>
        <v>#VALUE!</v>
      </c>
      <c r="AI1212" t="e">
        <f t="shared" ca="1" si="593"/>
        <v>#VALUE!</v>
      </c>
      <c r="AJ1212" t="e">
        <f t="shared" ca="1" si="594"/>
        <v>#VALUE!</v>
      </c>
      <c r="AM1212">
        <v>0</v>
      </c>
      <c r="AN1212">
        <v>0</v>
      </c>
      <c r="AO1212">
        <f t="shared" si="595"/>
        <v>0</v>
      </c>
      <c r="AP1212">
        <f t="shared" si="604"/>
        <v>0</v>
      </c>
      <c r="AQ1212" t="e">
        <f t="shared" ca="1" si="596"/>
        <v>#VALUE!</v>
      </c>
      <c r="AR1212" t="e">
        <f t="shared" ca="1" si="597"/>
        <v>#VALUE!</v>
      </c>
      <c r="AS1212" t="e">
        <f t="shared" ca="1" si="598"/>
        <v>#VALUE!</v>
      </c>
    </row>
    <row r="1213" spans="1:45" x14ac:dyDescent="0.35">
      <c r="A1213">
        <v>1064</v>
      </c>
      <c r="B1213">
        <v>1062.8889999999999</v>
      </c>
      <c r="C1213">
        <v>616078.50399999996</v>
      </c>
      <c r="D1213">
        <v>3096941.105</v>
      </c>
      <c r="E1213">
        <v>632.03049999999996</v>
      </c>
      <c r="F1213">
        <v>5.2</v>
      </c>
      <c r="G1213">
        <v>0</v>
      </c>
      <c r="H1213" t="s">
        <v>191</v>
      </c>
      <c r="I1213">
        <v>5.7000000000000002E-2</v>
      </c>
      <c r="J1213">
        <f t="shared" si="599"/>
        <v>1</v>
      </c>
      <c r="K1213">
        <f t="shared" si="600"/>
        <v>51</v>
      </c>
      <c r="L1213" t="e">
        <f t="shared" ca="1" si="601"/>
        <v>#VALUE!</v>
      </c>
      <c r="M1213" t="e">
        <f t="shared" ca="1" si="574"/>
        <v>#VALUE!</v>
      </c>
      <c r="N1213" t="e">
        <f t="shared" ca="1" si="575"/>
        <v>#VALUE!</v>
      </c>
      <c r="O1213" t="e">
        <f t="shared" ca="1" si="576"/>
        <v>#VALUE!</v>
      </c>
      <c r="P1213" t="e">
        <f t="shared" ca="1" si="577"/>
        <v>#VALUE!</v>
      </c>
      <c r="Q1213" t="e">
        <f t="shared" ca="1" si="578"/>
        <v>#VALUE!</v>
      </c>
      <c r="R1213" t="e">
        <f t="shared" ca="1" si="579"/>
        <v>#VALUE!</v>
      </c>
      <c r="S1213" t="e">
        <f t="shared" ca="1" si="580"/>
        <v>#VALUE!</v>
      </c>
      <c r="T1213" t="e">
        <f t="shared" ca="1" si="581"/>
        <v>#VALUE!</v>
      </c>
      <c r="U1213" t="e">
        <f t="shared" ca="1" si="602"/>
        <v>#VALUE!</v>
      </c>
      <c r="V1213" t="e">
        <f t="shared" ca="1" si="603"/>
        <v>#VALUE!</v>
      </c>
      <c r="W1213" t="e">
        <f t="shared" ca="1" si="582"/>
        <v>#VALUE!</v>
      </c>
      <c r="X1213" t="e">
        <f t="shared" ca="1" si="583"/>
        <v>#VALUE!</v>
      </c>
      <c r="Y1213" t="e">
        <f t="shared" ca="1" si="584"/>
        <v>#VALUE!</v>
      </c>
      <c r="Z1213" t="e">
        <f t="shared" ca="1" si="585"/>
        <v>#VALUE!</v>
      </c>
      <c r="AA1213" t="e">
        <f t="shared" ca="1" si="586"/>
        <v>#VALUE!</v>
      </c>
      <c r="AB1213" t="e">
        <f t="shared" ca="1" si="587"/>
        <v>#VALUE!</v>
      </c>
      <c r="AC1213" t="e">
        <f t="shared" ca="1" si="588"/>
        <v>#VALUE!</v>
      </c>
      <c r="AD1213" t="e">
        <f t="shared" ca="1" si="589"/>
        <v>#VALUE!</v>
      </c>
      <c r="AE1213" t="e">
        <f t="shared" ca="1" si="590"/>
        <v>#VALUE!</v>
      </c>
      <c r="AF1213" t="e">
        <f t="shared" ca="1" si="591"/>
        <v>#VALUE!</v>
      </c>
      <c r="AG1213" t="e">
        <f t="shared" ca="1" si="592"/>
        <v>#VALUE!</v>
      </c>
      <c r="AH1213" t="e">
        <f ca="1">IF(V32="Supercritical",L1213,IF(V32="Subcritical",W1213,IF(AND(V1213=1,AG1213=1),IF(T1213&gt;=AE1213,L1213,W1213),IF(V1213=1,L1213,IF(AG1213=1,W1213,MAX($D$16,POWER((ABS(K1213)^2)/($I$5*MAX(F1213,0.1)^2),1/3)))))))</f>
        <v>#VALUE!</v>
      </c>
      <c r="AI1213" t="e">
        <f t="shared" ca="1" si="593"/>
        <v>#VALUE!</v>
      </c>
      <c r="AJ1213" t="e">
        <f t="shared" ca="1" si="594"/>
        <v>#VALUE!</v>
      </c>
      <c r="AM1213">
        <v>0</v>
      </c>
      <c r="AN1213">
        <v>0</v>
      </c>
      <c r="AO1213">
        <f t="shared" si="595"/>
        <v>0</v>
      </c>
      <c r="AP1213">
        <f t="shared" si="604"/>
        <v>0</v>
      </c>
      <c r="AQ1213" t="e">
        <f t="shared" ca="1" si="596"/>
        <v>#VALUE!</v>
      </c>
      <c r="AR1213" t="e">
        <f t="shared" ca="1" si="597"/>
        <v>#VALUE!</v>
      </c>
      <c r="AS1213" t="e">
        <f t="shared" ca="1" si="598"/>
        <v>#VALUE!</v>
      </c>
    </row>
    <row r="1214" spans="1:45" x14ac:dyDescent="0.35">
      <c r="A1214">
        <v>1065</v>
      </c>
      <c r="B1214">
        <v>1063.8889999999999</v>
      </c>
      <c r="C1214">
        <v>616078.46100000001</v>
      </c>
      <c r="D1214">
        <v>3096940.1060000001</v>
      </c>
      <c r="E1214">
        <v>632.03</v>
      </c>
      <c r="F1214">
        <v>5.2</v>
      </c>
      <c r="G1214">
        <v>0</v>
      </c>
      <c r="H1214" t="s">
        <v>191</v>
      </c>
      <c r="I1214">
        <v>5.7000000000000002E-2</v>
      </c>
      <c r="J1214">
        <f t="shared" si="599"/>
        <v>1</v>
      </c>
      <c r="K1214">
        <f t="shared" si="600"/>
        <v>51</v>
      </c>
      <c r="L1214" t="e">
        <f t="shared" ca="1" si="601"/>
        <v>#VALUE!</v>
      </c>
      <c r="M1214" t="e">
        <f t="shared" ca="1" si="574"/>
        <v>#VALUE!</v>
      </c>
      <c r="N1214" t="e">
        <f t="shared" ca="1" si="575"/>
        <v>#VALUE!</v>
      </c>
      <c r="O1214" t="e">
        <f t="shared" ca="1" si="576"/>
        <v>#VALUE!</v>
      </c>
      <c r="P1214" t="e">
        <f t="shared" ca="1" si="577"/>
        <v>#VALUE!</v>
      </c>
      <c r="Q1214" t="e">
        <f t="shared" ca="1" si="578"/>
        <v>#VALUE!</v>
      </c>
      <c r="R1214" t="e">
        <f t="shared" ca="1" si="579"/>
        <v>#VALUE!</v>
      </c>
      <c r="S1214" t="e">
        <f t="shared" ca="1" si="580"/>
        <v>#VALUE!</v>
      </c>
      <c r="T1214" t="e">
        <f t="shared" ca="1" si="581"/>
        <v>#VALUE!</v>
      </c>
      <c r="U1214" t="e">
        <f t="shared" ca="1" si="602"/>
        <v>#VALUE!</v>
      </c>
      <c r="V1214" t="e">
        <f t="shared" ca="1" si="603"/>
        <v>#VALUE!</v>
      </c>
      <c r="W1214" t="e">
        <f t="shared" ca="1" si="582"/>
        <v>#VALUE!</v>
      </c>
      <c r="X1214" t="e">
        <f t="shared" ca="1" si="583"/>
        <v>#VALUE!</v>
      </c>
      <c r="Y1214" t="e">
        <f t="shared" ca="1" si="584"/>
        <v>#VALUE!</v>
      </c>
      <c r="Z1214" t="e">
        <f t="shared" ca="1" si="585"/>
        <v>#VALUE!</v>
      </c>
      <c r="AA1214" t="e">
        <f t="shared" ca="1" si="586"/>
        <v>#VALUE!</v>
      </c>
      <c r="AB1214" t="e">
        <f t="shared" ca="1" si="587"/>
        <v>#VALUE!</v>
      </c>
      <c r="AC1214" t="e">
        <f t="shared" ca="1" si="588"/>
        <v>#VALUE!</v>
      </c>
      <c r="AD1214" t="e">
        <f t="shared" ca="1" si="589"/>
        <v>#VALUE!</v>
      </c>
      <c r="AE1214" t="e">
        <f t="shared" ca="1" si="590"/>
        <v>#VALUE!</v>
      </c>
      <c r="AF1214" t="e">
        <f t="shared" ca="1" si="591"/>
        <v>#VALUE!</v>
      </c>
      <c r="AG1214" t="e">
        <f t="shared" ca="1" si="592"/>
        <v>#VALUE!</v>
      </c>
      <c r="AH1214" t="e">
        <f ca="1">IF(V32="Supercritical",L1214,IF(V32="Subcritical",W1214,IF(AND(V1214=1,AG1214=1),IF(T1214&gt;=AE1214,L1214,W1214),IF(V1214=1,L1214,IF(AG1214=1,W1214,MAX($D$16,POWER((ABS(K1214)^2)/($I$5*MAX(F1214,0.1)^2),1/3)))))))</f>
        <v>#VALUE!</v>
      </c>
      <c r="AI1214" t="e">
        <f t="shared" ca="1" si="593"/>
        <v>#VALUE!</v>
      </c>
      <c r="AJ1214" t="e">
        <f t="shared" ca="1" si="594"/>
        <v>#VALUE!</v>
      </c>
      <c r="AM1214">
        <v>0</v>
      </c>
      <c r="AN1214">
        <v>0</v>
      </c>
      <c r="AO1214">
        <f t="shared" si="595"/>
        <v>0</v>
      </c>
      <c r="AP1214">
        <f t="shared" si="604"/>
        <v>0</v>
      </c>
      <c r="AQ1214" t="e">
        <f t="shared" ca="1" si="596"/>
        <v>#VALUE!</v>
      </c>
      <c r="AR1214" t="e">
        <f t="shared" ca="1" si="597"/>
        <v>#VALUE!</v>
      </c>
      <c r="AS1214" t="e">
        <f t="shared" ca="1" si="598"/>
        <v>#VALUE!</v>
      </c>
    </row>
    <row r="1215" spans="1:45" x14ac:dyDescent="0.35">
      <c r="A1215">
        <v>1066</v>
      </c>
      <c r="B1215">
        <v>1064.8889999999999</v>
      </c>
      <c r="C1215">
        <v>616078.41899999999</v>
      </c>
      <c r="D1215">
        <v>3096939.1069999998</v>
      </c>
      <c r="E1215">
        <v>632.02949999999998</v>
      </c>
      <c r="F1215">
        <v>5.2</v>
      </c>
      <c r="G1215">
        <v>0</v>
      </c>
      <c r="H1215" t="s">
        <v>191</v>
      </c>
      <c r="I1215">
        <v>0</v>
      </c>
      <c r="J1215">
        <f t="shared" si="599"/>
        <v>1</v>
      </c>
      <c r="K1215">
        <f t="shared" si="600"/>
        <v>51</v>
      </c>
      <c r="L1215" t="e">
        <f t="shared" ca="1" si="601"/>
        <v>#VALUE!</v>
      </c>
      <c r="M1215" t="e">
        <f t="shared" ca="1" si="574"/>
        <v>#VALUE!</v>
      </c>
      <c r="N1215" t="e">
        <f t="shared" ca="1" si="575"/>
        <v>#VALUE!</v>
      </c>
      <c r="O1215" t="e">
        <f t="shared" ca="1" si="576"/>
        <v>#VALUE!</v>
      </c>
      <c r="P1215" t="e">
        <f t="shared" ca="1" si="577"/>
        <v>#VALUE!</v>
      </c>
      <c r="Q1215" t="e">
        <f t="shared" ca="1" si="578"/>
        <v>#VALUE!</v>
      </c>
      <c r="R1215" t="e">
        <f t="shared" ca="1" si="579"/>
        <v>#VALUE!</v>
      </c>
      <c r="S1215" t="e">
        <f t="shared" ca="1" si="580"/>
        <v>#VALUE!</v>
      </c>
      <c r="T1215" t="e">
        <f t="shared" ca="1" si="581"/>
        <v>#VALUE!</v>
      </c>
      <c r="U1215" t="e">
        <f t="shared" ca="1" si="602"/>
        <v>#VALUE!</v>
      </c>
      <c r="V1215" t="e">
        <f t="shared" ca="1" si="603"/>
        <v>#VALUE!</v>
      </c>
      <c r="W1215" t="e">
        <f t="shared" ca="1" si="582"/>
        <v>#VALUE!</v>
      </c>
      <c r="X1215" t="e">
        <f t="shared" ca="1" si="583"/>
        <v>#VALUE!</v>
      </c>
      <c r="Y1215" t="e">
        <f t="shared" ca="1" si="584"/>
        <v>#VALUE!</v>
      </c>
      <c r="Z1215" t="e">
        <f t="shared" ca="1" si="585"/>
        <v>#VALUE!</v>
      </c>
      <c r="AA1215" t="e">
        <f t="shared" ca="1" si="586"/>
        <v>#VALUE!</v>
      </c>
      <c r="AB1215" t="e">
        <f t="shared" ca="1" si="587"/>
        <v>#VALUE!</v>
      </c>
      <c r="AC1215" t="e">
        <f t="shared" ca="1" si="588"/>
        <v>#VALUE!</v>
      </c>
      <c r="AD1215" t="e">
        <f t="shared" ca="1" si="589"/>
        <v>#VALUE!</v>
      </c>
      <c r="AE1215" t="e">
        <f t="shared" ca="1" si="590"/>
        <v>#VALUE!</v>
      </c>
      <c r="AF1215" t="e">
        <f t="shared" ca="1" si="591"/>
        <v>#VALUE!</v>
      </c>
      <c r="AG1215" t="e">
        <f t="shared" ca="1" si="592"/>
        <v>#VALUE!</v>
      </c>
      <c r="AH1215" t="e">
        <f ca="1">IF(V32="Supercritical",L1215,IF(V32="Subcritical",W1215,IF(AND(V1215=1,AG1215=1),IF(T1215&gt;=AE1215,L1215,W1215),IF(V1215=1,L1215,IF(AG1215=1,W1215,MAX($D$16,POWER((ABS(K1215)^2)/($I$5*MAX(F1215,0.1)^2),1/3)))))))</f>
        <v>#VALUE!</v>
      </c>
      <c r="AI1215" t="e">
        <f t="shared" ca="1" si="593"/>
        <v>#VALUE!</v>
      </c>
      <c r="AJ1215" t="e">
        <f t="shared" ca="1" si="594"/>
        <v>#VALUE!</v>
      </c>
      <c r="AM1215">
        <v>0</v>
      </c>
      <c r="AN1215">
        <v>0</v>
      </c>
      <c r="AO1215">
        <f t="shared" si="595"/>
        <v>0</v>
      </c>
      <c r="AP1215">
        <f t="shared" si="604"/>
        <v>0</v>
      </c>
      <c r="AQ1215" t="e">
        <f t="shared" ca="1" si="596"/>
        <v>#VALUE!</v>
      </c>
      <c r="AR1215" t="e">
        <f t="shared" ca="1" si="597"/>
        <v>#VALUE!</v>
      </c>
      <c r="AS1215" t="e">
        <f t="shared" ca="1" si="598"/>
        <v>#VALUE!</v>
      </c>
    </row>
    <row r="1216" spans="1:45" x14ac:dyDescent="0.35">
      <c r="A1216">
        <v>1067</v>
      </c>
      <c r="B1216">
        <v>1065.8889999999999</v>
      </c>
      <c r="C1216">
        <v>616078.37699999998</v>
      </c>
      <c r="D1216">
        <v>3096938.108</v>
      </c>
      <c r="E1216">
        <v>632.029</v>
      </c>
      <c r="F1216">
        <v>5.2</v>
      </c>
      <c r="G1216">
        <v>0</v>
      </c>
      <c r="H1216" t="s">
        <v>191</v>
      </c>
      <c r="I1216">
        <v>0</v>
      </c>
      <c r="J1216">
        <f t="shared" si="599"/>
        <v>1</v>
      </c>
      <c r="K1216">
        <f t="shared" si="600"/>
        <v>51</v>
      </c>
      <c r="L1216" t="e">
        <f t="shared" ca="1" si="601"/>
        <v>#VALUE!</v>
      </c>
      <c r="M1216" t="e">
        <f t="shared" ca="1" si="574"/>
        <v>#VALUE!</v>
      </c>
      <c r="N1216" t="e">
        <f t="shared" ca="1" si="575"/>
        <v>#VALUE!</v>
      </c>
      <c r="O1216" t="e">
        <f t="shared" ca="1" si="576"/>
        <v>#VALUE!</v>
      </c>
      <c r="P1216" t="e">
        <f t="shared" ca="1" si="577"/>
        <v>#VALUE!</v>
      </c>
      <c r="Q1216" t="e">
        <f t="shared" ca="1" si="578"/>
        <v>#VALUE!</v>
      </c>
      <c r="R1216" t="e">
        <f t="shared" ca="1" si="579"/>
        <v>#VALUE!</v>
      </c>
      <c r="S1216" t="e">
        <f t="shared" ca="1" si="580"/>
        <v>#VALUE!</v>
      </c>
      <c r="T1216" t="e">
        <f t="shared" ca="1" si="581"/>
        <v>#VALUE!</v>
      </c>
      <c r="U1216" t="e">
        <f t="shared" ca="1" si="602"/>
        <v>#VALUE!</v>
      </c>
      <c r="V1216" t="e">
        <f t="shared" ca="1" si="603"/>
        <v>#VALUE!</v>
      </c>
      <c r="W1216" t="e">
        <f t="shared" ca="1" si="582"/>
        <v>#VALUE!</v>
      </c>
      <c r="X1216" t="e">
        <f t="shared" ca="1" si="583"/>
        <v>#VALUE!</v>
      </c>
      <c r="Y1216" t="e">
        <f t="shared" ca="1" si="584"/>
        <v>#VALUE!</v>
      </c>
      <c r="Z1216" t="e">
        <f t="shared" ca="1" si="585"/>
        <v>#VALUE!</v>
      </c>
      <c r="AA1216" t="e">
        <f t="shared" ca="1" si="586"/>
        <v>#VALUE!</v>
      </c>
      <c r="AB1216" t="e">
        <f t="shared" ca="1" si="587"/>
        <v>#VALUE!</v>
      </c>
      <c r="AC1216" t="e">
        <f t="shared" ca="1" si="588"/>
        <v>#VALUE!</v>
      </c>
      <c r="AD1216" t="e">
        <f t="shared" ca="1" si="589"/>
        <v>#VALUE!</v>
      </c>
      <c r="AE1216" t="e">
        <f t="shared" ca="1" si="590"/>
        <v>#VALUE!</v>
      </c>
      <c r="AF1216" t="e">
        <f t="shared" ca="1" si="591"/>
        <v>#VALUE!</v>
      </c>
      <c r="AG1216" t="e">
        <f t="shared" ca="1" si="592"/>
        <v>#VALUE!</v>
      </c>
      <c r="AH1216" t="e">
        <f ca="1">IF(V32="Supercritical",L1216,IF(V32="Subcritical",W1216,IF(AND(V1216=1,AG1216=1),IF(T1216&gt;=AE1216,L1216,W1216),IF(V1216=1,L1216,IF(AG1216=1,W1216,MAX($D$16,POWER((ABS(K1216)^2)/($I$5*MAX(F1216,0.1)^2),1/3)))))))</f>
        <v>#VALUE!</v>
      </c>
      <c r="AI1216" t="e">
        <f t="shared" ca="1" si="593"/>
        <v>#VALUE!</v>
      </c>
      <c r="AJ1216" t="e">
        <f t="shared" ca="1" si="594"/>
        <v>#VALUE!</v>
      </c>
      <c r="AM1216">
        <v>0</v>
      </c>
      <c r="AN1216">
        <v>0</v>
      </c>
      <c r="AO1216">
        <f t="shared" si="595"/>
        <v>0</v>
      </c>
      <c r="AP1216">
        <f t="shared" si="604"/>
        <v>0</v>
      </c>
      <c r="AQ1216" t="e">
        <f t="shared" ca="1" si="596"/>
        <v>#VALUE!</v>
      </c>
      <c r="AR1216" t="e">
        <f t="shared" ca="1" si="597"/>
        <v>#VALUE!</v>
      </c>
      <c r="AS1216" t="e">
        <f t="shared" ca="1" si="598"/>
        <v>#VALUE!</v>
      </c>
    </row>
    <row r="1217" spans="1:45" x14ac:dyDescent="0.35">
      <c r="A1217">
        <v>1068</v>
      </c>
      <c r="B1217">
        <v>1066.8889999999999</v>
      </c>
      <c r="C1217">
        <v>616078.33499999996</v>
      </c>
      <c r="D1217">
        <v>3096937.1090000002</v>
      </c>
      <c r="E1217">
        <v>632.02850000000001</v>
      </c>
      <c r="F1217">
        <v>5.2</v>
      </c>
      <c r="G1217">
        <v>0</v>
      </c>
      <c r="H1217" t="s">
        <v>191</v>
      </c>
      <c r="I1217">
        <v>5.5E-2</v>
      </c>
      <c r="J1217">
        <f t="shared" si="599"/>
        <v>1</v>
      </c>
      <c r="K1217">
        <f t="shared" si="600"/>
        <v>51</v>
      </c>
      <c r="L1217" t="e">
        <f t="shared" ca="1" si="601"/>
        <v>#VALUE!</v>
      </c>
      <c r="M1217" t="e">
        <f t="shared" ca="1" si="574"/>
        <v>#VALUE!</v>
      </c>
      <c r="N1217" t="e">
        <f t="shared" ca="1" si="575"/>
        <v>#VALUE!</v>
      </c>
      <c r="O1217" t="e">
        <f t="shared" ca="1" si="576"/>
        <v>#VALUE!</v>
      </c>
      <c r="P1217" t="e">
        <f t="shared" ca="1" si="577"/>
        <v>#VALUE!</v>
      </c>
      <c r="Q1217" t="e">
        <f t="shared" ca="1" si="578"/>
        <v>#VALUE!</v>
      </c>
      <c r="R1217" t="e">
        <f t="shared" ca="1" si="579"/>
        <v>#VALUE!</v>
      </c>
      <c r="S1217" t="e">
        <f t="shared" ca="1" si="580"/>
        <v>#VALUE!</v>
      </c>
      <c r="T1217" t="e">
        <f t="shared" ca="1" si="581"/>
        <v>#VALUE!</v>
      </c>
      <c r="U1217" t="e">
        <f t="shared" ca="1" si="602"/>
        <v>#VALUE!</v>
      </c>
      <c r="V1217" t="e">
        <f t="shared" ca="1" si="603"/>
        <v>#VALUE!</v>
      </c>
      <c r="W1217" t="e">
        <f t="shared" ca="1" si="582"/>
        <v>#VALUE!</v>
      </c>
      <c r="X1217" t="e">
        <f t="shared" ca="1" si="583"/>
        <v>#VALUE!</v>
      </c>
      <c r="Y1217" t="e">
        <f t="shared" ca="1" si="584"/>
        <v>#VALUE!</v>
      </c>
      <c r="Z1217" t="e">
        <f t="shared" ca="1" si="585"/>
        <v>#VALUE!</v>
      </c>
      <c r="AA1217" t="e">
        <f t="shared" ca="1" si="586"/>
        <v>#VALUE!</v>
      </c>
      <c r="AB1217" t="e">
        <f t="shared" ca="1" si="587"/>
        <v>#VALUE!</v>
      </c>
      <c r="AC1217" t="e">
        <f t="shared" ca="1" si="588"/>
        <v>#VALUE!</v>
      </c>
      <c r="AD1217" t="e">
        <f t="shared" ca="1" si="589"/>
        <v>#VALUE!</v>
      </c>
      <c r="AE1217" t="e">
        <f t="shared" ca="1" si="590"/>
        <v>#VALUE!</v>
      </c>
      <c r="AF1217" t="e">
        <f t="shared" ca="1" si="591"/>
        <v>#VALUE!</v>
      </c>
      <c r="AG1217" t="e">
        <f t="shared" ca="1" si="592"/>
        <v>#VALUE!</v>
      </c>
      <c r="AH1217" t="e">
        <f ca="1">IF(V32="Supercritical",L1217,IF(V32="Subcritical",W1217,IF(AND(V1217=1,AG1217=1),IF(T1217&gt;=AE1217,L1217,W1217),IF(V1217=1,L1217,IF(AG1217=1,W1217,MAX($D$16,POWER((ABS(K1217)^2)/($I$5*MAX(F1217,0.1)^2),1/3)))))))</f>
        <v>#VALUE!</v>
      </c>
      <c r="AI1217" t="e">
        <f t="shared" ca="1" si="593"/>
        <v>#VALUE!</v>
      </c>
      <c r="AJ1217" t="e">
        <f t="shared" ca="1" si="594"/>
        <v>#VALUE!</v>
      </c>
      <c r="AM1217">
        <v>0</v>
      </c>
      <c r="AN1217">
        <v>0</v>
      </c>
      <c r="AO1217">
        <f t="shared" si="595"/>
        <v>0</v>
      </c>
      <c r="AP1217">
        <f t="shared" si="604"/>
        <v>0</v>
      </c>
      <c r="AQ1217" t="e">
        <f t="shared" ca="1" si="596"/>
        <v>#VALUE!</v>
      </c>
      <c r="AR1217" t="e">
        <f t="shared" ca="1" si="597"/>
        <v>#VALUE!</v>
      </c>
      <c r="AS1217" t="e">
        <f t="shared" ca="1" si="598"/>
        <v>#VALUE!</v>
      </c>
    </row>
    <row r="1218" spans="1:45" x14ac:dyDescent="0.35">
      <c r="A1218">
        <v>1069</v>
      </c>
      <c r="B1218">
        <v>1067.8900000000001</v>
      </c>
      <c r="C1218">
        <v>616078.29200000002</v>
      </c>
      <c r="D1218">
        <v>3096936.1090000002</v>
      </c>
      <c r="E1218">
        <v>632.02800000000002</v>
      </c>
      <c r="F1218">
        <v>5.2</v>
      </c>
      <c r="G1218">
        <v>0</v>
      </c>
      <c r="H1218" t="s">
        <v>191</v>
      </c>
      <c r="I1218">
        <v>5.5E-2</v>
      </c>
      <c r="J1218">
        <f t="shared" si="599"/>
        <v>1.0010000000002037</v>
      </c>
      <c r="K1218">
        <f t="shared" si="600"/>
        <v>51</v>
      </c>
      <c r="L1218" t="e">
        <f t="shared" ca="1" si="601"/>
        <v>#VALUE!</v>
      </c>
      <c r="M1218" t="e">
        <f t="shared" ca="1" si="574"/>
        <v>#VALUE!</v>
      </c>
      <c r="N1218" t="e">
        <f t="shared" ca="1" si="575"/>
        <v>#VALUE!</v>
      </c>
      <c r="O1218" t="e">
        <f t="shared" ca="1" si="576"/>
        <v>#VALUE!</v>
      </c>
      <c r="P1218" t="e">
        <f t="shared" ca="1" si="577"/>
        <v>#VALUE!</v>
      </c>
      <c r="Q1218" t="e">
        <f t="shared" ca="1" si="578"/>
        <v>#VALUE!</v>
      </c>
      <c r="R1218" t="e">
        <f t="shared" ca="1" si="579"/>
        <v>#VALUE!</v>
      </c>
      <c r="S1218" t="e">
        <f t="shared" ca="1" si="580"/>
        <v>#VALUE!</v>
      </c>
      <c r="T1218" t="e">
        <f t="shared" ca="1" si="581"/>
        <v>#VALUE!</v>
      </c>
      <c r="U1218" t="e">
        <f t="shared" ca="1" si="602"/>
        <v>#VALUE!</v>
      </c>
      <c r="V1218" t="e">
        <f t="shared" ca="1" si="603"/>
        <v>#VALUE!</v>
      </c>
      <c r="W1218" t="e">
        <f t="shared" ca="1" si="582"/>
        <v>#VALUE!</v>
      </c>
      <c r="X1218" t="e">
        <f t="shared" ca="1" si="583"/>
        <v>#VALUE!</v>
      </c>
      <c r="Y1218" t="e">
        <f t="shared" ca="1" si="584"/>
        <v>#VALUE!</v>
      </c>
      <c r="Z1218" t="e">
        <f t="shared" ca="1" si="585"/>
        <v>#VALUE!</v>
      </c>
      <c r="AA1218" t="e">
        <f t="shared" ca="1" si="586"/>
        <v>#VALUE!</v>
      </c>
      <c r="AB1218" t="e">
        <f t="shared" ca="1" si="587"/>
        <v>#VALUE!</v>
      </c>
      <c r="AC1218" t="e">
        <f t="shared" ca="1" si="588"/>
        <v>#VALUE!</v>
      </c>
      <c r="AD1218" t="e">
        <f t="shared" ca="1" si="589"/>
        <v>#VALUE!</v>
      </c>
      <c r="AE1218" t="e">
        <f t="shared" ca="1" si="590"/>
        <v>#VALUE!</v>
      </c>
      <c r="AF1218" t="e">
        <f t="shared" ca="1" si="591"/>
        <v>#VALUE!</v>
      </c>
      <c r="AG1218" t="e">
        <f t="shared" ca="1" si="592"/>
        <v>#VALUE!</v>
      </c>
      <c r="AH1218" t="e">
        <f ca="1">IF(V32="Supercritical",L1218,IF(V32="Subcritical",W1218,IF(AND(V1218=1,AG1218=1),IF(T1218&gt;=AE1218,L1218,W1218),IF(V1218=1,L1218,IF(AG1218=1,W1218,MAX($D$16,POWER((ABS(K1218)^2)/($I$5*MAX(F1218,0.1)^2),1/3)))))))</f>
        <v>#VALUE!</v>
      </c>
      <c r="AI1218" t="e">
        <f t="shared" ca="1" si="593"/>
        <v>#VALUE!</v>
      </c>
      <c r="AJ1218" t="e">
        <f t="shared" ca="1" si="594"/>
        <v>#VALUE!</v>
      </c>
      <c r="AM1218">
        <v>0</v>
      </c>
      <c r="AN1218">
        <v>0</v>
      </c>
      <c r="AO1218">
        <f t="shared" si="595"/>
        <v>0</v>
      </c>
      <c r="AP1218">
        <f t="shared" si="604"/>
        <v>0</v>
      </c>
      <c r="AQ1218" t="e">
        <f t="shared" ca="1" si="596"/>
        <v>#VALUE!</v>
      </c>
      <c r="AR1218" t="e">
        <f t="shared" ca="1" si="597"/>
        <v>#VALUE!</v>
      </c>
      <c r="AS1218" t="e">
        <f t="shared" ca="1" si="598"/>
        <v>#VALUE!</v>
      </c>
    </row>
    <row r="1219" spans="1:45" x14ac:dyDescent="0.35">
      <c r="A1219">
        <v>1070</v>
      </c>
      <c r="B1219">
        <v>1068.8900000000001</v>
      </c>
      <c r="C1219">
        <v>616078.25</v>
      </c>
      <c r="D1219">
        <v>3096935.11</v>
      </c>
      <c r="E1219">
        <v>632.02750000000003</v>
      </c>
      <c r="F1219">
        <v>5.2</v>
      </c>
      <c r="G1219">
        <v>0</v>
      </c>
      <c r="H1219" t="s">
        <v>191</v>
      </c>
      <c r="I1219">
        <v>0</v>
      </c>
      <c r="J1219">
        <f t="shared" si="599"/>
        <v>1</v>
      </c>
      <c r="K1219">
        <f t="shared" si="600"/>
        <v>51</v>
      </c>
      <c r="L1219" t="e">
        <f t="shared" ca="1" si="601"/>
        <v>#VALUE!</v>
      </c>
      <c r="M1219" t="e">
        <f t="shared" ca="1" si="574"/>
        <v>#VALUE!</v>
      </c>
      <c r="N1219" t="e">
        <f t="shared" ca="1" si="575"/>
        <v>#VALUE!</v>
      </c>
      <c r="O1219" t="e">
        <f t="shared" ca="1" si="576"/>
        <v>#VALUE!</v>
      </c>
      <c r="P1219" t="e">
        <f t="shared" ca="1" si="577"/>
        <v>#VALUE!</v>
      </c>
      <c r="Q1219" t="e">
        <f t="shared" ca="1" si="578"/>
        <v>#VALUE!</v>
      </c>
      <c r="R1219" t="e">
        <f t="shared" ca="1" si="579"/>
        <v>#VALUE!</v>
      </c>
      <c r="S1219" t="e">
        <f t="shared" ca="1" si="580"/>
        <v>#VALUE!</v>
      </c>
      <c r="T1219" t="e">
        <f t="shared" ca="1" si="581"/>
        <v>#VALUE!</v>
      </c>
      <c r="U1219" t="e">
        <f t="shared" ca="1" si="602"/>
        <v>#VALUE!</v>
      </c>
      <c r="V1219" t="e">
        <f t="shared" ca="1" si="603"/>
        <v>#VALUE!</v>
      </c>
      <c r="W1219" t="e">
        <f t="shared" ca="1" si="582"/>
        <v>#VALUE!</v>
      </c>
      <c r="X1219" t="e">
        <f t="shared" ca="1" si="583"/>
        <v>#VALUE!</v>
      </c>
      <c r="Y1219" t="e">
        <f t="shared" ca="1" si="584"/>
        <v>#VALUE!</v>
      </c>
      <c r="Z1219" t="e">
        <f t="shared" ca="1" si="585"/>
        <v>#VALUE!</v>
      </c>
      <c r="AA1219" t="e">
        <f t="shared" ca="1" si="586"/>
        <v>#VALUE!</v>
      </c>
      <c r="AB1219" t="e">
        <f t="shared" ca="1" si="587"/>
        <v>#VALUE!</v>
      </c>
      <c r="AC1219" t="e">
        <f t="shared" ca="1" si="588"/>
        <v>#VALUE!</v>
      </c>
      <c r="AD1219" t="e">
        <f t="shared" ca="1" si="589"/>
        <v>#VALUE!</v>
      </c>
      <c r="AE1219" t="e">
        <f t="shared" ca="1" si="590"/>
        <v>#VALUE!</v>
      </c>
      <c r="AF1219" t="e">
        <f t="shared" ca="1" si="591"/>
        <v>#VALUE!</v>
      </c>
      <c r="AG1219" t="e">
        <f t="shared" ca="1" si="592"/>
        <v>#VALUE!</v>
      </c>
      <c r="AH1219" t="e">
        <f ca="1">IF(V32="Supercritical",L1219,IF(V32="Subcritical",W1219,IF(AND(V1219=1,AG1219=1),IF(T1219&gt;=AE1219,L1219,W1219),IF(V1219=1,L1219,IF(AG1219=1,W1219,MAX($D$16,POWER((ABS(K1219)^2)/($I$5*MAX(F1219,0.1)^2),1/3)))))))</f>
        <v>#VALUE!</v>
      </c>
      <c r="AI1219" t="e">
        <f t="shared" ca="1" si="593"/>
        <v>#VALUE!</v>
      </c>
      <c r="AJ1219" t="e">
        <f t="shared" ca="1" si="594"/>
        <v>#VALUE!</v>
      </c>
      <c r="AM1219">
        <v>0</v>
      </c>
      <c r="AN1219">
        <v>0</v>
      </c>
      <c r="AO1219">
        <f t="shared" si="595"/>
        <v>0</v>
      </c>
      <c r="AP1219">
        <f t="shared" si="604"/>
        <v>0</v>
      </c>
      <c r="AQ1219" t="e">
        <f t="shared" ca="1" si="596"/>
        <v>#VALUE!</v>
      </c>
      <c r="AR1219" t="e">
        <f t="shared" ca="1" si="597"/>
        <v>#VALUE!</v>
      </c>
      <c r="AS1219" t="e">
        <f t="shared" ca="1" si="598"/>
        <v>#VALUE!</v>
      </c>
    </row>
    <row r="1220" spans="1:45" x14ac:dyDescent="0.35">
      <c r="A1220">
        <v>1071</v>
      </c>
      <c r="B1220">
        <v>1069.8900000000001</v>
      </c>
      <c r="C1220">
        <v>616078.20799999998</v>
      </c>
      <c r="D1220">
        <v>3096934.111</v>
      </c>
      <c r="E1220">
        <v>632.02700000000004</v>
      </c>
      <c r="F1220">
        <v>5.2</v>
      </c>
      <c r="G1220">
        <v>0</v>
      </c>
      <c r="H1220" t="s">
        <v>191</v>
      </c>
      <c r="I1220">
        <v>0</v>
      </c>
      <c r="J1220">
        <f t="shared" si="599"/>
        <v>1</v>
      </c>
      <c r="K1220">
        <f t="shared" si="600"/>
        <v>51</v>
      </c>
      <c r="L1220" t="e">
        <f t="shared" ca="1" si="601"/>
        <v>#VALUE!</v>
      </c>
      <c r="M1220" t="e">
        <f t="shared" ca="1" si="574"/>
        <v>#VALUE!</v>
      </c>
      <c r="N1220" t="e">
        <f t="shared" ca="1" si="575"/>
        <v>#VALUE!</v>
      </c>
      <c r="O1220" t="e">
        <f t="shared" ca="1" si="576"/>
        <v>#VALUE!</v>
      </c>
      <c r="P1220" t="e">
        <f t="shared" ca="1" si="577"/>
        <v>#VALUE!</v>
      </c>
      <c r="Q1220" t="e">
        <f t="shared" ca="1" si="578"/>
        <v>#VALUE!</v>
      </c>
      <c r="R1220" t="e">
        <f t="shared" ca="1" si="579"/>
        <v>#VALUE!</v>
      </c>
      <c r="S1220" t="e">
        <f t="shared" ca="1" si="580"/>
        <v>#VALUE!</v>
      </c>
      <c r="T1220" t="e">
        <f t="shared" ca="1" si="581"/>
        <v>#VALUE!</v>
      </c>
      <c r="U1220" t="e">
        <f t="shared" ca="1" si="602"/>
        <v>#VALUE!</v>
      </c>
      <c r="V1220" t="e">
        <f t="shared" ca="1" si="603"/>
        <v>#VALUE!</v>
      </c>
      <c r="W1220" t="e">
        <f t="shared" ca="1" si="582"/>
        <v>#VALUE!</v>
      </c>
      <c r="X1220" t="e">
        <f t="shared" ca="1" si="583"/>
        <v>#VALUE!</v>
      </c>
      <c r="Y1220" t="e">
        <f t="shared" ca="1" si="584"/>
        <v>#VALUE!</v>
      </c>
      <c r="Z1220" t="e">
        <f t="shared" ca="1" si="585"/>
        <v>#VALUE!</v>
      </c>
      <c r="AA1220" t="e">
        <f t="shared" ca="1" si="586"/>
        <v>#VALUE!</v>
      </c>
      <c r="AB1220" t="e">
        <f t="shared" ca="1" si="587"/>
        <v>#VALUE!</v>
      </c>
      <c r="AC1220" t="e">
        <f t="shared" ca="1" si="588"/>
        <v>#VALUE!</v>
      </c>
      <c r="AD1220" t="e">
        <f t="shared" ca="1" si="589"/>
        <v>#VALUE!</v>
      </c>
      <c r="AE1220" t="e">
        <f t="shared" ca="1" si="590"/>
        <v>#VALUE!</v>
      </c>
      <c r="AF1220" t="e">
        <f t="shared" ca="1" si="591"/>
        <v>#VALUE!</v>
      </c>
      <c r="AG1220" t="e">
        <f t="shared" ca="1" si="592"/>
        <v>#VALUE!</v>
      </c>
      <c r="AH1220" t="e">
        <f ca="1">IF(V32="Supercritical",L1220,IF(V32="Subcritical",W1220,IF(AND(V1220=1,AG1220=1),IF(T1220&gt;=AE1220,L1220,W1220),IF(V1220=1,L1220,IF(AG1220=1,W1220,MAX($D$16,POWER((ABS(K1220)^2)/($I$5*MAX(F1220,0.1)^2),1/3)))))))</f>
        <v>#VALUE!</v>
      </c>
      <c r="AI1220" t="e">
        <f t="shared" ca="1" si="593"/>
        <v>#VALUE!</v>
      </c>
      <c r="AJ1220" t="e">
        <f t="shared" ca="1" si="594"/>
        <v>#VALUE!</v>
      </c>
      <c r="AM1220">
        <v>0</v>
      </c>
      <c r="AN1220">
        <v>0</v>
      </c>
      <c r="AO1220">
        <f t="shared" si="595"/>
        <v>0</v>
      </c>
      <c r="AP1220">
        <f t="shared" si="604"/>
        <v>0</v>
      </c>
      <c r="AQ1220" t="e">
        <f t="shared" ca="1" si="596"/>
        <v>#VALUE!</v>
      </c>
      <c r="AR1220" t="e">
        <f t="shared" ca="1" si="597"/>
        <v>#VALUE!</v>
      </c>
      <c r="AS1220" t="e">
        <f t="shared" ca="1" si="598"/>
        <v>#VALUE!</v>
      </c>
    </row>
    <row r="1221" spans="1:45" x14ac:dyDescent="0.35">
      <c r="A1221">
        <v>1072</v>
      </c>
      <c r="B1221">
        <v>1070.8889999999999</v>
      </c>
      <c r="C1221">
        <v>616078.16599999997</v>
      </c>
      <c r="D1221">
        <v>3096933.1120000002</v>
      </c>
      <c r="E1221">
        <v>632.02650000000006</v>
      </c>
      <c r="F1221">
        <v>5.2</v>
      </c>
      <c r="G1221">
        <v>0</v>
      </c>
      <c r="H1221" t="s">
        <v>191</v>
      </c>
      <c r="I1221">
        <v>5.7000000000000002E-2</v>
      </c>
      <c r="J1221">
        <f t="shared" si="599"/>
        <v>0.99899999999979627</v>
      </c>
      <c r="K1221">
        <f t="shared" si="600"/>
        <v>51</v>
      </c>
      <c r="L1221" t="e">
        <f t="shared" ca="1" si="601"/>
        <v>#VALUE!</v>
      </c>
      <c r="M1221" t="e">
        <f t="shared" ca="1" si="574"/>
        <v>#VALUE!</v>
      </c>
      <c r="N1221" t="e">
        <f t="shared" ca="1" si="575"/>
        <v>#VALUE!</v>
      </c>
      <c r="O1221" t="e">
        <f t="shared" ca="1" si="576"/>
        <v>#VALUE!</v>
      </c>
      <c r="P1221" t="e">
        <f t="shared" ca="1" si="577"/>
        <v>#VALUE!</v>
      </c>
      <c r="Q1221" t="e">
        <f t="shared" ca="1" si="578"/>
        <v>#VALUE!</v>
      </c>
      <c r="R1221" t="e">
        <f t="shared" ca="1" si="579"/>
        <v>#VALUE!</v>
      </c>
      <c r="S1221" t="e">
        <f t="shared" ca="1" si="580"/>
        <v>#VALUE!</v>
      </c>
      <c r="T1221" t="e">
        <f t="shared" ca="1" si="581"/>
        <v>#VALUE!</v>
      </c>
      <c r="U1221" t="e">
        <f t="shared" ca="1" si="602"/>
        <v>#VALUE!</v>
      </c>
      <c r="V1221" t="e">
        <f t="shared" ca="1" si="603"/>
        <v>#VALUE!</v>
      </c>
      <c r="W1221" t="e">
        <f t="shared" ca="1" si="582"/>
        <v>#VALUE!</v>
      </c>
      <c r="X1221" t="e">
        <f t="shared" ca="1" si="583"/>
        <v>#VALUE!</v>
      </c>
      <c r="Y1221" t="e">
        <f t="shared" ca="1" si="584"/>
        <v>#VALUE!</v>
      </c>
      <c r="Z1221" t="e">
        <f t="shared" ca="1" si="585"/>
        <v>#VALUE!</v>
      </c>
      <c r="AA1221" t="e">
        <f t="shared" ca="1" si="586"/>
        <v>#VALUE!</v>
      </c>
      <c r="AB1221" t="e">
        <f t="shared" ca="1" si="587"/>
        <v>#VALUE!</v>
      </c>
      <c r="AC1221" t="e">
        <f t="shared" ca="1" si="588"/>
        <v>#VALUE!</v>
      </c>
      <c r="AD1221" t="e">
        <f t="shared" ca="1" si="589"/>
        <v>#VALUE!</v>
      </c>
      <c r="AE1221" t="e">
        <f t="shared" ca="1" si="590"/>
        <v>#VALUE!</v>
      </c>
      <c r="AF1221" t="e">
        <f t="shared" ca="1" si="591"/>
        <v>#VALUE!</v>
      </c>
      <c r="AG1221" t="e">
        <f t="shared" ca="1" si="592"/>
        <v>#VALUE!</v>
      </c>
      <c r="AH1221" t="e">
        <f ca="1">IF(V32="Supercritical",L1221,IF(V32="Subcritical",W1221,IF(AND(V1221=1,AG1221=1),IF(T1221&gt;=AE1221,L1221,W1221),IF(V1221=1,L1221,IF(AG1221=1,W1221,MAX($D$16,POWER((ABS(K1221)^2)/($I$5*MAX(F1221,0.1)^2),1/3)))))))</f>
        <v>#VALUE!</v>
      </c>
      <c r="AI1221" t="e">
        <f t="shared" ca="1" si="593"/>
        <v>#VALUE!</v>
      </c>
      <c r="AJ1221" t="e">
        <f t="shared" ca="1" si="594"/>
        <v>#VALUE!</v>
      </c>
      <c r="AM1221">
        <v>0</v>
      </c>
      <c r="AN1221">
        <v>0</v>
      </c>
      <c r="AO1221">
        <f t="shared" si="595"/>
        <v>0</v>
      </c>
      <c r="AP1221">
        <f t="shared" si="604"/>
        <v>0</v>
      </c>
      <c r="AQ1221" t="e">
        <f t="shared" ca="1" si="596"/>
        <v>#VALUE!</v>
      </c>
      <c r="AR1221" t="e">
        <f t="shared" ca="1" si="597"/>
        <v>#VALUE!</v>
      </c>
      <c r="AS1221" t="e">
        <f t="shared" ca="1" si="598"/>
        <v>#VALUE!</v>
      </c>
    </row>
    <row r="1222" spans="1:45" x14ac:dyDescent="0.35">
      <c r="A1222">
        <v>1073</v>
      </c>
      <c r="B1222">
        <v>1071.8889999999999</v>
      </c>
      <c r="C1222">
        <v>616078.12300000002</v>
      </c>
      <c r="D1222">
        <v>3096932.1129999999</v>
      </c>
      <c r="E1222">
        <v>632.02599999999995</v>
      </c>
      <c r="F1222">
        <v>5.2</v>
      </c>
      <c r="G1222">
        <v>0</v>
      </c>
      <c r="H1222" t="s">
        <v>191</v>
      </c>
      <c r="I1222">
        <v>5.7000000000000002E-2</v>
      </c>
      <c r="J1222">
        <f t="shared" si="599"/>
        <v>1</v>
      </c>
      <c r="K1222">
        <f t="shared" si="600"/>
        <v>51</v>
      </c>
      <c r="L1222" t="e">
        <f t="shared" ca="1" si="601"/>
        <v>#VALUE!</v>
      </c>
      <c r="M1222" t="e">
        <f t="shared" ca="1" si="574"/>
        <v>#VALUE!</v>
      </c>
      <c r="N1222" t="e">
        <f t="shared" ca="1" si="575"/>
        <v>#VALUE!</v>
      </c>
      <c r="O1222" t="e">
        <f t="shared" ca="1" si="576"/>
        <v>#VALUE!</v>
      </c>
      <c r="P1222" t="e">
        <f t="shared" ca="1" si="577"/>
        <v>#VALUE!</v>
      </c>
      <c r="Q1222" t="e">
        <f t="shared" ca="1" si="578"/>
        <v>#VALUE!</v>
      </c>
      <c r="R1222" t="e">
        <f t="shared" ca="1" si="579"/>
        <v>#VALUE!</v>
      </c>
      <c r="S1222" t="e">
        <f t="shared" ca="1" si="580"/>
        <v>#VALUE!</v>
      </c>
      <c r="T1222" t="e">
        <f t="shared" ca="1" si="581"/>
        <v>#VALUE!</v>
      </c>
      <c r="U1222" t="e">
        <f t="shared" ca="1" si="602"/>
        <v>#VALUE!</v>
      </c>
      <c r="V1222" t="e">
        <f t="shared" ca="1" si="603"/>
        <v>#VALUE!</v>
      </c>
      <c r="W1222" t="e">
        <f t="shared" ca="1" si="582"/>
        <v>#VALUE!</v>
      </c>
      <c r="X1222" t="e">
        <f t="shared" ca="1" si="583"/>
        <v>#VALUE!</v>
      </c>
      <c r="Y1222" t="e">
        <f t="shared" ca="1" si="584"/>
        <v>#VALUE!</v>
      </c>
      <c r="Z1222" t="e">
        <f t="shared" ca="1" si="585"/>
        <v>#VALUE!</v>
      </c>
      <c r="AA1222" t="e">
        <f t="shared" ca="1" si="586"/>
        <v>#VALUE!</v>
      </c>
      <c r="AB1222" t="e">
        <f t="shared" ca="1" si="587"/>
        <v>#VALUE!</v>
      </c>
      <c r="AC1222" t="e">
        <f t="shared" ca="1" si="588"/>
        <v>#VALUE!</v>
      </c>
      <c r="AD1222" t="e">
        <f t="shared" ca="1" si="589"/>
        <v>#VALUE!</v>
      </c>
      <c r="AE1222" t="e">
        <f t="shared" ca="1" si="590"/>
        <v>#VALUE!</v>
      </c>
      <c r="AF1222" t="e">
        <f t="shared" ca="1" si="591"/>
        <v>#VALUE!</v>
      </c>
      <c r="AG1222" t="e">
        <f t="shared" ca="1" si="592"/>
        <v>#VALUE!</v>
      </c>
      <c r="AH1222" t="e">
        <f ca="1">IF(V32="Supercritical",L1222,IF(V32="Subcritical",W1222,IF(AND(V1222=1,AG1222=1),IF(T1222&gt;=AE1222,L1222,W1222),IF(V1222=1,L1222,IF(AG1222=1,W1222,MAX($D$16,POWER((ABS(K1222)^2)/($I$5*MAX(F1222,0.1)^2),1/3)))))))</f>
        <v>#VALUE!</v>
      </c>
      <c r="AI1222" t="e">
        <f t="shared" ca="1" si="593"/>
        <v>#VALUE!</v>
      </c>
      <c r="AJ1222" t="e">
        <f t="shared" ca="1" si="594"/>
        <v>#VALUE!</v>
      </c>
      <c r="AM1222">
        <v>0</v>
      </c>
      <c r="AN1222">
        <v>0</v>
      </c>
      <c r="AO1222">
        <f t="shared" si="595"/>
        <v>0</v>
      </c>
      <c r="AP1222">
        <f t="shared" si="604"/>
        <v>0</v>
      </c>
      <c r="AQ1222" t="e">
        <f t="shared" ca="1" si="596"/>
        <v>#VALUE!</v>
      </c>
      <c r="AR1222" t="e">
        <f t="shared" ca="1" si="597"/>
        <v>#VALUE!</v>
      </c>
      <c r="AS1222" t="e">
        <f t="shared" ca="1" si="598"/>
        <v>#VALUE!</v>
      </c>
    </row>
    <row r="1223" spans="1:45" x14ac:dyDescent="0.35">
      <c r="A1223">
        <v>1074</v>
      </c>
      <c r="B1223">
        <v>1072.8889999999999</v>
      </c>
      <c r="C1223">
        <v>616078.08100000001</v>
      </c>
      <c r="D1223">
        <v>3096931.1140000001</v>
      </c>
      <c r="E1223">
        <v>632.02549999999997</v>
      </c>
      <c r="F1223">
        <v>5.2</v>
      </c>
      <c r="G1223">
        <v>0</v>
      </c>
      <c r="H1223" t="s">
        <v>191</v>
      </c>
      <c r="I1223">
        <v>0</v>
      </c>
      <c r="J1223">
        <f t="shared" si="599"/>
        <v>1</v>
      </c>
      <c r="K1223">
        <f t="shared" si="600"/>
        <v>51</v>
      </c>
      <c r="L1223" t="e">
        <f t="shared" ca="1" si="601"/>
        <v>#VALUE!</v>
      </c>
      <c r="M1223" t="e">
        <f t="shared" ca="1" si="574"/>
        <v>#VALUE!</v>
      </c>
      <c r="N1223" t="e">
        <f t="shared" ca="1" si="575"/>
        <v>#VALUE!</v>
      </c>
      <c r="O1223" t="e">
        <f t="shared" ca="1" si="576"/>
        <v>#VALUE!</v>
      </c>
      <c r="P1223" t="e">
        <f t="shared" ca="1" si="577"/>
        <v>#VALUE!</v>
      </c>
      <c r="Q1223" t="e">
        <f t="shared" ca="1" si="578"/>
        <v>#VALUE!</v>
      </c>
      <c r="R1223" t="e">
        <f t="shared" ca="1" si="579"/>
        <v>#VALUE!</v>
      </c>
      <c r="S1223" t="e">
        <f t="shared" ca="1" si="580"/>
        <v>#VALUE!</v>
      </c>
      <c r="T1223" t="e">
        <f t="shared" ca="1" si="581"/>
        <v>#VALUE!</v>
      </c>
      <c r="U1223" t="e">
        <f t="shared" ca="1" si="602"/>
        <v>#VALUE!</v>
      </c>
      <c r="V1223" t="e">
        <f t="shared" ca="1" si="603"/>
        <v>#VALUE!</v>
      </c>
      <c r="W1223" t="e">
        <f t="shared" ca="1" si="582"/>
        <v>#VALUE!</v>
      </c>
      <c r="X1223" t="e">
        <f t="shared" ca="1" si="583"/>
        <v>#VALUE!</v>
      </c>
      <c r="Y1223" t="e">
        <f t="shared" ca="1" si="584"/>
        <v>#VALUE!</v>
      </c>
      <c r="Z1223" t="e">
        <f t="shared" ca="1" si="585"/>
        <v>#VALUE!</v>
      </c>
      <c r="AA1223" t="e">
        <f t="shared" ca="1" si="586"/>
        <v>#VALUE!</v>
      </c>
      <c r="AB1223" t="e">
        <f t="shared" ca="1" si="587"/>
        <v>#VALUE!</v>
      </c>
      <c r="AC1223" t="e">
        <f t="shared" ca="1" si="588"/>
        <v>#VALUE!</v>
      </c>
      <c r="AD1223" t="e">
        <f t="shared" ca="1" si="589"/>
        <v>#VALUE!</v>
      </c>
      <c r="AE1223" t="e">
        <f t="shared" ca="1" si="590"/>
        <v>#VALUE!</v>
      </c>
      <c r="AF1223" t="e">
        <f t="shared" ca="1" si="591"/>
        <v>#VALUE!</v>
      </c>
      <c r="AG1223" t="e">
        <f t="shared" ca="1" si="592"/>
        <v>#VALUE!</v>
      </c>
      <c r="AH1223" t="e">
        <f ca="1">IF(V32="Supercritical",L1223,IF(V32="Subcritical",W1223,IF(AND(V1223=1,AG1223=1),IF(T1223&gt;=AE1223,L1223,W1223),IF(V1223=1,L1223,IF(AG1223=1,W1223,MAX($D$16,POWER((ABS(K1223)^2)/($I$5*MAX(F1223,0.1)^2),1/3)))))))</f>
        <v>#VALUE!</v>
      </c>
      <c r="AI1223" t="e">
        <f t="shared" ca="1" si="593"/>
        <v>#VALUE!</v>
      </c>
      <c r="AJ1223" t="e">
        <f t="shared" ca="1" si="594"/>
        <v>#VALUE!</v>
      </c>
      <c r="AM1223">
        <v>0</v>
      </c>
      <c r="AN1223">
        <v>0</v>
      </c>
      <c r="AO1223">
        <f t="shared" si="595"/>
        <v>0</v>
      </c>
      <c r="AP1223">
        <f t="shared" si="604"/>
        <v>0</v>
      </c>
      <c r="AQ1223" t="e">
        <f t="shared" ca="1" si="596"/>
        <v>#VALUE!</v>
      </c>
      <c r="AR1223" t="e">
        <f t="shared" ca="1" si="597"/>
        <v>#VALUE!</v>
      </c>
      <c r="AS1223" t="e">
        <f t="shared" ca="1" si="598"/>
        <v>#VALUE!</v>
      </c>
    </row>
    <row r="1224" spans="1:45" x14ac:dyDescent="0.35">
      <c r="A1224">
        <v>1075</v>
      </c>
      <c r="B1224">
        <v>1073.8889999999999</v>
      </c>
      <c r="C1224">
        <v>616078.03899999999</v>
      </c>
      <c r="D1224">
        <v>3096930.1150000002</v>
      </c>
      <c r="E1224">
        <v>632.02499999999998</v>
      </c>
      <c r="F1224">
        <v>5.2</v>
      </c>
      <c r="G1224">
        <v>0</v>
      </c>
      <c r="H1224" t="s">
        <v>191</v>
      </c>
      <c r="I1224">
        <v>0</v>
      </c>
      <c r="J1224">
        <f t="shared" si="599"/>
        <v>1</v>
      </c>
      <c r="K1224">
        <f t="shared" si="600"/>
        <v>51</v>
      </c>
      <c r="L1224" t="e">
        <f t="shared" ca="1" si="601"/>
        <v>#VALUE!</v>
      </c>
      <c r="M1224" t="e">
        <f t="shared" ca="1" si="574"/>
        <v>#VALUE!</v>
      </c>
      <c r="N1224" t="e">
        <f t="shared" ca="1" si="575"/>
        <v>#VALUE!</v>
      </c>
      <c r="O1224" t="e">
        <f t="shared" ca="1" si="576"/>
        <v>#VALUE!</v>
      </c>
      <c r="P1224" t="e">
        <f t="shared" ca="1" si="577"/>
        <v>#VALUE!</v>
      </c>
      <c r="Q1224" t="e">
        <f t="shared" ca="1" si="578"/>
        <v>#VALUE!</v>
      </c>
      <c r="R1224" t="e">
        <f t="shared" ca="1" si="579"/>
        <v>#VALUE!</v>
      </c>
      <c r="S1224" t="e">
        <f t="shared" ca="1" si="580"/>
        <v>#VALUE!</v>
      </c>
      <c r="T1224" t="e">
        <f t="shared" ca="1" si="581"/>
        <v>#VALUE!</v>
      </c>
      <c r="U1224" t="e">
        <f t="shared" ca="1" si="602"/>
        <v>#VALUE!</v>
      </c>
      <c r="V1224" t="e">
        <f t="shared" ca="1" si="603"/>
        <v>#VALUE!</v>
      </c>
      <c r="W1224" t="e">
        <f t="shared" ca="1" si="582"/>
        <v>#VALUE!</v>
      </c>
      <c r="X1224" t="e">
        <f t="shared" ca="1" si="583"/>
        <v>#VALUE!</v>
      </c>
      <c r="Y1224" t="e">
        <f t="shared" ca="1" si="584"/>
        <v>#VALUE!</v>
      </c>
      <c r="Z1224" t="e">
        <f t="shared" ca="1" si="585"/>
        <v>#VALUE!</v>
      </c>
      <c r="AA1224" t="e">
        <f t="shared" ca="1" si="586"/>
        <v>#VALUE!</v>
      </c>
      <c r="AB1224" t="e">
        <f t="shared" ca="1" si="587"/>
        <v>#VALUE!</v>
      </c>
      <c r="AC1224" t="e">
        <f t="shared" ca="1" si="588"/>
        <v>#VALUE!</v>
      </c>
      <c r="AD1224" t="e">
        <f t="shared" ca="1" si="589"/>
        <v>#VALUE!</v>
      </c>
      <c r="AE1224" t="e">
        <f t="shared" ca="1" si="590"/>
        <v>#VALUE!</v>
      </c>
      <c r="AF1224" t="e">
        <f t="shared" ca="1" si="591"/>
        <v>#VALUE!</v>
      </c>
      <c r="AG1224" t="e">
        <f t="shared" ca="1" si="592"/>
        <v>#VALUE!</v>
      </c>
      <c r="AH1224" t="e">
        <f ca="1">IF(V32="Supercritical",L1224,IF(V32="Subcritical",W1224,IF(AND(V1224=1,AG1224=1),IF(T1224&gt;=AE1224,L1224,W1224),IF(V1224=1,L1224,IF(AG1224=1,W1224,MAX($D$16,POWER((ABS(K1224)^2)/($I$5*MAX(F1224,0.1)^2),1/3)))))))</f>
        <v>#VALUE!</v>
      </c>
      <c r="AI1224" t="e">
        <f t="shared" ca="1" si="593"/>
        <v>#VALUE!</v>
      </c>
      <c r="AJ1224" t="e">
        <f t="shared" ca="1" si="594"/>
        <v>#VALUE!</v>
      </c>
      <c r="AM1224">
        <v>0</v>
      </c>
      <c r="AN1224">
        <v>0</v>
      </c>
      <c r="AO1224">
        <f t="shared" si="595"/>
        <v>0</v>
      </c>
      <c r="AP1224">
        <f t="shared" si="604"/>
        <v>0</v>
      </c>
      <c r="AQ1224" t="e">
        <f t="shared" ca="1" si="596"/>
        <v>#VALUE!</v>
      </c>
      <c r="AR1224" t="e">
        <f t="shared" ca="1" si="597"/>
        <v>#VALUE!</v>
      </c>
      <c r="AS1224" t="e">
        <f t="shared" ca="1" si="598"/>
        <v>#VALUE!</v>
      </c>
    </row>
    <row r="1225" spans="1:45" x14ac:dyDescent="0.35">
      <c r="A1225">
        <v>1076</v>
      </c>
      <c r="B1225">
        <v>1074.8889999999999</v>
      </c>
      <c r="C1225">
        <v>616077.99699999997</v>
      </c>
      <c r="D1225">
        <v>3096929.1159999999</v>
      </c>
      <c r="E1225">
        <v>632.02449999999999</v>
      </c>
      <c r="F1225">
        <v>5.2</v>
      </c>
      <c r="G1225">
        <v>0</v>
      </c>
      <c r="H1225" t="s">
        <v>191</v>
      </c>
      <c r="I1225">
        <v>5.7000000000000002E-2</v>
      </c>
      <c r="J1225">
        <f t="shared" si="599"/>
        <v>1</v>
      </c>
      <c r="K1225">
        <f t="shared" si="600"/>
        <v>51</v>
      </c>
      <c r="L1225" t="e">
        <f t="shared" ca="1" si="601"/>
        <v>#VALUE!</v>
      </c>
      <c r="M1225" t="e">
        <f t="shared" ca="1" si="574"/>
        <v>#VALUE!</v>
      </c>
      <c r="N1225" t="e">
        <f t="shared" ca="1" si="575"/>
        <v>#VALUE!</v>
      </c>
      <c r="O1225" t="e">
        <f t="shared" ca="1" si="576"/>
        <v>#VALUE!</v>
      </c>
      <c r="P1225" t="e">
        <f t="shared" ca="1" si="577"/>
        <v>#VALUE!</v>
      </c>
      <c r="Q1225" t="e">
        <f t="shared" ca="1" si="578"/>
        <v>#VALUE!</v>
      </c>
      <c r="R1225" t="e">
        <f t="shared" ca="1" si="579"/>
        <v>#VALUE!</v>
      </c>
      <c r="S1225" t="e">
        <f t="shared" ca="1" si="580"/>
        <v>#VALUE!</v>
      </c>
      <c r="T1225" t="e">
        <f t="shared" ca="1" si="581"/>
        <v>#VALUE!</v>
      </c>
      <c r="U1225" t="e">
        <f t="shared" ca="1" si="602"/>
        <v>#VALUE!</v>
      </c>
      <c r="V1225" t="e">
        <f t="shared" ca="1" si="603"/>
        <v>#VALUE!</v>
      </c>
      <c r="W1225" t="e">
        <f t="shared" ca="1" si="582"/>
        <v>#VALUE!</v>
      </c>
      <c r="X1225" t="e">
        <f t="shared" ca="1" si="583"/>
        <v>#VALUE!</v>
      </c>
      <c r="Y1225" t="e">
        <f t="shared" ca="1" si="584"/>
        <v>#VALUE!</v>
      </c>
      <c r="Z1225" t="e">
        <f t="shared" ca="1" si="585"/>
        <v>#VALUE!</v>
      </c>
      <c r="AA1225" t="e">
        <f t="shared" ca="1" si="586"/>
        <v>#VALUE!</v>
      </c>
      <c r="AB1225" t="e">
        <f t="shared" ca="1" si="587"/>
        <v>#VALUE!</v>
      </c>
      <c r="AC1225" t="e">
        <f t="shared" ca="1" si="588"/>
        <v>#VALUE!</v>
      </c>
      <c r="AD1225" t="e">
        <f t="shared" ca="1" si="589"/>
        <v>#VALUE!</v>
      </c>
      <c r="AE1225" t="e">
        <f t="shared" ca="1" si="590"/>
        <v>#VALUE!</v>
      </c>
      <c r="AF1225" t="e">
        <f t="shared" ca="1" si="591"/>
        <v>#VALUE!</v>
      </c>
      <c r="AG1225" t="e">
        <f t="shared" ca="1" si="592"/>
        <v>#VALUE!</v>
      </c>
      <c r="AH1225" t="e">
        <f ca="1">IF(V32="Supercritical",L1225,IF(V32="Subcritical",W1225,IF(AND(V1225=1,AG1225=1),IF(T1225&gt;=AE1225,L1225,W1225),IF(V1225=1,L1225,IF(AG1225=1,W1225,MAX($D$16,POWER((ABS(K1225)^2)/($I$5*MAX(F1225,0.1)^2),1/3)))))))</f>
        <v>#VALUE!</v>
      </c>
      <c r="AI1225" t="e">
        <f t="shared" ca="1" si="593"/>
        <v>#VALUE!</v>
      </c>
      <c r="AJ1225" t="e">
        <f t="shared" ca="1" si="594"/>
        <v>#VALUE!</v>
      </c>
      <c r="AM1225">
        <v>0</v>
      </c>
      <c r="AN1225">
        <v>0</v>
      </c>
      <c r="AO1225">
        <f t="shared" si="595"/>
        <v>0</v>
      </c>
      <c r="AP1225">
        <f t="shared" si="604"/>
        <v>0</v>
      </c>
      <c r="AQ1225" t="e">
        <f t="shared" ca="1" si="596"/>
        <v>#VALUE!</v>
      </c>
      <c r="AR1225" t="e">
        <f t="shared" ca="1" si="597"/>
        <v>#VALUE!</v>
      </c>
      <c r="AS1225" t="e">
        <f t="shared" ca="1" si="598"/>
        <v>#VALUE!</v>
      </c>
    </row>
    <row r="1226" spans="1:45" x14ac:dyDescent="0.35">
      <c r="A1226">
        <v>1077</v>
      </c>
      <c r="B1226">
        <v>1075.8889999999999</v>
      </c>
      <c r="C1226">
        <v>616077.95400000003</v>
      </c>
      <c r="D1226">
        <v>3096928.1170000001</v>
      </c>
      <c r="E1226">
        <v>632.024</v>
      </c>
      <c r="F1226">
        <v>5.2</v>
      </c>
      <c r="G1226">
        <v>0</v>
      </c>
      <c r="H1226" t="s">
        <v>191</v>
      </c>
      <c r="I1226">
        <v>5.7000000000000002E-2</v>
      </c>
      <c r="J1226">
        <f t="shared" si="599"/>
        <v>1</v>
      </c>
      <c r="K1226">
        <f t="shared" si="600"/>
        <v>51</v>
      </c>
      <c r="L1226" t="e">
        <f t="shared" ca="1" si="601"/>
        <v>#VALUE!</v>
      </c>
      <c r="M1226" t="e">
        <f t="shared" ca="1" si="574"/>
        <v>#VALUE!</v>
      </c>
      <c r="N1226" t="e">
        <f t="shared" ca="1" si="575"/>
        <v>#VALUE!</v>
      </c>
      <c r="O1226" t="e">
        <f t="shared" ca="1" si="576"/>
        <v>#VALUE!</v>
      </c>
      <c r="P1226" t="e">
        <f t="shared" ca="1" si="577"/>
        <v>#VALUE!</v>
      </c>
      <c r="Q1226" t="e">
        <f t="shared" ca="1" si="578"/>
        <v>#VALUE!</v>
      </c>
      <c r="R1226" t="e">
        <f t="shared" ca="1" si="579"/>
        <v>#VALUE!</v>
      </c>
      <c r="S1226" t="e">
        <f t="shared" ca="1" si="580"/>
        <v>#VALUE!</v>
      </c>
      <c r="T1226" t="e">
        <f t="shared" ca="1" si="581"/>
        <v>#VALUE!</v>
      </c>
      <c r="U1226" t="e">
        <f t="shared" ca="1" si="602"/>
        <v>#VALUE!</v>
      </c>
      <c r="V1226" t="e">
        <f t="shared" ca="1" si="603"/>
        <v>#VALUE!</v>
      </c>
      <c r="W1226" t="e">
        <f t="shared" ca="1" si="582"/>
        <v>#VALUE!</v>
      </c>
      <c r="X1226" t="e">
        <f t="shared" ca="1" si="583"/>
        <v>#VALUE!</v>
      </c>
      <c r="Y1226" t="e">
        <f t="shared" ca="1" si="584"/>
        <v>#VALUE!</v>
      </c>
      <c r="Z1226" t="e">
        <f t="shared" ca="1" si="585"/>
        <v>#VALUE!</v>
      </c>
      <c r="AA1226" t="e">
        <f t="shared" ca="1" si="586"/>
        <v>#VALUE!</v>
      </c>
      <c r="AB1226" t="e">
        <f t="shared" ca="1" si="587"/>
        <v>#VALUE!</v>
      </c>
      <c r="AC1226" t="e">
        <f t="shared" ca="1" si="588"/>
        <v>#VALUE!</v>
      </c>
      <c r="AD1226" t="e">
        <f t="shared" ca="1" si="589"/>
        <v>#VALUE!</v>
      </c>
      <c r="AE1226" t="e">
        <f t="shared" ca="1" si="590"/>
        <v>#VALUE!</v>
      </c>
      <c r="AF1226" t="e">
        <f t="shared" ca="1" si="591"/>
        <v>#VALUE!</v>
      </c>
      <c r="AG1226" t="e">
        <f t="shared" ca="1" si="592"/>
        <v>#VALUE!</v>
      </c>
      <c r="AH1226" t="e">
        <f ca="1">IF(V32="Supercritical",L1226,IF(V32="Subcritical",W1226,IF(AND(V1226=1,AG1226=1),IF(T1226&gt;=AE1226,L1226,W1226),IF(V1226=1,L1226,IF(AG1226=1,W1226,MAX($D$16,POWER((ABS(K1226)^2)/($I$5*MAX(F1226,0.1)^2),1/3)))))))</f>
        <v>#VALUE!</v>
      </c>
      <c r="AI1226" t="e">
        <f t="shared" ca="1" si="593"/>
        <v>#VALUE!</v>
      </c>
      <c r="AJ1226" t="e">
        <f t="shared" ca="1" si="594"/>
        <v>#VALUE!</v>
      </c>
      <c r="AM1226">
        <v>0</v>
      </c>
      <c r="AN1226">
        <v>0</v>
      </c>
      <c r="AO1226">
        <f t="shared" si="595"/>
        <v>0</v>
      </c>
      <c r="AP1226">
        <f t="shared" si="604"/>
        <v>0</v>
      </c>
      <c r="AQ1226" t="e">
        <f t="shared" ca="1" si="596"/>
        <v>#VALUE!</v>
      </c>
      <c r="AR1226" t="e">
        <f t="shared" ca="1" si="597"/>
        <v>#VALUE!</v>
      </c>
      <c r="AS1226" t="e">
        <f t="shared" ca="1" si="598"/>
        <v>#VALUE!</v>
      </c>
    </row>
    <row r="1227" spans="1:45" x14ac:dyDescent="0.35">
      <c r="A1227">
        <v>1078</v>
      </c>
      <c r="B1227">
        <v>1076.8889999999999</v>
      </c>
      <c r="C1227">
        <v>616077.91200000001</v>
      </c>
      <c r="D1227">
        <v>3096927.1179999998</v>
      </c>
      <c r="E1227">
        <v>632.02350000000001</v>
      </c>
      <c r="F1227">
        <v>5.2</v>
      </c>
      <c r="G1227">
        <v>0</v>
      </c>
      <c r="H1227" t="s">
        <v>191</v>
      </c>
      <c r="I1227">
        <v>2E-3</v>
      </c>
      <c r="J1227">
        <f t="shared" si="599"/>
        <v>1</v>
      </c>
      <c r="K1227">
        <f t="shared" si="600"/>
        <v>51</v>
      </c>
      <c r="L1227" t="e">
        <f t="shared" ca="1" si="601"/>
        <v>#VALUE!</v>
      </c>
      <c r="M1227" t="e">
        <f t="shared" ca="1" si="574"/>
        <v>#VALUE!</v>
      </c>
      <c r="N1227" t="e">
        <f t="shared" ca="1" si="575"/>
        <v>#VALUE!</v>
      </c>
      <c r="O1227" t="e">
        <f t="shared" ca="1" si="576"/>
        <v>#VALUE!</v>
      </c>
      <c r="P1227" t="e">
        <f t="shared" ca="1" si="577"/>
        <v>#VALUE!</v>
      </c>
      <c r="Q1227" t="e">
        <f t="shared" ca="1" si="578"/>
        <v>#VALUE!</v>
      </c>
      <c r="R1227" t="e">
        <f t="shared" ca="1" si="579"/>
        <v>#VALUE!</v>
      </c>
      <c r="S1227" t="e">
        <f t="shared" ca="1" si="580"/>
        <v>#VALUE!</v>
      </c>
      <c r="T1227" t="e">
        <f t="shared" ca="1" si="581"/>
        <v>#VALUE!</v>
      </c>
      <c r="U1227" t="e">
        <f t="shared" ca="1" si="602"/>
        <v>#VALUE!</v>
      </c>
      <c r="V1227" t="e">
        <f t="shared" ca="1" si="603"/>
        <v>#VALUE!</v>
      </c>
      <c r="W1227" t="e">
        <f t="shared" ca="1" si="582"/>
        <v>#VALUE!</v>
      </c>
      <c r="X1227" t="e">
        <f t="shared" ca="1" si="583"/>
        <v>#VALUE!</v>
      </c>
      <c r="Y1227" t="e">
        <f t="shared" ca="1" si="584"/>
        <v>#VALUE!</v>
      </c>
      <c r="Z1227" t="e">
        <f t="shared" ca="1" si="585"/>
        <v>#VALUE!</v>
      </c>
      <c r="AA1227" t="e">
        <f t="shared" ca="1" si="586"/>
        <v>#VALUE!</v>
      </c>
      <c r="AB1227" t="e">
        <f t="shared" ca="1" si="587"/>
        <v>#VALUE!</v>
      </c>
      <c r="AC1227" t="e">
        <f t="shared" ca="1" si="588"/>
        <v>#VALUE!</v>
      </c>
      <c r="AD1227" t="e">
        <f t="shared" ca="1" si="589"/>
        <v>#VALUE!</v>
      </c>
      <c r="AE1227" t="e">
        <f t="shared" ca="1" si="590"/>
        <v>#VALUE!</v>
      </c>
      <c r="AF1227" t="e">
        <f t="shared" ca="1" si="591"/>
        <v>#VALUE!</v>
      </c>
      <c r="AG1227" t="e">
        <f t="shared" ca="1" si="592"/>
        <v>#VALUE!</v>
      </c>
      <c r="AH1227" t="e">
        <f ca="1">IF(V32="Supercritical",L1227,IF(V32="Subcritical",W1227,IF(AND(V1227=1,AG1227=1),IF(T1227&gt;=AE1227,L1227,W1227),IF(V1227=1,L1227,IF(AG1227=1,W1227,MAX($D$16,POWER((ABS(K1227)^2)/($I$5*MAX(F1227,0.1)^2),1/3)))))))</f>
        <v>#VALUE!</v>
      </c>
      <c r="AI1227" t="e">
        <f t="shared" ca="1" si="593"/>
        <v>#VALUE!</v>
      </c>
      <c r="AJ1227" t="e">
        <f t="shared" ca="1" si="594"/>
        <v>#VALUE!</v>
      </c>
      <c r="AM1227">
        <v>0</v>
      </c>
      <c r="AN1227">
        <v>0</v>
      </c>
      <c r="AO1227">
        <f t="shared" si="595"/>
        <v>0</v>
      </c>
      <c r="AP1227">
        <f t="shared" si="604"/>
        <v>0</v>
      </c>
      <c r="AQ1227" t="e">
        <f t="shared" ca="1" si="596"/>
        <v>#VALUE!</v>
      </c>
      <c r="AR1227" t="e">
        <f t="shared" ca="1" si="597"/>
        <v>#VALUE!</v>
      </c>
      <c r="AS1227" t="e">
        <f t="shared" ca="1" si="598"/>
        <v>#VALUE!</v>
      </c>
    </row>
    <row r="1228" spans="1:45" x14ac:dyDescent="0.35">
      <c r="A1228">
        <v>1079</v>
      </c>
      <c r="B1228">
        <v>1077.8900000000001</v>
      </c>
      <c r="C1228">
        <v>616077.87</v>
      </c>
      <c r="D1228">
        <v>3096926.1179999998</v>
      </c>
      <c r="E1228">
        <v>632.02300000000002</v>
      </c>
      <c r="F1228">
        <v>5.2</v>
      </c>
      <c r="G1228">
        <v>0</v>
      </c>
      <c r="H1228" t="s">
        <v>191</v>
      </c>
      <c r="I1228">
        <v>2E-3</v>
      </c>
      <c r="J1228">
        <f t="shared" si="599"/>
        <v>1.0010000000002037</v>
      </c>
      <c r="K1228">
        <f t="shared" si="600"/>
        <v>51</v>
      </c>
      <c r="L1228" t="e">
        <f t="shared" ca="1" si="601"/>
        <v>#VALUE!</v>
      </c>
      <c r="M1228" t="e">
        <f t="shared" ca="1" si="574"/>
        <v>#VALUE!</v>
      </c>
      <c r="N1228" t="e">
        <f t="shared" ca="1" si="575"/>
        <v>#VALUE!</v>
      </c>
      <c r="O1228" t="e">
        <f t="shared" ca="1" si="576"/>
        <v>#VALUE!</v>
      </c>
      <c r="P1228" t="e">
        <f t="shared" ca="1" si="577"/>
        <v>#VALUE!</v>
      </c>
      <c r="Q1228" t="e">
        <f t="shared" ca="1" si="578"/>
        <v>#VALUE!</v>
      </c>
      <c r="R1228" t="e">
        <f t="shared" ca="1" si="579"/>
        <v>#VALUE!</v>
      </c>
      <c r="S1228" t="e">
        <f t="shared" ca="1" si="580"/>
        <v>#VALUE!</v>
      </c>
      <c r="T1228" t="e">
        <f t="shared" ca="1" si="581"/>
        <v>#VALUE!</v>
      </c>
      <c r="U1228" t="e">
        <f t="shared" ca="1" si="602"/>
        <v>#VALUE!</v>
      </c>
      <c r="V1228" t="e">
        <f t="shared" ca="1" si="603"/>
        <v>#VALUE!</v>
      </c>
      <c r="W1228" t="e">
        <f t="shared" ca="1" si="582"/>
        <v>#VALUE!</v>
      </c>
      <c r="X1228" t="e">
        <f t="shared" ca="1" si="583"/>
        <v>#VALUE!</v>
      </c>
      <c r="Y1228" t="e">
        <f t="shared" ca="1" si="584"/>
        <v>#VALUE!</v>
      </c>
      <c r="Z1228" t="e">
        <f t="shared" ca="1" si="585"/>
        <v>#VALUE!</v>
      </c>
      <c r="AA1228" t="e">
        <f t="shared" ca="1" si="586"/>
        <v>#VALUE!</v>
      </c>
      <c r="AB1228" t="e">
        <f t="shared" ca="1" si="587"/>
        <v>#VALUE!</v>
      </c>
      <c r="AC1228" t="e">
        <f t="shared" ca="1" si="588"/>
        <v>#VALUE!</v>
      </c>
      <c r="AD1228" t="e">
        <f t="shared" ca="1" si="589"/>
        <v>#VALUE!</v>
      </c>
      <c r="AE1228" t="e">
        <f t="shared" ca="1" si="590"/>
        <v>#VALUE!</v>
      </c>
      <c r="AF1228" t="e">
        <f t="shared" ca="1" si="591"/>
        <v>#VALUE!</v>
      </c>
      <c r="AG1228" t="e">
        <f t="shared" ca="1" si="592"/>
        <v>#VALUE!</v>
      </c>
      <c r="AH1228" t="e">
        <f ca="1">IF(V32="Supercritical",L1228,IF(V32="Subcritical",W1228,IF(AND(V1228=1,AG1228=1),IF(T1228&gt;=AE1228,L1228,W1228),IF(V1228=1,L1228,IF(AG1228=1,W1228,MAX($D$16,POWER((ABS(K1228)^2)/($I$5*MAX(F1228,0.1)^2),1/3)))))))</f>
        <v>#VALUE!</v>
      </c>
      <c r="AI1228" t="e">
        <f t="shared" ca="1" si="593"/>
        <v>#VALUE!</v>
      </c>
      <c r="AJ1228" t="e">
        <f t="shared" ca="1" si="594"/>
        <v>#VALUE!</v>
      </c>
      <c r="AM1228">
        <v>0</v>
      </c>
      <c r="AN1228">
        <v>0</v>
      </c>
      <c r="AO1228">
        <f t="shared" si="595"/>
        <v>0</v>
      </c>
      <c r="AP1228">
        <f t="shared" si="604"/>
        <v>0</v>
      </c>
      <c r="AQ1228" t="e">
        <f t="shared" ca="1" si="596"/>
        <v>#VALUE!</v>
      </c>
      <c r="AR1228" t="e">
        <f t="shared" ca="1" si="597"/>
        <v>#VALUE!</v>
      </c>
      <c r="AS1228" t="e">
        <f t="shared" ca="1" si="598"/>
        <v>#VALUE!</v>
      </c>
    </row>
    <row r="1229" spans="1:45" x14ac:dyDescent="0.35">
      <c r="A1229">
        <v>1080</v>
      </c>
      <c r="B1229">
        <v>1078.8900000000001</v>
      </c>
      <c r="C1229">
        <v>616077.82799999998</v>
      </c>
      <c r="D1229">
        <v>3096925.1189999999</v>
      </c>
      <c r="E1229">
        <v>632.02250000000004</v>
      </c>
      <c r="F1229">
        <v>5.2</v>
      </c>
      <c r="G1229">
        <v>0</v>
      </c>
      <c r="H1229" t="s">
        <v>191</v>
      </c>
      <c r="I1229">
        <v>5.7000000000000002E-2</v>
      </c>
      <c r="J1229">
        <f t="shared" si="599"/>
        <v>1</v>
      </c>
      <c r="K1229">
        <f t="shared" si="600"/>
        <v>51</v>
      </c>
      <c r="L1229" t="e">
        <f t="shared" ca="1" si="601"/>
        <v>#VALUE!</v>
      </c>
      <c r="M1229" t="e">
        <f t="shared" ca="1" si="574"/>
        <v>#VALUE!</v>
      </c>
      <c r="N1229" t="e">
        <f t="shared" ca="1" si="575"/>
        <v>#VALUE!</v>
      </c>
      <c r="O1229" t="e">
        <f t="shared" ca="1" si="576"/>
        <v>#VALUE!</v>
      </c>
      <c r="P1229" t="e">
        <f t="shared" ca="1" si="577"/>
        <v>#VALUE!</v>
      </c>
      <c r="Q1229" t="e">
        <f t="shared" ca="1" si="578"/>
        <v>#VALUE!</v>
      </c>
      <c r="R1229" t="e">
        <f t="shared" ca="1" si="579"/>
        <v>#VALUE!</v>
      </c>
      <c r="S1229" t="e">
        <f t="shared" ca="1" si="580"/>
        <v>#VALUE!</v>
      </c>
      <c r="T1229" t="e">
        <f t="shared" ca="1" si="581"/>
        <v>#VALUE!</v>
      </c>
      <c r="U1229" t="e">
        <f t="shared" ca="1" si="602"/>
        <v>#VALUE!</v>
      </c>
      <c r="V1229" t="e">
        <f t="shared" ca="1" si="603"/>
        <v>#VALUE!</v>
      </c>
      <c r="W1229" t="e">
        <f t="shared" ca="1" si="582"/>
        <v>#VALUE!</v>
      </c>
      <c r="X1229" t="e">
        <f t="shared" ca="1" si="583"/>
        <v>#VALUE!</v>
      </c>
      <c r="Y1229" t="e">
        <f t="shared" ca="1" si="584"/>
        <v>#VALUE!</v>
      </c>
      <c r="Z1229" t="e">
        <f t="shared" ca="1" si="585"/>
        <v>#VALUE!</v>
      </c>
      <c r="AA1229" t="e">
        <f t="shared" ca="1" si="586"/>
        <v>#VALUE!</v>
      </c>
      <c r="AB1229" t="e">
        <f t="shared" ca="1" si="587"/>
        <v>#VALUE!</v>
      </c>
      <c r="AC1229" t="e">
        <f t="shared" ca="1" si="588"/>
        <v>#VALUE!</v>
      </c>
      <c r="AD1229" t="e">
        <f t="shared" ca="1" si="589"/>
        <v>#VALUE!</v>
      </c>
      <c r="AE1229" t="e">
        <f t="shared" ca="1" si="590"/>
        <v>#VALUE!</v>
      </c>
      <c r="AF1229" t="e">
        <f t="shared" ca="1" si="591"/>
        <v>#VALUE!</v>
      </c>
      <c r="AG1229" t="e">
        <f t="shared" ca="1" si="592"/>
        <v>#VALUE!</v>
      </c>
      <c r="AH1229" t="e">
        <f ca="1">IF(V32="Supercritical",L1229,IF(V32="Subcritical",W1229,IF(AND(V1229=1,AG1229=1),IF(T1229&gt;=AE1229,L1229,W1229),IF(V1229=1,L1229,IF(AG1229=1,W1229,MAX($D$16,POWER((ABS(K1229)^2)/($I$5*MAX(F1229,0.1)^2),1/3)))))))</f>
        <v>#VALUE!</v>
      </c>
      <c r="AI1229" t="e">
        <f t="shared" ca="1" si="593"/>
        <v>#VALUE!</v>
      </c>
      <c r="AJ1229" t="e">
        <f t="shared" ca="1" si="594"/>
        <v>#VALUE!</v>
      </c>
      <c r="AM1229">
        <v>0</v>
      </c>
      <c r="AN1229">
        <v>0</v>
      </c>
      <c r="AO1229">
        <f t="shared" si="595"/>
        <v>0</v>
      </c>
      <c r="AP1229">
        <f t="shared" si="604"/>
        <v>0</v>
      </c>
      <c r="AQ1229" t="e">
        <f t="shared" ca="1" si="596"/>
        <v>#VALUE!</v>
      </c>
      <c r="AR1229" t="e">
        <f t="shared" ca="1" si="597"/>
        <v>#VALUE!</v>
      </c>
      <c r="AS1229" t="e">
        <f t="shared" ca="1" si="598"/>
        <v>#VALUE!</v>
      </c>
    </row>
    <row r="1230" spans="1:45" x14ac:dyDescent="0.35">
      <c r="A1230">
        <v>1081</v>
      </c>
      <c r="B1230">
        <v>1079.8889999999999</v>
      </c>
      <c r="C1230">
        <v>616077.78500000003</v>
      </c>
      <c r="D1230">
        <v>3096924.12</v>
      </c>
      <c r="E1230">
        <v>632.02200000000005</v>
      </c>
      <c r="F1230">
        <v>5.2</v>
      </c>
      <c r="G1230">
        <v>0</v>
      </c>
      <c r="H1230" t="s">
        <v>191</v>
      </c>
      <c r="I1230">
        <v>5.7000000000000002E-2</v>
      </c>
      <c r="J1230">
        <f t="shared" si="599"/>
        <v>0.99899999999979627</v>
      </c>
      <c r="K1230">
        <f t="shared" si="600"/>
        <v>51</v>
      </c>
      <c r="L1230" t="e">
        <f t="shared" ca="1" si="601"/>
        <v>#VALUE!</v>
      </c>
      <c r="M1230" t="e">
        <f t="shared" ca="1" si="574"/>
        <v>#VALUE!</v>
      </c>
      <c r="N1230" t="e">
        <f t="shared" ca="1" si="575"/>
        <v>#VALUE!</v>
      </c>
      <c r="O1230" t="e">
        <f t="shared" ca="1" si="576"/>
        <v>#VALUE!</v>
      </c>
      <c r="P1230" t="e">
        <f t="shared" ca="1" si="577"/>
        <v>#VALUE!</v>
      </c>
      <c r="Q1230" t="e">
        <f t="shared" ca="1" si="578"/>
        <v>#VALUE!</v>
      </c>
      <c r="R1230" t="e">
        <f t="shared" ca="1" si="579"/>
        <v>#VALUE!</v>
      </c>
      <c r="S1230" t="e">
        <f t="shared" ca="1" si="580"/>
        <v>#VALUE!</v>
      </c>
      <c r="T1230" t="e">
        <f t="shared" ca="1" si="581"/>
        <v>#VALUE!</v>
      </c>
      <c r="U1230" t="e">
        <f t="shared" ca="1" si="602"/>
        <v>#VALUE!</v>
      </c>
      <c r="V1230" t="e">
        <f t="shared" ca="1" si="603"/>
        <v>#VALUE!</v>
      </c>
      <c r="W1230" t="e">
        <f t="shared" ca="1" si="582"/>
        <v>#VALUE!</v>
      </c>
      <c r="X1230" t="e">
        <f t="shared" ca="1" si="583"/>
        <v>#VALUE!</v>
      </c>
      <c r="Y1230" t="e">
        <f t="shared" ca="1" si="584"/>
        <v>#VALUE!</v>
      </c>
      <c r="Z1230" t="e">
        <f t="shared" ca="1" si="585"/>
        <v>#VALUE!</v>
      </c>
      <c r="AA1230" t="e">
        <f t="shared" ca="1" si="586"/>
        <v>#VALUE!</v>
      </c>
      <c r="AB1230" t="e">
        <f t="shared" ca="1" si="587"/>
        <v>#VALUE!</v>
      </c>
      <c r="AC1230" t="e">
        <f t="shared" ca="1" si="588"/>
        <v>#VALUE!</v>
      </c>
      <c r="AD1230" t="e">
        <f t="shared" ca="1" si="589"/>
        <v>#VALUE!</v>
      </c>
      <c r="AE1230" t="e">
        <f t="shared" ca="1" si="590"/>
        <v>#VALUE!</v>
      </c>
      <c r="AF1230" t="e">
        <f t="shared" ca="1" si="591"/>
        <v>#VALUE!</v>
      </c>
      <c r="AG1230" t="e">
        <f t="shared" ca="1" si="592"/>
        <v>#VALUE!</v>
      </c>
      <c r="AH1230" t="e">
        <f ca="1">IF(V32="Supercritical",L1230,IF(V32="Subcritical",W1230,IF(AND(V1230=1,AG1230=1),IF(T1230&gt;=AE1230,L1230,W1230),IF(V1230=1,L1230,IF(AG1230=1,W1230,MAX($D$16,POWER((ABS(K1230)^2)/($I$5*MAX(F1230,0.1)^2),1/3)))))))</f>
        <v>#VALUE!</v>
      </c>
      <c r="AI1230" t="e">
        <f t="shared" ca="1" si="593"/>
        <v>#VALUE!</v>
      </c>
      <c r="AJ1230" t="e">
        <f t="shared" ca="1" si="594"/>
        <v>#VALUE!</v>
      </c>
      <c r="AM1230">
        <v>0</v>
      </c>
      <c r="AN1230">
        <v>0</v>
      </c>
      <c r="AO1230">
        <f t="shared" si="595"/>
        <v>0</v>
      </c>
      <c r="AP1230">
        <f t="shared" si="604"/>
        <v>0</v>
      </c>
      <c r="AQ1230" t="e">
        <f t="shared" ca="1" si="596"/>
        <v>#VALUE!</v>
      </c>
      <c r="AR1230" t="e">
        <f t="shared" ca="1" si="597"/>
        <v>#VALUE!</v>
      </c>
      <c r="AS1230" t="e">
        <f t="shared" ca="1" si="598"/>
        <v>#VALUE!</v>
      </c>
    </row>
    <row r="1231" spans="1:45" x14ac:dyDescent="0.35">
      <c r="A1231">
        <v>1082</v>
      </c>
      <c r="B1231">
        <v>1080.8889999999999</v>
      </c>
      <c r="C1231">
        <v>616077.74300000002</v>
      </c>
      <c r="D1231">
        <v>3096923.1209999998</v>
      </c>
      <c r="E1231">
        <v>632.02149999999995</v>
      </c>
      <c r="F1231">
        <v>5.2</v>
      </c>
      <c r="G1231">
        <v>0</v>
      </c>
      <c r="H1231" t="s">
        <v>191</v>
      </c>
      <c r="I1231">
        <v>0</v>
      </c>
      <c r="J1231">
        <f t="shared" si="599"/>
        <v>1</v>
      </c>
      <c r="K1231">
        <f t="shared" si="600"/>
        <v>51</v>
      </c>
      <c r="L1231" t="e">
        <f t="shared" ca="1" si="601"/>
        <v>#VALUE!</v>
      </c>
      <c r="M1231" t="e">
        <f t="shared" ca="1" si="574"/>
        <v>#VALUE!</v>
      </c>
      <c r="N1231" t="e">
        <f t="shared" ca="1" si="575"/>
        <v>#VALUE!</v>
      </c>
      <c r="O1231" t="e">
        <f t="shared" ca="1" si="576"/>
        <v>#VALUE!</v>
      </c>
      <c r="P1231" t="e">
        <f t="shared" ca="1" si="577"/>
        <v>#VALUE!</v>
      </c>
      <c r="Q1231" t="e">
        <f t="shared" ca="1" si="578"/>
        <v>#VALUE!</v>
      </c>
      <c r="R1231" t="e">
        <f t="shared" ca="1" si="579"/>
        <v>#VALUE!</v>
      </c>
      <c r="S1231" t="e">
        <f t="shared" ca="1" si="580"/>
        <v>#VALUE!</v>
      </c>
      <c r="T1231" t="e">
        <f t="shared" ca="1" si="581"/>
        <v>#VALUE!</v>
      </c>
      <c r="U1231" t="e">
        <f t="shared" ca="1" si="602"/>
        <v>#VALUE!</v>
      </c>
      <c r="V1231" t="e">
        <f t="shared" ca="1" si="603"/>
        <v>#VALUE!</v>
      </c>
      <c r="W1231" t="e">
        <f t="shared" ca="1" si="582"/>
        <v>#VALUE!</v>
      </c>
      <c r="X1231" t="e">
        <f t="shared" ca="1" si="583"/>
        <v>#VALUE!</v>
      </c>
      <c r="Y1231" t="e">
        <f t="shared" ca="1" si="584"/>
        <v>#VALUE!</v>
      </c>
      <c r="Z1231" t="e">
        <f t="shared" ca="1" si="585"/>
        <v>#VALUE!</v>
      </c>
      <c r="AA1231" t="e">
        <f t="shared" ca="1" si="586"/>
        <v>#VALUE!</v>
      </c>
      <c r="AB1231" t="e">
        <f t="shared" ca="1" si="587"/>
        <v>#VALUE!</v>
      </c>
      <c r="AC1231" t="e">
        <f t="shared" ca="1" si="588"/>
        <v>#VALUE!</v>
      </c>
      <c r="AD1231" t="e">
        <f t="shared" ca="1" si="589"/>
        <v>#VALUE!</v>
      </c>
      <c r="AE1231" t="e">
        <f t="shared" ca="1" si="590"/>
        <v>#VALUE!</v>
      </c>
      <c r="AF1231" t="e">
        <f t="shared" ca="1" si="591"/>
        <v>#VALUE!</v>
      </c>
      <c r="AG1231" t="e">
        <f t="shared" ca="1" si="592"/>
        <v>#VALUE!</v>
      </c>
      <c r="AH1231" t="e">
        <f ca="1">IF(V32="Supercritical",L1231,IF(V32="Subcritical",W1231,IF(AND(V1231=1,AG1231=1),IF(T1231&gt;=AE1231,L1231,W1231),IF(V1231=1,L1231,IF(AG1231=1,W1231,MAX($D$16,POWER((ABS(K1231)^2)/($I$5*MAX(F1231,0.1)^2),1/3)))))))</f>
        <v>#VALUE!</v>
      </c>
      <c r="AI1231" t="e">
        <f t="shared" ca="1" si="593"/>
        <v>#VALUE!</v>
      </c>
      <c r="AJ1231" t="e">
        <f t="shared" ca="1" si="594"/>
        <v>#VALUE!</v>
      </c>
      <c r="AM1231">
        <v>0</v>
      </c>
      <c r="AN1231">
        <v>0</v>
      </c>
      <c r="AO1231">
        <f t="shared" si="595"/>
        <v>0</v>
      </c>
      <c r="AP1231">
        <f t="shared" si="604"/>
        <v>0</v>
      </c>
      <c r="AQ1231" t="e">
        <f t="shared" ca="1" si="596"/>
        <v>#VALUE!</v>
      </c>
      <c r="AR1231" t="e">
        <f t="shared" ca="1" si="597"/>
        <v>#VALUE!</v>
      </c>
      <c r="AS1231" t="e">
        <f t="shared" ca="1" si="598"/>
        <v>#VALUE!</v>
      </c>
    </row>
    <row r="1232" spans="1:45" x14ac:dyDescent="0.35">
      <c r="A1232">
        <v>1083</v>
      </c>
      <c r="B1232">
        <v>1081.8889999999999</v>
      </c>
      <c r="C1232">
        <v>616077.701</v>
      </c>
      <c r="D1232">
        <v>3096922.122</v>
      </c>
      <c r="E1232">
        <v>632.02099999999996</v>
      </c>
      <c r="F1232">
        <v>5.2</v>
      </c>
      <c r="G1232">
        <v>0</v>
      </c>
      <c r="H1232" t="s">
        <v>191</v>
      </c>
      <c r="I1232">
        <v>0</v>
      </c>
      <c r="J1232">
        <f t="shared" si="599"/>
        <v>1</v>
      </c>
      <c r="K1232">
        <f t="shared" si="600"/>
        <v>51</v>
      </c>
      <c r="L1232" t="e">
        <f t="shared" ca="1" si="601"/>
        <v>#VALUE!</v>
      </c>
      <c r="M1232" t="e">
        <f t="shared" ca="1" si="574"/>
        <v>#VALUE!</v>
      </c>
      <c r="N1232" t="e">
        <f t="shared" ca="1" si="575"/>
        <v>#VALUE!</v>
      </c>
      <c r="O1232" t="e">
        <f t="shared" ca="1" si="576"/>
        <v>#VALUE!</v>
      </c>
      <c r="P1232" t="e">
        <f t="shared" ca="1" si="577"/>
        <v>#VALUE!</v>
      </c>
      <c r="Q1232" t="e">
        <f t="shared" ca="1" si="578"/>
        <v>#VALUE!</v>
      </c>
      <c r="R1232" t="e">
        <f t="shared" ca="1" si="579"/>
        <v>#VALUE!</v>
      </c>
      <c r="S1232" t="e">
        <f t="shared" ca="1" si="580"/>
        <v>#VALUE!</v>
      </c>
      <c r="T1232" t="e">
        <f t="shared" ca="1" si="581"/>
        <v>#VALUE!</v>
      </c>
      <c r="U1232" t="e">
        <f t="shared" ca="1" si="602"/>
        <v>#VALUE!</v>
      </c>
      <c r="V1232" t="e">
        <f t="shared" ca="1" si="603"/>
        <v>#VALUE!</v>
      </c>
      <c r="W1232" t="e">
        <f t="shared" ca="1" si="582"/>
        <v>#VALUE!</v>
      </c>
      <c r="X1232" t="e">
        <f t="shared" ca="1" si="583"/>
        <v>#VALUE!</v>
      </c>
      <c r="Y1232" t="e">
        <f t="shared" ca="1" si="584"/>
        <v>#VALUE!</v>
      </c>
      <c r="Z1232" t="e">
        <f t="shared" ca="1" si="585"/>
        <v>#VALUE!</v>
      </c>
      <c r="AA1232" t="e">
        <f t="shared" ca="1" si="586"/>
        <v>#VALUE!</v>
      </c>
      <c r="AB1232" t="e">
        <f t="shared" ca="1" si="587"/>
        <v>#VALUE!</v>
      </c>
      <c r="AC1232" t="e">
        <f t="shared" ca="1" si="588"/>
        <v>#VALUE!</v>
      </c>
      <c r="AD1232" t="e">
        <f t="shared" ca="1" si="589"/>
        <v>#VALUE!</v>
      </c>
      <c r="AE1232" t="e">
        <f t="shared" ca="1" si="590"/>
        <v>#VALUE!</v>
      </c>
      <c r="AF1232" t="e">
        <f t="shared" ca="1" si="591"/>
        <v>#VALUE!</v>
      </c>
      <c r="AG1232" t="e">
        <f t="shared" ca="1" si="592"/>
        <v>#VALUE!</v>
      </c>
      <c r="AH1232" t="e">
        <f ca="1">IF(V32="Supercritical",L1232,IF(V32="Subcritical",W1232,IF(AND(V1232=1,AG1232=1),IF(T1232&gt;=AE1232,L1232,W1232),IF(V1232=1,L1232,IF(AG1232=1,W1232,MAX($D$16,POWER((ABS(K1232)^2)/($I$5*MAX(F1232,0.1)^2),1/3)))))))</f>
        <v>#VALUE!</v>
      </c>
      <c r="AI1232" t="e">
        <f t="shared" ca="1" si="593"/>
        <v>#VALUE!</v>
      </c>
      <c r="AJ1232" t="e">
        <f t="shared" ca="1" si="594"/>
        <v>#VALUE!</v>
      </c>
      <c r="AM1232">
        <v>0</v>
      </c>
      <c r="AN1232">
        <v>0</v>
      </c>
      <c r="AO1232">
        <f t="shared" si="595"/>
        <v>0</v>
      </c>
      <c r="AP1232">
        <f t="shared" si="604"/>
        <v>0</v>
      </c>
      <c r="AQ1232" t="e">
        <f t="shared" ca="1" si="596"/>
        <v>#VALUE!</v>
      </c>
      <c r="AR1232" t="e">
        <f t="shared" ca="1" si="597"/>
        <v>#VALUE!</v>
      </c>
      <c r="AS1232" t="e">
        <f t="shared" ca="1" si="598"/>
        <v>#VALUE!</v>
      </c>
    </row>
    <row r="1233" spans="1:45" x14ac:dyDescent="0.35">
      <c r="A1233">
        <v>1084</v>
      </c>
      <c r="B1233">
        <v>1082.8889999999999</v>
      </c>
      <c r="C1233">
        <v>616077.65899999999</v>
      </c>
      <c r="D1233">
        <v>3096921.1230000001</v>
      </c>
      <c r="E1233">
        <v>632.02049999999997</v>
      </c>
      <c r="F1233">
        <v>5.2</v>
      </c>
      <c r="G1233">
        <v>0</v>
      </c>
      <c r="H1233" t="s">
        <v>191</v>
      </c>
      <c r="I1233">
        <v>5.7000000000000002E-2</v>
      </c>
      <c r="J1233">
        <f t="shared" si="599"/>
        <v>1</v>
      </c>
      <c r="K1233">
        <f t="shared" si="600"/>
        <v>51</v>
      </c>
      <c r="L1233" t="e">
        <f t="shared" ca="1" si="601"/>
        <v>#VALUE!</v>
      </c>
      <c r="M1233" t="e">
        <f t="shared" ca="1" si="574"/>
        <v>#VALUE!</v>
      </c>
      <c r="N1233" t="e">
        <f t="shared" ca="1" si="575"/>
        <v>#VALUE!</v>
      </c>
      <c r="O1233" t="e">
        <f t="shared" ca="1" si="576"/>
        <v>#VALUE!</v>
      </c>
      <c r="P1233" t="e">
        <f t="shared" ca="1" si="577"/>
        <v>#VALUE!</v>
      </c>
      <c r="Q1233" t="e">
        <f t="shared" ca="1" si="578"/>
        <v>#VALUE!</v>
      </c>
      <c r="R1233" t="e">
        <f t="shared" ca="1" si="579"/>
        <v>#VALUE!</v>
      </c>
      <c r="S1233" t="e">
        <f t="shared" ca="1" si="580"/>
        <v>#VALUE!</v>
      </c>
      <c r="T1233" t="e">
        <f t="shared" ca="1" si="581"/>
        <v>#VALUE!</v>
      </c>
      <c r="U1233" t="e">
        <f t="shared" ca="1" si="602"/>
        <v>#VALUE!</v>
      </c>
      <c r="V1233" t="e">
        <f t="shared" ca="1" si="603"/>
        <v>#VALUE!</v>
      </c>
      <c r="W1233" t="e">
        <f t="shared" ca="1" si="582"/>
        <v>#VALUE!</v>
      </c>
      <c r="X1233" t="e">
        <f t="shared" ca="1" si="583"/>
        <v>#VALUE!</v>
      </c>
      <c r="Y1233" t="e">
        <f t="shared" ca="1" si="584"/>
        <v>#VALUE!</v>
      </c>
      <c r="Z1233" t="e">
        <f t="shared" ca="1" si="585"/>
        <v>#VALUE!</v>
      </c>
      <c r="AA1233" t="e">
        <f t="shared" ca="1" si="586"/>
        <v>#VALUE!</v>
      </c>
      <c r="AB1233" t="e">
        <f t="shared" ca="1" si="587"/>
        <v>#VALUE!</v>
      </c>
      <c r="AC1233" t="e">
        <f t="shared" ca="1" si="588"/>
        <v>#VALUE!</v>
      </c>
      <c r="AD1233" t="e">
        <f t="shared" ca="1" si="589"/>
        <v>#VALUE!</v>
      </c>
      <c r="AE1233" t="e">
        <f t="shared" ca="1" si="590"/>
        <v>#VALUE!</v>
      </c>
      <c r="AF1233" t="e">
        <f t="shared" ca="1" si="591"/>
        <v>#VALUE!</v>
      </c>
      <c r="AG1233" t="e">
        <f t="shared" ca="1" si="592"/>
        <v>#VALUE!</v>
      </c>
      <c r="AH1233" t="e">
        <f ca="1">IF(V32="Supercritical",L1233,IF(V32="Subcritical",W1233,IF(AND(V1233=1,AG1233=1),IF(T1233&gt;=AE1233,L1233,W1233),IF(V1233=1,L1233,IF(AG1233=1,W1233,MAX($D$16,POWER((ABS(K1233)^2)/($I$5*MAX(F1233,0.1)^2),1/3)))))))</f>
        <v>#VALUE!</v>
      </c>
      <c r="AI1233" t="e">
        <f t="shared" ca="1" si="593"/>
        <v>#VALUE!</v>
      </c>
      <c r="AJ1233" t="e">
        <f t="shared" ca="1" si="594"/>
        <v>#VALUE!</v>
      </c>
      <c r="AM1233">
        <v>0</v>
      </c>
      <c r="AN1233">
        <v>0</v>
      </c>
      <c r="AO1233">
        <f t="shared" si="595"/>
        <v>0</v>
      </c>
      <c r="AP1233">
        <f t="shared" si="604"/>
        <v>0</v>
      </c>
      <c r="AQ1233" t="e">
        <f t="shared" ca="1" si="596"/>
        <v>#VALUE!</v>
      </c>
      <c r="AR1233" t="e">
        <f t="shared" ca="1" si="597"/>
        <v>#VALUE!</v>
      </c>
      <c r="AS1233" t="e">
        <f t="shared" ca="1" si="598"/>
        <v>#VALUE!</v>
      </c>
    </row>
    <row r="1234" spans="1:45" x14ac:dyDescent="0.35">
      <c r="A1234">
        <v>1085</v>
      </c>
      <c r="B1234">
        <v>1083.8889999999999</v>
      </c>
      <c r="C1234">
        <v>616077.61600000004</v>
      </c>
      <c r="D1234">
        <v>3096920.1239999998</v>
      </c>
      <c r="E1234">
        <v>632.02</v>
      </c>
      <c r="F1234">
        <v>5.2</v>
      </c>
      <c r="G1234">
        <v>0</v>
      </c>
      <c r="H1234" t="s">
        <v>191</v>
      </c>
      <c r="I1234">
        <v>5.7000000000000002E-2</v>
      </c>
      <c r="J1234">
        <f t="shared" si="599"/>
        <v>1</v>
      </c>
      <c r="K1234">
        <f t="shared" si="600"/>
        <v>51</v>
      </c>
      <c r="L1234" t="e">
        <f t="shared" ca="1" si="601"/>
        <v>#VALUE!</v>
      </c>
      <c r="M1234" t="e">
        <f t="shared" ca="1" si="574"/>
        <v>#VALUE!</v>
      </c>
      <c r="N1234" t="e">
        <f t="shared" ca="1" si="575"/>
        <v>#VALUE!</v>
      </c>
      <c r="O1234" t="e">
        <f t="shared" ca="1" si="576"/>
        <v>#VALUE!</v>
      </c>
      <c r="P1234" t="e">
        <f t="shared" ca="1" si="577"/>
        <v>#VALUE!</v>
      </c>
      <c r="Q1234" t="e">
        <f t="shared" ca="1" si="578"/>
        <v>#VALUE!</v>
      </c>
      <c r="R1234" t="e">
        <f t="shared" ca="1" si="579"/>
        <v>#VALUE!</v>
      </c>
      <c r="S1234" t="e">
        <f t="shared" ca="1" si="580"/>
        <v>#VALUE!</v>
      </c>
      <c r="T1234" t="e">
        <f t="shared" ca="1" si="581"/>
        <v>#VALUE!</v>
      </c>
      <c r="U1234" t="e">
        <f t="shared" ca="1" si="602"/>
        <v>#VALUE!</v>
      </c>
      <c r="V1234" t="e">
        <f t="shared" ca="1" si="603"/>
        <v>#VALUE!</v>
      </c>
      <c r="W1234" t="e">
        <f t="shared" ca="1" si="582"/>
        <v>#VALUE!</v>
      </c>
      <c r="X1234" t="e">
        <f t="shared" ca="1" si="583"/>
        <v>#VALUE!</v>
      </c>
      <c r="Y1234" t="e">
        <f t="shared" ca="1" si="584"/>
        <v>#VALUE!</v>
      </c>
      <c r="Z1234" t="e">
        <f t="shared" ca="1" si="585"/>
        <v>#VALUE!</v>
      </c>
      <c r="AA1234" t="e">
        <f t="shared" ca="1" si="586"/>
        <v>#VALUE!</v>
      </c>
      <c r="AB1234" t="e">
        <f t="shared" ca="1" si="587"/>
        <v>#VALUE!</v>
      </c>
      <c r="AC1234" t="e">
        <f t="shared" ca="1" si="588"/>
        <v>#VALUE!</v>
      </c>
      <c r="AD1234" t="e">
        <f t="shared" ca="1" si="589"/>
        <v>#VALUE!</v>
      </c>
      <c r="AE1234" t="e">
        <f t="shared" ca="1" si="590"/>
        <v>#VALUE!</v>
      </c>
      <c r="AF1234" t="e">
        <f t="shared" ca="1" si="591"/>
        <v>#VALUE!</v>
      </c>
      <c r="AG1234" t="e">
        <f t="shared" ca="1" si="592"/>
        <v>#VALUE!</v>
      </c>
      <c r="AH1234" t="e">
        <f ca="1">IF(V32="Supercritical",L1234,IF(V32="Subcritical",W1234,IF(AND(V1234=1,AG1234=1),IF(T1234&gt;=AE1234,L1234,W1234),IF(V1234=1,L1234,IF(AG1234=1,W1234,MAX($D$16,POWER((ABS(K1234)^2)/($I$5*MAX(F1234,0.1)^2),1/3)))))))</f>
        <v>#VALUE!</v>
      </c>
      <c r="AI1234" t="e">
        <f t="shared" ca="1" si="593"/>
        <v>#VALUE!</v>
      </c>
      <c r="AJ1234" t="e">
        <f t="shared" ca="1" si="594"/>
        <v>#VALUE!</v>
      </c>
      <c r="AM1234">
        <v>0</v>
      </c>
      <c r="AN1234">
        <v>0</v>
      </c>
      <c r="AO1234">
        <f t="shared" si="595"/>
        <v>0</v>
      </c>
      <c r="AP1234">
        <f t="shared" si="604"/>
        <v>0</v>
      </c>
      <c r="AQ1234" t="e">
        <f t="shared" ca="1" si="596"/>
        <v>#VALUE!</v>
      </c>
      <c r="AR1234" t="e">
        <f t="shared" ca="1" si="597"/>
        <v>#VALUE!</v>
      </c>
      <c r="AS1234" t="e">
        <f t="shared" ca="1" si="598"/>
        <v>#VALUE!</v>
      </c>
    </row>
    <row r="1235" spans="1:45" x14ac:dyDescent="0.35">
      <c r="A1235">
        <v>1086</v>
      </c>
      <c r="B1235">
        <v>1084.8889999999999</v>
      </c>
      <c r="C1235">
        <v>616077.57400000002</v>
      </c>
      <c r="D1235">
        <v>3096919.125</v>
      </c>
      <c r="E1235">
        <v>632.01949999999999</v>
      </c>
      <c r="F1235">
        <v>5.2</v>
      </c>
      <c r="G1235">
        <v>0</v>
      </c>
      <c r="H1235" t="s">
        <v>191</v>
      </c>
      <c r="I1235">
        <v>0</v>
      </c>
      <c r="J1235">
        <f t="shared" si="599"/>
        <v>1</v>
      </c>
      <c r="K1235">
        <f t="shared" si="600"/>
        <v>51</v>
      </c>
      <c r="L1235" t="e">
        <f t="shared" ca="1" si="601"/>
        <v>#VALUE!</v>
      </c>
      <c r="M1235" t="e">
        <f t="shared" ca="1" si="574"/>
        <v>#VALUE!</v>
      </c>
      <c r="N1235" t="e">
        <f t="shared" ca="1" si="575"/>
        <v>#VALUE!</v>
      </c>
      <c r="O1235" t="e">
        <f t="shared" ca="1" si="576"/>
        <v>#VALUE!</v>
      </c>
      <c r="P1235" t="e">
        <f t="shared" ca="1" si="577"/>
        <v>#VALUE!</v>
      </c>
      <c r="Q1235" t="e">
        <f t="shared" ca="1" si="578"/>
        <v>#VALUE!</v>
      </c>
      <c r="R1235" t="e">
        <f t="shared" ca="1" si="579"/>
        <v>#VALUE!</v>
      </c>
      <c r="S1235" t="e">
        <f t="shared" ca="1" si="580"/>
        <v>#VALUE!</v>
      </c>
      <c r="T1235" t="e">
        <f t="shared" ca="1" si="581"/>
        <v>#VALUE!</v>
      </c>
      <c r="U1235" t="e">
        <f t="shared" ca="1" si="602"/>
        <v>#VALUE!</v>
      </c>
      <c r="V1235" t="e">
        <f t="shared" ca="1" si="603"/>
        <v>#VALUE!</v>
      </c>
      <c r="W1235" t="e">
        <f t="shared" ca="1" si="582"/>
        <v>#VALUE!</v>
      </c>
      <c r="X1235" t="e">
        <f t="shared" ca="1" si="583"/>
        <v>#VALUE!</v>
      </c>
      <c r="Y1235" t="e">
        <f t="shared" ca="1" si="584"/>
        <v>#VALUE!</v>
      </c>
      <c r="Z1235" t="e">
        <f t="shared" ca="1" si="585"/>
        <v>#VALUE!</v>
      </c>
      <c r="AA1235" t="e">
        <f t="shared" ca="1" si="586"/>
        <v>#VALUE!</v>
      </c>
      <c r="AB1235" t="e">
        <f t="shared" ca="1" si="587"/>
        <v>#VALUE!</v>
      </c>
      <c r="AC1235" t="e">
        <f t="shared" ca="1" si="588"/>
        <v>#VALUE!</v>
      </c>
      <c r="AD1235" t="e">
        <f t="shared" ca="1" si="589"/>
        <v>#VALUE!</v>
      </c>
      <c r="AE1235" t="e">
        <f t="shared" ca="1" si="590"/>
        <v>#VALUE!</v>
      </c>
      <c r="AF1235" t="e">
        <f t="shared" ca="1" si="591"/>
        <v>#VALUE!</v>
      </c>
      <c r="AG1235" t="e">
        <f t="shared" ca="1" si="592"/>
        <v>#VALUE!</v>
      </c>
      <c r="AH1235" t="e">
        <f ca="1">IF(V32="Supercritical",L1235,IF(V32="Subcritical",W1235,IF(AND(V1235=1,AG1235=1),IF(T1235&gt;=AE1235,L1235,W1235),IF(V1235=1,L1235,IF(AG1235=1,W1235,MAX($D$16,POWER((ABS(K1235)^2)/($I$5*MAX(F1235,0.1)^2),1/3)))))))</f>
        <v>#VALUE!</v>
      </c>
      <c r="AI1235" t="e">
        <f t="shared" ca="1" si="593"/>
        <v>#VALUE!</v>
      </c>
      <c r="AJ1235" t="e">
        <f t="shared" ca="1" si="594"/>
        <v>#VALUE!</v>
      </c>
      <c r="AM1235">
        <v>0</v>
      </c>
      <c r="AN1235">
        <v>0</v>
      </c>
      <c r="AO1235">
        <f t="shared" si="595"/>
        <v>0</v>
      </c>
      <c r="AP1235">
        <f t="shared" si="604"/>
        <v>0</v>
      </c>
      <c r="AQ1235" t="e">
        <f t="shared" ca="1" si="596"/>
        <v>#VALUE!</v>
      </c>
      <c r="AR1235" t="e">
        <f t="shared" ca="1" si="597"/>
        <v>#VALUE!</v>
      </c>
      <c r="AS1235" t="e">
        <f t="shared" ca="1" si="598"/>
        <v>#VALUE!</v>
      </c>
    </row>
    <row r="1236" spans="1:45" x14ac:dyDescent="0.35">
      <c r="A1236">
        <v>1087</v>
      </c>
      <c r="B1236">
        <v>1085.8889999999999</v>
      </c>
      <c r="C1236">
        <v>616077.53200000001</v>
      </c>
      <c r="D1236">
        <v>3096918.1260000002</v>
      </c>
      <c r="E1236">
        <v>632.01900000000001</v>
      </c>
      <c r="F1236">
        <v>5.2</v>
      </c>
      <c r="G1236">
        <v>0</v>
      </c>
      <c r="H1236" t="s">
        <v>191</v>
      </c>
      <c r="I1236">
        <v>5.5E-2</v>
      </c>
      <c r="J1236">
        <f t="shared" si="599"/>
        <v>1</v>
      </c>
      <c r="K1236">
        <f t="shared" si="600"/>
        <v>51</v>
      </c>
      <c r="L1236" t="e">
        <f t="shared" ca="1" si="601"/>
        <v>#VALUE!</v>
      </c>
      <c r="M1236" t="e">
        <f t="shared" ca="1" si="574"/>
        <v>#VALUE!</v>
      </c>
      <c r="N1236" t="e">
        <f t="shared" ca="1" si="575"/>
        <v>#VALUE!</v>
      </c>
      <c r="O1236" t="e">
        <f t="shared" ca="1" si="576"/>
        <v>#VALUE!</v>
      </c>
      <c r="P1236" t="e">
        <f t="shared" ca="1" si="577"/>
        <v>#VALUE!</v>
      </c>
      <c r="Q1236" t="e">
        <f t="shared" ca="1" si="578"/>
        <v>#VALUE!</v>
      </c>
      <c r="R1236" t="e">
        <f t="shared" ca="1" si="579"/>
        <v>#VALUE!</v>
      </c>
      <c r="S1236" t="e">
        <f t="shared" ca="1" si="580"/>
        <v>#VALUE!</v>
      </c>
      <c r="T1236" t="e">
        <f t="shared" ca="1" si="581"/>
        <v>#VALUE!</v>
      </c>
      <c r="U1236" t="e">
        <f t="shared" ca="1" si="602"/>
        <v>#VALUE!</v>
      </c>
      <c r="V1236" t="e">
        <f t="shared" ca="1" si="603"/>
        <v>#VALUE!</v>
      </c>
      <c r="W1236" t="e">
        <f t="shared" ca="1" si="582"/>
        <v>#VALUE!</v>
      </c>
      <c r="X1236" t="e">
        <f t="shared" ca="1" si="583"/>
        <v>#VALUE!</v>
      </c>
      <c r="Y1236" t="e">
        <f t="shared" ca="1" si="584"/>
        <v>#VALUE!</v>
      </c>
      <c r="Z1236" t="e">
        <f t="shared" ca="1" si="585"/>
        <v>#VALUE!</v>
      </c>
      <c r="AA1236" t="e">
        <f t="shared" ca="1" si="586"/>
        <v>#VALUE!</v>
      </c>
      <c r="AB1236" t="e">
        <f t="shared" ca="1" si="587"/>
        <v>#VALUE!</v>
      </c>
      <c r="AC1236" t="e">
        <f t="shared" ca="1" si="588"/>
        <v>#VALUE!</v>
      </c>
      <c r="AD1236" t="e">
        <f t="shared" ca="1" si="589"/>
        <v>#VALUE!</v>
      </c>
      <c r="AE1236" t="e">
        <f t="shared" ca="1" si="590"/>
        <v>#VALUE!</v>
      </c>
      <c r="AF1236" t="e">
        <f t="shared" ca="1" si="591"/>
        <v>#VALUE!</v>
      </c>
      <c r="AG1236" t="e">
        <f t="shared" ca="1" si="592"/>
        <v>#VALUE!</v>
      </c>
      <c r="AH1236" t="e">
        <f ca="1">IF(V32="Supercritical",L1236,IF(V32="Subcritical",W1236,IF(AND(V1236=1,AG1236=1),IF(T1236&gt;=AE1236,L1236,W1236),IF(V1236=1,L1236,IF(AG1236=1,W1236,MAX($D$16,POWER((ABS(K1236)^2)/($I$5*MAX(F1236,0.1)^2),1/3)))))))</f>
        <v>#VALUE!</v>
      </c>
      <c r="AI1236" t="e">
        <f t="shared" ca="1" si="593"/>
        <v>#VALUE!</v>
      </c>
      <c r="AJ1236" t="e">
        <f t="shared" ca="1" si="594"/>
        <v>#VALUE!</v>
      </c>
      <c r="AM1236">
        <v>0</v>
      </c>
      <c r="AN1236">
        <v>0</v>
      </c>
      <c r="AO1236">
        <f t="shared" si="595"/>
        <v>0</v>
      </c>
      <c r="AP1236">
        <f t="shared" si="604"/>
        <v>0</v>
      </c>
      <c r="AQ1236" t="e">
        <f t="shared" ca="1" si="596"/>
        <v>#VALUE!</v>
      </c>
      <c r="AR1236" t="e">
        <f t="shared" ca="1" si="597"/>
        <v>#VALUE!</v>
      </c>
      <c r="AS1236" t="e">
        <f t="shared" ca="1" si="598"/>
        <v>#VALUE!</v>
      </c>
    </row>
    <row r="1237" spans="1:45" x14ac:dyDescent="0.35">
      <c r="A1237">
        <v>1088</v>
      </c>
      <c r="B1237">
        <v>1086.8900000000001</v>
      </c>
      <c r="C1237">
        <v>616077.48899999994</v>
      </c>
      <c r="D1237">
        <v>3096917.1260000002</v>
      </c>
      <c r="E1237">
        <v>632.01850000000002</v>
      </c>
      <c r="F1237">
        <v>5.2</v>
      </c>
      <c r="G1237">
        <v>0</v>
      </c>
      <c r="H1237" t="s">
        <v>191</v>
      </c>
      <c r="I1237">
        <v>5.5E-2</v>
      </c>
      <c r="J1237">
        <f t="shared" si="599"/>
        <v>1.0010000000002037</v>
      </c>
      <c r="K1237">
        <f t="shared" si="600"/>
        <v>51</v>
      </c>
      <c r="L1237" t="e">
        <f t="shared" ca="1" si="601"/>
        <v>#VALUE!</v>
      </c>
      <c r="M1237" t="e">
        <f t="shared" ca="1" si="574"/>
        <v>#VALUE!</v>
      </c>
      <c r="N1237" t="e">
        <f t="shared" ca="1" si="575"/>
        <v>#VALUE!</v>
      </c>
      <c r="O1237" t="e">
        <f t="shared" ca="1" si="576"/>
        <v>#VALUE!</v>
      </c>
      <c r="P1237" t="e">
        <f t="shared" ca="1" si="577"/>
        <v>#VALUE!</v>
      </c>
      <c r="Q1237" t="e">
        <f t="shared" ca="1" si="578"/>
        <v>#VALUE!</v>
      </c>
      <c r="R1237" t="e">
        <f t="shared" ca="1" si="579"/>
        <v>#VALUE!</v>
      </c>
      <c r="S1237" t="e">
        <f t="shared" ca="1" si="580"/>
        <v>#VALUE!</v>
      </c>
      <c r="T1237" t="e">
        <f t="shared" ca="1" si="581"/>
        <v>#VALUE!</v>
      </c>
      <c r="U1237" t="e">
        <f t="shared" ca="1" si="602"/>
        <v>#VALUE!</v>
      </c>
      <c r="V1237" t="e">
        <f t="shared" ca="1" si="603"/>
        <v>#VALUE!</v>
      </c>
      <c r="W1237" t="e">
        <f t="shared" ca="1" si="582"/>
        <v>#VALUE!</v>
      </c>
      <c r="X1237" t="e">
        <f t="shared" ca="1" si="583"/>
        <v>#VALUE!</v>
      </c>
      <c r="Y1237" t="e">
        <f t="shared" ca="1" si="584"/>
        <v>#VALUE!</v>
      </c>
      <c r="Z1237" t="e">
        <f t="shared" ca="1" si="585"/>
        <v>#VALUE!</v>
      </c>
      <c r="AA1237" t="e">
        <f t="shared" ca="1" si="586"/>
        <v>#VALUE!</v>
      </c>
      <c r="AB1237" t="e">
        <f t="shared" ca="1" si="587"/>
        <v>#VALUE!</v>
      </c>
      <c r="AC1237" t="e">
        <f t="shared" ca="1" si="588"/>
        <v>#VALUE!</v>
      </c>
      <c r="AD1237" t="e">
        <f t="shared" ca="1" si="589"/>
        <v>#VALUE!</v>
      </c>
      <c r="AE1237" t="e">
        <f t="shared" ca="1" si="590"/>
        <v>#VALUE!</v>
      </c>
      <c r="AF1237" t="e">
        <f t="shared" ca="1" si="591"/>
        <v>#VALUE!</v>
      </c>
      <c r="AG1237" t="e">
        <f t="shared" ca="1" si="592"/>
        <v>#VALUE!</v>
      </c>
      <c r="AH1237" t="e">
        <f ca="1">IF(V32="Supercritical",L1237,IF(V32="Subcritical",W1237,IF(AND(V1237=1,AG1237=1),IF(T1237&gt;=AE1237,L1237,W1237),IF(V1237=1,L1237,IF(AG1237=1,W1237,MAX($D$16,POWER((ABS(K1237)^2)/($I$5*MAX(F1237,0.1)^2),1/3)))))))</f>
        <v>#VALUE!</v>
      </c>
      <c r="AI1237" t="e">
        <f t="shared" ca="1" si="593"/>
        <v>#VALUE!</v>
      </c>
      <c r="AJ1237" t="e">
        <f t="shared" ca="1" si="594"/>
        <v>#VALUE!</v>
      </c>
      <c r="AM1237">
        <v>0</v>
      </c>
      <c r="AN1237">
        <v>0</v>
      </c>
      <c r="AO1237">
        <f t="shared" si="595"/>
        <v>0</v>
      </c>
      <c r="AP1237">
        <f t="shared" si="604"/>
        <v>0</v>
      </c>
      <c r="AQ1237" t="e">
        <f t="shared" ca="1" si="596"/>
        <v>#VALUE!</v>
      </c>
      <c r="AR1237" t="e">
        <f t="shared" ca="1" si="597"/>
        <v>#VALUE!</v>
      </c>
      <c r="AS1237" t="e">
        <f t="shared" ca="1" si="598"/>
        <v>#VALUE!</v>
      </c>
    </row>
    <row r="1238" spans="1:45" x14ac:dyDescent="0.35">
      <c r="A1238">
        <v>1089</v>
      </c>
      <c r="B1238">
        <v>1087.8900000000001</v>
      </c>
      <c r="C1238">
        <v>616077.44700000004</v>
      </c>
      <c r="D1238">
        <v>3096916.1269999999</v>
      </c>
      <c r="E1238">
        <v>632.01800000000003</v>
      </c>
      <c r="F1238">
        <v>5.2</v>
      </c>
      <c r="G1238">
        <v>0</v>
      </c>
      <c r="H1238" t="s">
        <v>191</v>
      </c>
      <c r="I1238">
        <v>0</v>
      </c>
      <c r="J1238">
        <f t="shared" si="599"/>
        <v>1</v>
      </c>
      <c r="K1238">
        <f t="shared" si="600"/>
        <v>51</v>
      </c>
      <c r="L1238" t="e">
        <f t="shared" ca="1" si="601"/>
        <v>#VALUE!</v>
      </c>
      <c r="M1238" t="e">
        <f t="shared" ref="M1238:M1301" ca="1" si="605">((F1238)+(G1238)*(L1238))*(L1238)</f>
        <v>#VALUE!</v>
      </c>
      <c r="N1238" t="e">
        <f t="shared" ref="N1238:N1301" ca="1" si="606">(((F1238)+(G1238)*(L1238))*(L1238))/MAX((F1238)+2*(L1238)*SQRT(1+(G1238)^2),0.000001)</f>
        <v>#VALUE!</v>
      </c>
      <c r="O1238" t="e">
        <f t="shared" ref="O1238:O1301" ca="1" si="607">ABS(K1238)/MAX(((F1238)+(G1238)*(L1238))*(L1238),0.000001)</f>
        <v>#VALUE!</v>
      </c>
      <c r="P1238" t="e">
        <f t="shared" ref="P1238:P1301" ca="1" si="608">E1238+L1238</f>
        <v>#VALUE!</v>
      </c>
      <c r="Q1238" t="e">
        <f t="shared" ref="Q1238:Q1301" ca="1" si="609">P1238+((ABS(K1238)/MAX(((F1238)+(G1238)*(L1238))*(L1238),0.000001))^2)/(2*$I$5)</f>
        <v>#VALUE!</v>
      </c>
      <c r="R1238" t="e">
        <f t="shared" ref="R1238:R1301" ca="1" si="610">((ABS(K1238)*$D$6)/(MAX(((F1238)+(G1238)*(L1238))*(L1238),0.000001)*MAX(((((F1238)+(G1238)*(L1238))*(L1238))/MAX((F1238)+2*(L1238)*SQRT(1+(G1238)^2),0.000001))^(2/3),0.000001)))^2</f>
        <v>#VALUE!</v>
      </c>
      <c r="S1238" t="e">
        <f t="shared" ref="S1238:S1301" ca="1" si="611">ABS(ABS(K1238)/MAX(((F1238)+(G1238)*(L1238))*(L1238),0.000001))/SQRT($I$5*MAX((((F1238)+(G1238)*(L1238))*(L1238))/MAX((F1238)+2*(G1238)*(L1238),0.000001),0.000001))</f>
        <v>#VALUE!</v>
      </c>
      <c r="T1238" t="e">
        <f t="shared" ref="T1238:T1301" ca="1" si="612">((F1238)*(L1238)^2)/2+(G1238)*(L1238)^3/3+(ABS(K1238)^2)/($I$5*MAX(((F1238)+(G1238)*(L1238))*(L1238),0.000001))</f>
        <v>#VALUE!</v>
      </c>
      <c r="U1238" t="e">
        <f t="shared" ca="1" si="602"/>
        <v>#VALUE!</v>
      </c>
      <c r="V1238" t="e">
        <f t="shared" ca="1" si="603"/>
        <v>#VALUE!</v>
      </c>
      <c r="W1238" t="e">
        <f t="shared" ref="W1238:W1301" ca="1" si="613">IF($D$20=0,W1239,IF(AG1239=0,W1239,IF(W1238=0,W1239,IF(ABS(AF1238)&gt;$D$19,MAX($D$16,W1238+((AF1238)*$D$18*IF((AD1238)&lt;1,1,-1))),W1238))))</f>
        <v>#VALUE!</v>
      </c>
      <c r="X1238" t="e">
        <f t="shared" ref="X1238:X1301" ca="1" si="614">((F1238)+(G1238)*(W1238))*(W1238)</f>
        <v>#VALUE!</v>
      </c>
      <c r="Y1238" t="e">
        <f t="shared" ref="Y1238:Y1301" ca="1" si="615">(((F1238)+(G1238)*(W1238))*(W1238))/MAX((F1238)+2*(W1238)*SQRT(1+(G1238)^2),0.000001)</f>
        <v>#VALUE!</v>
      </c>
      <c r="Z1238" t="e">
        <f t="shared" ref="Z1238:Z1301" ca="1" si="616">ABS(K1238)/MAX(((F1238)+(G1238)*(W1238))*(W1238),0.000001)</f>
        <v>#VALUE!</v>
      </c>
      <c r="AA1238" t="e">
        <f t="shared" ref="AA1238:AA1301" ca="1" si="617">E1238+W1238</f>
        <v>#VALUE!</v>
      </c>
      <c r="AB1238" t="e">
        <f t="shared" ref="AB1238:AB1301" ca="1" si="618">AA1238+((ABS(K1238)/MAX(((F1238)+(G1238)*(W1238))*(W1238),0.000001))^2)/(2*$I$5)</f>
        <v>#VALUE!</v>
      </c>
      <c r="AC1238" t="e">
        <f t="shared" ref="AC1238:AC1301" ca="1" si="619">((ABS(K1238)*$D$6)/(MAX(((F1238)+(G1238)*(W1238))*(W1238),0.000001)*MAX(((((F1238)+(G1238)*(W1238))*(W1238))/MAX((F1238)+2*(W1238)*SQRT(1+(G1238)^2),0.000001))^(2/3),0.000001)))^2</f>
        <v>#VALUE!</v>
      </c>
      <c r="AD1238" t="e">
        <f t="shared" ref="AD1238:AD1301" ca="1" si="620">ABS(ABS(K1238)/MAX(((F1238)+(G1238)*(W1238))*(W1238),0.000001))/SQRT($I$5*MAX((((F1238)+(G1238)*(W1238))*(W1238))/MAX((F1238)+2*(G1238)*(W1238),0.000001),0.000001))</f>
        <v>#VALUE!</v>
      </c>
      <c r="AE1238" t="e">
        <f t="shared" ref="AE1238:AE1301" ca="1" si="621">((F1238)*(W1238)^2)/2+(G1238)*(W1238)^3/3+(ABS(K1238)^2)/($I$5*MAX(((F1238)+(G1238)*(W1238))*(W1238),0.000001))</f>
        <v>#VALUE!</v>
      </c>
      <c r="AF1238" t="e">
        <f t="shared" ref="AF1238:AF1301" ca="1" si="622">AB1239+(((AC1238+AC1239)/2)*J1239)+(IF(Z1238&gt;Z1239,$D$8*((Z1238^2-Z1239^2)/(2*$I$5)),$D$9*((Z1239^2-Z1238^2)/(2*$I$5)))+($D$10*(ABS(I1239)/90)*(MAX(Z1238^2,Z1239^2)/(2*$I$5))))-AB1238</f>
        <v>#VALUE!</v>
      </c>
      <c r="AG1238" t="e">
        <f t="shared" ref="AG1238:AG1301" ca="1" si="623">IF(ABS(AF1238)&lt;$D$19,1,0)</f>
        <v>#VALUE!</v>
      </c>
      <c r="AH1238" t="e">
        <f ca="1">IF(V32="Supercritical",L1238,IF(V32="Subcritical",W1238,IF(AND(V1238=1,AG1238=1),IF(T1238&gt;=AE1238,L1238,W1238),IF(V1238=1,L1238,IF(AG1238=1,W1238,MAX($D$16,POWER((ABS(K1238)^2)/($I$5*MAX(F1238,0.1)^2),1/3)))))))</f>
        <v>#VALUE!</v>
      </c>
      <c r="AI1238" t="e">
        <f t="shared" ref="AI1238:AI1301" ca="1" si="624">E1238+AH1238</f>
        <v>#VALUE!</v>
      </c>
      <c r="AJ1238" t="e">
        <f t="shared" ref="AJ1238:AJ1301" ca="1" si="625">AI1238+((ABS(K1238)/MAX(((F1238)+(G1238)*(AH1238))*(AH1238),0.000001))^2)/(2*$I$5)</f>
        <v>#VALUE!</v>
      </c>
      <c r="AM1238">
        <v>0</v>
      </c>
      <c r="AN1238">
        <v>0</v>
      </c>
      <c r="AO1238">
        <f t="shared" ref="AO1238:AO1301" si="626">AM1238+AN1238</f>
        <v>0</v>
      </c>
      <c r="AP1238">
        <f t="shared" si="604"/>
        <v>0</v>
      </c>
      <c r="AQ1238" t="e">
        <f t="shared" ref="AQ1238:AQ1301" ca="1" si="627">ABS(ABS(K1238)/MAX(((F1238)+(G1238)*(AH1238))*(AH1238),0.000001))/SQRT($I$5*MAX((((F1238)+(G1238)*(AH1238))*(AH1238))/MAX((F1238)+2*(G1238)*(AH1238),0.000001),0.000001))</f>
        <v>#VALUE!</v>
      </c>
      <c r="AR1238" t="e">
        <f t="shared" ref="AR1238:AR1301" ca="1" si="628">IF(AQ1238&lt;1,"Subcritical","Supercritical")</f>
        <v>#VALUE!</v>
      </c>
      <c r="AS1238" t="e">
        <f t="shared" ref="AS1238:AS1301" ca="1" si="629">((ABS(K1238)*$D$6)/(MAX(((F1238)+(G1238)*(AH1238))*(AH1238),0.000001)*MAX(((((F1238)+(G1238)*(AH1238))*(AH1238))/MAX((F1238)+2*(AH1238)*SQRT(1+(G1238)^2),0.000001))^(2/3),0.000001)))^2</f>
        <v>#VALUE!</v>
      </c>
    </row>
    <row r="1239" spans="1:45" x14ac:dyDescent="0.35">
      <c r="A1239">
        <v>1090</v>
      </c>
      <c r="B1239">
        <v>1088.8900000000001</v>
      </c>
      <c r="C1239">
        <v>616077.40500000003</v>
      </c>
      <c r="D1239">
        <v>3096915.128</v>
      </c>
      <c r="E1239">
        <v>632.01750000000004</v>
      </c>
      <c r="F1239">
        <v>5.2</v>
      </c>
      <c r="G1239">
        <v>0</v>
      </c>
      <c r="H1239" t="s">
        <v>191</v>
      </c>
      <c r="I1239">
        <v>0</v>
      </c>
      <c r="J1239">
        <f t="shared" ref="J1239:J1302" si="630">B1239-B1238</f>
        <v>1</v>
      </c>
      <c r="K1239">
        <f t="shared" ref="K1239:K1302" si="631">MAX(0,K1238-AO1238)</f>
        <v>51</v>
      </c>
      <c r="L1239" t="e">
        <f t="shared" ref="L1239:L1302" ca="1" si="632">IF($D$20=0,L1238,IF(V1238=0,L1238,IF(L1239=0,L1238,IF(ABS(U1239)&gt;$D$19,MAX($D$16,L1239+((U1239)*$D$18*IF((S1239)&lt;1,1,-1))),L1239))))</f>
        <v>#VALUE!</v>
      </c>
      <c r="M1239" t="e">
        <f t="shared" ca="1" si="605"/>
        <v>#VALUE!</v>
      </c>
      <c r="N1239" t="e">
        <f t="shared" ca="1" si="606"/>
        <v>#VALUE!</v>
      </c>
      <c r="O1239" t="e">
        <f t="shared" ca="1" si="607"/>
        <v>#VALUE!</v>
      </c>
      <c r="P1239" t="e">
        <f t="shared" ca="1" si="608"/>
        <v>#VALUE!</v>
      </c>
      <c r="Q1239" t="e">
        <f t="shared" ca="1" si="609"/>
        <v>#VALUE!</v>
      </c>
      <c r="R1239" t="e">
        <f t="shared" ca="1" si="610"/>
        <v>#VALUE!</v>
      </c>
      <c r="S1239" t="e">
        <f t="shared" ca="1" si="611"/>
        <v>#VALUE!</v>
      </c>
      <c r="T1239" t="e">
        <f t="shared" ca="1" si="612"/>
        <v>#VALUE!</v>
      </c>
      <c r="U1239" t="e">
        <f t="shared" ref="U1239:U1302" ca="1" si="633">Q1238-(((R1238+R1239)/2)*J1239)-(IF(O1238&gt;O1239,$D$8*((O1238^2-O1239^2)/(2*$I$5)),$D$9*((O1239^2-O1238^2)/(2*$I$5)))+($D$10*(ABS(I1239)/90)*(MAX(O1238^2,O1239^2)/(2*$I$5))))-Q1239</f>
        <v>#VALUE!</v>
      </c>
      <c r="V1239" t="e">
        <f t="shared" ref="V1239:V1302" ca="1" si="634">IF(ABS(U1239)&lt;$D$19,1,0)</f>
        <v>#VALUE!</v>
      </c>
      <c r="W1239" t="e">
        <f t="shared" ca="1" si="613"/>
        <v>#VALUE!</v>
      </c>
      <c r="X1239" t="e">
        <f t="shared" ca="1" si="614"/>
        <v>#VALUE!</v>
      </c>
      <c r="Y1239" t="e">
        <f t="shared" ca="1" si="615"/>
        <v>#VALUE!</v>
      </c>
      <c r="Z1239" t="e">
        <f t="shared" ca="1" si="616"/>
        <v>#VALUE!</v>
      </c>
      <c r="AA1239" t="e">
        <f t="shared" ca="1" si="617"/>
        <v>#VALUE!</v>
      </c>
      <c r="AB1239" t="e">
        <f t="shared" ca="1" si="618"/>
        <v>#VALUE!</v>
      </c>
      <c r="AC1239" t="e">
        <f t="shared" ca="1" si="619"/>
        <v>#VALUE!</v>
      </c>
      <c r="AD1239" t="e">
        <f t="shared" ca="1" si="620"/>
        <v>#VALUE!</v>
      </c>
      <c r="AE1239" t="e">
        <f t="shared" ca="1" si="621"/>
        <v>#VALUE!</v>
      </c>
      <c r="AF1239" t="e">
        <f t="shared" ca="1" si="622"/>
        <v>#VALUE!</v>
      </c>
      <c r="AG1239" t="e">
        <f t="shared" ca="1" si="623"/>
        <v>#VALUE!</v>
      </c>
      <c r="AH1239" t="e">
        <f ca="1">IF(V32="Supercritical",L1239,IF(V32="Subcritical",W1239,IF(AND(V1239=1,AG1239=1),IF(T1239&gt;=AE1239,L1239,W1239),IF(V1239=1,L1239,IF(AG1239=1,W1239,MAX($D$16,POWER((ABS(K1239)^2)/($I$5*MAX(F1239,0.1)^2),1/3)))))))</f>
        <v>#VALUE!</v>
      </c>
      <c r="AI1239" t="e">
        <f t="shared" ca="1" si="624"/>
        <v>#VALUE!</v>
      </c>
      <c r="AJ1239" t="e">
        <f t="shared" ca="1" si="625"/>
        <v>#VALUE!</v>
      </c>
      <c r="AM1239">
        <v>0</v>
      </c>
      <c r="AN1239">
        <v>0</v>
      </c>
      <c r="AO1239">
        <f t="shared" si="626"/>
        <v>0</v>
      </c>
      <c r="AP1239">
        <f t="shared" ref="AP1239:AP1302" si="635">AP1238+AO1239</f>
        <v>0</v>
      </c>
      <c r="AQ1239" t="e">
        <f t="shared" ca="1" si="627"/>
        <v>#VALUE!</v>
      </c>
      <c r="AR1239" t="e">
        <f t="shared" ca="1" si="628"/>
        <v>#VALUE!</v>
      </c>
      <c r="AS1239" t="e">
        <f t="shared" ca="1" si="629"/>
        <v>#VALUE!</v>
      </c>
    </row>
    <row r="1240" spans="1:45" x14ac:dyDescent="0.35">
      <c r="A1240">
        <v>1091</v>
      </c>
      <c r="B1240">
        <v>1089.8889999999999</v>
      </c>
      <c r="C1240">
        <v>616077.36300000001</v>
      </c>
      <c r="D1240">
        <v>3096914.1290000002</v>
      </c>
      <c r="E1240">
        <v>632.01700000000005</v>
      </c>
      <c r="F1240">
        <v>5.2</v>
      </c>
      <c r="G1240">
        <v>0</v>
      </c>
      <c r="H1240" t="s">
        <v>191</v>
      </c>
      <c r="I1240">
        <v>5.7000000000000002E-2</v>
      </c>
      <c r="J1240">
        <f t="shared" si="630"/>
        <v>0.99899999999979627</v>
      </c>
      <c r="K1240">
        <f t="shared" si="631"/>
        <v>51</v>
      </c>
      <c r="L1240" t="e">
        <f t="shared" ca="1" si="632"/>
        <v>#VALUE!</v>
      </c>
      <c r="M1240" t="e">
        <f t="shared" ca="1" si="605"/>
        <v>#VALUE!</v>
      </c>
      <c r="N1240" t="e">
        <f t="shared" ca="1" si="606"/>
        <v>#VALUE!</v>
      </c>
      <c r="O1240" t="e">
        <f t="shared" ca="1" si="607"/>
        <v>#VALUE!</v>
      </c>
      <c r="P1240" t="e">
        <f t="shared" ca="1" si="608"/>
        <v>#VALUE!</v>
      </c>
      <c r="Q1240" t="e">
        <f t="shared" ca="1" si="609"/>
        <v>#VALUE!</v>
      </c>
      <c r="R1240" t="e">
        <f t="shared" ca="1" si="610"/>
        <v>#VALUE!</v>
      </c>
      <c r="S1240" t="e">
        <f t="shared" ca="1" si="611"/>
        <v>#VALUE!</v>
      </c>
      <c r="T1240" t="e">
        <f t="shared" ca="1" si="612"/>
        <v>#VALUE!</v>
      </c>
      <c r="U1240" t="e">
        <f t="shared" ca="1" si="633"/>
        <v>#VALUE!</v>
      </c>
      <c r="V1240" t="e">
        <f t="shared" ca="1" si="634"/>
        <v>#VALUE!</v>
      </c>
      <c r="W1240" t="e">
        <f t="shared" ca="1" si="613"/>
        <v>#VALUE!</v>
      </c>
      <c r="X1240" t="e">
        <f t="shared" ca="1" si="614"/>
        <v>#VALUE!</v>
      </c>
      <c r="Y1240" t="e">
        <f t="shared" ca="1" si="615"/>
        <v>#VALUE!</v>
      </c>
      <c r="Z1240" t="e">
        <f t="shared" ca="1" si="616"/>
        <v>#VALUE!</v>
      </c>
      <c r="AA1240" t="e">
        <f t="shared" ca="1" si="617"/>
        <v>#VALUE!</v>
      </c>
      <c r="AB1240" t="e">
        <f t="shared" ca="1" si="618"/>
        <v>#VALUE!</v>
      </c>
      <c r="AC1240" t="e">
        <f t="shared" ca="1" si="619"/>
        <v>#VALUE!</v>
      </c>
      <c r="AD1240" t="e">
        <f t="shared" ca="1" si="620"/>
        <v>#VALUE!</v>
      </c>
      <c r="AE1240" t="e">
        <f t="shared" ca="1" si="621"/>
        <v>#VALUE!</v>
      </c>
      <c r="AF1240" t="e">
        <f t="shared" ca="1" si="622"/>
        <v>#VALUE!</v>
      </c>
      <c r="AG1240" t="e">
        <f t="shared" ca="1" si="623"/>
        <v>#VALUE!</v>
      </c>
      <c r="AH1240" t="e">
        <f ca="1">IF(V32="Supercritical",L1240,IF(V32="Subcritical",W1240,IF(AND(V1240=1,AG1240=1),IF(T1240&gt;=AE1240,L1240,W1240),IF(V1240=1,L1240,IF(AG1240=1,W1240,MAX($D$16,POWER((ABS(K1240)^2)/($I$5*MAX(F1240,0.1)^2),1/3)))))))</f>
        <v>#VALUE!</v>
      </c>
      <c r="AI1240" t="e">
        <f t="shared" ca="1" si="624"/>
        <v>#VALUE!</v>
      </c>
      <c r="AJ1240" t="e">
        <f t="shared" ca="1" si="625"/>
        <v>#VALUE!</v>
      </c>
      <c r="AM1240">
        <v>0</v>
      </c>
      <c r="AN1240">
        <v>0</v>
      </c>
      <c r="AO1240">
        <f t="shared" si="626"/>
        <v>0</v>
      </c>
      <c r="AP1240">
        <f t="shared" si="635"/>
        <v>0</v>
      </c>
      <c r="AQ1240" t="e">
        <f t="shared" ca="1" si="627"/>
        <v>#VALUE!</v>
      </c>
      <c r="AR1240" t="e">
        <f t="shared" ca="1" si="628"/>
        <v>#VALUE!</v>
      </c>
      <c r="AS1240" t="e">
        <f t="shared" ca="1" si="629"/>
        <v>#VALUE!</v>
      </c>
    </row>
    <row r="1241" spans="1:45" x14ac:dyDescent="0.35">
      <c r="A1241">
        <v>1092</v>
      </c>
      <c r="B1241">
        <v>1090.8889999999999</v>
      </c>
      <c r="C1241">
        <v>616077.31999999995</v>
      </c>
      <c r="D1241">
        <v>3096913.13</v>
      </c>
      <c r="E1241">
        <v>632.01649999999995</v>
      </c>
      <c r="F1241">
        <v>5.2</v>
      </c>
      <c r="G1241">
        <v>0</v>
      </c>
      <c r="H1241" t="s">
        <v>191</v>
      </c>
      <c r="I1241">
        <v>5.7000000000000002E-2</v>
      </c>
      <c r="J1241">
        <f t="shared" si="630"/>
        <v>1</v>
      </c>
      <c r="K1241">
        <f t="shared" si="631"/>
        <v>51</v>
      </c>
      <c r="L1241" t="e">
        <f t="shared" ca="1" si="632"/>
        <v>#VALUE!</v>
      </c>
      <c r="M1241" t="e">
        <f t="shared" ca="1" si="605"/>
        <v>#VALUE!</v>
      </c>
      <c r="N1241" t="e">
        <f t="shared" ca="1" si="606"/>
        <v>#VALUE!</v>
      </c>
      <c r="O1241" t="e">
        <f t="shared" ca="1" si="607"/>
        <v>#VALUE!</v>
      </c>
      <c r="P1241" t="e">
        <f t="shared" ca="1" si="608"/>
        <v>#VALUE!</v>
      </c>
      <c r="Q1241" t="e">
        <f t="shared" ca="1" si="609"/>
        <v>#VALUE!</v>
      </c>
      <c r="R1241" t="e">
        <f t="shared" ca="1" si="610"/>
        <v>#VALUE!</v>
      </c>
      <c r="S1241" t="e">
        <f t="shared" ca="1" si="611"/>
        <v>#VALUE!</v>
      </c>
      <c r="T1241" t="e">
        <f t="shared" ca="1" si="612"/>
        <v>#VALUE!</v>
      </c>
      <c r="U1241" t="e">
        <f t="shared" ca="1" si="633"/>
        <v>#VALUE!</v>
      </c>
      <c r="V1241" t="e">
        <f t="shared" ca="1" si="634"/>
        <v>#VALUE!</v>
      </c>
      <c r="W1241" t="e">
        <f t="shared" ca="1" si="613"/>
        <v>#VALUE!</v>
      </c>
      <c r="X1241" t="e">
        <f t="shared" ca="1" si="614"/>
        <v>#VALUE!</v>
      </c>
      <c r="Y1241" t="e">
        <f t="shared" ca="1" si="615"/>
        <v>#VALUE!</v>
      </c>
      <c r="Z1241" t="e">
        <f t="shared" ca="1" si="616"/>
        <v>#VALUE!</v>
      </c>
      <c r="AA1241" t="e">
        <f t="shared" ca="1" si="617"/>
        <v>#VALUE!</v>
      </c>
      <c r="AB1241" t="e">
        <f t="shared" ca="1" si="618"/>
        <v>#VALUE!</v>
      </c>
      <c r="AC1241" t="e">
        <f t="shared" ca="1" si="619"/>
        <v>#VALUE!</v>
      </c>
      <c r="AD1241" t="e">
        <f t="shared" ca="1" si="620"/>
        <v>#VALUE!</v>
      </c>
      <c r="AE1241" t="e">
        <f t="shared" ca="1" si="621"/>
        <v>#VALUE!</v>
      </c>
      <c r="AF1241" t="e">
        <f t="shared" ca="1" si="622"/>
        <v>#VALUE!</v>
      </c>
      <c r="AG1241" t="e">
        <f t="shared" ca="1" si="623"/>
        <v>#VALUE!</v>
      </c>
      <c r="AH1241" t="e">
        <f ca="1">IF(V32="Supercritical",L1241,IF(V32="Subcritical",W1241,IF(AND(V1241=1,AG1241=1),IF(T1241&gt;=AE1241,L1241,W1241),IF(V1241=1,L1241,IF(AG1241=1,W1241,MAX($D$16,POWER((ABS(K1241)^2)/($I$5*MAX(F1241,0.1)^2),1/3)))))))</f>
        <v>#VALUE!</v>
      </c>
      <c r="AI1241" t="e">
        <f t="shared" ca="1" si="624"/>
        <v>#VALUE!</v>
      </c>
      <c r="AJ1241" t="e">
        <f t="shared" ca="1" si="625"/>
        <v>#VALUE!</v>
      </c>
      <c r="AM1241">
        <v>0</v>
      </c>
      <c r="AN1241">
        <v>0</v>
      </c>
      <c r="AO1241">
        <f t="shared" si="626"/>
        <v>0</v>
      </c>
      <c r="AP1241">
        <f t="shared" si="635"/>
        <v>0</v>
      </c>
      <c r="AQ1241" t="e">
        <f t="shared" ca="1" si="627"/>
        <v>#VALUE!</v>
      </c>
      <c r="AR1241" t="e">
        <f t="shared" ca="1" si="628"/>
        <v>#VALUE!</v>
      </c>
      <c r="AS1241" t="e">
        <f t="shared" ca="1" si="629"/>
        <v>#VALUE!</v>
      </c>
    </row>
    <row r="1242" spans="1:45" x14ac:dyDescent="0.35">
      <c r="A1242">
        <v>1093</v>
      </c>
      <c r="B1242">
        <v>1091.8889999999999</v>
      </c>
      <c r="C1242">
        <v>616077.27800000005</v>
      </c>
      <c r="D1242">
        <v>3096912.1310000001</v>
      </c>
      <c r="E1242">
        <v>632.01599999999996</v>
      </c>
      <c r="F1242">
        <v>5.2</v>
      </c>
      <c r="G1242">
        <v>0</v>
      </c>
      <c r="H1242" t="s">
        <v>191</v>
      </c>
      <c r="I1242">
        <v>0</v>
      </c>
      <c r="J1242">
        <f t="shared" si="630"/>
        <v>1</v>
      </c>
      <c r="K1242">
        <f t="shared" si="631"/>
        <v>51</v>
      </c>
      <c r="L1242" t="e">
        <f t="shared" ca="1" si="632"/>
        <v>#VALUE!</v>
      </c>
      <c r="M1242" t="e">
        <f t="shared" ca="1" si="605"/>
        <v>#VALUE!</v>
      </c>
      <c r="N1242" t="e">
        <f t="shared" ca="1" si="606"/>
        <v>#VALUE!</v>
      </c>
      <c r="O1242" t="e">
        <f t="shared" ca="1" si="607"/>
        <v>#VALUE!</v>
      </c>
      <c r="P1242" t="e">
        <f t="shared" ca="1" si="608"/>
        <v>#VALUE!</v>
      </c>
      <c r="Q1242" t="e">
        <f t="shared" ca="1" si="609"/>
        <v>#VALUE!</v>
      </c>
      <c r="R1242" t="e">
        <f t="shared" ca="1" si="610"/>
        <v>#VALUE!</v>
      </c>
      <c r="S1242" t="e">
        <f t="shared" ca="1" si="611"/>
        <v>#VALUE!</v>
      </c>
      <c r="T1242" t="e">
        <f t="shared" ca="1" si="612"/>
        <v>#VALUE!</v>
      </c>
      <c r="U1242" t="e">
        <f t="shared" ca="1" si="633"/>
        <v>#VALUE!</v>
      </c>
      <c r="V1242" t="e">
        <f t="shared" ca="1" si="634"/>
        <v>#VALUE!</v>
      </c>
      <c r="W1242" t="e">
        <f t="shared" ca="1" si="613"/>
        <v>#VALUE!</v>
      </c>
      <c r="X1242" t="e">
        <f t="shared" ca="1" si="614"/>
        <v>#VALUE!</v>
      </c>
      <c r="Y1242" t="e">
        <f t="shared" ca="1" si="615"/>
        <v>#VALUE!</v>
      </c>
      <c r="Z1242" t="e">
        <f t="shared" ca="1" si="616"/>
        <v>#VALUE!</v>
      </c>
      <c r="AA1242" t="e">
        <f t="shared" ca="1" si="617"/>
        <v>#VALUE!</v>
      </c>
      <c r="AB1242" t="e">
        <f t="shared" ca="1" si="618"/>
        <v>#VALUE!</v>
      </c>
      <c r="AC1242" t="e">
        <f t="shared" ca="1" si="619"/>
        <v>#VALUE!</v>
      </c>
      <c r="AD1242" t="e">
        <f t="shared" ca="1" si="620"/>
        <v>#VALUE!</v>
      </c>
      <c r="AE1242" t="e">
        <f t="shared" ca="1" si="621"/>
        <v>#VALUE!</v>
      </c>
      <c r="AF1242" t="e">
        <f t="shared" ca="1" si="622"/>
        <v>#VALUE!</v>
      </c>
      <c r="AG1242" t="e">
        <f t="shared" ca="1" si="623"/>
        <v>#VALUE!</v>
      </c>
      <c r="AH1242" t="e">
        <f ca="1">IF(V32="Supercritical",L1242,IF(V32="Subcritical",W1242,IF(AND(V1242=1,AG1242=1),IF(T1242&gt;=AE1242,L1242,W1242),IF(V1242=1,L1242,IF(AG1242=1,W1242,MAX($D$16,POWER((ABS(K1242)^2)/($I$5*MAX(F1242,0.1)^2),1/3)))))))</f>
        <v>#VALUE!</v>
      </c>
      <c r="AI1242" t="e">
        <f t="shared" ca="1" si="624"/>
        <v>#VALUE!</v>
      </c>
      <c r="AJ1242" t="e">
        <f t="shared" ca="1" si="625"/>
        <v>#VALUE!</v>
      </c>
      <c r="AM1242">
        <v>0</v>
      </c>
      <c r="AN1242">
        <v>0</v>
      </c>
      <c r="AO1242">
        <f t="shared" si="626"/>
        <v>0</v>
      </c>
      <c r="AP1242">
        <f t="shared" si="635"/>
        <v>0</v>
      </c>
      <c r="AQ1242" t="e">
        <f t="shared" ca="1" si="627"/>
        <v>#VALUE!</v>
      </c>
      <c r="AR1242" t="e">
        <f t="shared" ca="1" si="628"/>
        <v>#VALUE!</v>
      </c>
      <c r="AS1242" t="e">
        <f t="shared" ca="1" si="629"/>
        <v>#VALUE!</v>
      </c>
    </row>
    <row r="1243" spans="1:45" x14ac:dyDescent="0.35">
      <c r="A1243">
        <v>1094</v>
      </c>
      <c r="B1243">
        <v>1092.8889999999999</v>
      </c>
      <c r="C1243">
        <v>616077.23600000003</v>
      </c>
      <c r="D1243">
        <v>3096911.1320000002</v>
      </c>
      <c r="E1243">
        <v>632.01549999999997</v>
      </c>
      <c r="F1243">
        <v>5.2</v>
      </c>
      <c r="G1243">
        <v>0</v>
      </c>
      <c r="H1243" t="s">
        <v>191</v>
      </c>
      <c r="I1243">
        <v>0</v>
      </c>
      <c r="J1243">
        <f t="shared" si="630"/>
        <v>1</v>
      </c>
      <c r="K1243">
        <f t="shared" si="631"/>
        <v>51</v>
      </c>
      <c r="L1243" t="e">
        <f t="shared" ca="1" si="632"/>
        <v>#VALUE!</v>
      </c>
      <c r="M1243" t="e">
        <f t="shared" ca="1" si="605"/>
        <v>#VALUE!</v>
      </c>
      <c r="N1243" t="e">
        <f t="shared" ca="1" si="606"/>
        <v>#VALUE!</v>
      </c>
      <c r="O1243" t="e">
        <f t="shared" ca="1" si="607"/>
        <v>#VALUE!</v>
      </c>
      <c r="P1243" t="e">
        <f t="shared" ca="1" si="608"/>
        <v>#VALUE!</v>
      </c>
      <c r="Q1243" t="e">
        <f t="shared" ca="1" si="609"/>
        <v>#VALUE!</v>
      </c>
      <c r="R1243" t="e">
        <f t="shared" ca="1" si="610"/>
        <v>#VALUE!</v>
      </c>
      <c r="S1243" t="e">
        <f t="shared" ca="1" si="611"/>
        <v>#VALUE!</v>
      </c>
      <c r="T1243" t="e">
        <f t="shared" ca="1" si="612"/>
        <v>#VALUE!</v>
      </c>
      <c r="U1243" t="e">
        <f t="shared" ca="1" si="633"/>
        <v>#VALUE!</v>
      </c>
      <c r="V1243" t="e">
        <f t="shared" ca="1" si="634"/>
        <v>#VALUE!</v>
      </c>
      <c r="W1243" t="e">
        <f t="shared" ca="1" si="613"/>
        <v>#VALUE!</v>
      </c>
      <c r="X1243" t="e">
        <f t="shared" ca="1" si="614"/>
        <v>#VALUE!</v>
      </c>
      <c r="Y1243" t="e">
        <f t="shared" ca="1" si="615"/>
        <v>#VALUE!</v>
      </c>
      <c r="Z1243" t="e">
        <f t="shared" ca="1" si="616"/>
        <v>#VALUE!</v>
      </c>
      <c r="AA1243" t="e">
        <f t="shared" ca="1" si="617"/>
        <v>#VALUE!</v>
      </c>
      <c r="AB1243" t="e">
        <f t="shared" ca="1" si="618"/>
        <v>#VALUE!</v>
      </c>
      <c r="AC1243" t="e">
        <f t="shared" ca="1" si="619"/>
        <v>#VALUE!</v>
      </c>
      <c r="AD1243" t="e">
        <f t="shared" ca="1" si="620"/>
        <v>#VALUE!</v>
      </c>
      <c r="AE1243" t="e">
        <f t="shared" ca="1" si="621"/>
        <v>#VALUE!</v>
      </c>
      <c r="AF1243" t="e">
        <f t="shared" ca="1" si="622"/>
        <v>#VALUE!</v>
      </c>
      <c r="AG1243" t="e">
        <f t="shared" ca="1" si="623"/>
        <v>#VALUE!</v>
      </c>
      <c r="AH1243" t="e">
        <f ca="1">IF(V32="Supercritical",L1243,IF(V32="Subcritical",W1243,IF(AND(V1243=1,AG1243=1),IF(T1243&gt;=AE1243,L1243,W1243),IF(V1243=1,L1243,IF(AG1243=1,W1243,MAX($D$16,POWER((ABS(K1243)^2)/($I$5*MAX(F1243,0.1)^2),1/3)))))))</f>
        <v>#VALUE!</v>
      </c>
      <c r="AI1243" t="e">
        <f t="shared" ca="1" si="624"/>
        <v>#VALUE!</v>
      </c>
      <c r="AJ1243" t="e">
        <f t="shared" ca="1" si="625"/>
        <v>#VALUE!</v>
      </c>
      <c r="AM1243">
        <v>0</v>
      </c>
      <c r="AN1243">
        <v>0</v>
      </c>
      <c r="AO1243">
        <f t="shared" si="626"/>
        <v>0</v>
      </c>
      <c r="AP1243">
        <f t="shared" si="635"/>
        <v>0</v>
      </c>
      <c r="AQ1243" t="e">
        <f t="shared" ca="1" si="627"/>
        <v>#VALUE!</v>
      </c>
      <c r="AR1243" t="e">
        <f t="shared" ca="1" si="628"/>
        <v>#VALUE!</v>
      </c>
      <c r="AS1243" t="e">
        <f t="shared" ca="1" si="629"/>
        <v>#VALUE!</v>
      </c>
    </row>
    <row r="1244" spans="1:45" x14ac:dyDescent="0.35">
      <c r="A1244">
        <v>1095</v>
      </c>
      <c r="B1244">
        <v>1093.8889999999999</v>
      </c>
      <c r="C1244">
        <v>616077.19400000002</v>
      </c>
      <c r="D1244">
        <v>3096910.1329999999</v>
      </c>
      <c r="E1244">
        <v>632.01499999999999</v>
      </c>
      <c r="F1244">
        <v>5.2</v>
      </c>
      <c r="G1244">
        <v>0</v>
      </c>
      <c r="H1244" t="s">
        <v>191</v>
      </c>
      <c r="I1244">
        <v>5.7000000000000002E-2</v>
      </c>
      <c r="J1244">
        <f t="shared" si="630"/>
        <v>1</v>
      </c>
      <c r="K1244">
        <f t="shared" si="631"/>
        <v>51</v>
      </c>
      <c r="L1244" t="e">
        <f t="shared" ca="1" si="632"/>
        <v>#VALUE!</v>
      </c>
      <c r="M1244" t="e">
        <f t="shared" ca="1" si="605"/>
        <v>#VALUE!</v>
      </c>
      <c r="N1244" t="e">
        <f t="shared" ca="1" si="606"/>
        <v>#VALUE!</v>
      </c>
      <c r="O1244" t="e">
        <f t="shared" ca="1" si="607"/>
        <v>#VALUE!</v>
      </c>
      <c r="P1244" t="e">
        <f t="shared" ca="1" si="608"/>
        <v>#VALUE!</v>
      </c>
      <c r="Q1244" t="e">
        <f t="shared" ca="1" si="609"/>
        <v>#VALUE!</v>
      </c>
      <c r="R1244" t="e">
        <f t="shared" ca="1" si="610"/>
        <v>#VALUE!</v>
      </c>
      <c r="S1244" t="e">
        <f t="shared" ca="1" si="611"/>
        <v>#VALUE!</v>
      </c>
      <c r="T1244" t="e">
        <f t="shared" ca="1" si="612"/>
        <v>#VALUE!</v>
      </c>
      <c r="U1244" t="e">
        <f t="shared" ca="1" si="633"/>
        <v>#VALUE!</v>
      </c>
      <c r="V1244" t="e">
        <f t="shared" ca="1" si="634"/>
        <v>#VALUE!</v>
      </c>
      <c r="W1244" t="e">
        <f t="shared" ca="1" si="613"/>
        <v>#VALUE!</v>
      </c>
      <c r="X1244" t="e">
        <f t="shared" ca="1" si="614"/>
        <v>#VALUE!</v>
      </c>
      <c r="Y1244" t="e">
        <f t="shared" ca="1" si="615"/>
        <v>#VALUE!</v>
      </c>
      <c r="Z1244" t="e">
        <f t="shared" ca="1" si="616"/>
        <v>#VALUE!</v>
      </c>
      <c r="AA1244" t="e">
        <f t="shared" ca="1" si="617"/>
        <v>#VALUE!</v>
      </c>
      <c r="AB1244" t="e">
        <f t="shared" ca="1" si="618"/>
        <v>#VALUE!</v>
      </c>
      <c r="AC1244" t="e">
        <f t="shared" ca="1" si="619"/>
        <v>#VALUE!</v>
      </c>
      <c r="AD1244" t="e">
        <f t="shared" ca="1" si="620"/>
        <v>#VALUE!</v>
      </c>
      <c r="AE1244" t="e">
        <f t="shared" ca="1" si="621"/>
        <v>#VALUE!</v>
      </c>
      <c r="AF1244" t="e">
        <f t="shared" ca="1" si="622"/>
        <v>#VALUE!</v>
      </c>
      <c r="AG1244" t="e">
        <f t="shared" ca="1" si="623"/>
        <v>#VALUE!</v>
      </c>
      <c r="AH1244" t="e">
        <f ca="1">IF(V32="Supercritical",L1244,IF(V32="Subcritical",W1244,IF(AND(V1244=1,AG1244=1),IF(T1244&gt;=AE1244,L1244,W1244),IF(V1244=1,L1244,IF(AG1244=1,W1244,MAX($D$16,POWER((ABS(K1244)^2)/($I$5*MAX(F1244,0.1)^2),1/3)))))))</f>
        <v>#VALUE!</v>
      </c>
      <c r="AI1244" t="e">
        <f t="shared" ca="1" si="624"/>
        <v>#VALUE!</v>
      </c>
      <c r="AJ1244" t="e">
        <f t="shared" ca="1" si="625"/>
        <v>#VALUE!</v>
      </c>
      <c r="AM1244">
        <v>0</v>
      </c>
      <c r="AN1244">
        <v>0</v>
      </c>
      <c r="AO1244">
        <f t="shared" si="626"/>
        <v>0</v>
      </c>
      <c r="AP1244">
        <f t="shared" si="635"/>
        <v>0</v>
      </c>
      <c r="AQ1244" t="e">
        <f t="shared" ca="1" si="627"/>
        <v>#VALUE!</v>
      </c>
      <c r="AR1244" t="e">
        <f t="shared" ca="1" si="628"/>
        <v>#VALUE!</v>
      </c>
      <c r="AS1244" t="e">
        <f t="shared" ca="1" si="629"/>
        <v>#VALUE!</v>
      </c>
    </row>
    <row r="1245" spans="1:45" x14ac:dyDescent="0.35">
      <c r="A1245">
        <v>1096</v>
      </c>
      <c r="B1245">
        <v>1094.8889999999999</v>
      </c>
      <c r="C1245">
        <v>616077.15099999995</v>
      </c>
      <c r="D1245">
        <v>3096909.1340000001</v>
      </c>
      <c r="E1245">
        <v>632.0145</v>
      </c>
      <c r="F1245">
        <v>5.2</v>
      </c>
      <c r="G1245">
        <v>0</v>
      </c>
      <c r="H1245" t="s">
        <v>191</v>
      </c>
      <c r="I1245">
        <v>5.7000000000000002E-2</v>
      </c>
      <c r="J1245">
        <f t="shared" si="630"/>
        <v>1</v>
      </c>
      <c r="K1245">
        <f t="shared" si="631"/>
        <v>51</v>
      </c>
      <c r="L1245" t="e">
        <f t="shared" ca="1" si="632"/>
        <v>#VALUE!</v>
      </c>
      <c r="M1245" t="e">
        <f t="shared" ca="1" si="605"/>
        <v>#VALUE!</v>
      </c>
      <c r="N1245" t="e">
        <f t="shared" ca="1" si="606"/>
        <v>#VALUE!</v>
      </c>
      <c r="O1245" t="e">
        <f t="shared" ca="1" si="607"/>
        <v>#VALUE!</v>
      </c>
      <c r="P1245" t="e">
        <f t="shared" ca="1" si="608"/>
        <v>#VALUE!</v>
      </c>
      <c r="Q1245" t="e">
        <f t="shared" ca="1" si="609"/>
        <v>#VALUE!</v>
      </c>
      <c r="R1245" t="e">
        <f t="shared" ca="1" si="610"/>
        <v>#VALUE!</v>
      </c>
      <c r="S1245" t="e">
        <f t="shared" ca="1" si="611"/>
        <v>#VALUE!</v>
      </c>
      <c r="T1245" t="e">
        <f t="shared" ca="1" si="612"/>
        <v>#VALUE!</v>
      </c>
      <c r="U1245" t="e">
        <f t="shared" ca="1" si="633"/>
        <v>#VALUE!</v>
      </c>
      <c r="V1245" t="e">
        <f t="shared" ca="1" si="634"/>
        <v>#VALUE!</v>
      </c>
      <c r="W1245" t="e">
        <f t="shared" ca="1" si="613"/>
        <v>#VALUE!</v>
      </c>
      <c r="X1245" t="e">
        <f t="shared" ca="1" si="614"/>
        <v>#VALUE!</v>
      </c>
      <c r="Y1245" t="e">
        <f t="shared" ca="1" si="615"/>
        <v>#VALUE!</v>
      </c>
      <c r="Z1245" t="e">
        <f t="shared" ca="1" si="616"/>
        <v>#VALUE!</v>
      </c>
      <c r="AA1245" t="e">
        <f t="shared" ca="1" si="617"/>
        <v>#VALUE!</v>
      </c>
      <c r="AB1245" t="e">
        <f t="shared" ca="1" si="618"/>
        <v>#VALUE!</v>
      </c>
      <c r="AC1245" t="e">
        <f t="shared" ca="1" si="619"/>
        <v>#VALUE!</v>
      </c>
      <c r="AD1245" t="e">
        <f t="shared" ca="1" si="620"/>
        <v>#VALUE!</v>
      </c>
      <c r="AE1245" t="e">
        <f t="shared" ca="1" si="621"/>
        <v>#VALUE!</v>
      </c>
      <c r="AF1245" t="e">
        <f t="shared" ca="1" si="622"/>
        <v>#VALUE!</v>
      </c>
      <c r="AG1245" t="e">
        <f t="shared" ca="1" si="623"/>
        <v>#VALUE!</v>
      </c>
      <c r="AH1245" t="e">
        <f ca="1">IF(V32="Supercritical",L1245,IF(V32="Subcritical",W1245,IF(AND(V1245=1,AG1245=1),IF(T1245&gt;=AE1245,L1245,W1245),IF(V1245=1,L1245,IF(AG1245=1,W1245,MAX($D$16,POWER((ABS(K1245)^2)/($I$5*MAX(F1245,0.1)^2),1/3)))))))</f>
        <v>#VALUE!</v>
      </c>
      <c r="AI1245" t="e">
        <f t="shared" ca="1" si="624"/>
        <v>#VALUE!</v>
      </c>
      <c r="AJ1245" t="e">
        <f t="shared" ca="1" si="625"/>
        <v>#VALUE!</v>
      </c>
      <c r="AM1245">
        <v>0</v>
      </c>
      <c r="AN1245">
        <v>0</v>
      </c>
      <c r="AO1245">
        <f t="shared" si="626"/>
        <v>0</v>
      </c>
      <c r="AP1245">
        <f t="shared" si="635"/>
        <v>0</v>
      </c>
      <c r="AQ1245" t="e">
        <f t="shared" ca="1" si="627"/>
        <v>#VALUE!</v>
      </c>
      <c r="AR1245" t="e">
        <f t="shared" ca="1" si="628"/>
        <v>#VALUE!</v>
      </c>
      <c r="AS1245" t="e">
        <f t="shared" ca="1" si="629"/>
        <v>#VALUE!</v>
      </c>
    </row>
    <row r="1246" spans="1:45" x14ac:dyDescent="0.35">
      <c r="A1246">
        <v>1097</v>
      </c>
      <c r="B1246">
        <v>1095.8889999999999</v>
      </c>
      <c r="C1246">
        <v>616077.10900000005</v>
      </c>
      <c r="D1246">
        <v>3096908.1349999998</v>
      </c>
      <c r="E1246">
        <v>632.01400000000001</v>
      </c>
      <c r="F1246">
        <v>5.2</v>
      </c>
      <c r="G1246">
        <v>0</v>
      </c>
      <c r="H1246" t="s">
        <v>191</v>
      </c>
      <c r="I1246">
        <v>2E-3</v>
      </c>
      <c r="J1246">
        <f t="shared" si="630"/>
        <v>1</v>
      </c>
      <c r="K1246">
        <f t="shared" si="631"/>
        <v>51</v>
      </c>
      <c r="L1246" t="e">
        <f t="shared" ca="1" si="632"/>
        <v>#VALUE!</v>
      </c>
      <c r="M1246" t="e">
        <f t="shared" ca="1" si="605"/>
        <v>#VALUE!</v>
      </c>
      <c r="N1246" t="e">
        <f t="shared" ca="1" si="606"/>
        <v>#VALUE!</v>
      </c>
      <c r="O1246" t="e">
        <f t="shared" ca="1" si="607"/>
        <v>#VALUE!</v>
      </c>
      <c r="P1246" t="e">
        <f t="shared" ca="1" si="608"/>
        <v>#VALUE!</v>
      </c>
      <c r="Q1246" t="e">
        <f t="shared" ca="1" si="609"/>
        <v>#VALUE!</v>
      </c>
      <c r="R1246" t="e">
        <f t="shared" ca="1" si="610"/>
        <v>#VALUE!</v>
      </c>
      <c r="S1246" t="e">
        <f t="shared" ca="1" si="611"/>
        <v>#VALUE!</v>
      </c>
      <c r="T1246" t="e">
        <f t="shared" ca="1" si="612"/>
        <v>#VALUE!</v>
      </c>
      <c r="U1246" t="e">
        <f t="shared" ca="1" si="633"/>
        <v>#VALUE!</v>
      </c>
      <c r="V1246" t="e">
        <f t="shared" ca="1" si="634"/>
        <v>#VALUE!</v>
      </c>
      <c r="W1246" t="e">
        <f t="shared" ca="1" si="613"/>
        <v>#VALUE!</v>
      </c>
      <c r="X1246" t="e">
        <f t="shared" ca="1" si="614"/>
        <v>#VALUE!</v>
      </c>
      <c r="Y1246" t="e">
        <f t="shared" ca="1" si="615"/>
        <v>#VALUE!</v>
      </c>
      <c r="Z1246" t="e">
        <f t="shared" ca="1" si="616"/>
        <v>#VALUE!</v>
      </c>
      <c r="AA1246" t="e">
        <f t="shared" ca="1" si="617"/>
        <v>#VALUE!</v>
      </c>
      <c r="AB1246" t="e">
        <f t="shared" ca="1" si="618"/>
        <v>#VALUE!</v>
      </c>
      <c r="AC1246" t="e">
        <f t="shared" ca="1" si="619"/>
        <v>#VALUE!</v>
      </c>
      <c r="AD1246" t="e">
        <f t="shared" ca="1" si="620"/>
        <v>#VALUE!</v>
      </c>
      <c r="AE1246" t="e">
        <f t="shared" ca="1" si="621"/>
        <v>#VALUE!</v>
      </c>
      <c r="AF1246" t="e">
        <f t="shared" ca="1" si="622"/>
        <v>#VALUE!</v>
      </c>
      <c r="AG1246" t="e">
        <f t="shared" ca="1" si="623"/>
        <v>#VALUE!</v>
      </c>
      <c r="AH1246" t="e">
        <f ca="1">IF(V32="Supercritical",L1246,IF(V32="Subcritical",W1246,IF(AND(V1246=1,AG1246=1),IF(T1246&gt;=AE1246,L1246,W1246),IF(V1246=1,L1246,IF(AG1246=1,W1246,MAX($D$16,POWER((ABS(K1246)^2)/($I$5*MAX(F1246,0.1)^2),1/3)))))))</f>
        <v>#VALUE!</v>
      </c>
      <c r="AI1246" t="e">
        <f t="shared" ca="1" si="624"/>
        <v>#VALUE!</v>
      </c>
      <c r="AJ1246" t="e">
        <f t="shared" ca="1" si="625"/>
        <v>#VALUE!</v>
      </c>
      <c r="AM1246">
        <v>0</v>
      </c>
      <c r="AN1246">
        <v>0</v>
      </c>
      <c r="AO1246">
        <f t="shared" si="626"/>
        <v>0</v>
      </c>
      <c r="AP1246">
        <f t="shared" si="635"/>
        <v>0</v>
      </c>
      <c r="AQ1246" t="e">
        <f t="shared" ca="1" si="627"/>
        <v>#VALUE!</v>
      </c>
      <c r="AR1246" t="e">
        <f t="shared" ca="1" si="628"/>
        <v>#VALUE!</v>
      </c>
      <c r="AS1246" t="e">
        <f t="shared" ca="1" si="629"/>
        <v>#VALUE!</v>
      </c>
    </row>
    <row r="1247" spans="1:45" x14ac:dyDescent="0.35">
      <c r="A1247">
        <v>1098</v>
      </c>
      <c r="B1247">
        <v>1096.8900000000001</v>
      </c>
      <c r="C1247">
        <v>616077.06700000004</v>
      </c>
      <c r="D1247">
        <v>3096907.1349999998</v>
      </c>
      <c r="E1247">
        <v>632.01350000000002</v>
      </c>
      <c r="F1247">
        <v>5.2</v>
      </c>
      <c r="G1247">
        <v>0</v>
      </c>
      <c r="H1247" t="s">
        <v>191</v>
      </c>
      <c r="I1247">
        <v>2E-3</v>
      </c>
      <c r="J1247">
        <f t="shared" si="630"/>
        <v>1.0010000000002037</v>
      </c>
      <c r="K1247">
        <f t="shared" si="631"/>
        <v>51</v>
      </c>
      <c r="L1247" t="e">
        <f t="shared" ca="1" si="632"/>
        <v>#VALUE!</v>
      </c>
      <c r="M1247" t="e">
        <f t="shared" ca="1" si="605"/>
        <v>#VALUE!</v>
      </c>
      <c r="N1247" t="e">
        <f t="shared" ca="1" si="606"/>
        <v>#VALUE!</v>
      </c>
      <c r="O1247" t="e">
        <f t="shared" ca="1" si="607"/>
        <v>#VALUE!</v>
      </c>
      <c r="P1247" t="e">
        <f t="shared" ca="1" si="608"/>
        <v>#VALUE!</v>
      </c>
      <c r="Q1247" t="e">
        <f t="shared" ca="1" si="609"/>
        <v>#VALUE!</v>
      </c>
      <c r="R1247" t="e">
        <f t="shared" ca="1" si="610"/>
        <v>#VALUE!</v>
      </c>
      <c r="S1247" t="e">
        <f t="shared" ca="1" si="611"/>
        <v>#VALUE!</v>
      </c>
      <c r="T1247" t="e">
        <f t="shared" ca="1" si="612"/>
        <v>#VALUE!</v>
      </c>
      <c r="U1247" t="e">
        <f t="shared" ca="1" si="633"/>
        <v>#VALUE!</v>
      </c>
      <c r="V1247" t="e">
        <f t="shared" ca="1" si="634"/>
        <v>#VALUE!</v>
      </c>
      <c r="W1247" t="e">
        <f t="shared" ca="1" si="613"/>
        <v>#VALUE!</v>
      </c>
      <c r="X1247" t="e">
        <f t="shared" ca="1" si="614"/>
        <v>#VALUE!</v>
      </c>
      <c r="Y1247" t="e">
        <f t="shared" ca="1" si="615"/>
        <v>#VALUE!</v>
      </c>
      <c r="Z1247" t="e">
        <f t="shared" ca="1" si="616"/>
        <v>#VALUE!</v>
      </c>
      <c r="AA1247" t="e">
        <f t="shared" ca="1" si="617"/>
        <v>#VALUE!</v>
      </c>
      <c r="AB1247" t="e">
        <f t="shared" ca="1" si="618"/>
        <v>#VALUE!</v>
      </c>
      <c r="AC1247" t="e">
        <f t="shared" ca="1" si="619"/>
        <v>#VALUE!</v>
      </c>
      <c r="AD1247" t="e">
        <f t="shared" ca="1" si="620"/>
        <v>#VALUE!</v>
      </c>
      <c r="AE1247" t="e">
        <f t="shared" ca="1" si="621"/>
        <v>#VALUE!</v>
      </c>
      <c r="AF1247" t="e">
        <f t="shared" ca="1" si="622"/>
        <v>#VALUE!</v>
      </c>
      <c r="AG1247" t="e">
        <f t="shared" ca="1" si="623"/>
        <v>#VALUE!</v>
      </c>
      <c r="AH1247" t="e">
        <f ca="1">IF(V32="Supercritical",L1247,IF(V32="Subcritical",W1247,IF(AND(V1247=1,AG1247=1),IF(T1247&gt;=AE1247,L1247,W1247),IF(V1247=1,L1247,IF(AG1247=1,W1247,MAX($D$16,POWER((ABS(K1247)^2)/($I$5*MAX(F1247,0.1)^2),1/3)))))))</f>
        <v>#VALUE!</v>
      </c>
      <c r="AI1247" t="e">
        <f t="shared" ca="1" si="624"/>
        <v>#VALUE!</v>
      </c>
      <c r="AJ1247" t="e">
        <f t="shared" ca="1" si="625"/>
        <v>#VALUE!</v>
      </c>
      <c r="AM1247">
        <v>0</v>
      </c>
      <c r="AN1247">
        <v>0</v>
      </c>
      <c r="AO1247">
        <f t="shared" si="626"/>
        <v>0</v>
      </c>
      <c r="AP1247">
        <f t="shared" si="635"/>
        <v>0</v>
      </c>
      <c r="AQ1247" t="e">
        <f t="shared" ca="1" si="627"/>
        <v>#VALUE!</v>
      </c>
      <c r="AR1247" t="e">
        <f t="shared" ca="1" si="628"/>
        <v>#VALUE!</v>
      </c>
      <c r="AS1247" t="e">
        <f t="shared" ca="1" si="629"/>
        <v>#VALUE!</v>
      </c>
    </row>
    <row r="1248" spans="1:45" x14ac:dyDescent="0.35">
      <c r="A1248">
        <v>1099</v>
      </c>
      <c r="B1248">
        <v>1097.8900000000001</v>
      </c>
      <c r="C1248">
        <v>616077.02500000002</v>
      </c>
      <c r="D1248">
        <v>3096906.1359999999</v>
      </c>
      <c r="E1248">
        <v>632.01300000000003</v>
      </c>
      <c r="F1248">
        <v>5.2</v>
      </c>
      <c r="G1248">
        <v>0</v>
      </c>
      <c r="H1248" t="s">
        <v>191</v>
      </c>
      <c r="I1248">
        <v>5.7000000000000002E-2</v>
      </c>
      <c r="J1248">
        <f t="shared" si="630"/>
        <v>1</v>
      </c>
      <c r="K1248">
        <f t="shared" si="631"/>
        <v>51</v>
      </c>
      <c r="L1248" t="e">
        <f t="shared" ca="1" si="632"/>
        <v>#VALUE!</v>
      </c>
      <c r="M1248" t="e">
        <f t="shared" ca="1" si="605"/>
        <v>#VALUE!</v>
      </c>
      <c r="N1248" t="e">
        <f t="shared" ca="1" si="606"/>
        <v>#VALUE!</v>
      </c>
      <c r="O1248" t="e">
        <f t="shared" ca="1" si="607"/>
        <v>#VALUE!</v>
      </c>
      <c r="P1248" t="e">
        <f t="shared" ca="1" si="608"/>
        <v>#VALUE!</v>
      </c>
      <c r="Q1248" t="e">
        <f t="shared" ca="1" si="609"/>
        <v>#VALUE!</v>
      </c>
      <c r="R1248" t="e">
        <f t="shared" ca="1" si="610"/>
        <v>#VALUE!</v>
      </c>
      <c r="S1248" t="e">
        <f t="shared" ca="1" si="611"/>
        <v>#VALUE!</v>
      </c>
      <c r="T1248" t="e">
        <f t="shared" ca="1" si="612"/>
        <v>#VALUE!</v>
      </c>
      <c r="U1248" t="e">
        <f t="shared" ca="1" si="633"/>
        <v>#VALUE!</v>
      </c>
      <c r="V1248" t="e">
        <f t="shared" ca="1" si="634"/>
        <v>#VALUE!</v>
      </c>
      <c r="W1248" t="e">
        <f t="shared" ca="1" si="613"/>
        <v>#VALUE!</v>
      </c>
      <c r="X1248" t="e">
        <f t="shared" ca="1" si="614"/>
        <v>#VALUE!</v>
      </c>
      <c r="Y1248" t="e">
        <f t="shared" ca="1" si="615"/>
        <v>#VALUE!</v>
      </c>
      <c r="Z1248" t="e">
        <f t="shared" ca="1" si="616"/>
        <v>#VALUE!</v>
      </c>
      <c r="AA1248" t="e">
        <f t="shared" ca="1" si="617"/>
        <v>#VALUE!</v>
      </c>
      <c r="AB1248" t="e">
        <f t="shared" ca="1" si="618"/>
        <v>#VALUE!</v>
      </c>
      <c r="AC1248" t="e">
        <f t="shared" ca="1" si="619"/>
        <v>#VALUE!</v>
      </c>
      <c r="AD1248" t="e">
        <f t="shared" ca="1" si="620"/>
        <v>#VALUE!</v>
      </c>
      <c r="AE1248" t="e">
        <f t="shared" ca="1" si="621"/>
        <v>#VALUE!</v>
      </c>
      <c r="AF1248" t="e">
        <f t="shared" ca="1" si="622"/>
        <v>#VALUE!</v>
      </c>
      <c r="AG1248" t="e">
        <f t="shared" ca="1" si="623"/>
        <v>#VALUE!</v>
      </c>
      <c r="AH1248" t="e">
        <f ca="1">IF(V32="Supercritical",L1248,IF(V32="Subcritical",W1248,IF(AND(V1248=1,AG1248=1),IF(T1248&gt;=AE1248,L1248,W1248),IF(V1248=1,L1248,IF(AG1248=1,W1248,MAX($D$16,POWER((ABS(K1248)^2)/($I$5*MAX(F1248,0.1)^2),1/3)))))))</f>
        <v>#VALUE!</v>
      </c>
      <c r="AI1248" t="e">
        <f t="shared" ca="1" si="624"/>
        <v>#VALUE!</v>
      </c>
      <c r="AJ1248" t="e">
        <f t="shared" ca="1" si="625"/>
        <v>#VALUE!</v>
      </c>
      <c r="AM1248">
        <v>0</v>
      </c>
      <c r="AN1248">
        <v>0</v>
      </c>
      <c r="AO1248">
        <f t="shared" si="626"/>
        <v>0</v>
      </c>
      <c r="AP1248">
        <f t="shared" si="635"/>
        <v>0</v>
      </c>
      <c r="AQ1248" t="e">
        <f t="shared" ca="1" si="627"/>
        <v>#VALUE!</v>
      </c>
      <c r="AR1248" t="e">
        <f t="shared" ca="1" si="628"/>
        <v>#VALUE!</v>
      </c>
      <c r="AS1248" t="e">
        <f t="shared" ca="1" si="629"/>
        <v>#VALUE!</v>
      </c>
    </row>
    <row r="1249" spans="1:45" x14ac:dyDescent="0.35">
      <c r="A1249">
        <v>1100</v>
      </c>
      <c r="B1249">
        <v>1098.8889999999999</v>
      </c>
      <c r="C1249">
        <v>616076.98199999996</v>
      </c>
      <c r="D1249">
        <v>3096905.1370000001</v>
      </c>
      <c r="E1249">
        <v>632.01250000000005</v>
      </c>
      <c r="F1249">
        <v>5.2</v>
      </c>
      <c r="G1249">
        <v>0</v>
      </c>
      <c r="H1249" t="s">
        <v>191</v>
      </c>
      <c r="I1249">
        <v>5.7000000000000002E-2</v>
      </c>
      <c r="J1249">
        <f t="shared" si="630"/>
        <v>0.99899999999979627</v>
      </c>
      <c r="K1249">
        <f t="shared" si="631"/>
        <v>51</v>
      </c>
      <c r="L1249" t="e">
        <f t="shared" ca="1" si="632"/>
        <v>#VALUE!</v>
      </c>
      <c r="M1249" t="e">
        <f t="shared" ca="1" si="605"/>
        <v>#VALUE!</v>
      </c>
      <c r="N1249" t="e">
        <f t="shared" ca="1" si="606"/>
        <v>#VALUE!</v>
      </c>
      <c r="O1249" t="e">
        <f t="shared" ca="1" si="607"/>
        <v>#VALUE!</v>
      </c>
      <c r="P1249" t="e">
        <f t="shared" ca="1" si="608"/>
        <v>#VALUE!</v>
      </c>
      <c r="Q1249" t="e">
        <f t="shared" ca="1" si="609"/>
        <v>#VALUE!</v>
      </c>
      <c r="R1249" t="e">
        <f t="shared" ca="1" si="610"/>
        <v>#VALUE!</v>
      </c>
      <c r="S1249" t="e">
        <f t="shared" ca="1" si="611"/>
        <v>#VALUE!</v>
      </c>
      <c r="T1249" t="e">
        <f t="shared" ca="1" si="612"/>
        <v>#VALUE!</v>
      </c>
      <c r="U1249" t="e">
        <f t="shared" ca="1" si="633"/>
        <v>#VALUE!</v>
      </c>
      <c r="V1249" t="e">
        <f t="shared" ca="1" si="634"/>
        <v>#VALUE!</v>
      </c>
      <c r="W1249" t="e">
        <f t="shared" ca="1" si="613"/>
        <v>#VALUE!</v>
      </c>
      <c r="X1249" t="e">
        <f t="shared" ca="1" si="614"/>
        <v>#VALUE!</v>
      </c>
      <c r="Y1249" t="e">
        <f t="shared" ca="1" si="615"/>
        <v>#VALUE!</v>
      </c>
      <c r="Z1249" t="e">
        <f t="shared" ca="1" si="616"/>
        <v>#VALUE!</v>
      </c>
      <c r="AA1249" t="e">
        <f t="shared" ca="1" si="617"/>
        <v>#VALUE!</v>
      </c>
      <c r="AB1249" t="e">
        <f t="shared" ca="1" si="618"/>
        <v>#VALUE!</v>
      </c>
      <c r="AC1249" t="e">
        <f t="shared" ca="1" si="619"/>
        <v>#VALUE!</v>
      </c>
      <c r="AD1249" t="e">
        <f t="shared" ca="1" si="620"/>
        <v>#VALUE!</v>
      </c>
      <c r="AE1249" t="e">
        <f t="shared" ca="1" si="621"/>
        <v>#VALUE!</v>
      </c>
      <c r="AF1249" t="e">
        <f t="shared" ca="1" si="622"/>
        <v>#VALUE!</v>
      </c>
      <c r="AG1249" t="e">
        <f t="shared" ca="1" si="623"/>
        <v>#VALUE!</v>
      </c>
      <c r="AH1249" t="e">
        <f ca="1">IF(V32="Supercritical",L1249,IF(V32="Subcritical",W1249,IF(AND(V1249=1,AG1249=1),IF(T1249&gt;=AE1249,L1249,W1249),IF(V1249=1,L1249,IF(AG1249=1,W1249,MAX($D$16,POWER((ABS(K1249)^2)/($I$5*MAX(F1249,0.1)^2),1/3)))))))</f>
        <v>#VALUE!</v>
      </c>
      <c r="AI1249" t="e">
        <f t="shared" ca="1" si="624"/>
        <v>#VALUE!</v>
      </c>
      <c r="AJ1249" t="e">
        <f t="shared" ca="1" si="625"/>
        <v>#VALUE!</v>
      </c>
      <c r="AM1249">
        <v>0</v>
      </c>
      <c r="AN1249">
        <v>0</v>
      </c>
      <c r="AO1249">
        <f t="shared" si="626"/>
        <v>0</v>
      </c>
      <c r="AP1249">
        <f t="shared" si="635"/>
        <v>0</v>
      </c>
      <c r="AQ1249" t="e">
        <f t="shared" ca="1" si="627"/>
        <v>#VALUE!</v>
      </c>
      <c r="AR1249" t="e">
        <f t="shared" ca="1" si="628"/>
        <v>#VALUE!</v>
      </c>
      <c r="AS1249" t="e">
        <f t="shared" ca="1" si="629"/>
        <v>#VALUE!</v>
      </c>
    </row>
    <row r="1250" spans="1:45" x14ac:dyDescent="0.35">
      <c r="A1250">
        <v>1101</v>
      </c>
      <c r="B1250">
        <v>1099.8889999999999</v>
      </c>
      <c r="C1250">
        <v>616076.93999999994</v>
      </c>
      <c r="D1250">
        <v>3096904.1379999998</v>
      </c>
      <c r="E1250">
        <v>632.01199999999994</v>
      </c>
      <c r="F1250">
        <v>5.2</v>
      </c>
      <c r="G1250">
        <v>0</v>
      </c>
      <c r="H1250" t="s">
        <v>191</v>
      </c>
      <c r="I1250">
        <v>0</v>
      </c>
      <c r="J1250">
        <f t="shared" si="630"/>
        <v>1</v>
      </c>
      <c r="K1250">
        <f t="shared" si="631"/>
        <v>51</v>
      </c>
      <c r="L1250" t="e">
        <f t="shared" ca="1" si="632"/>
        <v>#VALUE!</v>
      </c>
      <c r="M1250" t="e">
        <f t="shared" ca="1" si="605"/>
        <v>#VALUE!</v>
      </c>
      <c r="N1250" t="e">
        <f t="shared" ca="1" si="606"/>
        <v>#VALUE!</v>
      </c>
      <c r="O1250" t="e">
        <f t="shared" ca="1" si="607"/>
        <v>#VALUE!</v>
      </c>
      <c r="P1250" t="e">
        <f t="shared" ca="1" si="608"/>
        <v>#VALUE!</v>
      </c>
      <c r="Q1250" t="e">
        <f t="shared" ca="1" si="609"/>
        <v>#VALUE!</v>
      </c>
      <c r="R1250" t="e">
        <f t="shared" ca="1" si="610"/>
        <v>#VALUE!</v>
      </c>
      <c r="S1250" t="e">
        <f t="shared" ca="1" si="611"/>
        <v>#VALUE!</v>
      </c>
      <c r="T1250" t="e">
        <f t="shared" ca="1" si="612"/>
        <v>#VALUE!</v>
      </c>
      <c r="U1250" t="e">
        <f t="shared" ca="1" si="633"/>
        <v>#VALUE!</v>
      </c>
      <c r="V1250" t="e">
        <f t="shared" ca="1" si="634"/>
        <v>#VALUE!</v>
      </c>
      <c r="W1250" t="e">
        <f t="shared" ca="1" si="613"/>
        <v>#VALUE!</v>
      </c>
      <c r="X1250" t="e">
        <f t="shared" ca="1" si="614"/>
        <v>#VALUE!</v>
      </c>
      <c r="Y1250" t="e">
        <f t="shared" ca="1" si="615"/>
        <v>#VALUE!</v>
      </c>
      <c r="Z1250" t="e">
        <f t="shared" ca="1" si="616"/>
        <v>#VALUE!</v>
      </c>
      <c r="AA1250" t="e">
        <f t="shared" ca="1" si="617"/>
        <v>#VALUE!</v>
      </c>
      <c r="AB1250" t="e">
        <f t="shared" ca="1" si="618"/>
        <v>#VALUE!</v>
      </c>
      <c r="AC1250" t="e">
        <f t="shared" ca="1" si="619"/>
        <v>#VALUE!</v>
      </c>
      <c r="AD1250" t="e">
        <f t="shared" ca="1" si="620"/>
        <v>#VALUE!</v>
      </c>
      <c r="AE1250" t="e">
        <f t="shared" ca="1" si="621"/>
        <v>#VALUE!</v>
      </c>
      <c r="AF1250" t="e">
        <f t="shared" ca="1" si="622"/>
        <v>#VALUE!</v>
      </c>
      <c r="AG1250" t="e">
        <f t="shared" ca="1" si="623"/>
        <v>#VALUE!</v>
      </c>
      <c r="AH1250" t="e">
        <f ca="1">IF(V32="Supercritical",L1250,IF(V32="Subcritical",W1250,IF(AND(V1250=1,AG1250=1),IF(T1250&gt;=AE1250,L1250,W1250),IF(V1250=1,L1250,IF(AG1250=1,W1250,MAX($D$16,POWER((ABS(K1250)^2)/($I$5*MAX(F1250,0.1)^2),1/3)))))))</f>
        <v>#VALUE!</v>
      </c>
      <c r="AI1250" t="e">
        <f t="shared" ca="1" si="624"/>
        <v>#VALUE!</v>
      </c>
      <c r="AJ1250" t="e">
        <f t="shared" ca="1" si="625"/>
        <v>#VALUE!</v>
      </c>
      <c r="AM1250">
        <v>0</v>
      </c>
      <c r="AN1250">
        <v>0</v>
      </c>
      <c r="AO1250">
        <f t="shared" si="626"/>
        <v>0</v>
      </c>
      <c r="AP1250">
        <f t="shared" si="635"/>
        <v>0</v>
      </c>
      <c r="AQ1250" t="e">
        <f t="shared" ca="1" si="627"/>
        <v>#VALUE!</v>
      </c>
      <c r="AR1250" t="e">
        <f t="shared" ca="1" si="628"/>
        <v>#VALUE!</v>
      </c>
      <c r="AS1250" t="e">
        <f t="shared" ca="1" si="629"/>
        <v>#VALUE!</v>
      </c>
    </row>
    <row r="1251" spans="1:45" x14ac:dyDescent="0.35">
      <c r="A1251">
        <v>1102</v>
      </c>
      <c r="B1251">
        <v>1100.8889999999999</v>
      </c>
      <c r="C1251">
        <v>616076.89800000004</v>
      </c>
      <c r="D1251">
        <v>3096903.139</v>
      </c>
      <c r="E1251">
        <v>632.01149999999996</v>
      </c>
      <c r="F1251">
        <v>5.2</v>
      </c>
      <c r="G1251">
        <v>0</v>
      </c>
      <c r="H1251" t="s">
        <v>191</v>
      </c>
      <c r="I1251">
        <v>0</v>
      </c>
      <c r="J1251">
        <f t="shared" si="630"/>
        <v>1</v>
      </c>
      <c r="K1251">
        <f t="shared" si="631"/>
        <v>51</v>
      </c>
      <c r="L1251" t="e">
        <f t="shared" ca="1" si="632"/>
        <v>#VALUE!</v>
      </c>
      <c r="M1251" t="e">
        <f t="shared" ca="1" si="605"/>
        <v>#VALUE!</v>
      </c>
      <c r="N1251" t="e">
        <f t="shared" ca="1" si="606"/>
        <v>#VALUE!</v>
      </c>
      <c r="O1251" t="e">
        <f t="shared" ca="1" si="607"/>
        <v>#VALUE!</v>
      </c>
      <c r="P1251" t="e">
        <f t="shared" ca="1" si="608"/>
        <v>#VALUE!</v>
      </c>
      <c r="Q1251" t="e">
        <f t="shared" ca="1" si="609"/>
        <v>#VALUE!</v>
      </c>
      <c r="R1251" t="e">
        <f t="shared" ca="1" si="610"/>
        <v>#VALUE!</v>
      </c>
      <c r="S1251" t="e">
        <f t="shared" ca="1" si="611"/>
        <v>#VALUE!</v>
      </c>
      <c r="T1251" t="e">
        <f t="shared" ca="1" si="612"/>
        <v>#VALUE!</v>
      </c>
      <c r="U1251" t="e">
        <f t="shared" ca="1" si="633"/>
        <v>#VALUE!</v>
      </c>
      <c r="V1251" t="e">
        <f t="shared" ca="1" si="634"/>
        <v>#VALUE!</v>
      </c>
      <c r="W1251" t="e">
        <f t="shared" ca="1" si="613"/>
        <v>#VALUE!</v>
      </c>
      <c r="X1251" t="e">
        <f t="shared" ca="1" si="614"/>
        <v>#VALUE!</v>
      </c>
      <c r="Y1251" t="e">
        <f t="shared" ca="1" si="615"/>
        <v>#VALUE!</v>
      </c>
      <c r="Z1251" t="e">
        <f t="shared" ca="1" si="616"/>
        <v>#VALUE!</v>
      </c>
      <c r="AA1251" t="e">
        <f t="shared" ca="1" si="617"/>
        <v>#VALUE!</v>
      </c>
      <c r="AB1251" t="e">
        <f t="shared" ca="1" si="618"/>
        <v>#VALUE!</v>
      </c>
      <c r="AC1251" t="e">
        <f t="shared" ca="1" si="619"/>
        <v>#VALUE!</v>
      </c>
      <c r="AD1251" t="e">
        <f t="shared" ca="1" si="620"/>
        <v>#VALUE!</v>
      </c>
      <c r="AE1251" t="e">
        <f t="shared" ca="1" si="621"/>
        <v>#VALUE!</v>
      </c>
      <c r="AF1251" t="e">
        <f t="shared" ca="1" si="622"/>
        <v>#VALUE!</v>
      </c>
      <c r="AG1251" t="e">
        <f t="shared" ca="1" si="623"/>
        <v>#VALUE!</v>
      </c>
      <c r="AH1251" t="e">
        <f ca="1">IF(V32="Supercritical",L1251,IF(V32="Subcritical",W1251,IF(AND(V1251=1,AG1251=1),IF(T1251&gt;=AE1251,L1251,W1251),IF(V1251=1,L1251,IF(AG1251=1,W1251,MAX($D$16,POWER((ABS(K1251)^2)/($I$5*MAX(F1251,0.1)^2),1/3)))))))</f>
        <v>#VALUE!</v>
      </c>
      <c r="AI1251" t="e">
        <f t="shared" ca="1" si="624"/>
        <v>#VALUE!</v>
      </c>
      <c r="AJ1251" t="e">
        <f t="shared" ca="1" si="625"/>
        <v>#VALUE!</v>
      </c>
      <c r="AM1251">
        <v>0</v>
      </c>
      <c r="AN1251">
        <v>0</v>
      </c>
      <c r="AO1251">
        <f t="shared" si="626"/>
        <v>0</v>
      </c>
      <c r="AP1251">
        <f t="shared" si="635"/>
        <v>0</v>
      </c>
      <c r="AQ1251" t="e">
        <f t="shared" ca="1" si="627"/>
        <v>#VALUE!</v>
      </c>
      <c r="AR1251" t="e">
        <f t="shared" ca="1" si="628"/>
        <v>#VALUE!</v>
      </c>
      <c r="AS1251" t="e">
        <f t="shared" ca="1" si="629"/>
        <v>#VALUE!</v>
      </c>
    </row>
    <row r="1252" spans="1:45" x14ac:dyDescent="0.35">
      <c r="A1252">
        <v>1103</v>
      </c>
      <c r="B1252">
        <v>1101.8889999999999</v>
      </c>
      <c r="C1252">
        <v>616076.85600000003</v>
      </c>
      <c r="D1252">
        <v>3096902.14</v>
      </c>
      <c r="E1252">
        <v>632.01099999999997</v>
      </c>
      <c r="F1252">
        <v>5.2</v>
      </c>
      <c r="G1252">
        <v>0</v>
      </c>
      <c r="H1252" t="s">
        <v>191</v>
      </c>
      <c r="I1252">
        <v>5.7000000000000002E-2</v>
      </c>
      <c r="J1252">
        <f t="shared" si="630"/>
        <v>1</v>
      </c>
      <c r="K1252">
        <f t="shared" si="631"/>
        <v>51</v>
      </c>
      <c r="L1252" t="e">
        <f t="shared" ca="1" si="632"/>
        <v>#VALUE!</v>
      </c>
      <c r="M1252" t="e">
        <f t="shared" ca="1" si="605"/>
        <v>#VALUE!</v>
      </c>
      <c r="N1252" t="e">
        <f t="shared" ca="1" si="606"/>
        <v>#VALUE!</v>
      </c>
      <c r="O1252" t="e">
        <f t="shared" ca="1" si="607"/>
        <v>#VALUE!</v>
      </c>
      <c r="P1252" t="e">
        <f t="shared" ca="1" si="608"/>
        <v>#VALUE!</v>
      </c>
      <c r="Q1252" t="e">
        <f t="shared" ca="1" si="609"/>
        <v>#VALUE!</v>
      </c>
      <c r="R1252" t="e">
        <f t="shared" ca="1" si="610"/>
        <v>#VALUE!</v>
      </c>
      <c r="S1252" t="e">
        <f t="shared" ca="1" si="611"/>
        <v>#VALUE!</v>
      </c>
      <c r="T1252" t="e">
        <f t="shared" ca="1" si="612"/>
        <v>#VALUE!</v>
      </c>
      <c r="U1252" t="e">
        <f t="shared" ca="1" si="633"/>
        <v>#VALUE!</v>
      </c>
      <c r="V1252" t="e">
        <f t="shared" ca="1" si="634"/>
        <v>#VALUE!</v>
      </c>
      <c r="W1252" t="e">
        <f t="shared" ca="1" si="613"/>
        <v>#VALUE!</v>
      </c>
      <c r="X1252" t="e">
        <f t="shared" ca="1" si="614"/>
        <v>#VALUE!</v>
      </c>
      <c r="Y1252" t="e">
        <f t="shared" ca="1" si="615"/>
        <v>#VALUE!</v>
      </c>
      <c r="Z1252" t="e">
        <f t="shared" ca="1" si="616"/>
        <v>#VALUE!</v>
      </c>
      <c r="AA1252" t="e">
        <f t="shared" ca="1" si="617"/>
        <v>#VALUE!</v>
      </c>
      <c r="AB1252" t="e">
        <f t="shared" ca="1" si="618"/>
        <v>#VALUE!</v>
      </c>
      <c r="AC1252" t="e">
        <f t="shared" ca="1" si="619"/>
        <v>#VALUE!</v>
      </c>
      <c r="AD1252" t="e">
        <f t="shared" ca="1" si="620"/>
        <v>#VALUE!</v>
      </c>
      <c r="AE1252" t="e">
        <f t="shared" ca="1" si="621"/>
        <v>#VALUE!</v>
      </c>
      <c r="AF1252" t="e">
        <f t="shared" ca="1" si="622"/>
        <v>#VALUE!</v>
      </c>
      <c r="AG1252" t="e">
        <f t="shared" ca="1" si="623"/>
        <v>#VALUE!</v>
      </c>
      <c r="AH1252" t="e">
        <f ca="1">IF(V32="Supercritical",L1252,IF(V32="Subcritical",W1252,IF(AND(V1252=1,AG1252=1),IF(T1252&gt;=AE1252,L1252,W1252),IF(V1252=1,L1252,IF(AG1252=1,W1252,MAX($D$16,POWER((ABS(K1252)^2)/($I$5*MAX(F1252,0.1)^2),1/3)))))))</f>
        <v>#VALUE!</v>
      </c>
      <c r="AI1252" t="e">
        <f t="shared" ca="1" si="624"/>
        <v>#VALUE!</v>
      </c>
      <c r="AJ1252" t="e">
        <f t="shared" ca="1" si="625"/>
        <v>#VALUE!</v>
      </c>
      <c r="AM1252">
        <v>0</v>
      </c>
      <c r="AN1252">
        <v>0</v>
      </c>
      <c r="AO1252">
        <f t="shared" si="626"/>
        <v>0</v>
      </c>
      <c r="AP1252">
        <f t="shared" si="635"/>
        <v>0</v>
      </c>
      <c r="AQ1252" t="e">
        <f t="shared" ca="1" si="627"/>
        <v>#VALUE!</v>
      </c>
      <c r="AR1252" t="e">
        <f t="shared" ca="1" si="628"/>
        <v>#VALUE!</v>
      </c>
      <c r="AS1252" t="e">
        <f t="shared" ca="1" si="629"/>
        <v>#VALUE!</v>
      </c>
    </row>
    <row r="1253" spans="1:45" x14ac:dyDescent="0.35">
      <c r="A1253">
        <v>1104</v>
      </c>
      <c r="B1253">
        <v>1102.8889999999999</v>
      </c>
      <c r="C1253">
        <v>616076.81299999997</v>
      </c>
      <c r="D1253">
        <v>3096901.1409999998</v>
      </c>
      <c r="E1253">
        <v>632.01049999999998</v>
      </c>
      <c r="F1253">
        <v>5.2</v>
      </c>
      <c r="G1253">
        <v>0</v>
      </c>
      <c r="H1253" t="s">
        <v>191</v>
      </c>
      <c r="I1253">
        <v>5.7000000000000002E-2</v>
      </c>
      <c r="J1253">
        <f t="shared" si="630"/>
        <v>1</v>
      </c>
      <c r="K1253">
        <f t="shared" si="631"/>
        <v>51</v>
      </c>
      <c r="L1253" t="e">
        <f t="shared" ca="1" si="632"/>
        <v>#VALUE!</v>
      </c>
      <c r="M1253" t="e">
        <f t="shared" ca="1" si="605"/>
        <v>#VALUE!</v>
      </c>
      <c r="N1253" t="e">
        <f t="shared" ca="1" si="606"/>
        <v>#VALUE!</v>
      </c>
      <c r="O1253" t="e">
        <f t="shared" ca="1" si="607"/>
        <v>#VALUE!</v>
      </c>
      <c r="P1253" t="e">
        <f t="shared" ca="1" si="608"/>
        <v>#VALUE!</v>
      </c>
      <c r="Q1253" t="e">
        <f t="shared" ca="1" si="609"/>
        <v>#VALUE!</v>
      </c>
      <c r="R1253" t="e">
        <f t="shared" ca="1" si="610"/>
        <v>#VALUE!</v>
      </c>
      <c r="S1253" t="e">
        <f t="shared" ca="1" si="611"/>
        <v>#VALUE!</v>
      </c>
      <c r="T1253" t="e">
        <f t="shared" ca="1" si="612"/>
        <v>#VALUE!</v>
      </c>
      <c r="U1253" t="e">
        <f t="shared" ca="1" si="633"/>
        <v>#VALUE!</v>
      </c>
      <c r="V1253" t="e">
        <f t="shared" ca="1" si="634"/>
        <v>#VALUE!</v>
      </c>
      <c r="W1253" t="e">
        <f t="shared" ca="1" si="613"/>
        <v>#VALUE!</v>
      </c>
      <c r="X1253" t="e">
        <f t="shared" ca="1" si="614"/>
        <v>#VALUE!</v>
      </c>
      <c r="Y1253" t="e">
        <f t="shared" ca="1" si="615"/>
        <v>#VALUE!</v>
      </c>
      <c r="Z1253" t="e">
        <f t="shared" ca="1" si="616"/>
        <v>#VALUE!</v>
      </c>
      <c r="AA1253" t="e">
        <f t="shared" ca="1" si="617"/>
        <v>#VALUE!</v>
      </c>
      <c r="AB1253" t="e">
        <f t="shared" ca="1" si="618"/>
        <v>#VALUE!</v>
      </c>
      <c r="AC1253" t="e">
        <f t="shared" ca="1" si="619"/>
        <v>#VALUE!</v>
      </c>
      <c r="AD1253" t="e">
        <f t="shared" ca="1" si="620"/>
        <v>#VALUE!</v>
      </c>
      <c r="AE1253" t="e">
        <f t="shared" ca="1" si="621"/>
        <v>#VALUE!</v>
      </c>
      <c r="AF1253" t="e">
        <f t="shared" ca="1" si="622"/>
        <v>#VALUE!</v>
      </c>
      <c r="AG1253" t="e">
        <f t="shared" ca="1" si="623"/>
        <v>#VALUE!</v>
      </c>
      <c r="AH1253" t="e">
        <f ca="1">IF(V32="Supercritical",L1253,IF(V32="Subcritical",W1253,IF(AND(V1253=1,AG1253=1),IF(T1253&gt;=AE1253,L1253,W1253),IF(V1253=1,L1253,IF(AG1253=1,W1253,MAX($D$16,POWER((ABS(K1253)^2)/($I$5*MAX(F1253,0.1)^2),1/3)))))))</f>
        <v>#VALUE!</v>
      </c>
      <c r="AI1253" t="e">
        <f t="shared" ca="1" si="624"/>
        <v>#VALUE!</v>
      </c>
      <c r="AJ1253" t="e">
        <f t="shared" ca="1" si="625"/>
        <v>#VALUE!</v>
      </c>
      <c r="AM1253">
        <v>0</v>
      </c>
      <c r="AN1253">
        <v>0</v>
      </c>
      <c r="AO1253">
        <f t="shared" si="626"/>
        <v>0</v>
      </c>
      <c r="AP1253">
        <f t="shared" si="635"/>
        <v>0</v>
      </c>
      <c r="AQ1253" t="e">
        <f t="shared" ca="1" si="627"/>
        <v>#VALUE!</v>
      </c>
      <c r="AR1253" t="e">
        <f t="shared" ca="1" si="628"/>
        <v>#VALUE!</v>
      </c>
      <c r="AS1253" t="e">
        <f t="shared" ca="1" si="629"/>
        <v>#VALUE!</v>
      </c>
    </row>
    <row r="1254" spans="1:45" x14ac:dyDescent="0.35">
      <c r="A1254">
        <v>1105</v>
      </c>
      <c r="B1254">
        <v>1103.8889999999999</v>
      </c>
      <c r="C1254">
        <v>616076.77099999995</v>
      </c>
      <c r="D1254">
        <v>3096900.142</v>
      </c>
      <c r="E1254">
        <v>632.01</v>
      </c>
      <c r="F1254">
        <v>5.2</v>
      </c>
      <c r="G1254">
        <v>0</v>
      </c>
      <c r="H1254" t="s">
        <v>191</v>
      </c>
      <c r="I1254">
        <v>0</v>
      </c>
      <c r="J1254">
        <f t="shared" si="630"/>
        <v>1</v>
      </c>
      <c r="K1254">
        <f t="shared" si="631"/>
        <v>51</v>
      </c>
      <c r="L1254" t="e">
        <f t="shared" ca="1" si="632"/>
        <v>#VALUE!</v>
      </c>
      <c r="M1254" t="e">
        <f t="shared" ca="1" si="605"/>
        <v>#VALUE!</v>
      </c>
      <c r="N1254" t="e">
        <f t="shared" ca="1" si="606"/>
        <v>#VALUE!</v>
      </c>
      <c r="O1254" t="e">
        <f t="shared" ca="1" si="607"/>
        <v>#VALUE!</v>
      </c>
      <c r="P1254" t="e">
        <f t="shared" ca="1" si="608"/>
        <v>#VALUE!</v>
      </c>
      <c r="Q1254" t="e">
        <f t="shared" ca="1" si="609"/>
        <v>#VALUE!</v>
      </c>
      <c r="R1254" t="e">
        <f t="shared" ca="1" si="610"/>
        <v>#VALUE!</v>
      </c>
      <c r="S1254" t="e">
        <f t="shared" ca="1" si="611"/>
        <v>#VALUE!</v>
      </c>
      <c r="T1254" t="e">
        <f t="shared" ca="1" si="612"/>
        <v>#VALUE!</v>
      </c>
      <c r="U1254" t="e">
        <f t="shared" ca="1" si="633"/>
        <v>#VALUE!</v>
      </c>
      <c r="V1254" t="e">
        <f t="shared" ca="1" si="634"/>
        <v>#VALUE!</v>
      </c>
      <c r="W1254" t="e">
        <f t="shared" ca="1" si="613"/>
        <v>#VALUE!</v>
      </c>
      <c r="X1254" t="e">
        <f t="shared" ca="1" si="614"/>
        <v>#VALUE!</v>
      </c>
      <c r="Y1254" t="e">
        <f t="shared" ca="1" si="615"/>
        <v>#VALUE!</v>
      </c>
      <c r="Z1254" t="e">
        <f t="shared" ca="1" si="616"/>
        <v>#VALUE!</v>
      </c>
      <c r="AA1254" t="e">
        <f t="shared" ca="1" si="617"/>
        <v>#VALUE!</v>
      </c>
      <c r="AB1254" t="e">
        <f t="shared" ca="1" si="618"/>
        <v>#VALUE!</v>
      </c>
      <c r="AC1254" t="e">
        <f t="shared" ca="1" si="619"/>
        <v>#VALUE!</v>
      </c>
      <c r="AD1254" t="e">
        <f t="shared" ca="1" si="620"/>
        <v>#VALUE!</v>
      </c>
      <c r="AE1254" t="e">
        <f t="shared" ca="1" si="621"/>
        <v>#VALUE!</v>
      </c>
      <c r="AF1254" t="e">
        <f t="shared" ca="1" si="622"/>
        <v>#VALUE!</v>
      </c>
      <c r="AG1254" t="e">
        <f t="shared" ca="1" si="623"/>
        <v>#VALUE!</v>
      </c>
      <c r="AH1254" t="e">
        <f ca="1">IF(V32="Supercritical",L1254,IF(V32="Subcritical",W1254,IF(AND(V1254=1,AG1254=1),IF(T1254&gt;=AE1254,L1254,W1254),IF(V1254=1,L1254,IF(AG1254=1,W1254,MAX($D$16,POWER((ABS(K1254)^2)/($I$5*MAX(F1254,0.1)^2),1/3)))))))</f>
        <v>#VALUE!</v>
      </c>
      <c r="AI1254" t="e">
        <f t="shared" ca="1" si="624"/>
        <v>#VALUE!</v>
      </c>
      <c r="AJ1254" t="e">
        <f t="shared" ca="1" si="625"/>
        <v>#VALUE!</v>
      </c>
      <c r="AM1254">
        <v>0</v>
      </c>
      <c r="AN1254">
        <v>0</v>
      </c>
      <c r="AO1254">
        <f t="shared" si="626"/>
        <v>0</v>
      </c>
      <c r="AP1254">
        <f t="shared" si="635"/>
        <v>0</v>
      </c>
      <c r="AQ1254" t="e">
        <f t="shared" ca="1" si="627"/>
        <v>#VALUE!</v>
      </c>
      <c r="AR1254" t="e">
        <f t="shared" ca="1" si="628"/>
        <v>#VALUE!</v>
      </c>
      <c r="AS1254" t="e">
        <f t="shared" ca="1" si="629"/>
        <v>#VALUE!</v>
      </c>
    </row>
    <row r="1255" spans="1:45" x14ac:dyDescent="0.35">
      <c r="A1255">
        <v>1106</v>
      </c>
      <c r="B1255">
        <v>1104.8889999999999</v>
      </c>
      <c r="C1255">
        <v>616076.72900000005</v>
      </c>
      <c r="D1255">
        <v>3096899.1430000002</v>
      </c>
      <c r="E1255">
        <v>632.0095</v>
      </c>
      <c r="F1255">
        <v>5.2</v>
      </c>
      <c r="G1255">
        <v>0</v>
      </c>
      <c r="H1255" t="s">
        <v>191</v>
      </c>
      <c r="I1255">
        <v>2E-3</v>
      </c>
      <c r="J1255">
        <f t="shared" si="630"/>
        <v>1</v>
      </c>
      <c r="K1255">
        <f t="shared" si="631"/>
        <v>51</v>
      </c>
      <c r="L1255" t="e">
        <f t="shared" ca="1" si="632"/>
        <v>#VALUE!</v>
      </c>
      <c r="M1255" t="e">
        <f t="shared" ca="1" si="605"/>
        <v>#VALUE!</v>
      </c>
      <c r="N1255" t="e">
        <f t="shared" ca="1" si="606"/>
        <v>#VALUE!</v>
      </c>
      <c r="O1255" t="e">
        <f t="shared" ca="1" si="607"/>
        <v>#VALUE!</v>
      </c>
      <c r="P1255" t="e">
        <f t="shared" ca="1" si="608"/>
        <v>#VALUE!</v>
      </c>
      <c r="Q1255" t="e">
        <f t="shared" ca="1" si="609"/>
        <v>#VALUE!</v>
      </c>
      <c r="R1255" t="e">
        <f t="shared" ca="1" si="610"/>
        <v>#VALUE!</v>
      </c>
      <c r="S1255" t="e">
        <f t="shared" ca="1" si="611"/>
        <v>#VALUE!</v>
      </c>
      <c r="T1255" t="e">
        <f t="shared" ca="1" si="612"/>
        <v>#VALUE!</v>
      </c>
      <c r="U1255" t="e">
        <f t="shared" ca="1" si="633"/>
        <v>#VALUE!</v>
      </c>
      <c r="V1255" t="e">
        <f t="shared" ca="1" si="634"/>
        <v>#VALUE!</v>
      </c>
      <c r="W1255" t="e">
        <f t="shared" ca="1" si="613"/>
        <v>#VALUE!</v>
      </c>
      <c r="X1255" t="e">
        <f t="shared" ca="1" si="614"/>
        <v>#VALUE!</v>
      </c>
      <c r="Y1255" t="e">
        <f t="shared" ca="1" si="615"/>
        <v>#VALUE!</v>
      </c>
      <c r="Z1255" t="e">
        <f t="shared" ca="1" si="616"/>
        <v>#VALUE!</v>
      </c>
      <c r="AA1255" t="e">
        <f t="shared" ca="1" si="617"/>
        <v>#VALUE!</v>
      </c>
      <c r="AB1255" t="e">
        <f t="shared" ca="1" si="618"/>
        <v>#VALUE!</v>
      </c>
      <c r="AC1255" t="e">
        <f t="shared" ca="1" si="619"/>
        <v>#VALUE!</v>
      </c>
      <c r="AD1255" t="e">
        <f t="shared" ca="1" si="620"/>
        <v>#VALUE!</v>
      </c>
      <c r="AE1255" t="e">
        <f t="shared" ca="1" si="621"/>
        <v>#VALUE!</v>
      </c>
      <c r="AF1255" t="e">
        <f t="shared" ca="1" si="622"/>
        <v>#VALUE!</v>
      </c>
      <c r="AG1255" t="e">
        <f t="shared" ca="1" si="623"/>
        <v>#VALUE!</v>
      </c>
      <c r="AH1255" t="e">
        <f ca="1">IF(V32="Supercritical",L1255,IF(V32="Subcritical",W1255,IF(AND(V1255=1,AG1255=1),IF(T1255&gt;=AE1255,L1255,W1255),IF(V1255=1,L1255,IF(AG1255=1,W1255,MAX($D$16,POWER((ABS(K1255)^2)/($I$5*MAX(F1255,0.1)^2),1/3)))))))</f>
        <v>#VALUE!</v>
      </c>
      <c r="AI1255" t="e">
        <f t="shared" ca="1" si="624"/>
        <v>#VALUE!</v>
      </c>
      <c r="AJ1255" t="e">
        <f t="shared" ca="1" si="625"/>
        <v>#VALUE!</v>
      </c>
      <c r="AM1255">
        <v>0</v>
      </c>
      <c r="AN1255">
        <v>0</v>
      </c>
      <c r="AO1255">
        <f t="shared" si="626"/>
        <v>0</v>
      </c>
      <c r="AP1255">
        <f t="shared" si="635"/>
        <v>0</v>
      </c>
      <c r="AQ1255" t="e">
        <f t="shared" ca="1" si="627"/>
        <v>#VALUE!</v>
      </c>
      <c r="AR1255" t="e">
        <f t="shared" ca="1" si="628"/>
        <v>#VALUE!</v>
      </c>
      <c r="AS1255" t="e">
        <f t="shared" ca="1" si="629"/>
        <v>#VALUE!</v>
      </c>
    </row>
    <row r="1256" spans="1:45" x14ac:dyDescent="0.35">
      <c r="A1256">
        <v>1107</v>
      </c>
      <c r="B1256">
        <v>1105.8900000000001</v>
      </c>
      <c r="C1256">
        <v>616076.68700000003</v>
      </c>
      <c r="D1256">
        <v>3096898.1430000002</v>
      </c>
      <c r="E1256">
        <v>632.00900000000001</v>
      </c>
      <c r="F1256">
        <v>5.2</v>
      </c>
      <c r="G1256">
        <v>0</v>
      </c>
      <c r="H1256" t="s">
        <v>191</v>
      </c>
      <c r="I1256">
        <v>0.06</v>
      </c>
      <c r="J1256">
        <f t="shared" si="630"/>
        <v>1.0010000000002037</v>
      </c>
      <c r="K1256">
        <f t="shared" si="631"/>
        <v>51</v>
      </c>
      <c r="L1256" t="e">
        <f t="shared" ca="1" si="632"/>
        <v>#VALUE!</v>
      </c>
      <c r="M1256" t="e">
        <f t="shared" ca="1" si="605"/>
        <v>#VALUE!</v>
      </c>
      <c r="N1256" t="e">
        <f t="shared" ca="1" si="606"/>
        <v>#VALUE!</v>
      </c>
      <c r="O1256" t="e">
        <f t="shared" ca="1" si="607"/>
        <v>#VALUE!</v>
      </c>
      <c r="P1256" t="e">
        <f t="shared" ca="1" si="608"/>
        <v>#VALUE!</v>
      </c>
      <c r="Q1256" t="e">
        <f t="shared" ca="1" si="609"/>
        <v>#VALUE!</v>
      </c>
      <c r="R1256" t="e">
        <f t="shared" ca="1" si="610"/>
        <v>#VALUE!</v>
      </c>
      <c r="S1256" t="e">
        <f t="shared" ca="1" si="611"/>
        <v>#VALUE!</v>
      </c>
      <c r="T1256" t="e">
        <f t="shared" ca="1" si="612"/>
        <v>#VALUE!</v>
      </c>
      <c r="U1256" t="e">
        <f t="shared" ca="1" si="633"/>
        <v>#VALUE!</v>
      </c>
      <c r="V1256" t="e">
        <f t="shared" ca="1" si="634"/>
        <v>#VALUE!</v>
      </c>
      <c r="W1256" t="e">
        <f t="shared" ca="1" si="613"/>
        <v>#VALUE!</v>
      </c>
      <c r="X1256" t="e">
        <f t="shared" ca="1" si="614"/>
        <v>#VALUE!</v>
      </c>
      <c r="Y1256" t="e">
        <f t="shared" ca="1" si="615"/>
        <v>#VALUE!</v>
      </c>
      <c r="Z1256" t="e">
        <f t="shared" ca="1" si="616"/>
        <v>#VALUE!</v>
      </c>
      <c r="AA1256" t="e">
        <f t="shared" ca="1" si="617"/>
        <v>#VALUE!</v>
      </c>
      <c r="AB1256" t="e">
        <f t="shared" ca="1" si="618"/>
        <v>#VALUE!</v>
      </c>
      <c r="AC1256" t="e">
        <f t="shared" ca="1" si="619"/>
        <v>#VALUE!</v>
      </c>
      <c r="AD1256" t="e">
        <f t="shared" ca="1" si="620"/>
        <v>#VALUE!</v>
      </c>
      <c r="AE1256" t="e">
        <f t="shared" ca="1" si="621"/>
        <v>#VALUE!</v>
      </c>
      <c r="AF1256" t="e">
        <f t="shared" ca="1" si="622"/>
        <v>#VALUE!</v>
      </c>
      <c r="AG1256" t="e">
        <f t="shared" ca="1" si="623"/>
        <v>#VALUE!</v>
      </c>
      <c r="AH1256" t="e">
        <f ca="1">IF(V32="Supercritical",L1256,IF(V32="Subcritical",W1256,IF(AND(V1256=1,AG1256=1),IF(T1256&gt;=AE1256,L1256,W1256),IF(V1256=1,L1256,IF(AG1256=1,W1256,MAX($D$16,POWER((ABS(K1256)^2)/($I$5*MAX(F1256,0.1)^2),1/3)))))))</f>
        <v>#VALUE!</v>
      </c>
      <c r="AI1256" t="e">
        <f t="shared" ca="1" si="624"/>
        <v>#VALUE!</v>
      </c>
      <c r="AJ1256" t="e">
        <f t="shared" ca="1" si="625"/>
        <v>#VALUE!</v>
      </c>
      <c r="AM1256">
        <v>0</v>
      </c>
      <c r="AN1256">
        <v>0</v>
      </c>
      <c r="AO1256">
        <f t="shared" si="626"/>
        <v>0</v>
      </c>
      <c r="AP1256">
        <f t="shared" si="635"/>
        <v>0</v>
      </c>
      <c r="AQ1256" t="e">
        <f t="shared" ca="1" si="627"/>
        <v>#VALUE!</v>
      </c>
      <c r="AR1256" t="e">
        <f t="shared" ca="1" si="628"/>
        <v>#VALUE!</v>
      </c>
      <c r="AS1256" t="e">
        <f t="shared" ca="1" si="629"/>
        <v>#VALUE!</v>
      </c>
    </row>
    <row r="1257" spans="1:45" x14ac:dyDescent="0.35">
      <c r="A1257">
        <v>1108</v>
      </c>
      <c r="B1257">
        <v>1106.8900000000001</v>
      </c>
      <c r="C1257">
        <v>616076.64399999997</v>
      </c>
      <c r="D1257">
        <v>3096897.1439999999</v>
      </c>
      <c r="E1257">
        <v>632.00850000000003</v>
      </c>
      <c r="F1257">
        <v>5.2</v>
      </c>
      <c r="G1257">
        <v>0</v>
      </c>
      <c r="H1257" t="s">
        <v>191</v>
      </c>
      <c r="I1257">
        <v>5.7000000000000002E-2</v>
      </c>
      <c r="J1257">
        <f t="shared" si="630"/>
        <v>1</v>
      </c>
      <c r="K1257">
        <f t="shared" si="631"/>
        <v>51</v>
      </c>
      <c r="L1257" t="e">
        <f t="shared" ca="1" si="632"/>
        <v>#VALUE!</v>
      </c>
      <c r="M1257" t="e">
        <f t="shared" ca="1" si="605"/>
        <v>#VALUE!</v>
      </c>
      <c r="N1257" t="e">
        <f t="shared" ca="1" si="606"/>
        <v>#VALUE!</v>
      </c>
      <c r="O1257" t="e">
        <f t="shared" ca="1" si="607"/>
        <v>#VALUE!</v>
      </c>
      <c r="P1257" t="e">
        <f t="shared" ca="1" si="608"/>
        <v>#VALUE!</v>
      </c>
      <c r="Q1257" t="e">
        <f t="shared" ca="1" si="609"/>
        <v>#VALUE!</v>
      </c>
      <c r="R1257" t="e">
        <f t="shared" ca="1" si="610"/>
        <v>#VALUE!</v>
      </c>
      <c r="S1257" t="e">
        <f t="shared" ca="1" si="611"/>
        <v>#VALUE!</v>
      </c>
      <c r="T1257" t="e">
        <f t="shared" ca="1" si="612"/>
        <v>#VALUE!</v>
      </c>
      <c r="U1257" t="e">
        <f t="shared" ca="1" si="633"/>
        <v>#VALUE!</v>
      </c>
      <c r="V1257" t="e">
        <f t="shared" ca="1" si="634"/>
        <v>#VALUE!</v>
      </c>
      <c r="W1257" t="e">
        <f t="shared" ca="1" si="613"/>
        <v>#VALUE!</v>
      </c>
      <c r="X1257" t="e">
        <f t="shared" ca="1" si="614"/>
        <v>#VALUE!</v>
      </c>
      <c r="Y1257" t="e">
        <f t="shared" ca="1" si="615"/>
        <v>#VALUE!</v>
      </c>
      <c r="Z1257" t="e">
        <f t="shared" ca="1" si="616"/>
        <v>#VALUE!</v>
      </c>
      <c r="AA1257" t="e">
        <f t="shared" ca="1" si="617"/>
        <v>#VALUE!</v>
      </c>
      <c r="AB1257" t="e">
        <f t="shared" ca="1" si="618"/>
        <v>#VALUE!</v>
      </c>
      <c r="AC1257" t="e">
        <f t="shared" ca="1" si="619"/>
        <v>#VALUE!</v>
      </c>
      <c r="AD1257" t="e">
        <f t="shared" ca="1" si="620"/>
        <v>#VALUE!</v>
      </c>
      <c r="AE1257" t="e">
        <f t="shared" ca="1" si="621"/>
        <v>#VALUE!</v>
      </c>
      <c r="AF1257" t="e">
        <f t="shared" ca="1" si="622"/>
        <v>#VALUE!</v>
      </c>
      <c r="AG1257" t="e">
        <f t="shared" ca="1" si="623"/>
        <v>#VALUE!</v>
      </c>
      <c r="AH1257" t="e">
        <f ca="1">IF(V32="Supercritical",L1257,IF(V32="Subcritical",W1257,IF(AND(V1257=1,AG1257=1),IF(T1257&gt;=AE1257,L1257,W1257),IF(V1257=1,L1257,IF(AG1257=1,W1257,MAX($D$16,POWER((ABS(K1257)^2)/($I$5*MAX(F1257,0.1)^2),1/3)))))))</f>
        <v>#VALUE!</v>
      </c>
      <c r="AI1257" t="e">
        <f t="shared" ca="1" si="624"/>
        <v>#VALUE!</v>
      </c>
      <c r="AJ1257" t="e">
        <f t="shared" ca="1" si="625"/>
        <v>#VALUE!</v>
      </c>
      <c r="AM1257">
        <v>0</v>
      </c>
      <c r="AN1257">
        <v>0</v>
      </c>
      <c r="AO1257">
        <f t="shared" si="626"/>
        <v>0</v>
      </c>
      <c r="AP1257">
        <f t="shared" si="635"/>
        <v>0</v>
      </c>
      <c r="AQ1257" t="e">
        <f t="shared" ca="1" si="627"/>
        <v>#VALUE!</v>
      </c>
      <c r="AR1257" t="e">
        <f t="shared" ca="1" si="628"/>
        <v>#VALUE!</v>
      </c>
      <c r="AS1257" t="e">
        <f t="shared" ca="1" si="629"/>
        <v>#VALUE!</v>
      </c>
    </row>
    <row r="1258" spans="1:45" x14ac:dyDescent="0.35">
      <c r="A1258">
        <v>1109</v>
      </c>
      <c r="B1258">
        <v>1107.8900000000001</v>
      </c>
      <c r="C1258">
        <v>616076.60199999996</v>
      </c>
      <c r="D1258">
        <v>3096896.145</v>
      </c>
      <c r="E1258">
        <v>632.00800000000004</v>
      </c>
      <c r="F1258">
        <v>5.2</v>
      </c>
      <c r="G1258">
        <v>0</v>
      </c>
      <c r="H1258" t="s">
        <v>191</v>
      </c>
      <c r="I1258">
        <v>0</v>
      </c>
      <c r="J1258">
        <f t="shared" si="630"/>
        <v>1</v>
      </c>
      <c r="K1258">
        <f t="shared" si="631"/>
        <v>51</v>
      </c>
      <c r="L1258" t="e">
        <f t="shared" ca="1" si="632"/>
        <v>#VALUE!</v>
      </c>
      <c r="M1258" t="e">
        <f t="shared" ca="1" si="605"/>
        <v>#VALUE!</v>
      </c>
      <c r="N1258" t="e">
        <f t="shared" ca="1" si="606"/>
        <v>#VALUE!</v>
      </c>
      <c r="O1258" t="e">
        <f t="shared" ca="1" si="607"/>
        <v>#VALUE!</v>
      </c>
      <c r="P1258" t="e">
        <f t="shared" ca="1" si="608"/>
        <v>#VALUE!</v>
      </c>
      <c r="Q1258" t="e">
        <f t="shared" ca="1" si="609"/>
        <v>#VALUE!</v>
      </c>
      <c r="R1258" t="e">
        <f t="shared" ca="1" si="610"/>
        <v>#VALUE!</v>
      </c>
      <c r="S1258" t="e">
        <f t="shared" ca="1" si="611"/>
        <v>#VALUE!</v>
      </c>
      <c r="T1258" t="e">
        <f t="shared" ca="1" si="612"/>
        <v>#VALUE!</v>
      </c>
      <c r="U1258" t="e">
        <f t="shared" ca="1" si="633"/>
        <v>#VALUE!</v>
      </c>
      <c r="V1258" t="e">
        <f t="shared" ca="1" si="634"/>
        <v>#VALUE!</v>
      </c>
      <c r="W1258" t="e">
        <f t="shared" ca="1" si="613"/>
        <v>#VALUE!</v>
      </c>
      <c r="X1258" t="e">
        <f t="shared" ca="1" si="614"/>
        <v>#VALUE!</v>
      </c>
      <c r="Y1258" t="e">
        <f t="shared" ca="1" si="615"/>
        <v>#VALUE!</v>
      </c>
      <c r="Z1258" t="e">
        <f t="shared" ca="1" si="616"/>
        <v>#VALUE!</v>
      </c>
      <c r="AA1258" t="e">
        <f t="shared" ca="1" si="617"/>
        <v>#VALUE!</v>
      </c>
      <c r="AB1258" t="e">
        <f t="shared" ca="1" si="618"/>
        <v>#VALUE!</v>
      </c>
      <c r="AC1258" t="e">
        <f t="shared" ca="1" si="619"/>
        <v>#VALUE!</v>
      </c>
      <c r="AD1258" t="e">
        <f t="shared" ca="1" si="620"/>
        <v>#VALUE!</v>
      </c>
      <c r="AE1258" t="e">
        <f t="shared" ca="1" si="621"/>
        <v>#VALUE!</v>
      </c>
      <c r="AF1258" t="e">
        <f t="shared" ca="1" si="622"/>
        <v>#VALUE!</v>
      </c>
      <c r="AG1258" t="e">
        <f t="shared" ca="1" si="623"/>
        <v>#VALUE!</v>
      </c>
      <c r="AH1258" t="e">
        <f ca="1">IF(V32="Supercritical",L1258,IF(V32="Subcritical",W1258,IF(AND(V1258=1,AG1258=1),IF(T1258&gt;=AE1258,L1258,W1258),IF(V1258=1,L1258,IF(AG1258=1,W1258,MAX($D$16,POWER((ABS(K1258)^2)/($I$5*MAX(F1258,0.1)^2),1/3)))))))</f>
        <v>#VALUE!</v>
      </c>
      <c r="AI1258" t="e">
        <f t="shared" ca="1" si="624"/>
        <v>#VALUE!</v>
      </c>
      <c r="AJ1258" t="e">
        <f t="shared" ca="1" si="625"/>
        <v>#VALUE!</v>
      </c>
      <c r="AM1258">
        <v>0</v>
      </c>
      <c r="AN1258">
        <v>0</v>
      </c>
      <c r="AO1258">
        <f t="shared" si="626"/>
        <v>0</v>
      </c>
      <c r="AP1258">
        <f t="shared" si="635"/>
        <v>0</v>
      </c>
      <c r="AQ1258" t="e">
        <f t="shared" ca="1" si="627"/>
        <v>#VALUE!</v>
      </c>
      <c r="AR1258" t="e">
        <f t="shared" ca="1" si="628"/>
        <v>#VALUE!</v>
      </c>
      <c r="AS1258" t="e">
        <f t="shared" ca="1" si="629"/>
        <v>#VALUE!</v>
      </c>
    </row>
    <row r="1259" spans="1:45" x14ac:dyDescent="0.35">
      <c r="A1259">
        <v>1110</v>
      </c>
      <c r="B1259">
        <v>1108.8889999999999</v>
      </c>
      <c r="C1259">
        <v>616076.56000000006</v>
      </c>
      <c r="D1259">
        <v>3096895.1460000002</v>
      </c>
      <c r="E1259">
        <v>632.00750000000005</v>
      </c>
      <c r="F1259">
        <v>5.2</v>
      </c>
      <c r="G1259">
        <v>0</v>
      </c>
      <c r="H1259" t="s">
        <v>191</v>
      </c>
      <c r="I1259">
        <v>0</v>
      </c>
      <c r="J1259">
        <f t="shared" si="630"/>
        <v>0.99899999999979627</v>
      </c>
      <c r="K1259">
        <f t="shared" si="631"/>
        <v>51</v>
      </c>
      <c r="L1259" t="e">
        <f t="shared" ca="1" si="632"/>
        <v>#VALUE!</v>
      </c>
      <c r="M1259" t="e">
        <f t="shared" ca="1" si="605"/>
        <v>#VALUE!</v>
      </c>
      <c r="N1259" t="e">
        <f t="shared" ca="1" si="606"/>
        <v>#VALUE!</v>
      </c>
      <c r="O1259" t="e">
        <f t="shared" ca="1" si="607"/>
        <v>#VALUE!</v>
      </c>
      <c r="P1259" t="e">
        <f t="shared" ca="1" si="608"/>
        <v>#VALUE!</v>
      </c>
      <c r="Q1259" t="e">
        <f t="shared" ca="1" si="609"/>
        <v>#VALUE!</v>
      </c>
      <c r="R1259" t="e">
        <f t="shared" ca="1" si="610"/>
        <v>#VALUE!</v>
      </c>
      <c r="S1259" t="e">
        <f t="shared" ca="1" si="611"/>
        <v>#VALUE!</v>
      </c>
      <c r="T1259" t="e">
        <f t="shared" ca="1" si="612"/>
        <v>#VALUE!</v>
      </c>
      <c r="U1259" t="e">
        <f t="shared" ca="1" si="633"/>
        <v>#VALUE!</v>
      </c>
      <c r="V1259" t="e">
        <f t="shared" ca="1" si="634"/>
        <v>#VALUE!</v>
      </c>
      <c r="W1259" t="e">
        <f t="shared" ca="1" si="613"/>
        <v>#VALUE!</v>
      </c>
      <c r="X1259" t="e">
        <f t="shared" ca="1" si="614"/>
        <v>#VALUE!</v>
      </c>
      <c r="Y1259" t="e">
        <f t="shared" ca="1" si="615"/>
        <v>#VALUE!</v>
      </c>
      <c r="Z1259" t="e">
        <f t="shared" ca="1" si="616"/>
        <v>#VALUE!</v>
      </c>
      <c r="AA1259" t="e">
        <f t="shared" ca="1" si="617"/>
        <v>#VALUE!</v>
      </c>
      <c r="AB1259" t="e">
        <f t="shared" ca="1" si="618"/>
        <v>#VALUE!</v>
      </c>
      <c r="AC1259" t="e">
        <f t="shared" ca="1" si="619"/>
        <v>#VALUE!</v>
      </c>
      <c r="AD1259" t="e">
        <f t="shared" ca="1" si="620"/>
        <v>#VALUE!</v>
      </c>
      <c r="AE1259" t="e">
        <f t="shared" ca="1" si="621"/>
        <v>#VALUE!</v>
      </c>
      <c r="AF1259" t="e">
        <f t="shared" ca="1" si="622"/>
        <v>#VALUE!</v>
      </c>
      <c r="AG1259" t="e">
        <f t="shared" ca="1" si="623"/>
        <v>#VALUE!</v>
      </c>
      <c r="AH1259" t="e">
        <f ca="1">IF(V32="Supercritical",L1259,IF(V32="Subcritical",W1259,IF(AND(V1259=1,AG1259=1),IF(T1259&gt;=AE1259,L1259,W1259),IF(V1259=1,L1259,IF(AG1259=1,W1259,MAX($D$16,POWER((ABS(K1259)^2)/($I$5*MAX(F1259,0.1)^2),1/3)))))))</f>
        <v>#VALUE!</v>
      </c>
      <c r="AI1259" t="e">
        <f t="shared" ca="1" si="624"/>
        <v>#VALUE!</v>
      </c>
      <c r="AJ1259" t="e">
        <f t="shared" ca="1" si="625"/>
        <v>#VALUE!</v>
      </c>
      <c r="AM1259">
        <v>0</v>
      </c>
      <c r="AN1259">
        <v>0</v>
      </c>
      <c r="AO1259">
        <f t="shared" si="626"/>
        <v>0</v>
      </c>
      <c r="AP1259">
        <f t="shared" si="635"/>
        <v>0</v>
      </c>
      <c r="AQ1259" t="e">
        <f t="shared" ca="1" si="627"/>
        <v>#VALUE!</v>
      </c>
      <c r="AR1259" t="e">
        <f t="shared" ca="1" si="628"/>
        <v>#VALUE!</v>
      </c>
      <c r="AS1259" t="e">
        <f t="shared" ca="1" si="629"/>
        <v>#VALUE!</v>
      </c>
    </row>
    <row r="1260" spans="1:45" x14ac:dyDescent="0.35">
      <c r="A1260">
        <v>1111</v>
      </c>
      <c r="B1260">
        <v>1109.8889999999999</v>
      </c>
      <c r="C1260">
        <v>616076.51800000004</v>
      </c>
      <c r="D1260">
        <v>3096894.1469999999</v>
      </c>
      <c r="E1260">
        <v>632.00699999999995</v>
      </c>
      <c r="F1260">
        <v>5.2</v>
      </c>
      <c r="G1260">
        <v>0</v>
      </c>
      <c r="H1260" t="s">
        <v>191</v>
      </c>
      <c r="I1260">
        <v>5.7000000000000002E-2</v>
      </c>
      <c r="J1260">
        <f t="shared" si="630"/>
        <v>1</v>
      </c>
      <c r="K1260">
        <f t="shared" si="631"/>
        <v>51</v>
      </c>
      <c r="L1260" t="e">
        <f t="shared" ca="1" si="632"/>
        <v>#VALUE!</v>
      </c>
      <c r="M1260" t="e">
        <f t="shared" ca="1" si="605"/>
        <v>#VALUE!</v>
      </c>
      <c r="N1260" t="e">
        <f t="shared" ca="1" si="606"/>
        <v>#VALUE!</v>
      </c>
      <c r="O1260" t="e">
        <f t="shared" ca="1" si="607"/>
        <v>#VALUE!</v>
      </c>
      <c r="P1260" t="e">
        <f t="shared" ca="1" si="608"/>
        <v>#VALUE!</v>
      </c>
      <c r="Q1260" t="e">
        <f t="shared" ca="1" si="609"/>
        <v>#VALUE!</v>
      </c>
      <c r="R1260" t="e">
        <f t="shared" ca="1" si="610"/>
        <v>#VALUE!</v>
      </c>
      <c r="S1260" t="e">
        <f t="shared" ca="1" si="611"/>
        <v>#VALUE!</v>
      </c>
      <c r="T1260" t="e">
        <f t="shared" ca="1" si="612"/>
        <v>#VALUE!</v>
      </c>
      <c r="U1260" t="e">
        <f t="shared" ca="1" si="633"/>
        <v>#VALUE!</v>
      </c>
      <c r="V1260" t="e">
        <f t="shared" ca="1" si="634"/>
        <v>#VALUE!</v>
      </c>
      <c r="W1260" t="e">
        <f t="shared" ca="1" si="613"/>
        <v>#VALUE!</v>
      </c>
      <c r="X1260" t="e">
        <f t="shared" ca="1" si="614"/>
        <v>#VALUE!</v>
      </c>
      <c r="Y1260" t="e">
        <f t="shared" ca="1" si="615"/>
        <v>#VALUE!</v>
      </c>
      <c r="Z1260" t="e">
        <f t="shared" ca="1" si="616"/>
        <v>#VALUE!</v>
      </c>
      <c r="AA1260" t="e">
        <f t="shared" ca="1" si="617"/>
        <v>#VALUE!</v>
      </c>
      <c r="AB1260" t="e">
        <f t="shared" ca="1" si="618"/>
        <v>#VALUE!</v>
      </c>
      <c r="AC1260" t="e">
        <f t="shared" ca="1" si="619"/>
        <v>#VALUE!</v>
      </c>
      <c r="AD1260" t="e">
        <f t="shared" ca="1" si="620"/>
        <v>#VALUE!</v>
      </c>
      <c r="AE1260" t="e">
        <f t="shared" ca="1" si="621"/>
        <v>#VALUE!</v>
      </c>
      <c r="AF1260" t="e">
        <f t="shared" ca="1" si="622"/>
        <v>#VALUE!</v>
      </c>
      <c r="AG1260" t="e">
        <f t="shared" ca="1" si="623"/>
        <v>#VALUE!</v>
      </c>
      <c r="AH1260" t="e">
        <f ca="1">IF(V32="Supercritical",L1260,IF(V32="Subcritical",W1260,IF(AND(V1260=1,AG1260=1),IF(T1260&gt;=AE1260,L1260,W1260),IF(V1260=1,L1260,IF(AG1260=1,W1260,MAX($D$16,POWER((ABS(K1260)^2)/($I$5*MAX(F1260,0.1)^2),1/3)))))))</f>
        <v>#VALUE!</v>
      </c>
      <c r="AI1260" t="e">
        <f t="shared" ca="1" si="624"/>
        <v>#VALUE!</v>
      </c>
      <c r="AJ1260" t="e">
        <f t="shared" ca="1" si="625"/>
        <v>#VALUE!</v>
      </c>
      <c r="AM1260">
        <v>0</v>
      </c>
      <c r="AN1260">
        <v>0</v>
      </c>
      <c r="AO1260">
        <f t="shared" si="626"/>
        <v>0</v>
      </c>
      <c r="AP1260">
        <f t="shared" si="635"/>
        <v>0</v>
      </c>
      <c r="AQ1260" t="e">
        <f t="shared" ca="1" si="627"/>
        <v>#VALUE!</v>
      </c>
      <c r="AR1260" t="e">
        <f t="shared" ca="1" si="628"/>
        <v>#VALUE!</v>
      </c>
      <c r="AS1260" t="e">
        <f t="shared" ca="1" si="629"/>
        <v>#VALUE!</v>
      </c>
    </row>
    <row r="1261" spans="1:45" x14ac:dyDescent="0.35">
      <c r="A1261">
        <v>1112</v>
      </c>
      <c r="B1261">
        <v>1110.8889999999999</v>
      </c>
      <c r="C1261">
        <v>616076.47499999998</v>
      </c>
      <c r="D1261">
        <v>3096893.148</v>
      </c>
      <c r="E1261">
        <v>632.00649999999996</v>
      </c>
      <c r="F1261">
        <v>5.2</v>
      </c>
      <c r="G1261">
        <v>0</v>
      </c>
      <c r="H1261" t="s">
        <v>191</v>
      </c>
      <c r="I1261">
        <v>5.7000000000000002E-2</v>
      </c>
      <c r="J1261">
        <f t="shared" si="630"/>
        <v>1</v>
      </c>
      <c r="K1261">
        <f t="shared" si="631"/>
        <v>51</v>
      </c>
      <c r="L1261" t="e">
        <f t="shared" ca="1" si="632"/>
        <v>#VALUE!</v>
      </c>
      <c r="M1261" t="e">
        <f t="shared" ca="1" si="605"/>
        <v>#VALUE!</v>
      </c>
      <c r="N1261" t="e">
        <f t="shared" ca="1" si="606"/>
        <v>#VALUE!</v>
      </c>
      <c r="O1261" t="e">
        <f t="shared" ca="1" si="607"/>
        <v>#VALUE!</v>
      </c>
      <c r="P1261" t="e">
        <f t="shared" ca="1" si="608"/>
        <v>#VALUE!</v>
      </c>
      <c r="Q1261" t="e">
        <f t="shared" ca="1" si="609"/>
        <v>#VALUE!</v>
      </c>
      <c r="R1261" t="e">
        <f t="shared" ca="1" si="610"/>
        <v>#VALUE!</v>
      </c>
      <c r="S1261" t="e">
        <f t="shared" ca="1" si="611"/>
        <v>#VALUE!</v>
      </c>
      <c r="T1261" t="e">
        <f t="shared" ca="1" si="612"/>
        <v>#VALUE!</v>
      </c>
      <c r="U1261" t="e">
        <f t="shared" ca="1" si="633"/>
        <v>#VALUE!</v>
      </c>
      <c r="V1261" t="e">
        <f t="shared" ca="1" si="634"/>
        <v>#VALUE!</v>
      </c>
      <c r="W1261" t="e">
        <f t="shared" ca="1" si="613"/>
        <v>#VALUE!</v>
      </c>
      <c r="X1261" t="e">
        <f t="shared" ca="1" si="614"/>
        <v>#VALUE!</v>
      </c>
      <c r="Y1261" t="e">
        <f t="shared" ca="1" si="615"/>
        <v>#VALUE!</v>
      </c>
      <c r="Z1261" t="e">
        <f t="shared" ca="1" si="616"/>
        <v>#VALUE!</v>
      </c>
      <c r="AA1261" t="e">
        <f t="shared" ca="1" si="617"/>
        <v>#VALUE!</v>
      </c>
      <c r="AB1261" t="e">
        <f t="shared" ca="1" si="618"/>
        <v>#VALUE!</v>
      </c>
      <c r="AC1261" t="e">
        <f t="shared" ca="1" si="619"/>
        <v>#VALUE!</v>
      </c>
      <c r="AD1261" t="e">
        <f t="shared" ca="1" si="620"/>
        <v>#VALUE!</v>
      </c>
      <c r="AE1261" t="e">
        <f t="shared" ca="1" si="621"/>
        <v>#VALUE!</v>
      </c>
      <c r="AF1261" t="e">
        <f t="shared" ca="1" si="622"/>
        <v>#VALUE!</v>
      </c>
      <c r="AG1261" t="e">
        <f t="shared" ca="1" si="623"/>
        <v>#VALUE!</v>
      </c>
      <c r="AH1261" t="e">
        <f ca="1">IF(V32="Supercritical",L1261,IF(V32="Subcritical",W1261,IF(AND(V1261=1,AG1261=1),IF(T1261&gt;=AE1261,L1261,W1261),IF(V1261=1,L1261,IF(AG1261=1,W1261,MAX($D$16,POWER((ABS(K1261)^2)/($I$5*MAX(F1261,0.1)^2),1/3)))))))</f>
        <v>#VALUE!</v>
      </c>
      <c r="AI1261" t="e">
        <f t="shared" ca="1" si="624"/>
        <v>#VALUE!</v>
      </c>
      <c r="AJ1261" t="e">
        <f t="shared" ca="1" si="625"/>
        <v>#VALUE!</v>
      </c>
      <c r="AM1261">
        <v>0</v>
      </c>
      <c r="AN1261">
        <v>0</v>
      </c>
      <c r="AO1261">
        <f t="shared" si="626"/>
        <v>0</v>
      </c>
      <c r="AP1261">
        <f t="shared" si="635"/>
        <v>0</v>
      </c>
      <c r="AQ1261" t="e">
        <f t="shared" ca="1" si="627"/>
        <v>#VALUE!</v>
      </c>
      <c r="AR1261" t="e">
        <f t="shared" ca="1" si="628"/>
        <v>#VALUE!</v>
      </c>
      <c r="AS1261" t="e">
        <f t="shared" ca="1" si="629"/>
        <v>#VALUE!</v>
      </c>
    </row>
    <row r="1262" spans="1:45" x14ac:dyDescent="0.35">
      <c r="A1262">
        <v>1113</v>
      </c>
      <c r="B1262">
        <v>1111.8889999999999</v>
      </c>
      <c r="C1262">
        <v>616076.43299999996</v>
      </c>
      <c r="D1262">
        <v>3096892.1490000002</v>
      </c>
      <c r="E1262">
        <v>632.00599999999997</v>
      </c>
      <c r="F1262">
        <v>5.2</v>
      </c>
      <c r="G1262">
        <v>0</v>
      </c>
      <c r="H1262" t="s">
        <v>191</v>
      </c>
      <c r="I1262">
        <v>0</v>
      </c>
      <c r="J1262">
        <f t="shared" si="630"/>
        <v>1</v>
      </c>
      <c r="K1262">
        <f t="shared" si="631"/>
        <v>51</v>
      </c>
      <c r="L1262" t="e">
        <f t="shared" ca="1" si="632"/>
        <v>#VALUE!</v>
      </c>
      <c r="M1262" t="e">
        <f t="shared" ca="1" si="605"/>
        <v>#VALUE!</v>
      </c>
      <c r="N1262" t="e">
        <f t="shared" ca="1" si="606"/>
        <v>#VALUE!</v>
      </c>
      <c r="O1262" t="e">
        <f t="shared" ca="1" si="607"/>
        <v>#VALUE!</v>
      </c>
      <c r="P1262" t="e">
        <f t="shared" ca="1" si="608"/>
        <v>#VALUE!</v>
      </c>
      <c r="Q1262" t="e">
        <f t="shared" ca="1" si="609"/>
        <v>#VALUE!</v>
      </c>
      <c r="R1262" t="e">
        <f t="shared" ca="1" si="610"/>
        <v>#VALUE!</v>
      </c>
      <c r="S1262" t="e">
        <f t="shared" ca="1" si="611"/>
        <v>#VALUE!</v>
      </c>
      <c r="T1262" t="e">
        <f t="shared" ca="1" si="612"/>
        <v>#VALUE!</v>
      </c>
      <c r="U1262" t="e">
        <f t="shared" ca="1" si="633"/>
        <v>#VALUE!</v>
      </c>
      <c r="V1262" t="e">
        <f t="shared" ca="1" si="634"/>
        <v>#VALUE!</v>
      </c>
      <c r="W1262" t="e">
        <f t="shared" ca="1" si="613"/>
        <v>#VALUE!</v>
      </c>
      <c r="X1262" t="e">
        <f t="shared" ca="1" si="614"/>
        <v>#VALUE!</v>
      </c>
      <c r="Y1262" t="e">
        <f t="shared" ca="1" si="615"/>
        <v>#VALUE!</v>
      </c>
      <c r="Z1262" t="e">
        <f t="shared" ca="1" si="616"/>
        <v>#VALUE!</v>
      </c>
      <c r="AA1262" t="e">
        <f t="shared" ca="1" si="617"/>
        <v>#VALUE!</v>
      </c>
      <c r="AB1262" t="e">
        <f t="shared" ca="1" si="618"/>
        <v>#VALUE!</v>
      </c>
      <c r="AC1262" t="e">
        <f t="shared" ca="1" si="619"/>
        <v>#VALUE!</v>
      </c>
      <c r="AD1262" t="e">
        <f t="shared" ca="1" si="620"/>
        <v>#VALUE!</v>
      </c>
      <c r="AE1262" t="e">
        <f t="shared" ca="1" si="621"/>
        <v>#VALUE!</v>
      </c>
      <c r="AF1262" t="e">
        <f t="shared" ca="1" si="622"/>
        <v>#VALUE!</v>
      </c>
      <c r="AG1262" t="e">
        <f t="shared" ca="1" si="623"/>
        <v>#VALUE!</v>
      </c>
      <c r="AH1262" t="e">
        <f ca="1">IF(V32="Supercritical",L1262,IF(V32="Subcritical",W1262,IF(AND(V1262=1,AG1262=1),IF(T1262&gt;=AE1262,L1262,W1262),IF(V1262=1,L1262,IF(AG1262=1,W1262,MAX($D$16,POWER((ABS(K1262)^2)/($I$5*MAX(F1262,0.1)^2),1/3)))))))</f>
        <v>#VALUE!</v>
      </c>
      <c r="AI1262" t="e">
        <f t="shared" ca="1" si="624"/>
        <v>#VALUE!</v>
      </c>
      <c r="AJ1262" t="e">
        <f t="shared" ca="1" si="625"/>
        <v>#VALUE!</v>
      </c>
      <c r="AM1262">
        <v>0</v>
      </c>
      <c r="AN1262">
        <v>0</v>
      </c>
      <c r="AO1262">
        <f t="shared" si="626"/>
        <v>0</v>
      </c>
      <c r="AP1262">
        <f t="shared" si="635"/>
        <v>0</v>
      </c>
      <c r="AQ1262" t="e">
        <f t="shared" ca="1" si="627"/>
        <v>#VALUE!</v>
      </c>
      <c r="AR1262" t="e">
        <f t="shared" ca="1" si="628"/>
        <v>#VALUE!</v>
      </c>
      <c r="AS1262" t="e">
        <f t="shared" ca="1" si="629"/>
        <v>#VALUE!</v>
      </c>
    </row>
    <row r="1263" spans="1:45" x14ac:dyDescent="0.35">
      <c r="A1263">
        <v>1114</v>
      </c>
      <c r="B1263">
        <v>1112.8889999999999</v>
      </c>
      <c r="C1263">
        <v>616076.39099999995</v>
      </c>
      <c r="D1263">
        <v>3096891.15</v>
      </c>
      <c r="E1263">
        <v>632.00549999999998</v>
      </c>
      <c r="F1263">
        <v>5.2</v>
      </c>
      <c r="G1263">
        <v>0</v>
      </c>
      <c r="H1263" t="s">
        <v>191</v>
      </c>
      <c r="I1263">
        <v>5.7000000000000002E-2</v>
      </c>
      <c r="J1263">
        <f t="shared" si="630"/>
        <v>1</v>
      </c>
      <c r="K1263">
        <f t="shared" si="631"/>
        <v>51</v>
      </c>
      <c r="L1263" t="e">
        <f t="shared" ca="1" si="632"/>
        <v>#VALUE!</v>
      </c>
      <c r="M1263" t="e">
        <f t="shared" ca="1" si="605"/>
        <v>#VALUE!</v>
      </c>
      <c r="N1263" t="e">
        <f t="shared" ca="1" si="606"/>
        <v>#VALUE!</v>
      </c>
      <c r="O1263" t="e">
        <f t="shared" ca="1" si="607"/>
        <v>#VALUE!</v>
      </c>
      <c r="P1263" t="e">
        <f t="shared" ca="1" si="608"/>
        <v>#VALUE!</v>
      </c>
      <c r="Q1263" t="e">
        <f t="shared" ca="1" si="609"/>
        <v>#VALUE!</v>
      </c>
      <c r="R1263" t="e">
        <f t="shared" ca="1" si="610"/>
        <v>#VALUE!</v>
      </c>
      <c r="S1263" t="e">
        <f t="shared" ca="1" si="611"/>
        <v>#VALUE!</v>
      </c>
      <c r="T1263" t="e">
        <f t="shared" ca="1" si="612"/>
        <v>#VALUE!</v>
      </c>
      <c r="U1263" t="e">
        <f t="shared" ca="1" si="633"/>
        <v>#VALUE!</v>
      </c>
      <c r="V1263" t="e">
        <f t="shared" ca="1" si="634"/>
        <v>#VALUE!</v>
      </c>
      <c r="W1263" t="e">
        <f t="shared" ca="1" si="613"/>
        <v>#VALUE!</v>
      </c>
      <c r="X1263" t="e">
        <f t="shared" ca="1" si="614"/>
        <v>#VALUE!</v>
      </c>
      <c r="Y1263" t="e">
        <f t="shared" ca="1" si="615"/>
        <v>#VALUE!</v>
      </c>
      <c r="Z1263" t="e">
        <f t="shared" ca="1" si="616"/>
        <v>#VALUE!</v>
      </c>
      <c r="AA1263" t="e">
        <f t="shared" ca="1" si="617"/>
        <v>#VALUE!</v>
      </c>
      <c r="AB1263" t="e">
        <f t="shared" ca="1" si="618"/>
        <v>#VALUE!</v>
      </c>
      <c r="AC1263" t="e">
        <f t="shared" ca="1" si="619"/>
        <v>#VALUE!</v>
      </c>
      <c r="AD1263" t="e">
        <f t="shared" ca="1" si="620"/>
        <v>#VALUE!</v>
      </c>
      <c r="AE1263" t="e">
        <f t="shared" ca="1" si="621"/>
        <v>#VALUE!</v>
      </c>
      <c r="AF1263" t="e">
        <f t="shared" ca="1" si="622"/>
        <v>#VALUE!</v>
      </c>
      <c r="AG1263" t="e">
        <f t="shared" ca="1" si="623"/>
        <v>#VALUE!</v>
      </c>
      <c r="AH1263" t="e">
        <f ca="1">IF(V32="Supercritical",L1263,IF(V32="Subcritical",W1263,IF(AND(V1263=1,AG1263=1),IF(T1263&gt;=AE1263,L1263,W1263),IF(V1263=1,L1263,IF(AG1263=1,W1263,MAX($D$16,POWER((ABS(K1263)^2)/($I$5*MAX(F1263,0.1)^2),1/3)))))))</f>
        <v>#VALUE!</v>
      </c>
      <c r="AI1263" t="e">
        <f t="shared" ca="1" si="624"/>
        <v>#VALUE!</v>
      </c>
      <c r="AJ1263" t="e">
        <f t="shared" ca="1" si="625"/>
        <v>#VALUE!</v>
      </c>
      <c r="AM1263">
        <v>0</v>
      </c>
      <c r="AN1263">
        <v>0</v>
      </c>
      <c r="AO1263">
        <f t="shared" si="626"/>
        <v>0</v>
      </c>
      <c r="AP1263">
        <f t="shared" si="635"/>
        <v>0</v>
      </c>
      <c r="AQ1263" t="e">
        <f t="shared" ca="1" si="627"/>
        <v>#VALUE!</v>
      </c>
      <c r="AR1263" t="e">
        <f t="shared" ca="1" si="628"/>
        <v>#VALUE!</v>
      </c>
      <c r="AS1263" t="e">
        <f t="shared" ca="1" si="629"/>
        <v>#VALUE!</v>
      </c>
    </row>
    <row r="1264" spans="1:45" x14ac:dyDescent="0.35">
      <c r="A1264">
        <v>1115</v>
      </c>
      <c r="B1264">
        <v>1113.8889999999999</v>
      </c>
      <c r="C1264">
        <v>616076.348</v>
      </c>
      <c r="D1264">
        <v>3096890.1510000001</v>
      </c>
      <c r="E1264">
        <v>632.005</v>
      </c>
      <c r="F1264">
        <v>5.2</v>
      </c>
      <c r="G1264">
        <v>0</v>
      </c>
      <c r="H1264" t="s">
        <v>191</v>
      </c>
      <c r="I1264">
        <v>0.06</v>
      </c>
      <c r="J1264">
        <f t="shared" si="630"/>
        <v>1</v>
      </c>
      <c r="K1264">
        <f t="shared" si="631"/>
        <v>51</v>
      </c>
      <c r="L1264" t="e">
        <f t="shared" ca="1" si="632"/>
        <v>#VALUE!</v>
      </c>
      <c r="M1264" t="e">
        <f t="shared" ca="1" si="605"/>
        <v>#VALUE!</v>
      </c>
      <c r="N1264" t="e">
        <f t="shared" ca="1" si="606"/>
        <v>#VALUE!</v>
      </c>
      <c r="O1264" t="e">
        <f t="shared" ca="1" si="607"/>
        <v>#VALUE!</v>
      </c>
      <c r="P1264" t="e">
        <f t="shared" ca="1" si="608"/>
        <v>#VALUE!</v>
      </c>
      <c r="Q1264" t="e">
        <f t="shared" ca="1" si="609"/>
        <v>#VALUE!</v>
      </c>
      <c r="R1264" t="e">
        <f t="shared" ca="1" si="610"/>
        <v>#VALUE!</v>
      </c>
      <c r="S1264" t="e">
        <f t="shared" ca="1" si="611"/>
        <v>#VALUE!</v>
      </c>
      <c r="T1264" t="e">
        <f t="shared" ca="1" si="612"/>
        <v>#VALUE!</v>
      </c>
      <c r="U1264" t="e">
        <f t="shared" ca="1" si="633"/>
        <v>#VALUE!</v>
      </c>
      <c r="V1264" t="e">
        <f t="shared" ca="1" si="634"/>
        <v>#VALUE!</v>
      </c>
      <c r="W1264" t="e">
        <f t="shared" ca="1" si="613"/>
        <v>#VALUE!</v>
      </c>
      <c r="X1264" t="e">
        <f t="shared" ca="1" si="614"/>
        <v>#VALUE!</v>
      </c>
      <c r="Y1264" t="e">
        <f t="shared" ca="1" si="615"/>
        <v>#VALUE!</v>
      </c>
      <c r="Z1264" t="e">
        <f t="shared" ca="1" si="616"/>
        <v>#VALUE!</v>
      </c>
      <c r="AA1264" t="e">
        <f t="shared" ca="1" si="617"/>
        <v>#VALUE!</v>
      </c>
      <c r="AB1264" t="e">
        <f t="shared" ca="1" si="618"/>
        <v>#VALUE!</v>
      </c>
      <c r="AC1264" t="e">
        <f t="shared" ca="1" si="619"/>
        <v>#VALUE!</v>
      </c>
      <c r="AD1264" t="e">
        <f t="shared" ca="1" si="620"/>
        <v>#VALUE!</v>
      </c>
      <c r="AE1264" t="e">
        <f t="shared" ca="1" si="621"/>
        <v>#VALUE!</v>
      </c>
      <c r="AF1264" t="e">
        <f t="shared" ca="1" si="622"/>
        <v>#VALUE!</v>
      </c>
      <c r="AG1264" t="e">
        <f t="shared" ca="1" si="623"/>
        <v>#VALUE!</v>
      </c>
      <c r="AH1264" t="e">
        <f ca="1">IF(V32="Supercritical",L1264,IF(V32="Subcritical",W1264,IF(AND(V1264=1,AG1264=1),IF(T1264&gt;=AE1264,L1264,W1264),IF(V1264=1,L1264,IF(AG1264=1,W1264,MAX($D$16,POWER((ABS(K1264)^2)/($I$5*MAX(F1264,0.1)^2),1/3)))))))</f>
        <v>#VALUE!</v>
      </c>
      <c r="AI1264" t="e">
        <f t="shared" ca="1" si="624"/>
        <v>#VALUE!</v>
      </c>
      <c r="AJ1264" t="e">
        <f t="shared" ca="1" si="625"/>
        <v>#VALUE!</v>
      </c>
      <c r="AM1264">
        <v>0</v>
      </c>
      <c r="AN1264">
        <v>0</v>
      </c>
      <c r="AO1264">
        <f t="shared" si="626"/>
        <v>0</v>
      </c>
      <c r="AP1264">
        <f t="shared" si="635"/>
        <v>0</v>
      </c>
      <c r="AQ1264" t="e">
        <f t="shared" ca="1" si="627"/>
        <v>#VALUE!</v>
      </c>
      <c r="AR1264" t="e">
        <f t="shared" ca="1" si="628"/>
        <v>#VALUE!</v>
      </c>
      <c r="AS1264" t="e">
        <f t="shared" ca="1" si="629"/>
        <v>#VALUE!</v>
      </c>
    </row>
    <row r="1265" spans="1:45" x14ac:dyDescent="0.35">
      <c r="A1265">
        <v>1116</v>
      </c>
      <c r="B1265">
        <v>1114.8900000000001</v>
      </c>
      <c r="C1265">
        <v>616076.30599999998</v>
      </c>
      <c r="D1265">
        <v>3096889.1510000001</v>
      </c>
      <c r="E1265">
        <v>632.00450000000001</v>
      </c>
      <c r="F1265">
        <v>5.2</v>
      </c>
      <c r="G1265">
        <v>0</v>
      </c>
      <c r="H1265" t="s">
        <v>191</v>
      </c>
      <c r="I1265">
        <v>2E-3</v>
      </c>
      <c r="J1265">
        <f t="shared" si="630"/>
        <v>1.0010000000002037</v>
      </c>
      <c r="K1265">
        <f t="shared" si="631"/>
        <v>51</v>
      </c>
      <c r="L1265" t="e">
        <f t="shared" ca="1" si="632"/>
        <v>#VALUE!</v>
      </c>
      <c r="M1265" t="e">
        <f t="shared" ca="1" si="605"/>
        <v>#VALUE!</v>
      </c>
      <c r="N1265" t="e">
        <f t="shared" ca="1" si="606"/>
        <v>#VALUE!</v>
      </c>
      <c r="O1265" t="e">
        <f t="shared" ca="1" si="607"/>
        <v>#VALUE!</v>
      </c>
      <c r="P1265" t="e">
        <f t="shared" ca="1" si="608"/>
        <v>#VALUE!</v>
      </c>
      <c r="Q1265" t="e">
        <f t="shared" ca="1" si="609"/>
        <v>#VALUE!</v>
      </c>
      <c r="R1265" t="e">
        <f t="shared" ca="1" si="610"/>
        <v>#VALUE!</v>
      </c>
      <c r="S1265" t="e">
        <f t="shared" ca="1" si="611"/>
        <v>#VALUE!</v>
      </c>
      <c r="T1265" t="e">
        <f t="shared" ca="1" si="612"/>
        <v>#VALUE!</v>
      </c>
      <c r="U1265" t="e">
        <f t="shared" ca="1" si="633"/>
        <v>#VALUE!</v>
      </c>
      <c r="V1265" t="e">
        <f t="shared" ca="1" si="634"/>
        <v>#VALUE!</v>
      </c>
      <c r="W1265" t="e">
        <f t="shared" ca="1" si="613"/>
        <v>#VALUE!</v>
      </c>
      <c r="X1265" t="e">
        <f t="shared" ca="1" si="614"/>
        <v>#VALUE!</v>
      </c>
      <c r="Y1265" t="e">
        <f t="shared" ca="1" si="615"/>
        <v>#VALUE!</v>
      </c>
      <c r="Z1265" t="e">
        <f t="shared" ca="1" si="616"/>
        <v>#VALUE!</v>
      </c>
      <c r="AA1265" t="e">
        <f t="shared" ca="1" si="617"/>
        <v>#VALUE!</v>
      </c>
      <c r="AB1265" t="e">
        <f t="shared" ca="1" si="618"/>
        <v>#VALUE!</v>
      </c>
      <c r="AC1265" t="e">
        <f t="shared" ca="1" si="619"/>
        <v>#VALUE!</v>
      </c>
      <c r="AD1265" t="e">
        <f t="shared" ca="1" si="620"/>
        <v>#VALUE!</v>
      </c>
      <c r="AE1265" t="e">
        <f t="shared" ca="1" si="621"/>
        <v>#VALUE!</v>
      </c>
      <c r="AF1265" t="e">
        <f t="shared" ca="1" si="622"/>
        <v>#VALUE!</v>
      </c>
      <c r="AG1265" t="e">
        <f t="shared" ca="1" si="623"/>
        <v>#VALUE!</v>
      </c>
      <c r="AH1265" t="e">
        <f ca="1">IF(V32="Supercritical",L1265,IF(V32="Subcritical",W1265,IF(AND(V1265=1,AG1265=1),IF(T1265&gt;=AE1265,L1265,W1265),IF(V1265=1,L1265,IF(AG1265=1,W1265,MAX($D$16,POWER((ABS(K1265)^2)/($I$5*MAX(F1265,0.1)^2),1/3)))))))</f>
        <v>#VALUE!</v>
      </c>
      <c r="AI1265" t="e">
        <f t="shared" ca="1" si="624"/>
        <v>#VALUE!</v>
      </c>
      <c r="AJ1265" t="e">
        <f t="shared" ca="1" si="625"/>
        <v>#VALUE!</v>
      </c>
      <c r="AM1265">
        <v>0</v>
      </c>
      <c r="AN1265">
        <v>0</v>
      </c>
      <c r="AO1265">
        <f t="shared" si="626"/>
        <v>0</v>
      </c>
      <c r="AP1265">
        <f t="shared" si="635"/>
        <v>0</v>
      </c>
      <c r="AQ1265" t="e">
        <f t="shared" ca="1" si="627"/>
        <v>#VALUE!</v>
      </c>
      <c r="AR1265" t="e">
        <f t="shared" ca="1" si="628"/>
        <v>#VALUE!</v>
      </c>
      <c r="AS1265" t="e">
        <f t="shared" ca="1" si="629"/>
        <v>#VALUE!</v>
      </c>
    </row>
    <row r="1266" spans="1:45" x14ac:dyDescent="0.35">
      <c r="A1266">
        <v>1117</v>
      </c>
      <c r="B1266">
        <v>1115.8900000000001</v>
      </c>
      <c r="C1266">
        <v>616076.26399999997</v>
      </c>
      <c r="D1266">
        <v>3096888.1519999998</v>
      </c>
      <c r="E1266">
        <v>632.00400000000002</v>
      </c>
      <c r="F1266">
        <v>5.2</v>
      </c>
      <c r="G1266">
        <v>0</v>
      </c>
      <c r="H1266" t="s">
        <v>191</v>
      </c>
      <c r="I1266">
        <v>0</v>
      </c>
      <c r="J1266">
        <f t="shared" si="630"/>
        <v>1</v>
      </c>
      <c r="K1266">
        <f t="shared" si="631"/>
        <v>51</v>
      </c>
      <c r="L1266" t="e">
        <f t="shared" ca="1" si="632"/>
        <v>#VALUE!</v>
      </c>
      <c r="M1266" t="e">
        <f t="shared" ca="1" si="605"/>
        <v>#VALUE!</v>
      </c>
      <c r="N1266" t="e">
        <f t="shared" ca="1" si="606"/>
        <v>#VALUE!</v>
      </c>
      <c r="O1266" t="e">
        <f t="shared" ca="1" si="607"/>
        <v>#VALUE!</v>
      </c>
      <c r="P1266" t="e">
        <f t="shared" ca="1" si="608"/>
        <v>#VALUE!</v>
      </c>
      <c r="Q1266" t="e">
        <f t="shared" ca="1" si="609"/>
        <v>#VALUE!</v>
      </c>
      <c r="R1266" t="e">
        <f t="shared" ca="1" si="610"/>
        <v>#VALUE!</v>
      </c>
      <c r="S1266" t="e">
        <f t="shared" ca="1" si="611"/>
        <v>#VALUE!</v>
      </c>
      <c r="T1266" t="e">
        <f t="shared" ca="1" si="612"/>
        <v>#VALUE!</v>
      </c>
      <c r="U1266" t="e">
        <f t="shared" ca="1" si="633"/>
        <v>#VALUE!</v>
      </c>
      <c r="V1266" t="e">
        <f t="shared" ca="1" si="634"/>
        <v>#VALUE!</v>
      </c>
      <c r="W1266" t="e">
        <f t="shared" ca="1" si="613"/>
        <v>#VALUE!</v>
      </c>
      <c r="X1266" t="e">
        <f t="shared" ca="1" si="614"/>
        <v>#VALUE!</v>
      </c>
      <c r="Y1266" t="e">
        <f t="shared" ca="1" si="615"/>
        <v>#VALUE!</v>
      </c>
      <c r="Z1266" t="e">
        <f t="shared" ca="1" si="616"/>
        <v>#VALUE!</v>
      </c>
      <c r="AA1266" t="e">
        <f t="shared" ca="1" si="617"/>
        <v>#VALUE!</v>
      </c>
      <c r="AB1266" t="e">
        <f t="shared" ca="1" si="618"/>
        <v>#VALUE!</v>
      </c>
      <c r="AC1266" t="e">
        <f t="shared" ca="1" si="619"/>
        <v>#VALUE!</v>
      </c>
      <c r="AD1266" t="e">
        <f t="shared" ca="1" si="620"/>
        <v>#VALUE!</v>
      </c>
      <c r="AE1266" t="e">
        <f t="shared" ca="1" si="621"/>
        <v>#VALUE!</v>
      </c>
      <c r="AF1266" t="e">
        <f t="shared" ca="1" si="622"/>
        <v>#VALUE!</v>
      </c>
      <c r="AG1266" t="e">
        <f t="shared" ca="1" si="623"/>
        <v>#VALUE!</v>
      </c>
      <c r="AH1266" t="e">
        <f ca="1">IF(V32="Supercritical",L1266,IF(V32="Subcritical",W1266,IF(AND(V1266=1,AG1266=1),IF(T1266&gt;=AE1266,L1266,W1266),IF(V1266=1,L1266,IF(AG1266=1,W1266,MAX($D$16,POWER((ABS(K1266)^2)/($I$5*MAX(F1266,0.1)^2),1/3)))))))</f>
        <v>#VALUE!</v>
      </c>
      <c r="AI1266" t="e">
        <f t="shared" ca="1" si="624"/>
        <v>#VALUE!</v>
      </c>
      <c r="AJ1266" t="e">
        <f t="shared" ca="1" si="625"/>
        <v>#VALUE!</v>
      </c>
      <c r="AM1266">
        <v>0</v>
      </c>
      <c r="AN1266">
        <v>0</v>
      </c>
      <c r="AO1266">
        <f t="shared" si="626"/>
        <v>0</v>
      </c>
      <c r="AP1266">
        <f t="shared" si="635"/>
        <v>0</v>
      </c>
      <c r="AQ1266" t="e">
        <f t="shared" ca="1" si="627"/>
        <v>#VALUE!</v>
      </c>
      <c r="AR1266" t="e">
        <f t="shared" ca="1" si="628"/>
        <v>#VALUE!</v>
      </c>
      <c r="AS1266" t="e">
        <f t="shared" ca="1" si="629"/>
        <v>#VALUE!</v>
      </c>
    </row>
    <row r="1267" spans="1:45" x14ac:dyDescent="0.35">
      <c r="A1267">
        <v>1118</v>
      </c>
      <c r="B1267">
        <v>1116.8900000000001</v>
      </c>
      <c r="C1267">
        <v>616076.22199999995</v>
      </c>
      <c r="D1267">
        <v>3096887.1529999999</v>
      </c>
      <c r="E1267">
        <v>632.00350000000003</v>
      </c>
      <c r="F1267">
        <v>5.2</v>
      </c>
      <c r="G1267">
        <v>0</v>
      </c>
      <c r="H1267" t="s">
        <v>191</v>
      </c>
      <c r="I1267">
        <v>5.7000000000000002E-2</v>
      </c>
      <c r="J1267">
        <f t="shared" si="630"/>
        <v>1</v>
      </c>
      <c r="K1267">
        <f t="shared" si="631"/>
        <v>51</v>
      </c>
      <c r="L1267" t="e">
        <f t="shared" ca="1" si="632"/>
        <v>#VALUE!</v>
      </c>
      <c r="M1267" t="e">
        <f t="shared" ca="1" si="605"/>
        <v>#VALUE!</v>
      </c>
      <c r="N1267" t="e">
        <f t="shared" ca="1" si="606"/>
        <v>#VALUE!</v>
      </c>
      <c r="O1267" t="e">
        <f t="shared" ca="1" si="607"/>
        <v>#VALUE!</v>
      </c>
      <c r="P1267" t="e">
        <f t="shared" ca="1" si="608"/>
        <v>#VALUE!</v>
      </c>
      <c r="Q1267" t="e">
        <f t="shared" ca="1" si="609"/>
        <v>#VALUE!</v>
      </c>
      <c r="R1267" t="e">
        <f t="shared" ca="1" si="610"/>
        <v>#VALUE!</v>
      </c>
      <c r="S1267" t="e">
        <f t="shared" ca="1" si="611"/>
        <v>#VALUE!</v>
      </c>
      <c r="T1267" t="e">
        <f t="shared" ca="1" si="612"/>
        <v>#VALUE!</v>
      </c>
      <c r="U1267" t="e">
        <f t="shared" ca="1" si="633"/>
        <v>#VALUE!</v>
      </c>
      <c r="V1267" t="e">
        <f t="shared" ca="1" si="634"/>
        <v>#VALUE!</v>
      </c>
      <c r="W1267" t="e">
        <f t="shared" ca="1" si="613"/>
        <v>#VALUE!</v>
      </c>
      <c r="X1267" t="e">
        <f t="shared" ca="1" si="614"/>
        <v>#VALUE!</v>
      </c>
      <c r="Y1267" t="e">
        <f t="shared" ca="1" si="615"/>
        <v>#VALUE!</v>
      </c>
      <c r="Z1267" t="e">
        <f t="shared" ca="1" si="616"/>
        <v>#VALUE!</v>
      </c>
      <c r="AA1267" t="e">
        <f t="shared" ca="1" si="617"/>
        <v>#VALUE!</v>
      </c>
      <c r="AB1267" t="e">
        <f t="shared" ca="1" si="618"/>
        <v>#VALUE!</v>
      </c>
      <c r="AC1267" t="e">
        <f t="shared" ca="1" si="619"/>
        <v>#VALUE!</v>
      </c>
      <c r="AD1267" t="e">
        <f t="shared" ca="1" si="620"/>
        <v>#VALUE!</v>
      </c>
      <c r="AE1267" t="e">
        <f t="shared" ca="1" si="621"/>
        <v>#VALUE!</v>
      </c>
      <c r="AF1267" t="e">
        <f t="shared" ca="1" si="622"/>
        <v>#VALUE!</v>
      </c>
      <c r="AG1267" t="e">
        <f t="shared" ca="1" si="623"/>
        <v>#VALUE!</v>
      </c>
      <c r="AH1267" t="e">
        <f ca="1">IF(V32="Supercritical",L1267,IF(V32="Subcritical",W1267,IF(AND(V1267=1,AG1267=1),IF(T1267&gt;=AE1267,L1267,W1267),IF(V1267=1,L1267,IF(AG1267=1,W1267,MAX($D$16,POWER((ABS(K1267)^2)/($I$5*MAX(F1267,0.1)^2),1/3)))))))</f>
        <v>#VALUE!</v>
      </c>
      <c r="AI1267" t="e">
        <f t="shared" ca="1" si="624"/>
        <v>#VALUE!</v>
      </c>
      <c r="AJ1267" t="e">
        <f t="shared" ca="1" si="625"/>
        <v>#VALUE!</v>
      </c>
      <c r="AM1267">
        <v>0</v>
      </c>
      <c r="AN1267">
        <v>0</v>
      </c>
      <c r="AO1267">
        <f t="shared" si="626"/>
        <v>0</v>
      </c>
      <c r="AP1267">
        <f t="shared" si="635"/>
        <v>0</v>
      </c>
      <c r="AQ1267" t="e">
        <f t="shared" ca="1" si="627"/>
        <v>#VALUE!</v>
      </c>
      <c r="AR1267" t="e">
        <f t="shared" ca="1" si="628"/>
        <v>#VALUE!</v>
      </c>
      <c r="AS1267" t="e">
        <f t="shared" ca="1" si="629"/>
        <v>#VALUE!</v>
      </c>
    </row>
    <row r="1268" spans="1:45" x14ac:dyDescent="0.35">
      <c r="A1268">
        <v>1119</v>
      </c>
      <c r="B1268">
        <v>1117.8889999999999</v>
      </c>
      <c r="C1268">
        <v>616076.179</v>
      </c>
      <c r="D1268">
        <v>3096886.1540000001</v>
      </c>
      <c r="E1268">
        <v>632.00300000000004</v>
      </c>
      <c r="F1268">
        <v>5.2</v>
      </c>
      <c r="G1268">
        <v>0</v>
      </c>
      <c r="H1268" t="s">
        <v>191</v>
      </c>
      <c r="I1268">
        <v>5.7000000000000002E-2</v>
      </c>
      <c r="J1268">
        <f t="shared" si="630"/>
        <v>0.99899999999979627</v>
      </c>
      <c r="K1268">
        <f t="shared" si="631"/>
        <v>51</v>
      </c>
      <c r="L1268" t="e">
        <f t="shared" ca="1" si="632"/>
        <v>#VALUE!</v>
      </c>
      <c r="M1268" t="e">
        <f t="shared" ca="1" si="605"/>
        <v>#VALUE!</v>
      </c>
      <c r="N1268" t="e">
        <f t="shared" ca="1" si="606"/>
        <v>#VALUE!</v>
      </c>
      <c r="O1268" t="e">
        <f t="shared" ca="1" si="607"/>
        <v>#VALUE!</v>
      </c>
      <c r="P1268" t="e">
        <f t="shared" ca="1" si="608"/>
        <v>#VALUE!</v>
      </c>
      <c r="Q1268" t="e">
        <f t="shared" ca="1" si="609"/>
        <v>#VALUE!</v>
      </c>
      <c r="R1268" t="e">
        <f t="shared" ca="1" si="610"/>
        <v>#VALUE!</v>
      </c>
      <c r="S1268" t="e">
        <f t="shared" ca="1" si="611"/>
        <v>#VALUE!</v>
      </c>
      <c r="T1268" t="e">
        <f t="shared" ca="1" si="612"/>
        <v>#VALUE!</v>
      </c>
      <c r="U1268" t="e">
        <f t="shared" ca="1" si="633"/>
        <v>#VALUE!</v>
      </c>
      <c r="V1268" t="e">
        <f t="shared" ca="1" si="634"/>
        <v>#VALUE!</v>
      </c>
      <c r="W1268" t="e">
        <f t="shared" ca="1" si="613"/>
        <v>#VALUE!</v>
      </c>
      <c r="X1268" t="e">
        <f t="shared" ca="1" si="614"/>
        <v>#VALUE!</v>
      </c>
      <c r="Y1268" t="e">
        <f t="shared" ca="1" si="615"/>
        <v>#VALUE!</v>
      </c>
      <c r="Z1268" t="e">
        <f t="shared" ca="1" si="616"/>
        <v>#VALUE!</v>
      </c>
      <c r="AA1268" t="e">
        <f t="shared" ca="1" si="617"/>
        <v>#VALUE!</v>
      </c>
      <c r="AB1268" t="e">
        <f t="shared" ca="1" si="618"/>
        <v>#VALUE!</v>
      </c>
      <c r="AC1268" t="e">
        <f t="shared" ca="1" si="619"/>
        <v>#VALUE!</v>
      </c>
      <c r="AD1268" t="e">
        <f t="shared" ca="1" si="620"/>
        <v>#VALUE!</v>
      </c>
      <c r="AE1268" t="e">
        <f t="shared" ca="1" si="621"/>
        <v>#VALUE!</v>
      </c>
      <c r="AF1268" t="e">
        <f t="shared" ca="1" si="622"/>
        <v>#VALUE!</v>
      </c>
      <c r="AG1268" t="e">
        <f t="shared" ca="1" si="623"/>
        <v>#VALUE!</v>
      </c>
      <c r="AH1268" t="e">
        <f ca="1">IF(V32="Supercritical",L1268,IF(V32="Subcritical",W1268,IF(AND(V1268=1,AG1268=1),IF(T1268&gt;=AE1268,L1268,W1268),IF(V1268=1,L1268,IF(AG1268=1,W1268,MAX($D$16,POWER((ABS(K1268)^2)/($I$5*MAX(F1268,0.1)^2),1/3)))))))</f>
        <v>#VALUE!</v>
      </c>
      <c r="AI1268" t="e">
        <f t="shared" ca="1" si="624"/>
        <v>#VALUE!</v>
      </c>
      <c r="AJ1268" t="e">
        <f t="shared" ca="1" si="625"/>
        <v>#VALUE!</v>
      </c>
      <c r="AM1268">
        <v>0</v>
      </c>
      <c r="AN1268">
        <v>0</v>
      </c>
      <c r="AO1268">
        <f t="shared" si="626"/>
        <v>0</v>
      </c>
      <c r="AP1268">
        <f t="shared" si="635"/>
        <v>0</v>
      </c>
      <c r="AQ1268" t="e">
        <f t="shared" ca="1" si="627"/>
        <v>#VALUE!</v>
      </c>
      <c r="AR1268" t="e">
        <f t="shared" ca="1" si="628"/>
        <v>#VALUE!</v>
      </c>
      <c r="AS1268" t="e">
        <f t="shared" ca="1" si="629"/>
        <v>#VALUE!</v>
      </c>
    </row>
    <row r="1269" spans="1:45" x14ac:dyDescent="0.35">
      <c r="A1269">
        <v>1120</v>
      </c>
      <c r="B1269">
        <v>1118.8889999999999</v>
      </c>
      <c r="C1269">
        <v>616076.13699999999</v>
      </c>
      <c r="D1269">
        <v>3096885.1549999998</v>
      </c>
      <c r="E1269">
        <v>632.00250000000005</v>
      </c>
      <c r="F1269">
        <v>5.2</v>
      </c>
      <c r="G1269">
        <v>0</v>
      </c>
      <c r="H1269" t="s">
        <v>191</v>
      </c>
      <c r="I1269">
        <v>0</v>
      </c>
      <c r="J1269">
        <f t="shared" si="630"/>
        <v>1</v>
      </c>
      <c r="K1269">
        <f t="shared" si="631"/>
        <v>51</v>
      </c>
      <c r="L1269" t="e">
        <f t="shared" ca="1" si="632"/>
        <v>#VALUE!</v>
      </c>
      <c r="M1269" t="e">
        <f t="shared" ca="1" si="605"/>
        <v>#VALUE!</v>
      </c>
      <c r="N1269" t="e">
        <f t="shared" ca="1" si="606"/>
        <v>#VALUE!</v>
      </c>
      <c r="O1269" t="e">
        <f t="shared" ca="1" si="607"/>
        <v>#VALUE!</v>
      </c>
      <c r="P1269" t="e">
        <f t="shared" ca="1" si="608"/>
        <v>#VALUE!</v>
      </c>
      <c r="Q1269" t="e">
        <f t="shared" ca="1" si="609"/>
        <v>#VALUE!</v>
      </c>
      <c r="R1269" t="e">
        <f t="shared" ca="1" si="610"/>
        <v>#VALUE!</v>
      </c>
      <c r="S1269" t="e">
        <f t="shared" ca="1" si="611"/>
        <v>#VALUE!</v>
      </c>
      <c r="T1269" t="e">
        <f t="shared" ca="1" si="612"/>
        <v>#VALUE!</v>
      </c>
      <c r="U1269" t="e">
        <f t="shared" ca="1" si="633"/>
        <v>#VALUE!</v>
      </c>
      <c r="V1269" t="e">
        <f t="shared" ca="1" si="634"/>
        <v>#VALUE!</v>
      </c>
      <c r="W1269" t="e">
        <f t="shared" ca="1" si="613"/>
        <v>#VALUE!</v>
      </c>
      <c r="X1269" t="e">
        <f t="shared" ca="1" si="614"/>
        <v>#VALUE!</v>
      </c>
      <c r="Y1269" t="e">
        <f t="shared" ca="1" si="615"/>
        <v>#VALUE!</v>
      </c>
      <c r="Z1269" t="e">
        <f t="shared" ca="1" si="616"/>
        <v>#VALUE!</v>
      </c>
      <c r="AA1269" t="e">
        <f t="shared" ca="1" si="617"/>
        <v>#VALUE!</v>
      </c>
      <c r="AB1269" t="e">
        <f t="shared" ca="1" si="618"/>
        <v>#VALUE!</v>
      </c>
      <c r="AC1269" t="e">
        <f t="shared" ca="1" si="619"/>
        <v>#VALUE!</v>
      </c>
      <c r="AD1269" t="e">
        <f t="shared" ca="1" si="620"/>
        <v>#VALUE!</v>
      </c>
      <c r="AE1269" t="e">
        <f t="shared" ca="1" si="621"/>
        <v>#VALUE!</v>
      </c>
      <c r="AF1269" t="e">
        <f t="shared" ca="1" si="622"/>
        <v>#VALUE!</v>
      </c>
      <c r="AG1269" t="e">
        <f t="shared" ca="1" si="623"/>
        <v>#VALUE!</v>
      </c>
      <c r="AH1269" t="e">
        <f ca="1">IF(V32="Supercritical",L1269,IF(V32="Subcritical",W1269,IF(AND(V1269=1,AG1269=1),IF(T1269&gt;=AE1269,L1269,W1269),IF(V1269=1,L1269,IF(AG1269=1,W1269,MAX($D$16,POWER((ABS(K1269)^2)/($I$5*MAX(F1269,0.1)^2),1/3)))))))</f>
        <v>#VALUE!</v>
      </c>
      <c r="AI1269" t="e">
        <f t="shared" ca="1" si="624"/>
        <v>#VALUE!</v>
      </c>
      <c r="AJ1269" t="e">
        <f t="shared" ca="1" si="625"/>
        <v>#VALUE!</v>
      </c>
      <c r="AM1269">
        <v>0</v>
      </c>
      <c r="AN1269">
        <v>0</v>
      </c>
      <c r="AO1269">
        <f t="shared" si="626"/>
        <v>0</v>
      </c>
      <c r="AP1269">
        <f t="shared" si="635"/>
        <v>0</v>
      </c>
      <c r="AQ1269" t="e">
        <f t="shared" ca="1" si="627"/>
        <v>#VALUE!</v>
      </c>
      <c r="AR1269" t="e">
        <f t="shared" ca="1" si="628"/>
        <v>#VALUE!</v>
      </c>
      <c r="AS1269" t="e">
        <f t="shared" ca="1" si="629"/>
        <v>#VALUE!</v>
      </c>
    </row>
    <row r="1270" spans="1:45" x14ac:dyDescent="0.35">
      <c r="A1270">
        <v>1121</v>
      </c>
      <c r="B1270">
        <v>1119.8889999999999</v>
      </c>
      <c r="C1270">
        <v>616076.09499999997</v>
      </c>
      <c r="D1270">
        <v>3096884.156</v>
      </c>
      <c r="E1270">
        <v>632.00199999999995</v>
      </c>
      <c r="F1270">
        <v>5.2</v>
      </c>
      <c r="G1270">
        <v>0</v>
      </c>
      <c r="H1270" t="s">
        <v>191</v>
      </c>
      <c r="I1270">
        <v>0</v>
      </c>
      <c r="J1270">
        <f t="shared" si="630"/>
        <v>1</v>
      </c>
      <c r="K1270">
        <f t="shared" si="631"/>
        <v>51</v>
      </c>
      <c r="L1270" t="e">
        <f t="shared" ca="1" si="632"/>
        <v>#VALUE!</v>
      </c>
      <c r="M1270" t="e">
        <f t="shared" ca="1" si="605"/>
        <v>#VALUE!</v>
      </c>
      <c r="N1270" t="e">
        <f t="shared" ca="1" si="606"/>
        <v>#VALUE!</v>
      </c>
      <c r="O1270" t="e">
        <f t="shared" ca="1" si="607"/>
        <v>#VALUE!</v>
      </c>
      <c r="P1270" t="e">
        <f t="shared" ca="1" si="608"/>
        <v>#VALUE!</v>
      </c>
      <c r="Q1270" t="e">
        <f t="shared" ca="1" si="609"/>
        <v>#VALUE!</v>
      </c>
      <c r="R1270" t="e">
        <f t="shared" ca="1" si="610"/>
        <v>#VALUE!</v>
      </c>
      <c r="S1270" t="e">
        <f t="shared" ca="1" si="611"/>
        <v>#VALUE!</v>
      </c>
      <c r="T1270" t="e">
        <f t="shared" ca="1" si="612"/>
        <v>#VALUE!</v>
      </c>
      <c r="U1270" t="e">
        <f t="shared" ca="1" si="633"/>
        <v>#VALUE!</v>
      </c>
      <c r="V1270" t="e">
        <f t="shared" ca="1" si="634"/>
        <v>#VALUE!</v>
      </c>
      <c r="W1270" t="e">
        <f t="shared" ca="1" si="613"/>
        <v>#VALUE!</v>
      </c>
      <c r="X1270" t="e">
        <f t="shared" ca="1" si="614"/>
        <v>#VALUE!</v>
      </c>
      <c r="Y1270" t="e">
        <f t="shared" ca="1" si="615"/>
        <v>#VALUE!</v>
      </c>
      <c r="Z1270" t="e">
        <f t="shared" ca="1" si="616"/>
        <v>#VALUE!</v>
      </c>
      <c r="AA1270" t="e">
        <f t="shared" ca="1" si="617"/>
        <v>#VALUE!</v>
      </c>
      <c r="AB1270" t="e">
        <f t="shared" ca="1" si="618"/>
        <v>#VALUE!</v>
      </c>
      <c r="AC1270" t="e">
        <f t="shared" ca="1" si="619"/>
        <v>#VALUE!</v>
      </c>
      <c r="AD1270" t="e">
        <f t="shared" ca="1" si="620"/>
        <v>#VALUE!</v>
      </c>
      <c r="AE1270" t="e">
        <f t="shared" ca="1" si="621"/>
        <v>#VALUE!</v>
      </c>
      <c r="AF1270" t="e">
        <f t="shared" ca="1" si="622"/>
        <v>#VALUE!</v>
      </c>
      <c r="AG1270" t="e">
        <f t="shared" ca="1" si="623"/>
        <v>#VALUE!</v>
      </c>
      <c r="AH1270" t="e">
        <f ca="1">IF(V32="Supercritical",L1270,IF(V32="Subcritical",W1270,IF(AND(V1270=1,AG1270=1),IF(T1270&gt;=AE1270,L1270,W1270),IF(V1270=1,L1270,IF(AG1270=1,W1270,MAX($D$16,POWER((ABS(K1270)^2)/($I$5*MAX(F1270,0.1)^2),1/3)))))))</f>
        <v>#VALUE!</v>
      </c>
      <c r="AI1270" t="e">
        <f t="shared" ca="1" si="624"/>
        <v>#VALUE!</v>
      </c>
      <c r="AJ1270" t="e">
        <f t="shared" ca="1" si="625"/>
        <v>#VALUE!</v>
      </c>
      <c r="AM1270">
        <v>0</v>
      </c>
      <c r="AN1270">
        <v>0</v>
      </c>
      <c r="AO1270">
        <f t="shared" si="626"/>
        <v>0</v>
      </c>
      <c r="AP1270">
        <f t="shared" si="635"/>
        <v>0</v>
      </c>
      <c r="AQ1270" t="e">
        <f t="shared" ca="1" si="627"/>
        <v>#VALUE!</v>
      </c>
      <c r="AR1270" t="e">
        <f t="shared" ca="1" si="628"/>
        <v>#VALUE!</v>
      </c>
      <c r="AS1270" t="e">
        <f t="shared" ca="1" si="629"/>
        <v>#VALUE!</v>
      </c>
    </row>
    <row r="1271" spans="1:45" x14ac:dyDescent="0.35">
      <c r="A1271">
        <v>1122</v>
      </c>
      <c r="B1271">
        <v>1120.8889999999999</v>
      </c>
      <c r="C1271">
        <v>616076.05299999996</v>
      </c>
      <c r="D1271">
        <v>3096883.1570000001</v>
      </c>
      <c r="E1271">
        <v>632.00149999999996</v>
      </c>
      <c r="F1271">
        <v>5.2</v>
      </c>
      <c r="G1271">
        <v>0</v>
      </c>
      <c r="H1271" t="s">
        <v>191</v>
      </c>
      <c r="I1271">
        <v>5.7000000000000002E-2</v>
      </c>
      <c r="J1271">
        <f t="shared" si="630"/>
        <v>1</v>
      </c>
      <c r="K1271">
        <f t="shared" si="631"/>
        <v>51</v>
      </c>
      <c r="L1271" t="e">
        <f t="shared" ca="1" si="632"/>
        <v>#VALUE!</v>
      </c>
      <c r="M1271" t="e">
        <f t="shared" ca="1" si="605"/>
        <v>#VALUE!</v>
      </c>
      <c r="N1271" t="e">
        <f t="shared" ca="1" si="606"/>
        <v>#VALUE!</v>
      </c>
      <c r="O1271" t="e">
        <f t="shared" ca="1" si="607"/>
        <v>#VALUE!</v>
      </c>
      <c r="P1271" t="e">
        <f t="shared" ca="1" si="608"/>
        <v>#VALUE!</v>
      </c>
      <c r="Q1271" t="e">
        <f t="shared" ca="1" si="609"/>
        <v>#VALUE!</v>
      </c>
      <c r="R1271" t="e">
        <f t="shared" ca="1" si="610"/>
        <v>#VALUE!</v>
      </c>
      <c r="S1271" t="e">
        <f t="shared" ca="1" si="611"/>
        <v>#VALUE!</v>
      </c>
      <c r="T1271" t="e">
        <f t="shared" ca="1" si="612"/>
        <v>#VALUE!</v>
      </c>
      <c r="U1271" t="e">
        <f t="shared" ca="1" si="633"/>
        <v>#VALUE!</v>
      </c>
      <c r="V1271" t="e">
        <f t="shared" ca="1" si="634"/>
        <v>#VALUE!</v>
      </c>
      <c r="W1271" t="e">
        <f t="shared" ca="1" si="613"/>
        <v>#VALUE!</v>
      </c>
      <c r="X1271" t="e">
        <f t="shared" ca="1" si="614"/>
        <v>#VALUE!</v>
      </c>
      <c r="Y1271" t="e">
        <f t="shared" ca="1" si="615"/>
        <v>#VALUE!</v>
      </c>
      <c r="Z1271" t="e">
        <f t="shared" ca="1" si="616"/>
        <v>#VALUE!</v>
      </c>
      <c r="AA1271" t="e">
        <f t="shared" ca="1" si="617"/>
        <v>#VALUE!</v>
      </c>
      <c r="AB1271" t="e">
        <f t="shared" ca="1" si="618"/>
        <v>#VALUE!</v>
      </c>
      <c r="AC1271" t="e">
        <f t="shared" ca="1" si="619"/>
        <v>#VALUE!</v>
      </c>
      <c r="AD1271" t="e">
        <f t="shared" ca="1" si="620"/>
        <v>#VALUE!</v>
      </c>
      <c r="AE1271" t="e">
        <f t="shared" ca="1" si="621"/>
        <v>#VALUE!</v>
      </c>
      <c r="AF1271" t="e">
        <f t="shared" ca="1" si="622"/>
        <v>#VALUE!</v>
      </c>
      <c r="AG1271" t="e">
        <f t="shared" ca="1" si="623"/>
        <v>#VALUE!</v>
      </c>
      <c r="AH1271" t="e">
        <f ca="1">IF(V32="Supercritical",L1271,IF(V32="Subcritical",W1271,IF(AND(V1271=1,AG1271=1),IF(T1271&gt;=AE1271,L1271,W1271),IF(V1271=1,L1271,IF(AG1271=1,W1271,MAX($D$16,POWER((ABS(K1271)^2)/($I$5*MAX(F1271,0.1)^2),1/3)))))))</f>
        <v>#VALUE!</v>
      </c>
      <c r="AI1271" t="e">
        <f t="shared" ca="1" si="624"/>
        <v>#VALUE!</v>
      </c>
      <c r="AJ1271" t="e">
        <f t="shared" ca="1" si="625"/>
        <v>#VALUE!</v>
      </c>
      <c r="AM1271">
        <v>0</v>
      </c>
      <c r="AN1271">
        <v>0</v>
      </c>
      <c r="AO1271">
        <f t="shared" si="626"/>
        <v>0</v>
      </c>
      <c r="AP1271">
        <f t="shared" si="635"/>
        <v>0</v>
      </c>
      <c r="AQ1271" t="e">
        <f t="shared" ca="1" si="627"/>
        <v>#VALUE!</v>
      </c>
      <c r="AR1271" t="e">
        <f t="shared" ca="1" si="628"/>
        <v>#VALUE!</v>
      </c>
      <c r="AS1271" t="e">
        <f t="shared" ca="1" si="629"/>
        <v>#VALUE!</v>
      </c>
    </row>
    <row r="1272" spans="1:45" x14ac:dyDescent="0.35">
      <c r="A1272">
        <v>1123</v>
      </c>
      <c r="B1272">
        <v>1121.8889999999999</v>
      </c>
      <c r="C1272">
        <v>616076.01</v>
      </c>
      <c r="D1272">
        <v>3096882.1579999998</v>
      </c>
      <c r="E1272">
        <v>632.00099999999998</v>
      </c>
      <c r="F1272">
        <v>5.2</v>
      </c>
      <c r="G1272">
        <v>0</v>
      </c>
      <c r="H1272" t="s">
        <v>191</v>
      </c>
      <c r="I1272">
        <v>5.7000000000000002E-2</v>
      </c>
      <c r="J1272">
        <f t="shared" si="630"/>
        <v>1</v>
      </c>
      <c r="K1272">
        <f t="shared" si="631"/>
        <v>51</v>
      </c>
      <c r="L1272" t="e">
        <f t="shared" ca="1" si="632"/>
        <v>#VALUE!</v>
      </c>
      <c r="M1272" t="e">
        <f t="shared" ca="1" si="605"/>
        <v>#VALUE!</v>
      </c>
      <c r="N1272" t="e">
        <f t="shared" ca="1" si="606"/>
        <v>#VALUE!</v>
      </c>
      <c r="O1272" t="e">
        <f t="shared" ca="1" si="607"/>
        <v>#VALUE!</v>
      </c>
      <c r="P1272" t="e">
        <f t="shared" ca="1" si="608"/>
        <v>#VALUE!</v>
      </c>
      <c r="Q1272" t="e">
        <f t="shared" ca="1" si="609"/>
        <v>#VALUE!</v>
      </c>
      <c r="R1272" t="e">
        <f t="shared" ca="1" si="610"/>
        <v>#VALUE!</v>
      </c>
      <c r="S1272" t="e">
        <f t="shared" ca="1" si="611"/>
        <v>#VALUE!</v>
      </c>
      <c r="T1272" t="e">
        <f t="shared" ca="1" si="612"/>
        <v>#VALUE!</v>
      </c>
      <c r="U1272" t="e">
        <f t="shared" ca="1" si="633"/>
        <v>#VALUE!</v>
      </c>
      <c r="V1272" t="e">
        <f t="shared" ca="1" si="634"/>
        <v>#VALUE!</v>
      </c>
      <c r="W1272" t="e">
        <f t="shared" ca="1" si="613"/>
        <v>#VALUE!</v>
      </c>
      <c r="X1272" t="e">
        <f t="shared" ca="1" si="614"/>
        <v>#VALUE!</v>
      </c>
      <c r="Y1272" t="e">
        <f t="shared" ca="1" si="615"/>
        <v>#VALUE!</v>
      </c>
      <c r="Z1272" t="e">
        <f t="shared" ca="1" si="616"/>
        <v>#VALUE!</v>
      </c>
      <c r="AA1272" t="e">
        <f t="shared" ca="1" si="617"/>
        <v>#VALUE!</v>
      </c>
      <c r="AB1272" t="e">
        <f t="shared" ca="1" si="618"/>
        <v>#VALUE!</v>
      </c>
      <c r="AC1272" t="e">
        <f t="shared" ca="1" si="619"/>
        <v>#VALUE!</v>
      </c>
      <c r="AD1272" t="e">
        <f t="shared" ca="1" si="620"/>
        <v>#VALUE!</v>
      </c>
      <c r="AE1272" t="e">
        <f t="shared" ca="1" si="621"/>
        <v>#VALUE!</v>
      </c>
      <c r="AF1272" t="e">
        <f t="shared" ca="1" si="622"/>
        <v>#VALUE!</v>
      </c>
      <c r="AG1272" t="e">
        <f t="shared" ca="1" si="623"/>
        <v>#VALUE!</v>
      </c>
      <c r="AH1272" t="e">
        <f ca="1">IF(V32="Supercritical",L1272,IF(V32="Subcritical",W1272,IF(AND(V1272=1,AG1272=1),IF(T1272&gt;=AE1272,L1272,W1272),IF(V1272=1,L1272,IF(AG1272=1,W1272,MAX($D$16,POWER((ABS(K1272)^2)/($I$5*MAX(F1272,0.1)^2),1/3)))))))</f>
        <v>#VALUE!</v>
      </c>
      <c r="AI1272" t="e">
        <f t="shared" ca="1" si="624"/>
        <v>#VALUE!</v>
      </c>
      <c r="AJ1272" t="e">
        <f t="shared" ca="1" si="625"/>
        <v>#VALUE!</v>
      </c>
      <c r="AM1272">
        <v>0</v>
      </c>
      <c r="AN1272">
        <v>0</v>
      </c>
      <c r="AO1272">
        <f t="shared" si="626"/>
        <v>0</v>
      </c>
      <c r="AP1272">
        <f t="shared" si="635"/>
        <v>0</v>
      </c>
      <c r="AQ1272" t="e">
        <f t="shared" ca="1" si="627"/>
        <v>#VALUE!</v>
      </c>
      <c r="AR1272" t="e">
        <f t="shared" ca="1" si="628"/>
        <v>#VALUE!</v>
      </c>
      <c r="AS1272" t="e">
        <f t="shared" ca="1" si="629"/>
        <v>#VALUE!</v>
      </c>
    </row>
    <row r="1273" spans="1:45" x14ac:dyDescent="0.35">
      <c r="A1273">
        <v>1124</v>
      </c>
      <c r="B1273">
        <v>1122.8889999999999</v>
      </c>
      <c r="C1273">
        <v>616075.96799999999</v>
      </c>
      <c r="D1273">
        <v>3096881.159</v>
      </c>
      <c r="E1273">
        <v>632.00049999999999</v>
      </c>
      <c r="F1273">
        <v>5.2</v>
      </c>
      <c r="G1273">
        <v>0</v>
      </c>
      <c r="H1273" t="s">
        <v>191</v>
      </c>
      <c r="I1273">
        <v>0</v>
      </c>
      <c r="J1273">
        <f t="shared" si="630"/>
        <v>1</v>
      </c>
      <c r="K1273">
        <f t="shared" si="631"/>
        <v>51</v>
      </c>
      <c r="L1273" t="e">
        <f t="shared" ca="1" si="632"/>
        <v>#VALUE!</v>
      </c>
      <c r="M1273" t="e">
        <f t="shared" ca="1" si="605"/>
        <v>#VALUE!</v>
      </c>
      <c r="N1273" t="e">
        <f t="shared" ca="1" si="606"/>
        <v>#VALUE!</v>
      </c>
      <c r="O1273" t="e">
        <f t="shared" ca="1" si="607"/>
        <v>#VALUE!</v>
      </c>
      <c r="P1273" t="e">
        <f t="shared" ca="1" si="608"/>
        <v>#VALUE!</v>
      </c>
      <c r="Q1273" t="e">
        <f t="shared" ca="1" si="609"/>
        <v>#VALUE!</v>
      </c>
      <c r="R1273" t="e">
        <f t="shared" ca="1" si="610"/>
        <v>#VALUE!</v>
      </c>
      <c r="S1273" t="e">
        <f t="shared" ca="1" si="611"/>
        <v>#VALUE!</v>
      </c>
      <c r="T1273" t="e">
        <f t="shared" ca="1" si="612"/>
        <v>#VALUE!</v>
      </c>
      <c r="U1273" t="e">
        <f t="shared" ca="1" si="633"/>
        <v>#VALUE!</v>
      </c>
      <c r="V1273" t="e">
        <f t="shared" ca="1" si="634"/>
        <v>#VALUE!</v>
      </c>
      <c r="W1273" t="e">
        <f t="shared" ca="1" si="613"/>
        <v>#VALUE!</v>
      </c>
      <c r="X1273" t="e">
        <f t="shared" ca="1" si="614"/>
        <v>#VALUE!</v>
      </c>
      <c r="Y1273" t="e">
        <f t="shared" ca="1" si="615"/>
        <v>#VALUE!</v>
      </c>
      <c r="Z1273" t="e">
        <f t="shared" ca="1" si="616"/>
        <v>#VALUE!</v>
      </c>
      <c r="AA1273" t="e">
        <f t="shared" ca="1" si="617"/>
        <v>#VALUE!</v>
      </c>
      <c r="AB1273" t="e">
        <f t="shared" ca="1" si="618"/>
        <v>#VALUE!</v>
      </c>
      <c r="AC1273" t="e">
        <f t="shared" ca="1" si="619"/>
        <v>#VALUE!</v>
      </c>
      <c r="AD1273" t="e">
        <f t="shared" ca="1" si="620"/>
        <v>#VALUE!</v>
      </c>
      <c r="AE1273" t="e">
        <f t="shared" ca="1" si="621"/>
        <v>#VALUE!</v>
      </c>
      <c r="AF1273" t="e">
        <f t="shared" ca="1" si="622"/>
        <v>#VALUE!</v>
      </c>
      <c r="AG1273" t="e">
        <f t="shared" ca="1" si="623"/>
        <v>#VALUE!</v>
      </c>
      <c r="AH1273" t="e">
        <f ca="1">IF(V32="Supercritical",L1273,IF(V32="Subcritical",W1273,IF(AND(V1273=1,AG1273=1),IF(T1273&gt;=AE1273,L1273,W1273),IF(V1273=1,L1273,IF(AG1273=1,W1273,MAX($D$16,POWER((ABS(K1273)^2)/($I$5*MAX(F1273,0.1)^2),1/3)))))))</f>
        <v>#VALUE!</v>
      </c>
      <c r="AI1273" t="e">
        <f t="shared" ca="1" si="624"/>
        <v>#VALUE!</v>
      </c>
      <c r="AJ1273" t="e">
        <f t="shared" ca="1" si="625"/>
        <v>#VALUE!</v>
      </c>
      <c r="AM1273">
        <v>0</v>
      </c>
      <c r="AN1273">
        <v>0</v>
      </c>
      <c r="AO1273">
        <f t="shared" si="626"/>
        <v>0</v>
      </c>
      <c r="AP1273">
        <f t="shared" si="635"/>
        <v>0</v>
      </c>
      <c r="AQ1273" t="e">
        <f t="shared" ca="1" si="627"/>
        <v>#VALUE!</v>
      </c>
      <c r="AR1273" t="e">
        <f t="shared" ca="1" si="628"/>
        <v>#VALUE!</v>
      </c>
      <c r="AS1273" t="e">
        <f t="shared" ca="1" si="629"/>
        <v>#VALUE!</v>
      </c>
    </row>
    <row r="1274" spans="1:45" x14ac:dyDescent="0.35">
      <c r="A1274">
        <v>1125</v>
      </c>
      <c r="B1274">
        <v>1123.8889999999999</v>
      </c>
      <c r="C1274">
        <v>616075.92599999998</v>
      </c>
      <c r="D1274">
        <v>3096880.16</v>
      </c>
      <c r="E1274">
        <v>632</v>
      </c>
      <c r="F1274">
        <v>5.2</v>
      </c>
      <c r="G1274">
        <v>0</v>
      </c>
      <c r="H1274" t="s">
        <v>191</v>
      </c>
      <c r="I1274">
        <v>2E-3</v>
      </c>
      <c r="J1274">
        <f t="shared" si="630"/>
        <v>1</v>
      </c>
      <c r="K1274">
        <f t="shared" si="631"/>
        <v>51</v>
      </c>
      <c r="L1274" t="e">
        <f t="shared" ca="1" si="632"/>
        <v>#VALUE!</v>
      </c>
      <c r="M1274" t="e">
        <f t="shared" ca="1" si="605"/>
        <v>#VALUE!</v>
      </c>
      <c r="N1274" t="e">
        <f t="shared" ca="1" si="606"/>
        <v>#VALUE!</v>
      </c>
      <c r="O1274" t="e">
        <f t="shared" ca="1" si="607"/>
        <v>#VALUE!</v>
      </c>
      <c r="P1274" t="e">
        <f t="shared" ca="1" si="608"/>
        <v>#VALUE!</v>
      </c>
      <c r="Q1274" t="e">
        <f t="shared" ca="1" si="609"/>
        <v>#VALUE!</v>
      </c>
      <c r="R1274" t="e">
        <f t="shared" ca="1" si="610"/>
        <v>#VALUE!</v>
      </c>
      <c r="S1274" t="e">
        <f t="shared" ca="1" si="611"/>
        <v>#VALUE!</v>
      </c>
      <c r="T1274" t="e">
        <f t="shared" ca="1" si="612"/>
        <v>#VALUE!</v>
      </c>
      <c r="U1274" t="e">
        <f t="shared" ca="1" si="633"/>
        <v>#VALUE!</v>
      </c>
      <c r="V1274" t="e">
        <f t="shared" ca="1" si="634"/>
        <v>#VALUE!</v>
      </c>
      <c r="W1274" t="e">
        <f t="shared" ca="1" si="613"/>
        <v>#VALUE!</v>
      </c>
      <c r="X1274" t="e">
        <f t="shared" ca="1" si="614"/>
        <v>#VALUE!</v>
      </c>
      <c r="Y1274" t="e">
        <f t="shared" ca="1" si="615"/>
        <v>#VALUE!</v>
      </c>
      <c r="Z1274" t="e">
        <f t="shared" ca="1" si="616"/>
        <v>#VALUE!</v>
      </c>
      <c r="AA1274" t="e">
        <f t="shared" ca="1" si="617"/>
        <v>#VALUE!</v>
      </c>
      <c r="AB1274" t="e">
        <f t="shared" ca="1" si="618"/>
        <v>#VALUE!</v>
      </c>
      <c r="AC1274" t="e">
        <f t="shared" ca="1" si="619"/>
        <v>#VALUE!</v>
      </c>
      <c r="AD1274" t="e">
        <f t="shared" ca="1" si="620"/>
        <v>#VALUE!</v>
      </c>
      <c r="AE1274" t="e">
        <f t="shared" ca="1" si="621"/>
        <v>#VALUE!</v>
      </c>
      <c r="AF1274" t="e">
        <f t="shared" ca="1" si="622"/>
        <v>#VALUE!</v>
      </c>
      <c r="AG1274" t="e">
        <f t="shared" ca="1" si="623"/>
        <v>#VALUE!</v>
      </c>
      <c r="AH1274" t="e">
        <f ca="1">IF(V32="Supercritical",L1274,IF(V32="Subcritical",W1274,IF(AND(V1274=1,AG1274=1),IF(T1274&gt;=AE1274,L1274,W1274),IF(V1274=1,L1274,IF(AG1274=1,W1274,MAX($D$16,POWER((ABS(K1274)^2)/($I$5*MAX(F1274,0.1)^2),1/3)))))))</f>
        <v>#VALUE!</v>
      </c>
      <c r="AI1274" t="e">
        <f t="shared" ca="1" si="624"/>
        <v>#VALUE!</v>
      </c>
      <c r="AJ1274" t="e">
        <f t="shared" ca="1" si="625"/>
        <v>#VALUE!</v>
      </c>
      <c r="AM1274">
        <v>0</v>
      </c>
      <c r="AN1274">
        <v>0</v>
      </c>
      <c r="AO1274">
        <f t="shared" si="626"/>
        <v>0</v>
      </c>
      <c r="AP1274">
        <f t="shared" si="635"/>
        <v>0</v>
      </c>
      <c r="AQ1274" t="e">
        <f t="shared" ca="1" si="627"/>
        <v>#VALUE!</v>
      </c>
      <c r="AR1274" t="e">
        <f t="shared" ca="1" si="628"/>
        <v>#VALUE!</v>
      </c>
      <c r="AS1274" t="e">
        <f t="shared" ca="1" si="629"/>
        <v>#VALUE!</v>
      </c>
    </row>
    <row r="1275" spans="1:45" x14ac:dyDescent="0.35">
      <c r="A1275">
        <v>1126</v>
      </c>
      <c r="B1275">
        <v>1124.8900000000001</v>
      </c>
      <c r="C1275">
        <v>616075.88399999996</v>
      </c>
      <c r="D1275">
        <v>3096879.16</v>
      </c>
      <c r="E1275">
        <v>631.99950000000001</v>
      </c>
      <c r="F1275">
        <v>5.2</v>
      </c>
      <c r="G1275">
        <v>0</v>
      </c>
      <c r="H1275" t="s">
        <v>191</v>
      </c>
      <c r="I1275">
        <v>0.06</v>
      </c>
      <c r="J1275">
        <f t="shared" si="630"/>
        <v>1.0010000000002037</v>
      </c>
      <c r="K1275">
        <f t="shared" si="631"/>
        <v>51</v>
      </c>
      <c r="L1275" t="e">
        <f t="shared" ca="1" si="632"/>
        <v>#VALUE!</v>
      </c>
      <c r="M1275" t="e">
        <f t="shared" ca="1" si="605"/>
        <v>#VALUE!</v>
      </c>
      <c r="N1275" t="e">
        <f t="shared" ca="1" si="606"/>
        <v>#VALUE!</v>
      </c>
      <c r="O1275" t="e">
        <f t="shared" ca="1" si="607"/>
        <v>#VALUE!</v>
      </c>
      <c r="P1275" t="e">
        <f t="shared" ca="1" si="608"/>
        <v>#VALUE!</v>
      </c>
      <c r="Q1275" t="e">
        <f t="shared" ca="1" si="609"/>
        <v>#VALUE!</v>
      </c>
      <c r="R1275" t="e">
        <f t="shared" ca="1" si="610"/>
        <v>#VALUE!</v>
      </c>
      <c r="S1275" t="e">
        <f t="shared" ca="1" si="611"/>
        <v>#VALUE!</v>
      </c>
      <c r="T1275" t="e">
        <f t="shared" ca="1" si="612"/>
        <v>#VALUE!</v>
      </c>
      <c r="U1275" t="e">
        <f t="shared" ca="1" si="633"/>
        <v>#VALUE!</v>
      </c>
      <c r="V1275" t="e">
        <f t="shared" ca="1" si="634"/>
        <v>#VALUE!</v>
      </c>
      <c r="W1275" t="e">
        <f t="shared" ca="1" si="613"/>
        <v>#VALUE!</v>
      </c>
      <c r="X1275" t="e">
        <f t="shared" ca="1" si="614"/>
        <v>#VALUE!</v>
      </c>
      <c r="Y1275" t="e">
        <f t="shared" ca="1" si="615"/>
        <v>#VALUE!</v>
      </c>
      <c r="Z1275" t="e">
        <f t="shared" ca="1" si="616"/>
        <v>#VALUE!</v>
      </c>
      <c r="AA1275" t="e">
        <f t="shared" ca="1" si="617"/>
        <v>#VALUE!</v>
      </c>
      <c r="AB1275" t="e">
        <f t="shared" ca="1" si="618"/>
        <v>#VALUE!</v>
      </c>
      <c r="AC1275" t="e">
        <f t="shared" ca="1" si="619"/>
        <v>#VALUE!</v>
      </c>
      <c r="AD1275" t="e">
        <f t="shared" ca="1" si="620"/>
        <v>#VALUE!</v>
      </c>
      <c r="AE1275" t="e">
        <f t="shared" ca="1" si="621"/>
        <v>#VALUE!</v>
      </c>
      <c r="AF1275" t="e">
        <f t="shared" ca="1" si="622"/>
        <v>#VALUE!</v>
      </c>
      <c r="AG1275" t="e">
        <f t="shared" ca="1" si="623"/>
        <v>#VALUE!</v>
      </c>
      <c r="AH1275" t="e">
        <f ca="1">IF(V32="Supercritical",L1275,IF(V32="Subcritical",W1275,IF(AND(V1275=1,AG1275=1),IF(T1275&gt;=AE1275,L1275,W1275),IF(V1275=1,L1275,IF(AG1275=1,W1275,MAX($D$16,POWER((ABS(K1275)^2)/($I$5*MAX(F1275,0.1)^2),1/3)))))))</f>
        <v>#VALUE!</v>
      </c>
      <c r="AI1275" t="e">
        <f t="shared" ca="1" si="624"/>
        <v>#VALUE!</v>
      </c>
      <c r="AJ1275" t="e">
        <f t="shared" ca="1" si="625"/>
        <v>#VALUE!</v>
      </c>
      <c r="AM1275">
        <v>0</v>
      </c>
      <c r="AN1275">
        <v>0</v>
      </c>
      <c r="AO1275">
        <f t="shared" si="626"/>
        <v>0</v>
      </c>
      <c r="AP1275">
        <f t="shared" si="635"/>
        <v>0</v>
      </c>
      <c r="AQ1275" t="e">
        <f t="shared" ca="1" si="627"/>
        <v>#VALUE!</v>
      </c>
      <c r="AR1275" t="e">
        <f t="shared" ca="1" si="628"/>
        <v>#VALUE!</v>
      </c>
      <c r="AS1275" t="e">
        <f t="shared" ca="1" si="629"/>
        <v>#VALUE!</v>
      </c>
    </row>
    <row r="1276" spans="1:45" x14ac:dyDescent="0.35">
      <c r="A1276">
        <v>1127</v>
      </c>
      <c r="B1276">
        <v>1125.8900000000001</v>
      </c>
      <c r="C1276">
        <v>616075.84100000001</v>
      </c>
      <c r="D1276">
        <v>3096878.1609999998</v>
      </c>
      <c r="E1276">
        <v>631.99900000000002</v>
      </c>
      <c r="F1276">
        <v>5.2</v>
      </c>
      <c r="G1276">
        <v>0</v>
      </c>
      <c r="H1276" t="s">
        <v>191</v>
      </c>
      <c r="I1276">
        <v>5.7000000000000002E-2</v>
      </c>
      <c r="J1276">
        <f t="shared" si="630"/>
        <v>1</v>
      </c>
      <c r="K1276">
        <f t="shared" si="631"/>
        <v>51</v>
      </c>
      <c r="L1276" t="e">
        <f t="shared" ca="1" si="632"/>
        <v>#VALUE!</v>
      </c>
      <c r="M1276" t="e">
        <f t="shared" ca="1" si="605"/>
        <v>#VALUE!</v>
      </c>
      <c r="N1276" t="e">
        <f t="shared" ca="1" si="606"/>
        <v>#VALUE!</v>
      </c>
      <c r="O1276" t="e">
        <f t="shared" ca="1" si="607"/>
        <v>#VALUE!</v>
      </c>
      <c r="P1276" t="e">
        <f t="shared" ca="1" si="608"/>
        <v>#VALUE!</v>
      </c>
      <c r="Q1276" t="e">
        <f t="shared" ca="1" si="609"/>
        <v>#VALUE!</v>
      </c>
      <c r="R1276" t="e">
        <f t="shared" ca="1" si="610"/>
        <v>#VALUE!</v>
      </c>
      <c r="S1276" t="e">
        <f t="shared" ca="1" si="611"/>
        <v>#VALUE!</v>
      </c>
      <c r="T1276" t="e">
        <f t="shared" ca="1" si="612"/>
        <v>#VALUE!</v>
      </c>
      <c r="U1276" t="e">
        <f t="shared" ca="1" si="633"/>
        <v>#VALUE!</v>
      </c>
      <c r="V1276" t="e">
        <f t="shared" ca="1" si="634"/>
        <v>#VALUE!</v>
      </c>
      <c r="W1276" t="e">
        <f t="shared" ca="1" si="613"/>
        <v>#VALUE!</v>
      </c>
      <c r="X1276" t="e">
        <f t="shared" ca="1" si="614"/>
        <v>#VALUE!</v>
      </c>
      <c r="Y1276" t="e">
        <f t="shared" ca="1" si="615"/>
        <v>#VALUE!</v>
      </c>
      <c r="Z1276" t="e">
        <f t="shared" ca="1" si="616"/>
        <v>#VALUE!</v>
      </c>
      <c r="AA1276" t="e">
        <f t="shared" ca="1" si="617"/>
        <v>#VALUE!</v>
      </c>
      <c r="AB1276" t="e">
        <f t="shared" ca="1" si="618"/>
        <v>#VALUE!</v>
      </c>
      <c r="AC1276" t="e">
        <f t="shared" ca="1" si="619"/>
        <v>#VALUE!</v>
      </c>
      <c r="AD1276" t="e">
        <f t="shared" ca="1" si="620"/>
        <v>#VALUE!</v>
      </c>
      <c r="AE1276" t="e">
        <f t="shared" ca="1" si="621"/>
        <v>#VALUE!</v>
      </c>
      <c r="AF1276" t="e">
        <f t="shared" ca="1" si="622"/>
        <v>#VALUE!</v>
      </c>
      <c r="AG1276" t="e">
        <f t="shared" ca="1" si="623"/>
        <v>#VALUE!</v>
      </c>
      <c r="AH1276" t="e">
        <f ca="1">IF(V32="Supercritical",L1276,IF(V32="Subcritical",W1276,IF(AND(V1276=1,AG1276=1),IF(T1276&gt;=AE1276,L1276,W1276),IF(V1276=1,L1276,IF(AG1276=1,W1276,MAX($D$16,POWER((ABS(K1276)^2)/($I$5*MAX(F1276,0.1)^2),1/3)))))))</f>
        <v>#VALUE!</v>
      </c>
      <c r="AI1276" t="e">
        <f t="shared" ca="1" si="624"/>
        <v>#VALUE!</v>
      </c>
      <c r="AJ1276" t="e">
        <f t="shared" ca="1" si="625"/>
        <v>#VALUE!</v>
      </c>
      <c r="AM1276">
        <v>0</v>
      </c>
      <c r="AN1276">
        <v>0</v>
      </c>
      <c r="AO1276">
        <f t="shared" si="626"/>
        <v>0</v>
      </c>
      <c r="AP1276">
        <f t="shared" si="635"/>
        <v>0</v>
      </c>
      <c r="AQ1276" t="e">
        <f t="shared" ca="1" si="627"/>
        <v>#VALUE!</v>
      </c>
      <c r="AR1276" t="e">
        <f t="shared" ca="1" si="628"/>
        <v>#VALUE!</v>
      </c>
      <c r="AS1276" t="e">
        <f t="shared" ca="1" si="629"/>
        <v>#VALUE!</v>
      </c>
    </row>
    <row r="1277" spans="1:45" x14ac:dyDescent="0.35">
      <c r="A1277">
        <v>1128</v>
      </c>
      <c r="B1277">
        <v>1126.8889999999999</v>
      </c>
      <c r="C1277">
        <v>616075.799</v>
      </c>
      <c r="D1277">
        <v>3096877.162</v>
      </c>
      <c r="E1277">
        <v>631.99850000000004</v>
      </c>
      <c r="F1277">
        <v>5.2</v>
      </c>
      <c r="G1277">
        <v>0</v>
      </c>
      <c r="H1277" t="s">
        <v>191</v>
      </c>
      <c r="I1277">
        <v>0</v>
      </c>
      <c r="J1277">
        <f t="shared" si="630"/>
        <v>0.99899999999979627</v>
      </c>
      <c r="K1277">
        <f t="shared" si="631"/>
        <v>51</v>
      </c>
      <c r="L1277" t="e">
        <f t="shared" ca="1" si="632"/>
        <v>#VALUE!</v>
      </c>
      <c r="M1277" t="e">
        <f t="shared" ca="1" si="605"/>
        <v>#VALUE!</v>
      </c>
      <c r="N1277" t="e">
        <f t="shared" ca="1" si="606"/>
        <v>#VALUE!</v>
      </c>
      <c r="O1277" t="e">
        <f t="shared" ca="1" si="607"/>
        <v>#VALUE!</v>
      </c>
      <c r="P1277" t="e">
        <f t="shared" ca="1" si="608"/>
        <v>#VALUE!</v>
      </c>
      <c r="Q1277" t="e">
        <f t="shared" ca="1" si="609"/>
        <v>#VALUE!</v>
      </c>
      <c r="R1277" t="e">
        <f t="shared" ca="1" si="610"/>
        <v>#VALUE!</v>
      </c>
      <c r="S1277" t="e">
        <f t="shared" ca="1" si="611"/>
        <v>#VALUE!</v>
      </c>
      <c r="T1277" t="e">
        <f t="shared" ca="1" si="612"/>
        <v>#VALUE!</v>
      </c>
      <c r="U1277" t="e">
        <f t="shared" ca="1" si="633"/>
        <v>#VALUE!</v>
      </c>
      <c r="V1277" t="e">
        <f t="shared" ca="1" si="634"/>
        <v>#VALUE!</v>
      </c>
      <c r="W1277" t="e">
        <f t="shared" ca="1" si="613"/>
        <v>#VALUE!</v>
      </c>
      <c r="X1277" t="e">
        <f t="shared" ca="1" si="614"/>
        <v>#VALUE!</v>
      </c>
      <c r="Y1277" t="e">
        <f t="shared" ca="1" si="615"/>
        <v>#VALUE!</v>
      </c>
      <c r="Z1277" t="e">
        <f t="shared" ca="1" si="616"/>
        <v>#VALUE!</v>
      </c>
      <c r="AA1277" t="e">
        <f t="shared" ca="1" si="617"/>
        <v>#VALUE!</v>
      </c>
      <c r="AB1277" t="e">
        <f t="shared" ca="1" si="618"/>
        <v>#VALUE!</v>
      </c>
      <c r="AC1277" t="e">
        <f t="shared" ca="1" si="619"/>
        <v>#VALUE!</v>
      </c>
      <c r="AD1277" t="e">
        <f t="shared" ca="1" si="620"/>
        <v>#VALUE!</v>
      </c>
      <c r="AE1277" t="e">
        <f t="shared" ca="1" si="621"/>
        <v>#VALUE!</v>
      </c>
      <c r="AF1277" t="e">
        <f t="shared" ca="1" si="622"/>
        <v>#VALUE!</v>
      </c>
      <c r="AG1277" t="e">
        <f t="shared" ca="1" si="623"/>
        <v>#VALUE!</v>
      </c>
      <c r="AH1277" t="e">
        <f ca="1">IF(V32="Supercritical",L1277,IF(V32="Subcritical",W1277,IF(AND(V1277=1,AG1277=1),IF(T1277&gt;=AE1277,L1277,W1277),IF(V1277=1,L1277,IF(AG1277=1,W1277,MAX($D$16,POWER((ABS(K1277)^2)/($I$5*MAX(F1277,0.1)^2),1/3)))))))</f>
        <v>#VALUE!</v>
      </c>
      <c r="AI1277" t="e">
        <f t="shared" ca="1" si="624"/>
        <v>#VALUE!</v>
      </c>
      <c r="AJ1277" t="e">
        <f t="shared" ca="1" si="625"/>
        <v>#VALUE!</v>
      </c>
      <c r="AM1277">
        <v>0</v>
      </c>
      <c r="AN1277">
        <v>0</v>
      </c>
      <c r="AO1277">
        <f t="shared" si="626"/>
        <v>0</v>
      </c>
      <c r="AP1277">
        <f t="shared" si="635"/>
        <v>0</v>
      </c>
      <c r="AQ1277" t="e">
        <f t="shared" ca="1" si="627"/>
        <v>#VALUE!</v>
      </c>
      <c r="AR1277" t="e">
        <f t="shared" ca="1" si="628"/>
        <v>#VALUE!</v>
      </c>
      <c r="AS1277" t="e">
        <f t="shared" ca="1" si="629"/>
        <v>#VALUE!</v>
      </c>
    </row>
    <row r="1278" spans="1:45" x14ac:dyDescent="0.35">
      <c r="A1278">
        <v>1129</v>
      </c>
      <c r="B1278">
        <v>1127.8889999999999</v>
      </c>
      <c r="C1278">
        <v>616075.75699999998</v>
      </c>
      <c r="D1278">
        <v>3096876.1630000002</v>
      </c>
      <c r="E1278">
        <v>631.99800000000005</v>
      </c>
      <c r="F1278">
        <v>5.2</v>
      </c>
      <c r="G1278">
        <v>0</v>
      </c>
      <c r="H1278" t="s">
        <v>191</v>
      </c>
      <c r="I1278">
        <v>0</v>
      </c>
      <c r="J1278">
        <f t="shared" si="630"/>
        <v>1</v>
      </c>
      <c r="K1278">
        <f t="shared" si="631"/>
        <v>51</v>
      </c>
      <c r="L1278" t="e">
        <f t="shared" ca="1" si="632"/>
        <v>#VALUE!</v>
      </c>
      <c r="M1278" t="e">
        <f t="shared" ca="1" si="605"/>
        <v>#VALUE!</v>
      </c>
      <c r="N1278" t="e">
        <f t="shared" ca="1" si="606"/>
        <v>#VALUE!</v>
      </c>
      <c r="O1278" t="e">
        <f t="shared" ca="1" si="607"/>
        <v>#VALUE!</v>
      </c>
      <c r="P1278" t="e">
        <f t="shared" ca="1" si="608"/>
        <v>#VALUE!</v>
      </c>
      <c r="Q1278" t="e">
        <f t="shared" ca="1" si="609"/>
        <v>#VALUE!</v>
      </c>
      <c r="R1278" t="e">
        <f t="shared" ca="1" si="610"/>
        <v>#VALUE!</v>
      </c>
      <c r="S1278" t="e">
        <f t="shared" ca="1" si="611"/>
        <v>#VALUE!</v>
      </c>
      <c r="T1278" t="e">
        <f t="shared" ca="1" si="612"/>
        <v>#VALUE!</v>
      </c>
      <c r="U1278" t="e">
        <f t="shared" ca="1" si="633"/>
        <v>#VALUE!</v>
      </c>
      <c r="V1278" t="e">
        <f t="shared" ca="1" si="634"/>
        <v>#VALUE!</v>
      </c>
      <c r="W1278" t="e">
        <f t="shared" ca="1" si="613"/>
        <v>#VALUE!</v>
      </c>
      <c r="X1278" t="e">
        <f t="shared" ca="1" si="614"/>
        <v>#VALUE!</v>
      </c>
      <c r="Y1278" t="e">
        <f t="shared" ca="1" si="615"/>
        <v>#VALUE!</v>
      </c>
      <c r="Z1278" t="e">
        <f t="shared" ca="1" si="616"/>
        <v>#VALUE!</v>
      </c>
      <c r="AA1278" t="e">
        <f t="shared" ca="1" si="617"/>
        <v>#VALUE!</v>
      </c>
      <c r="AB1278" t="e">
        <f t="shared" ca="1" si="618"/>
        <v>#VALUE!</v>
      </c>
      <c r="AC1278" t="e">
        <f t="shared" ca="1" si="619"/>
        <v>#VALUE!</v>
      </c>
      <c r="AD1278" t="e">
        <f t="shared" ca="1" si="620"/>
        <v>#VALUE!</v>
      </c>
      <c r="AE1278" t="e">
        <f t="shared" ca="1" si="621"/>
        <v>#VALUE!</v>
      </c>
      <c r="AF1278" t="e">
        <f t="shared" ca="1" si="622"/>
        <v>#VALUE!</v>
      </c>
      <c r="AG1278" t="e">
        <f t="shared" ca="1" si="623"/>
        <v>#VALUE!</v>
      </c>
      <c r="AH1278" t="e">
        <f ca="1">IF(V32="Supercritical",L1278,IF(V32="Subcritical",W1278,IF(AND(V1278=1,AG1278=1),IF(T1278&gt;=AE1278,L1278,W1278),IF(V1278=1,L1278,IF(AG1278=1,W1278,MAX($D$16,POWER((ABS(K1278)^2)/($I$5*MAX(F1278,0.1)^2),1/3)))))))</f>
        <v>#VALUE!</v>
      </c>
      <c r="AI1278" t="e">
        <f t="shared" ca="1" si="624"/>
        <v>#VALUE!</v>
      </c>
      <c r="AJ1278" t="e">
        <f t="shared" ca="1" si="625"/>
        <v>#VALUE!</v>
      </c>
      <c r="AM1278">
        <v>0</v>
      </c>
      <c r="AN1278">
        <v>0</v>
      </c>
      <c r="AO1278">
        <f t="shared" si="626"/>
        <v>0</v>
      </c>
      <c r="AP1278">
        <f t="shared" si="635"/>
        <v>0</v>
      </c>
      <c r="AQ1278" t="e">
        <f t="shared" ca="1" si="627"/>
        <v>#VALUE!</v>
      </c>
      <c r="AR1278" t="e">
        <f t="shared" ca="1" si="628"/>
        <v>#VALUE!</v>
      </c>
      <c r="AS1278" t="e">
        <f t="shared" ca="1" si="629"/>
        <v>#VALUE!</v>
      </c>
    </row>
    <row r="1279" spans="1:45" x14ac:dyDescent="0.35">
      <c r="A1279">
        <v>1130</v>
      </c>
      <c r="B1279">
        <v>1128.8889999999999</v>
      </c>
      <c r="C1279">
        <v>616075.71499999997</v>
      </c>
      <c r="D1279">
        <v>3096875.1639999999</v>
      </c>
      <c r="E1279">
        <v>631.99749999999995</v>
      </c>
      <c r="F1279">
        <v>5.2</v>
      </c>
      <c r="G1279">
        <v>0</v>
      </c>
      <c r="H1279" t="s">
        <v>191</v>
      </c>
      <c r="I1279">
        <v>5.7000000000000002E-2</v>
      </c>
      <c r="J1279">
        <f t="shared" si="630"/>
        <v>1</v>
      </c>
      <c r="K1279">
        <f t="shared" si="631"/>
        <v>51</v>
      </c>
      <c r="L1279" t="e">
        <f t="shared" ca="1" si="632"/>
        <v>#VALUE!</v>
      </c>
      <c r="M1279" t="e">
        <f t="shared" ca="1" si="605"/>
        <v>#VALUE!</v>
      </c>
      <c r="N1279" t="e">
        <f t="shared" ca="1" si="606"/>
        <v>#VALUE!</v>
      </c>
      <c r="O1279" t="e">
        <f t="shared" ca="1" si="607"/>
        <v>#VALUE!</v>
      </c>
      <c r="P1279" t="e">
        <f t="shared" ca="1" si="608"/>
        <v>#VALUE!</v>
      </c>
      <c r="Q1279" t="e">
        <f t="shared" ca="1" si="609"/>
        <v>#VALUE!</v>
      </c>
      <c r="R1279" t="e">
        <f t="shared" ca="1" si="610"/>
        <v>#VALUE!</v>
      </c>
      <c r="S1279" t="e">
        <f t="shared" ca="1" si="611"/>
        <v>#VALUE!</v>
      </c>
      <c r="T1279" t="e">
        <f t="shared" ca="1" si="612"/>
        <v>#VALUE!</v>
      </c>
      <c r="U1279" t="e">
        <f t="shared" ca="1" si="633"/>
        <v>#VALUE!</v>
      </c>
      <c r="V1279" t="e">
        <f t="shared" ca="1" si="634"/>
        <v>#VALUE!</v>
      </c>
      <c r="W1279" t="e">
        <f t="shared" ca="1" si="613"/>
        <v>#VALUE!</v>
      </c>
      <c r="X1279" t="e">
        <f t="shared" ca="1" si="614"/>
        <v>#VALUE!</v>
      </c>
      <c r="Y1279" t="e">
        <f t="shared" ca="1" si="615"/>
        <v>#VALUE!</v>
      </c>
      <c r="Z1279" t="e">
        <f t="shared" ca="1" si="616"/>
        <v>#VALUE!</v>
      </c>
      <c r="AA1279" t="e">
        <f t="shared" ca="1" si="617"/>
        <v>#VALUE!</v>
      </c>
      <c r="AB1279" t="e">
        <f t="shared" ca="1" si="618"/>
        <v>#VALUE!</v>
      </c>
      <c r="AC1279" t="e">
        <f t="shared" ca="1" si="619"/>
        <v>#VALUE!</v>
      </c>
      <c r="AD1279" t="e">
        <f t="shared" ca="1" si="620"/>
        <v>#VALUE!</v>
      </c>
      <c r="AE1279" t="e">
        <f t="shared" ca="1" si="621"/>
        <v>#VALUE!</v>
      </c>
      <c r="AF1279" t="e">
        <f t="shared" ca="1" si="622"/>
        <v>#VALUE!</v>
      </c>
      <c r="AG1279" t="e">
        <f t="shared" ca="1" si="623"/>
        <v>#VALUE!</v>
      </c>
      <c r="AH1279" t="e">
        <f ca="1">IF(V32="Supercritical",L1279,IF(V32="Subcritical",W1279,IF(AND(V1279=1,AG1279=1),IF(T1279&gt;=AE1279,L1279,W1279),IF(V1279=1,L1279,IF(AG1279=1,W1279,MAX($D$16,POWER((ABS(K1279)^2)/($I$5*MAX(F1279,0.1)^2),1/3)))))))</f>
        <v>#VALUE!</v>
      </c>
      <c r="AI1279" t="e">
        <f t="shared" ca="1" si="624"/>
        <v>#VALUE!</v>
      </c>
      <c r="AJ1279" t="e">
        <f t="shared" ca="1" si="625"/>
        <v>#VALUE!</v>
      </c>
      <c r="AM1279">
        <v>0</v>
      </c>
      <c r="AN1279">
        <v>0</v>
      </c>
      <c r="AO1279">
        <f t="shared" si="626"/>
        <v>0</v>
      </c>
      <c r="AP1279">
        <f t="shared" si="635"/>
        <v>0</v>
      </c>
      <c r="AQ1279" t="e">
        <f t="shared" ca="1" si="627"/>
        <v>#VALUE!</v>
      </c>
      <c r="AR1279" t="e">
        <f t="shared" ca="1" si="628"/>
        <v>#VALUE!</v>
      </c>
      <c r="AS1279" t="e">
        <f t="shared" ca="1" si="629"/>
        <v>#VALUE!</v>
      </c>
    </row>
    <row r="1280" spans="1:45" x14ac:dyDescent="0.35">
      <c r="A1280">
        <v>1131</v>
      </c>
      <c r="B1280">
        <v>1129.8889999999999</v>
      </c>
      <c r="C1280">
        <v>616075.67200000002</v>
      </c>
      <c r="D1280">
        <v>3096874.165</v>
      </c>
      <c r="E1280">
        <v>631.99699999999996</v>
      </c>
      <c r="F1280">
        <v>5.2</v>
      </c>
      <c r="G1280">
        <v>0</v>
      </c>
      <c r="H1280" t="s">
        <v>191</v>
      </c>
      <c r="I1280">
        <v>5.7000000000000002E-2</v>
      </c>
      <c r="J1280">
        <f t="shared" si="630"/>
        <v>1</v>
      </c>
      <c r="K1280">
        <f t="shared" si="631"/>
        <v>51</v>
      </c>
      <c r="L1280" t="e">
        <f t="shared" ca="1" si="632"/>
        <v>#VALUE!</v>
      </c>
      <c r="M1280" t="e">
        <f t="shared" ca="1" si="605"/>
        <v>#VALUE!</v>
      </c>
      <c r="N1280" t="e">
        <f t="shared" ca="1" si="606"/>
        <v>#VALUE!</v>
      </c>
      <c r="O1280" t="e">
        <f t="shared" ca="1" si="607"/>
        <v>#VALUE!</v>
      </c>
      <c r="P1280" t="e">
        <f t="shared" ca="1" si="608"/>
        <v>#VALUE!</v>
      </c>
      <c r="Q1280" t="e">
        <f t="shared" ca="1" si="609"/>
        <v>#VALUE!</v>
      </c>
      <c r="R1280" t="e">
        <f t="shared" ca="1" si="610"/>
        <v>#VALUE!</v>
      </c>
      <c r="S1280" t="e">
        <f t="shared" ca="1" si="611"/>
        <v>#VALUE!</v>
      </c>
      <c r="T1280" t="e">
        <f t="shared" ca="1" si="612"/>
        <v>#VALUE!</v>
      </c>
      <c r="U1280" t="e">
        <f t="shared" ca="1" si="633"/>
        <v>#VALUE!</v>
      </c>
      <c r="V1280" t="e">
        <f t="shared" ca="1" si="634"/>
        <v>#VALUE!</v>
      </c>
      <c r="W1280" t="e">
        <f t="shared" ca="1" si="613"/>
        <v>#VALUE!</v>
      </c>
      <c r="X1280" t="e">
        <f t="shared" ca="1" si="614"/>
        <v>#VALUE!</v>
      </c>
      <c r="Y1280" t="e">
        <f t="shared" ca="1" si="615"/>
        <v>#VALUE!</v>
      </c>
      <c r="Z1280" t="e">
        <f t="shared" ca="1" si="616"/>
        <v>#VALUE!</v>
      </c>
      <c r="AA1280" t="e">
        <f t="shared" ca="1" si="617"/>
        <v>#VALUE!</v>
      </c>
      <c r="AB1280" t="e">
        <f t="shared" ca="1" si="618"/>
        <v>#VALUE!</v>
      </c>
      <c r="AC1280" t="e">
        <f t="shared" ca="1" si="619"/>
        <v>#VALUE!</v>
      </c>
      <c r="AD1280" t="e">
        <f t="shared" ca="1" si="620"/>
        <v>#VALUE!</v>
      </c>
      <c r="AE1280" t="e">
        <f t="shared" ca="1" si="621"/>
        <v>#VALUE!</v>
      </c>
      <c r="AF1280" t="e">
        <f t="shared" ca="1" si="622"/>
        <v>#VALUE!</v>
      </c>
      <c r="AG1280" t="e">
        <f t="shared" ca="1" si="623"/>
        <v>#VALUE!</v>
      </c>
      <c r="AH1280" t="e">
        <f ca="1">IF(V32="Supercritical",L1280,IF(V32="Subcritical",W1280,IF(AND(V1280=1,AG1280=1),IF(T1280&gt;=AE1280,L1280,W1280),IF(V1280=1,L1280,IF(AG1280=1,W1280,MAX($D$16,POWER((ABS(K1280)^2)/($I$5*MAX(F1280,0.1)^2),1/3)))))))</f>
        <v>#VALUE!</v>
      </c>
      <c r="AI1280" t="e">
        <f t="shared" ca="1" si="624"/>
        <v>#VALUE!</v>
      </c>
      <c r="AJ1280" t="e">
        <f t="shared" ca="1" si="625"/>
        <v>#VALUE!</v>
      </c>
      <c r="AM1280">
        <v>0</v>
      </c>
      <c r="AN1280">
        <v>0</v>
      </c>
      <c r="AO1280">
        <f t="shared" si="626"/>
        <v>0</v>
      </c>
      <c r="AP1280">
        <f t="shared" si="635"/>
        <v>0</v>
      </c>
      <c r="AQ1280" t="e">
        <f t="shared" ca="1" si="627"/>
        <v>#VALUE!</v>
      </c>
      <c r="AR1280" t="e">
        <f t="shared" ca="1" si="628"/>
        <v>#VALUE!</v>
      </c>
      <c r="AS1280" t="e">
        <f t="shared" ca="1" si="629"/>
        <v>#VALUE!</v>
      </c>
    </row>
    <row r="1281" spans="1:45" x14ac:dyDescent="0.35">
      <c r="A1281">
        <v>1132</v>
      </c>
      <c r="B1281">
        <v>1130.8889999999999</v>
      </c>
      <c r="C1281">
        <v>616075.63</v>
      </c>
      <c r="D1281">
        <v>3096873.1660000002</v>
      </c>
      <c r="E1281">
        <v>631.99649999999997</v>
      </c>
      <c r="F1281">
        <v>5.2</v>
      </c>
      <c r="G1281">
        <v>0</v>
      </c>
      <c r="H1281" t="s">
        <v>191</v>
      </c>
      <c r="I1281">
        <v>0</v>
      </c>
      <c r="J1281">
        <f t="shared" si="630"/>
        <v>1</v>
      </c>
      <c r="K1281">
        <f t="shared" si="631"/>
        <v>51</v>
      </c>
      <c r="L1281" t="e">
        <f t="shared" ca="1" si="632"/>
        <v>#VALUE!</v>
      </c>
      <c r="M1281" t="e">
        <f t="shared" ca="1" si="605"/>
        <v>#VALUE!</v>
      </c>
      <c r="N1281" t="e">
        <f t="shared" ca="1" si="606"/>
        <v>#VALUE!</v>
      </c>
      <c r="O1281" t="e">
        <f t="shared" ca="1" si="607"/>
        <v>#VALUE!</v>
      </c>
      <c r="P1281" t="e">
        <f t="shared" ca="1" si="608"/>
        <v>#VALUE!</v>
      </c>
      <c r="Q1281" t="e">
        <f t="shared" ca="1" si="609"/>
        <v>#VALUE!</v>
      </c>
      <c r="R1281" t="e">
        <f t="shared" ca="1" si="610"/>
        <v>#VALUE!</v>
      </c>
      <c r="S1281" t="e">
        <f t="shared" ca="1" si="611"/>
        <v>#VALUE!</v>
      </c>
      <c r="T1281" t="e">
        <f t="shared" ca="1" si="612"/>
        <v>#VALUE!</v>
      </c>
      <c r="U1281" t="e">
        <f t="shared" ca="1" si="633"/>
        <v>#VALUE!</v>
      </c>
      <c r="V1281" t="e">
        <f t="shared" ca="1" si="634"/>
        <v>#VALUE!</v>
      </c>
      <c r="W1281" t="e">
        <f t="shared" ca="1" si="613"/>
        <v>#VALUE!</v>
      </c>
      <c r="X1281" t="e">
        <f t="shared" ca="1" si="614"/>
        <v>#VALUE!</v>
      </c>
      <c r="Y1281" t="e">
        <f t="shared" ca="1" si="615"/>
        <v>#VALUE!</v>
      </c>
      <c r="Z1281" t="e">
        <f t="shared" ca="1" si="616"/>
        <v>#VALUE!</v>
      </c>
      <c r="AA1281" t="e">
        <f t="shared" ca="1" si="617"/>
        <v>#VALUE!</v>
      </c>
      <c r="AB1281" t="e">
        <f t="shared" ca="1" si="618"/>
        <v>#VALUE!</v>
      </c>
      <c r="AC1281" t="e">
        <f t="shared" ca="1" si="619"/>
        <v>#VALUE!</v>
      </c>
      <c r="AD1281" t="e">
        <f t="shared" ca="1" si="620"/>
        <v>#VALUE!</v>
      </c>
      <c r="AE1281" t="e">
        <f t="shared" ca="1" si="621"/>
        <v>#VALUE!</v>
      </c>
      <c r="AF1281" t="e">
        <f t="shared" ca="1" si="622"/>
        <v>#VALUE!</v>
      </c>
      <c r="AG1281" t="e">
        <f t="shared" ca="1" si="623"/>
        <v>#VALUE!</v>
      </c>
      <c r="AH1281" t="e">
        <f ca="1">IF(V32="Supercritical",L1281,IF(V32="Subcritical",W1281,IF(AND(V1281=1,AG1281=1),IF(T1281&gt;=AE1281,L1281,W1281),IF(V1281=1,L1281,IF(AG1281=1,W1281,MAX($D$16,POWER((ABS(K1281)^2)/($I$5*MAX(F1281,0.1)^2),1/3)))))))</f>
        <v>#VALUE!</v>
      </c>
      <c r="AI1281" t="e">
        <f t="shared" ca="1" si="624"/>
        <v>#VALUE!</v>
      </c>
      <c r="AJ1281" t="e">
        <f t="shared" ca="1" si="625"/>
        <v>#VALUE!</v>
      </c>
      <c r="AM1281">
        <v>0</v>
      </c>
      <c r="AN1281">
        <v>0</v>
      </c>
      <c r="AO1281">
        <f t="shared" si="626"/>
        <v>0</v>
      </c>
      <c r="AP1281">
        <f t="shared" si="635"/>
        <v>0</v>
      </c>
      <c r="AQ1281" t="e">
        <f t="shared" ca="1" si="627"/>
        <v>#VALUE!</v>
      </c>
      <c r="AR1281" t="e">
        <f t="shared" ca="1" si="628"/>
        <v>#VALUE!</v>
      </c>
      <c r="AS1281" t="e">
        <f t="shared" ca="1" si="629"/>
        <v>#VALUE!</v>
      </c>
    </row>
    <row r="1282" spans="1:45" x14ac:dyDescent="0.35">
      <c r="A1282">
        <v>1133</v>
      </c>
      <c r="B1282">
        <v>1131.8889999999999</v>
      </c>
      <c r="C1282">
        <v>616075.58799999999</v>
      </c>
      <c r="D1282">
        <v>3096872.1669999999</v>
      </c>
      <c r="E1282">
        <v>631.99599999999998</v>
      </c>
      <c r="F1282">
        <v>5.2</v>
      </c>
      <c r="G1282">
        <v>0</v>
      </c>
      <c r="H1282" t="s">
        <v>191</v>
      </c>
      <c r="I1282">
        <v>0</v>
      </c>
      <c r="J1282">
        <f t="shared" si="630"/>
        <v>1</v>
      </c>
      <c r="K1282">
        <f t="shared" si="631"/>
        <v>51</v>
      </c>
      <c r="L1282" t="e">
        <f t="shared" ca="1" si="632"/>
        <v>#VALUE!</v>
      </c>
      <c r="M1282" t="e">
        <f t="shared" ca="1" si="605"/>
        <v>#VALUE!</v>
      </c>
      <c r="N1282" t="e">
        <f t="shared" ca="1" si="606"/>
        <v>#VALUE!</v>
      </c>
      <c r="O1282" t="e">
        <f t="shared" ca="1" si="607"/>
        <v>#VALUE!</v>
      </c>
      <c r="P1282" t="e">
        <f t="shared" ca="1" si="608"/>
        <v>#VALUE!</v>
      </c>
      <c r="Q1282" t="e">
        <f t="shared" ca="1" si="609"/>
        <v>#VALUE!</v>
      </c>
      <c r="R1282" t="e">
        <f t="shared" ca="1" si="610"/>
        <v>#VALUE!</v>
      </c>
      <c r="S1282" t="e">
        <f t="shared" ca="1" si="611"/>
        <v>#VALUE!</v>
      </c>
      <c r="T1282" t="e">
        <f t="shared" ca="1" si="612"/>
        <v>#VALUE!</v>
      </c>
      <c r="U1282" t="e">
        <f t="shared" ca="1" si="633"/>
        <v>#VALUE!</v>
      </c>
      <c r="V1282" t="e">
        <f t="shared" ca="1" si="634"/>
        <v>#VALUE!</v>
      </c>
      <c r="W1282" t="e">
        <f t="shared" ca="1" si="613"/>
        <v>#VALUE!</v>
      </c>
      <c r="X1282" t="e">
        <f t="shared" ca="1" si="614"/>
        <v>#VALUE!</v>
      </c>
      <c r="Y1282" t="e">
        <f t="shared" ca="1" si="615"/>
        <v>#VALUE!</v>
      </c>
      <c r="Z1282" t="e">
        <f t="shared" ca="1" si="616"/>
        <v>#VALUE!</v>
      </c>
      <c r="AA1282" t="e">
        <f t="shared" ca="1" si="617"/>
        <v>#VALUE!</v>
      </c>
      <c r="AB1282" t="e">
        <f t="shared" ca="1" si="618"/>
        <v>#VALUE!</v>
      </c>
      <c r="AC1282" t="e">
        <f t="shared" ca="1" si="619"/>
        <v>#VALUE!</v>
      </c>
      <c r="AD1282" t="e">
        <f t="shared" ca="1" si="620"/>
        <v>#VALUE!</v>
      </c>
      <c r="AE1282" t="e">
        <f t="shared" ca="1" si="621"/>
        <v>#VALUE!</v>
      </c>
      <c r="AF1282" t="e">
        <f t="shared" ca="1" si="622"/>
        <v>#VALUE!</v>
      </c>
      <c r="AG1282" t="e">
        <f t="shared" ca="1" si="623"/>
        <v>#VALUE!</v>
      </c>
      <c r="AH1282" t="e">
        <f ca="1">IF(V32="Supercritical",L1282,IF(V32="Subcritical",W1282,IF(AND(V1282=1,AG1282=1),IF(T1282&gt;=AE1282,L1282,W1282),IF(V1282=1,L1282,IF(AG1282=1,W1282,MAX($D$16,POWER((ABS(K1282)^2)/($I$5*MAX(F1282,0.1)^2),1/3)))))))</f>
        <v>#VALUE!</v>
      </c>
      <c r="AI1282" t="e">
        <f t="shared" ca="1" si="624"/>
        <v>#VALUE!</v>
      </c>
      <c r="AJ1282" t="e">
        <f t="shared" ca="1" si="625"/>
        <v>#VALUE!</v>
      </c>
      <c r="AM1282">
        <v>0</v>
      </c>
      <c r="AN1282">
        <v>0</v>
      </c>
      <c r="AO1282">
        <f t="shared" si="626"/>
        <v>0</v>
      </c>
      <c r="AP1282">
        <f t="shared" si="635"/>
        <v>0</v>
      </c>
      <c r="AQ1282" t="e">
        <f t="shared" ca="1" si="627"/>
        <v>#VALUE!</v>
      </c>
      <c r="AR1282" t="e">
        <f t="shared" ca="1" si="628"/>
        <v>#VALUE!</v>
      </c>
      <c r="AS1282" t="e">
        <f t="shared" ca="1" si="629"/>
        <v>#VALUE!</v>
      </c>
    </row>
    <row r="1283" spans="1:45" x14ac:dyDescent="0.35">
      <c r="A1283">
        <v>1134</v>
      </c>
      <c r="B1283">
        <v>1132.8889999999999</v>
      </c>
      <c r="C1283">
        <v>616075.54599999997</v>
      </c>
      <c r="D1283">
        <v>3096871.1680000001</v>
      </c>
      <c r="E1283">
        <v>631.99549999999999</v>
      </c>
      <c r="F1283">
        <v>5.2</v>
      </c>
      <c r="G1283">
        <v>0</v>
      </c>
      <c r="H1283" t="s">
        <v>191</v>
      </c>
      <c r="I1283">
        <v>5.5E-2</v>
      </c>
      <c r="J1283">
        <f t="shared" si="630"/>
        <v>1</v>
      </c>
      <c r="K1283">
        <f t="shared" si="631"/>
        <v>51</v>
      </c>
      <c r="L1283" t="e">
        <f t="shared" ca="1" si="632"/>
        <v>#VALUE!</v>
      </c>
      <c r="M1283" t="e">
        <f t="shared" ca="1" si="605"/>
        <v>#VALUE!</v>
      </c>
      <c r="N1283" t="e">
        <f t="shared" ca="1" si="606"/>
        <v>#VALUE!</v>
      </c>
      <c r="O1283" t="e">
        <f t="shared" ca="1" si="607"/>
        <v>#VALUE!</v>
      </c>
      <c r="P1283" t="e">
        <f t="shared" ca="1" si="608"/>
        <v>#VALUE!</v>
      </c>
      <c r="Q1283" t="e">
        <f t="shared" ca="1" si="609"/>
        <v>#VALUE!</v>
      </c>
      <c r="R1283" t="e">
        <f t="shared" ca="1" si="610"/>
        <v>#VALUE!</v>
      </c>
      <c r="S1283" t="e">
        <f t="shared" ca="1" si="611"/>
        <v>#VALUE!</v>
      </c>
      <c r="T1283" t="e">
        <f t="shared" ca="1" si="612"/>
        <v>#VALUE!</v>
      </c>
      <c r="U1283" t="e">
        <f t="shared" ca="1" si="633"/>
        <v>#VALUE!</v>
      </c>
      <c r="V1283" t="e">
        <f t="shared" ca="1" si="634"/>
        <v>#VALUE!</v>
      </c>
      <c r="W1283" t="e">
        <f t="shared" ca="1" si="613"/>
        <v>#VALUE!</v>
      </c>
      <c r="X1283" t="e">
        <f t="shared" ca="1" si="614"/>
        <v>#VALUE!</v>
      </c>
      <c r="Y1283" t="e">
        <f t="shared" ca="1" si="615"/>
        <v>#VALUE!</v>
      </c>
      <c r="Z1283" t="e">
        <f t="shared" ca="1" si="616"/>
        <v>#VALUE!</v>
      </c>
      <c r="AA1283" t="e">
        <f t="shared" ca="1" si="617"/>
        <v>#VALUE!</v>
      </c>
      <c r="AB1283" t="e">
        <f t="shared" ca="1" si="618"/>
        <v>#VALUE!</v>
      </c>
      <c r="AC1283" t="e">
        <f t="shared" ca="1" si="619"/>
        <v>#VALUE!</v>
      </c>
      <c r="AD1283" t="e">
        <f t="shared" ca="1" si="620"/>
        <v>#VALUE!</v>
      </c>
      <c r="AE1283" t="e">
        <f t="shared" ca="1" si="621"/>
        <v>#VALUE!</v>
      </c>
      <c r="AF1283" t="e">
        <f t="shared" ca="1" si="622"/>
        <v>#VALUE!</v>
      </c>
      <c r="AG1283" t="e">
        <f t="shared" ca="1" si="623"/>
        <v>#VALUE!</v>
      </c>
      <c r="AH1283" t="e">
        <f ca="1">IF(V32="Supercritical",L1283,IF(V32="Subcritical",W1283,IF(AND(V1283=1,AG1283=1),IF(T1283&gt;=AE1283,L1283,W1283),IF(V1283=1,L1283,IF(AG1283=1,W1283,MAX($D$16,POWER((ABS(K1283)^2)/($I$5*MAX(F1283,0.1)^2),1/3)))))))</f>
        <v>#VALUE!</v>
      </c>
      <c r="AI1283" t="e">
        <f t="shared" ca="1" si="624"/>
        <v>#VALUE!</v>
      </c>
      <c r="AJ1283" t="e">
        <f t="shared" ca="1" si="625"/>
        <v>#VALUE!</v>
      </c>
      <c r="AM1283">
        <v>0</v>
      </c>
      <c r="AN1283">
        <v>0</v>
      </c>
      <c r="AO1283">
        <f t="shared" si="626"/>
        <v>0</v>
      </c>
      <c r="AP1283">
        <f t="shared" si="635"/>
        <v>0</v>
      </c>
      <c r="AQ1283" t="e">
        <f t="shared" ca="1" si="627"/>
        <v>#VALUE!</v>
      </c>
      <c r="AR1283" t="e">
        <f t="shared" ca="1" si="628"/>
        <v>#VALUE!</v>
      </c>
      <c r="AS1283" t="e">
        <f t="shared" ca="1" si="629"/>
        <v>#VALUE!</v>
      </c>
    </row>
    <row r="1284" spans="1:45" x14ac:dyDescent="0.35">
      <c r="A1284">
        <v>1135</v>
      </c>
      <c r="B1284">
        <v>1133.8900000000001</v>
      </c>
      <c r="C1284">
        <v>616075.50300000003</v>
      </c>
      <c r="D1284">
        <v>3096870.1680000001</v>
      </c>
      <c r="E1284">
        <v>631.995</v>
      </c>
      <c r="F1284">
        <v>5.2</v>
      </c>
      <c r="G1284">
        <v>0</v>
      </c>
      <c r="H1284" t="s">
        <v>191</v>
      </c>
      <c r="I1284">
        <v>5.5E-2</v>
      </c>
      <c r="J1284">
        <f t="shared" si="630"/>
        <v>1.0010000000002037</v>
      </c>
      <c r="K1284">
        <f t="shared" si="631"/>
        <v>51</v>
      </c>
      <c r="L1284" t="e">
        <f t="shared" ca="1" si="632"/>
        <v>#VALUE!</v>
      </c>
      <c r="M1284" t="e">
        <f t="shared" ca="1" si="605"/>
        <v>#VALUE!</v>
      </c>
      <c r="N1284" t="e">
        <f t="shared" ca="1" si="606"/>
        <v>#VALUE!</v>
      </c>
      <c r="O1284" t="e">
        <f t="shared" ca="1" si="607"/>
        <v>#VALUE!</v>
      </c>
      <c r="P1284" t="e">
        <f t="shared" ca="1" si="608"/>
        <v>#VALUE!</v>
      </c>
      <c r="Q1284" t="e">
        <f t="shared" ca="1" si="609"/>
        <v>#VALUE!</v>
      </c>
      <c r="R1284" t="e">
        <f t="shared" ca="1" si="610"/>
        <v>#VALUE!</v>
      </c>
      <c r="S1284" t="e">
        <f t="shared" ca="1" si="611"/>
        <v>#VALUE!</v>
      </c>
      <c r="T1284" t="e">
        <f t="shared" ca="1" si="612"/>
        <v>#VALUE!</v>
      </c>
      <c r="U1284" t="e">
        <f t="shared" ca="1" si="633"/>
        <v>#VALUE!</v>
      </c>
      <c r="V1284" t="e">
        <f t="shared" ca="1" si="634"/>
        <v>#VALUE!</v>
      </c>
      <c r="W1284" t="e">
        <f t="shared" ca="1" si="613"/>
        <v>#VALUE!</v>
      </c>
      <c r="X1284" t="e">
        <f t="shared" ca="1" si="614"/>
        <v>#VALUE!</v>
      </c>
      <c r="Y1284" t="e">
        <f t="shared" ca="1" si="615"/>
        <v>#VALUE!</v>
      </c>
      <c r="Z1284" t="e">
        <f t="shared" ca="1" si="616"/>
        <v>#VALUE!</v>
      </c>
      <c r="AA1284" t="e">
        <f t="shared" ca="1" si="617"/>
        <v>#VALUE!</v>
      </c>
      <c r="AB1284" t="e">
        <f t="shared" ca="1" si="618"/>
        <v>#VALUE!</v>
      </c>
      <c r="AC1284" t="e">
        <f t="shared" ca="1" si="619"/>
        <v>#VALUE!</v>
      </c>
      <c r="AD1284" t="e">
        <f t="shared" ca="1" si="620"/>
        <v>#VALUE!</v>
      </c>
      <c r="AE1284" t="e">
        <f t="shared" ca="1" si="621"/>
        <v>#VALUE!</v>
      </c>
      <c r="AF1284" t="e">
        <f t="shared" ca="1" si="622"/>
        <v>#VALUE!</v>
      </c>
      <c r="AG1284" t="e">
        <f t="shared" ca="1" si="623"/>
        <v>#VALUE!</v>
      </c>
      <c r="AH1284" t="e">
        <f ca="1">IF(V32="Supercritical",L1284,IF(V32="Subcritical",W1284,IF(AND(V1284=1,AG1284=1),IF(T1284&gt;=AE1284,L1284,W1284),IF(V1284=1,L1284,IF(AG1284=1,W1284,MAX($D$16,POWER((ABS(K1284)^2)/($I$5*MAX(F1284,0.1)^2),1/3)))))))</f>
        <v>#VALUE!</v>
      </c>
      <c r="AI1284" t="e">
        <f t="shared" ca="1" si="624"/>
        <v>#VALUE!</v>
      </c>
      <c r="AJ1284" t="e">
        <f t="shared" ca="1" si="625"/>
        <v>#VALUE!</v>
      </c>
      <c r="AM1284">
        <v>0</v>
      </c>
      <c r="AN1284">
        <v>0</v>
      </c>
      <c r="AO1284">
        <f t="shared" si="626"/>
        <v>0</v>
      </c>
      <c r="AP1284">
        <f t="shared" si="635"/>
        <v>0</v>
      </c>
      <c r="AQ1284" t="e">
        <f t="shared" ca="1" si="627"/>
        <v>#VALUE!</v>
      </c>
      <c r="AR1284" t="e">
        <f t="shared" ca="1" si="628"/>
        <v>#VALUE!</v>
      </c>
      <c r="AS1284" t="e">
        <f t="shared" ca="1" si="629"/>
        <v>#VALUE!</v>
      </c>
    </row>
    <row r="1285" spans="1:45" x14ac:dyDescent="0.35">
      <c r="A1285">
        <v>1136</v>
      </c>
      <c r="B1285">
        <v>1134.8900000000001</v>
      </c>
      <c r="C1285">
        <v>616075.46100000001</v>
      </c>
      <c r="D1285">
        <v>3096869.1690000002</v>
      </c>
      <c r="E1285">
        <v>631.99450000000002</v>
      </c>
      <c r="F1285">
        <v>5.2</v>
      </c>
      <c r="G1285">
        <v>0</v>
      </c>
      <c r="H1285" t="s">
        <v>191</v>
      </c>
      <c r="I1285">
        <v>0</v>
      </c>
      <c r="J1285">
        <f t="shared" si="630"/>
        <v>1</v>
      </c>
      <c r="K1285">
        <f t="shared" si="631"/>
        <v>51</v>
      </c>
      <c r="L1285" t="e">
        <f t="shared" ca="1" si="632"/>
        <v>#VALUE!</v>
      </c>
      <c r="M1285" t="e">
        <f t="shared" ca="1" si="605"/>
        <v>#VALUE!</v>
      </c>
      <c r="N1285" t="e">
        <f t="shared" ca="1" si="606"/>
        <v>#VALUE!</v>
      </c>
      <c r="O1285" t="e">
        <f t="shared" ca="1" si="607"/>
        <v>#VALUE!</v>
      </c>
      <c r="P1285" t="e">
        <f t="shared" ca="1" si="608"/>
        <v>#VALUE!</v>
      </c>
      <c r="Q1285" t="e">
        <f t="shared" ca="1" si="609"/>
        <v>#VALUE!</v>
      </c>
      <c r="R1285" t="e">
        <f t="shared" ca="1" si="610"/>
        <v>#VALUE!</v>
      </c>
      <c r="S1285" t="e">
        <f t="shared" ca="1" si="611"/>
        <v>#VALUE!</v>
      </c>
      <c r="T1285" t="e">
        <f t="shared" ca="1" si="612"/>
        <v>#VALUE!</v>
      </c>
      <c r="U1285" t="e">
        <f t="shared" ca="1" si="633"/>
        <v>#VALUE!</v>
      </c>
      <c r="V1285" t="e">
        <f t="shared" ca="1" si="634"/>
        <v>#VALUE!</v>
      </c>
      <c r="W1285" t="e">
        <f t="shared" ca="1" si="613"/>
        <v>#VALUE!</v>
      </c>
      <c r="X1285" t="e">
        <f t="shared" ca="1" si="614"/>
        <v>#VALUE!</v>
      </c>
      <c r="Y1285" t="e">
        <f t="shared" ca="1" si="615"/>
        <v>#VALUE!</v>
      </c>
      <c r="Z1285" t="e">
        <f t="shared" ca="1" si="616"/>
        <v>#VALUE!</v>
      </c>
      <c r="AA1285" t="e">
        <f t="shared" ca="1" si="617"/>
        <v>#VALUE!</v>
      </c>
      <c r="AB1285" t="e">
        <f t="shared" ca="1" si="618"/>
        <v>#VALUE!</v>
      </c>
      <c r="AC1285" t="e">
        <f t="shared" ca="1" si="619"/>
        <v>#VALUE!</v>
      </c>
      <c r="AD1285" t="e">
        <f t="shared" ca="1" si="620"/>
        <v>#VALUE!</v>
      </c>
      <c r="AE1285" t="e">
        <f t="shared" ca="1" si="621"/>
        <v>#VALUE!</v>
      </c>
      <c r="AF1285" t="e">
        <f t="shared" ca="1" si="622"/>
        <v>#VALUE!</v>
      </c>
      <c r="AG1285" t="e">
        <f t="shared" ca="1" si="623"/>
        <v>#VALUE!</v>
      </c>
      <c r="AH1285" t="e">
        <f ca="1">IF(V32="Supercritical",L1285,IF(V32="Subcritical",W1285,IF(AND(V1285=1,AG1285=1),IF(T1285&gt;=AE1285,L1285,W1285),IF(V1285=1,L1285,IF(AG1285=1,W1285,MAX($D$16,POWER((ABS(K1285)^2)/($I$5*MAX(F1285,0.1)^2),1/3)))))))</f>
        <v>#VALUE!</v>
      </c>
      <c r="AI1285" t="e">
        <f t="shared" ca="1" si="624"/>
        <v>#VALUE!</v>
      </c>
      <c r="AJ1285" t="e">
        <f t="shared" ca="1" si="625"/>
        <v>#VALUE!</v>
      </c>
      <c r="AM1285">
        <v>0</v>
      </c>
      <c r="AN1285">
        <v>0</v>
      </c>
      <c r="AO1285">
        <f t="shared" si="626"/>
        <v>0</v>
      </c>
      <c r="AP1285">
        <f t="shared" si="635"/>
        <v>0</v>
      </c>
      <c r="AQ1285" t="e">
        <f t="shared" ca="1" si="627"/>
        <v>#VALUE!</v>
      </c>
      <c r="AR1285" t="e">
        <f t="shared" ca="1" si="628"/>
        <v>#VALUE!</v>
      </c>
      <c r="AS1285" t="e">
        <f t="shared" ca="1" si="629"/>
        <v>#VALUE!</v>
      </c>
    </row>
    <row r="1286" spans="1:45" x14ac:dyDescent="0.35">
      <c r="A1286">
        <v>1137</v>
      </c>
      <c r="B1286">
        <v>1135.8900000000001</v>
      </c>
      <c r="C1286">
        <v>616075.41899999999</v>
      </c>
      <c r="D1286">
        <v>3096868.17</v>
      </c>
      <c r="E1286">
        <v>631.99400000000003</v>
      </c>
      <c r="F1286">
        <v>5.2</v>
      </c>
      <c r="G1286">
        <v>0</v>
      </c>
      <c r="H1286" t="s">
        <v>191</v>
      </c>
      <c r="I1286">
        <v>0</v>
      </c>
      <c r="J1286">
        <f t="shared" si="630"/>
        <v>1</v>
      </c>
      <c r="K1286">
        <f t="shared" si="631"/>
        <v>51</v>
      </c>
      <c r="L1286" t="e">
        <f t="shared" ca="1" si="632"/>
        <v>#VALUE!</v>
      </c>
      <c r="M1286" t="e">
        <f t="shared" ca="1" si="605"/>
        <v>#VALUE!</v>
      </c>
      <c r="N1286" t="e">
        <f t="shared" ca="1" si="606"/>
        <v>#VALUE!</v>
      </c>
      <c r="O1286" t="e">
        <f t="shared" ca="1" si="607"/>
        <v>#VALUE!</v>
      </c>
      <c r="P1286" t="e">
        <f t="shared" ca="1" si="608"/>
        <v>#VALUE!</v>
      </c>
      <c r="Q1286" t="e">
        <f t="shared" ca="1" si="609"/>
        <v>#VALUE!</v>
      </c>
      <c r="R1286" t="e">
        <f t="shared" ca="1" si="610"/>
        <v>#VALUE!</v>
      </c>
      <c r="S1286" t="e">
        <f t="shared" ca="1" si="611"/>
        <v>#VALUE!</v>
      </c>
      <c r="T1286" t="e">
        <f t="shared" ca="1" si="612"/>
        <v>#VALUE!</v>
      </c>
      <c r="U1286" t="e">
        <f t="shared" ca="1" si="633"/>
        <v>#VALUE!</v>
      </c>
      <c r="V1286" t="e">
        <f t="shared" ca="1" si="634"/>
        <v>#VALUE!</v>
      </c>
      <c r="W1286" t="e">
        <f t="shared" ca="1" si="613"/>
        <v>#VALUE!</v>
      </c>
      <c r="X1286" t="e">
        <f t="shared" ca="1" si="614"/>
        <v>#VALUE!</v>
      </c>
      <c r="Y1286" t="e">
        <f t="shared" ca="1" si="615"/>
        <v>#VALUE!</v>
      </c>
      <c r="Z1286" t="e">
        <f t="shared" ca="1" si="616"/>
        <v>#VALUE!</v>
      </c>
      <c r="AA1286" t="e">
        <f t="shared" ca="1" si="617"/>
        <v>#VALUE!</v>
      </c>
      <c r="AB1286" t="e">
        <f t="shared" ca="1" si="618"/>
        <v>#VALUE!</v>
      </c>
      <c r="AC1286" t="e">
        <f t="shared" ca="1" si="619"/>
        <v>#VALUE!</v>
      </c>
      <c r="AD1286" t="e">
        <f t="shared" ca="1" si="620"/>
        <v>#VALUE!</v>
      </c>
      <c r="AE1286" t="e">
        <f t="shared" ca="1" si="621"/>
        <v>#VALUE!</v>
      </c>
      <c r="AF1286" t="e">
        <f t="shared" ca="1" si="622"/>
        <v>#VALUE!</v>
      </c>
      <c r="AG1286" t="e">
        <f t="shared" ca="1" si="623"/>
        <v>#VALUE!</v>
      </c>
      <c r="AH1286" t="e">
        <f ca="1">IF(V32="Supercritical",L1286,IF(V32="Subcritical",W1286,IF(AND(V1286=1,AG1286=1),IF(T1286&gt;=AE1286,L1286,W1286),IF(V1286=1,L1286,IF(AG1286=1,W1286,MAX($D$16,POWER((ABS(K1286)^2)/($I$5*MAX(F1286,0.1)^2),1/3)))))))</f>
        <v>#VALUE!</v>
      </c>
      <c r="AI1286" t="e">
        <f t="shared" ca="1" si="624"/>
        <v>#VALUE!</v>
      </c>
      <c r="AJ1286" t="e">
        <f t="shared" ca="1" si="625"/>
        <v>#VALUE!</v>
      </c>
      <c r="AM1286">
        <v>0</v>
      </c>
      <c r="AN1286">
        <v>0</v>
      </c>
      <c r="AO1286">
        <f t="shared" si="626"/>
        <v>0</v>
      </c>
      <c r="AP1286">
        <f t="shared" si="635"/>
        <v>0</v>
      </c>
      <c r="AQ1286" t="e">
        <f t="shared" ca="1" si="627"/>
        <v>#VALUE!</v>
      </c>
      <c r="AR1286" t="e">
        <f t="shared" ca="1" si="628"/>
        <v>#VALUE!</v>
      </c>
      <c r="AS1286" t="e">
        <f t="shared" ca="1" si="629"/>
        <v>#VALUE!</v>
      </c>
    </row>
    <row r="1287" spans="1:45" x14ac:dyDescent="0.35">
      <c r="A1287">
        <v>1138</v>
      </c>
      <c r="B1287">
        <v>1136.8889999999999</v>
      </c>
      <c r="C1287">
        <v>616075.37699999998</v>
      </c>
      <c r="D1287">
        <v>3096867.1710000001</v>
      </c>
      <c r="E1287">
        <v>631.99350000000004</v>
      </c>
      <c r="F1287">
        <v>5.2</v>
      </c>
      <c r="G1287">
        <v>0</v>
      </c>
      <c r="H1287" t="s">
        <v>191</v>
      </c>
      <c r="I1287">
        <v>5.7000000000000002E-2</v>
      </c>
      <c r="J1287">
        <f t="shared" si="630"/>
        <v>0.99899999999979627</v>
      </c>
      <c r="K1287">
        <f t="shared" si="631"/>
        <v>51</v>
      </c>
      <c r="L1287" t="e">
        <f t="shared" ca="1" si="632"/>
        <v>#VALUE!</v>
      </c>
      <c r="M1287" t="e">
        <f t="shared" ca="1" si="605"/>
        <v>#VALUE!</v>
      </c>
      <c r="N1287" t="e">
        <f t="shared" ca="1" si="606"/>
        <v>#VALUE!</v>
      </c>
      <c r="O1287" t="e">
        <f t="shared" ca="1" si="607"/>
        <v>#VALUE!</v>
      </c>
      <c r="P1287" t="e">
        <f t="shared" ca="1" si="608"/>
        <v>#VALUE!</v>
      </c>
      <c r="Q1287" t="e">
        <f t="shared" ca="1" si="609"/>
        <v>#VALUE!</v>
      </c>
      <c r="R1287" t="e">
        <f t="shared" ca="1" si="610"/>
        <v>#VALUE!</v>
      </c>
      <c r="S1287" t="e">
        <f t="shared" ca="1" si="611"/>
        <v>#VALUE!</v>
      </c>
      <c r="T1287" t="e">
        <f t="shared" ca="1" si="612"/>
        <v>#VALUE!</v>
      </c>
      <c r="U1287" t="e">
        <f t="shared" ca="1" si="633"/>
        <v>#VALUE!</v>
      </c>
      <c r="V1287" t="e">
        <f t="shared" ca="1" si="634"/>
        <v>#VALUE!</v>
      </c>
      <c r="W1287" t="e">
        <f t="shared" ca="1" si="613"/>
        <v>#VALUE!</v>
      </c>
      <c r="X1287" t="e">
        <f t="shared" ca="1" si="614"/>
        <v>#VALUE!</v>
      </c>
      <c r="Y1287" t="e">
        <f t="shared" ca="1" si="615"/>
        <v>#VALUE!</v>
      </c>
      <c r="Z1287" t="e">
        <f t="shared" ca="1" si="616"/>
        <v>#VALUE!</v>
      </c>
      <c r="AA1287" t="e">
        <f t="shared" ca="1" si="617"/>
        <v>#VALUE!</v>
      </c>
      <c r="AB1287" t="e">
        <f t="shared" ca="1" si="618"/>
        <v>#VALUE!</v>
      </c>
      <c r="AC1287" t="e">
        <f t="shared" ca="1" si="619"/>
        <v>#VALUE!</v>
      </c>
      <c r="AD1287" t="e">
        <f t="shared" ca="1" si="620"/>
        <v>#VALUE!</v>
      </c>
      <c r="AE1287" t="e">
        <f t="shared" ca="1" si="621"/>
        <v>#VALUE!</v>
      </c>
      <c r="AF1287" t="e">
        <f t="shared" ca="1" si="622"/>
        <v>#VALUE!</v>
      </c>
      <c r="AG1287" t="e">
        <f t="shared" ca="1" si="623"/>
        <v>#VALUE!</v>
      </c>
      <c r="AH1287" t="e">
        <f ca="1">IF(V32="Supercritical",L1287,IF(V32="Subcritical",W1287,IF(AND(V1287=1,AG1287=1),IF(T1287&gt;=AE1287,L1287,W1287),IF(V1287=1,L1287,IF(AG1287=1,W1287,MAX($D$16,POWER((ABS(K1287)^2)/($I$5*MAX(F1287,0.1)^2),1/3)))))))</f>
        <v>#VALUE!</v>
      </c>
      <c r="AI1287" t="e">
        <f t="shared" ca="1" si="624"/>
        <v>#VALUE!</v>
      </c>
      <c r="AJ1287" t="e">
        <f t="shared" ca="1" si="625"/>
        <v>#VALUE!</v>
      </c>
      <c r="AM1287">
        <v>0</v>
      </c>
      <c r="AN1287">
        <v>0</v>
      </c>
      <c r="AO1287">
        <f t="shared" si="626"/>
        <v>0</v>
      </c>
      <c r="AP1287">
        <f t="shared" si="635"/>
        <v>0</v>
      </c>
      <c r="AQ1287" t="e">
        <f t="shared" ca="1" si="627"/>
        <v>#VALUE!</v>
      </c>
      <c r="AR1287" t="e">
        <f t="shared" ca="1" si="628"/>
        <v>#VALUE!</v>
      </c>
      <c r="AS1287" t="e">
        <f t="shared" ca="1" si="629"/>
        <v>#VALUE!</v>
      </c>
    </row>
    <row r="1288" spans="1:45" x14ac:dyDescent="0.35">
      <c r="A1288">
        <v>1139</v>
      </c>
      <c r="B1288">
        <v>1137.8889999999999</v>
      </c>
      <c r="C1288">
        <v>616075.33400000003</v>
      </c>
      <c r="D1288">
        <v>3096866.1719999998</v>
      </c>
      <c r="E1288">
        <v>631.99300000000005</v>
      </c>
      <c r="F1288">
        <v>5.2</v>
      </c>
      <c r="G1288">
        <v>0</v>
      </c>
      <c r="H1288" t="s">
        <v>191</v>
      </c>
      <c r="I1288">
        <v>5.7000000000000002E-2</v>
      </c>
      <c r="J1288">
        <f t="shared" si="630"/>
        <v>1</v>
      </c>
      <c r="K1288">
        <f t="shared" si="631"/>
        <v>51</v>
      </c>
      <c r="L1288" t="e">
        <f t="shared" ca="1" si="632"/>
        <v>#VALUE!</v>
      </c>
      <c r="M1288" t="e">
        <f t="shared" ca="1" si="605"/>
        <v>#VALUE!</v>
      </c>
      <c r="N1288" t="e">
        <f t="shared" ca="1" si="606"/>
        <v>#VALUE!</v>
      </c>
      <c r="O1288" t="e">
        <f t="shared" ca="1" si="607"/>
        <v>#VALUE!</v>
      </c>
      <c r="P1288" t="e">
        <f t="shared" ca="1" si="608"/>
        <v>#VALUE!</v>
      </c>
      <c r="Q1288" t="e">
        <f t="shared" ca="1" si="609"/>
        <v>#VALUE!</v>
      </c>
      <c r="R1288" t="e">
        <f t="shared" ca="1" si="610"/>
        <v>#VALUE!</v>
      </c>
      <c r="S1288" t="e">
        <f t="shared" ca="1" si="611"/>
        <v>#VALUE!</v>
      </c>
      <c r="T1288" t="e">
        <f t="shared" ca="1" si="612"/>
        <v>#VALUE!</v>
      </c>
      <c r="U1288" t="e">
        <f t="shared" ca="1" si="633"/>
        <v>#VALUE!</v>
      </c>
      <c r="V1288" t="e">
        <f t="shared" ca="1" si="634"/>
        <v>#VALUE!</v>
      </c>
      <c r="W1288" t="e">
        <f t="shared" ca="1" si="613"/>
        <v>#VALUE!</v>
      </c>
      <c r="X1288" t="e">
        <f t="shared" ca="1" si="614"/>
        <v>#VALUE!</v>
      </c>
      <c r="Y1288" t="e">
        <f t="shared" ca="1" si="615"/>
        <v>#VALUE!</v>
      </c>
      <c r="Z1288" t="e">
        <f t="shared" ca="1" si="616"/>
        <v>#VALUE!</v>
      </c>
      <c r="AA1288" t="e">
        <f t="shared" ca="1" si="617"/>
        <v>#VALUE!</v>
      </c>
      <c r="AB1288" t="e">
        <f t="shared" ca="1" si="618"/>
        <v>#VALUE!</v>
      </c>
      <c r="AC1288" t="e">
        <f t="shared" ca="1" si="619"/>
        <v>#VALUE!</v>
      </c>
      <c r="AD1288" t="e">
        <f t="shared" ca="1" si="620"/>
        <v>#VALUE!</v>
      </c>
      <c r="AE1288" t="e">
        <f t="shared" ca="1" si="621"/>
        <v>#VALUE!</v>
      </c>
      <c r="AF1288" t="e">
        <f t="shared" ca="1" si="622"/>
        <v>#VALUE!</v>
      </c>
      <c r="AG1288" t="e">
        <f t="shared" ca="1" si="623"/>
        <v>#VALUE!</v>
      </c>
      <c r="AH1288" t="e">
        <f ca="1">IF(V32="Supercritical",L1288,IF(V32="Subcritical",W1288,IF(AND(V1288=1,AG1288=1),IF(T1288&gt;=AE1288,L1288,W1288),IF(V1288=1,L1288,IF(AG1288=1,W1288,MAX($D$16,POWER((ABS(K1288)^2)/($I$5*MAX(F1288,0.1)^2),1/3)))))))</f>
        <v>#VALUE!</v>
      </c>
      <c r="AI1288" t="e">
        <f t="shared" ca="1" si="624"/>
        <v>#VALUE!</v>
      </c>
      <c r="AJ1288" t="e">
        <f t="shared" ca="1" si="625"/>
        <v>#VALUE!</v>
      </c>
      <c r="AM1288">
        <v>0</v>
      </c>
      <c r="AN1288">
        <v>0</v>
      </c>
      <c r="AO1288">
        <f t="shared" si="626"/>
        <v>0</v>
      </c>
      <c r="AP1288">
        <f t="shared" si="635"/>
        <v>0</v>
      </c>
      <c r="AQ1288" t="e">
        <f t="shared" ca="1" si="627"/>
        <v>#VALUE!</v>
      </c>
      <c r="AR1288" t="e">
        <f t="shared" ca="1" si="628"/>
        <v>#VALUE!</v>
      </c>
      <c r="AS1288" t="e">
        <f t="shared" ca="1" si="629"/>
        <v>#VALUE!</v>
      </c>
    </row>
    <row r="1289" spans="1:45" x14ac:dyDescent="0.35">
      <c r="A1289">
        <v>1140</v>
      </c>
      <c r="B1289">
        <v>1138.8889999999999</v>
      </c>
      <c r="C1289">
        <v>616075.29200000002</v>
      </c>
      <c r="D1289">
        <v>3096865.173</v>
      </c>
      <c r="E1289">
        <v>631.99249999999995</v>
      </c>
      <c r="F1289">
        <v>5.2</v>
      </c>
      <c r="G1289">
        <v>0</v>
      </c>
      <c r="H1289" t="s">
        <v>191</v>
      </c>
      <c r="I1289">
        <v>0</v>
      </c>
      <c r="J1289">
        <f t="shared" si="630"/>
        <v>1</v>
      </c>
      <c r="K1289">
        <f t="shared" si="631"/>
        <v>51</v>
      </c>
      <c r="L1289" t="e">
        <f t="shared" ca="1" si="632"/>
        <v>#VALUE!</v>
      </c>
      <c r="M1289" t="e">
        <f t="shared" ca="1" si="605"/>
        <v>#VALUE!</v>
      </c>
      <c r="N1289" t="e">
        <f t="shared" ca="1" si="606"/>
        <v>#VALUE!</v>
      </c>
      <c r="O1289" t="e">
        <f t="shared" ca="1" si="607"/>
        <v>#VALUE!</v>
      </c>
      <c r="P1289" t="e">
        <f t="shared" ca="1" si="608"/>
        <v>#VALUE!</v>
      </c>
      <c r="Q1289" t="e">
        <f t="shared" ca="1" si="609"/>
        <v>#VALUE!</v>
      </c>
      <c r="R1289" t="e">
        <f t="shared" ca="1" si="610"/>
        <v>#VALUE!</v>
      </c>
      <c r="S1289" t="e">
        <f t="shared" ca="1" si="611"/>
        <v>#VALUE!</v>
      </c>
      <c r="T1289" t="e">
        <f t="shared" ca="1" si="612"/>
        <v>#VALUE!</v>
      </c>
      <c r="U1289" t="e">
        <f t="shared" ca="1" si="633"/>
        <v>#VALUE!</v>
      </c>
      <c r="V1289" t="e">
        <f t="shared" ca="1" si="634"/>
        <v>#VALUE!</v>
      </c>
      <c r="W1289" t="e">
        <f t="shared" ca="1" si="613"/>
        <v>#VALUE!</v>
      </c>
      <c r="X1289" t="e">
        <f t="shared" ca="1" si="614"/>
        <v>#VALUE!</v>
      </c>
      <c r="Y1289" t="e">
        <f t="shared" ca="1" si="615"/>
        <v>#VALUE!</v>
      </c>
      <c r="Z1289" t="e">
        <f t="shared" ca="1" si="616"/>
        <v>#VALUE!</v>
      </c>
      <c r="AA1289" t="e">
        <f t="shared" ca="1" si="617"/>
        <v>#VALUE!</v>
      </c>
      <c r="AB1289" t="e">
        <f t="shared" ca="1" si="618"/>
        <v>#VALUE!</v>
      </c>
      <c r="AC1289" t="e">
        <f t="shared" ca="1" si="619"/>
        <v>#VALUE!</v>
      </c>
      <c r="AD1289" t="e">
        <f t="shared" ca="1" si="620"/>
        <v>#VALUE!</v>
      </c>
      <c r="AE1289" t="e">
        <f t="shared" ca="1" si="621"/>
        <v>#VALUE!</v>
      </c>
      <c r="AF1289" t="e">
        <f t="shared" ca="1" si="622"/>
        <v>#VALUE!</v>
      </c>
      <c r="AG1289" t="e">
        <f t="shared" ca="1" si="623"/>
        <v>#VALUE!</v>
      </c>
      <c r="AH1289" t="e">
        <f ca="1">IF(V32="Supercritical",L1289,IF(V32="Subcritical",W1289,IF(AND(V1289=1,AG1289=1),IF(T1289&gt;=AE1289,L1289,W1289),IF(V1289=1,L1289,IF(AG1289=1,W1289,MAX($D$16,POWER((ABS(K1289)^2)/($I$5*MAX(F1289,0.1)^2),1/3)))))))</f>
        <v>#VALUE!</v>
      </c>
      <c r="AI1289" t="e">
        <f t="shared" ca="1" si="624"/>
        <v>#VALUE!</v>
      </c>
      <c r="AJ1289" t="e">
        <f t="shared" ca="1" si="625"/>
        <v>#VALUE!</v>
      </c>
      <c r="AM1289">
        <v>0</v>
      </c>
      <c r="AN1289">
        <v>0</v>
      </c>
      <c r="AO1289">
        <f t="shared" si="626"/>
        <v>0</v>
      </c>
      <c r="AP1289">
        <f t="shared" si="635"/>
        <v>0</v>
      </c>
      <c r="AQ1289" t="e">
        <f t="shared" ca="1" si="627"/>
        <v>#VALUE!</v>
      </c>
      <c r="AR1289" t="e">
        <f t="shared" ca="1" si="628"/>
        <v>#VALUE!</v>
      </c>
      <c r="AS1289" t="e">
        <f t="shared" ca="1" si="629"/>
        <v>#VALUE!</v>
      </c>
    </row>
    <row r="1290" spans="1:45" x14ac:dyDescent="0.35">
      <c r="A1290">
        <v>1141</v>
      </c>
      <c r="B1290">
        <v>1139.8889999999999</v>
      </c>
      <c r="C1290">
        <v>616075.25</v>
      </c>
      <c r="D1290">
        <v>3096864.1740000001</v>
      </c>
      <c r="E1290">
        <v>631.99199999999996</v>
      </c>
      <c r="F1290">
        <v>5.2</v>
      </c>
      <c r="G1290">
        <v>0</v>
      </c>
      <c r="H1290" t="s">
        <v>191</v>
      </c>
      <c r="I1290">
        <v>5.7000000000000002E-2</v>
      </c>
      <c r="J1290">
        <f t="shared" si="630"/>
        <v>1</v>
      </c>
      <c r="K1290">
        <f t="shared" si="631"/>
        <v>51</v>
      </c>
      <c r="L1290" t="e">
        <f t="shared" ca="1" si="632"/>
        <v>#VALUE!</v>
      </c>
      <c r="M1290" t="e">
        <f t="shared" ca="1" si="605"/>
        <v>#VALUE!</v>
      </c>
      <c r="N1290" t="e">
        <f t="shared" ca="1" si="606"/>
        <v>#VALUE!</v>
      </c>
      <c r="O1290" t="e">
        <f t="shared" ca="1" si="607"/>
        <v>#VALUE!</v>
      </c>
      <c r="P1290" t="e">
        <f t="shared" ca="1" si="608"/>
        <v>#VALUE!</v>
      </c>
      <c r="Q1290" t="e">
        <f t="shared" ca="1" si="609"/>
        <v>#VALUE!</v>
      </c>
      <c r="R1290" t="e">
        <f t="shared" ca="1" si="610"/>
        <v>#VALUE!</v>
      </c>
      <c r="S1290" t="e">
        <f t="shared" ca="1" si="611"/>
        <v>#VALUE!</v>
      </c>
      <c r="T1290" t="e">
        <f t="shared" ca="1" si="612"/>
        <v>#VALUE!</v>
      </c>
      <c r="U1290" t="e">
        <f t="shared" ca="1" si="633"/>
        <v>#VALUE!</v>
      </c>
      <c r="V1290" t="e">
        <f t="shared" ca="1" si="634"/>
        <v>#VALUE!</v>
      </c>
      <c r="W1290" t="e">
        <f t="shared" ca="1" si="613"/>
        <v>#VALUE!</v>
      </c>
      <c r="X1290" t="e">
        <f t="shared" ca="1" si="614"/>
        <v>#VALUE!</v>
      </c>
      <c r="Y1290" t="e">
        <f t="shared" ca="1" si="615"/>
        <v>#VALUE!</v>
      </c>
      <c r="Z1290" t="e">
        <f t="shared" ca="1" si="616"/>
        <v>#VALUE!</v>
      </c>
      <c r="AA1290" t="e">
        <f t="shared" ca="1" si="617"/>
        <v>#VALUE!</v>
      </c>
      <c r="AB1290" t="e">
        <f t="shared" ca="1" si="618"/>
        <v>#VALUE!</v>
      </c>
      <c r="AC1290" t="e">
        <f t="shared" ca="1" si="619"/>
        <v>#VALUE!</v>
      </c>
      <c r="AD1290" t="e">
        <f t="shared" ca="1" si="620"/>
        <v>#VALUE!</v>
      </c>
      <c r="AE1290" t="e">
        <f t="shared" ca="1" si="621"/>
        <v>#VALUE!</v>
      </c>
      <c r="AF1290" t="e">
        <f t="shared" ca="1" si="622"/>
        <v>#VALUE!</v>
      </c>
      <c r="AG1290" t="e">
        <f t="shared" ca="1" si="623"/>
        <v>#VALUE!</v>
      </c>
      <c r="AH1290" t="e">
        <f ca="1">IF(V32="Supercritical",L1290,IF(V32="Subcritical",W1290,IF(AND(V1290=1,AG1290=1),IF(T1290&gt;=AE1290,L1290,W1290),IF(V1290=1,L1290,IF(AG1290=1,W1290,MAX($D$16,POWER((ABS(K1290)^2)/($I$5*MAX(F1290,0.1)^2),1/3)))))))</f>
        <v>#VALUE!</v>
      </c>
      <c r="AI1290" t="e">
        <f t="shared" ca="1" si="624"/>
        <v>#VALUE!</v>
      </c>
      <c r="AJ1290" t="e">
        <f t="shared" ca="1" si="625"/>
        <v>#VALUE!</v>
      </c>
      <c r="AM1290">
        <v>0</v>
      </c>
      <c r="AN1290">
        <v>0</v>
      </c>
      <c r="AO1290">
        <f t="shared" si="626"/>
        <v>0</v>
      </c>
      <c r="AP1290">
        <f t="shared" si="635"/>
        <v>0</v>
      </c>
      <c r="AQ1290" t="e">
        <f t="shared" ca="1" si="627"/>
        <v>#VALUE!</v>
      </c>
      <c r="AR1290" t="e">
        <f t="shared" ca="1" si="628"/>
        <v>#VALUE!</v>
      </c>
      <c r="AS1290" t="e">
        <f t="shared" ca="1" si="629"/>
        <v>#VALUE!</v>
      </c>
    </row>
    <row r="1291" spans="1:45" x14ac:dyDescent="0.35">
      <c r="A1291">
        <v>1142</v>
      </c>
      <c r="B1291">
        <v>1140.8889999999999</v>
      </c>
      <c r="C1291">
        <v>616075.20700000005</v>
      </c>
      <c r="D1291">
        <v>3096863.1749999998</v>
      </c>
      <c r="E1291">
        <v>631.99149999999997</v>
      </c>
      <c r="F1291">
        <v>5.2</v>
      </c>
      <c r="G1291">
        <v>0</v>
      </c>
      <c r="H1291" t="s">
        <v>191</v>
      </c>
      <c r="I1291">
        <v>5.7000000000000002E-2</v>
      </c>
      <c r="J1291">
        <f t="shared" si="630"/>
        <v>1</v>
      </c>
      <c r="K1291">
        <f t="shared" si="631"/>
        <v>51</v>
      </c>
      <c r="L1291" t="e">
        <f t="shared" ca="1" si="632"/>
        <v>#VALUE!</v>
      </c>
      <c r="M1291" t="e">
        <f t="shared" ca="1" si="605"/>
        <v>#VALUE!</v>
      </c>
      <c r="N1291" t="e">
        <f t="shared" ca="1" si="606"/>
        <v>#VALUE!</v>
      </c>
      <c r="O1291" t="e">
        <f t="shared" ca="1" si="607"/>
        <v>#VALUE!</v>
      </c>
      <c r="P1291" t="e">
        <f t="shared" ca="1" si="608"/>
        <v>#VALUE!</v>
      </c>
      <c r="Q1291" t="e">
        <f t="shared" ca="1" si="609"/>
        <v>#VALUE!</v>
      </c>
      <c r="R1291" t="e">
        <f t="shared" ca="1" si="610"/>
        <v>#VALUE!</v>
      </c>
      <c r="S1291" t="e">
        <f t="shared" ca="1" si="611"/>
        <v>#VALUE!</v>
      </c>
      <c r="T1291" t="e">
        <f t="shared" ca="1" si="612"/>
        <v>#VALUE!</v>
      </c>
      <c r="U1291" t="e">
        <f t="shared" ca="1" si="633"/>
        <v>#VALUE!</v>
      </c>
      <c r="V1291" t="e">
        <f t="shared" ca="1" si="634"/>
        <v>#VALUE!</v>
      </c>
      <c r="W1291" t="e">
        <f t="shared" ca="1" si="613"/>
        <v>#VALUE!</v>
      </c>
      <c r="X1291" t="e">
        <f t="shared" ca="1" si="614"/>
        <v>#VALUE!</v>
      </c>
      <c r="Y1291" t="e">
        <f t="shared" ca="1" si="615"/>
        <v>#VALUE!</v>
      </c>
      <c r="Z1291" t="e">
        <f t="shared" ca="1" si="616"/>
        <v>#VALUE!</v>
      </c>
      <c r="AA1291" t="e">
        <f t="shared" ca="1" si="617"/>
        <v>#VALUE!</v>
      </c>
      <c r="AB1291" t="e">
        <f t="shared" ca="1" si="618"/>
        <v>#VALUE!</v>
      </c>
      <c r="AC1291" t="e">
        <f t="shared" ca="1" si="619"/>
        <v>#VALUE!</v>
      </c>
      <c r="AD1291" t="e">
        <f t="shared" ca="1" si="620"/>
        <v>#VALUE!</v>
      </c>
      <c r="AE1291" t="e">
        <f t="shared" ca="1" si="621"/>
        <v>#VALUE!</v>
      </c>
      <c r="AF1291" t="e">
        <f t="shared" ca="1" si="622"/>
        <v>#VALUE!</v>
      </c>
      <c r="AG1291" t="e">
        <f t="shared" ca="1" si="623"/>
        <v>#VALUE!</v>
      </c>
      <c r="AH1291" t="e">
        <f ca="1">IF(V32="Supercritical",L1291,IF(V32="Subcritical",W1291,IF(AND(V1291=1,AG1291=1),IF(T1291&gt;=AE1291,L1291,W1291),IF(V1291=1,L1291,IF(AG1291=1,W1291,MAX($D$16,POWER((ABS(K1291)^2)/($I$5*MAX(F1291,0.1)^2),1/3)))))))</f>
        <v>#VALUE!</v>
      </c>
      <c r="AI1291" t="e">
        <f t="shared" ca="1" si="624"/>
        <v>#VALUE!</v>
      </c>
      <c r="AJ1291" t="e">
        <f t="shared" ca="1" si="625"/>
        <v>#VALUE!</v>
      </c>
      <c r="AM1291">
        <v>0</v>
      </c>
      <c r="AN1291">
        <v>0</v>
      </c>
      <c r="AO1291">
        <f t="shared" si="626"/>
        <v>0</v>
      </c>
      <c r="AP1291">
        <f t="shared" si="635"/>
        <v>0</v>
      </c>
      <c r="AQ1291" t="e">
        <f t="shared" ca="1" si="627"/>
        <v>#VALUE!</v>
      </c>
      <c r="AR1291" t="e">
        <f t="shared" ca="1" si="628"/>
        <v>#VALUE!</v>
      </c>
      <c r="AS1291" t="e">
        <f t="shared" ca="1" si="629"/>
        <v>#VALUE!</v>
      </c>
    </row>
    <row r="1292" spans="1:45" x14ac:dyDescent="0.35">
      <c r="A1292">
        <v>1143</v>
      </c>
      <c r="B1292">
        <v>1141.8889999999999</v>
      </c>
      <c r="C1292">
        <v>616075.16500000004</v>
      </c>
      <c r="D1292">
        <v>3096862.176</v>
      </c>
      <c r="E1292">
        <v>631.99099999999999</v>
      </c>
      <c r="F1292">
        <v>5.2</v>
      </c>
      <c r="G1292">
        <v>0</v>
      </c>
      <c r="H1292" t="s">
        <v>191</v>
      </c>
      <c r="I1292">
        <v>2E-3</v>
      </c>
      <c r="J1292">
        <f t="shared" si="630"/>
        <v>1</v>
      </c>
      <c r="K1292">
        <f t="shared" si="631"/>
        <v>51</v>
      </c>
      <c r="L1292" t="e">
        <f t="shared" ca="1" si="632"/>
        <v>#VALUE!</v>
      </c>
      <c r="M1292" t="e">
        <f t="shared" ca="1" si="605"/>
        <v>#VALUE!</v>
      </c>
      <c r="N1292" t="e">
        <f t="shared" ca="1" si="606"/>
        <v>#VALUE!</v>
      </c>
      <c r="O1292" t="e">
        <f t="shared" ca="1" si="607"/>
        <v>#VALUE!</v>
      </c>
      <c r="P1292" t="e">
        <f t="shared" ca="1" si="608"/>
        <v>#VALUE!</v>
      </c>
      <c r="Q1292" t="e">
        <f t="shared" ca="1" si="609"/>
        <v>#VALUE!</v>
      </c>
      <c r="R1292" t="e">
        <f t="shared" ca="1" si="610"/>
        <v>#VALUE!</v>
      </c>
      <c r="S1292" t="e">
        <f t="shared" ca="1" si="611"/>
        <v>#VALUE!</v>
      </c>
      <c r="T1292" t="e">
        <f t="shared" ca="1" si="612"/>
        <v>#VALUE!</v>
      </c>
      <c r="U1292" t="e">
        <f t="shared" ca="1" si="633"/>
        <v>#VALUE!</v>
      </c>
      <c r="V1292" t="e">
        <f t="shared" ca="1" si="634"/>
        <v>#VALUE!</v>
      </c>
      <c r="W1292" t="e">
        <f t="shared" ca="1" si="613"/>
        <v>#VALUE!</v>
      </c>
      <c r="X1292" t="e">
        <f t="shared" ca="1" si="614"/>
        <v>#VALUE!</v>
      </c>
      <c r="Y1292" t="e">
        <f t="shared" ca="1" si="615"/>
        <v>#VALUE!</v>
      </c>
      <c r="Z1292" t="e">
        <f t="shared" ca="1" si="616"/>
        <v>#VALUE!</v>
      </c>
      <c r="AA1292" t="e">
        <f t="shared" ca="1" si="617"/>
        <v>#VALUE!</v>
      </c>
      <c r="AB1292" t="e">
        <f t="shared" ca="1" si="618"/>
        <v>#VALUE!</v>
      </c>
      <c r="AC1292" t="e">
        <f t="shared" ca="1" si="619"/>
        <v>#VALUE!</v>
      </c>
      <c r="AD1292" t="e">
        <f t="shared" ca="1" si="620"/>
        <v>#VALUE!</v>
      </c>
      <c r="AE1292" t="e">
        <f t="shared" ca="1" si="621"/>
        <v>#VALUE!</v>
      </c>
      <c r="AF1292" t="e">
        <f t="shared" ca="1" si="622"/>
        <v>#VALUE!</v>
      </c>
      <c r="AG1292" t="e">
        <f t="shared" ca="1" si="623"/>
        <v>#VALUE!</v>
      </c>
      <c r="AH1292" t="e">
        <f ca="1">IF(V32="Supercritical",L1292,IF(V32="Subcritical",W1292,IF(AND(V1292=1,AG1292=1),IF(T1292&gt;=AE1292,L1292,W1292),IF(V1292=1,L1292,IF(AG1292=1,W1292,MAX($D$16,POWER((ABS(K1292)^2)/($I$5*MAX(F1292,0.1)^2),1/3)))))))</f>
        <v>#VALUE!</v>
      </c>
      <c r="AI1292" t="e">
        <f t="shared" ca="1" si="624"/>
        <v>#VALUE!</v>
      </c>
      <c r="AJ1292" t="e">
        <f t="shared" ca="1" si="625"/>
        <v>#VALUE!</v>
      </c>
      <c r="AM1292">
        <v>0</v>
      </c>
      <c r="AN1292">
        <v>0</v>
      </c>
      <c r="AO1292">
        <f t="shared" si="626"/>
        <v>0</v>
      </c>
      <c r="AP1292">
        <f t="shared" si="635"/>
        <v>0</v>
      </c>
      <c r="AQ1292" t="e">
        <f t="shared" ca="1" si="627"/>
        <v>#VALUE!</v>
      </c>
      <c r="AR1292" t="e">
        <f t="shared" ca="1" si="628"/>
        <v>#VALUE!</v>
      </c>
      <c r="AS1292" t="e">
        <f t="shared" ca="1" si="629"/>
        <v>#VALUE!</v>
      </c>
    </row>
    <row r="1293" spans="1:45" x14ac:dyDescent="0.35">
      <c r="A1293">
        <v>1144</v>
      </c>
      <c r="B1293">
        <v>1142.8900000000001</v>
      </c>
      <c r="C1293">
        <v>616075.12300000002</v>
      </c>
      <c r="D1293">
        <v>3096861.176</v>
      </c>
      <c r="E1293">
        <v>631.9905</v>
      </c>
      <c r="F1293">
        <v>5.2</v>
      </c>
      <c r="G1293">
        <v>0</v>
      </c>
      <c r="H1293" t="s">
        <v>191</v>
      </c>
      <c r="I1293">
        <v>2E-3</v>
      </c>
      <c r="J1293">
        <f t="shared" si="630"/>
        <v>1.0010000000002037</v>
      </c>
      <c r="K1293">
        <f t="shared" si="631"/>
        <v>51</v>
      </c>
      <c r="L1293" t="e">
        <f t="shared" ca="1" si="632"/>
        <v>#VALUE!</v>
      </c>
      <c r="M1293" t="e">
        <f t="shared" ca="1" si="605"/>
        <v>#VALUE!</v>
      </c>
      <c r="N1293" t="e">
        <f t="shared" ca="1" si="606"/>
        <v>#VALUE!</v>
      </c>
      <c r="O1293" t="e">
        <f t="shared" ca="1" si="607"/>
        <v>#VALUE!</v>
      </c>
      <c r="P1293" t="e">
        <f t="shared" ca="1" si="608"/>
        <v>#VALUE!</v>
      </c>
      <c r="Q1293" t="e">
        <f t="shared" ca="1" si="609"/>
        <v>#VALUE!</v>
      </c>
      <c r="R1293" t="e">
        <f t="shared" ca="1" si="610"/>
        <v>#VALUE!</v>
      </c>
      <c r="S1293" t="e">
        <f t="shared" ca="1" si="611"/>
        <v>#VALUE!</v>
      </c>
      <c r="T1293" t="e">
        <f t="shared" ca="1" si="612"/>
        <v>#VALUE!</v>
      </c>
      <c r="U1293" t="e">
        <f t="shared" ca="1" si="633"/>
        <v>#VALUE!</v>
      </c>
      <c r="V1293" t="e">
        <f t="shared" ca="1" si="634"/>
        <v>#VALUE!</v>
      </c>
      <c r="W1293" t="e">
        <f t="shared" ca="1" si="613"/>
        <v>#VALUE!</v>
      </c>
      <c r="X1293" t="e">
        <f t="shared" ca="1" si="614"/>
        <v>#VALUE!</v>
      </c>
      <c r="Y1293" t="e">
        <f t="shared" ca="1" si="615"/>
        <v>#VALUE!</v>
      </c>
      <c r="Z1293" t="e">
        <f t="shared" ca="1" si="616"/>
        <v>#VALUE!</v>
      </c>
      <c r="AA1293" t="e">
        <f t="shared" ca="1" si="617"/>
        <v>#VALUE!</v>
      </c>
      <c r="AB1293" t="e">
        <f t="shared" ca="1" si="618"/>
        <v>#VALUE!</v>
      </c>
      <c r="AC1293" t="e">
        <f t="shared" ca="1" si="619"/>
        <v>#VALUE!</v>
      </c>
      <c r="AD1293" t="e">
        <f t="shared" ca="1" si="620"/>
        <v>#VALUE!</v>
      </c>
      <c r="AE1293" t="e">
        <f t="shared" ca="1" si="621"/>
        <v>#VALUE!</v>
      </c>
      <c r="AF1293" t="e">
        <f t="shared" ca="1" si="622"/>
        <v>#VALUE!</v>
      </c>
      <c r="AG1293" t="e">
        <f t="shared" ca="1" si="623"/>
        <v>#VALUE!</v>
      </c>
      <c r="AH1293" t="e">
        <f ca="1">IF(V32="Supercritical",L1293,IF(V32="Subcritical",W1293,IF(AND(V1293=1,AG1293=1),IF(T1293&gt;=AE1293,L1293,W1293),IF(V1293=1,L1293,IF(AG1293=1,W1293,MAX($D$16,POWER((ABS(K1293)^2)/($I$5*MAX(F1293,0.1)^2),1/3)))))))</f>
        <v>#VALUE!</v>
      </c>
      <c r="AI1293" t="e">
        <f t="shared" ca="1" si="624"/>
        <v>#VALUE!</v>
      </c>
      <c r="AJ1293" t="e">
        <f t="shared" ca="1" si="625"/>
        <v>#VALUE!</v>
      </c>
      <c r="AM1293">
        <v>0</v>
      </c>
      <c r="AN1293">
        <v>0</v>
      </c>
      <c r="AO1293">
        <f t="shared" si="626"/>
        <v>0</v>
      </c>
      <c r="AP1293">
        <f t="shared" si="635"/>
        <v>0</v>
      </c>
      <c r="AQ1293" t="e">
        <f t="shared" ca="1" si="627"/>
        <v>#VALUE!</v>
      </c>
      <c r="AR1293" t="e">
        <f t="shared" ca="1" si="628"/>
        <v>#VALUE!</v>
      </c>
      <c r="AS1293" t="e">
        <f t="shared" ca="1" si="629"/>
        <v>#VALUE!</v>
      </c>
    </row>
    <row r="1294" spans="1:45" x14ac:dyDescent="0.35">
      <c r="A1294">
        <v>1145</v>
      </c>
      <c r="B1294">
        <v>1143.8900000000001</v>
      </c>
      <c r="C1294">
        <v>616075.08100000001</v>
      </c>
      <c r="D1294">
        <v>3096860.1770000001</v>
      </c>
      <c r="E1294">
        <v>631.99</v>
      </c>
      <c r="F1294">
        <v>5.2</v>
      </c>
      <c r="G1294">
        <v>0</v>
      </c>
      <c r="H1294" t="s">
        <v>191</v>
      </c>
      <c r="I1294">
        <v>5.7000000000000002E-2</v>
      </c>
      <c r="J1294">
        <f t="shared" si="630"/>
        <v>1</v>
      </c>
      <c r="K1294">
        <f t="shared" si="631"/>
        <v>51</v>
      </c>
      <c r="L1294" t="e">
        <f t="shared" ca="1" si="632"/>
        <v>#VALUE!</v>
      </c>
      <c r="M1294" t="e">
        <f t="shared" ca="1" si="605"/>
        <v>#VALUE!</v>
      </c>
      <c r="N1294" t="e">
        <f t="shared" ca="1" si="606"/>
        <v>#VALUE!</v>
      </c>
      <c r="O1294" t="e">
        <f t="shared" ca="1" si="607"/>
        <v>#VALUE!</v>
      </c>
      <c r="P1294" t="e">
        <f t="shared" ca="1" si="608"/>
        <v>#VALUE!</v>
      </c>
      <c r="Q1294" t="e">
        <f t="shared" ca="1" si="609"/>
        <v>#VALUE!</v>
      </c>
      <c r="R1294" t="e">
        <f t="shared" ca="1" si="610"/>
        <v>#VALUE!</v>
      </c>
      <c r="S1294" t="e">
        <f t="shared" ca="1" si="611"/>
        <v>#VALUE!</v>
      </c>
      <c r="T1294" t="e">
        <f t="shared" ca="1" si="612"/>
        <v>#VALUE!</v>
      </c>
      <c r="U1294" t="e">
        <f t="shared" ca="1" si="633"/>
        <v>#VALUE!</v>
      </c>
      <c r="V1294" t="e">
        <f t="shared" ca="1" si="634"/>
        <v>#VALUE!</v>
      </c>
      <c r="W1294" t="e">
        <f t="shared" ca="1" si="613"/>
        <v>#VALUE!</v>
      </c>
      <c r="X1294" t="e">
        <f t="shared" ca="1" si="614"/>
        <v>#VALUE!</v>
      </c>
      <c r="Y1294" t="e">
        <f t="shared" ca="1" si="615"/>
        <v>#VALUE!</v>
      </c>
      <c r="Z1294" t="e">
        <f t="shared" ca="1" si="616"/>
        <v>#VALUE!</v>
      </c>
      <c r="AA1294" t="e">
        <f t="shared" ca="1" si="617"/>
        <v>#VALUE!</v>
      </c>
      <c r="AB1294" t="e">
        <f t="shared" ca="1" si="618"/>
        <v>#VALUE!</v>
      </c>
      <c r="AC1294" t="e">
        <f t="shared" ca="1" si="619"/>
        <v>#VALUE!</v>
      </c>
      <c r="AD1294" t="e">
        <f t="shared" ca="1" si="620"/>
        <v>#VALUE!</v>
      </c>
      <c r="AE1294" t="e">
        <f t="shared" ca="1" si="621"/>
        <v>#VALUE!</v>
      </c>
      <c r="AF1294" t="e">
        <f t="shared" ca="1" si="622"/>
        <v>#VALUE!</v>
      </c>
      <c r="AG1294" t="e">
        <f t="shared" ca="1" si="623"/>
        <v>#VALUE!</v>
      </c>
      <c r="AH1294" t="e">
        <f ca="1">IF(V32="Supercritical",L1294,IF(V32="Subcritical",W1294,IF(AND(V1294=1,AG1294=1),IF(T1294&gt;=AE1294,L1294,W1294),IF(V1294=1,L1294,IF(AG1294=1,W1294,MAX($D$16,POWER((ABS(K1294)^2)/($I$5*MAX(F1294,0.1)^2),1/3)))))))</f>
        <v>#VALUE!</v>
      </c>
      <c r="AI1294" t="e">
        <f t="shared" ca="1" si="624"/>
        <v>#VALUE!</v>
      </c>
      <c r="AJ1294" t="e">
        <f t="shared" ca="1" si="625"/>
        <v>#VALUE!</v>
      </c>
      <c r="AM1294">
        <v>0</v>
      </c>
      <c r="AN1294">
        <v>0</v>
      </c>
      <c r="AO1294">
        <f t="shared" si="626"/>
        <v>0</v>
      </c>
      <c r="AP1294">
        <f t="shared" si="635"/>
        <v>0</v>
      </c>
      <c r="AQ1294" t="e">
        <f t="shared" ca="1" si="627"/>
        <v>#VALUE!</v>
      </c>
      <c r="AR1294" t="e">
        <f t="shared" ca="1" si="628"/>
        <v>#VALUE!</v>
      </c>
      <c r="AS1294" t="e">
        <f t="shared" ca="1" si="629"/>
        <v>#VALUE!</v>
      </c>
    </row>
    <row r="1295" spans="1:45" x14ac:dyDescent="0.35">
      <c r="A1295">
        <v>1146</v>
      </c>
      <c r="B1295">
        <v>1144.8900000000001</v>
      </c>
      <c r="C1295">
        <v>616075.03799999994</v>
      </c>
      <c r="D1295">
        <v>3096859.1779999998</v>
      </c>
      <c r="E1295">
        <v>631.98950000000002</v>
      </c>
      <c r="F1295">
        <v>5.2</v>
      </c>
      <c r="G1295">
        <v>0</v>
      </c>
      <c r="H1295" t="s">
        <v>191</v>
      </c>
      <c r="I1295">
        <v>5.7000000000000002E-2</v>
      </c>
      <c r="J1295">
        <f t="shared" si="630"/>
        <v>1</v>
      </c>
      <c r="K1295">
        <f t="shared" si="631"/>
        <v>51</v>
      </c>
      <c r="L1295" t="e">
        <f t="shared" ca="1" si="632"/>
        <v>#VALUE!</v>
      </c>
      <c r="M1295" t="e">
        <f t="shared" ca="1" si="605"/>
        <v>#VALUE!</v>
      </c>
      <c r="N1295" t="e">
        <f t="shared" ca="1" si="606"/>
        <v>#VALUE!</v>
      </c>
      <c r="O1295" t="e">
        <f t="shared" ca="1" si="607"/>
        <v>#VALUE!</v>
      </c>
      <c r="P1295" t="e">
        <f t="shared" ca="1" si="608"/>
        <v>#VALUE!</v>
      </c>
      <c r="Q1295" t="e">
        <f t="shared" ca="1" si="609"/>
        <v>#VALUE!</v>
      </c>
      <c r="R1295" t="e">
        <f t="shared" ca="1" si="610"/>
        <v>#VALUE!</v>
      </c>
      <c r="S1295" t="e">
        <f t="shared" ca="1" si="611"/>
        <v>#VALUE!</v>
      </c>
      <c r="T1295" t="e">
        <f t="shared" ca="1" si="612"/>
        <v>#VALUE!</v>
      </c>
      <c r="U1295" t="e">
        <f t="shared" ca="1" si="633"/>
        <v>#VALUE!</v>
      </c>
      <c r="V1295" t="e">
        <f t="shared" ca="1" si="634"/>
        <v>#VALUE!</v>
      </c>
      <c r="W1295" t="e">
        <f t="shared" ca="1" si="613"/>
        <v>#VALUE!</v>
      </c>
      <c r="X1295" t="e">
        <f t="shared" ca="1" si="614"/>
        <v>#VALUE!</v>
      </c>
      <c r="Y1295" t="e">
        <f t="shared" ca="1" si="615"/>
        <v>#VALUE!</v>
      </c>
      <c r="Z1295" t="e">
        <f t="shared" ca="1" si="616"/>
        <v>#VALUE!</v>
      </c>
      <c r="AA1295" t="e">
        <f t="shared" ca="1" si="617"/>
        <v>#VALUE!</v>
      </c>
      <c r="AB1295" t="e">
        <f t="shared" ca="1" si="618"/>
        <v>#VALUE!</v>
      </c>
      <c r="AC1295" t="e">
        <f t="shared" ca="1" si="619"/>
        <v>#VALUE!</v>
      </c>
      <c r="AD1295" t="e">
        <f t="shared" ca="1" si="620"/>
        <v>#VALUE!</v>
      </c>
      <c r="AE1295" t="e">
        <f t="shared" ca="1" si="621"/>
        <v>#VALUE!</v>
      </c>
      <c r="AF1295" t="e">
        <f t="shared" ca="1" si="622"/>
        <v>#VALUE!</v>
      </c>
      <c r="AG1295" t="e">
        <f t="shared" ca="1" si="623"/>
        <v>#VALUE!</v>
      </c>
      <c r="AH1295" t="e">
        <f ca="1">IF(V32="Supercritical",L1295,IF(V32="Subcritical",W1295,IF(AND(V1295=1,AG1295=1),IF(T1295&gt;=AE1295,L1295,W1295),IF(V1295=1,L1295,IF(AG1295=1,W1295,MAX($D$16,POWER((ABS(K1295)^2)/($I$5*MAX(F1295,0.1)^2),1/3)))))))</f>
        <v>#VALUE!</v>
      </c>
      <c r="AI1295" t="e">
        <f t="shared" ca="1" si="624"/>
        <v>#VALUE!</v>
      </c>
      <c r="AJ1295" t="e">
        <f t="shared" ca="1" si="625"/>
        <v>#VALUE!</v>
      </c>
      <c r="AM1295">
        <v>0</v>
      </c>
      <c r="AN1295">
        <v>0</v>
      </c>
      <c r="AO1295">
        <f t="shared" si="626"/>
        <v>0</v>
      </c>
      <c r="AP1295">
        <f t="shared" si="635"/>
        <v>0</v>
      </c>
      <c r="AQ1295" t="e">
        <f t="shared" ca="1" si="627"/>
        <v>#VALUE!</v>
      </c>
      <c r="AR1295" t="e">
        <f t="shared" ca="1" si="628"/>
        <v>#VALUE!</v>
      </c>
      <c r="AS1295" t="e">
        <f t="shared" ca="1" si="629"/>
        <v>#VALUE!</v>
      </c>
    </row>
    <row r="1296" spans="1:45" x14ac:dyDescent="0.35">
      <c r="A1296">
        <v>1147</v>
      </c>
      <c r="B1296">
        <v>1145.8889999999999</v>
      </c>
      <c r="C1296">
        <v>616074.99600000004</v>
      </c>
      <c r="D1296">
        <v>3096858.179</v>
      </c>
      <c r="E1296">
        <v>631.98900000000003</v>
      </c>
      <c r="F1296">
        <v>5.2</v>
      </c>
      <c r="G1296">
        <v>0</v>
      </c>
      <c r="H1296" t="s">
        <v>191</v>
      </c>
      <c r="I1296">
        <v>0</v>
      </c>
      <c r="J1296">
        <f t="shared" si="630"/>
        <v>0.99899999999979627</v>
      </c>
      <c r="K1296">
        <f t="shared" si="631"/>
        <v>51</v>
      </c>
      <c r="L1296" t="e">
        <f t="shared" ca="1" si="632"/>
        <v>#VALUE!</v>
      </c>
      <c r="M1296" t="e">
        <f t="shared" ca="1" si="605"/>
        <v>#VALUE!</v>
      </c>
      <c r="N1296" t="e">
        <f t="shared" ca="1" si="606"/>
        <v>#VALUE!</v>
      </c>
      <c r="O1296" t="e">
        <f t="shared" ca="1" si="607"/>
        <v>#VALUE!</v>
      </c>
      <c r="P1296" t="e">
        <f t="shared" ca="1" si="608"/>
        <v>#VALUE!</v>
      </c>
      <c r="Q1296" t="e">
        <f t="shared" ca="1" si="609"/>
        <v>#VALUE!</v>
      </c>
      <c r="R1296" t="e">
        <f t="shared" ca="1" si="610"/>
        <v>#VALUE!</v>
      </c>
      <c r="S1296" t="e">
        <f t="shared" ca="1" si="611"/>
        <v>#VALUE!</v>
      </c>
      <c r="T1296" t="e">
        <f t="shared" ca="1" si="612"/>
        <v>#VALUE!</v>
      </c>
      <c r="U1296" t="e">
        <f t="shared" ca="1" si="633"/>
        <v>#VALUE!</v>
      </c>
      <c r="V1296" t="e">
        <f t="shared" ca="1" si="634"/>
        <v>#VALUE!</v>
      </c>
      <c r="W1296" t="e">
        <f t="shared" ca="1" si="613"/>
        <v>#VALUE!</v>
      </c>
      <c r="X1296" t="e">
        <f t="shared" ca="1" si="614"/>
        <v>#VALUE!</v>
      </c>
      <c r="Y1296" t="e">
        <f t="shared" ca="1" si="615"/>
        <v>#VALUE!</v>
      </c>
      <c r="Z1296" t="e">
        <f t="shared" ca="1" si="616"/>
        <v>#VALUE!</v>
      </c>
      <c r="AA1296" t="e">
        <f t="shared" ca="1" si="617"/>
        <v>#VALUE!</v>
      </c>
      <c r="AB1296" t="e">
        <f t="shared" ca="1" si="618"/>
        <v>#VALUE!</v>
      </c>
      <c r="AC1296" t="e">
        <f t="shared" ca="1" si="619"/>
        <v>#VALUE!</v>
      </c>
      <c r="AD1296" t="e">
        <f t="shared" ca="1" si="620"/>
        <v>#VALUE!</v>
      </c>
      <c r="AE1296" t="e">
        <f t="shared" ca="1" si="621"/>
        <v>#VALUE!</v>
      </c>
      <c r="AF1296" t="e">
        <f t="shared" ca="1" si="622"/>
        <v>#VALUE!</v>
      </c>
      <c r="AG1296" t="e">
        <f t="shared" ca="1" si="623"/>
        <v>#VALUE!</v>
      </c>
      <c r="AH1296" t="e">
        <f ca="1">IF(V32="Supercritical",L1296,IF(V32="Subcritical",W1296,IF(AND(V1296=1,AG1296=1),IF(T1296&gt;=AE1296,L1296,W1296),IF(V1296=1,L1296,IF(AG1296=1,W1296,MAX($D$16,POWER((ABS(K1296)^2)/($I$5*MAX(F1296,0.1)^2),1/3)))))))</f>
        <v>#VALUE!</v>
      </c>
      <c r="AI1296" t="e">
        <f t="shared" ca="1" si="624"/>
        <v>#VALUE!</v>
      </c>
      <c r="AJ1296" t="e">
        <f t="shared" ca="1" si="625"/>
        <v>#VALUE!</v>
      </c>
      <c r="AM1296">
        <v>0</v>
      </c>
      <c r="AN1296">
        <v>0</v>
      </c>
      <c r="AO1296">
        <f t="shared" si="626"/>
        <v>0</v>
      </c>
      <c r="AP1296">
        <f t="shared" si="635"/>
        <v>0</v>
      </c>
      <c r="AQ1296" t="e">
        <f t="shared" ca="1" si="627"/>
        <v>#VALUE!</v>
      </c>
      <c r="AR1296" t="e">
        <f t="shared" ca="1" si="628"/>
        <v>#VALUE!</v>
      </c>
      <c r="AS1296" t="e">
        <f t="shared" ca="1" si="629"/>
        <v>#VALUE!</v>
      </c>
    </row>
    <row r="1297" spans="1:45" x14ac:dyDescent="0.35">
      <c r="A1297">
        <v>1148</v>
      </c>
      <c r="B1297">
        <v>1146.8889999999999</v>
      </c>
      <c r="C1297">
        <v>616074.95400000003</v>
      </c>
      <c r="D1297">
        <v>3096857.18</v>
      </c>
      <c r="E1297">
        <v>631.98850000000004</v>
      </c>
      <c r="F1297">
        <v>5.2</v>
      </c>
      <c r="G1297">
        <v>0</v>
      </c>
      <c r="H1297" t="s">
        <v>191</v>
      </c>
      <c r="I1297">
        <v>0</v>
      </c>
      <c r="J1297">
        <f t="shared" si="630"/>
        <v>1</v>
      </c>
      <c r="K1297">
        <f t="shared" si="631"/>
        <v>51</v>
      </c>
      <c r="L1297" t="e">
        <f t="shared" ca="1" si="632"/>
        <v>#VALUE!</v>
      </c>
      <c r="M1297" t="e">
        <f t="shared" ca="1" si="605"/>
        <v>#VALUE!</v>
      </c>
      <c r="N1297" t="e">
        <f t="shared" ca="1" si="606"/>
        <v>#VALUE!</v>
      </c>
      <c r="O1297" t="e">
        <f t="shared" ca="1" si="607"/>
        <v>#VALUE!</v>
      </c>
      <c r="P1297" t="e">
        <f t="shared" ca="1" si="608"/>
        <v>#VALUE!</v>
      </c>
      <c r="Q1297" t="e">
        <f t="shared" ca="1" si="609"/>
        <v>#VALUE!</v>
      </c>
      <c r="R1297" t="e">
        <f t="shared" ca="1" si="610"/>
        <v>#VALUE!</v>
      </c>
      <c r="S1297" t="e">
        <f t="shared" ca="1" si="611"/>
        <v>#VALUE!</v>
      </c>
      <c r="T1297" t="e">
        <f t="shared" ca="1" si="612"/>
        <v>#VALUE!</v>
      </c>
      <c r="U1297" t="e">
        <f t="shared" ca="1" si="633"/>
        <v>#VALUE!</v>
      </c>
      <c r="V1297" t="e">
        <f t="shared" ca="1" si="634"/>
        <v>#VALUE!</v>
      </c>
      <c r="W1297" t="e">
        <f t="shared" ca="1" si="613"/>
        <v>#VALUE!</v>
      </c>
      <c r="X1297" t="e">
        <f t="shared" ca="1" si="614"/>
        <v>#VALUE!</v>
      </c>
      <c r="Y1297" t="e">
        <f t="shared" ca="1" si="615"/>
        <v>#VALUE!</v>
      </c>
      <c r="Z1297" t="e">
        <f t="shared" ca="1" si="616"/>
        <v>#VALUE!</v>
      </c>
      <c r="AA1297" t="e">
        <f t="shared" ca="1" si="617"/>
        <v>#VALUE!</v>
      </c>
      <c r="AB1297" t="e">
        <f t="shared" ca="1" si="618"/>
        <v>#VALUE!</v>
      </c>
      <c r="AC1297" t="e">
        <f t="shared" ca="1" si="619"/>
        <v>#VALUE!</v>
      </c>
      <c r="AD1297" t="e">
        <f t="shared" ca="1" si="620"/>
        <v>#VALUE!</v>
      </c>
      <c r="AE1297" t="e">
        <f t="shared" ca="1" si="621"/>
        <v>#VALUE!</v>
      </c>
      <c r="AF1297" t="e">
        <f t="shared" ca="1" si="622"/>
        <v>#VALUE!</v>
      </c>
      <c r="AG1297" t="e">
        <f t="shared" ca="1" si="623"/>
        <v>#VALUE!</v>
      </c>
      <c r="AH1297" t="e">
        <f ca="1">IF(V32="Supercritical",L1297,IF(V32="Subcritical",W1297,IF(AND(V1297=1,AG1297=1),IF(T1297&gt;=AE1297,L1297,W1297),IF(V1297=1,L1297,IF(AG1297=1,W1297,MAX($D$16,POWER((ABS(K1297)^2)/($I$5*MAX(F1297,0.1)^2),1/3)))))))</f>
        <v>#VALUE!</v>
      </c>
      <c r="AI1297" t="e">
        <f t="shared" ca="1" si="624"/>
        <v>#VALUE!</v>
      </c>
      <c r="AJ1297" t="e">
        <f t="shared" ca="1" si="625"/>
        <v>#VALUE!</v>
      </c>
      <c r="AM1297">
        <v>0</v>
      </c>
      <c r="AN1297">
        <v>0</v>
      </c>
      <c r="AO1297">
        <f t="shared" si="626"/>
        <v>0</v>
      </c>
      <c r="AP1297">
        <f t="shared" si="635"/>
        <v>0</v>
      </c>
      <c r="AQ1297" t="e">
        <f t="shared" ca="1" si="627"/>
        <v>#VALUE!</v>
      </c>
      <c r="AR1297" t="e">
        <f t="shared" ca="1" si="628"/>
        <v>#VALUE!</v>
      </c>
      <c r="AS1297" t="e">
        <f t="shared" ca="1" si="629"/>
        <v>#VALUE!</v>
      </c>
    </row>
    <row r="1298" spans="1:45" x14ac:dyDescent="0.35">
      <c r="A1298">
        <v>1149</v>
      </c>
      <c r="B1298">
        <v>1147.8889999999999</v>
      </c>
      <c r="C1298">
        <v>616074.91200000001</v>
      </c>
      <c r="D1298">
        <v>3096856.1809999999</v>
      </c>
      <c r="E1298">
        <v>631.98800000000006</v>
      </c>
      <c r="F1298">
        <v>5.2</v>
      </c>
      <c r="G1298">
        <v>0</v>
      </c>
      <c r="H1298" t="s">
        <v>191</v>
      </c>
      <c r="I1298">
        <v>5.7000000000000002E-2</v>
      </c>
      <c r="J1298">
        <f t="shared" si="630"/>
        <v>1</v>
      </c>
      <c r="K1298">
        <f t="shared" si="631"/>
        <v>51</v>
      </c>
      <c r="L1298" t="e">
        <f t="shared" ca="1" si="632"/>
        <v>#VALUE!</v>
      </c>
      <c r="M1298" t="e">
        <f t="shared" ca="1" si="605"/>
        <v>#VALUE!</v>
      </c>
      <c r="N1298" t="e">
        <f t="shared" ca="1" si="606"/>
        <v>#VALUE!</v>
      </c>
      <c r="O1298" t="e">
        <f t="shared" ca="1" si="607"/>
        <v>#VALUE!</v>
      </c>
      <c r="P1298" t="e">
        <f t="shared" ca="1" si="608"/>
        <v>#VALUE!</v>
      </c>
      <c r="Q1298" t="e">
        <f t="shared" ca="1" si="609"/>
        <v>#VALUE!</v>
      </c>
      <c r="R1298" t="e">
        <f t="shared" ca="1" si="610"/>
        <v>#VALUE!</v>
      </c>
      <c r="S1298" t="e">
        <f t="shared" ca="1" si="611"/>
        <v>#VALUE!</v>
      </c>
      <c r="T1298" t="e">
        <f t="shared" ca="1" si="612"/>
        <v>#VALUE!</v>
      </c>
      <c r="U1298" t="e">
        <f t="shared" ca="1" si="633"/>
        <v>#VALUE!</v>
      </c>
      <c r="V1298" t="e">
        <f t="shared" ca="1" si="634"/>
        <v>#VALUE!</v>
      </c>
      <c r="W1298" t="e">
        <f t="shared" ca="1" si="613"/>
        <v>#VALUE!</v>
      </c>
      <c r="X1298" t="e">
        <f t="shared" ca="1" si="614"/>
        <v>#VALUE!</v>
      </c>
      <c r="Y1298" t="e">
        <f t="shared" ca="1" si="615"/>
        <v>#VALUE!</v>
      </c>
      <c r="Z1298" t="e">
        <f t="shared" ca="1" si="616"/>
        <v>#VALUE!</v>
      </c>
      <c r="AA1298" t="e">
        <f t="shared" ca="1" si="617"/>
        <v>#VALUE!</v>
      </c>
      <c r="AB1298" t="e">
        <f t="shared" ca="1" si="618"/>
        <v>#VALUE!</v>
      </c>
      <c r="AC1298" t="e">
        <f t="shared" ca="1" si="619"/>
        <v>#VALUE!</v>
      </c>
      <c r="AD1298" t="e">
        <f t="shared" ca="1" si="620"/>
        <v>#VALUE!</v>
      </c>
      <c r="AE1298" t="e">
        <f t="shared" ca="1" si="621"/>
        <v>#VALUE!</v>
      </c>
      <c r="AF1298" t="e">
        <f t="shared" ca="1" si="622"/>
        <v>#VALUE!</v>
      </c>
      <c r="AG1298" t="e">
        <f t="shared" ca="1" si="623"/>
        <v>#VALUE!</v>
      </c>
      <c r="AH1298" t="e">
        <f ca="1">IF(V32="Supercritical",L1298,IF(V32="Subcritical",W1298,IF(AND(V1298=1,AG1298=1),IF(T1298&gt;=AE1298,L1298,W1298),IF(V1298=1,L1298,IF(AG1298=1,W1298,MAX($D$16,POWER((ABS(K1298)^2)/($I$5*MAX(F1298,0.1)^2),1/3)))))))</f>
        <v>#VALUE!</v>
      </c>
      <c r="AI1298" t="e">
        <f t="shared" ca="1" si="624"/>
        <v>#VALUE!</v>
      </c>
      <c r="AJ1298" t="e">
        <f t="shared" ca="1" si="625"/>
        <v>#VALUE!</v>
      </c>
      <c r="AM1298">
        <v>0</v>
      </c>
      <c r="AN1298">
        <v>0</v>
      </c>
      <c r="AO1298">
        <f t="shared" si="626"/>
        <v>0</v>
      </c>
      <c r="AP1298">
        <f t="shared" si="635"/>
        <v>0</v>
      </c>
      <c r="AQ1298" t="e">
        <f t="shared" ca="1" si="627"/>
        <v>#VALUE!</v>
      </c>
      <c r="AR1298" t="e">
        <f t="shared" ca="1" si="628"/>
        <v>#VALUE!</v>
      </c>
      <c r="AS1298" t="e">
        <f t="shared" ca="1" si="629"/>
        <v>#VALUE!</v>
      </c>
    </row>
    <row r="1299" spans="1:45" x14ac:dyDescent="0.35">
      <c r="A1299">
        <v>1150</v>
      </c>
      <c r="B1299">
        <v>1148.8889999999999</v>
      </c>
      <c r="C1299">
        <v>616074.86899999995</v>
      </c>
      <c r="D1299">
        <v>3096855.182</v>
      </c>
      <c r="E1299">
        <v>631.98749999999995</v>
      </c>
      <c r="F1299">
        <v>5.2</v>
      </c>
      <c r="G1299">
        <v>0</v>
      </c>
      <c r="H1299" t="s">
        <v>191</v>
      </c>
      <c r="I1299">
        <v>5.7000000000000002E-2</v>
      </c>
      <c r="J1299">
        <f t="shared" si="630"/>
        <v>1</v>
      </c>
      <c r="K1299">
        <f t="shared" si="631"/>
        <v>51</v>
      </c>
      <c r="L1299" t="e">
        <f t="shared" ca="1" si="632"/>
        <v>#VALUE!</v>
      </c>
      <c r="M1299" t="e">
        <f t="shared" ca="1" si="605"/>
        <v>#VALUE!</v>
      </c>
      <c r="N1299" t="e">
        <f t="shared" ca="1" si="606"/>
        <v>#VALUE!</v>
      </c>
      <c r="O1299" t="e">
        <f t="shared" ca="1" si="607"/>
        <v>#VALUE!</v>
      </c>
      <c r="P1299" t="e">
        <f t="shared" ca="1" si="608"/>
        <v>#VALUE!</v>
      </c>
      <c r="Q1299" t="e">
        <f t="shared" ca="1" si="609"/>
        <v>#VALUE!</v>
      </c>
      <c r="R1299" t="e">
        <f t="shared" ca="1" si="610"/>
        <v>#VALUE!</v>
      </c>
      <c r="S1299" t="e">
        <f t="shared" ca="1" si="611"/>
        <v>#VALUE!</v>
      </c>
      <c r="T1299" t="e">
        <f t="shared" ca="1" si="612"/>
        <v>#VALUE!</v>
      </c>
      <c r="U1299" t="e">
        <f t="shared" ca="1" si="633"/>
        <v>#VALUE!</v>
      </c>
      <c r="V1299" t="e">
        <f t="shared" ca="1" si="634"/>
        <v>#VALUE!</v>
      </c>
      <c r="W1299" t="e">
        <f t="shared" ca="1" si="613"/>
        <v>#VALUE!</v>
      </c>
      <c r="X1299" t="e">
        <f t="shared" ca="1" si="614"/>
        <v>#VALUE!</v>
      </c>
      <c r="Y1299" t="e">
        <f t="shared" ca="1" si="615"/>
        <v>#VALUE!</v>
      </c>
      <c r="Z1299" t="e">
        <f t="shared" ca="1" si="616"/>
        <v>#VALUE!</v>
      </c>
      <c r="AA1299" t="e">
        <f t="shared" ca="1" si="617"/>
        <v>#VALUE!</v>
      </c>
      <c r="AB1299" t="e">
        <f t="shared" ca="1" si="618"/>
        <v>#VALUE!</v>
      </c>
      <c r="AC1299" t="e">
        <f t="shared" ca="1" si="619"/>
        <v>#VALUE!</v>
      </c>
      <c r="AD1299" t="e">
        <f t="shared" ca="1" si="620"/>
        <v>#VALUE!</v>
      </c>
      <c r="AE1299" t="e">
        <f t="shared" ca="1" si="621"/>
        <v>#VALUE!</v>
      </c>
      <c r="AF1299" t="e">
        <f t="shared" ca="1" si="622"/>
        <v>#VALUE!</v>
      </c>
      <c r="AG1299" t="e">
        <f t="shared" ca="1" si="623"/>
        <v>#VALUE!</v>
      </c>
      <c r="AH1299" t="e">
        <f ca="1">IF(V32="Supercritical",L1299,IF(V32="Subcritical",W1299,IF(AND(V1299=1,AG1299=1),IF(T1299&gt;=AE1299,L1299,W1299),IF(V1299=1,L1299,IF(AG1299=1,W1299,MAX($D$16,POWER((ABS(K1299)^2)/($I$5*MAX(F1299,0.1)^2),1/3)))))))</f>
        <v>#VALUE!</v>
      </c>
      <c r="AI1299" t="e">
        <f t="shared" ca="1" si="624"/>
        <v>#VALUE!</v>
      </c>
      <c r="AJ1299" t="e">
        <f t="shared" ca="1" si="625"/>
        <v>#VALUE!</v>
      </c>
      <c r="AM1299">
        <v>0</v>
      </c>
      <c r="AN1299">
        <v>0</v>
      </c>
      <c r="AO1299">
        <f t="shared" si="626"/>
        <v>0</v>
      </c>
      <c r="AP1299">
        <f t="shared" si="635"/>
        <v>0</v>
      </c>
      <c r="AQ1299" t="e">
        <f t="shared" ca="1" si="627"/>
        <v>#VALUE!</v>
      </c>
      <c r="AR1299" t="e">
        <f t="shared" ca="1" si="628"/>
        <v>#VALUE!</v>
      </c>
      <c r="AS1299" t="e">
        <f t="shared" ca="1" si="629"/>
        <v>#VALUE!</v>
      </c>
    </row>
    <row r="1300" spans="1:45" x14ac:dyDescent="0.35">
      <c r="A1300">
        <v>1151</v>
      </c>
      <c r="B1300">
        <v>1149.8889999999999</v>
      </c>
      <c r="C1300">
        <v>616074.82700000005</v>
      </c>
      <c r="D1300">
        <v>3096854.1830000002</v>
      </c>
      <c r="E1300">
        <v>631.98699999999997</v>
      </c>
      <c r="F1300">
        <v>5.2</v>
      </c>
      <c r="G1300">
        <v>0</v>
      </c>
      <c r="H1300" t="s">
        <v>191</v>
      </c>
      <c r="I1300">
        <v>0</v>
      </c>
      <c r="J1300">
        <f t="shared" si="630"/>
        <v>1</v>
      </c>
      <c r="K1300">
        <f t="shared" si="631"/>
        <v>51</v>
      </c>
      <c r="L1300" t="e">
        <f t="shared" ca="1" si="632"/>
        <v>#VALUE!</v>
      </c>
      <c r="M1300" t="e">
        <f t="shared" ca="1" si="605"/>
        <v>#VALUE!</v>
      </c>
      <c r="N1300" t="e">
        <f t="shared" ca="1" si="606"/>
        <v>#VALUE!</v>
      </c>
      <c r="O1300" t="e">
        <f t="shared" ca="1" si="607"/>
        <v>#VALUE!</v>
      </c>
      <c r="P1300" t="e">
        <f t="shared" ca="1" si="608"/>
        <v>#VALUE!</v>
      </c>
      <c r="Q1300" t="e">
        <f t="shared" ca="1" si="609"/>
        <v>#VALUE!</v>
      </c>
      <c r="R1300" t="e">
        <f t="shared" ca="1" si="610"/>
        <v>#VALUE!</v>
      </c>
      <c r="S1300" t="e">
        <f t="shared" ca="1" si="611"/>
        <v>#VALUE!</v>
      </c>
      <c r="T1300" t="e">
        <f t="shared" ca="1" si="612"/>
        <v>#VALUE!</v>
      </c>
      <c r="U1300" t="e">
        <f t="shared" ca="1" si="633"/>
        <v>#VALUE!</v>
      </c>
      <c r="V1300" t="e">
        <f t="shared" ca="1" si="634"/>
        <v>#VALUE!</v>
      </c>
      <c r="W1300" t="e">
        <f t="shared" ca="1" si="613"/>
        <v>#VALUE!</v>
      </c>
      <c r="X1300" t="e">
        <f t="shared" ca="1" si="614"/>
        <v>#VALUE!</v>
      </c>
      <c r="Y1300" t="e">
        <f t="shared" ca="1" si="615"/>
        <v>#VALUE!</v>
      </c>
      <c r="Z1300" t="e">
        <f t="shared" ca="1" si="616"/>
        <v>#VALUE!</v>
      </c>
      <c r="AA1300" t="e">
        <f t="shared" ca="1" si="617"/>
        <v>#VALUE!</v>
      </c>
      <c r="AB1300" t="e">
        <f t="shared" ca="1" si="618"/>
        <v>#VALUE!</v>
      </c>
      <c r="AC1300" t="e">
        <f t="shared" ca="1" si="619"/>
        <v>#VALUE!</v>
      </c>
      <c r="AD1300" t="e">
        <f t="shared" ca="1" si="620"/>
        <v>#VALUE!</v>
      </c>
      <c r="AE1300" t="e">
        <f t="shared" ca="1" si="621"/>
        <v>#VALUE!</v>
      </c>
      <c r="AF1300" t="e">
        <f t="shared" ca="1" si="622"/>
        <v>#VALUE!</v>
      </c>
      <c r="AG1300" t="e">
        <f t="shared" ca="1" si="623"/>
        <v>#VALUE!</v>
      </c>
      <c r="AH1300" t="e">
        <f ca="1">IF(V32="Supercritical",L1300,IF(V32="Subcritical",W1300,IF(AND(V1300=1,AG1300=1),IF(T1300&gt;=AE1300,L1300,W1300),IF(V1300=1,L1300,IF(AG1300=1,W1300,MAX($D$16,POWER((ABS(K1300)^2)/($I$5*MAX(F1300,0.1)^2),1/3)))))))</f>
        <v>#VALUE!</v>
      </c>
      <c r="AI1300" t="e">
        <f t="shared" ca="1" si="624"/>
        <v>#VALUE!</v>
      </c>
      <c r="AJ1300" t="e">
        <f t="shared" ca="1" si="625"/>
        <v>#VALUE!</v>
      </c>
      <c r="AM1300">
        <v>0</v>
      </c>
      <c r="AN1300">
        <v>0</v>
      </c>
      <c r="AO1300">
        <f t="shared" si="626"/>
        <v>0</v>
      </c>
      <c r="AP1300">
        <f t="shared" si="635"/>
        <v>0</v>
      </c>
      <c r="AQ1300" t="e">
        <f t="shared" ca="1" si="627"/>
        <v>#VALUE!</v>
      </c>
      <c r="AR1300" t="e">
        <f t="shared" ca="1" si="628"/>
        <v>#VALUE!</v>
      </c>
      <c r="AS1300" t="e">
        <f t="shared" ca="1" si="629"/>
        <v>#VALUE!</v>
      </c>
    </row>
    <row r="1301" spans="1:45" x14ac:dyDescent="0.35">
      <c r="A1301">
        <v>1152</v>
      </c>
      <c r="B1301">
        <v>1150.8889999999999</v>
      </c>
      <c r="C1301">
        <v>616074.78500000003</v>
      </c>
      <c r="D1301">
        <v>3096853.1839999999</v>
      </c>
      <c r="E1301">
        <v>631.98649999999998</v>
      </c>
      <c r="F1301">
        <v>5.2</v>
      </c>
      <c r="G1301">
        <v>0</v>
      </c>
      <c r="H1301" t="s">
        <v>191</v>
      </c>
      <c r="I1301">
        <v>0</v>
      </c>
      <c r="J1301">
        <f t="shared" si="630"/>
        <v>1</v>
      </c>
      <c r="K1301">
        <f t="shared" si="631"/>
        <v>51</v>
      </c>
      <c r="L1301" t="e">
        <f t="shared" ca="1" si="632"/>
        <v>#VALUE!</v>
      </c>
      <c r="M1301" t="e">
        <f t="shared" ca="1" si="605"/>
        <v>#VALUE!</v>
      </c>
      <c r="N1301" t="e">
        <f t="shared" ca="1" si="606"/>
        <v>#VALUE!</v>
      </c>
      <c r="O1301" t="e">
        <f t="shared" ca="1" si="607"/>
        <v>#VALUE!</v>
      </c>
      <c r="P1301" t="e">
        <f t="shared" ca="1" si="608"/>
        <v>#VALUE!</v>
      </c>
      <c r="Q1301" t="e">
        <f t="shared" ca="1" si="609"/>
        <v>#VALUE!</v>
      </c>
      <c r="R1301" t="e">
        <f t="shared" ca="1" si="610"/>
        <v>#VALUE!</v>
      </c>
      <c r="S1301" t="e">
        <f t="shared" ca="1" si="611"/>
        <v>#VALUE!</v>
      </c>
      <c r="T1301" t="e">
        <f t="shared" ca="1" si="612"/>
        <v>#VALUE!</v>
      </c>
      <c r="U1301" t="e">
        <f t="shared" ca="1" si="633"/>
        <v>#VALUE!</v>
      </c>
      <c r="V1301" t="e">
        <f t="shared" ca="1" si="634"/>
        <v>#VALUE!</v>
      </c>
      <c r="W1301" t="e">
        <f t="shared" ca="1" si="613"/>
        <v>#VALUE!</v>
      </c>
      <c r="X1301" t="e">
        <f t="shared" ca="1" si="614"/>
        <v>#VALUE!</v>
      </c>
      <c r="Y1301" t="e">
        <f t="shared" ca="1" si="615"/>
        <v>#VALUE!</v>
      </c>
      <c r="Z1301" t="e">
        <f t="shared" ca="1" si="616"/>
        <v>#VALUE!</v>
      </c>
      <c r="AA1301" t="e">
        <f t="shared" ca="1" si="617"/>
        <v>#VALUE!</v>
      </c>
      <c r="AB1301" t="e">
        <f t="shared" ca="1" si="618"/>
        <v>#VALUE!</v>
      </c>
      <c r="AC1301" t="e">
        <f t="shared" ca="1" si="619"/>
        <v>#VALUE!</v>
      </c>
      <c r="AD1301" t="e">
        <f t="shared" ca="1" si="620"/>
        <v>#VALUE!</v>
      </c>
      <c r="AE1301" t="e">
        <f t="shared" ca="1" si="621"/>
        <v>#VALUE!</v>
      </c>
      <c r="AF1301" t="e">
        <f t="shared" ca="1" si="622"/>
        <v>#VALUE!</v>
      </c>
      <c r="AG1301" t="e">
        <f t="shared" ca="1" si="623"/>
        <v>#VALUE!</v>
      </c>
      <c r="AH1301" t="e">
        <f ca="1">IF(V32="Supercritical",L1301,IF(V32="Subcritical",W1301,IF(AND(V1301=1,AG1301=1),IF(T1301&gt;=AE1301,L1301,W1301),IF(V1301=1,L1301,IF(AG1301=1,W1301,MAX($D$16,POWER((ABS(K1301)^2)/($I$5*MAX(F1301,0.1)^2),1/3)))))))</f>
        <v>#VALUE!</v>
      </c>
      <c r="AI1301" t="e">
        <f t="shared" ca="1" si="624"/>
        <v>#VALUE!</v>
      </c>
      <c r="AJ1301" t="e">
        <f t="shared" ca="1" si="625"/>
        <v>#VALUE!</v>
      </c>
      <c r="AM1301">
        <v>0</v>
      </c>
      <c r="AN1301">
        <v>0</v>
      </c>
      <c r="AO1301">
        <f t="shared" si="626"/>
        <v>0</v>
      </c>
      <c r="AP1301">
        <f t="shared" si="635"/>
        <v>0</v>
      </c>
      <c r="AQ1301" t="e">
        <f t="shared" ca="1" si="627"/>
        <v>#VALUE!</v>
      </c>
      <c r="AR1301" t="e">
        <f t="shared" ca="1" si="628"/>
        <v>#VALUE!</v>
      </c>
      <c r="AS1301" t="e">
        <f t="shared" ca="1" si="629"/>
        <v>#VALUE!</v>
      </c>
    </row>
    <row r="1302" spans="1:45" x14ac:dyDescent="0.35">
      <c r="A1302">
        <v>1153</v>
      </c>
      <c r="B1302">
        <v>1151.8889999999999</v>
      </c>
      <c r="C1302">
        <v>616074.74300000002</v>
      </c>
      <c r="D1302">
        <v>3096852.1850000001</v>
      </c>
      <c r="E1302">
        <v>631.98599999999999</v>
      </c>
      <c r="F1302">
        <v>5.2</v>
      </c>
      <c r="G1302">
        <v>0</v>
      </c>
      <c r="H1302" t="s">
        <v>191</v>
      </c>
      <c r="I1302">
        <v>5.5E-2</v>
      </c>
      <c r="J1302">
        <f t="shared" si="630"/>
        <v>1</v>
      </c>
      <c r="K1302">
        <f t="shared" si="631"/>
        <v>51</v>
      </c>
      <c r="L1302" t="e">
        <f t="shared" ca="1" si="632"/>
        <v>#VALUE!</v>
      </c>
      <c r="M1302" t="e">
        <f t="shared" ref="M1302:M1365" ca="1" si="636">((F1302)+(G1302)*(L1302))*(L1302)</f>
        <v>#VALUE!</v>
      </c>
      <c r="N1302" t="e">
        <f t="shared" ref="N1302:N1365" ca="1" si="637">(((F1302)+(G1302)*(L1302))*(L1302))/MAX((F1302)+2*(L1302)*SQRT(1+(G1302)^2),0.000001)</f>
        <v>#VALUE!</v>
      </c>
      <c r="O1302" t="e">
        <f t="shared" ref="O1302:O1365" ca="1" si="638">ABS(K1302)/MAX(((F1302)+(G1302)*(L1302))*(L1302),0.000001)</f>
        <v>#VALUE!</v>
      </c>
      <c r="P1302" t="e">
        <f t="shared" ref="P1302:P1365" ca="1" si="639">E1302+L1302</f>
        <v>#VALUE!</v>
      </c>
      <c r="Q1302" t="e">
        <f t="shared" ref="Q1302:Q1365" ca="1" si="640">P1302+((ABS(K1302)/MAX(((F1302)+(G1302)*(L1302))*(L1302),0.000001))^2)/(2*$I$5)</f>
        <v>#VALUE!</v>
      </c>
      <c r="R1302" t="e">
        <f t="shared" ref="R1302:R1365" ca="1" si="641">((ABS(K1302)*$D$6)/(MAX(((F1302)+(G1302)*(L1302))*(L1302),0.000001)*MAX(((((F1302)+(G1302)*(L1302))*(L1302))/MAX((F1302)+2*(L1302)*SQRT(1+(G1302)^2),0.000001))^(2/3),0.000001)))^2</f>
        <v>#VALUE!</v>
      </c>
      <c r="S1302" t="e">
        <f t="shared" ref="S1302:S1365" ca="1" si="642">ABS(ABS(K1302)/MAX(((F1302)+(G1302)*(L1302))*(L1302),0.000001))/SQRT($I$5*MAX((((F1302)+(G1302)*(L1302))*(L1302))/MAX((F1302)+2*(G1302)*(L1302),0.000001),0.000001))</f>
        <v>#VALUE!</v>
      </c>
      <c r="T1302" t="e">
        <f t="shared" ref="T1302:T1365" ca="1" si="643">((F1302)*(L1302)^2)/2+(G1302)*(L1302)^3/3+(ABS(K1302)^2)/($I$5*MAX(((F1302)+(G1302)*(L1302))*(L1302),0.000001))</f>
        <v>#VALUE!</v>
      </c>
      <c r="U1302" t="e">
        <f t="shared" ca="1" si="633"/>
        <v>#VALUE!</v>
      </c>
      <c r="V1302" t="e">
        <f t="shared" ca="1" si="634"/>
        <v>#VALUE!</v>
      </c>
      <c r="W1302" t="e">
        <f t="shared" ref="W1302:W1365" ca="1" si="644">IF($D$20=0,W1303,IF(AG1303=0,W1303,IF(W1302=0,W1303,IF(ABS(AF1302)&gt;$D$19,MAX($D$16,W1302+((AF1302)*$D$18*IF((AD1302)&lt;1,1,-1))),W1302))))</f>
        <v>#VALUE!</v>
      </c>
      <c r="X1302" t="e">
        <f t="shared" ref="X1302:X1365" ca="1" si="645">((F1302)+(G1302)*(W1302))*(W1302)</f>
        <v>#VALUE!</v>
      </c>
      <c r="Y1302" t="e">
        <f t="shared" ref="Y1302:Y1365" ca="1" si="646">(((F1302)+(G1302)*(W1302))*(W1302))/MAX((F1302)+2*(W1302)*SQRT(1+(G1302)^2),0.000001)</f>
        <v>#VALUE!</v>
      </c>
      <c r="Z1302" t="e">
        <f t="shared" ref="Z1302:Z1365" ca="1" si="647">ABS(K1302)/MAX(((F1302)+(G1302)*(W1302))*(W1302),0.000001)</f>
        <v>#VALUE!</v>
      </c>
      <c r="AA1302" t="e">
        <f t="shared" ref="AA1302:AA1365" ca="1" si="648">E1302+W1302</f>
        <v>#VALUE!</v>
      </c>
      <c r="AB1302" t="e">
        <f t="shared" ref="AB1302:AB1365" ca="1" si="649">AA1302+((ABS(K1302)/MAX(((F1302)+(G1302)*(W1302))*(W1302),0.000001))^2)/(2*$I$5)</f>
        <v>#VALUE!</v>
      </c>
      <c r="AC1302" t="e">
        <f t="shared" ref="AC1302:AC1365" ca="1" si="650">((ABS(K1302)*$D$6)/(MAX(((F1302)+(G1302)*(W1302))*(W1302),0.000001)*MAX(((((F1302)+(G1302)*(W1302))*(W1302))/MAX((F1302)+2*(W1302)*SQRT(1+(G1302)^2),0.000001))^(2/3),0.000001)))^2</f>
        <v>#VALUE!</v>
      </c>
      <c r="AD1302" t="e">
        <f t="shared" ref="AD1302:AD1365" ca="1" si="651">ABS(ABS(K1302)/MAX(((F1302)+(G1302)*(W1302))*(W1302),0.000001))/SQRT($I$5*MAX((((F1302)+(G1302)*(W1302))*(W1302))/MAX((F1302)+2*(G1302)*(W1302),0.000001),0.000001))</f>
        <v>#VALUE!</v>
      </c>
      <c r="AE1302" t="e">
        <f t="shared" ref="AE1302:AE1365" ca="1" si="652">((F1302)*(W1302)^2)/2+(G1302)*(W1302)^3/3+(ABS(K1302)^2)/($I$5*MAX(((F1302)+(G1302)*(W1302))*(W1302),0.000001))</f>
        <v>#VALUE!</v>
      </c>
      <c r="AF1302" t="e">
        <f t="shared" ref="AF1302:AF1365" ca="1" si="653">AB1303+(((AC1302+AC1303)/2)*J1303)+(IF(Z1302&gt;Z1303,$D$8*((Z1302^2-Z1303^2)/(2*$I$5)),$D$9*((Z1303^2-Z1302^2)/(2*$I$5)))+($D$10*(ABS(I1303)/90)*(MAX(Z1302^2,Z1303^2)/(2*$I$5))))-AB1302</f>
        <v>#VALUE!</v>
      </c>
      <c r="AG1302" t="e">
        <f t="shared" ref="AG1302:AG1365" ca="1" si="654">IF(ABS(AF1302)&lt;$D$19,1,0)</f>
        <v>#VALUE!</v>
      </c>
      <c r="AH1302" t="e">
        <f ca="1">IF(V32="Supercritical",L1302,IF(V32="Subcritical",W1302,IF(AND(V1302=1,AG1302=1),IF(T1302&gt;=AE1302,L1302,W1302),IF(V1302=1,L1302,IF(AG1302=1,W1302,MAX($D$16,POWER((ABS(K1302)^2)/($I$5*MAX(F1302,0.1)^2),1/3)))))))</f>
        <v>#VALUE!</v>
      </c>
      <c r="AI1302" t="e">
        <f t="shared" ref="AI1302:AI1365" ca="1" si="655">E1302+AH1302</f>
        <v>#VALUE!</v>
      </c>
      <c r="AJ1302" t="e">
        <f t="shared" ref="AJ1302:AJ1365" ca="1" si="656">AI1302+((ABS(K1302)/MAX(((F1302)+(G1302)*(AH1302))*(AH1302),0.000001))^2)/(2*$I$5)</f>
        <v>#VALUE!</v>
      </c>
      <c r="AM1302">
        <v>0</v>
      </c>
      <c r="AN1302">
        <v>0</v>
      </c>
      <c r="AO1302">
        <f t="shared" ref="AO1302:AO1365" si="657">AM1302+AN1302</f>
        <v>0</v>
      </c>
      <c r="AP1302">
        <f t="shared" si="635"/>
        <v>0</v>
      </c>
      <c r="AQ1302" t="e">
        <f t="shared" ref="AQ1302:AQ1365" ca="1" si="658">ABS(ABS(K1302)/MAX(((F1302)+(G1302)*(AH1302))*(AH1302),0.000001))/SQRT($I$5*MAX((((F1302)+(G1302)*(AH1302))*(AH1302))/MAX((F1302)+2*(G1302)*(AH1302),0.000001),0.000001))</f>
        <v>#VALUE!</v>
      </c>
      <c r="AR1302" t="e">
        <f t="shared" ref="AR1302:AR1365" ca="1" si="659">IF(AQ1302&lt;1,"Subcritical","Supercritical")</f>
        <v>#VALUE!</v>
      </c>
      <c r="AS1302" t="e">
        <f t="shared" ref="AS1302:AS1365" ca="1" si="660">((ABS(K1302)*$D$6)/(MAX(((F1302)+(G1302)*(AH1302))*(AH1302),0.000001)*MAX(((((F1302)+(G1302)*(AH1302))*(AH1302))/MAX((F1302)+2*(AH1302)*SQRT(1+(G1302)^2),0.000001))^(2/3),0.000001)))^2</f>
        <v>#VALUE!</v>
      </c>
    </row>
    <row r="1303" spans="1:45" x14ac:dyDescent="0.35">
      <c r="A1303">
        <v>1154</v>
      </c>
      <c r="B1303">
        <v>1152.8900000000001</v>
      </c>
      <c r="C1303">
        <v>616074.69999999995</v>
      </c>
      <c r="D1303">
        <v>3096851.1850000001</v>
      </c>
      <c r="E1303">
        <v>631.9855</v>
      </c>
      <c r="F1303">
        <v>5.2</v>
      </c>
      <c r="G1303">
        <v>0</v>
      </c>
      <c r="H1303" t="s">
        <v>191</v>
      </c>
      <c r="I1303">
        <v>5.5E-2</v>
      </c>
      <c r="J1303">
        <f t="shared" ref="J1303:J1366" si="661">B1303-B1302</f>
        <v>1.0010000000002037</v>
      </c>
      <c r="K1303">
        <f t="shared" ref="K1303:K1366" si="662">MAX(0,K1302-AO1302)</f>
        <v>51</v>
      </c>
      <c r="L1303" t="e">
        <f t="shared" ref="L1303:L1366" ca="1" si="663">IF($D$20=0,L1302,IF(V1302=0,L1302,IF(L1303=0,L1302,IF(ABS(U1303)&gt;$D$19,MAX($D$16,L1303+((U1303)*$D$18*IF((S1303)&lt;1,1,-1))),L1303))))</f>
        <v>#VALUE!</v>
      </c>
      <c r="M1303" t="e">
        <f t="shared" ca="1" si="636"/>
        <v>#VALUE!</v>
      </c>
      <c r="N1303" t="e">
        <f t="shared" ca="1" si="637"/>
        <v>#VALUE!</v>
      </c>
      <c r="O1303" t="e">
        <f t="shared" ca="1" si="638"/>
        <v>#VALUE!</v>
      </c>
      <c r="P1303" t="e">
        <f t="shared" ca="1" si="639"/>
        <v>#VALUE!</v>
      </c>
      <c r="Q1303" t="e">
        <f t="shared" ca="1" si="640"/>
        <v>#VALUE!</v>
      </c>
      <c r="R1303" t="e">
        <f t="shared" ca="1" si="641"/>
        <v>#VALUE!</v>
      </c>
      <c r="S1303" t="e">
        <f t="shared" ca="1" si="642"/>
        <v>#VALUE!</v>
      </c>
      <c r="T1303" t="e">
        <f t="shared" ca="1" si="643"/>
        <v>#VALUE!</v>
      </c>
      <c r="U1303" t="e">
        <f t="shared" ref="U1303:U1366" ca="1" si="664">Q1302-(((R1302+R1303)/2)*J1303)-(IF(O1302&gt;O1303,$D$8*((O1302^2-O1303^2)/(2*$I$5)),$D$9*((O1303^2-O1302^2)/(2*$I$5)))+($D$10*(ABS(I1303)/90)*(MAX(O1302^2,O1303^2)/(2*$I$5))))-Q1303</f>
        <v>#VALUE!</v>
      </c>
      <c r="V1303" t="e">
        <f t="shared" ref="V1303:V1366" ca="1" si="665">IF(ABS(U1303)&lt;$D$19,1,0)</f>
        <v>#VALUE!</v>
      </c>
      <c r="W1303" t="e">
        <f t="shared" ca="1" si="644"/>
        <v>#VALUE!</v>
      </c>
      <c r="X1303" t="e">
        <f t="shared" ca="1" si="645"/>
        <v>#VALUE!</v>
      </c>
      <c r="Y1303" t="e">
        <f t="shared" ca="1" si="646"/>
        <v>#VALUE!</v>
      </c>
      <c r="Z1303" t="e">
        <f t="shared" ca="1" si="647"/>
        <v>#VALUE!</v>
      </c>
      <c r="AA1303" t="e">
        <f t="shared" ca="1" si="648"/>
        <v>#VALUE!</v>
      </c>
      <c r="AB1303" t="e">
        <f t="shared" ca="1" si="649"/>
        <v>#VALUE!</v>
      </c>
      <c r="AC1303" t="e">
        <f t="shared" ca="1" si="650"/>
        <v>#VALUE!</v>
      </c>
      <c r="AD1303" t="e">
        <f t="shared" ca="1" si="651"/>
        <v>#VALUE!</v>
      </c>
      <c r="AE1303" t="e">
        <f t="shared" ca="1" si="652"/>
        <v>#VALUE!</v>
      </c>
      <c r="AF1303" t="e">
        <f t="shared" ca="1" si="653"/>
        <v>#VALUE!</v>
      </c>
      <c r="AG1303" t="e">
        <f t="shared" ca="1" si="654"/>
        <v>#VALUE!</v>
      </c>
      <c r="AH1303" t="e">
        <f ca="1">IF(V32="Supercritical",L1303,IF(V32="Subcritical",W1303,IF(AND(V1303=1,AG1303=1),IF(T1303&gt;=AE1303,L1303,W1303),IF(V1303=1,L1303,IF(AG1303=1,W1303,MAX($D$16,POWER((ABS(K1303)^2)/($I$5*MAX(F1303,0.1)^2),1/3)))))))</f>
        <v>#VALUE!</v>
      </c>
      <c r="AI1303" t="e">
        <f t="shared" ca="1" si="655"/>
        <v>#VALUE!</v>
      </c>
      <c r="AJ1303" t="e">
        <f t="shared" ca="1" si="656"/>
        <v>#VALUE!</v>
      </c>
      <c r="AM1303">
        <v>0</v>
      </c>
      <c r="AN1303">
        <v>0</v>
      </c>
      <c r="AO1303">
        <f t="shared" si="657"/>
        <v>0</v>
      </c>
      <c r="AP1303">
        <f t="shared" ref="AP1303:AP1366" si="666">AP1302+AO1303</f>
        <v>0</v>
      </c>
      <c r="AQ1303" t="e">
        <f t="shared" ca="1" si="658"/>
        <v>#VALUE!</v>
      </c>
      <c r="AR1303" t="e">
        <f t="shared" ca="1" si="659"/>
        <v>#VALUE!</v>
      </c>
      <c r="AS1303" t="e">
        <f t="shared" ca="1" si="660"/>
        <v>#VALUE!</v>
      </c>
    </row>
    <row r="1304" spans="1:45" x14ac:dyDescent="0.35">
      <c r="A1304">
        <v>1155</v>
      </c>
      <c r="B1304">
        <v>1153.8900000000001</v>
      </c>
      <c r="C1304">
        <v>616074.65800000005</v>
      </c>
      <c r="D1304">
        <v>3096850.1860000002</v>
      </c>
      <c r="E1304">
        <v>631.98500000000001</v>
      </c>
      <c r="F1304">
        <v>5.2</v>
      </c>
      <c r="G1304">
        <v>0</v>
      </c>
      <c r="H1304" t="s">
        <v>191</v>
      </c>
      <c r="I1304">
        <v>0</v>
      </c>
      <c r="J1304">
        <f t="shared" si="661"/>
        <v>1</v>
      </c>
      <c r="K1304">
        <f t="shared" si="662"/>
        <v>51</v>
      </c>
      <c r="L1304" t="e">
        <f t="shared" ca="1" si="663"/>
        <v>#VALUE!</v>
      </c>
      <c r="M1304" t="e">
        <f t="shared" ca="1" si="636"/>
        <v>#VALUE!</v>
      </c>
      <c r="N1304" t="e">
        <f t="shared" ca="1" si="637"/>
        <v>#VALUE!</v>
      </c>
      <c r="O1304" t="e">
        <f t="shared" ca="1" si="638"/>
        <v>#VALUE!</v>
      </c>
      <c r="P1304" t="e">
        <f t="shared" ca="1" si="639"/>
        <v>#VALUE!</v>
      </c>
      <c r="Q1304" t="e">
        <f t="shared" ca="1" si="640"/>
        <v>#VALUE!</v>
      </c>
      <c r="R1304" t="e">
        <f t="shared" ca="1" si="641"/>
        <v>#VALUE!</v>
      </c>
      <c r="S1304" t="e">
        <f t="shared" ca="1" si="642"/>
        <v>#VALUE!</v>
      </c>
      <c r="T1304" t="e">
        <f t="shared" ca="1" si="643"/>
        <v>#VALUE!</v>
      </c>
      <c r="U1304" t="e">
        <f t="shared" ca="1" si="664"/>
        <v>#VALUE!</v>
      </c>
      <c r="V1304" t="e">
        <f t="shared" ca="1" si="665"/>
        <v>#VALUE!</v>
      </c>
      <c r="W1304" t="e">
        <f t="shared" ca="1" si="644"/>
        <v>#VALUE!</v>
      </c>
      <c r="X1304" t="e">
        <f t="shared" ca="1" si="645"/>
        <v>#VALUE!</v>
      </c>
      <c r="Y1304" t="e">
        <f t="shared" ca="1" si="646"/>
        <v>#VALUE!</v>
      </c>
      <c r="Z1304" t="e">
        <f t="shared" ca="1" si="647"/>
        <v>#VALUE!</v>
      </c>
      <c r="AA1304" t="e">
        <f t="shared" ca="1" si="648"/>
        <v>#VALUE!</v>
      </c>
      <c r="AB1304" t="e">
        <f t="shared" ca="1" si="649"/>
        <v>#VALUE!</v>
      </c>
      <c r="AC1304" t="e">
        <f t="shared" ca="1" si="650"/>
        <v>#VALUE!</v>
      </c>
      <c r="AD1304" t="e">
        <f t="shared" ca="1" si="651"/>
        <v>#VALUE!</v>
      </c>
      <c r="AE1304" t="e">
        <f t="shared" ca="1" si="652"/>
        <v>#VALUE!</v>
      </c>
      <c r="AF1304" t="e">
        <f t="shared" ca="1" si="653"/>
        <v>#VALUE!</v>
      </c>
      <c r="AG1304" t="e">
        <f t="shared" ca="1" si="654"/>
        <v>#VALUE!</v>
      </c>
      <c r="AH1304" t="e">
        <f ca="1">IF(V32="Supercritical",L1304,IF(V32="Subcritical",W1304,IF(AND(V1304=1,AG1304=1),IF(T1304&gt;=AE1304,L1304,W1304),IF(V1304=1,L1304,IF(AG1304=1,W1304,MAX($D$16,POWER((ABS(K1304)^2)/($I$5*MAX(F1304,0.1)^2),1/3)))))))</f>
        <v>#VALUE!</v>
      </c>
      <c r="AI1304" t="e">
        <f t="shared" ca="1" si="655"/>
        <v>#VALUE!</v>
      </c>
      <c r="AJ1304" t="e">
        <f t="shared" ca="1" si="656"/>
        <v>#VALUE!</v>
      </c>
      <c r="AM1304">
        <v>0</v>
      </c>
      <c r="AN1304">
        <v>0</v>
      </c>
      <c r="AO1304">
        <f t="shared" si="657"/>
        <v>0</v>
      </c>
      <c r="AP1304">
        <f t="shared" si="666"/>
        <v>0</v>
      </c>
      <c r="AQ1304" t="e">
        <f t="shared" ca="1" si="658"/>
        <v>#VALUE!</v>
      </c>
      <c r="AR1304" t="e">
        <f t="shared" ca="1" si="659"/>
        <v>#VALUE!</v>
      </c>
      <c r="AS1304" t="e">
        <f t="shared" ca="1" si="660"/>
        <v>#VALUE!</v>
      </c>
    </row>
    <row r="1305" spans="1:45" x14ac:dyDescent="0.35">
      <c r="A1305">
        <v>1156</v>
      </c>
      <c r="B1305">
        <v>1154.8889999999999</v>
      </c>
      <c r="C1305">
        <v>616074.61600000004</v>
      </c>
      <c r="D1305">
        <v>3096849.1869999999</v>
      </c>
      <c r="E1305">
        <v>631.98450000000003</v>
      </c>
      <c r="F1305">
        <v>5.2</v>
      </c>
      <c r="G1305">
        <v>0</v>
      </c>
      <c r="H1305" t="s">
        <v>191</v>
      </c>
      <c r="I1305">
        <v>0</v>
      </c>
      <c r="J1305">
        <f t="shared" si="661"/>
        <v>0.99899999999979627</v>
      </c>
      <c r="K1305">
        <f t="shared" si="662"/>
        <v>51</v>
      </c>
      <c r="L1305" t="e">
        <f t="shared" ca="1" si="663"/>
        <v>#VALUE!</v>
      </c>
      <c r="M1305" t="e">
        <f t="shared" ca="1" si="636"/>
        <v>#VALUE!</v>
      </c>
      <c r="N1305" t="e">
        <f t="shared" ca="1" si="637"/>
        <v>#VALUE!</v>
      </c>
      <c r="O1305" t="e">
        <f t="shared" ca="1" si="638"/>
        <v>#VALUE!</v>
      </c>
      <c r="P1305" t="e">
        <f t="shared" ca="1" si="639"/>
        <v>#VALUE!</v>
      </c>
      <c r="Q1305" t="e">
        <f t="shared" ca="1" si="640"/>
        <v>#VALUE!</v>
      </c>
      <c r="R1305" t="e">
        <f t="shared" ca="1" si="641"/>
        <v>#VALUE!</v>
      </c>
      <c r="S1305" t="e">
        <f t="shared" ca="1" si="642"/>
        <v>#VALUE!</v>
      </c>
      <c r="T1305" t="e">
        <f t="shared" ca="1" si="643"/>
        <v>#VALUE!</v>
      </c>
      <c r="U1305" t="e">
        <f t="shared" ca="1" si="664"/>
        <v>#VALUE!</v>
      </c>
      <c r="V1305" t="e">
        <f t="shared" ca="1" si="665"/>
        <v>#VALUE!</v>
      </c>
      <c r="W1305" t="e">
        <f t="shared" ca="1" si="644"/>
        <v>#VALUE!</v>
      </c>
      <c r="X1305" t="e">
        <f t="shared" ca="1" si="645"/>
        <v>#VALUE!</v>
      </c>
      <c r="Y1305" t="e">
        <f t="shared" ca="1" si="646"/>
        <v>#VALUE!</v>
      </c>
      <c r="Z1305" t="e">
        <f t="shared" ca="1" si="647"/>
        <v>#VALUE!</v>
      </c>
      <c r="AA1305" t="e">
        <f t="shared" ca="1" si="648"/>
        <v>#VALUE!</v>
      </c>
      <c r="AB1305" t="e">
        <f t="shared" ca="1" si="649"/>
        <v>#VALUE!</v>
      </c>
      <c r="AC1305" t="e">
        <f t="shared" ca="1" si="650"/>
        <v>#VALUE!</v>
      </c>
      <c r="AD1305" t="e">
        <f t="shared" ca="1" si="651"/>
        <v>#VALUE!</v>
      </c>
      <c r="AE1305" t="e">
        <f t="shared" ca="1" si="652"/>
        <v>#VALUE!</v>
      </c>
      <c r="AF1305" t="e">
        <f t="shared" ca="1" si="653"/>
        <v>#VALUE!</v>
      </c>
      <c r="AG1305" t="e">
        <f t="shared" ca="1" si="654"/>
        <v>#VALUE!</v>
      </c>
      <c r="AH1305" t="e">
        <f ca="1">IF(V32="Supercritical",L1305,IF(V32="Subcritical",W1305,IF(AND(V1305=1,AG1305=1),IF(T1305&gt;=AE1305,L1305,W1305),IF(V1305=1,L1305,IF(AG1305=1,W1305,MAX($D$16,POWER((ABS(K1305)^2)/($I$5*MAX(F1305,0.1)^2),1/3)))))))</f>
        <v>#VALUE!</v>
      </c>
      <c r="AI1305" t="e">
        <f t="shared" ca="1" si="655"/>
        <v>#VALUE!</v>
      </c>
      <c r="AJ1305" t="e">
        <f t="shared" ca="1" si="656"/>
        <v>#VALUE!</v>
      </c>
      <c r="AM1305">
        <v>0</v>
      </c>
      <c r="AN1305">
        <v>0</v>
      </c>
      <c r="AO1305">
        <f t="shared" si="657"/>
        <v>0</v>
      </c>
      <c r="AP1305">
        <f t="shared" si="666"/>
        <v>0</v>
      </c>
      <c r="AQ1305" t="e">
        <f t="shared" ca="1" si="658"/>
        <v>#VALUE!</v>
      </c>
      <c r="AR1305" t="e">
        <f t="shared" ca="1" si="659"/>
        <v>#VALUE!</v>
      </c>
      <c r="AS1305" t="e">
        <f t="shared" ca="1" si="660"/>
        <v>#VALUE!</v>
      </c>
    </row>
    <row r="1306" spans="1:45" x14ac:dyDescent="0.35">
      <c r="A1306">
        <v>1157</v>
      </c>
      <c r="B1306">
        <v>1155.8889999999999</v>
      </c>
      <c r="C1306">
        <v>616074.57400000002</v>
      </c>
      <c r="D1306">
        <v>3096848.1880000001</v>
      </c>
      <c r="E1306">
        <v>631.98400000000004</v>
      </c>
      <c r="F1306">
        <v>5.2</v>
      </c>
      <c r="G1306">
        <v>0</v>
      </c>
      <c r="H1306" t="s">
        <v>191</v>
      </c>
      <c r="I1306">
        <v>5.7000000000000002E-2</v>
      </c>
      <c r="J1306">
        <f t="shared" si="661"/>
        <v>1</v>
      </c>
      <c r="K1306">
        <f t="shared" si="662"/>
        <v>51</v>
      </c>
      <c r="L1306" t="e">
        <f t="shared" ca="1" si="663"/>
        <v>#VALUE!</v>
      </c>
      <c r="M1306" t="e">
        <f t="shared" ca="1" si="636"/>
        <v>#VALUE!</v>
      </c>
      <c r="N1306" t="e">
        <f t="shared" ca="1" si="637"/>
        <v>#VALUE!</v>
      </c>
      <c r="O1306" t="e">
        <f t="shared" ca="1" si="638"/>
        <v>#VALUE!</v>
      </c>
      <c r="P1306" t="e">
        <f t="shared" ca="1" si="639"/>
        <v>#VALUE!</v>
      </c>
      <c r="Q1306" t="e">
        <f t="shared" ca="1" si="640"/>
        <v>#VALUE!</v>
      </c>
      <c r="R1306" t="e">
        <f t="shared" ca="1" si="641"/>
        <v>#VALUE!</v>
      </c>
      <c r="S1306" t="e">
        <f t="shared" ca="1" si="642"/>
        <v>#VALUE!</v>
      </c>
      <c r="T1306" t="e">
        <f t="shared" ca="1" si="643"/>
        <v>#VALUE!</v>
      </c>
      <c r="U1306" t="e">
        <f t="shared" ca="1" si="664"/>
        <v>#VALUE!</v>
      </c>
      <c r="V1306" t="e">
        <f t="shared" ca="1" si="665"/>
        <v>#VALUE!</v>
      </c>
      <c r="W1306" t="e">
        <f t="shared" ca="1" si="644"/>
        <v>#VALUE!</v>
      </c>
      <c r="X1306" t="e">
        <f t="shared" ca="1" si="645"/>
        <v>#VALUE!</v>
      </c>
      <c r="Y1306" t="e">
        <f t="shared" ca="1" si="646"/>
        <v>#VALUE!</v>
      </c>
      <c r="Z1306" t="e">
        <f t="shared" ca="1" si="647"/>
        <v>#VALUE!</v>
      </c>
      <c r="AA1306" t="e">
        <f t="shared" ca="1" si="648"/>
        <v>#VALUE!</v>
      </c>
      <c r="AB1306" t="e">
        <f t="shared" ca="1" si="649"/>
        <v>#VALUE!</v>
      </c>
      <c r="AC1306" t="e">
        <f t="shared" ca="1" si="650"/>
        <v>#VALUE!</v>
      </c>
      <c r="AD1306" t="e">
        <f t="shared" ca="1" si="651"/>
        <v>#VALUE!</v>
      </c>
      <c r="AE1306" t="e">
        <f t="shared" ca="1" si="652"/>
        <v>#VALUE!</v>
      </c>
      <c r="AF1306" t="e">
        <f t="shared" ca="1" si="653"/>
        <v>#VALUE!</v>
      </c>
      <c r="AG1306" t="e">
        <f t="shared" ca="1" si="654"/>
        <v>#VALUE!</v>
      </c>
      <c r="AH1306" t="e">
        <f ca="1">IF(V32="Supercritical",L1306,IF(V32="Subcritical",W1306,IF(AND(V1306=1,AG1306=1),IF(T1306&gt;=AE1306,L1306,W1306),IF(V1306=1,L1306,IF(AG1306=1,W1306,MAX($D$16,POWER((ABS(K1306)^2)/($I$5*MAX(F1306,0.1)^2),1/3)))))))</f>
        <v>#VALUE!</v>
      </c>
      <c r="AI1306" t="e">
        <f t="shared" ca="1" si="655"/>
        <v>#VALUE!</v>
      </c>
      <c r="AJ1306" t="e">
        <f t="shared" ca="1" si="656"/>
        <v>#VALUE!</v>
      </c>
      <c r="AM1306">
        <v>0</v>
      </c>
      <c r="AN1306">
        <v>0</v>
      </c>
      <c r="AO1306">
        <f t="shared" si="657"/>
        <v>0</v>
      </c>
      <c r="AP1306">
        <f t="shared" si="666"/>
        <v>0</v>
      </c>
      <c r="AQ1306" t="e">
        <f t="shared" ca="1" si="658"/>
        <v>#VALUE!</v>
      </c>
      <c r="AR1306" t="e">
        <f t="shared" ca="1" si="659"/>
        <v>#VALUE!</v>
      </c>
      <c r="AS1306" t="e">
        <f t="shared" ca="1" si="660"/>
        <v>#VALUE!</v>
      </c>
    </row>
    <row r="1307" spans="1:45" x14ac:dyDescent="0.35">
      <c r="A1307">
        <v>1158</v>
      </c>
      <c r="B1307">
        <v>1156.8889999999999</v>
      </c>
      <c r="C1307">
        <v>616074.53099999996</v>
      </c>
      <c r="D1307">
        <v>3096847.1889999998</v>
      </c>
      <c r="E1307">
        <v>631.98350000000005</v>
      </c>
      <c r="F1307">
        <v>5.2</v>
      </c>
      <c r="G1307">
        <v>0</v>
      </c>
      <c r="H1307" t="s">
        <v>191</v>
      </c>
      <c r="I1307">
        <v>5.7000000000000002E-2</v>
      </c>
      <c r="J1307">
        <f t="shared" si="661"/>
        <v>1</v>
      </c>
      <c r="K1307">
        <f t="shared" si="662"/>
        <v>51</v>
      </c>
      <c r="L1307" t="e">
        <f t="shared" ca="1" si="663"/>
        <v>#VALUE!</v>
      </c>
      <c r="M1307" t="e">
        <f t="shared" ca="1" si="636"/>
        <v>#VALUE!</v>
      </c>
      <c r="N1307" t="e">
        <f t="shared" ca="1" si="637"/>
        <v>#VALUE!</v>
      </c>
      <c r="O1307" t="e">
        <f t="shared" ca="1" si="638"/>
        <v>#VALUE!</v>
      </c>
      <c r="P1307" t="e">
        <f t="shared" ca="1" si="639"/>
        <v>#VALUE!</v>
      </c>
      <c r="Q1307" t="e">
        <f t="shared" ca="1" si="640"/>
        <v>#VALUE!</v>
      </c>
      <c r="R1307" t="e">
        <f t="shared" ca="1" si="641"/>
        <v>#VALUE!</v>
      </c>
      <c r="S1307" t="e">
        <f t="shared" ca="1" si="642"/>
        <v>#VALUE!</v>
      </c>
      <c r="T1307" t="e">
        <f t="shared" ca="1" si="643"/>
        <v>#VALUE!</v>
      </c>
      <c r="U1307" t="e">
        <f t="shared" ca="1" si="664"/>
        <v>#VALUE!</v>
      </c>
      <c r="V1307" t="e">
        <f t="shared" ca="1" si="665"/>
        <v>#VALUE!</v>
      </c>
      <c r="W1307" t="e">
        <f t="shared" ca="1" si="644"/>
        <v>#VALUE!</v>
      </c>
      <c r="X1307" t="e">
        <f t="shared" ca="1" si="645"/>
        <v>#VALUE!</v>
      </c>
      <c r="Y1307" t="e">
        <f t="shared" ca="1" si="646"/>
        <v>#VALUE!</v>
      </c>
      <c r="Z1307" t="e">
        <f t="shared" ca="1" si="647"/>
        <v>#VALUE!</v>
      </c>
      <c r="AA1307" t="e">
        <f t="shared" ca="1" si="648"/>
        <v>#VALUE!</v>
      </c>
      <c r="AB1307" t="e">
        <f t="shared" ca="1" si="649"/>
        <v>#VALUE!</v>
      </c>
      <c r="AC1307" t="e">
        <f t="shared" ca="1" si="650"/>
        <v>#VALUE!</v>
      </c>
      <c r="AD1307" t="e">
        <f t="shared" ca="1" si="651"/>
        <v>#VALUE!</v>
      </c>
      <c r="AE1307" t="e">
        <f t="shared" ca="1" si="652"/>
        <v>#VALUE!</v>
      </c>
      <c r="AF1307" t="e">
        <f t="shared" ca="1" si="653"/>
        <v>#VALUE!</v>
      </c>
      <c r="AG1307" t="e">
        <f t="shared" ca="1" si="654"/>
        <v>#VALUE!</v>
      </c>
      <c r="AH1307" t="e">
        <f ca="1">IF(V32="Supercritical",L1307,IF(V32="Subcritical",W1307,IF(AND(V1307=1,AG1307=1),IF(T1307&gt;=AE1307,L1307,W1307),IF(V1307=1,L1307,IF(AG1307=1,W1307,MAX($D$16,POWER((ABS(K1307)^2)/($I$5*MAX(F1307,0.1)^2),1/3)))))))</f>
        <v>#VALUE!</v>
      </c>
      <c r="AI1307" t="e">
        <f t="shared" ca="1" si="655"/>
        <v>#VALUE!</v>
      </c>
      <c r="AJ1307" t="e">
        <f t="shared" ca="1" si="656"/>
        <v>#VALUE!</v>
      </c>
      <c r="AM1307">
        <v>0</v>
      </c>
      <c r="AN1307">
        <v>0</v>
      </c>
      <c r="AO1307">
        <f t="shared" si="657"/>
        <v>0</v>
      </c>
      <c r="AP1307">
        <f t="shared" si="666"/>
        <v>0</v>
      </c>
      <c r="AQ1307" t="e">
        <f t="shared" ca="1" si="658"/>
        <v>#VALUE!</v>
      </c>
      <c r="AR1307" t="e">
        <f t="shared" ca="1" si="659"/>
        <v>#VALUE!</v>
      </c>
      <c r="AS1307" t="e">
        <f t="shared" ca="1" si="660"/>
        <v>#VALUE!</v>
      </c>
    </row>
    <row r="1308" spans="1:45" x14ac:dyDescent="0.35">
      <c r="A1308">
        <v>1159</v>
      </c>
      <c r="B1308">
        <v>1157.8889999999999</v>
      </c>
      <c r="C1308">
        <v>616074.48899999994</v>
      </c>
      <c r="D1308">
        <v>3096846.19</v>
      </c>
      <c r="E1308">
        <v>631.98299999999995</v>
      </c>
      <c r="F1308">
        <v>5.2</v>
      </c>
      <c r="G1308">
        <v>0</v>
      </c>
      <c r="H1308" t="s">
        <v>191</v>
      </c>
      <c r="I1308">
        <v>0</v>
      </c>
      <c r="J1308">
        <f t="shared" si="661"/>
        <v>1</v>
      </c>
      <c r="K1308">
        <f t="shared" si="662"/>
        <v>51</v>
      </c>
      <c r="L1308" t="e">
        <f t="shared" ca="1" si="663"/>
        <v>#VALUE!</v>
      </c>
      <c r="M1308" t="e">
        <f t="shared" ca="1" si="636"/>
        <v>#VALUE!</v>
      </c>
      <c r="N1308" t="e">
        <f t="shared" ca="1" si="637"/>
        <v>#VALUE!</v>
      </c>
      <c r="O1308" t="e">
        <f t="shared" ca="1" si="638"/>
        <v>#VALUE!</v>
      </c>
      <c r="P1308" t="e">
        <f t="shared" ca="1" si="639"/>
        <v>#VALUE!</v>
      </c>
      <c r="Q1308" t="e">
        <f t="shared" ca="1" si="640"/>
        <v>#VALUE!</v>
      </c>
      <c r="R1308" t="e">
        <f t="shared" ca="1" si="641"/>
        <v>#VALUE!</v>
      </c>
      <c r="S1308" t="e">
        <f t="shared" ca="1" si="642"/>
        <v>#VALUE!</v>
      </c>
      <c r="T1308" t="e">
        <f t="shared" ca="1" si="643"/>
        <v>#VALUE!</v>
      </c>
      <c r="U1308" t="e">
        <f t="shared" ca="1" si="664"/>
        <v>#VALUE!</v>
      </c>
      <c r="V1308" t="e">
        <f t="shared" ca="1" si="665"/>
        <v>#VALUE!</v>
      </c>
      <c r="W1308" t="e">
        <f t="shared" ca="1" si="644"/>
        <v>#VALUE!</v>
      </c>
      <c r="X1308" t="e">
        <f t="shared" ca="1" si="645"/>
        <v>#VALUE!</v>
      </c>
      <c r="Y1308" t="e">
        <f t="shared" ca="1" si="646"/>
        <v>#VALUE!</v>
      </c>
      <c r="Z1308" t="e">
        <f t="shared" ca="1" si="647"/>
        <v>#VALUE!</v>
      </c>
      <c r="AA1308" t="e">
        <f t="shared" ca="1" si="648"/>
        <v>#VALUE!</v>
      </c>
      <c r="AB1308" t="e">
        <f t="shared" ca="1" si="649"/>
        <v>#VALUE!</v>
      </c>
      <c r="AC1308" t="e">
        <f t="shared" ca="1" si="650"/>
        <v>#VALUE!</v>
      </c>
      <c r="AD1308" t="e">
        <f t="shared" ca="1" si="651"/>
        <v>#VALUE!</v>
      </c>
      <c r="AE1308" t="e">
        <f t="shared" ca="1" si="652"/>
        <v>#VALUE!</v>
      </c>
      <c r="AF1308" t="e">
        <f t="shared" ca="1" si="653"/>
        <v>#VALUE!</v>
      </c>
      <c r="AG1308" t="e">
        <f t="shared" ca="1" si="654"/>
        <v>#VALUE!</v>
      </c>
      <c r="AH1308" t="e">
        <f ca="1">IF(V32="Supercritical",L1308,IF(V32="Subcritical",W1308,IF(AND(V1308=1,AG1308=1),IF(T1308&gt;=AE1308,L1308,W1308),IF(V1308=1,L1308,IF(AG1308=1,W1308,MAX($D$16,POWER((ABS(K1308)^2)/($I$5*MAX(F1308,0.1)^2),1/3)))))))</f>
        <v>#VALUE!</v>
      </c>
      <c r="AI1308" t="e">
        <f t="shared" ca="1" si="655"/>
        <v>#VALUE!</v>
      </c>
      <c r="AJ1308" t="e">
        <f t="shared" ca="1" si="656"/>
        <v>#VALUE!</v>
      </c>
      <c r="AM1308">
        <v>0</v>
      </c>
      <c r="AN1308">
        <v>0</v>
      </c>
      <c r="AO1308">
        <f t="shared" si="657"/>
        <v>0</v>
      </c>
      <c r="AP1308">
        <f t="shared" si="666"/>
        <v>0</v>
      </c>
      <c r="AQ1308" t="e">
        <f t="shared" ca="1" si="658"/>
        <v>#VALUE!</v>
      </c>
      <c r="AR1308" t="e">
        <f t="shared" ca="1" si="659"/>
        <v>#VALUE!</v>
      </c>
      <c r="AS1308" t="e">
        <f t="shared" ca="1" si="660"/>
        <v>#VALUE!</v>
      </c>
    </row>
    <row r="1309" spans="1:45" x14ac:dyDescent="0.35">
      <c r="A1309">
        <v>1160</v>
      </c>
      <c r="B1309">
        <v>1158.8889999999999</v>
      </c>
      <c r="C1309">
        <v>616074.44700000004</v>
      </c>
      <c r="D1309">
        <v>3096845.1910000001</v>
      </c>
      <c r="E1309">
        <v>631.98249999999996</v>
      </c>
      <c r="F1309">
        <v>5.2</v>
      </c>
      <c r="G1309">
        <v>0</v>
      </c>
      <c r="H1309" t="s">
        <v>191</v>
      </c>
      <c r="I1309">
        <v>0</v>
      </c>
      <c r="J1309">
        <f t="shared" si="661"/>
        <v>1</v>
      </c>
      <c r="K1309">
        <f t="shared" si="662"/>
        <v>51</v>
      </c>
      <c r="L1309" t="e">
        <f t="shared" ca="1" si="663"/>
        <v>#VALUE!</v>
      </c>
      <c r="M1309" t="e">
        <f t="shared" ca="1" si="636"/>
        <v>#VALUE!</v>
      </c>
      <c r="N1309" t="e">
        <f t="shared" ca="1" si="637"/>
        <v>#VALUE!</v>
      </c>
      <c r="O1309" t="e">
        <f t="shared" ca="1" si="638"/>
        <v>#VALUE!</v>
      </c>
      <c r="P1309" t="e">
        <f t="shared" ca="1" si="639"/>
        <v>#VALUE!</v>
      </c>
      <c r="Q1309" t="e">
        <f t="shared" ca="1" si="640"/>
        <v>#VALUE!</v>
      </c>
      <c r="R1309" t="e">
        <f t="shared" ca="1" si="641"/>
        <v>#VALUE!</v>
      </c>
      <c r="S1309" t="e">
        <f t="shared" ca="1" si="642"/>
        <v>#VALUE!</v>
      </c>
      <c r="T1309" t="e">
        <f t="shared" ca="1" si="643"/>
        <v>#VALUE!</v>
      </c>
      <c r="U1309" t="e">
        <f t="shared" ca="1" si="664"/>
        <v>#VALUE!</v>
      </c>
      <c r="V1309" t="e">
        <f t="shared" ca="1" si="665"/>
        <v>#VALUE!</v>
      </c>
      <c r="W1309" t="e">
        <f t="shared" ca="1" si="644"/>
        <v>#VALUE!</v>
      </c>
      <c r="X1309" t="e">
        <f t="shared" ca="1" si="645"/>
        <v>#VALUE!</v>
      </c>
      <c r="Y1309" t="e">
        <f t="shared" ca="1" si="646"/>
        <v>#VALUE!</v>
      </c>
      <c r="Z1309" t="e">
        <f t="shared" ca="1" si="647"/>
        <v>#VALUE!</v>
      </c>
      <c r="AA1309" t="e">
        <f t="shared" ca="1" si="648"/>
        <v>#VALUE!</v>
      </c>
      <c r="AB1309" t="e">
        <f t="shared" ca="1" si="649"/>
        <v>#VALUE!</v>
      </c>
      <c r="AC1309" t="e">
        <f t="shared" ca="1" si="650"/>
        <v>#VALUE!</v>
      </c>
      <c r="AD1309" t="e">
        <f t="shared" ca="1" si="651"/>
        <v>#VALUE!</v>
      </c>
      <c r="AE1309" t="e">
        <f t="shared" ca="1" si="652"/>
        <v>#VALUE!</v>
      </c>
      <c r="AF1309" t="e">
        <f t="shared" ca="1" si="653"/>
        <v>#VALUE!</v>
      </c>
      <c r="AG1309" t="e">
        <f t="shared" ca="1" si="654"/>
        <v>#VALUE!</v>
      </c>
      <c r="AH1309" t="e">
        <f ca="1">IF(V32="Supercritical",L1309,IF(V32="Subcritical",W1309,IF(AND(V1309=1,AG1309=1),IF(T1309&gt;=AE1309,L1309,W1309),IF(V1309=1,L1309,IF(AG1309=1,W1309,MAX($D$16,POWER((ABS(K1309)^2)/($I$5*MAX(F1309,0.1)^2),1/3)))))))</f>
        <v>#VALUE!</v>
      </c>
      <c r="AI1309" t="e">
        <f t="shared" ca="1" si="655"/>
        <v>#VALUE!</v>
      </c>
      <c r="AJ1309" t="e">
        <f t="shared" ca="1" si="656"/>
        <v>#VALUE!</v>
      </c>
      <c r="AM1309">
        <v>0</v>
      </c>
      <c r="AN1309">
        <v>0</v>
      </c>
      <c r="AO1309">
        <f t="shared" si="657"/>
        <v>0</v>
      </c>
      <c r="AP1309">
        <f t="shared" si="666"/>
        <v>0</v>
      </c>
      <c r="AQ1309" t="e">
        <f t="shared" ca="1" si="658"/>
        <v>#VALUE!</v>
      </c>
      <c r="AR1309" t="e">
        <f t="shared" ca="1" si="659"/>
        <v>#VALUE!</v>
      </c>
      <c r="AS1309" t="e">
        <f t="shared" ca="1" si="660"/>
        <v>#VALUE!</v>
      </c>
    </row>
    <row r="1310" spans="1:45" x14ac:dyDescent="0.35">
      <c r="A1310">
        <v>1161</v>
      </c>
      <c r="B1310">
        <v>1159.8889999999999</v>
      </c>
      <c r="C1310">
        <v>616074.40500000003</v>
      </c>
      <c r="D1310">
        <v>3096844.1919999998</v>
      </c>
      <c r="E1310">
        <v>631.98199999999997</v>
      </c>
      <c r="F1310">
        <v>5.2</v>
      </c>
      <c r="G1310">
        <v>0</v>
      </c>
      <c r="H1310" t="s">
        <v>191</v>
      </c>
      <c r="I1310">
        <v>5.7000000000000002E-2</v>
      </c>
      <c r="J1310">
        <f t="shared" si="661"/>
        <v>1</v>
      </c>
      <c r="K1310">
        <f t="shared" si="662"/>
        <v>51</v>
      </c>
      <c r="L1310" t="e">
        <f t="shared" ca="1" si="663"/>
        <v>#VALUE!</v>
      </c>
      <c r="M1310" t="e">
        <f t="shared" ca="1" si="636"/>
        <v>#VALUE!</v>
      </c>
      <c r="N1310" t="e">
        <f t="shared" ca="1" si="637"/>
        <v>#VALUE!</v>
      </c>
      <c r="O1310" t="e">
        <f t="shared" ca="1" si="638"/>
        <v>#VALUE!</v>
      </c>
      <c r="P1310" t="e">
        <f t="shared" ca="1" si="639"/>
        <v>#VALUE!</v>
      </c>
      <c r="Q1310" t="e">
        <f t="shared" ca="1" si="640"/>
        <v>#VALUE!</v>
      </c>
      <c r="R1310" t="e">
        <f t="shared" ca="1" si="641"/>
        <v>#VALUE!</v>
      </c>
      <c r="S1310" t="e">
        <f t="shared" ca="1" si="642"/>
        <v>#VALUE!</v>
      </c>
      <c r="T1310" t="e">
        <f t="shared" ca="1" si="643"/>
        <v>#VALUE!</v>
      </c>
      <c r="U1310" t="e">
        <f t="shared" ca="1" si="664"/>
        <v>#VALUE!</v>
      </c>
      <c r="V1310" t="e">
        <f t="shared" ca="1" si="665"/>
        <v>#VALUE!</v>
      </c>
      <c r="W1310" t="e">
        <f t="shared" ca="1" si="644"/>
        <v>#VALUE!</v>
      </c>
      <c r="X1310" t="e">
        <f t="shared" ca="1" si="645"/>
        <v>#VALUE!</v>
      </c>
      <c r="Y1310" t="e">
        <f t="shared" ca="1" si="646"/>
        <v>#VALUE!</v>
      </c>
      <c r="Z1310" t="e">
        <f t="shared" ca="1" si="647"/>
        <v>#VALUE!</v>
      </c>
      <c r="AA1310" t="e">
        <f t="shared" ca="1" si="648"/>
        <v>#VALUE!</v>
      </c>
      <c r="AB1310" t="e">
        <f t="shared" ca="1" si="649"/>
        <v>#VALUE!</v>
      </c>
      <c r="AC1310" t="e">
        <f t="shared" ca="1" si="650"/>
        <v>#VALUE!</v>
      </c>
      <c r="AD1310" t="e">
        <f t="shared" ca="1" si="651"/>
        <v>#VALUE!</v>
      </c>
      <c r="AE1310" t="e">
        <f t="shared" ca="1" si="652"/>
        <v>#VALUE!</v>
      </c>
      <c r="AF1310" t="e">
        <f t="shared" ca="1" si="653"/>
        <v>#VALUE!</v>
      </c>
      <c r="AG1310" t="e">
        <f t="shared" ca="1" si="654"/>
        <v>#VALUE!</v>
      </c>
      <c r="AH1310" t="e">
        <f ca="1">IF(V32="Supercritical",L1310,IF(V32="Subcritical",W1310,IF(AND(V1310=1,AG1310=1),IF(T1310&gt;=AE1310,L1310,W1310),IF(V1310=1,L1310,IF(AG1310=1,W1310,MAX($D$16,POWER((ABS(K1310)^2)/($I$5*MAX(F1310,0.1)^2),1/3)))))))</f>
        <v>#VALUE!</v>
      </c>
      <c r="AI1310" t="e">
        <f t="shared" ca="1" si="655"/>
        <v>#VALUE!</v>
      </c>
      <c r="AJ1310" t="e">
        <f t="shared" ca="1" si="656"/>
        <v>#VALUE!</v>
      </c>
      <c r="AM1310">
        <v>0</v>
      </c>
      <c r="AN1310">
        <v>0</v>
      </c>
      <c r="AO1310">
        <f t="shared" si="657"/>
        <v>0</v>
      </c>
      <c r="AP1310">
        <f t="shared" si="666"/>
        <v>0</v>
      </c>
      <c r="AQ1310" t="e">
        <f t="shared" ca="1" si="658"/>
        <v>#VALUE!</v>
      </c>
      <c r="AR1310" t="e">
        <f t="shared" ca="1" si="659"/>
        <v>#VALUE!</v>
      </c>
      <c r="AS1310" t="e">
        <f t="shared" ca="1" si="660"/>
        <v>#VALUE!</v>
      </c>
    </row>
    <row r="1311" spans="1:45" x14ac:dyDescent="0.35">
      <c r="A1311">
        <v>1162</v>
      </c>
      <c r="B1311">
        <v>1160.8889999999999</v>
      </c>
      <c r="C1311">
        <v>616074.36199999996</v>
      </c>
      <c r="D1311">
        <v>3096843.193</v>
      </c>
      <c r="E1311">
        <v>631.98149999999998</v>
      </c>
      <c r="F1311">
        <v>5.2</v>
      </c>
      <c r="G1311">
        <v>0</v>
      </c>
      <c r="H1311" t="s">
        <v>191</v>
      </c>
      <c r="I1311">
        <v>0.06</v>
      </c>
      <c r="J1311">
        <f t="shared" si="661"/>
        <v>1</v>
      </c>
      <c r="K1311">
        <f t="shared" si="662"/>
        <v>51</v>
      </c>
      <c r="L1311" t="e">
        <f t="shared" ca="1" si="663"/>
        <v>#VALUE!</v>
      </c>
      <c r="M1311" t="e">
        <f t="shared" ca="1" si="636"/>
        <v>#VALUE!</v>
      </c>
      <c r="N1311" t="e">
        <f t="shared" ca="1" si="637"/>
        <v>#VALUE!</v>
      </c>
      <c r="O1311" t="e">
        <f t="shared" ca="1" si="638"/>
        <v>#VALUE!</v>
      </c>
      <c r="P1311" t="e">
        <f t="shared" ca="1" si="639"/>
        <v>#VALUE!</v>
      </c>
      <c r="Q1311" t="e">
        <f t="shared" ca="1" si="640"/>
        <v>#VALUE!</v>
      </c>
      <c r="R1311" t="e">
        <f t="shared" ca="1" si="641"/>
        <v>#VALUE!</v>
      </c>
      <c r="S1311" t="e">
        <f t="shared" ca="1" si="642"/>
        <v>#VALUE!</v>
      </c>
      <c r="T1311" t="e">
        <f t="shared" ca="1" si="643"/>
        <v>#VALUE!</v>
      </c>
      <c r="U1311" t="e">
        <f t="shared" ca="1" si="664"/>
        <v>#VALUE!</v>
      </c>
      <c r="V1311" t="e">
        <f t="shared" ca="1" si="665"/>
        <v>#VALUE!</v>
      </c>
      <c r="W1311" t="e">
        <f t="shared" ca="1" si="644"/>
        <v>#VALUE!</v>
      </c>
      <c r="X1311" t="e">
        <f t="shared" ca="1" si="645"/>
        <v>#VALUE!</v>
      </c>
      <c r="Y1311" t="e">
        <f t="shared" ca="1" si="646"/>
        <v>#VALUE!</v>
      </c>
      <c r="Z1311" t="e">
        <f t="shared" ca="1" si="647"/>
        <v>#VALUE!</v>
      </c>
      <c r="AA1311" t="e">
        <f t="shared" ca="1" si="648"/>
        <v>#VALUE!</v>
      </c>
      <c r="AB1311" t="e">
        <f t="shared" ca="1" si="649"/>
        <v>#VALUE!</v>
      </c>
      <c r="AC1311" t="e">
        <f t="shared" ca="1" si="650"/>
        <v>#VALUE!</v>
      </c>
      <c r="AD1311" t="e">
        <f t="shared" ca="1" si="651"/>
        <v>#VALUE!</v>
      </c>
      <c r="AE1311" t="e">
        <f t="shared" ca="1" si="652"/>
        <v>#VALUE!</v>
      </c>
      <c r="AF1311" t="e">
        <f t="shared" ca="1" si="653"/>
        <v>#VALUE!</v>
      </c>
      <c r="AG1311" t="e">
        <f t="shared" ca="1" si="654"/>
        <v>#VALUE!</v>
      </c>
      <c r="AH1311" t="e">
        <f ca="1">IF(V32="Supercritical",L1311,IF(V32="Subcritical",W1311,IF(AND(V1311=1,AG1311=1),IF(T1311&gt;=AE1311,L1311,W1311),IF(V1311=1,L1311,IF(AG1311=1,W1311,MAX($D$16,POWER((ABS(K1311)^2)/($I$5*MAX(F1311,0.1)^2),1/3)))))))</f>
        <v>#VALUE!</v>
      </c>
      <c r="AI1311" t="e">
        <f t="shared" ca="1" si="655"/>
        <v>#VALUE!</v>
      </c>
      <c r="AJ1311" t="e">
        <f t="shared" ca="1" si="656"/>
        <v>#VALUE!</v>
      </c>
      <c r="AM1311">
        <v>0</v>
      </c>
      <c r="AN1311">
        <v>0</v>
      </c>
      <c r="AO1311">
        <f t="shared" si="657"/>
        <v>0</v>
      </c>
      <c r="AP1311">
        <f t="shared" si="666"/>
        <v>0</v>
      </c>
      <c r="AQ1311" t="e">
        <f t="shared" ca="1" si="658"/>
        <v>#VALUE!</v>
      </c>
      <c r="AR1311" t="e">
        <f t="shared" ca="1" si="659"/>
        <v>#VALUE!</v>
      </c>
      <c r="AS1311" t="e">
        <f t="shared" ca="1" si="660"/>
        <v>#VALUE!</v>
      </c>
    </row>
    <row r="1312" spans="1:45" x14ac:dyDescent="0.35">
      <c r="A1312">
        <v>1163</v>
      </c>
      <c r="B1312">
        <v>1161.8900000000001</v>
      </c>
      <c r="C1312">
        <v>616074.31999999995</v>
      </c>
      <c r="D1312">
        <v>3096842.193</v>
      </c>
      <c r="E1312">
        <v>631.98099999999999</v>
      </c>
      <c r="F1312">
        <v>5.2</v>
      </c>
      <c r="G1312">
        <v>0</v>
      </c>
      <c r="H1312" t="s">
        <v>191</v>
      </c>
      <c r="I1312">
        <v>2E-3</v>
      </c>
      <c r="J1312">
        <f t="shared" si="661"/>
        <v>1.0010000000002037</v>
      </c>
      <c r="K1312">
        <f t="shared" si="662"/>
        <v>51</v>
      </c>
      <c r="L1312" t="e">
        <f t="shared" ca="1" si="663"/>
        <v>#VALUE!</v>
      </c>
      <c r="M1312" t="e">
        <f t="shared" ca="1" si="636"/>
        <v>#VALUE!</v>
      </c>
      <c r="N1312" t="e">
        <f t="shared" ca="1" si="637"/>
        <v>#VALUE!</v>
      </c>
      <c r="O1312" t="e">
        <f t="shared" ca="1" si="638"/>
        <v>#VALUE!</v>
      </c>
      <c r="P1312" t="e">
        <f t="shared" ca="1" si="639"/>
        <v>#VALUE!</v>
      </c>
      <c r="Q1312" t="e">
        <f t="shared" ca="1" si="640"/>
        <v>#VALUE!</v>
      </c>
      <c r="R1312" t="e">
        <f t="shared" ca="1" si="641"/>
        <v>#VALUE!</v>
      </c>
      <c r="S1312" t="e">
        <f t="shared" ca="1" si="642"/>
        <v>#VALUE!</v>
      </c>
      <c r="T1312" t="e">
        <f t="shared" ca="1" si="643"/>
        <v>#VALUE!</v>
      </c>
      <c r="U1312" t="e">
        <f t="shared" ca="1" si="664"/>
        <v>#VALUE!</v>
      </c>
      <c r="V1312" t="e">
        <f t="shared" ca="1" si="665"/>
        <v>#VALUE!</v>
      </c>
      <c r="W1312" t="e">
        <f t="shared" ca="1" si="644"/>
        <v>#VALUE!</v>
      </c>
      <c r="X1312" t="e">
        <f t="shared" ca="1" si="645"/>
        <v>#VALUE!</v>
      </c>
      <c r="Y1312" t="e">
        <f t="shared" ca="1" si="646"/>
        <v>#VALUE!</v>
      </c>
      <c r="Z1312" t="e">
        <f t="shared" ca="1" si="647"/>
        <v>#VALUE!</v>
      </c>
      <c r="AA1312" t="e">
        <f t="shared" ca="1" si="648"/>
        <v>#VALUE!</v>
      </c>
      <c r="AB1312" t="e">
        <f t="shared" ca="1" si="649"/>
        <v>#VALUE!</v>
      </c>
      <c r="AC1312" t="e">
        <f t="shared" ca="1" si="650"/>
        <v>#VALUE!</v>
      </c>
      <c r="AD1312" t="e">
        <f t="shared" ca="1" si="651"/>
        <v>#VALUE!</v>
      </c>
      <c r="AE1312" t="e">
        <f t="shared" ca="1" si="652"/>
        <v>#VALUE!</v>
      </c>
      <c r="AF1312" t="e">
        <f t="shared" ca="1" si="653"/>
        <v>#VALUE!</v>
      </c>
      <c r="AG1312" t="e">
        <f t="shared" ca="1" si="654"/>
        <v>#VALUE!</v>
      </c>
      <c r="AH1312" t="e">
        <f ca="1">IF(V32="Supercritical",L1312,IF(V32="Subcritical",W1312,IF(AND(V1312=1,AG1312=1),IF(T1312&gt;=AE1312,L1312,W1312),IF(V1312=1,L1312,IF(AG1312=1,W1312,MAX($D$16,POWER((ABS(K1312)^2)/($I$5*MAX(F1312,0.1)^2),1/3)))))))</f>
        <v>#VALUE!</v>
      </c>
      <c r="AI1312" t="e">
        <f t="shared" ca="1" si="655"/>
        <v>#VALUE!</v>
      </c>
      <c r="AJ1312" t="e">
        <f t="shared" ca="1" si="656"/>
        <v>#VALUE!</v>
      </c>
      <c r="AM1312">
        <v>0</v>
      </c>
      <c r="AN1312">
        <v>0</v>
      </c>
      <c r="AO1312">
        <f t="shared" si="657"/>
        <v>0</v>
      </c>
      <c r="AP1312">
        <f t="shared" si="666"/>
        <v>0</v>
      </c>
      <c r="AQ1312" t="e">
        <f t="shared" ca="1" si="658"/>
        <v>#VALUE!</v>
      </c>
      <c r="AR1312" t="e">
        <f t="shared" ca="1" si="659"/>
        <v>#VALUE!</v>
      </c>
      <c r="AS1312" t="e">
        <f t="shared" ca="1" si="660"/>
        <v>#VALUE!</v>
      </c>
    </row>
    <row r="1313" spans="1:45" x14ac:dyDescent="0.35">
      <c r="A1313">
        <v>1164</v>
      </c>
      <c r="B1313">
        <v>1162.8900000000001</v>
      </c>
      <c r="C1313">
        <v>616074.27800000005</v>
      </c>
      <c r="D1313">
        <v>3096841.1940000001</v>
      </c>
      <c r="E1313">
        <v>631.98050000000001</v>
      </c>
      <c r="F1313">
        <v>5.2</v>
      </c>
      <c r="G1313">
        <v>0</v>
      </c>
      <c r="H1313" t="s">
        <v>191</v>
      </c>
      <c r="I1313">
        <v>0</v>
      </c>
      <c r="J1313">
        <f t="shared" si="661"/>
        <v>1</v>
      </c>
      <c r="K1313">
        <f t="shared" si="662"/>
        <v>51</v>
      </c>
      <c r="L1313" t="e">
        <f t="shared" ca="1" si="663"/>
        <v>#VALUE!</v>
      </c>
      <c r="M1313" t="e">
        <f t="shared" ca="1" si="636"/>
        <v>#VALUE!</v>
      </c>
      <c r="N1313" t="e">
        <f t="shared" ca="1" si="637"/>
        <v>#VALUE!</v>
      </c>
      <c r="O1313" t="e">
        <f t="shared" ca="1" si="638"/>
        <v>#VALUE!</v>
      </c>
      <c r="P1313" t="e">
        <f t="shared" ca="1" si="639"/>
        <v>#VALUE!</v>
      </c>
      <c r="Q1313" t="e">
        <f t="shared" ca="1" si="640"/>
        <v>#VALUE!</v>
      </c>
      <c r="R1313" t="e">
        <f t="shared" ca="1" si="641"/>
        <v>#VALUE!</v>
      </c>
      <c r="S1313" t="e">
        <f t="shared" ca="1" si="642"/>
        <v>#VALUE!</v>
      </c>
      <c r="T1313" t="e">
        <f t="shared" ca="1" si="643"/>
        <v>#VALUE!</v>
      </c>
      <c r="U1313" t="e">
        <f t="shared" ca="1" si="664"/>
        <v>#VALUE!</v>
      </c>
      <c r="V1313" t="e">
        <f t="shared" ca="1" si="665"/>
        <v>#VALUE!</v>
      </c>
      <c r="W1313" t="e">
        <f t="shared" ca="1" si="644"/>
        <v>#VALUE!</v>
      </c>
      <c r="X1313" t="e">
        <f t="shared" ca="1" si="645"/>
        <v>#VALUE!</v>
      </c>
      <c r="Y1313" t="e">
        <f t="shared" ca="1" si="646"/>
        <v>#VALUE!</v>
      </c>
      <c r="Z1313" t="e">
        <f t="shared" ca="1" si="647"/>
        <v>#VALUE!</v>
      </c>
      <c r="AA1313" t="e">
        <f t="shared" ca="1" si="648"/>
        <v>#VALUE!</v>
      </c>
      <c r="AB1313" t="e">
        <f t="shared" ca="1" si="649"/>
        <v>#VALUE!</v>
      </c>
      <c r="AC1313" t="e">
        <f t="shared" ca="1" si="650"/>
        <v>#VALUE!</v>
      </c>
      <c r="AD1313" t="e">
        <f t="shared" ca="1" si="651"/>
        <v>#VALUE!</v>
      </c>
      <c r="AE1313" t="e">
        <f t="shared" ca="1" si="652"/>
        <v>#VALUE!</v>
      </c>
      <c r="AF1313" t="e">
        <f t="shared" ca="1" si="653"/>
        <v>#VALUE!</v>
      </c>
      <c r="AG1313" t="e">
        <f t="shared" ca="1" si="654"/>
        <v>#VALUE!</v>
      </c>
      <c r="AH1313" t="e">
        <f ca="1">IF(V32="Supercritical",L1313,IF(V32="Subcritical",W1313,IF(AND(V1313=1,AG1313=1),IF(T1313&gt;=AE1313,L1313,W1313),IF(V1313=1,L1313,IF(AG1313=1,W1313,MAX($D$16,POWER((ABS(K1313)^2)/($I$5*MAX(F1313,0.1)^2),1/3)))))))</f>
        <v>#VALUE!</v>
      </c>
      <c r="AI1313" t="e">
        <f t="shared" ca="1" si="655"/>
        <v>#VALUE!</v>
      </c>
      <c r="AJ1313" t="e">
        <f t="shared" ca="1" si="656"/>
        <v>#VALUE!</v>
      </c>
      <c r="AM1313">
        <v>0</v>
      </c>
      <c r="AN1313">
        <v>0</v>
      </c>
      <c r="AO1313">
        <f t="shared" si="657"/>
        <v>0</v>
      </c>
      <c r="AP1313">
        <f t="shared" si="666"/>
        <v>0</v>
      </c>
      <c r="AQ1313" t="e">
        <f t="shared" ca="1" si="658"/>
        <v>#VALUE!</v>
      </c>
      <c r="AR1313" t="e">
        <f t="shared" ca="1" si="659"/>
        <v>#VALUE!</v>
      </c>
      <c r="AS1313" t="e">
        <f t="shared" ca="1" si="660"/>
        <v>#VALUE!</v>
      </c>
    </row>
    <row r="1314" spans="1:45" x14ac:dyDescent="0.35">
      <c r="A1314">
        <v>1165</v>
      </c>
      <c r="B1314">
        <v>1163.8900000000001</v>
      </c>
      <c r="C1314">
        <v>616074.23600000003</v>
      </c>
      <c r="D1314">
        <v>3096840.1949999998</v>
      </c>
      <c r="E1314">
        <v>631.98</v>
      </c>
      <c r="F1314">
        <v>5.2</v>
      </c>
      <c r="G1314">
        <v>0</v>
      </c>
      <c r="H1314" t="s">
        <v>191</v>
      </c>
      <c r="I1314">
        <v>5.7000000000000002E-2</v>
      </c>
      <c r="J1314">
        <f t="shared" si="661"/>
        <v>1</v>
      </c>
      <c r="K1314">
        <f t="shared" si="662"/>
        <v>51</v>
      </c>
      <c r="L1314" t="e">
        <f t="shared" ca="1" si="663"/>
        <v>#VALUE!</v>
      </c>
      <c r="M1314" t="e">
        <f t="shared" ca="1" si="636"/>
        <v>#VALUE!</v>
      </c>
      <c r="N1314" t="e">
        <f t="shared" ca="1" si="637"/>
        <v>#VALUE!</v>
      </c>
      <c r="O1314" t="e">
        <f t="shared" ca="1" si="638"/>
        <v>#VALUE!</v>
      </c>
      <c r="P1314" t="e">
        <f t="shared" ca="1" si="639"/>
        <v>#VALUE!</v>
      </c>
      <c r="Q1314" t="e">
        <f t="shared" ca="1" si="640"/>
        <v>#VALUE!</v>
      </c>
      <c r="R1314" t="e">
        <f t="shared" ca="1" si="641"/>
        <v>#VALUE!</v>
      </c>
      <c r="S1314" t="e">
        <f t="shared" ca="1" si="642"/>
        <v>#VALUE!</v>
      </c>
      <c r="T1314" t="e">
        <f t="shared" ca="1" si="643"/>
        <v>#VALUE!</v>
      </c>
      <c r="U1314" t="e">
        <f t="shared" ca="1" si="664"/>
        <v>#VALUE!</v>
      </c>
      <c r="V1314" t="e">
        <f t="shared" ca="1" si="665"/>
        <v>#VALUE!</v>
      </c>
      <c r="W1314" t="e">
        <f t="shared" ca="1" si="644"/>
        <v>#VALUE!</v>
      </c>
      <c r="X1314" t="e">
        <f t="shared" ca="1" si="645"/>
        <v>#VALUE!</v>
      </c>
      <c r="Y1314" t="e">
        <f t="shared" ca="1" si="646"/>
        <v>#VALUE!</v>
      </c>
      <c r="Z1314" t="e">
        <f t="shared" ca="1" si="647"/>
        <v>#VALUE!</v>
      </c>
      <c r="AA1314" t="e">
        <f t="shared" ca="1" si="648"/>
        <v>#VALUE!</v>
      </c>
      <c r="AB1314" t="e">
        <f t="shared" ca="1" si="649"/>
        <v>#VALUE!</v>
      </c>
      <c r="AC1314" t="e">
        <f t="shared" ca="1" si="650"/>
        <v>#VALUE!</v>
      </c>
      <c r="AD1314" t="e">
        <f t="shared" ca="1" si="651"/>
        <v>#VALUE!</v>
      </c>
      <c r="AE1314" t="e">
        <f t="shared" ca="1" si="652"/>
        <v>#VALUE!</v>
      </c>
      <c r="AF1314" t="e">
        <f t="shared" ca="1" si="653"/>
        <v>#VALUE!</v>
      </c>
      <c r="AG1314" t="e">
        <f t="shared" ca="1" si="654"/>
        <v>#VALUE!</v>
      </c>
      <c r="AH1314" t="e">
        <f ca="1">IF(V32="Supercritical",L1314,IF(V32="Subcritical",W1314,IF(AND(V1314=1,AG1314=1),IF(T1314&gt;=AE1314,L1314,W1314),IF(V1314=1,L1314,IF(AG1314=1,W1314,MAX($D$16,POWER((ABS(K1314)^2)/($I$5*MAX(F1314,0.1)^2),1/3)))))))</f>
        <v>#VALUE!</v>
      </c>
      <c r="AI1314" t="e">
        <f t="shared" ca="1" si="655"/>
        <v>#VALUE!</v>
      </c>
      <c r="AJ1314" t="e">
        <f t="shared" ca="1" si="656"/>
        <v>#VALUE!</v>
      </c>
      <c r="AM1314">
        <v>0</v>
      </c>
      <c r="AN1314">
        <v>0</v>
      </c>
      <c r="AO1314">
        <f t="shared" si="657"/>
        <v>0</v>
      </c>
      <c r="AP1314">
        <f t="shared" si="666"/>
        <v>0</v>
      </c>
      <c r="AQ1314" t="e">
        <f t="shared" ca="1" si="658"/>
        <v>#VALUE!</v>
      </c>
      <c r="AR1314" t="e">
        <f t="shared" ca="1" si="659"/>
        <v>#VALUE!</v>
      </c>
      <c r="AS1314" t="e">
        <f t="shared" ca="1" si="660"/>
        <v>#VALUE!</v>
      </c>
    </row>
    <row r="1315" spans="1:45" x14ac:dyDescent="0.35">
      <c r="A1315">
        <v>1166</v>
      </c>
      <c r="B1315">
        <v>1164.8889999999999</v>
      </c>
      <c r="C1315">
        <v>616074.19299999997</v>
      </c>
      <c r="D1315">
        <v>3096839.196</v>
      </c>
      <c r="E1315">
        <v>631.97950000000003</v>
      </c>
      <c r="F1315">
        <v>5.2</v>
      </c>
      <c r="G1315">
        <v>0</v>
      </c>
      <c r="H1315" t="s">
        <v>191</v>
      </c>
      <c r="I1315">
        <v>5.7000000000000002E-2</v>
      </c>
      <c r="J1315">
        <f t="shared" si="661"/>
        <v>0.99899999999979627</v>
      </c>
      <c r="K1315">
        <f t="shared" si="662"/>
        <v>51</v>
      </c>
      <c r="L1315" t="e">
        <f t="shared" ca="1" si="663"/>
        <v>#VALUE!</v>
      </c>
      <c r="M1315" t="e">
        <f t="shared" ca="1" si="636"/>
        <v>#VALUE!</v>
      </c>
      <c r="N1315" t="e">
        <f t="shared" ca="1" si="637"/>
        <v>#VALUE!</v>
      </c>
      <c r="O1315" t="e">
        <f t="shared" ca="1" si="638"/>
        <v>#VALUE!</v>
      </c>
      <c r="P1315" t="e">
        <f t="shared" ca="1" si="639"/>
        <v>#VALUE!</v>
      </c>
      <c r="Q1315" t="e">
        <f t="shared" ca="1" si="640"/>
        <v>#VALUE!</v>
      </c>
      <c r="R1315" t="e">
        <f t="shared" ca="1" si="641"/>
        <v>#VALUE!</v>
      </c>
      <c r="S1315" t="e">
        <f t="shared" ca="1" si="642"/>
        <v>#VALUE!</v>
      </c>
      <c r="T1315" t="e">
        <f t="shared" ca="1" si="643"/>
        <v>#VALUE!</v>
      </c>
      <c r="U1315" t="e">
        <f t="shared" ca="1" si="664"/>
        <v>#VALUE!</v>
      </c>
      <c r="V1315" t="e">
        <f t="shared" ca="1" si="665"/>
        <v>#VALUE!</v>
      </c>
      <c r="W1315" t="e">
        <f t="shared" ca="1" si="644"/>
        <v>#VALUE!</v>
      </c>
      <c r="X1315" t="e">
        <f t="shared" ca="1" si="645"/>
        <v>#VALUE!</v>
      </c>
      <c r="Y1315" t="e">
        <f t="shared" ca="1" si="646"/>
        <v>#VALUE!</v>
      </c>
      <c r="Z1315" t="e">
        <f t="shared" ca="1" si="647"/>
        <v>#VALUE!</v>
      </c>
      <c r="AA1315" t="e">
        <f t="shared" ca="1" si="648"/>
        <v>#VALUE!</v>
      </c>
      <c r="AB1315" t="e">
        <f t="shared" ca="1" si="649"/>
        <v>#VALUE!</v>
      </c>
      <c r="AC1315" t="e">
        <f t="shared" ca="1" si="650"/>
        <v>#VALUE!</v>
      </c>
      <c r="AD1315" t="e">
        <f t="shared" ca="1" si="651"/>
        <v>#VALUE!</v>
      </c>
      <c r="AE1315" t="e">
        <f t="shared" ca="1" si="652"/>
        <v>#VALUE!</v>
      </c>
      <c r="AF1315" t="e">
        <f t="shared" ca="1" si="653"/>
        <v>#VALUE!</v>
      </c>
      <c r="AG1315" t="e">
        <f t="shared" ca="1" si="654"/>
        <v>#VALUE!</v>
      </c>
      <c r="AH1315" t="e">
        <f ca="1">IF(V32="Supercritical",L1315,IF(V32="Subcritical",W1315,IF(AND(V1315=1,AG1315=1),IF(T1315&gt;=AE1315,L1315,W1315),IF(V1315=1,L1315,IF(AG1315=1,W1315,MAX($D$16,POWER((ABS(K1315)^2)/($I$5*MAX(F1315,0.1)^2),1/3)))))))</f>
        <v>#VALUE!</v>
      </c>
      <c r="AI1315" t="e">
        <f t="shared" ca="1" si="655"/>
        <v>#VALUE!</v>
      </c>
      <c r="AJ1315" t="e">
        <f t="shared" ca="1" si="656"/>
        <v>#VALUE!</v>
      </c>
      <c r="AM1315">
        <v>0</v>
      </c>
      <c r="AN1315">
        <v>0</v>
      </c>
      <c r="AO1315">
        <f t="shared" si="657"/>
        <v>0</v>
      </c>
      <c r="AP1315">
        <f t="shared" si="666"/>
        <v>0</v>
      </c>
      <c r="AQ1315" t="e">
        <f t="shared" ca="1" si="658"/>
        <v>#VALUE!</v>
      </c>
      <c r="AR1315" t="e">
        <f t="shared" ca="1" si="659"/>
        <v>#VALUE!</v>
      </c>
      <c r="AS1315" t="e">
        <f t="shared" ca="1" si="660"/>
        <v>#VALUE!</v>
      </c>
    </row>
    <row r="1316" spans="1:45" x14ac:dyDescent="0.35">
      <c r="A1316">
        <v>1167</v>
      </c>
      <c r="B1316">
        <v>1165.8889999999999</v>
      </c>
      <c r="C1316">
        <v>616074.15099999995</v>
      </c>
      <c r="D1316">
        <v>3096838.1970000002</v>
      </c>
      <c r="E1316">
        <v>631.97900000000004</v>
      </c>
      <c r="F1316">
        <v>5.2</v>
      </c>
      <c r="G1316">
        <v>0</v>
      </c>
      <c r="H1316" t="s">
        <v>191</v>
      </c>
      <c r="I1316">
        <v>0</v>
      </c>
      <c r="J1316">
        <f t="shared" si="661"/>
        <v>1</v>
      </c>
      <c r="K1316">
        <f t="shared" si="662"/>
        <v>51</v>
      </c>
      <c r="L1316" t="e">
        <f t="shared" ca="1" si="663"/>
        <v>#VALUE!</v>
      </c>
      <c r="M1316" t="e">
        <f t="shared" ca="1" si="636"/>
        <v>#VALUE!</v>
      </c>
      <c r="N1316" t="e">
        <f t="shared" ca="1" si="637"/>
        <v>#VALUE!</v>
      </c>
      <c r="O1316" t="e">
        <f t="shared" ca="1" si="638"/>
        <v>#VALUE!</v>
      </c>
      <c r="P1316" t="e">
        <f t="shared" ca="1" si="639"/>
        <v>#VALUE!</v>
      </c>
      <c r="Q1316" t="e">
        <f t="shared" ca="1" si="640"/>
        <v>#VALUE!</v>
      </c>
      <c r="R1316" t="e">
        <f t="shared" ca="1" si="641"/>
        <v>#VALUE!</v>
      </c>
      <c r="S1316" t="e">
        <f t="shared" ca="1" si="642"/>
        <v>#VALUE!</v>
      </c>
      <c r="T1316" t="e">
        <f t="shared" ca="1" si="643"/>
        <v>#VALUE!</v>
      </c>
      <c r="U1316" t="e">
        <f t="shared" ca="1" si="664"/>
        <v>#VALUE!</v>
      </c>
      <c r="V1316" t="e">
        <f t="shared" ca="1" si="665"/>
        <v>#VALUE!</v>
      </c>
      <c r="W1316" t="e">
        <f t="shared" ca="1" si="644"/>
        <v>#VALUE!</v>
      </c>
      <c r="X1316" t="e">
        <f t="shared" ca="1" si="645"/>
        <v>#VALUE!</v>
      </c>
      <c r="Y1316" t="e">
        <f t="shared" ca="1" si="646"/>
        <v>#VALUE!</v>
      </c>
      <c r="Z1316" t="e">
        <f t="shared" ca="1" si="647"/>
        <v>#VALUE!</v>
      </c>
      <c r="AA1316" t="e">
        <f t="shared" ca="1" si="648"/>
        <v>#VALUE!</v>
      </c>
      <c r="AB1316" t="e">
        <f t="shared" ca="1" si="649"/>
        <v>#VALUE!</v>
      </c>
      <c r="AC1316" t="e">
        <f t="shared" ca="1" si="650"/>
        <v>#VALUE!</v>
      </c>
      <c r="AD1316" t="e">
        <f t="shared" ca="1" si="651"/>
        <v>#VALUE!</v>
      </c>
      <c r="AE1316" t="e">
        <f t="shared" ca="1" si="652"/>
        <v>#VALUE!</v>
      </c>
      <c r="AF1316" t="e">
        <f t="shared" ca="1" si="653"/>
        <v>#VALUE!</v>
      </c>
      <c r="AG1316" t="e">
        <f t="shared" ca="1" si="654"/>
        <v>#VALUE!</v>
      </c>
      <c r="AH1316" t="e">
        <f ca="1">IF(V32="Supercritical",L1316,IF(V32="Subcritical",W1316,IF(AND(V1316=1,AG1316=1),IF(T1316&gt;=AE1316,L1316,W1316),IF(V1316=1,L1316,IF(AG1316=1,W1316,MAX($D$16,POWER((ABS(K1316)^2)/($I$5*MAX(F1316,0.1)^2),1/3)))))))</f>
        <v>#VALUE!</v>
      </c>
      <c r="AI1316" t="e">
        <f t="shared" ca="1" si="655"/>
        <v>#VALUE!</v>
      </c>
      <c r="AJ1316" t="e">
        <f t="shared" ca="1" si="656"/>
        <v>#VALUE!</v>
      </c>
      <c r="AM1316">
        <v>0</v>
      </c>
      <c r="AN1316">
        <v>0</v>
      </c>
      <c r="AO1316">
        <f t="shared" si="657"/>
        <v>0</v>
      </c>
      <c r="AP1316">
        <f t="shared" si="666"/>
        <v>0</v>
      </c>
      <c r="AQ1316" t="e">
        <f t="shared" ca="1" si="658"/>
        <v>#VALUE!</v>
      </c>
      <c r="AR1316" t="e">
        <f t="shared" ca="1" si="659"/>
        <v>#VALUE!</v>
      </c>
      <c r="AS1316" t="e">
        <f t="shared" ca="1" si="660"/>
        <v>#VALUE!</v>
      </c>
    </row>
    <row r="1317" spans="1:45" x14ac:dyDescent="0.35">
      <c r="A1317">
        <v>1168</v>
      </c>
      <c r="B1317">
        <v>1166.8889999999999</v>
      </c>
      <c r="C1317">
        <v>616074.10900000005</v>
      </c>
      <c r="D1317">
        <v>3096837.1979999999</v>
      </c>
      <c r="E1317">
        <v>631.97850000000005</v>
      </c>
      <c r="F1317">
        <v>5.2</v>
      </c>
      <c r="G1317">
        <v>0</v>
      </c>
      <c r="H1317" t="s">
        <v>191</v>
      </c>
      <c r="I1317">
        <v>0</v>
      </c>
      <c r="J1317">
        <f t="shared" si="661"/>
        <v>1</v>
      </c>
      <c r="K1317">
        <f t="shared" si="662"/>
        <v>51</v>
      </c>
      <c r="L1317" t="e">
        <f t="shared" ca="1" si="663"/>
        <v>#VALUE!</v>
      </c>
      <c r="M1317" t="e">
        <f t="shared" ca="1" si="636"/>
        <v>#VALUE!</v>
      </c>
      <c r="N1317" t="e">
        <f t="shared" ca="1" si="637"/>
        <v>#VALUE!</v>
      </c>
      <c r="O1317" t="e">
        <f t="shared" ca="1" si="638"/>
        <v>#VALUE!</v>
      </c>
      <c r="P1317" t="e">
        <f t="shared" ca="1" si="639"/>
        <v>#VALUE!</v>
      </c>
      <c r="Q1317" t="e">
        <f t="shared" ca="1" si="640"/>
        <v>#VALUE!</v>
      </c>
      <c r="R1317" t="e">
        <f t="shared" ca="1" si="641"/>
        <v>#VALUE!</v>
      </c>
      <c r="S1317" t="e">
        <f t="shared" ca="1" si="642"/>
        <v>#VALUE!</v>
      </c>
      <c r="T1317" t="e">
        <f t="shared" ca="1" si="643"/>
        <v>#VALUE!</v>
      </c>
      <c r="U1317" t="e">
        <f t="shared" ca="1" si="664"/>
        <v>#VALUE!</v>
      </c>
      <c r="V1317" t="e">
        <f t="shared" ca="1" si="665"/>
        <v>#VALUE!</v>
      </c>
      <c r="W1317" t="e">
        <f t="shared" ca="1" si="644"/>
        <v>#VALUE!</v>
      </c>
      <c r="X1317" t="e">
        <f t="shared" ca="1" si="645"/>
        <v>#VALUE!</v>
      </c>
      <c r="Y1317" t="e">
        <f t="shared" ca="1" si="646"/>
        <v>#VALUE!</v>
      </c>
      <c r="Z1317" t="e">
        <f t="shared" ca="1" si="647"/>
        <v>#VALUE!</v>
      </c>
      <c r="AA1317" t="e">
        <f t="shared" ca="1" si="648"/>
        <v>#VALUE!</v>
      </c>
      <c r="AB1317" t="e">
        <f t="shared" ca="1" si="649"/>
        <v>#VALUE!</v>
      </c>
      <c r="AC1317" t="e">
        <f t="shared" ca="1" si="650"/>
        <v>#VALUE!</v>
      </c>
      <c r="AD1317" t="e">
        <f t="shared" ca="1" si="651"/>
        <v>#VALUE!</v>
      </c>
      <c r="AE1317" t="e">
        <f t="shared" ca="1" si="652"/>
        <v>#VALUE!</v>
      </c>
      <c r="AF1317" t="e">
        <f t="shared" ca="1" si="653"/>
        <v>#VALUE!</v>
      </c>
      <c r="AG1317" t="e">
        <f t="shared" ca="1" si="654"/>
        <v>#VALUE!</v>
      </c>
      <c r="AH1317" t="e">
        <f ca="1">IF(V32="Supercritical",L1317,IF(V32="Subcritical",W1317,IF(AND(V1317=1,AG1317=1),IF(T1317&gt;=AE1317,L1317,W1317),IF(V1317=1,L1317,IF(AG1317=1,W1317,MAX($D$16,POWER((ABS(K1317)^2)/($I$5*MAX(F1317,0.1)^2),1/3)))))))</f>
        <v>#VALUE!</v>
      </c>
      <c r="AI1317" t="e">
        <f t="shared" ca="1" si="655"/>
        <v>#VALUE!</v>
      </c>
      <c r="AJ1317" t="e">
        <f t="shared" ca="1" si="656"/>
        <v>#VALUE!</v>
      </c>
      <c r="AM1317">
        <v>0</v>
      </c>
      <c r="AN1317">
        <v>0</v>
      </c>
      <c r="AO1317">
        <f t="shared" si="657"/>
        <v>0</v>
      </c>
      <c r="AP1317">
        <f t="shared" si="666"/>
        <v>0</v>
      </c>
      <c r="AQ1317" t="e">
        <f t="shared" ca="1" si="658"/>
        <v>#VALUE!</v>
      </c>
      <c r="AR1317" t="e">
        <f t="shared" ca="1" si="659"/>
        <v>#VALUE!</v>
      </c>
      <c r="AS1317" t="e">
        <f t="shared" ca="1" si="660"/>
        <v>#VALUE!</v>
      </c>
    </row>
    <row r="1318" spans="1:45" x14ac:dyDescent="0.35">
      <c r="A1318">
        <v>1169</v>
      </c>
      <c r="B1318">
        <v>1167.8889999999999</v>
      </c>
      <c r="C1318">
        <v>616074.06700000004</v>
      </c>
      <c r="D1318">
        <v>3096836.199</v>
      </c>
      <c r="E1318">
        <v>631.97799999999995</v>
      </c>
      <c r="F1318">
        <v>5.2</v>
      </c>
      <c r="G1318">
        <v>0</v>
      </c>
      <c r="H1318" t="s">
        <v>191</v>
      </c>
      <c r="I1318">
        <v>5.7000000000000002E-2</v>
      </c>
      <c r="J1318">
        <f t="shared" si="661"/>
        <v>1</v>
      </c>
      <c r="K1318">
        <f t="shared" si="662"/>
        <v>51</v>
      </c>
      <c r="L1318" t="e">
        <f t="shared" ca="1" si="663"/>
        <v>#VALUE!</v>
      </c>
      <c r="M1318" t="e">
        <f t="shared" ca="1" si="636"/>
        <v>#VALUE!</v>
      </c>
      <c r="N1318" t="e">
        <f t="shared" ca="1" si="637"/>
        <v>#VALUE!</v>
      </c>
      <c r="O1318" t="e">
        <f t="shared" ca="1" si="638"/>
        <v>#VALUE!</v>
      </c>
      <c r="P1318" t="e">
        <f t="shared" ca="1" si="639"/>
        <v>#VALUE!</v>
      </c>
      <c r="Q1318" t="e">
        <f t="shared" ca="1" si="640"/>
        <v>#VALUE!</v>
      </c>
      <c r="R1318" t="e">
        <f t="shared" ca="1" si="641"/>
        <v>#VALUE!</v>
      </c>
      <c r="S1318" t="e">
        <f t="shared" ca="1" si="642"/>
        <v>#VALUE!</v>
      </c>
      <c r="T1318" t="e">
        <f t="shared" ca="1" si="643"/>
        <v>#VALUE!</v>
      </c>
      <c r="U1318" t="e">
        <f t="shared" ca="1" si="664"/>
        <v>#VALUE!</v>
      </c>
      <c r="V1318" t="e">
        <f t="shared" ca="1" si="665"/>
        <v>#VALUE!</v>
      </c>
      <c r="W1318" t="e">
        <f t="shared" ca="1" si="644"/>
        <v>#VALUE!</v>
      </c>
      <c r="X1318" t="e">
        <f t="shared" ca="1" si="645"/>
        <v>#VALUE!</v>
      </c>
      <c r="Y1318" t="e">
        <f t="shared" ca="1" si="646"/>
        <v>#VALUE!</v>
      </c>
      <c r="Z1318" t="e">
        <f t="shared" ca="1" si="647"/>
        <v>#VALUE!</v>
      </c>
      <c r="AA1318" t="e">
        <f t="shared" ca="1" si="648"/>
        <v>#VALUE!</v>
      </c>
      <c r="AB1318" t="e">
        <f t="shared" ca="1" si="649"/>
        <v>#VALUE!</v>
      </c>
      <c r="AC1318" t="e">
        <f t="shared" ca="1" si="650"/>
        <v>#VALUE!</v>
      </c>
      <c r="AD1318" t="e">
        <f t="shared" ca="1" si="651"/>
        <v>#VALUE!</v>
      </c>
      <c r="AE1318" t="e">
        <f t="shared" ca="1" si="652"/>
        <v>#VALUE!</v>
      </c>
      <c r="AF1318" t="e">
        <f t="shared" ca="1" si="653"/>
        <v>#VALUE!</v>
      </c>
      <c r="AG1318" t="e">
        <f t="shared" ca="1" si="654"/>
        <v>#VALUE!</v>
      </c>
      <c r="AH1318" t="e">
        <f ca="1">IF(V32="Supercritical",L1318,IF(V32="Subcritical",W1318,IF(AND(V1318=1,AG1318=1),IF(T1318&gt;=AE1318,L1318,W1318),IF(V1318=1,L1318,IF(AG1318=1,W1318,MAX($D$16,POWER((ABS(K1318)^2)/($I$5*MAX(F1318,0.1)^2),1/3)))))))</f>
        <v>#VALUE!</v>
      </c>
      <c r="AI1318" t="e">
        <f t="shared" ca="1" si="655"/>
        <v>#VALUE!</v>
      </c>
      <c r="AJ1318" t="e">
        <f t="shared" ca="1" si="656"/>
        <v>#VALUE!</v>
      </c>
      <c r="AM1318">
        <v>0</v>
      </c>
      <c r="AN1318">
        <v>0</v>
      </c>
      <c r="AO1318">
        <f t="shared" si="657"/>
        <v>0</v>
      </c>
      <c r="AP1318">
        <f t="shared" si="666"/>
        <v>0</v>
      </c>
      <c r="AQ1318" t="e">
        <f t="shared" ca="1" si="658"/>
        <v>#VALUE!</v>
      </c>
      <c r="AR1318" t="e">
        <f t="shared" ca="1" si="659"/>
        <v>#VALUE!</v>
      </c>
      <c r="AS1318" t="e">
        <f t="shared" ca="1" si="660"/>
        <v>#VALUE!</v>
      </c>
    </row>
    <row r="1319" spans="1:45" x14ac:dyDescent="0.35">
      <c r="A1319">
        <v>1170</v>
      </c>
      <c r="B1319">
        <v>1168.8889999999999</v>
      </c>
      <c r="C1319">
        <v>616074.02399999998</v>
      </c>
      <c r="D1319">
        <v>3096835.2</v>
      </c>
      <c r="E1319">
        <v>631.97749999999996</v>
      </c>
      <c r="F1319">
        <v>5.2</v>
      </c>
      <c r="G1319">
        <v>0</v>
      </c>
      <c r="H1319" t="s">
        <v>191</v>
      </c>
      <c r="I1319">
        <v>5.7000000000000002E-2</v>
      </c>
      <c r="J1319">
        <f t="shared" si="661"/>
        <v>1</v>
      </c>
      <c r="K1319">
        <f t="shared" si="662"/>
        <v>51</v>
      </c>
      <c r="L1319" t="e">
        <f t="shared" ca="1" si="663"/>
        <v>#VALUE!</v>
      </c>
      <c r="M1319" t="e">
        <f t="shared" ca="1" si="636"/>
        <v>#VALUE!</v>
      </c>
      <c r="N1319" t="e">
        <f t="shared" ca="1" si="637"/>
        <v>#VALUE!</v>
      </c>
      <c r="O1319" t="e">
        <f t="shared" ca="1" si="638"/>
        <v>#VALUE!</v>
      </c>
      <c r="P1319" t="e">
        <f t="shared" ca="1" si="639"/>
        <v>#VALUE!</v>
      </c>
      <c r="Q1319" t="e">
        <f t="shared" ca="1" si="640"/>
        <v>#VALUE!</v>
      </c>
      <c r="R1319" t="e">
        <f t="shared" ca="1" si="641"/>
        <v>#VALUE!</v>
      </c>
      <c r="S1319" t="e">
        <f t="shared" ca="1" si="642"/>
        <v>#VALUE!</v>
      </c>
      <c r="T1319" t="e">
        <f t="shared" ca="1" si="643"/>
        <v>#VALUE!</v>
      </c>
      <c r="U1319" t="e">
        <f t="shared" ca="1" si="664"/>
        <v>#VALUE!</v>
      </c>
      <c r="V1319" t="e">
        <f t="shared" ca="1" si="665"/>
        <v>#VALUE!</v>
      </c>
      <c r="W1319" t="e">
        <f t="shared" ca="1" si="644"/>
        <v>#VALUE!</v>
      </c>
      <c r="X1319" t="e">
        <f t="shared" ca="1" si="645"/>
        <v>#VALUE!</v>
      </c>
      <c r="Y1319" t="e">
        <f t="shared" ca="1" si="646"/>
        <v>#VALUE!</v>
      </c>
      <c r="Z1319" t="e">
        <f t="shared" ca="1" si="647"/>
        <v>#VALUE!</v>
      </c>
      <c r="AA1319" t="e">
        <f t="shared" ca="1" si="648"/>
        <v>#VALUE!</v>
      </c>
      <c r="AB1319" t="e">
        <f t="shared" ca="1" si="649"/>
        <v>#VALUE!</v>
      </c>
      <c r="AC1319" t="e">
        <f t="shared" ca="1" si="650"/>
        <v>#VALUE!</v>
      </c>
      <c r="AD1319" t="e">
        <f t="shared" ca="1" si="651"/>
        <v>#VALUE!</v>
      </c>
      <c r="AE1319" t="e">
        <f t="shared" ca="1" si="652"/>
        <v>#VALUE!</v>
      </c>
      <c r="AF1319" t="e">
        <f t="shared" ca="1" si="653"/>
        <v>#VALUE!</v>
      </c>
      <c r="AG1319" t="e">
        <f t="shared" ca="1" si="654"/>
        <v>#VALUE!</v>
      </c>
      <c r="AH1319" t="e">
        <f ca="1">IF(V32="Supercritical",L1319,IF(V32="Subcritical",W1319,IF(AND(V1319=1,AG1319=1),IF(T1319&gt;=AE1319,L1319,W1319),IF(V1319=1,L1319,IF(AG1319=1,W1319,MAX($D$16,POWER((ABS(K1319)^2)/($I$5*MAX(F1319,0.1)^2),1/3)))))))</f>
        <v>#VALUE!</v>
      </c>
      <c r="AI1319" t="e">
        <f t="shared" ca="1" si="655"/>
        <v>#VALUE!</v>
      </c>
      <c r="AJ1319" t="e">
        <f t="shared" ca="1" si="656"/>
        <v>#VALUE!</v>
      </c>
      <c r="AM1319">
        <v>0</v>
      </c>
      <c r="AN1319">
        <v>0</v>
      </c>
      <c r="AO1319">
        <f t="shared" si="657"/>
        <v>0</v>
      </c>
      <c r="AP1319">
        <f t="shared" si="666"/>
        <v>0</v>
      </c>
      <c r="AQ1319" t="e">
        <f t="shared" ca="1" si="658"/>
        <v>#VALUE!</v>
      </c>
      <c r="AR1319" t="e">
        <f t="shared" ca="1" si="659"/>
        <v>#VALUE!</v>
      </c>
      <c r="AS1319" t="e">
        <f t="shared" ca="1" si="660"/>
        <v>#VALUE!</v>
      </c>
    </row>
    <row r="1320" spans="1:45" x14ac:dyDescent="0.35">
      <c r="A1320">
        <v>1171</v>
      </c>
      <c r="B1320">
        <v>1169.8889999999999</v>
      </c>
      <c r="C1320">
        <v>616073.98199999996</v>
      </c>
      <c r="D1320">
        <v>3096834.2009999999</v>
      </c>
      <c r="E1320">
        <v>631.97699999999998</v>
      </c>
      <c r="F1320">
        <v>5.2</v>
      </c>
      <c r="G1320">
        <v>0</v>
      </c>
      <c r="H1320" t="s">
        <v>191</v>
      </c>
      <c r="I1320">
        <v>0</v>
      </c>
      <c r="J1320">
        <f t="shared" si="661"/>
        <v>1</v>
      </c>
      <c r="K1320">
        <f t="shared" si="662"/>
        <v>51</v>
      </c>
      <c r="L1320" t="e">
        <f t="shared" ca="1" si="663"/>
        <v>#VALUE!</v>
      </c>
      <c r="M1320" t="e">
        <f t="shared" ca="1" si="636"/>
        <v>#VALUE!</v>
      </c>
      <c r="N1320" t="e">
        <f t="shared" ca="1" si="637"/>
        <v>#VALUE!</v>
      </c>
      <c r="O1320" t="e">
        <f t="shared" ca="1" si="638"/>
        <v>#VALUE!</v>
      </c>
      <c r="P1320" t="e">
        <f t="shared" ca="1" si="639"/>
        <v>#VALUE!</v>
      </c>
      <c r="Q1320" t="e">
        <f t="shared" ca="1" si="640"/>
        <v>#VALUE!</v>
      </c>
      <c r="R1320" t="e">
        <f t="shared" ca="1" si="641"/>
        <v>#VALUE!</v>
      </c>
      <c r="S1320" t="e">
        <f t="shared" ca="1" si="642"/>
        <v>#VALUE!</v>
      </c>
      <c r="T1320" t="e">
        <f t="shared" ca="1" si="643"/>
        <v>#VALUE!</v>
      </c>
      <c r="U1320" t="e">
        <f t="shared" ca="1" si="664"/>
        <v>#VALUE!</v>
      </c>
      <c r="V1320" t="e">
        <f t="shared" ca="1" si="665"/>
        <v>#VALUE!</v>
      </c>
      <c r="W1320" t="e">
        <f t="shared" ca="1" si="644"/>
        <v>#VALUE!</v>
      </c>
      <c r="X1320" t="e">
        <f t="shared" ca="1" si="645"/>
        <v>#VALUE!</v>
      </c>
      <c r="Y1320" t="e">
        <f t="shared" ca="1" si="646"/>
        <v>#VALUE!</v>
      </c>
      <c r="Z1320" t="e">
        <f t="shared" ca="1" si="647"/>
        <v>#VALUE!</v>
      </c>
      <c r="AA1320" t="e">
        <f t="shared" ca="1" si="648"/>
        <v>#VALUE!</v>
      </c>
      <c r="AB1320" t="e">
        <f t="shared" ca="1" si="649"/>
        <v>#VALUE!</v>
      </c>
      <c r="AC1320" t="e">
        <f t="shared" ca="1" si="650"/>
        <v>#VALUE!</v>
      </c>
      <c r="AD1320" t="e">
        <f t="shared" ca="1" si="651"/>
        <v>#VALUE!</v>
      </c>
      <c r="AE1320" t="e">
        <f t="shared" ca="1" si="652"/>
        <v>#VALUE!</v>
      </c>
      <c r="AF1320" t="e">
        <f t="shared" ca="1" si="653"/>
        <v>#VALUE!</v>
      </c>
      <c r="AG1320" t="e">
        <f t="shared" ca="1" si="654"/>
        <v>#VALUE!</v>
      </c>
      <c r="AH1320" t="e">
        <f ca="1">IF(V32="Supercritical",L1320,IF(V32="Subcritical",W1320,IF(AND(V1320=1,AG1320=1),IF(T1320&gt;=AE1320,L1320,W1320),IF(V1320=1,L1320,IF(AG1320=1,W1320,MAX($D$16,POWER((ABS(K1320)^2)/($I$5*MAX(F1320,0.1)^2),1/3)))))))</f>
        <v>#VALUE!</v>
      </c>
      <c r="AI1320" t="e">
        <f t="shared" ca="1" si="655"/>
        <v>#VALUE!</v>
      </c>
      <c r="AJ1320" t="e">
        <f t="shared" ca="1" si="656"/>
        <v>#VALUE!</v>
      </c>
      <c r="AM1320">
        <v>0</v>
      </c>
      <c r="AN1320">
        <v>0</v>
      </c>
      <c r="AO1320">
        <f t="shared" si="657"/>
        <v>0</v>
      </c>
      <c r="AP1320">
        <f t="shared" si="666"/>
        <v>0</v>
      </c>
      <c r="AQ1320" t="e">
        <f t="shared" ca="1" si="658"/>
        <v>#VALUE!</v>
      </c>
      <c r="AR1320" t="e">
        <f t="shared" ca="1" si="659"/>
        <v>#VALUE!</v>
      </c>
      <c r="AS1320" t="e">
        <f t="shared" ca="1" si="660"/>
        <v>#VALUE!</v>
      </c>
    </row>
    <row r="1321" spans="1:45" x14ac:dyDescent="0.35">
      <c r="A1321">
        <v>1172</v>
      </c>
      <c r="B1321">
        <v>1170.8889999999999</v>
      </c>
      <c r="C1321">
        <v>616073.93999999994</v>
      </c>
      <c r="D1321">
        <v>3096833.202</v>
      </c>
      <c r="E1321">
        <v>631.97649999999999</v>
      </c>
      <c r="F1321">
        <v>5.2</v>
      </c>
      <c r="G1321">
        <v>0</v>
      </c>
      <c r="H1321" t="s">
        <v>191</v>
      </c>
      <c r="I1321">
        <v>5.5E-2</v>
      </c>
      <c r="J1321">
        <f t="shared" si="661"/>
        <v>1</v>
      </c>
      <c r="K1321">
        <f t="shared" si="662"/>
        <v>51</v>
      </c>
      <c r="L1321" t="e">
        <f t="shared" ca="1" si="663"/>
        <v>#VALUE!</v>
      </c>
      <c r="M1321" t="e">
        <f t="shared" ca="1" si="636"/>
        <v>#VALUE!</v>
      </c>
      <c r="N1321" t="e">
        <f t="shared" ca="1" si="637"/>
        <v>#VALUE!</v>
      </c>
      <c r="O1321" t="e">
        <f t="shared" ca="1" si="638"/>
        <v>#VALUE!</v>
      </c>
      <c r="P1321" t="e">
        <f t="shared" ca="1" si="639"/>
        <v>#VALUE!</v>
      </c>
      <c r="Q1321" t="e">
        <f t="shared" ca="1" si="640"/>
        <v>#VALUE!</v>
      </c>
      <c r="R1321" t="e">
        <f t="shared" ca="1" si="641"/>
        <v>#VALUE!</v>
      </c>
      <c r="S1321" t="e">
        <f t="shared" ca="1" si="642"/>
        <v>#VALUE!</v>
      </c>
      <c r="T1321" t="e">
        <f t="shared" ca="1" si="643"/>
        <v>#VALUE!</v>
      </c>
      <c r="U1321" t="e">
        <f t="shared" ca="1" si="664"/>
        <v>#VALUE!</v>
      </c>
      <c r="V1321" t="e">
        <f t="shared" ca="1" si="665"/>
        <v>#VALUE!</v>
      </c>
      <c r="W1321" t="e">
        <f t="shared" ca="1" si="644"/>
        <v>#VALUE!</v>
      </c>
      <c r="X1321" t="e">
        <f t="shared" ca="1" si="645"/>
        <v>#VALUE!</v>
      </c>
      <c r="Y1321" t="e">
        <f t="shared" ca="1" si="646"/>
        <v>#VALUE!</v>
      </c>
      <c r="Z1321" t="e">
        <f t="shared" ca="1" si="647"/>
        <v>#VALUE!</v>
      </c>
      <c r="AA1321" t="e">
        <f t="shared" ca="1" si="648"/>
        <v>#VALUE!</v>
      </c>
      <c r="AB1321" t="e">
        <f t="shared" ca="1" si="649"/>
        <v>#VALUE!</v>
      </c>
      <c r="AC1321" t="e">
        <f t="shared" ca="1" si="650"/>
        <v>#VALUE!</v>
      </c>
      <c r="AD1321" t="e">
        <f t="shared" ca="1" si="651"/>
        <v>#VALUE!</v>
      </c>
      <c r="AE1321" t="e">
        <f t="shared" ca="1" si="652"/>
        <v>#VALUE!</v>
      </c>
      <c r="AF1321" t="e">
        <f t="shared" ca="1" si="653"/>
        <v>#VALUE!</v>
      </c>
      <c r="AG1321" t="e">
        <f t="shared" ca="1" si="654"/>
        <v>#VALUE!</v>
      </c>
      <c r="AH1321" t="e">
        <f ca="1">IF(V32="Supercritical",L1321,IF(V32="Subcritical",W1321,IF(AND(V1321=1,AG1321=1),IF(T1321&gt;=AE1321,L1321,W1321),IF(V1321=1,L1321,IF(AG1321=1,W1321,MAX($D$16,POWER((ABS(K1321)^2)/($I$5*MAX(F1321,0.1)^2),1/3)))))))</f>
        <v>#VALUE!</v>
      </c>
      <c r="AI1321" t="e">
        <f t="shared" ca="1" si="655"/>
        <v>#VALUE!</v>
      </c>
      <c r="AJ1321" t="e">
        <f t="shared" ca="1" si="656"/>
        <v>#VALUE!</v>
      </c>
      <c r="AM1321">
        <v>0</v>
      </c>
      <c r="AN1321">
        <v>0</v>
      </c>
      <c r="AO1321">
        <f t="shared" si="657"/>
        <v>0</v>
      </c>
      <c r="AP1321">
        <f t="shared" si="666"/>
        <v>0</v>
      </c>
      <c r="AQ1321" t="e">
        <f t="shared" ca="1" si="658"/>
        <v>#VALUE!</v>
      </c>
      <c r="AR1321" t="e">
        <f t="shared" ca="1" si="659"/>
        <v>#VALUE!</v>
      </c>
      <c r="AS1321" t="e">
        <f t="shared" ca="1" si="660"/>
        <v>#VALUE!</v>
      </c>
    </row>
    <row r="1322" spans="1:45" x14ac:dyDescent="0.35">
      <c r="A1322">
        <v>1173</v>
      </c>
      <c r="B1322">
        <v>1171.8900000000001</v>
      </c>
      <c r="C1322">
        <v>616073.897</v>
      </c>
      <c r="D1322">
        <v>3096832.202</v>
      </c>
      <c r="E1322">
        <v>631.976</v>
      </c>
      <c r="F1322">
        <v>5.2</v>
      </c>
      <c r="G1322">
        <v>0</v>
      </c>
      <c r="H1322" t="s">
        <v>191</v>
      </c>
      <c r="I1322">
        <v>5.5E-2</v>
      </c>
      <c r="J1322">
        <f t="shared" si="661"/>
        <v>1.0010000000002037</v>
      </c>
      <c r="K1322">
        <f t="shared" si="662"/>
        <v>51</v>
      </c>
      <c r="L1322" t="e">
        <f t="shared" ca="1" si="663"/>
        <v>#VALUE!</v>
      </c>
      <c r="M1322" t="e">
        <f t="shared" ca="1" si="636"/>
        <v>#VALUE!</v>
      </c>
      <c r="N1322" t="e">
        <f t="shared" ca="1" si="637"/>
        <v>#VALUE!</v>
      </c>
      <c r="O1322" t="e">
        <f t="shared" ca="1" si="638"/>
        <v>#VALUE!</v>
      </c>
      <c r="P1322" t="e">
        <f t="shared" ca="1" si="639"/>
        <v>#VALUE!</v>
      </c>
      <c r="Q1322" t="e">
        <f t="shared" ca="1" si="640"/>
        <v>#VALUE!</v>
      </c>
      <c r="R1322" t="e">
        <f t="shared" ca="1" si="641"/>
        <v>#VALUE!</v>
      </c>
      <c r="S1322" t="e">
        <f t="shared" ca="1" si="642"/>
        <v>#VALUE!</v>
      </c>
      <c r="T1322" t="e">
        <f t="shared" ca="1" si="643"/>
        <v>#VALUE!</v>
      </c>
      <c r="U1322" t="e">
        <f t="shared" ca="1" si="664"/>
        <v>#VALUE!</v>
      </c>
      <c r="V1322" t="e">
        <f t="shared" ca="1" si="665"/>
        <v>#VALUE!</v>
      </c>
      <c r="W1322" t="e">
        <f t="shared" ca="1" si="644"/>
        <v>#VALUE!</v>
      </c>
      <c r="X1322" t="e">
        <f t="shared" ca="1" si="645"/>
        <v>#VALUE!</v>
      </c>
      <c r="Y1322" t="e">
        <f t="shared" ca="1" si="646"/>
        <v>#VALUE!</v>
      </c>
      <c r="Z1322" t="e">
        <f t="shared" ca="1" si="647"/>
        <v>#VALUE!</v>
      </c>
      <c r="AA1322" t="e">
        <f t="shared" ca="1" si="648"/>
        <v>#VALUE!</v>
      </c>
      <c r="AB1322" t="e">
        <f t="shared" ca="1" si="649"/>
        <v>#VALUE!</v>
      </c>
      <c r="AC1322" t="e">
        <f t="shared" ca="1" si="650"/>
        <v>#VALUE!</v>
      </c>
      <c r="AD1322" t="e">
        <f t="shared" ca="1" si="651"/>
        <v>#VALUE!</v>
      </c>
      <c r="AE1322" t="e">
        <f t="shared" ca="1" si="652"/>
        <v>#VALUE!</v>
      </c>
      <c r="AF1322" t="e">
        <f t="shared" ca="1" si="653"/>
        <v>#VALUE!</v>
      </c>
      <c r="AG1322" t="e">
        <f t="shared" ca="1" si="654"/>
        <v>#VALUE!</v>
      </c>
      <c r="AH1322" t="e">
        <f ca="1">IF(V32="Supercritical",L1322,IF(V32="Subcritical",W1322,IF(AND(V1322=1,AG1322=1),IF(T1322&gt;=AE1322,L1322,W1322),IF(V1322=1,L1322,IF(AG1322=1,W1322,MAX($D$16,POWER((ABS(K1322)^2)/($I$5*MAX(F1322,0.1)^2),1/3)))))))</f>
        <v>#VALUE!</v>
      </c>
      <c r="AI1322" t="e">
        <f t="shared" ca="1" si="655"/>
        <v>#VALUE!</v>
      </c>
      <c r="AJ1322" t="e">
        <f t="shared" ca="1" si="656"/>
        <v>#VALUE!</v>
      </c>
      <c r="AM1322">
        <v>0</v>
      </c>
      <c r="AN1322">
        <v>0</v>
      </c>
      <c r="AO1322">
        <f t="shared" si="657"/>
        <v>0</v>
      </c>
      <c r="AP1322">
        <f t="shared" si="666"/>
        <v>0</v>
      </c>
      <c r="AQ1322" t="e">
        <f t="shared" ca="1" si="658"/>
        <v>#VALUE!</v>
      </c>
      <c r="AR1322" t="e">
        <f t="shared" ca="1" si="659"/>
        <v>#VALUE!</v>
      </c>
      <c r="AS1322" t="e">
        <f t="shared" ca="1" si="660"/>
        <v>#VALUE!</v>
      </c>
    </row>
    <row r="1323" spans="1:45" x14ac:dyDescent="0.35">
      <c r="A1323">
        <v>1174</v>
      </c>
      <c r="B1323">
        <v>1172.8900000000001</v>
      </c>
      <c r="C1323">
        <v>616073.85499999998</v>
      </c>
      <c r="D1323">
        <v>3096831.2030000002</v>
      </c>
      <c r="E1323">
        <v>631.97550000000001</v>
      </c>
      <c r="F1323">
        <v>5.2</v>
      </c>
      <c r="G1323">
        <v>0</v>
      </c>
      <c r="H1323" t="s">
        <v>191</v>
      </c>
      <c r="I1323">
        <v>0</v>
      </c>
      <c r="J1323">
        <f t="shared" si="661"/>
        <v>1</v>
      </c>
      <c r="K1323">
        <f t="shared" si="662"/>
        <v>51</v>
      </c>
      <c r="L1323" t="e">
        <f t="shared" ca="1" si="663"/>
        <v>#VALUE!</v>
      </c>
      <c r="M1323" t="e">
        <f t="shared" ca="1" si="636"/>
        <v>#VALUE!</v>
      </c>
      <c r="N1323" t="e">
        <f t="shared" ca="1" si="637"/>
        <v>#VALUE!</v>
      </c>
      <c r="O1323" t="e">
        <f t="shared" ca="1" si="638"/>
        <v>#VALUE!</v>
      </c>
      <c r="P1323" t="e">
        <f t="shared" ca="1" si="639"/>
        <v>#VALUE!</v>
      </c>
      <c r="Q1323" t="e">
        <f t="shared" ca="1" si="640"/>
        <v>#VALUE!</v>
      </c>
      <c r="R1323" t="e">
        <f t="shared" ca="1" si="641"/>
        <v>#VALUE!</v>
      </c>
      <c r="S1323" t="e">
        <f t="shared" ca="1" si="642"/>
        <v>#VALUE!</v>
      </c>
      <c r="T1323" t="e">
        <f t="shared" ca="1" si="643"/>
        <v>#VALUE!</v>
      </c>
      <c r="U1323" t="e">
        <f t="shared" ca="1" si="664"/>
        <v>#VALUE!</v>
      </c>
      <c r="V1323" t="e">
        <f t="shared" ca="1" si="665"/>
        <v>#VALUE!</v>
      </c>
      <c r="W1323" t="e">
        <f t="shared" ca="1" si="644"/>
        <v>#VALUE!</v>
      </c>
      <c r="X1323" t="e">
        <f t="shared" ca="1" si="645"/>
        <v>#VALUE!</v>
      </c>
      <c r="Y1323" t="e">
        <f t="shared" ca="1" si="646"/>
        <v>#VALUE!</v>
      </c>
      <c r="Z1323" t="e">
        <f t="shared" ca="1" si="647"/>
        <v>#VALUE!</v>
      </c>
      <c r="AA1323" t="e">
        <f t="shared" ca="1" si="648"/>
        <v>#VALUE!</v>
      </c>
      <c r="AB1323" t="e">
        <f t="shared" ca="1" si="649"/>
        <v>#VALUE!</v>
      </c>
      <c r="AC1323" t="e">
        <f t="shared" ca="1" si="650"/>
        <v>#VALUE!</v>
      </c>
      <c r="AD1323" t="e">
        <f t="shared" ca="1" si="651"/>
        <v>#VALUE!</v>
      </c>
      <c r="AE1323" t="e">
        <f t="shared" ca="1" si="652"/>
        <v>#VALUE!</v>
      </c>
      <c r="AF1323" t="e">
        <f t="shared" ca="1" si="653"/>
        <v>#VALUE!</v>
      </c>
      <c r="AG1323" t="e">
        <f t="shared" ca="1" si="654"/>
        <v>#VALUE!</v>
      </c>
      <c r="AH1323" t="e">
        <f ca="1">IF(V32="Supercritical",L1323,IF(V32="Subcritical",W1323,IF(AND(V1323=1,AG1323=1),IF(T1323&gt;=AE1323,L1323,W1323),IF(V1323=1,L1323,IF(AG1323=1,W1323,MAX($D$16,POWER((ABS(K1323)^2)/($I$5*MAX(F1323,0.1)^2),1/3)))))))</f>
        <v>#VALUE!</v>
      </c>
      <c r="AI1323" t="e">
        <f t="shared" ca="1" si="655"/>
        <v>#VALUE!</v>
      </c>
      <c r="AJ1323" t="e">
        <f t="shared" ca="1" si="656"/>
        <v>#VALUE!</v>
      </c>
      <c r="AM1323">
        <v>0</v>
      </c>
      <c r="AN1323">
        <v>0</v>
      </c>
      <c r="AO1323">
        <f t="shared" si="657"/>
        <v>0</v>
      </c>
      <c r="AP1323">
        <f t="shared" si="666"/>
        <v>0</v>
      </c>
      <c r="AQ1323" t="e">
        <f t="shared" ca="1" si="658"/>
        <v>#VALUE!</v>
      </c>
      <c r="AR1323" t="e">
        <f t="shared" ca="1" si="659"/>
        <v>#VALUE!</v>
      </c>
      <c r="AS1323" t="e">
        <f t="shared" ca="1" si="660"/>
        <v>#VALUE!</v>
      </c>
    </row>
    <row r="1324" spans="1:45" x14ac:dyDescent="0.35">
      <c r="A1324">
        <v>1175</v>
      </c>
      <c r="B1324">
        <v>1173.8889999999999</v>
      </c>
      <c r="C1324">
        <v>616073.81299999997</v>
      </c>
      <c r="D1324">
        <v>3096830.2039999999</v>
      </c>
      <c r="E1324">
        <v>631.97500000000002</v>
      </c>
      <c r="F1324">
        <v>5.2</v>
      </c>
      <c r="G1324">
        <v>0</v>
      </c>
      <c r="H1324" t="s">
        <v>191</v>
      </c>
      <c r="I1324">
        <v>0</v>
      </c>
      <c r="J1324">
        <f t="shared" si="661"/>
        <v>0.99899999999979627</v>
      </c>
      <c r="K1324">
        <f t="shared" si="662"/>
        <v>51</v>
      </c>
      <c r="L1324" t="e">
        <f t="shared" ca="1" si="663"/>
        <v>#VALUE!</v>
      </c>
      <c r="M1324" t="e">
        <f t="shared" ca="1" si="636"/>
        <v>#VALUE!</v>
      </c>
      <c r="N1324" t="e">
        <f t="shared" ca="1" si="637"/>
        <v>#VALUE!</v>
      </c>
      <c r="O1324" t="e">
        <f t="shared" ca="1" si="638"/>
        <v>#VALUE!</v>
      </c>
      <c r="P1324" t="e">
        <f t="shared" ca="1" si="639"/>
        <v>#VALUE!</v>
      </c>
      <c r="Q1324" t="e">
        <f t="shared" ca="1" si="640"/>
        <v>#VALUE!</v>
      </c>
      <c r="R1324" t="e">
        <f t="shared" ca="1" si="641"/>
        <v>#VALUE!</v>
      </c>
      <c r="S1324" t="e">
        <f t="shared" ca="1" si="642"/>
        <v>#VALUE!</v>
      </c>
      <c r="T1324" t="e">
        <f t="shared" ca="1" si="643"/>
        <v>#VALUE!</v>
      </c>
      <c r="U1324" t="e">
        <f t="shared" ca="1" si="664"/>
        <v>#VALUE!</v>
      </c>
      <c r="V1324" t="e">
        <f t="shared" ca="1" si="665"/>
        <v>#VALUE!</v>
      </c>
      <c r="W1324" t="e">
        <f t="shared" ca="1" si="644"/>
        <v>#VALUE!</v>
      </c>
      <c r="X1324" t="e">
        <f t="shared" ca="1" si="645"/>
        <v>#VALUE!</v>
      </c>
      <c r="Y1324" t="e">
        <f t="shared" ca="1" si="646"/>
        <v>#VALUE!</v>
      </c>
      <c r="Z1324" t="e">
        <f t="shared" ca="1" si="647"/>
        <v>#VALUE!</v>
      </c>
      <c r="AA1324" t="e">
        <f t="shared" ca="1" si="648"/>
        <v>#VALUE!</v>
      </c>
      <c r="AB1324" t="e">
        <f t="shared" ca="1" si="649"/>
        <v>#VALUE!</v>
      </c>
      <c r="AC1324" t="e">
        <f t="shared" ca="1" si="650"/>
        <v>#VALUE!</v>
      </c>
      <c r="AD1324" t="e">
        <f t="shared" ca="1" si="651"/>
        <v>#VALUE!</v>
      </c>
      <c r="AE1324" t="e">
        <f t="shared" ca="1" si="652"/>
        <v>#VALUE!</v>
      </c>
      <c r="AF1324" t="e">
        <f t="shared" ca="1" si="653"/>
        <v>#VALUE!</v>
      </c>
      <c r="AG1324" t="e">
        <f t="shared" ca="1" si="654"/>
        <v>#VALUE!</v>
      </c>
      <c r="AH1324" t="e">
        <f ca="1">IF(V32="Supercritical",L1324,IF(V32="Subcritical",W1324,IF(AND(V1324=1,AG1324=1),IF(T1324&gt;=AE1324,L1324,W1324),IF(V1324=1,L1324,IF(AG1324=1,W1324,MAX($D$16,POWER((ABS(K1324)^2)/($I$5*MAX(F1324,0.1)^2),1/3)))))))</f>
        <v>#VALUE!</v>
      </c>
      <c r="AI1324" t="e">
        <f t="shared" ca="1" si="655"/>
        <v>#VALUE!</v>
      </c>
      <c r="AJ1324" t="e">
        <f t="shared" ca="1" si="656"/>
        <v>#VALUE!</v>
      </c>
      <c r="AM1324">
        <v>0</v>
      </c>
      <c r="AN1324">
        <v>0</v>
      </c>
      <c r="AO1324">
        <f t="shared" si="657"/>
        <v>0</v>
      </c>
      <c r="AP1324">
        <f t="shared" si="666"/>
        <v>0</v>
      </c>
      <c r="AQ1324" t="e">
        <f t="shared" ca="1" si="658"/>
        <v>#VALUE!</v>
      </c>
      <c r="AR1324" t="e">
        <f t="shared" ca="1" si="659"/>
        <v>#VALUE!</v>
      </c>
      <c r="AS1324" t="e">
        <f t="shared" ca="1" si="660"/>
        <v>#VALUE!</v>
      </c>
    </row>
    <row r="1325" spans="1:45" x14ac:dyDescent="0.35">
      <c r="A1325">
        <v>1176</v>
      </c>
      <c r="B1325">
        <v>1174.8889999999999</v>
      </c>
      <c r="C1325">
        <v>616073.77099999995</v>
      </c>
      <c r="D1325">
        <v>3096829.2050000001</v>
      </c>
      <c r="E1325">
        <v>631.97450000000003</v>
      </c>
      <c r="F1325">
        <v>5.2</v>
      </c>
      <c r="G1325">
        <v>0</v>
      </c>
      <c r="H1325" t="s">
        <v>191</v>
      </c>
      <c r="I1325">
        <v>5.7000000000000002E-2</v>
      </c>
      <c r="J1325">
        <f t="shared" si="661"/>
        <v>1</v>
      </c>
      <c r="K1325">
        <f t="shared" si="662"/>
        <v>51</v>
      </c>
      <c r="L1325" t="e">
        <f t="shared" ca="1" si="663"/>
        <v>#VALUE!</v>
      </c>
      <c r="M1325" t="e">
        <f t="shared" ca="1" si="636"/>
        <v>#VALUE!</v>
      </c>
      <c r="N1325" t="e">
        <f t="shared" ca="1" si="637"/>
        <v>#VALUE!</v>
      </c>
      <c r="O1325" t="e">
        <f t="shared" ca="1" si="638"/>
        <v>#VALUE!</v>
      </c>
      <c r="P1325" t="e">
        <f t="shared" ca="1" si="639"/>
        <v>#VALUE!</v>
      </c>
      <c r="Q1325" t="e">
        <f t="shared" ca="1" si="640"/>
        <v>#VALUE!</v>
      </c>
      <c r="R1325" t="e">
        <f t="shared" ca="1" si="641"/>
        <v>#VALUE!</v>
      </c>
      <c r="S1325" t="e">
        <f t="shared" ca="1" si="642"/>
        <v>#VALUE!</v>
      </c>
      <c r="T1325" t="e">
        <f t="shared" ca="1" si="643"/>
        <v>#VALUE!</v>
      </c>
      <c r="U1325" t="e">
        <f t="shared" ca="1" si="664"/>
        <v>#VALUE!</v>
      </c>
      <c r="V1325" t="e">
        <f t="shared" ca="1" si="665"/>
        <v>#VALUE!</v>
      </c>
      <c r="W1325" t="e">
        <f t="shared" ca="1" si="644"/>
        <v>#VALUE!</v>
      </c>
      <c r="X1325" t="e">
        <f t="shared" ca="1" si="645"/>
        <v>#VALUE!</v>
      </c>
      <c r="Y1325" t="e">
        <f t="shared" ca="1" si="646"/>
        <v>#VALUE!</v>
      </c>
      <c r="Z1325" t="e">
        <f t="shared" ca="1" si="647"/>
        <v>#VALUE!</v>
      </c>
      <c r="AA1325" t="e">
        <f t="shared" ca="1" si="648"/>
        <v>#VALUE!</v>
      </c>
      <c r="AB1325" t="e">
        <f t="shared" ca="1" si="649"/>
        <v>#VALUE!</v>
      </c>
      <c r="AC1325" t="e">
        <f t="shared" ca="1" si="650"/>
        <v>#VALUE!</v>
      </c>
      <c r="AD1325" t="e">
        <f t="shared" ca="1" si="651"/>
        <v>#VALUE!</v>
      </c>
      <c r="AE1325" t="e">
        <f t="shared" ca="1" si="652"/>
        <v>#VALUE!</v>
      </c>
      <c r="AF1325" t="e">
        <f t="shared" ca="1" si="653"/>
        <v>#VALUE!</v>
      </c>
      <c r="AG1325" t="e">
        <f t="shared" ca="1" si="654"/>
        <v>#VALUE!</v>
      </c>
      <c r="AH1325" t="e">
        <f ca="1">IF(V32="Supercritical",L1325,IF(V32="Subcritical",W1325,IF(AND(V1325=1,AG1325=1),IF(T1325&gt;=AE1325,L1325,W1325),IF(V1325=1,L1325,IF(AG1325=1,W1325,MAX($D$16,POWER((ABS(K1325)^2)/($I$5*MAX(F1325,0.1)^2),1/3)))))))</f>
        <v>#VALUE!</v>
      </c>
      <c r="AI1325" t="e">
        <f t="shared" ca="1" si="655"/>
        <v>#VALUE!</v>
      </c>
      <c r="AJ1325" t="e">
        <f t="shared" ca="1" si="656"/>
        <v>#VALUE!</v>
      </c>
      <c r="AM1325">
        <v>0</v>
      </c>
      <c r="AN1325">
        <v>0</v>
      </c>
      <c r="AO1325">
        <f t="shared" si="657"/>
        <v>0</v>
      </c>
      <c r="AP1325">
        <f t="shared" si="666"/>
        <v>0</v>
      </c>
      <c r="AQ1325" t="e">
        <f t="shared" ca="1" si="658"/>
        <v>#VALUE!</v>
      </c>
      <c r="AR1325" t="e">
        <f t="shared" ca="1" si="659"/>
        <v>#VALUE!</v>
      </c>
      <c r="AS1325" t="e">
        <f t="shared" ca="1" si="660"/>
        <v>#VALUE!</v>
      </c>
    </row>
    <row r="1326" spans="1:45" x14ac:dyDescent="0.35">
      <c r="A1326">
        <v>1177</v>
      </c>
      <c r="B1326">
        <v>1175.8889999999999</v>
      </c>
      <c r="C1326">
        <v>616073.728</v>
      </c>
      <c r="D1326">
        <v>3096828.2059999998</v>
      </c>
      <c r="E1326">
        <v>631.97400000000005</v>
      </c>
      <c r="F1326">
        <v>5.2</v>
      </c>
      <c r="G1326">
        <v>0</v>
      </c>
      <c r="H1326" t="s">
        <v>191</v>
      </c>
      <c r="I1326">
        <v>5.7000000000000002E-2</v>
      </c>
      <c r="J1326">
        <f t="shared" si="661"/>
        <v>1</v>
      </c>
      <c r="K1326">
        <f t="shared" si="662"/>
        <v>51</v>
      </c>
      <c r="L1326" t="e">
        <f t="shared" ca="1" si="663"/>
        <v>#VALUE!</v>
      </c>
      <c r="M1326" t="e">
        <f t="shared" ca="1" si="636"/>
        <v>#VALUE!</v>
      </c>
      <c r="N1326" t="e">
        <f t="shared" ca="1" si="637"/>
        <v>#VALUE!</v>
      </c>
      <c r="O1326" t="e">
        <f t="shared" ca="1" si="638"/>
        <v>#VALUE!</v>
      </c>
      <c r="P1326" t="e">
        <f t="shared" ca="1" si="639"/>
        <v>#VALUE!</v>
      </c>
      <c r="Q1326" t="e">
        <f t="shared" ca="1" si="640"/>
        <v>#VALUE!</v>
      </c>
      <c r="R1326" t="e">
        <f t="shared" ca="1" si="641"/>
        <v>#VALUE!</v>
      </c>
      <c r="S1326" t="e">
        <f t="shared" ca="1" si="642"/>
        <v>#VALUE!</v>
      </c>
      <c r="T1326" t="e">
        <f t="shared" ca="1" si="643"/>
        <v>#VALUE!</v>
      </c>
      <c r="U1326" t="e">
        <f t="shared" ca="1" si="664"/>
        <v>#VALUE!</v>
      </c>
      <c r="V1326" t="e">
        <f t="shared" ca="1" si="665"/>
        <v>#VALUE!</v>
      </c>
      <c r="W1326" t="e">
        <f t="shared" ca="1" si="644"/>
        <v>#VALUE!</v>
      </c>
      <c r="X1326" t="e">
        <f t="shared" ca="1" si="645"/>
        <v>#VALUE!</v>
      </c>
      <c r="Y1326" t="e">
        <f t="shared" ca="1" si="646"/>
        <v>#VALUE!</v>
      </c>
      <c r="Z1326" t="e">
        <f t="shared" ca="1" si="647"/>
        <v>#VALUE!</v>
      </c>
      <c r="AA1326" t="e">
        <f t="shared" ca="1" si="648"/>
        <v>#VALUE!</v>
      </c>
      <c r="AB1326" t="e">
        <f t="shared" ca="1" si="649"/>
        <v>#VALUE!</v>
      </c>
      <c r="AC1326" t="e">
        <f t="shared" ca="1" si="650"/>
        <v>#VALUE!</v>
      </c>
      <c r="AD1326" t="e">
        <f t="shared" ca="1" si="651"/>
        <v>#VALUE!</v>
      </c>
      <c r="AE1326" t="e">
        <f t="shared" ca="1" si="652"/>
        <v>#VALUE!</v>
      </c>
      <c r="AF1326" t="e">
        <f t="shared" ca="1" si="653"/>
        <v>#VALUE!</v>
      </c>
      <c r="AG1326" t="e">
        <f t="shared" ca="1" si="654"/>
        <v>#VALUE!</v>
      </c>
      <c r="AH1326" t="e">
        <f ca="1">IF(V32="Supercritical",L1326,IF(V32="Subcritical",W1326,IF(AND(V1326=1,AG1326=1),IF(T1326&gt;=AE1326,L1326,W1326),IF(V1326=1,L1326,IF(AG1326=1,W1326,MAX($D$16,POWER((ABS(K1326)^2)/($I$5*MAX(F1326,0.1)^2),1/3)))))))</f>
        <v>#VALUE!</v>
      </c>
      <c r="AI1326" t="e">
        <f t="shared" ca="1" si="655"/>
        <v>#VALUE!</v>
      </c>
      <c r="AJ1326" t="e">
        <f t="shared" ca="1" si="656"/>
        <v>#VALUE!</v>
      </c>
      <c r="AM1326">
        <v>0</v>
      </c>
      <c r="AN1326">
        <v>0</v>
      </c>
      <c r="AO1326">
        <f t="shared" si="657"/>
        <v>0</v>
      </c>
      <c r="AP1326">
        <f t="shared" si="666"/>
        <v>0</v>
      </c>
      <c r="AQ1326" t="e">
        <f t="shared" ca="1" si="658"/>
        <v>#VALUE!</v>
      </c>
      <c r="AR1326" t="e">
        <f t="shared" ca="1" si="659"/>
        <v>#VALUE!</v>
      </c>
      <c r="AS1326" t="e">
        <f t="shared" ca="1" si="660"/>
        <v>#VALUE!</v>
      </c>
    </row>
    <row r="1327" spans="1:45" x14ac:dyDescent="0.35">
      <c r="A1327">
        <v>1178</v>
      </c>
      <c r="B1327">
        <v>1176.8889999999999</v>
      </c>
      <c r="C1327">
        <v>616073.68599999999</v>
      </c>
      <c r="D1327">
        <v>3096827.2069999999</v>
      </c>
      <c r="E1327">
        <v>631.97349999999994</v>
      </c>
      <c r="F1327">
        <v>5.2</v>
      </c>
      <c r="G1327">
        <v>0</v>
      </c>
      <c r="H1327" t="s">
        <v>191</v>
      </c>
      <c r="I1327">
        <v>0</v>
      </c>
      <c r="J1327">
        <f t="shared" si="661"/>
        <v>1</v>
      </c>
      <c r="K1327">
        <f t="shared" si="662"/>
        <v>51</v>
      </c>
      <c r="L1327" t="e">
        <f t="shared" ca="1" si="663"/>
        <v>#VALUE!</v>
      </c>
      <c r="M1327" t="e">
        <f t="shared" ca="1" si="636"/>
        <v>#VALUE!</v>
      </c>
      <c r="N1327" t="e">
        <f t="shared" ca="1" si="637"/>
        <v>#VALUE!</v>
      </c>
      <c r="O1327" t="e">
        <f t="shared" ca="1" si="638"/>
        <v>#VALUE!</v>
      </c>
      <c r="P1327" t="e">
        <f t="shared" ca="1" si="639"/>
        <v>#VALUE!</v>
      </c>
      <c r="Q1327" t="e">
        <f t="shared" ca="1" si="640"/>
        <v>#VALUE!</v>
      </c>
      <c r="R1327" t="e">
        <f t="shared" ca="1" si="641"/>
        <v>#VALUE!</v>
      </c>
      <c r="S1327" t="e">
        <f t="shared" ca="1" si="642"/>
        <v>#VALUE!</v>
      </c>
      <c r="T1327" t="e">
        <f t="shared" ca="1" si="643"/>
        <v>#VALUE!</v>
      </c>
      <c r="U1327" t="e">
        <f t="shared" ca="1" si="664"/>
        <v>#VALUE!</v>
      </c>
      <c r="V1327" t="e">
        <f t="shared" ca="1" si="665"/>
        <v>#VALUE!</v>
      </c>
      <c r="W1327" t="e">
        <f t="shared" ca="1" si="644"/>
        <v>#VALUE!</v>
      </c>
      <c r="X1327" t="e">
        <f t="shared" ca="1" si="645"/>
        <v>#VALUE!</v>
      </c>
      <c r="Y1327" t="e">
        <f t="shared" ca="1" si="646"/>
        <v>#VALUE!</v>
      </c>
      <c r="Z1327" t="e">
        <f t="shared" ca="1" si="647"/>
        <v>#VALUE!</v>
      </c>
      <c r="AA1327" t="e">
        <f t="shared" ca="1" si="648"/>
        <v>#VALUE!</v>
      </c>
      <c r="AB1327" t="e">
        <f t="shared" ca="1" si="649"/>
        <v>#VALUE!</v>
      </c>
      <c r="AC1327" t="e">
        <f t="shared" ca="1" si="650"/>
        <v>#VALUE!</v>
      </c>
      <c r="AD1327" t="e">
        <f t="shared" ca="1" si="651"/>
        <v>#VALUE!</v>
      </c>
      <c r="AE1327" t="e">
        <f t="shared" ca="1" si="652"/>
        <v>#VALUE!</v>
      </c>
      <c r="AF1327" t="e">
        <f t="shared" ca="1" si="653"/>
        <v>#VALUE!</v>
      </c>
      <c r="AG1327" t="e">
        <f t="shared" ca="1" si="654"/>
        <v>#VALUE!</v>
      </c>
      <c r="AH1327" t="e">
        <f ca="1">IF(V32="Supercritical",L1327,IF(V32="Subcritical",W1327,IF(AND(V1327=1,AG1327=1),IF(T1327&gt;=AE1327,L1327,W1327),IF(V1327=1,L1327,IF(AG1327=1,W1327,MAX($D$16,POWER((ABS(K1327)^2)/($I$5*MAX(F1327,0.1)^2),1/3)))))))</f>
        <v>#VALUE!</v>
      </c>
      <c r="AI1327" t="e">
        <f t="shared" ca="1" si="655"/>
        <v>#VALUE!</v>
      </c>
      <c r="AJ1327" t="e">
        <f t="shared" ca="1" si="656"/>
        <v>#VALUE!</v>
      </c>
      <c r="AM1327">
        <v>0</v>
      </c>
      <c r="AN1327">
        <v>0</v>
      </c>
      <c r="AO1327">
        <f t="shared" si="657"/>
        <v>0</v>
      </c>
      <c r="AP1327">
        <f t="shared" si="666"/>
        <v>0</v>
      </c>
      <c r="AQ1327" t="e">
        <f t="shared" ca="1" si="658"/>
        <v>#VALUE!</v>
      </c>
      <c r="AR1327" t="e">
        <f t="shared" ca="1" si="659"/>
        <v>#VALUE!</v>
      </c>
      <c r="AS1327" t="e">
        <f t="shared" ca="1" si="660"/>
        <v>#VALUE!</v>
      </c>
    </row>
    <row r="1328" spans="1:45" x14ac:dyDescent="0.35">
      <c r="A1328">
        <v>1179</v>
      </c>
      <c r="B1328">
        <v>1177.8889999999999</v>
      </c>
      <c r="C1328">
        <v>616073.64399999997</v>
      </c>
      <c r="D1328">
        <v>3096826.2080000001</v>
      </c>
      <c r="E1328">
        <v>631.97299999999996</v>
      </c>
      <c r="F1328">
        <v>5.2</v>
      </c>
      <c r="G1328">
        <v>0</v>
      </c>
      <c r="H1328" t="s">
        <v>191</v>
      </c>
      <c r="I1328">
        <v>0</v>
      </c>
      <c r="J1328">
        <f t="shared" si="661"/>
        <v>1</v>
      </c>
      <c r="K1328">
        <f t="shared" si="662"/>
        <v>51</v>
      </c>
      <c r="L1328" t="e">
        <f t="shared" ca="1" si="663"/>
        <v>#VALUE!</v>
      </c>
      <c r="M1328" t="e">
        <f t="shared" ca="1" si="636"/>
        <v>#VALUE!</v>
      </c>
      <c r="N1328" t="e">
        <f t="shared" ca="1" si="637"/>
        <v>#VALUE!</v>
      </c>
      <c r="O1328" t="e">
        <f t="shared" ca="1" si="638"/>
        <v>#VALUE!</v>
      </c>
      <c r="P1328" t="e">
        <f t="shared" ca="1" si="639"/>
        <v>#VALUE!</v>
      </c>
      <c r="Q1328" t="e">
        <f t="shared" ca="1" si="640"/>
        <v>#VALUE!</v>
      </c>
      <c r="R1328" t="e">
        <f t="shared" ca="1" si="641"/>
        <v>#VALUE!</v>
      </c>
      <c r="S1328" t="e">
        <f t="shared" ca="1" si="642"/>
        <v>#VALUE!</v>
      </c>
      <c r="T1328" t="e">
        <f t="shared" ca="1" si="643"/>
        <v>#VALUE!</v>
      </c>
      <c r="U1328" t="e">
        <f t="shared" ca="1" si="664"/>
        <v>#VALUE!</v>
      </c>
      <c r="V1328" t="e">
        <f t="shared" ca="1" si="665"/>
        <v>#VALUE!</v>
      </c>
      <c r="W1328" t="e">
        <f t="shared" ca="1" si="644"/>
        <v>#VALUE!</v>
      </c>
      <c r="X1328" t="e">
        <f t="shared" ca="1" si="645"/>
        <v>#VALUE!</v>
      </c>
      <c r="Y1328" t="e">
        <f t="shared" ca="1" si="646"/>
        <v>#VALUE!</v>
      </c>
      <c r="Z1328" t="e">
        <f t="shared" ca="1" si="647"/>
        <v>#VALUE!</v>
      </c>
      <c r="AA1328" t="e">
        <f t="shared" ca="1" si="648"/>
        <v>#VALUE!</v>
      </c>
      <c r="AB1328" t="e">
        <f t="shared" ca="1" si="649"/>
        <v>#VALUE!</v>
      </c>
      <c r="AC1328" t="e">
        <f t="shared" ca="1" si="650"/>
        <v>#VALUE!</v>
      </c>
      <c r="AD1328" t="e">
        <f t="shared" ca="1" si="651"/>
        <v>#VALUE!</v>
      </c>
      <c r="AE1328" t="e">
        <f t="shared" ca="1" si="652"/>
        <v>#VALUE!</v>
      </c>
      <c r="AF1328" t="e">
        <f t="shared" ca="1" si="653"/>
        <v>#VALUE!</v>
      </c>
      <c r="AG1328" t="e">
        <f t="shared" ca="1" si="654"/>
        <v>#VALUE!</v>
      </c>
      <c r="AH1328" t="e">
        <f ca="1">IF(V32="Supercritical",L1328,IF(V32="Subcritical",W1328,IF(AND(V1328=1,AG1328=1),IF(T1328&gt;=AE1328,L1328,W1328),IF(V1328=1,L1328,IF(AG1328=1,W1328,MAX($D$16,POWER((ABS(K1328)^2)/($I$5*MAX(F1328,0.1)^2),1/3)))))))</f>
        <v>#VALUE!</v>
      </c>
      <c r="AI1328" t="e">
        <f t="shared" ca="1" si="655"/>
        <v>#VALUE!</v>
      </c>
      <c r="AJ1328" t="e">
        <f t="shared" ca="1" si="656"/>
        <v>#VALUE!</v>
      </c>
      <c r="AM1328">
        <v>0</v>
      </c>
      <c r="AN1328">
        <v>0</v>
      </c>
      <c r="AO1328">
        <f t="shared" si="657"/>
        <v>0</v>
      </c>
      <c r="AP1328">
        <f t="shared" si="666"/>
        <v>0</v>
      </c>
      <c r="AQ1328" t="e">
        <f t="shared" ca="1" si="658"/>
        <v>#VALUE!</v>
      </c>
      <c r="AR1328" t="e">
        <f t="shared" ca="1" si="659"/>
        <v>#VALUE!</v>
      </c>
      <c r="AS1328" t="e">
        <f t="shared" ca="1" si="660"/>
        <v>#VALUE!</v>
      </c>
    </row>
    <row r="1329" spans="1:45" x14ac:dyDescent="0.35">
      <c r="A1329">
        <v>1180</v>
      </c>
      <c r="B1329">
        <v>1178.8889999999999</v>
      </c>
      <c r="C1329">
        <v>616073.60199999996</v>
      </c>
      <c r="D1329">
        <v>3096825.2089999998</v>
      </c>
      <c r="E1329">
        <v>631.97249999999997</v>
      </c>
      <c r="F1329">
        <v>5.2</v>
      </c>
      <c r="G1329">
        <v>0</v>
      </c>
      <c r="H1329" t="s">
        <v>191</v>
      </c>
      <c r="I1329">
        <v>5.7000000000000002E-2</v>
      </c>
      <c r="J1329">
        <f t="shared" si="661"/>
        <v>1</v>
      </c>
      <c r="K1329">
        <f t="shared" si="662"/>
        <v>51</v>
      </c>
      <c r="L1329" t="e">
        <f t="shared" ca="1" si="663"/>
        <v>#VALUE!</v>
      </c>
      <c r="M1329" t="e">
        <f t="shared" ca="1" si="636"/>
        <v>#VALUE!</v>
      </c>
      <c r="N1329" t="e">
        <f t="shared" ca="1" si="637"/>
        <v>#VALUE!</v>
      </c>
      <c r="O1329" t="e">
        <f t="shared" ca="1" si="638"/>
        <v>#VALUE!</v>
      </c>
      <c r="P1329" t="e">
        <f t="shared" ca="1" si="639"/>
        <v>#VALUE!</v>
      </c>
      <c r="Q1329" t="e">
        <f t="shared" ca="1" si="640"/>
        <v>#VALUE!</v>
      </c>
      <c r="R1329" t="e">
        <f t="shared" ca="1" si="641"/>
        <v>#VALUE!</v>
      </c>
      <c r="S1329" t="e">
        <f t="shared" ca="1" si="642"/>
        <v>#VALUE!</v>
      </c>
      <c r="T1329" t="e">
        <f t="shared" ca="1" si="643"/>
        <v>#VALUE!</v>
      </c>
      <c r="U1329" t="e">
        <f t="shared" ca="1" si="664"/>
        <v>#VALUE!</v>
      </c>
      <c r="V1329" t="e">
        <f t="shared" ca="1" si="665"/>
        <v>#VALUE!</v>
      </c>
      <c r="W1329" t="e">
        <f t="shared" ca="1" si="644"/>
        <v>#VALUE!</v>
      </c>
      <c r="X1329" t="e">
        <f t="shared" ca="1" si="645"/>
        <v>#VALUE!</v>
      </c>
      <c r="Y1329" t="e">
        <f t="shared" ca="1" si="646"/>
        <v>#VALUE!</v>
      </c>
      <c r="Z1329" t="e">
        <f t="shared" ca="1" si="647"/>
        <v>#VALUE!</v>
      </c>
      <c r="AA1329" t="e">
        <f t="shared" ca="1" si="648"/>
        <v>#VALUE!</v>
      </c>
      <c r="AB1329" t="e">
        <f t="shared" ca="1" si="649"/>
        <v>#VALUE!</v>
      </c>
      <c r="AC1329" t="e">
        <f t="shared" ca="1" si="650"/>
        <v>#VALUE!</v>
      </c>
      <c r="AD1329" t="e">
        <f t="shared" ca="1" si="651"/>
        <v>#VALUE!</v>
      </c>
      <c r="AE1329" t="e">
        <f t="shared" ca="1" si="652"/>
        <v>#VALUE!</v>
      </c>
      <c r="AF1329" t="e">
        <f t="shared" ca="1" si="653"/>
        <v>#VALUE!</v>
      </c>
      <c r="AG1329" t="e">
        <f t="shared" ca="1" si="654"/>
        <v>#VALUE!</v>
      </c>
      <c r="AH1329" t="e">
        <f ca="1">IF(V32="Supercritical",L1329,IF(V32="Subcritical",W1329,IF(AND(V1329=1,AG1329=1),IF(T1329&gt;=AE1329,L1329,W1329),IF(V1329=1,L1329,IF(AG1329=1,W1329,MAX($D$16,POWER((ABS(K1329)^2)/($I$5*MAX(F1329,0.1)^2),1/3)))))))</f>
        <v>#VALUE!</v>
      </c>
      <c r="AI1329" t="e">
        <f t="shared" ca="1" si="655"/>
        <v>#VALUE!</v>
      </c>
      <c r="AJ1329" t="e">
        <f t="shared" ca="1" si="656"/>
        <v>#VALUE!</v>
      </c>
      <c r="AM1329">
        <v>0</v>
      </c>
      <c r="AN1329">
        <v>0</v>
      </c>
      <c r="AO1329">
        <f t="shared" si="657"/>
        <v>0</v>
      </c>
      <c r="AP1329">
        <f t="shared" si="666"/>
        <v>0</v>
      </c>
      <c r="AQ1329" t="e">
        <f t="shared" ca="1" si="658"/>
        <v>#VALUE!</v>
      </c>
      <c r="AR1329" t="e">
        <f t="shared" ca="1" si="659"/>
        <v>#VALUE!</v>
      </c>
      <c r="AS1329" t="e">
        <f t="shared" ca="1" si="660"/>
        <v>#VALUE!</v>
      </c>
    </row>
    <row r="1330" spans="1:45" x14ac:dyDescent="0.35">
      <c r="A1330">
        <v>1181</v>
      </c>
      <c r="B1330">
        <v>1179.8889999999999</v>
      </c>
      <c r="C1330">
        <v>616073.55900000001</v>
      </c>
      <c r="D1330">
        <v>3096824.21</v>
      </c>
      <c r="E1330">
        <v>631.97199999999998</v>
      </c>
      <c r="F1330">
        <v>5.2</v>
      </c>
      <c r="G1330">
        <v>0</v>
      </c>
      <c r="H1330" t="s">
        <v>191</v>
      </c>
      <c r="I1330">
        <v>0.06</v>
      </c>
      <c r="J1330">
        <f t="shared" si="661"/>
        <v>1</v>
      </c>
      <c r="K1330">
        <f t="shared" si="662"/>
        <v>51</v>
      </c>
      <c r="L1330" t="e">
        <f t="shared" ca="1" si="663"/>
        <v>#VALUE!</v>
      </c>
      <c r="M1330" t="e">
        <f t="shared" ca="1" si="636"/>
        <v>#VALUE!</v>
      </c>
      <c r="N1330" t="e">
        <f t="shared" ca="1" si="637"/>
        <v>#VALUE!</v>
      </c>
      <c r="O1330" t="e">
        <f t="shared" ca="1" si="638"/>
        <v>#VALUE!</v>
      </c>
      <c r="P1330" t="e">
        <f t="shared" ca="1" si="639"/>
        <v>#VALUE!</v>
      </c>
      <c r="Q1330" t="e">
        <f t="shared" ca="1" si="640"/>
        <v>#VALUE!</v>
      </c>
      <c r="R1330" t="e">
        <f t="shared" ca="1" si="641"/>
        <v>#VALUE!</v>
      </c>
      <c r="S1330" t="e">
        <f t="shared" ca="1" si="642"/>
        <v>#VALUE!</v>
      </c>
      <c r="T1330" t="e">
        <f t="shared" ca="1" si="643"/>
        <v>#VALUE!</v>
      </c>
      <c r="U1330" t="e">
        <f t="shared" ca="1" si="664"/>
        <v>#VALUE!</v>
      </c>
      <c r="V1330" t="e">
        <f t="shared" ca="1" si="665"/>
        <v>#VALUE!</v>
      </c>
      <c r="W1330" t="e">
        <f t="shared" ca="1" si="644"/>
        <v>#VALUE!</v>
      </c>
      <c r="X1330" t="e">
        <f t="shared" ca="1" si="645"/>
        <v>#VALUE!</v>
      </c>
      <c r="Y1330" t="e">
        <f t="shared" ca="1" si="646"/>
        <v>#VALUE!</v>
      </c>
      <c r="Z1330" t="e">
        <f t="shared" ca="1" si="647"/>
        <v>#VALUE!</v>
      </c>
      <c r="AA1330" t="e">
        <f t="shared" ca="1" si="648"/>
        <v>#VALUE!</v>
      </c>
      <c r="AB1330" t="e">
        <f t="shared" ca="1" si="649"/>
        <v>#VALUE!</v>
      </c>
      <c r="AC1330" t="e">
        <f t="shared" ca="1" si="650"/>
        <v>#VALUE!</v>
      </c>
      <c r="AD1330" t="e">
        <f t="shared" ca="1" si="651"/>
        <v>#VALUE!</v>
      </c>
      <c r="AE1330" t="e">
        <f t="shared" ca="1" si="652"/>
        <v>#VALUE!</v>
      </c>
      <c r="AF1330" t="e">
        <f t="shared" ca="1" si="653"/>
        <v>#VALUE!</v>
      </c>
      <c r="AG1330" t="e">
        <f t="shared" ca="1" si="654"/>
        <v>#VALUE!</v>
      </c>
      <c r="AH1330" t="e">
        <f ca="1">IF(V32="Supercritical",L1330,IF(V32="Subcritical",W1330,IF(AND(V1330=1,AG1330=1),IF(T1330&gt;=AE1330,L1330,W1330),IF(V1330=1,L1330,IF(AG1330=1,W1330,MAX($D$16,POWER((ABS(K1330)^2)/($I$5*MAX(F1330,0.1)^2),1/3)))))))</f>
        <v>#VALUE!</v>
      </c>
      <c r="AI1330" t="e">
        <f t="shared" ca="1" si="655"/>
        <v>#VALUE!</v>
      </c>
      <c r="AJ1330" t="e">
        <f t="shared" ca="1" si="656"/>
        <v>#VALUE!</v>
      </c>
      <c r="AM1330">
        <v>0</v>
      </c>
      <c r="AN1330">
        <v>0</v>
      </c>
      <c r="AO1330">
        <f t="shared" si="657"/>
        <v>0</v>
      </c>
      <c r="AP1330">
        <f t="shared" si="666"/>
        <v>0</v>
      </c>
      <c r="AQ1330" t="e">
        <f t="shared" ca="1" si="658"/>
        <v>#VALUE!</v>
      </c>
      <c r="AR1330" t="e">
        <f t="shared" ca="1" si="659"/>
        <v>#VALUE!</v>
      </c>
      <c r="AS1330" t="e">
        <f t="shared" ca="1" si="660"/>
        <v>#VALUE!</v>
      </c>
    </row>
    <row r="1331" spans="1:45" x14ac:dyDescent="0.35">
      <c r="A1331">
        <v>1182</v>
      </c>
      <c r="B1331">
        <v>1180.8900000000001</v>
      </c>
      <c r="C1331">
        <v>616073.51699999999</v>
      </c>
      <c r="D1331">
        <v>3096823.21</v>
      </c>
      <c r="E1331">
        <v>631.97149999999999</v>
      </c>
      <c r="F1331">
        <v>5.2</v>
      </c>
      <c r="G1331">
        <v>0</v>
      </c>
      <c r="H1331" t="s">
        <v>191</v>
      </c>
      <c r="I1331">
        <v>2E-3</v>
      </c>
      <c r="J1331">
        <f t="shared" si="661"/>
        <v>1.0010000000002037</v>
      </c>
      <c r="K1331">
        <f t="shared" si="662"/>
        <v>51</v>
      </c>
      <c r="L1331" t="e">
        <f t="shared" ca="1" si="663"/>
        <v>#VALUE!</v>
      </c>
      <c r="M1331" t="e">
        <f t="shared" ca="1" si="636"/>
        <v>#VALUE!</v>
      </c>
      <c r="N1331" t="e">
        <f t="shared" ca="1" si="637"/>
        <v>#VALUE!</v>
      </c>
      <c r="O1331" t="e">
        <f t="shared" ca="1" si="638"/>
        <v>#VALUE!</v>
      </c>
      <c r="P1331" t="e">
        <f t="shared" ca="1" si="639"/>
        <v>#VALUE!</v>
      </c>
      <c r="Q1331" t="e">
        <f t="shared" ca="1" si="640"/>
        <v>#VALUE!</v>
      </c>
      <c r="R1331" t="e">
        <f t="shared" ca="1" si="641"/>
        <v>#VALUE!</v>
      </c>
      <c r="S1331" t="e">
        <f t="shared" ca="1" si="642"/>
        <v>#VALUE!</v>
      </c>
      <c r="T1331" t="e">
        <f t="shared" ca="1" si="643"/>
        <v>#VALUE!</v>
      </c>
      <c r="U1331" t="e">
        <f t="shared" ca="1" si="664"/>
        <v>#VALUE!</v>
      </c>
      <c r="V1331" t="e">
        <f t="shared" ca="1" si="665"/>
        <v>#VALUE!</v>
      </c>
      <c r="W1331" t="e">
        <f t="shared" ca="1" si="644"/>
        <v>#VALUE!</v>
      </c>
      <c r="X1331" t="e">
        <f t="shared" ca="1" si="645"/>
        <v>#VALUE!</v>
      </c>
      <c r="Y1331" t="e">
        <f t="shared" ca="1" si="646"/>
        <v>#VALUE!</v>
      </c>
      <c r="Z1331" t="e">
        <f t="shared" ca="1" si="647"/>
        <v>#VALUE!</v>
      </c>
      <c r="AA1331" t="e">
        <f t="shared" ca="1" si="648"/>
        <v>#VALUE!</v>
      </c>
      <c r="AB1331" t="e">
        <f t="shared" ca="1" si="649"/>
        <v>#VALUE!</v>
      </c>
      <c r="AC1331" t="e">
        <f t="shared" ca="1" si="650"/>
        <v>#VALUE!</v>
      </c>
      <c r="AD1331" t="e">
        <f t="shared" ca="1" si="651"/>
        <v>#VALUE!</v>
      </c>
      <c r="AE1331" t="e">
        <f t="shared" ca="1" si="652"/>
        <v>#VALUE!</v>
      </c>
      <c r="AF1331" t="e">
        <f t="shared" ca="1" si="653"/>
        <v>#VALUE!</v>
      </c>
      <c r="AG1331" t="e">
        <f t="shared" ca="1" si="654"/>
        <v>#VALUE!</v>
      </c>
      <c r="AH1331" t="e">
        <f ca="1">IF(V32="Supercritical",L1331,IF(V32="Subcritical",W1331,IF(AND(V1331=1,AG1331=1),IF(T1331&gt;=AE1331,L1331,W1331),IF(V1331=1,L1331,IF(AG1331=1,W1331,MAX($D$16,POWER((ABS(K1331)^2)/($I$5*MAX(F1331,0.1)^2),1/3)))))))</f>
        <v>#VALUE!</v>
      </c>
      <c r="AI1331" t="e">
        <f t="shared" ca="1" si="655"/>
        <v>#VALUE!</v>
      </c>
      <c r="AJ1331" t="e">
        <f t="shared" ca="1" si="656"/>
        <v>#VALUE!</v>
      </c>
      <c r="AM1331">
        <v>0</v>
      </c>
      <c r="AN1331">
        <v>0</v>
      </c>
      <c r="AO1331">
        <f t="shared" si="657"/>
        <v>0</v>
      </c>
      <c r="AP1331">
        <f t="shared" si="666"/>
        <v>0</v>
      </c>
      <c r="AQ1331" t="e">
        <f t="shared" ca="1" si="658"/>
        <v>#VALUE!</v>
      </c>
      <c r="AR1331" t="e">
        <f t="shared" ca="1" si="659"/>
        <v>#VALUE!</v>
      </c>
      <c r="AS1331" t="e">
        <f t="shared" ca="1" si="660"/>
        <v>#VALUE!</v>
      </c>
    </row>
    <row r="1332" spans="1:45" x14ac:dyDescent="0.35">
      <c r="A1332">
        <v>1183</v>
      </c>
      <c r="B1332">
        <v>1181.8900000000001</v>
      </c>
      <c r="C1332">
        <v>616073.47499999998</v>
      </c>
      <c r="D1332">
        <v>3096822.2110000001</v>
      </c>
      <c r="E1332">
        <v>631.971</v>
      </c>
      <c r="F1332">
        <v>5.2</v>
      </c>
      <c r="G1332">
        <v>0</v>
      </c>
      <c r="H1332" t="s">
        <v>191</v>
      </c>
      <c r="I1332">
        <v>0</v>
      </c>
      <c r="J1332">
        <f t="shared" si="661"/>
        <v>1</v>
      </c>
      <c r="K1332">
        <f t="shared" si="662"/>
        <v>51</v>
      </c>
      <c r="L1332" t="e">
        <f t="shared" ca="1" si="663"/>
        <v>#VALUE!</v>
      </c>
      <c r="M1332" t="e">
        <f t="shared" ca="1" si="636"/>
        <v>#VALUE!</v>
      </c>
      <c r="N1332" t="e">
        <f t="shared" ca="1" si="637"/>
        <v>#VALUE!</v>
      </c>
      <c r="O1332" t="e">
        <f t="shared" ca="1" si="638"/>
        <v>#VALUE!</v>
      </c>
      <c r="P1332" t="e">
        <f t="shared" ca="1" si="639"/>
        <v>#VALUE!</v>
      </c>
      <c r="Q1332" t="e">
        <f t="shared" ca="1" si="640"/>
        <v>#VALUE!</v>
      </c>
      <c r="R1332" t="e">
        <f t="shared" ca="1" si="641"/>
        <v>#VALUE!</v>
      </c>
      <c r="S1332" t="e">
        <f t="shared" ca="1" si="642"/>
        <v>#VALUE!</v>
      </c>
      <c r="T1332" t="e">
        <f t="shared" ca="1" si="643"/>
        <v>#VALUE!</v>
      </c>
      <c r="U1332" t="e">
        <f t="shared" ca="1" si="664"/>
        <v>#VALUE!</v>
      </c>
      <c r="V1332" t="e">
        <f t="shared" ca="1" si="665"/>
        <v>#VALUE!</v>
      </c>
      <c r="W1332" t="e">
        <f t="shared" ca="1" si="644"/>
        <v>#VALUE!</v>
      </c>
      <c r="X1332" t="e">
        <f t="shared" ca="1" si="645"/>
        <v>#VALUE!</v>
      </c>
      <c r="Y1332" t="e">
        <f t="shared" ca="1" si="646"/>
        <v>#VALUE!</v>
      </c>
      <c r="Z1332" t="e">
        <f t="shared" ca="1" si="647"/>
        <v>#VALUE!</v>
      </c>
      <c r="AA1332" t="e">
        <f t="shared" ca="1" si="648"/>
        <v>#VALUE!</v>
      </c>
      <c r="AB1332" t="e">
        <f t="shared" ca="1" si="649"/>
        <v>#VALUE!</v>
      </c>
      <c r="AC1332" t="e">
        <f t="shared" ca="1" si="650"/>
        <v>#VALUE!</v>
      </c>
      <c r="AD1332" t="e">
        <f t="shared" ca="1" si="651"/>
        <v>#VALUE!</v>
      </c>
      <c r="AE1332" t="e">
        <f t="shared" ca="1" si="652"/>
        <v>#VALUE!</v>
      </c>
      <c r="AF1332" t="e">
        <f t="shared" ca="1" si="653"/>
        <v>#VALUE!</v>
      </c>
      <c r="AG1332" t="e">
        <f t="shared" ca="1" si="654"/>
        <v>#VALUE!</v>
      </c>
      <c r="AH1332" t="e">
        <f ca="1">IF(V32="Supercritical",L1332,IF(V32="Subcritical",W1332,IF(AND(V1332=1,AG1332=1),IF(T1332&gt;=AE1332,L1332,W1332),IF(V1332=1,L1332,IF(AG1332=1,W1332,MAX($D$16,POWER((ABS(K1332)^2)/($I$5*MAX(F1332,0.1)^2),1/3)))))))</f>
        <v>#VALUE!</v>
      </c>
      <c r="AI1332" t="e">
        <f t="shared" ca="1" si="655"/>
        <v>#VALUE!</v>
      </c>
      <c r="AJ1332" t="e">
        <f t="shared" ca="1" si="656"/>
        <v>#VALUE!</v>
      </c>
      <c r="AM1332">
        <v>0</v>
      </c>
      <c r="AN1332">
        <v>0</v>
      </c>
      <c r="AO1332">
        <f t="shared" si="657"/>
        <v>0</v>
      </c>
      <c r="AP1332">
        <f t="shared" si="666"/>
        <v>0</v>
      </c>
      <c r="AQ1332" t="e">
        <f t="shared" ca="1" si="658"/>
        <v>#VALUE!</v>
      </c>
      <c r="AR1332" t="e">
        <f t="shared" ca="1" si="659"/>
        <v>#VALUE!</v>
      </c>
      <c r="AS1332" t="e">
        <f t="shared" ca="1" si="660"/>
        <v>#VALUE!</v>
      </c>
    </row>
    <row r="1333" spans="1:45" x14ac:dyDescent="0.35">
      <c r="A1333">
        <v>1184</v>
      </c>
      <c r="B1333">
        <v>1182.8889999999999</v>
      </c>
      <c r="C1333">
        <v>616073.43299999996</v>
      </c>
      <c r="D1333">
        <v>3096821.2119999998</v>
      </c>
      <c r="E1333">
        <v>631.97050000000002</v>
      </c>
      <c r="F1333">
        <v>5.2</v>
      </c>
      <c r="G1333">
        <v>0</v>
      </c>
      <c r="H1333" t="s">
        <v>191</v>
      </c>
      <c r="I1333">
        <v>5.7000000000000002E-2</v>
      </c>
      <c r="J1333">
        <f t="shared" si="661"/>
        <v>0.99899999999979627</v>
      </c>
      <c r="K1333">
        <f t="shared" si="662"/>
        <v>51</v>
      </c>
      <c r="L1333" t="e">
        <f t="shared" ca="1" si="663"/>
        <v>#VALUE!</v>
      </c>
      <c r="M1333" t="e">
        <f t="shared" ca="1" si="636"/>
        <v>#VALUE!</v>
      </c>
      <c r="N1333" t="e">
        <f t="shared" ca="1" si="637"/>
        <v>#VALUE!</v>
      </c>
      <c r="O1333" t="e">
        <f t="shared" ca="1" si="638"/>
        <v>#VALUE!</v>
      </c>
      <c r="P1333" t="e">
        <f t="shared" ca="1" si="639"/>
        <v>#VALUE!</v>
      </c>
      <c r="Q1333" t="e">
        <f t="shared" ca="1" si="640"/>
        <v>#VALUE!</v>
      </c>
      <c r="R1333" t="e">
        <f t="shared" ca="1" si="641"/>
        <v>#VALUE!</v>
      </c>
      <c r="S1333" t="e">
        <f t="shared" ca="1" si="642"/>
        <v>#VALUE!</v>
      </c>
      <c r="T1333" t="e">
        <f t="shared" ca="1" si="643"/>
        <v>#VALUE!</v>
      </c>
      <c r="U1333" t="e">
        <f t="shared" ca="1" si="664"/>
        <v>#VALUE!</v>
      </c>
      <c r="V1333" t="e">
        <f t="shared" ca="1" si="665"/>
        <v>#VALUE!</v>
      </c>
      <c r="W1333" t="e">
        <f t="shared" ca="1" si="644"/>
        <v>#VALUE!</v>
      </c>
      <c r="X1333" t="e">
        <f t="shared" ca="1" si="645"/>
        <v>#VALUE!</v>
      </c>
      <c r="Y1333" t="e">
        <f t="shared" ca="1" si="646"/>
        <v>#VALUE!</v>
      </c>
      <c r="Z1333" t="e">
        <f t="shared" ca="1" si="647"/>
        <v>#VALUE!</v>
      </c>
      <c r="AA1333" t="e">
        <f t="shared" ca="1" si="648"/>
        <v>#VALUE!</v>
      </c>
      <c r="AB1333" t="e">
        <f t="shared" ca="1" si="649"/>
        <v>#VALUE!</v>
      </c>
      <c r="AC1333" t="e">
        <f t="shared" ca="1" si="650"/>
        <v>#VALUE!</v>
      </c>
      <c r="AD1333" t="e">
        <f t="shared" ca="1" si="651"/>
        <v>#VALUE!</v>
      </c>
      <c r="AE1333" t="e">
        <f t="shared" ca="1" si="652"/>
        <v>#VALUE!</v>
      </c>
      <c r="AF1333" t="e">
        <f t="shared" ca="1" si="653"/>
        <v>#VALUE!</v>
      </c>
      <c r="AG1333" t="e">
        <f t="shared" ca="1" si="654"/>
        <v>#VALUE!</v>
      </c>
      <c r="AH1333" t="e">
        <f ca="1">IF(V32="Supercritical",L1333,IF(V32="Subcritical",W1333,IF(AND(V1333=1,AG1333=1),IF(T1333&gt;=AE1333,L1333,W1333),IF(V1333=1,L1333,IF(AG1333=1,W1333,MAX($D$16,POWER((ABS(K1333)^2)/($I$5*MAX(F1333,0.1)^2),1/3)))))))</f>
        <v>#VALUE!</v>
      </c>
      <c r="AI1333" t="e">
        <f t="shared" ca="1" si="655"/>
        <v>#VALUE!</v>
      </c>
      <c r="AJ1333" t="e">
        <f t="shared" ca="1" si="656"/>
        <v>#VALUE!</v>
      </c>
      <c r="AM1333">
        <v>0</v>
      </c>
      <c r="AN1333">
        <v>0</v>
      </c>
      <c r="AO1333">
        <f t="shared" si="657"/>
        <v>0</v>
      </c>
      <c r="AP1333">
        <f t="shared" si="666"/>
        <v>0</v>
      </c>
      <c r="AQ1333" t="e">
        <f t="shared" ca="1" si="658"/>
        <v>#VALUE!</v>
      </c>
      <c r="AR1333" t="e">
        <f t="shared" ca="1" si="659"/>
        <v>#VALUE!</v>
      </c>
      <c r="AS1333" t="e">
        <f t="shared" ca="1" si="660"/>
        <v>#VALUE!</v>
      </c>
    </row>
    <row r="1334" spans="1:45" x14ac:dyDescent="0.35">
      <c r="A1334">
        <v>1185</v>
      </c>
      <c r="B1334">
        <v>1183.8889999999999</v>
      </c>
      <c r="C1334">
        <v>616073.39</v>
      </c>
      <c r="D1334">
        <v>3096820.213</v>
      </c>
      <c r="E1334">
        <v>631.97</v>
      </c>
      <c r="F1334">
        <v>5.2</v>
      </c>
      <c r="G1334">
        <v>0</v>
      </c>
      <c r="H1334" t="s">
        <v>191</v>
      </c>
      <c r="I1334">
        <v>5.7000000000000002E-2</v>
      </c>
      <c r="J1334">
        <f t="shared" si="661"/>
        <v>1</v>
      </c>
      <c r="K1334">
        <f t="shared" si="662"/>
        <v>51</v>
      </c>
      <c r="L1334" t="e">
        <f t="shared" ca="1" si="663"/>
        <v>#VALUE!</v>
      </c>
      <c r="M1334" t="e">
        <f t="shared" ca="1" si="636"/>
        <v>#VALUE!</v>
      </c>
      <c r="N1334" t="e">
        <f t="shared" ca="1" si="637"/>
        <v>#VALUE!</v>
      </c>
      <c r="O1334" t="e">
        <f t="shared" ca="1" si="638"/>
        <v>#VALUE!</v>
      </c>
      <c r="P1334" t="e">
        <f t="shared" ca="1" si="639"/>
        <v>#VALUE!</v>
      </c>
      <c r="Q1334" t="e">
        <f t="shared" ca="1" si="640"/>
        <v>#VALUE!</v>
      </c>
      <c r="R1334" t="e">
        <f t="shared" ca="1" si="641"/>
        <v>#VALUE!</v>
      </c>
      <c r="S1334" t="e">
        <f t="shared" ca="1" si="642"/>
        <v>#VALUE!</v>
      </c>
      <c r="T1334" t="e">
        <f t="shared" ca="1" si="643"/>
        <v>#VALUE!</v>
      </c>
      <c r="U1334" t="e">
        <f t="shared" ca="1" si="664"/>
        <v>#VALUE!</v>
      </c>
      <c r="V1334" t="e">
        <f t="shared" ca="1" si="665"/>
        <v>#VALUE!</v>
      </c>
      <c r="W1334" t="e">
        <f t="shared" ca="1" si="644"/>
        <v>#VALUE!</v>
      </c>
      <c r="X1334" t="e">
        <f t="shared" ca="1" si="645"/>
        <v>#VALUE!</v>
      </c>
      <c r="Y1334" t="e">
        <f t="shared" ca="1" si="646"/>
        <v>#VALUE!</v>
      </c>
      <c r="Z1334" t="e">
        <f t="shared" ca="1" si="647"/>
        <v>#VALUE!</v>
      </c>
      <c r="AA1334" t="e">
        <f t="shared" ca="1" si="648"/>
        <v>#VALUE!</v>
      </c>
      <c r="AB1334" t="e">
        <f t="shared" ca="1" si="649"/>
        <v>#VALUE!</v>
      </c>
      <c r="AC1334" t="e">
        <f t="shared" ca="1" si="650"/>
        <v>#VALUE!</v>
      </c>
      <c r="AD1334" t="e">
        <f t="shared" ca="1" si="651"/>
        <v>#VALUE!</v>
      </c>
      <c r="AE1334" t="e">
        <f t="shared" ca="1" si="652"/>
        <v>#VALUE!</v>
      </c>
      <c r="AF1334" t="e">
        <f t="shared" ca="1" si="653"/>
        <v>#VALUE!</v>
      </c>
      <c r="AG1334" t="e">
        <f t="shared" ca="1" si="654"/>
        <v>#VALUE!</v>
      </c>
      <c r="AH1334" t="e">
        <f ca="1">IF(V32="Supercritical",L1334,IF(V32="Subcritical",W1334,IF(AND(V1334=1,AG1334=1),IF(T1334&gt;=AE1334,L1334,W1334),IF(V1334=1,L1334,IF(AG1334=1,W1334,MAX($D$16,POWER((ABS(K1334)^2)/($I$5*MAX(F1334,0.1)^2),1/3)))))))</f>
        <v>#VALUE!</v>
      </c>
      <c r="AI1334" t="e">
        <f t="shared" ca="1" si="655"/>
        <v>#VALUE!</v>
      </c>
      <c r="AJ1334" t="e">
        <f t="shared" ca="1" si="656"/>
        <v>#VALUE!</v>
      </c>
      <c r="AM1334">
        <v>0</v>
      </c>
      <c r="AN1334">
        <v>0</v>
      </c>
      <c r="AO1334">
        <f t="shared" si="657"/>
        <v>0</v>
      </c>
      <c r="AP1334">
        <f t="shared" si="666"/>
        <v>0</v>
      </c>
      <c r="AQ1334" t="e">
        <f t="shared" ca="1" si="658"/>
        <v>#VALUE!</v>
      </c>
      <c r="AR1334" t="e">
        <f t="shared" ca="1" si="659"/>
        <v>#VALUE!</v>
      </c>
      <c r="AS1334" t="e">
        <f t="shared" ca="1" si="660"/>
        <v>#VALUE!</v>
      </c>
    </row>
    <row r="1335" spans="1:45" x14ac:dyDescent="0.35">
      <c r="A1335">
        <v>1186</v>
      </c>
      <c r="B1335">
        <v>1184.8889999999999</v>
      </c>
      <c r="C1335">
        <v>616073.348</v>
      </c>
      <c r="D1335">
        <v>3096819.2140000002</v>
      </c>
      <c r="E1335">
        <v>631.96950000000004</v>
      </c>
      <c r="F1335">
        <v>5.2</v>
      </c>
      <c r="G1335">
        <v>0</v>
      </c>
      <c r="H1335" t="s">
        <v>191</v>
      </c>
      <c r="I1335">
        <v>0</v>
      </c>
      <c r="J1335">
        <f t="shared" si="661"/>
        <v>1</v>
      </c>
      <c r="K1335">
        <f t="shared" si="662"/>
        <v>51</v>
      </c>
      <c r="L1335" t="e">
        <f t="shared" ca="1" si="663"/>
        <v>#VALUE!</v>
      </c>
      <c r="M1335" t="e">
        <f t="shared" ca="1" si="636"/>
        <v>#VALUE!</v>
      </c>
      <c r="N1335" t="e">
        <f t="shared" ca="1" si="637"/>
        <v>#VALUE!</v>
      </c>
      <c r="O1335" t="e">
        <f t="shared" ca="1" si="638"/>
        <v>#VALUE!</v>
      </c>
      <c r="P1335" t="e">
        <f t="shared" ca="1" si="639"/>
        <v>#VALUE!</v>
      </c>
      <c r="Q1335" t="e">
        <f t="shared" ca="1" si="640"/>
        <v>#VALUE!</v>
      </c>
      <c r="R1335" t="e">
        <f t="shared" ca="1" si="641"/>
        <v>#VALUE!</v>
      </c>
      <c r="S1335" t="e">
        <f t="shared" ca="1" si="642"/>
        <v>#VALUE!</v>
      </c>
      <c r="T1335" t="e">
        <f t="shared" ca="1" si="643"/>
        <v>#VALUE!</v>
      </c>
      <c r="U1335" t="e">
        <f t="shared" ca="1" si="664"/>
        <v>#VALUE!</v>
      </c>
      <c r="V1335" t="e">
        <f t="shared" ca="1" si="665"/>
        <v>#VALUE!</v>
      </c>
      <c r="W1335" t="e">
        <f t="shared" ca="1" si="644"/>
        <v>#VALUE!</v>
      </c>
      <c r="X1335" t="e">
        <f t="shared" ca="1" si="645"/>
        <v>#VALUE!</v>
      </c>
      <c r="Y1335" t="e">
        <f t="shared" ca="1" si="646"/>
        <v>#VALUE!</v>
      </c>
      <c r="Z1335" t="e">
        <f t="shared" ca="1" si="647"/>
        <v>#VALUE!</v>
      </c>
      <c r="AA1335" t="e">
        <f t="shared" ca="1" si="648"/>
        <v>#VALUE!</v>
      </c>
      <c r="AB1335" t="e">
        <f t="shared" ca="1" si="649"/>
        <v>#VALUE!</v>
      </c>
      <c r="AC1335" t="e">
        <f t="shared" ca="1" si="650"/>
        <v>#VALUE!</v>
      </c>
      <c r="AD1335" t="e">
        <f t="shared" ca="1" si="651"/>
        <v>#VALUE!</v>
      </c>
      <c r="AE1335" t="e">
        <f t="shared" ca="1" si="652"/>
        <v>#VALUE!</v>
      </c>
      <c r="AF1335" t="e">
        <f t="shared" ca="1" si="653"/>
        <v>#VALUE!</v>
      </c>
      <c r="AG1335" t="e">
        <f t="shared" ca="1" si="654"/>
        <v>#VALUE!</v>
      </c>
      <c r="AH1335" t="e">
        <f ca="1">IF(V32="Supercritical",L1335,IF(V32="Subcritical",W1335,IF(AND(V1335=1,AG1335=1),IF(T1335&gt;=AE1335,L1335,W1335),IF(V1335=1,L1335,IF(AG1335=1,W1335,MAX($D$16,POWER((ABS(K1335)^2)/($I$5*MAX(F1335,0.1)^2),1/3)))))))</f>
        <v>#VALUE!</v>
      </c>
      <c r="AI1335" t="e">
        <f t="shared" ca="1" si="655"/>
        <v>#VALUE!</v>
      </c>
      <c r="AJ1335" t="e">
        <f t="shared" ca="1" si="656"/>
        <v>#VALUE!</v>
      </c>
      <c r="AM1335">
        <v>0</v>
      </c>
      <c r="AN1335">
        <v>0</v>
      </c>
      <c r="AO1335">
        <f t="shared" si="657"/>
        <v>0</v>
      </c>
      <c r="AP1335">
        <f t="shared" si="666"/>
        <v>0</v>
      </c>
      <c r="AQ1335" t="e">
        <f t="shared" ca="1" si="658"/>
        <v>#VALUE!</v>
      </c>
      <c r="AR1335" t="e">
        <f t="shared" ca="1" si="659"/>
        <v>#VALUE!</v>
      </c>
      <c r="AS1335" t="e">
        <f t="shared" ca="1" si="660"/>
        <v>#VALUE!</v>
      </c>
    </row>
    <row r="1336" spans="1:45" x14ac:dyDescent="0.35">
      <c r="A1336">
        <v>1187</v>
      </c>
      <c r="B1336">
        <v>1185.8889999999999</v>
      </c>
      <c r="C1336">
        <v>616073.30599999998</v>
      </c>
      <c r="D1336">
        <v>3096818.2149999999</v>
      </c>
      <c r="E1336">
        <v>631.96900000000005</v>
      </c>
      <c r="F1336">
        <v>5.2</v>
      </c>
      <c r="G1336">
        <v>0</v>
      </c>
      <c r="H1336" t="s">
        <v>191</v>
      </c>
      <c r="I1336">
        <v>0</v>
      </c>
      <c r="J1336">
        <f t="shared" si="661"/>
        <v>1</v>
      </c>
      <c r="K1336">
        <f t="shared" si="662"/>
        <v>51</v>
      </c>
      <c r="L1336" t="e">
        <f t="shared" ca="1" si="663"/>
        <v>#VALUE!</v>
      </c>
      <c r="M1336" t="e">
        <f t="shared" ca="1" si="636"/>
        <v>#VALUE!</v>
      </c>
      <c r="N1336" t="e">
        <f t="shared" ca="1" si="637"/>
        <v>#VALUE!</v>
      </c>
      <c r="O1336" t="e">
        <f t="shared" ca="1" si="638"/>
        <v>#VALUE!</v>
      </c>
      <c r="P1336" t="e">
        <f t="shared" ca="1" si="639"/>
        <v>#VALUE!</v>
      </c>
      <c r="Q1336" t="e">
        <f t="shared" ca="1" si="640"/>
        <v>#VALUE!</v>
      </c>
      <c r="R1336" t="e">
        <f t="shared" ca="1" si="641"/>
        <v>#VALUE!</v>
      </c>
      <c r="S1336" t="e">
        <f t="shared" ca="1" si="642"/>
        <v>#VALUE!</v>
      </c>
      <c r="T1336" t="e">
        <f t="shared" ca="1" si="643"/>
        <v>#VALUE!</v>
      </c>
      <c r="U1336" t="e">
        <f t="shared" ca="1" si="664"/>
        <v>#VALUE!</v>
      </c>
      <c r="V1336" t="e">
        <f t="shared" ca="1" si="665"/>
        <v>#VALUE!</v>
      </c>
      <c r="W1336" t="e">
        <f t="shared" ca="1" si="644"/>
        <v>#VALUE!</v>
      </c>
      <c r="X1336" t="e">
        <f t="shared" ca="1" si="645"/>
        <v>#VALUE!</v>
      </c>
      <c r="Y1336" t="e">
        <f t="shared" ca="1" si="646"/>
        <v>#VALUE!</v>
      </c>
      <c r="Z1336" t="e">
        <f t="shared" ca="1" si="647"/>
        <v>#VALUE!</v>
      </c>
      <c r="AA1336" t="e">
        <f t="shared" ca="1" si="648"/>
        <v>#VALUE!</v>
      </c>
      <c r="AB1336" t="e">
        <f t="shared" ca="1" si="649"/>
        <v>#VALUE!</v>
      </c>
      <c r="AC1336" t="e">
        <f t="shared" ca="1" si="650"/>
        <v>#VALUE!</v>
      </c>
      <c r="AD1336" t="e">
        <f t="shared" ca="1" si="651"/>
        <v>#VALUE!</v>
      </c>
      <c r="AE1336" t="e">
        <f t="shared" ca="1" si="652"/>
        <v>#VALUE!</v>
      </c>
      <c r="AF1336" t="e">
        <f t="shared" ca="1" si="653"/>
        <v>#VALUE!</v>
      </c>
      <c r="AG1336" t="e">
        <f t="shared" ca="1" si="654"/>
        <v>#VALUE!</v>
      </c>
      <c r="AH1336" t="e">
        <f ca="1">IF(V32="Supercritical",L1336,IF(V32="Subcritical",W1336,IF(AND(V1336=1,AG1336=1),IF(T1336&gt;=AE1336,L1336,W1336),IF(V1336=1,L1336,IF(AG1336=1,W1336,MAX($D$16,POWER((ABS(K1336)^2)/($I$5*MAX(F1336,0.1)^2),1/3)))))))</f>
        <v>#VALUE!</v>
      </c>
      <c r="AI1336" t="e">
        <f t="shared" ca="1" si="655"/>
        <v>#VALUE!</v>
      </c>
      <c r="AJ1336" t="e">
        <f t="shared" ca="1" si="656"/>
        <v>#VALUE!</v>
      </c>
      <c r="AM1336">
        <v>0</v>
      </c>
      <c r="AN1336">
        <v>0</v>
      </c>
      <c r="AO1336">
        <f t="shared" si="657"/>
        <v>0</v>
      </c>
      <c r="AP1336">
        <f t="shared" si="666"/>
        <v>0</v>
      </c>
      <c r="AQ1336" t="e">
        <f t="shared" ca="1" si="658"/>
        <v>#VALUE!</v>
      </c>
      <c r="AR1336" t="e">
        <f t="shared" ca="1" si="659"/>
        <v>#VALUE!</v>
      </c>
      <c r="AS1336" t="e">
        <f t="shared" ca="1" si="660"/>
        <v>#VALUE!</v>
      </c>
    </row>
    <row r="1337" spans="1:45" x14ac:dyDescent="0.35">
      <c r="A1337">
        <v>1188</v>
      </c>
      <c r="B1337">
        <v>1186.8889999999999</v>
      </c>
      <c r="C1337">
        <v>616073.26399999997</v>
      </c>
      <c r="D1337">
        <v>3096817.216</v>
      </c>
      <c r="E1337">
        <v>631.96849999999995</v>
      </c>
      <c r="F1337">
        <v>5.2</v>
      </c>
      <c r="G1337">
        <v>0</v>
      </c>
      <c r="H1337" t="s">
        <v>191</v>
      </c>
      <c r="I1337">
        <v>5.7000000000000002E-2</v>
      </c>
      <c r="J1337">
        <f t="shared" si="661"/>
        <v>1</v>
      </c>
      <c r="K1337">
        <f t="shared" si="662"/>
        <v>51</v>
      </c>
      <c r="L1337" t="e">
        <f t="shared" ca="1" si="663"/>
        <v>#VALUE!</v>
      </c>
      <c r="M1337" t="e">
        <f t="shared" ca="1" si="636"/>
        <v>#VALUE!</v>
      </c>
      <c r="N1337" t="e">
        <f t="shared" ca="1" si="637"/>
        <v>#VALUE!</v>
      </c>
      <c r="O1337" t="e">
        <f t="shared" ca="1" si="638"/>
        <v>#VALUE!</v>
      </c>
      <c r="P1337" t="e">
        <f t="shared" ca="1" si="639"/>
        <v>#VALUE!</v>
      </c>
      <c r="Q1337" t="e">
        <f t="shared" ca="1" si="640"/>
        <v>#VALUE!</v>
      </c>
      <c r="R1337" t="e">
        <f t="shared" ca="1" si="641"/>
        <v>#VALUE!</v>
      </c>
      <c r="S1337" t="e">
        <f t="shared" ca="1" si="642"/>
        <v>#VALUE!</v>
      </c>
      <c r="T1337" t="e">
        <f t="shared" ca="1" si="643"/>
        <v>#VALUE!</v>
      </c>
      <c r="U1337" t="e">
        <f t="shared" ca="1" si="664"/>
        <v>#VALUE!</v>
      </c>
      <c r="V1337" t="e">
        <f t="shared" ca="1" si="665"/>
        <v>#VALUE!</v>
      </c>
      <c r="W1337" t="e">
        <f t="shared" ca="1" si="644"/>
        <v>#VALUE!</v>
      </c>
      <c r="X1337" t="e">
        <f t="shared" ca="1" si="645"/>
        <v>#VALUE!</v>
      </c>
      <c r="Y1337" t="e">
        <f t="shared" ca="1" si="646"/>
        <v>#VALUE!</v>
      </c>
      <c r="Z1337" t="e">
        <f t="shared" ca="1" si="647"/>
        <v>#VALUE!</v>
      </c>
      <c r="AA1337" t="e">
        <f t="shared" ca="1" si="648"/>
        <v>#VALUE!</v>
      </c>
      <c r="AB1337" t="e">
        <f t="shared" ca="1" si="649"/>
        <v>#VALUE!</v>
      </c>
      <c r="AC1337" t="e">
        <f t="shared" ca="1" si="650"/>
        <v>#VALUE!</v>
      </c>
      <c r="AD1337" t="e">
        <f t="shared" ca="1" si="651"/>
        <v>#VALUE!</v>
      </c>
      <c r="AE1337" t="e">
        <f t="shared" ca="1" si="652"/>
        <v>#VALUE!</v>
      </c>
      <c r="AF1337" t="e">
        <f t="shared" ca="1" si="653"/>
        <v>#VALUE!</v>
      </c>
      <c r="AG1337" t="e">
        <f t="shared" ca="1" si="654"/>
        <v>#VALUE!</v>
      </c>
      <c r="AH1337" t="e">
        <f ca="1">IF(V32="Supercritical",L1337,IF(V32="Subcritical",W1337,IF(AND(V1337=1,AG1337=1),IF(T1337&gt;=AE1337,L1337,W1337),IF(V1337=1,L1337,IF(AG1337=1,W1337,MAX($D$16,POWER((ABS(K1337)^2)/($I$5*MAX(F1337,0.1)^2),1/3)))))))</f>
        <v>#VALUE!</v>
      </c>
      <c r="AI1337" t="e">
        <f t="shared" ca="1" si="655"/>
        <v>#VALUE!</v>
      </c>
      <c r="AJ1337" t="e">
        <f t="shared" ca="1" si="656"/>
        <v>#VALUE!</v>
      </c>
      <c r="AM1337">
        <v>0</v>
      </c>
      <c r="AN1337">
        <v>0</v>
      </c>
      <c r="AO1337">
        <f t="shared" si="657"/>
        <v>0</v>
      </c>
      <c r="AP1337">
        <f t="shared" si="666"/>
        <v>0</v>
      </c>
      <c r="AQ1337" t="e">
        <f t="shared" ca="1" si="658"/>
        <v>#VALUE!</v>
      </c>
      <c r="AR1337" t="e">
        <f t="shared" ca="1" si="659"/>
        <v>#VALUE!</v>
      </c>
      <c r="AS1337" t="e">
        <f t="shared" ca="1" si="660"/>
        <v>#VALUE!</v>
      </c>
    </row>
    <row r="1338" spans="1:45" x14ac:dyDescent="0.35">
      <c r="A1338">
        <v>1189</v>
      </c>
      <c r="B1338">
        <v>1187.8889999999999</v>
      </c>
      <c r="C1338">
        <v>616073.22100000002</v>
      </c>
      <c r="D1338">
        <v>3096816.2170000002</v>
      </c>
      <c r="E1338">
        <v>631.96799999999996</v>
      </c>
      <c r="F1338">
        <v>5.2</v>
      </c>
      <c r="G1338">
        <v>0</v>
      </c>
      <c r="H1338" t="s">
        <v>191</v>
      </c>
      <c r="I1338">
        <v>5.7000000000000002E-2</v>
      </c>
      <c r="J1338">
        <f t="shared" si="661"/>
        <v>1</v>
      </c>
      <c r="K1338">
        <f t="shared" si="662"/>
        <v>51</v>
      </c>
      <c r="L1338" t="e">
        <f t="shared" ca="1" si="663"/>
        <v>#VALUE!</v>
      </c>
      <c r="M1338" t="e">
        <f t="shared" ca="1" si="636"/>
        <v>#VALUE!</v>
      </c>
      <c r="N1338" t="e">
        <f t="shared" ca="1" si="637"/>
        <v>#VALUE!</v>
      </c>
      <c r="O1338" t="e">
        <f t="shared" ca="1" si="638"/>
        <v>#VALUE!</v>
      </c>
      <c r="P1338" t="e">
        <f t="shared" ca="1" si="639"/>
        <v>#VALUE!</v>
      </c>
      <c r="Q1338" t="e">
        <f t="shared" ca="1" si="640"/>
        <v>#VALUE!</v>
      </c>
      <c r="R1338" t="e">
        <f t="shared" ca="1" si="641"/>
        <v>#VALUE!</v>
      </c>
      <c r="S1338" t="e">
        <f t="shared" ca="1" si="642"/>
        <v>#VALUE!</v>
      </c>
      <c r="T1338" t="e">
        <f t="shared" ca="1" si="643"/>
        <v>#VALUE!</v>
      </c>
      <c r="U1338" t="e">
        <f t="shared" ca="1" si="664"/>
        <v>#VALUE!</v>
      </c>
      <c r="V1338" t="e">
        <f t="shared" ca="1" si="665"/>
        <v>#VALUE!</v>
      </c>
      <c r="W1338" t="e">
        <f t="shared" ca="1" si="644"/>
        <v>#VALUE!</v>
      </c>
      <c r="X1338" t="e">
        <f t="shared" ca="1" si="645"/>
        <v>#VALUE!</v>
      </c>
      <c r="Y1338" t="e">
        <f t="shared" ca="1" si="646"/>
        <v>#VALUE!</v>
      </c>
      <c r="Z1338" t="e">
        <f t="shared" ca="1" si="647"/>
        <v>#VALUE!</v>
      </c>
      <c r="AA1338" t="e">
        <f t="shared" ca="1" si="648"/>
        <v>#VALUE!</v>
      </c>
      <c r="AB1338" t="e">
        <f t="shared" ca="1" si="649"/>
        <v>#VALUE!</v>
      </c>
      <c r="AC1338" t="e">
        <f t="shared" ca="1" si="650"/>
        <v>#VALUE!</v>
      </c>
      <c r="AD1338" t="e">
        <f t="shared" ca="1" si="651"/>
        <v>#VALUE!</v>
      </c>
      <c r="AE1338" t="e">
        <f t="shared" ca="1" si="652"/>
        <v>#VALUE!</v>
      </c>
      <c r="AF1338" t="e">
        <f t="shared" ca="1" si="653"/>
        <v>#VALUE!</v>
      </c>
      <c r="AG1338" t="e">
        <f t="shared" ca="1" si="654"/>
        <v>#VALUE!</v>
      </c>
      <c r="AH1338" t="e">
        <f ca="1">IF(V32="Supercritical",L1338,IF(V32="Subcritical",W1338,IF(AND(V1338=1,AG1338=1),IF(T1338&gt;=AE1338,L1338,W1338),IF(V1338=1,L1338,IF(AG1338=1,W1338,MAX($D$16,POWER((ABS(K1338)^2)/($I$5*MAX(F1338,0.1)^2),1/3)))))))</f>
        <v>#VALUE!</v>
      </c>
      <c r="AI1338" t="e">
        <f t="shared" ca="1" si="655"/>
        <v>#VALUE!</v>
      </c>
      <c r="AJ1338" t="e">
        <f t="shared" ca="1" si="656"/>
        <v>#VALUE!</v>
      </c>
      <c r="AM1338">
        <v>0</v>
      </c>
      <c r="AN1338">
        <v>0</v>
      </c>
      <c r="AO1338">
        <f t="shared" si="657"/>
        <v>0</v>
      </c>
      <c r="AP1338">
        <f t="shared" si="666"/>
        <v>0</v>
      </c>
      <c r="AQ1338" t="e">
        <f t="shared" ca="1" si="658"/>
        <v>#VALUE!</v>
      </c>
      <c r="AR1338" t="e">
        <f t="shared" ca="1" si="659"/>
        <v>#VALUE!</v>
      </c>
      <c r="AS1338" t="e">
        <f t="shared" ca="1" si="660"/>
        <v>#VALUE!</v>
      </c>
    </row>
    <row r="1339" spans="1:45" x14ac:dyDescent="0.35">
      <c r="A1339">
        <v>1190</v>
      </c>
      <c r="B1339">
        <v>1188.8889999999999</v>
      </c>
      <c r="C1339">
        <v>616073.179</v>
      </c>
      <c r="D1339">
        <v>3096815.2179999999</v>
      </c>
      <c r="E1339">
        <v>631.96749999999997</v>
      </c>
      <c r="F1339">
        <v>5.2</v>
      </c>
      <c r="G1339">
        <v>0</v>
      </c>
      <c r="H1339" t="s">
        <v>191</v>
      </c>
      <c r="I1339">
        <v>2E-3</v>
      </c>
      <c r="J1339">
        <f t="shared" si="661"/>
        <v>1</v>
      </c>
      <c r="K1339">
        <f t="shared" si="662"/>
        <v>51</v>
      </c>
      <c r="L1339" t="e">
        <f t="shared" ca="1" si="663"/>
        <v>#VALUE!</v>
      </c>
      <c r="M1339" t="e">
        <f t="shared" ca="1" si="636"/>
        <v>#VALUE!</v>
      </c>
      <c r="N1339" t="e">
        <f t="shared" ca="1" si="637"/>
        <v>#VALUE!</v>
      </c>
      <c r="O1339" t="e">
        <f t="shared" ca="1" si="638"/>
        <v>#VALUE!</v>
      </c>
      <c r="P1339" t="e">
        <f t="shared" ca="1" si="639"/>
        <v>#VALUE!</v>
      </c>
      <c r="Q1339" t="e">
        <f t="shared" ca="1" si="640"/>
        <v>#VALUE!</v>
      </c>
      <c r="R1339" t="e">
        <f t="shared" ca="1" si="641"/>
        <v>#VALUE!</v>
      </c>
      <c r="S1339" t="e">
        <f t="shared" ca="1" si="642"/>
        <v>#VALUE!</v>
      </c>
      <c r="T1339" t="e">
        <f t="shared" ca="1" si="643"/>
        <v>#VALUE!</v>
      </c>
      <c r="U1339" t="e">
        <f t="shared" ca="1" si="664"/>
        <v>#VALUE!</v>
      </c>
      <c r="V1339" t="e">
        <f t="shared" ca="1" si="665"/>
        <v>#VALUE!</v>
      </c>
      <c r="W1339" t="e">
        <f t="shared" ca="1" si="644"/>
        <v>#VALUE!</v>
      </c>
      <c r="X1339" t="e">
        <f t="shared" ca="1" si="645"/>
        <v>#VALUE!</v>
      </c>
      <c r="Y1339" t="e">
        <f t="shared" ca="1" si="646"/>
        <v>#VALUE!</v>
      </c>
      <c r="Z1339" t="e">
        <f t="shared" ca="1" si="647"/>
        <v>#VALUE!</v>
      </c>
      <c r="AA1339" t="e">
        <f t="shared" ca="1" si="648"/>
        <v>#VALUE!</v>
      </c>
      <c r="AB1339" t="e">
        <f t="shared" ca="1" si="649"/>
        <v>#VALUE!</v>
      </c>
      <c r="AC1339" t="e">
        <f t="shared" ca="1" si="650"/>
        <v>#VALUE!</v>
      </c>
      <c r="AD1339" t="e">
        <f t="shared" ca="1" si="651"/>
        <v>#VALUE!</v>
      </c>
      <c r="AE1339" t="e">
        <f t="shared" ca="1" si="652"/>
        <v>#VALUE!</v>
      </c>
      <c r="AF1339" t="e">
        <f t="shared" ca="1" si="653"/>
        <v>#VALUE!</v>
      </c>
      <c r="AG1339" t="e">
        <f t="shared" ca="1" si="654"/>
        <v>#VALUE!</v>
      </c>
      <c r="AH1339" t="e">
        <f ca="1">IF(V32="Supercritical",L1339,IF(V32="Subcritical",W1339,IF(AND(V1339=1,AG1339=1),IF(T1339&gt;=AE1339,L1339,W1339),IF(V1339=1,L1339,IF(AG1339=1,W1339,MAX($D$16,POWER((ABS(K1339)^2)/($I$5*MAX(F1339,0.1)^2),1/3)))))))</f>
        <v>#VALUE!</v>
      </c>
      <c r="AI1339" t="e">
        <f t="shared" ca="1" si="655"/>
        <v>#VALUE!</v>
      </c>
      <c r="AJ1339" t="e">
        <f t="shared" ca="1" si="656"/>
        <v>#VALUE!</v>
      </c>
      <c r="AM1339">
        <v>0</v>
      </c>
      <c r="AN1339">
        <v>0</v>
      </c>
      <c r="AO1339">
        <f t="shared" si="657"/>
        <v>0</v>
      </c>
      <c r="AP1339">
        <f t="shared" si="666"/>
        <v>0</v>
      </c>
      <c r="AQ1339" t="e">
        <f t="shared" ca="1" si="658"/>
        <v>#VALUE!</v>
      </c>
      <c r="AR1339" t="e">
        <f t="shared" ca="1" si="659"/>
        <v>#VALUE!</v>
      </c>
      <c r="AS1339" t="e">
        <f t="shared" ca="1" si="660"/>
        <v>#VALUE!</v>
      </c>
    </row>
    <row r="1340" spans="1:45" x14ac:dyDescent="0.35">
      <c r="A1340">
        <v>1191</v>
      </c>
      <c r="B1340">
        <v>1189.8900000000001</v>
      </c>
      <c r="C1340">
        <v>616073.13699999999</v>
      </c>
      <c r="D1340">
        <v>3096814.2179999999</v>
      </c>
      <c r="E1340">
        <v>631.96699999999998</v>
      </c>
      <c r="F1340">
        <v>5.2</v>
      </c>
      <c r="G1340">
        <v>0</v>
      </c>
      <c r="H1340" t="s">
        <v>191</v>
      </c>
      <c r="I1340">
        <v>2E-3</v>
      </c>
      <c r="J1340">
        <f t="shared" si="661"/>
        <v>1.0010000000002037</v>
      </c>
      <c r="K1340">
        <f t="shared" si="662"/>
        <v>51</v>
      </c>
      <c r="L1340" t="e">
        <f t="shared" ca="1" si="663"/>
        <v>#VALUE!</v>
      </c>
      <c r="M1340" t="e">
        <f t="shared" ca="1" si="636"/>
        <v>#VALUE!</v>
      </c>
      <c r="N1340" t="e">
        <f t="shared" ca="1" si="637"/>
        <v>#VALUE!</v>
      </c>
      <c r="O1340" t="e">
        <f t="shared" ca="1" si="638"/>
        <v>#VALUE!</v>
      </c>
      <c r="P1340" t="e">
        <f t="shared" ca="1" si="639"/>
        <v>#VALUE!</v>
      </c>
      <c r="Q1340" t="e">
        <f t="shared" ca="1" si="640"/>
        <v>#VALUE!</v>
      </c>
      <c r="R1340" t="e">
        <f t="shared" ca="1" si="641"/>
        <v>#VALUE!</v>
      </c>
      <c r="S1340" t="e">
        <f t="shared" ca="1" si="642"/>
        <v>#VALUE!</v>
      </c>
      <c r="T1340" t="e">
        <f t="shared" ca="1" si="643"/>
        <v>#VALUE!</v>
      </c>
      <c r="U1340" t="e">
        <f t="shared" ca="1" si="664"/>
        <v>#VALUE!</v>
      </c>
      <c r="V1340" t="e">
        <f t="shared" ca="1" si="665"/>
        <v>#VALUE!</v>
      </c>
      <c r="W1340" t="e">
        <f t="shared" ca="1" si="644"/>
        <v>#VALUE!</v>
      </c>
      <c r="X1340" t="e">
        <f t="shared" ca="1" si="645"/>
        <v>#VALUE!</v>
      </c>
      <c r="Y1340" t="e">
        <f t="shared" ca="1" si="646"/>
        <v>#VALUE!</v>
      </c>
      <c r="Z1340" t="e">
        <f t="shared" ca="1" si="647"/>
        <v>#VALUE!</v>
      </c>
      <c r="AA1340" t="e">
        <f t="shared" ca="1" si="648"/>
        <v>#VALUE!</v>
      </c>
      <c r="AB1340" t="e">
        <f t="shared" ca="1" si="649"/>
        <v>#VALUE!</v>
      </c>
      <c r="AC1340" t="e">
        <f t="shared" ca="1" si="650"/>
        <v>#VALUE!</v>
      </c>
      <c r="AD1340" t="e">
        <f t="shared" ca="1" si="651"/>
        <v>#VALUE!</v>
      </c>
      <c r="AE1340" t="e">
        <f t="shared" ca="1" si="652"/>
        <v>#VALUE!</v>
      </c>
      <c r="AF1340" t="e">
        <f t="shared" ca="1" si="653"/>
        <v>#VALUE!</v>
      </c>
      <c r="AG1340" t="e">
        <f t="shared" ca="1" si="654"/>
        <v>#VALUE!</v>
      </c>
      <c r="AH1340" t="e">
        <f ca="1">IF(V32="Supercritical",L1340,IF(V32="Subcritical",W1340,IF(AND(V1340=1,AG1340=1),IF(T1340&gt;=AE1340,L1340,W1340),IF(V1340=1,L1340,IF(AG1340=1,W1340,MAX($D$16,POWER((ABS(K1340)^2)/($I$5*MAX(F1340,0.1)^2),1/3)))))))</f>
        <v>#VALUE!</v>
      </c>
      <c r="AI1340" t="e">
        <f t="shared" ca="1" si="655"/>
        <v>#VALUE!</v>
      </c>
      <c r="AJ1340" t="e">
        <f t="shared" ca="1" si="656"/>
        <v>#VALUE!</v>
      </c>
      <c r="AM1340">
        <v>0</v>
      </c>
      <c r="AN1340">
        <v>0</v>
      </c>
      <c r="AO1340">
        <f t="shared" si="657"/>
        <v>0</v>
      </c>
      <c r="AP1340">
        <f t="shared" si="666"/>
        <v>0</v>
      </c>
      <c r="AQ1340" t="e">
        <f t="shared" ca="1" si="658"/>
        <v>#VALUE!</v>
      </c>
      <c r="AR1340" t="e">
        <f t="shared" ca="1" si="659"/>
        <v>#VALUE!</v>
      </c>
      <c r="AS1340" t="e">
        <f t="shared" ca="1" si="660"/>
        <v>#VALUE!</v>
      </c>
    </row>
    <row r="1341" spans="1:45" x14ac:dyDescent="0.35">
      <c r="A1341">
        <v>1192</v>
      </c>
      <c r="B1341">
        <v>1190.8900000000001</v>
      </c>
      <c r="C1341">
        <v>616073.09499999997</v>
      </c>
      <c r="D1341">
        <v>3096813.219</v>
      </c>
      <c r="E1341">
        <v>631.9665</v>
      </c>
      <c r="F1341">
        <v>5.2</v>
      </c>
      <c r="G1341">
        <v>0</v>
      </c>
      <c r="H1341" t="s">
        <v>191</v>
      </c>
      <c r="I1341">
        <v>5.7000000000000002E-2</v>
      </c>
      <c r="J1341">
        <f t="shared" si="661"/>
        <v>1</v>
      </c>
      <c r="K1341">
        <f t="shared" si="662"/>
        <v>51</v>
      </c>
      <c r="L1341" t="e">
        <f t="shared" ca="1" si="663"/>
        <v>#VALUE!</v>
      </c>
      <c r="M1341" t="e">
        <f t="shared" ca="1" si="636"/>
        <v>#VALUE!</v>
      </c>
      <c r="N1341" t="e">
        <f t="shared" ca="1" si="637"/>
        <v>#VALUE!</v>
      </c>
      <c r="O1341" t="e">
        <f t="shared" ca="1" si="638"/>
        <v>#VALUE!</v>
      </c>
      <c r="P1341" t="e">
        <f t="shared" ca="1" si="639"/>
        <v>#VALUE!</v>
      </c>
      <c r="Q1341" t="e">
        <f t="shared" ca="1" si="640"/>
        <v>#VALUE!</v>
      </c>
      <c r="R1341" t="e">
        <f t="shared" ca="1" si="641"/>
        <v>#VALUE!</v>
      </c>
      <c r="S1341" t="e">
        <f t="shared" ca="1" si="642"/>
        <v>#VALUE!</v>
      </c>
      <c r="T1341" t="e">
        <f t="shared" ca="1" si="643"/>
        <v>#VALUE!</v>
      </c>
      <c r="U1341" t="e">
        <f t="shared" ca="1" si="664"/>
        <v>#VALUE!</v>
      </c>
      <c r="V1341" t="e">
        <f t="shared" ca="1" si="665"/>
        <v>#VALUE!</v>
      </c>
      <c r="W1341" t="e">
        <f t="shared" ca="1" si="644"/>
        <v>#VALUE!</v>
      </c>
      <c r="X1341" t="e">
        <f t="shared" ca="1" si="645"/>
        <v>#VALUE!</v>
      </c>
      <c r="Y1341" t="e">
        <f t="shared" ca="1" si="646"/>
        <v>#VALUE!</v>
      </c>
      <c r="Z1341" t="e">
        <f t="shared" ca="1" si="647"/>
        <v>#VALUE!</v>
      </c>
      <c r="AA1341" t="e">
        <f t="shared" ca="1" si="648"/>
        <v>#VALUE!</v>
      </c>
      <c r="AB1341" t="e">
        <f t="shared" ca="1" si="649"/>
        <v>#VALUE!</v>
      </c>
      <c r="AC1341" t="e">
        <f t="shared" ca="1" si="650"/>
        <v>#VALUE!</v>
      </c>
      <c r="AD1341" t="e">
        <f t="shared" ca="1" si="651"/>
        <v>#VALUE!</v>
      </c>
      <c r="AE1341" t="e">
        <f t="shared" ca="1" si="652"/>
        <v>#VALUE!</v>
      </c>
      <c r="AF1341" t="e">
        <f t="shared" ca="1" si="653"/>
        <v>#VALUE!</v>
      </c>
      <c r="AG1341" t="e">
        <f t="shared" ca="1" si="654"/>
        <v>#VALUE!</v>
      </c>
      <c r="AH1341" t="e">
        <f ca="1">IF(V32="Supercritical",L1341,IF(V32="Subcritical",W1341,IF(AND(V1341=1,AG1341=1),IF(T1341&gt;=AE1341,L1341,W1341),IF(V1341=1,L1341,IF(AG1341=1,W1341,MAX($D$16,POWER((ABS(K1341)^2)/($I$5*MAX(F1341,0.1)^2),1/3)))))))</f>
        <v>#VALUE!</v>
      </c>
      <c r="AI1341" t="e">
        <f t="shared" ca="1" si="655"/>
        <v>#VALUE!</v>
      </c>
      <c r="AJ1341" t="e">
        <f t="shared" ca="1" si="656"/>
        <v>#VALUE!</v>
      </c>
      <c r="AM1341">
        <v>0</v>
      </c>
      <c r="AN1341">
        <v>0</v>
      </c>
      <c r="AO1341">
        <f t="shared" si="657"/>
        <v>0</v>
      </c>
      <c r="AP1341">
        <f t="shared" si="666"/>
        <v>0</v>
      </c>
      <c r="AQ1341" t="e">
        <f t="shared" ca="1" si="658"/>
        <v>#VALUE!</v>
      </c>
      <c r="AR1341" t="e">
        <f t="shared" ca="1" si="659"/>
        <v>#VALUE!</v>
      </c>
      <c r="AS1341" t="e">
        <f t="shared" ca="1" si="660"/>
        <v>#VALUE!</v>
      </c>
    </row>
    <row r="1342" spans="1:45" x14ac:dyDescent="0.35">
      <c r="A1342">
        <v>1193</v>
      </c>
      <c r="B1342">
        <v>1191.8900000000001</v>
      </c>
      <c r="C1342">
        <v>616073.05200000003</v>
      </c>
      <c r="D1342">
        <v>3096812.22</v>
      </c>
      <c r="E1342">
        <v>631.96600000000001</v>
      </c>
      <c r="F1342">
        <v>5.2</v>
      </c>
      <c r="G1342">
        <v>0</v>
      </c>
      <c r="H1342" t="s">
        <v>191</v>
      </c>
      <c r="I1342">
        <v>5.7000000000000002E-2</v>
      </c>
      <c r="J1342">
        <f t="shared" si="661"/>
        <v>1</v>
      </c>
      <c r="K1342">
        <f t="shared" si="662"/>
        <v>51</v>
      </c>
      <c r="L1342" t="e">
        <f t="shared" ca="1" si="663"/>
        <v>#VALUE!</v>
      </c>
      <c r="M1342" t="e">
        <f t="shared" ca="1" si="636"/>
        <v>#VALUE!</v>
      </c>
      <c r="N1342" t="e">
        <f t="shared" ca="1" si="637"/>
        <v>#VALUE!</v>
      </c>
      <c r="O1342" t="e">
        <f t="shared" ca="1" si="638"/>
        <v>#VALUE!</v>
      </c>
      <c r="P1342" t="e">
        <f t="shared" ca="1" si="639"/>
        <v>#VALUE!</v>
      </c>
      <c r="Q1342" t="e">
        <f t="shared" ca="1" si="640"/>
        <v>#VALUE!</v>
      </c>
      <c r="R1342" t="e">
        <f t="shared" ca="1" si="641"/>
        <v>#VALUE!</v>
      </c>
      <c r="S1342" t="e">
        <f t="shared" ca="1" si="642"/>
        <v>#VALUE!</v>
      </c>
      <c r="T1342" t="e">
        <f t="shared" ca="1" si="643"/>
        <v>#VALUE!</v>
      </c>
      <c r="U1342" t="e">
        <f t="shared" ca="1" si="664"/>
        <v>#VALUE!</v>
      </c>
      <c r="V1342" t="e">
        <f t="shared" ca="1" si="665"/>
        <v>#VALUE!</v>
      </c>
      <c r="W1342" t="e">
        <f t="shared" ca="1" si="644"/>
        <v>#VALUE!</v>
      </c>
      <c r="X1342" t="e">
        <f t="shared" ca="1" si="645"/>
        <v>#VALUE!</v>
      </c>
      <c r="Y1342" t="e">
        <f t="shared" ca="1" si="646"/>
        <v>#VALUE!</v>
      </c>
      <c r="Z1342" t="e">
        <f t="shared" ca="1" si="647"/>
        <v>#VALUE!</v>
      </c>
      <c r="AA1342" t="e">
        <f t="shared" ca="1" si="648"/>
        <v>#VALUE!</v>
      </c>
      <c r="AB1342" t="e">
        <f t="shared" ca="1" si="649"/>
        <v>#VALUE!</v>
      </c>
      <c r="AC1342" t="e">
        <f t="shared" ca="1" si="650"/>
        <v>#VALUE!</v>
      </c>
      <c r="AD1342" t="e">
        <f t="shared" ca="1" si="651"/>
        <v>#VALUE!</v>
      </c>
      <c r="AE1342" t="e">
        <f t="shared" ca="1" si="652"/>
        <v>#VALUE!</v>
      </c>
      <c r="AF1342" t="e">
        <f t="shared" ca="1" si="653"/>
        <v>#VALUE!</v>
      </c>
      <c r="AG1342" t="e">
        <f t="shared" ca="1" si="654"/>
        <v>#VALUE!</v>
      </c>
      <c r="AH1342" t="e">
        <f ca="1">IF(V32="Supercritical",L1342,IF(V32="Subcritical",W1342,IF(AND(V1342=1,AG1342=1),IF(T1342&gt;=AE1342,L1342,W1342),IF(V1342=1,L1342,IF(AG1342=1,W1342,MAX($D$16,POWER((ABS(K1342)^2)/($I$5*MAX(F1342,0.1)^2),1/3)))))))</f>
        <v>#VALUE!</v>
      </c>
      <c r="AI1342" t="e">
        <f t="shared" ca="1" si="655"/>
        <v>#VALUE!</v>
      </c>
      <c r="AJ1342" t="e">
        <f t="shared" ca="1" si="656"/>
        <v>#VALUE!</v>
      </c>
      <c r="AM1342">
        <v>0</v>
      </c>
      <c r="AN1342">
        <v>0</v>
      </c>
      <c r="AO1342">
        <f t="shared" si="657"/>
        <v>0</v>
      </c>
      <c r="AP1342">
        <f t="shared" si="666"/>
        <v>0</v>
      </c>
      <c r="AQ1342" t="e">
        <f t="shared" ca="1" si="658"/>
        <v>#VALUE!</v>
      </c>
      <c r="AR1342" t="e">
        <f t="shared" ca="1" si="659"/>
        <v>#VALUE!</v>
      </c>
      <c r="AS1342" t="e">
        <f t="shared" ca="1" si="660"/>
        <v>#VALUE!</v>
      </c>
    </row>
    <row r="1343" spans="1:45" x14ac:dyDescent="0.35">
      <c r="A1343">
        <v>1194</v>
      </c>
      <c r="B1343">
        <v>1192.8889999999999</v>
      </c>
      <c r="C1343">
        <v>616073.01</v>
      </c>
      <c r="D1343">
        <v>3096811.2209999999</v>
      </c>
      <c r="E1343">
        <v>631.96550000000002</v>
      </c>
      <c r="F1343">
        <v>5.2</v>
      </c>
      <c r="G1343">
        <v>0</v>
      </c>
      <c r="H1343" t="s">
        <v>191</v>
      </c>
      <c r="I1343">
        <v>0</v>
      </c>
      <c r="J1343">
        <f t="shared" si="661"/>
        <v>0.99899999999979627</v>
      </c>
      <c r="K1343">
        <f t="shared" si="662"/>
        <v>51</v>
      </c>
      <c r="L1343" t="e">
        <f t="shared" ca="1" si="663"/>
        <v>#VALUE!</v>
      </c>
      <c r="M1343" t="e">
        <f t="shared" ca="1" si="636"/>
        <v>#VALUE!</v>
      </c>
      <c r="N1343" t="e">
        <f t="shared" ca="1" si="637"/>
        <v>#VALUE!</v>
      </c>
      <c r="O1343" t="e">
        <f t="shared" ca="1" si="638"/>
        <v>#VALUE!</v>
      </c>
      <c r="P1343" t="e">
        <f t="shared" ca="1" si="639"/>
        <v>#VALUE!</v>
      </c>
      <c r="Q1343" t="e">
        <f t="shared" ca="1" si="640"/>
        <v>#VALUE!</v>
      </c>
      <c r="R1343" t="e">
        <f t="shared" ca="1" si="641"/>
        <v>#VALUE!</v>
      </c>
      <c r="S1343" t="e">
        <f t="shared" ca="1" si="642"/>
        <v>#VALUE!</v>
      </c>
      <c r="T1343" t="e">
        <f t="shared" ca="1" si="643"/>
        <v>#VALUE!</v>
      </c>
      <c r="U1343" t="e">
        <f t="shared" ca="1" si="664"/>
        <v>#VALUE!</v>
      </c>
      <c r="V1343" t="e">
        <f t="shared" ca="1" si="665"/>
        <v>#VALUE!</v>
      </c>
      <c r="W1343" t="e">
        <f t="shared" ca="1" si="644"/>
        <v>#VALUE!</v>
      </c>
      <c r="X1343" t="e">
        <f t="shared" ca="1" si="645"/>
        <v>#VALUE!</v>
      </c>
      <c r="Y1343" t="e">
        <f t="shared" ca="1" si="646"/>
        <v>#VALUE!</v>
      </c>
      <c r="Z1343" t="e">
        <f t="shared" ca="1" si="647"/>
        <v>#VALUE!</v>
      </c>
      <c r="AA1343" t="e">
        <f t="shared" ca="1" si="648"/>
        <v>#VALUE!</v>
      </c>
      <c r="AB1343" t="e">
        <f t="shared" ca="1" si="649"/>
        <v>#VALUE!</v>
      </c>
      <c r="AC1343" t="e">
        <f t="shared" ca="1" si="650"/>
        <v>#VALUE!</v>
      </c>
      <c r="AD1343" t="e">
        <f t="shared" ca="1" si="651"/>
        <v>#VALUE!</v>
      </c>
      <c r="AE1343" t="e">
        <f t="shared" ca="1" si="652"/>
        <v>#VALUE!</v>
      </c>
      <c r="AF1343" t="e">
        <f t="shared" ca="1" si="653"/>
        <v>#VALUE!</v>
      </c>
      <c r="AG1343" t="e">
        <f t="shared" ca="1" si="654"/>
        <v>#VALUE!</v>
      </c>
      <c r="AH1343" t="e">
        <f ca="1">IF(V32="Supercritical",L1343,IF(V32="Subcritical",W1343,IF(AND(V1343=1,AG1343=1),IF(T1343&gt;=AE1343,L1343,W1343),IF(V1343=1,L1343,IF(AG1343=1,W1343,MAX($D$16,POWER((ABS(K1343)^2)/($I$5*MAX(F1343,0.1)^2),1/3)))))))</f>
        <v>#VALUE!</v>
      </c>
      <c r="AI1343" t="e">
        <f t="shared" ca="1" si="655"/>
        <v>#VALUE!</v>
      </c>
      <c r="AJ1343" t="e">
        <f t="shared" ca="1" si="656"/>
        <v>#VALUE!</v>
      </c>
      <c r="AM1343">
        <v>0</v>
      </c>
      <c r="AN1343">
        <v>0</v>
      </c>
      <c r="AO1343">
        <f t="shared" si="657"/>
        <v>0</v>
      </c>
      <c r="AP1343">
        <f t="shared" si="666"/>
        <v>0</v>
      </c>
      <c r="AQ1343" t="e">
        <f t="shared" ca="1" si="658"/>
        <v>#VALUE!</v>
      </c>
      <c r="AR1343" t="e">
        <f t="shared" ca="1" si="659"/>
        <v>#VALUE!</v>
      </c>
      <c r="AS1343" t="e">
        <f t="shared" ca="1" si="660"/>
        <v>#VALUE!</v>
      </c>
    </row>
    <row r="1344" spans="1:45" x14ac:dyDescent="0.35">
      <c r="A1344">
        <v>1195</v>
      </c>
      <c r="B1344">
        <v>1193.8889999999999</v>
      </c>
      <c r="C1344">
        <v>616072.96799999999</v>
      </c>
      <c r="D1344">
        <v>3096810.2220000001</v>
      </c>
      <c r="E1344">
        <v>631.96500000000003</v>
      </c>
      <c r="F1344">
        <v>5.2</v>
      </c>
      <c r="G1344">
        <v>0</v>
      </c>
      <c r="H1344" t="s">
        <v>191</v>
      </c>
      <c r="I1344">
        <v>0</v>
      </c>
      <c r="J1344">
        <f t="shared" si="661"/>
        <v>1</v>
      </c>
      <c r="K1344">
        <f t="shared" si="662"/>
        <v>51</v>
      </c>
      <c r="L1344" t="e">
        <f t="shared" ca="1" si="663"/>
        <v>#VALUE!</v>
      </c>
      <c r="M1344" t="e">
        <f t="shared" ca="1" si="636"/>
        <v>#VALUE!</v>
      </c>
      <c r="N1344" t="e">
        <f t="shared" ca="1" si="637"/>
        <v>#VALUE!</v>
      </c>
      <c r="O1344" t="e">
        <f t="shared" ca="1" si="638"/>
        <v>#VALUE!</v>
      </c>
      <c r="P1344" t="e">
        <f t="shared" ca="1" si="639"/>
        <v>#VALUE!</v>
      </c>
      <c r="Q1344" t="e">
        <f t="shared" ca="1" si="640"/>
        <v>#VALUE!</v>
      </c>
      <c r="R1344" t="e">
        <f t="shared" ca="1" si="641"/>
        <v>#VALUE!</v>
      </c>
      <c r="S1344" t="e">
        <f t="shared" ca="1" si="642"/>
        <v>#VALUE!</v>
      </c>
      <c r="T1344" t="e">
        <f t="shared" ca="1" si="643"/>
        <v>#VALUE!</v>
      </c>
      <c r="U1344" t="e">
        <f t="shared" ca="1" si="664"/>
        <v>#VALUE!</v>
      </c>
      <c r="V1344" t="e">
        <f t="shared" ca="1" si="665"/>
        <v>#VALUE!</v>
      </c>
      <c r="W1344" t="e">
        <f t="shared" ca="1" si="644"/>
        <v>#VALUE!</v>
      </c>
      <c r="X1344" t="e">
        <f t="shared" ca="1" si="645"/>
        <v>#VALUE!</v>
      </c>
      <c r="Y1344" t="e">
        <f t="shared" ca="1" si="646"/>
        <v>#VALUE!</v>
      </c>
      <c r="Z1344" t="e">
        <f t="shared" ca="1" si="647"/>
        <v>#VALUE!</v>
      </c>
      <c r="AA1344" t="e">
        <f t="shared" ca="1" si="648"/>
        <v>#VALUE!</v>
      </c>
      <c r="AB1344" t="e">
        <f t="shared" ca="1" si="649"/>
        <v>#VALUE!</v>
      </c>
      <c r="AC1344" t="e">
        <f t="shared" ca="1" si="650"/>
        <v>#VALUE!</v>
      </c>
      <c r="AD1344" t="e">
        <f t="shared" ca="1" si="651"/>
        <v>#VALUE!</v>
      </c>
      <c r="AE1344" t="e">
        <f t="shared" ca="1" si="652"/>
        <v>#VALUE!</v>
      </c>
      <c r="AF1344" t="e">
        <f t="shared" ca="1" si="653"/>
        <v>#VALUE!</v>
      </c>
      <c r="AG1344" t="e">
        <f t="shared" ca="1" si="654"/>
        <v>#VALUE!</v>
      </c>
      <c r="AH1344" t="e">
        <f ca="1">IF(V32="Supercritical",L1344,IF(V32="Subcritical",W1344,IF(AND(V1344=1,AG1344=1),IF(T1344&gt;=AE1344,L1344,W1344),IF(V1344=1,L1344,IF(AG1344=1,W1344,MAX($D$16,POWER((ABS(K1344)^2)/($I$5*MAX(F1344,0.1)^2),1/3)))))))</f>
        <v>#VALUE!</v>
      </c>
      <c r="AI1344" t="e">
        <f t="shared" ca="1" si="655"/>
        <v>#VALUE!</v>
      </c>
      <c r="AJ1344" t="e">
        <f t="shared" ca="1" si="656"/>
        <v>#VALUE!</v>
      </c>
      <c r="AM1344">
        <v>0</v>
      </c>
      <c r="AN1344">
        <v>0</v>
      </c>
      <c r="AO1344">
        <f t="shared" si="657"/>
        <v>0</v>
      </c>
      <c r="AP1344">
        <f t="shared" si="666"/>
        <v>0</v>
      </c>
      <c r="AQ1344" t="e">
        <f t="shared" ca="1" si="658"/>
        <v>#VALUE!</v>
      </c>
      <c r="AR1344" t="e">
        <f t="shared" ca="1" si="659"/>
        <v>#VALUE!</v>
      </c>
      <c r="AS1344" t="e">
        <f t="shared" ca="1" si="660"/>
        <v>#VALUE!</v>
      </c>
    </row>
    <row r="1345" spans="1:45" x14ac:dyDescent="0.35">
      <c r="A1345">
        <v>1196</v>
      </c>
      <c r="B1345">
        <v>1194.8889999999999</v>
      </c>
      <c r="C1345">
        <v>616072.92599999998</v>
      </c>
      <c r="D1345">
        <v>3096809.2230000002</v>
      </c>
      <c r="E1345">
        <v>631.96450000000004</v>
      </c>
      <c r="F1345">
        <v>5.2</v>
      </c>
      <c r="G1345">
        <v>0</v>
      </c>
      <c r="H1345" t="s">
        <v>191</v>
      </c>
      <c r="I1345">
        <v>5.7000000000000002E-2</v>
      </c>
      <c r="J1345">
        <f t="shared" si="661"/>
        <v>1</v>
      </c>
      <c r="K1345">
        <f t="shared" si="662"/>
        <v>51</v>
      </c>
      <c r="L1345" t="e">
        <f t="shared" ca="1" si="663"/>
        <v>#VALUE!</v>
      </c>
      <c r="M1345" t="e">
        <f t="shared" ca="1" si="636"/>
        <v>#VALUE!</v>
      </c>
      <c r="N1345" t="e">
        <f t="shared" ca="1" si="637"/>
        <v>#VALUE!</v>
      </c>
      <c r="O1345" t="e">
        <f t="shared" ca="1" si="638"/>
        <v>#VALUE!</v>
      </c>
      <c r="P1345" t="e">
        <f t="shared" ca="1" si="639"/>
        <v>#VALUE!</v>
      </c>
      <c r="Q1345" t="e">
        <f t="shared" ca="1" si="640"/>
        <v>#VALUE!</v>
      </c>
      <c r="R1345" t="e">
        <f t="shared" ca="1" si="641"/>
        <v>#VALUE!</v>
      </c>
      <c r="S1345" t="e">
        <f t="shared" ca="1" si="642"/>
        <v>#VALUE!</v>
      </c>
      <c r="T1345" t="e">
        <f t="shared" ca="1" si="643"/>
        <v>#VALUE!</v>
      </c>
      <c r="U1345" t="e">
        <f t="shared" ca="1" si="664"/>
        <v>#VALUE!</v>
      </c>
      <c r="V1345" t="e">
        <f t="shared" ca="1" si="665"/>
        <v>#VALUE!</v>
      </c>
      <c r="W1345" t="e">
        <f t="shared" ca="1" si="644"/>
        <v>#VALUE!</v>
      </c>
      <c r="X1345" t="e">
        <f t="shared" ca="1" si="645"/>
        <v>#VALUE!</v>
      </c>
      <c r="Y1345" t="e">
        <f t="shared" ca="1" si="646"/>
        <v>#VALUE!</v>
      </c>
      <c r="Z1345" t="e">
        <f t="shared" ca="1" si="647"/>
        <v>#VALUE!</v>
      </c>
      <c r="AA1345" t="e">
        <f t="shared" ca="1" si="648"/>
        <v>#VALUE!</v>
      </c>
      <c r="AB1345" t="e">
        <f t="shared" ca="1" si="649"/>
        <v>#VALUE!</v>
      </c>
      <c r="AC1345" t="e">
        <f t="shared" ca="1" si="650"/>
        <v>#VALUE!</v>
      </c>
      <c r="AD1345" t="e">
        <f t="shared" ca="1" si="651"/>
        <v>#VALUE!</v>
      </c>
      <c r="AE1345" t="e">
        <f t="shared" ca="1" si="652"/>
        <v>#VALUE!</v>
      </c>
      <c r="AF1345" t="e">
        <f t="shared" ca="1" si="653"/>
        <v>#VALUE!</v>
      </c>
      <c r="AG1345" t="e">
        <f t="shared" ca="1" si="654"/>
        <v>#VALUE!</v>
      </c>
      <c r="AH1345" t="e">
        <f ca="1">IF(V32="Supercritical",L1345,IF(V32="Subcritical",W1345,IF(AND(V1345=1,AG1345=1),IF(T1345&gt;=AE1345,L1345,W1345),IF(V1345=1,L1345,IF(AG1345=1,W1345,MAX($D$16,POWER((ABS(K1345)^2)/($I$5*MAX(F1345,0.1)^2),1/3)))))))</f>
        <v>#VALUE!</v>
      </c>
      <c r="AI1345" t="e">
        <f t="shared" ca="1" si="655"/>
        <v>#VALUE!</v>
      </c>
      <c r="AJ1345" t="e">
        <f t="shared" ca="1" si="656"/>
        <v>#VALUE!</v>
      </c>
      <c r="AM1345">
        <v>0</v>
      </c>
      <c r="AN1345">
        <v>0</v>
      </c>
      <c r="AO1345">
        <f t="shared" si="657"/>
        <v>0</v>
      </c>
      <c r="AP1345">
        <f t="shared" si="666"/>
        <v>0</v>
      </c>
      <c r="AQ1345" t="e">
        <f t="shared" ca="1" si="658"/>
        <v>#VALUE!</v>
      </c>
      <c r="AR1345" t="e">
        <f t="shared" ca="1" si="659"/>
        <v>#VALUE!</v>
      </c>
      <c r="AS1345" t="e">
        <f t="shared" ca="1" si="660"/>
        <v>#VALUE!</v>
      </c>
    </row>
    <row r="1346" spans="1:45" x14ac:dyDescent="0.35">
      <c r="A1346">
        <v>1197</v>
      </c>
      <c r="B1346">
        <v>1195.8889999999999</v>
      </c>
      <c r="C1346">
        <v>616072.88300000003</v>
      </c>
      <c r="D1346">
        <v>3096808.2239999999</v>
      </c>
      <c r="E1346">
        <v>631.96400000000006</v>
      </c>
      <c r="F1346">
        <v>5.2</v>
      </c>
      <c r="G1346">
        <v>0</v>
      </c>
      <c r="H1346" t="s">
        <v>191</v>
      </c>
      <c r="I1346">
        <v>5.7000000000000002E-2</v>
      </c>
      <c r="J1346">
        <f t="shared" si="661"/>
        <v>1</v>
      </c>
      <c r="K1346">
        <f t="shared" si="662"/>
        <v>51</v>
      </c>
      <c r="L1346" t="e">
        <f t="shared" ca="1" si="663"/>
        <v>#VALUE!</v>
      </c>
      <c r="M1346" t="e">
        <f t="shared" ca="1" si="636"/>
        <v>#VALUE!</v>
      </c>
      <c r="N1346" t="e">
        <f t="shared" ca="1" si="637"/>
        <v>#VALUE!</v>
      </c>
      <c r="O1346" t="e">
        <f t="shared" ca="1" si="638"/>
        <v>#VALUE!</v>
      </c>
      <c r="P1346" t="e">
        <f t="shared" ca="1" si="639"/>
        <v>#VALUE!</v>
      </c>
      <c r="Q1346" t="e">
        <f t="shared" ca="1" si="640"/>
        <v>#VALUE!</v>
      </c>
      <c r="R1346" t="e">
        <f t="shared" ca="1" si="641"/>
        <v>#VALUE!</v>
      </c>
      <c r="S1346" t="e">
        <f t="shared" ca="1" si="642"/>
        <v>#VALUE!</v>
      </c>
      <c r="T1346" t="e">
        <f t="shared" ca="1" si="643"/>
        <v>#VALUE!</v>
      </c>
      <c r="U1346" t="e">
        <f t="shared" ca="1" si="664"/>
        <v>#VALUE!</v>
      </c>
      <c r="V1346" t="e">
        <f t="shared" ca="1" si="665"/>
        <v>#VALUE!</v>
      </c>
      <c r="W1346" t="e">
        <f t="shared" ca="1" si="644"/>
        <v>#VALUE!</v>
      </c>
      <c r="X1346" t="e">
        <f t="shared" ca="1" si="645"/>
        <v>#VALUE!</v>
      </c>
      <c r="Y1346" t="e">
        <f t="shared" ca="1" si="646"/>
        <v>#VALUE!</v>
      </c>
      <c r="Z1346" t="e">
        <f t="shared" ca="1" si="647"/>
        <v>#VALUE!</v>
      </c>
      <c r="AA1346" t="e">
        <f t="shared" ca="1" si="648"/>
        <v>#VALUE!</v>
      </c>
      <c r="AB1346" t="e">
        <f t="shared" ca="1" si="649"/>
        <v>#VALUE!</v>
      </c>
      <c r="AC1346" t="e">
        <f t="shared" ca="1" si="650"/>
        <v>#VALUE!</v>
      </c>
      <c r="AD1346" t="e">
        <f t="shared" ca="1" si="651"/>
        <v>#VALUE!</v>
      </c>
      <c r="AE1346" t="e">
        <f t="shared" ca="1" si="652"/>
        <v>#VALUE!</v>
      </c>
      <c r="AF1346" t="e">
        <f t="shared" ca="1" si="653"/>
        <v>#VALUE!</v>
      </c>
      <c r="AG1346" t="e">
        <f t="shared" ca="1" si="654"/>
        <v>#VALUE!</v>
      </c>
      <c r="AH1346" t="e">
        <f ca="1">IF(V32="Supercritical",L1346,IF(V32="Subcritical",W1346,IF(AND(V1346=1,AG1346=1),IF(T1346&gt;=AE1346,L1346,W1346),IF(V1346=1,L1346,IF(AG1346=1,W1346,MAX($D$16,POWER((ABS(K1346)^2)/($I$5*MAX(F1346,0.1)^2),1/3)))))))</f>
        <v>#VALUE!</v>
      </c>
      <c r="AI1346" t="e">
        <f t="shared" ca="1" si="655"/>
        <v>#VALUE!</v>
      </c>
      <c r="AJ1346" t="e">
        <f t="shared" ca="1" si="656"/>
        <v>#VALUE!</v>
      </c>
      <c r="AM1346">
        <v>0</v>
      </c>
      <c r="AN1346">
        <v>0</v>
      </c>
      <c r="AO1346">
        <f t="shared" si="657"/>
        <v>0</v>
      </c>
      <c r="AP1346">
        <f t="shared" si="666"/>
        <v>0</v>
      </c>
      <c r="AQ1346" t="e">
        <f t="shared" ca="1" si="658"/>
        <v>#VALUE!</v>
      </c>
      <c r="AR1346" t="e">
        <f t="shared" ca="1" si="659"/>
        <v>#VALUE!</v>
      </c>
      <c r="AS1346" t="e">
        <f t="shared" ca="1" si="660"/>
        <v>#VALUE!</v>
      </c>
    </row>
    <row r="1347" spans="1:45" x14ac:dyDescent="0.35">
      <c r="A1347">
        <v>1198</v>
      </c>
      <c r="B1347">
        <v>1196.8889999999999</v>
      </c>
      <c r="C1347">
        <v>616072.84100000001</v>
      </c>
      <c r="D1347">
        <v>3096807.2250000001</v>
      </c>
      <c r="E1347">
        <v>631.96349999999995</v>
      </c>
      <c r="F1347">
        <v>5.2</v>
      </c>
      <c r="G1347">
        <v>0</v>
      </c>
      <c r="H1347" t="s">
        <v>191</v>
      </c>
      <c r="I1347">
        <v>0</v>
      </c>
      <c r="J1347">
        <f t="shared" si="661"/>
        <v>1</v>
      </c>
      <c r="K1347">
        <f t="shared" si="662"/>
        <v>51</v>
      </c>
      <c r="L1347" t="e">
        <f t="shared" ca="1" si="663"/>
        <v>#VALUE!</v>
      </c>
      <c r="M1347" t="e">
        <f t="shared" ca="1" si="636"/>
        <v>#VALUE!</v>
      </c>
      <c r="N1347" t="e">
        <f t="shared" ca="1" si="637"/>
        <v>#VALUE!</v>
      </c>
      <c r="O1347" t="e">
        <f t="shared" ca="1" si="638"/>
        <v>#VALUE!</v>
      </c>
      <c r="P1347" t="e">
        <f t="shared" ca="1" si="639"/>
        <v>#VALUE!</v>
      </c>
      <c r="Q1347" t="e">
        <f t="shared" ca="1" si="640"/>
        <v>#VALUE!</v>
      </c>
      <c r="R1347" t="e">
        <f t="shared" ca="1" si="641"/>
        <v>#VALUE!</v>
      </c>
      <c r="S1347" t="e">
        <f t="shared" ca="1" si="642"/>
        <v>#VALUE!</v>
      </c>
      <c r="T1347" t="e">
        <f t="shared" ca="1" si="643"/>
        <v>#VALUE!</v>
      </c>
      <c r="U1347" t="e">
        <f t="shared" ca="1" si="664"/>
        <v>#VALUE!</v>
      </c>
      <c r="V1347" t="e">
        <f t="shared" ca="1" si="665"/>
        <v>#VALUE!</v>
      </c>
      <c r="W1347" t="e">
        <f t="shared" ca="1" si="644"/>
        <v>#VALUE!</v>
      </c>
      <c r="X1347" t="e">
        <f t="shared" ca="1" si="645"/>
        <v>#VALUE!</v>
      </c>
      <c r="Y1347" t="e">
        <f t="shared" ca="1" si="646"/>
        <v>#VALUE!</v>
      </c>
      <c r="Z1347" t="e">
        <f t="shared" ca="1" si="647"/>
        <v>#VALUE!</v>
      </c>
      <c r="AA1347" t="e">
        <f t="shared" ca="1" si="648"/>
        <v>#VALUE!</v>
      </c>
      <c r="AB1347" t="e">
        <f t="shared" ca="1" si="649"/>
        <v>#VALUE!</v>
      </c>
      <c r="AC1347" t="e">
        <f t="shared" ca="1" si="650"/>
        <v>#VALUE!</v>
      </c>
      <c r="AD1347" t="e">
        <f t="shared" ca="1" si="651"/>
        <v>#VALUE!</v>
      </c>
      <c r="AE1347" t="e">
        <f t="shared" ca="1" si="652"/>
        <v>#VALUE!</v>
      </c>
      <c r="AF1347" t="e">
        <f t="shared" ca="1" si="653"/>
        <v>#VALUE!</v>
      </c>
      <c r="AG1347" t="e">
        <f t="shared" ca="1" si="654"/>
        <v>#VALUE!</v>
      </c>
      <c r="AH1347" t="e">
        <f ca="1">IF(V32="Supercritical",L1347,IF(V32="Subcritical",W1347,IF(AND(V1347=1,AG1347=1),IF(T1347&gt;=AE1347,L1347,W1347),IF(V1347=1,L1347,IF(AG1347=1,W1347,MAX($D$16,POWER((ABS(K1347)^2)/($I$5*MAX(F1347,0.1)^2),1/3)))))))</f>
        <v>#VALUE!</v>
      </c>
      <c r="AI1347" t="e">
        <f t="shared" ca="1" si="655"/>
        <v>#VALUE!</v>
      </c>
      <c r="AJ1347" t="e">
        <f t="shared" ca="1" si="656"/>
        <v>#VALUE!</v>
      </c>
      <c r="AM1347">
        <v>0</v>
      </c>
      <c r="AN1347">
        <v>0</v>
      </c>
      <c r="AO1347">
        <f t="shared" si="657"/>
        <v>0</v>
      </c>
      <c r="AP1347">
        <f t="shared" si="666"/>
        <v>0</v>
      </c>
      <c r="AQ1347" t="e">
        <f t="shared" ca="1" si="658"/>
        <v>#VALUE!</v>
      </c>
      <c r="AR1347" t="e">
        <f t="shared" ca="1" si="659"/>
        <v>#VALUE!</v>
      </c>
      <c r="AS1347" t="e">
        <f t="shared" ca="1" si="660"/>
        <v>#VALUE!</v>
      </c>
    </row>
    <row r="1348" spans="1:45" x14ac:dyDescent="0.35">
      <c r="A1348">
        <v>1199</v>
      </c>
      <c r="B1348">
        <v>1197.8889999999999</v>
      </c>
      <c r="C1348">
        <v>616072.799</v>
      </c>
      <c r="D1348">
        <v>3096806.2259999998</v>
      </c>
      <c r="E1348">
        <v>631.96299999999997</v>
      </c>
      <c r="F1348">
        <v>5.2</v>
      </c>
      <c r="G1348">
        <v>0</v>
      </c>
      <c r="H1348" t="s">
        <v>191</v>
      </c>
      <c r="I1348">
        <v>5.7000000000000002E-2</v>
      </c>
      <c r="J1348">
        <f t="shared" si="661"/>
        <v>1</v>
      </c>
      <c r="K1348">
        <f t="shared" si="662"/>
        <v>51</v>
      </c>
      <c r="L1348" t="e">
        <f t="shared" ca="1" si="663"/>
        <v>#VALUE!</v>
      </c>
      <c r="M1348" t="e">
        <f t="shared" ca="1" si="636"/>
        <v>#VALUE!</v>
      </c>
      <c r="N1348" t="e">
        <f t="shared" ca="1" si="637"/>
        <v>#VALUE!</v>
      </c>
      <c r="O1348" t="e">
        <f t="shared" ca="1" si="638"/>
        <v>#VALUE!</v>
      </c>
      <c r="P1348" t="e">
        <f t="shared" ca="1" si="639"/>
        <v>#VALUE!</v>
      </c>
      <c r="Q1348" t="e">
        <f t="shared" ca="1" si="640"/>
        <v>#VALUE!</v>
      </c>
      <c r="R1348" t="e">
        <f t="shared" ca="1" si="641"/>
        <v>#VALUE!</v>
      </c>
      <c r="S1348" t="e">
        <f t="shared" ca="1" si="642"/>
        <v>#VALUE!</v>
      </c>
      <c r="T1348" t="e">
        <f t="shared" ca="1" si="643"/>
        <v>#VALUE!</v>
      </c>
      <c r="U1348" t="e">
        <f t="shared" ca="1" si="664"/>
        <v>#VALUE!</v>
      </c>
      <c r="V1348" t="e">
        <f t="shared" ca="1" si="665"/>
        <v>#VALUE!</v>
      </c>
      <c r="W1348" t="e">
        <f t="shared" ca="1" si="644"/>
        <v>#VALUE!</v>
      </c>
      <c r="X1348" t="e">
        <f t="shared" ca="1" si="645"/>
        <v>#VALUE!</v>
      </c>
      <c r="Y1348" t="e">
        <f t="shared" ca="1" si="646"/>
        <v>#VALUE!</v>
      </c>
      <c r="Z1348" t="e">
        <f t="shared" ca="1" si="647"/>
        <v>#VALUE!</v>
      </c>
      <c r="AA1348" t="e">
        <f t="shared" ca="1" si="648"/>
        <v>#VALUE!</v>
      </c>
      <c r="AB1348" t="e">
        <f t="shared" ca="1" si="649"/>
        <v>#VALUE!</v>
      </c>
      <c r="AC1348" t="e">
        <f t="shared" ca="1" si="650"/>
        <v>#VALUE!</v>
      </c>
      <c r="AD1348" t="e">
        <f t="shared" ca="1" si="651"/>
        <v>#VALUE!</v>
      </c>
      <c r="AE1348" t="e">
        <f t="shared" ca="1" si="652"/>
        <v>#VALUE!</v>
      </c>
      <c r="AF1348" t="e">
        <f t="shared" ca="1" si="653"/>
        <v>#VALUE!</v>
      </c>
      <c r="AG1348" t="e">
        <f t="shared" ca="1" si="654"/>
        <v>#VALUE!</v>
      </c>
      <c r="AH1348" t="e">
        <f ca="1">IF(V32="Supercritical",L1348,IF(V32="Subcritical",W1348,IF(AND(V1348=1,AG1348=1),IF(T1348&gt;=AE1348,L1348,W1348),IF(V1348=1,L1348,IF(AG1348=1,W1348,MAX($D$16,POWER((ABS(K1348)^2)/($I$5*MAX(F1348,0.1)^2),1/3)))))))</f>
        <v>#VALUE!</v>
      </c>
      <c r="AI1348" t="e">
        <f t="shared" ca="1" si="655"/>
        <v>#VALUE!</v>
      </c>
      <c r="AJ1348" t="e">
        <f t="shared" ca="1" si="656"/>
        <v>#VALUE!</v>
      </c>
      <c r="AM1348">
        <v>0</v>
      </c>
      <c r="AN1348">
        <v>0</v>
      </c>
      <c r="AO1348">
        <f t="shared" si="657"/>
        <v>0</v>
      </c>
      <c r="AP1348">
        <f t="shared" si="666"/>
        <v>0</v>
      </c>
      <c r="AQ1348" t="e">
        <f t="shared" ca="1" si="658"/>
        <v>#VALUE!</v>
      </c>
      <c r="AR1348" t="e">
        <f t="shared" ca="1" si="659"/>
        <v>#VALUE!</v>
      </c>
      <c r="AS1348" t="e">
        <f t="shared" ca="1" si="660"/>
        <v>#VALUE!</v>
      </c>
    </row>
    <row r="1349" spans="1:45" x14ac:dyDescent="0.35">
      <c r="A1349">
        <v>1200</v>
      </c>
      <c r="B1349">
        <v>1198.8889999999999</v>
      </c>
      <c r="C1349">
        <v>616072.75600000005</v>
      </c>
      <c r="D1349">
        <v>3096805.227</v>
      </c>
      <c r="E1349">
        <v>631.96249999999998</v>
      </c>
      <c r="F1349">
        <v>5.2</v>
      </c>
      <c r="G1349">
        <v>0</v>
      </c>
      <c r="H1349" t="s">
        <v>191</v>
      </c>
      <c r="I1349">
        <v>0.06</v>
      </c>
      <c r="J1349">
        <f t="shared" si="661"/>
        <v>1</v>
      </c>
      <c r="K1349">
        <f t="shared" si="662"/>
        <v>51</v>
      </c>
      <c r="L1349" t="e">
        <f t="shared" ca="1" si="663"/>
        <v>#VALUE!</v>
      </c>
      <c r="M1349" t="e">
        <f t="shared" ca="1" si="636"/>
        <v>#VALUE!</v>
      </c>
      <c r="N1349" t="e">
        <f t="shared" ca="1" si="637"/>
        <v>#VALUE!</v>
      </c>
      <c r="O1349" t="e">
        <f t="shared" ca="1" si="638"/>
        <v>#VALUE!</v>
      </c>
      <c r="P1349" t="e">
        <f t="shared" ca="1" si="639"/>
        <v>#VALUE!</v>
      </c>
      <c r="Q1349" t="e">
        <f t="shared" ca="1" si="640"/>
        <v>#VALUE!</v>
      </c>
      <c r="R1349" t="e">
        <f t="shared" ca="1" si="641"/>
        <v>#VALUE!</v>
      </c>
      <c r="S1349" t="e">
        <f t="shared" ca="1" si="642"/>
        <v>#VALUE!</v>
      </c>
      <c r="T1349" t="e">
        <f t="shared" ca="1" si="643"/>
        <v>#VALUE!</v>
      </c>
      <c r="U1349" t="e">
        <f t="shared" ca="1" si="664"/>
        <v>#VALUE!</v>
      </c>
      <c r="V1349" t="e">
        <f t="shared" ca="1" si="665"/>
        <v>#VALUE!</v>
      </c>
      <c r="W1349" t="e">
        <f t="shared" ca="1" si="644"/>
        <v>#VALUE!</v>
      </c>
      <c r="X1349" t="e">
        <f t="shared" ca="1" si="645"/>
        <v>#VALUE!</v>
      </c>
      <c r="Y1349" t="e">
        <f t="shared" ca="1" si="646"/>
        <v>#VALUE!</v>
      </c>
      <c r="Z1349" t="e">
        <f t="shared" ca="1" si="647"/>
        <v>#VALUE!</v>
      </c>
      <c r="AA1349" t="e">
        <f t="shared" ca="1" si="648"/>
        <v>#VALUE!</v>
      </c>
      <c r="AB1349" t="e">
        <f t="shared" ca="1" si="649"/>
        <v>#VALUE!</v>
      </c>
      <c r="AC1349" t="e">
        <f t="shared" ca="1" si="650"/>
        <v>#VALUE!</v>
      </c>
      <c r="AD1349" t="e">
        <f t="shared" ca="1" si="651"/>
        <v>#VALUE!</v>
      </c>
      <c r="AE1349" t="e">
        <f t="shared" ca="1" si="652"/>
        <v>#VALUE!</v>
      </c>
      <c r="AF1349" t="e">
        <f t="shared" ca="1" si="653"/>
        <v>#VALUE!</v>
      </c>
      <c r="AG1349" t="e">
        <f t="shared" ca="1" si="654"/>
        <v>#VALUE!</v>
      </c>
      <c r="AH1349" t="e">
        <f ca="1">IF(V32="Supercritical",L1349,IF(V32="Subcritical",W1349,IF(AND(V1349=1,AG1349=1),IF(T1349&gt;=AE1349,L1349,W1349),IF(V1349=1,L1349,IF(AG1349=1,W1349,MAX($D$16,POWER((ABS(K1349)^2)/($I$5*MAX(F1349,0.1)^2),1/3)))))))</f>
        <v>#VALUE!</v>
      </c>
      <c r="AI1349" t="e">
        <f t="shared" ca="1" si="655"/>
        <v>#VALUE!</v>
      </c>
      <c r="AJ1349" t="e">
        <f t="shared" ca="1" si="656"/>
        <v>#VALUE!</v>
      </c>
      <c r="AM1349">
        <v>0</v>
      </c>
      <c r="AN1349">
        <v>0</v>
      </c>
      <c r="AO1349">
        <f t="shared" si="657"/>
        <v>0</v>
      </c>
      <c r="AP1349">
        <f t="shared" si="666"/>
        <v>0</v>
      </c>
      <c r="AQ1349" t="e">
        <f t="shared" ca="1" si="658"/>
        <v>#VALUE!</v>
      </c>
      <c r="AR1349" t="e">
        <f t="shared" ca="1" si="659"/>
        <v>#VALUE!</v>
      </c>
      <c r="AS1349" t="e">
        <f t="shared" ca="1" si="660"/>
        <v>#VALUE!</v>
      </c>
    </row>
    <row r="1350" spans="1:45" x14ac:dyDescent="0.35">
      <c r="A1350">
        <v>1201</v>
      </c>
      <c r="B1350">
        <v>1199.8900000000001</v>
      </c>
      <c r="C1350">
        <v>616072.71400000004</v>
      </c>
      <c r="D1350">
        <v>3096804.227</v>
      </c>
      <c r="E1350">
        <v>631.96199999999999</v>
      </c>
      <c r="F1350">
        <v>5.2</v>
      </c>
      <c r="G1350">
        <v>0</v>
      </c>
      <c r="H1350" t="s">
        <v>191</v>
      </c>
      <c r="I1350">
        <v>2E-3</v>
      </c>
      <c r="J1350">
        <f t="shared" si="661"/>
        <v>1.0010000000002037</v>
      </c>
      <c r="K1350">
        <f t="shared" si="662"/>
        <v>51</v>
      </c>
      <c r="L1350" t="e">
        <f t="shared" ca="1" si="663"/>
        <v>#VALUE!</v>
      </c>
      <c r="M1350" t="e">
        <f t="shared" ca="1" si="636"/>
        <v>#VALUE!</v>
      </c>
      <c r="N1350" t="e">
        <f t="shared" ca="1" si="637"/>
        <v>#VALUE!</v>
      </c>
      <c r="O1350" t="e">
        <f t="shared" ca="1" si="638"/>
        <v>#VALUE!</v>
      </c>
      <c r="P1350" t="e">
        <f t="shared" ca="1" si="639"/>
        <v>#VALUE!</v>
      </c>
      <c r="Q1350" t="e">
        <f t="shared" ca="1" si="640"/>
        <v>#VALUE!</v>
      </c>
      <c r="R1350" t="e">
        <f t="shared" ca="1" si="641"/>
        <v>#VALUE!</v>
      </c>
      <c r="S1350" t="e">
        <f t="shared" ca="1" si="642"/>
        <v>#VALUE!</v>
      </c>
      <c r="T1350" t="e">
        <f t="shared" ca="1" si="643"/>
        <v>#VALUE!</v>
      </c>
      <c r="U1350" t="e">
        <f t="shared" ca="1" si="664"/>
        <v>#VALUE!</v>
      </c>
      <c r="V1350" t="e">
        <f t="shared" ca="1" si="665"/>
        <v>#VALUE!</v>
      </c>
      <c r="W1350" t="e">
        <f t="shared" ca="1" si="644"/>
        <v>#VALUE!</v>
      </c>
      <c r="X1350" t="e">
        <f t="shared" ca="1" si="645"/>
        <v>#VALUE!</v>
      </c>
      <c r="Y1350" t="e">
        <f t="shared" ca="1" si="646"/>
        <v>#VALUE!</v>
      </c>
      <c r="Z1350" t="e">
        <f t="shared" ca="1" si="647"/>
        <v>#VALUE!</v>
      </c>
      <c r="AA1350" t="e">
        <f t="shared" ca="1" si="648"/>
        <v>#VALUE!</v>
      </c>
      <c r="AB1350" t="e">
        <f t="shared" ca="1" si="649"/>
        <v>#VALUE!</v>
      </c>
      <c r="AC1350" t="e">
        <f t="shared" ca="1" si="650"/>
        <v>#VALUE!</v>
      </c>
      <c r="AD1350" t="e">
        <f t="shared" ca="1" si="651"/>
        <v>#VALUE!</v>
      </c>
      <c r="AE1350" t="e">
        <f t="shared" ca="1" si="652"/>
        <v>#VALUE!</v>
      </c>
      <c r="AF1350" t="e">
        <f t="shared" ca="1" si="653"/>
        <v>#VALUE!</v>
      </c>
      <c r="AG1350" t="e">
        <f t="shared" ca="1" si="654"/>
        <v>#VALUE!</v>
      </c>
      <c r="AH1350" t="e">
        <f ca="1">IF(V32="Supercritical",L1350,IF(V32="Subcritical",W1350,IF(AND(V1350=1,AG1350=1),IF(T1350&gt;=AE1350,L1350,W1350),IF(V1350=1,L1350,IF(AG1350=1,W1350,MAX($D$16,POWER((ABS(K1350)^2)/($I$5*MAX(F1350,0.1)^2),1/3)))))))</f>
        <v>#VALUE!</v>
      </c>
      <c r="AI1350" t="e">
        <f t="shared" ca="1" si="655"/>
        <v>#VALUE!</v>
      </c>
      <c r="AJ1350" t="e">
        <f t="shared" ca="1" si="656"/>
        <v>#VALUE!</v>
      </c>
      <c r="AM1350">
        <v>0</v>
      </c>
      <c r="AN1350">
        <v>0</v>
      </c>
      <c r="AO1350">
        <f t="shared" si="657"/>
        <v>0</v>
      </c>
      <c r="AP1350">
        <f t="shared" si="666"/>
        <v>0</v>
      </c>
      <c r="AQ1350" t="e">
        <f t="shared" ca="1" si="658"/>
        <v>#VALUE!</v>
      </c>
      <c r="AR1350" t="e">
        <f t="shared" ca="1" si="659"/>
        <v>#VALUE!</v>
      </c>
      <c r="AS1350" t="e">
        <f t="shared" ca="1" si="660"/>
        <v>#VALUE!</v>
      </c>
    </row>
    <row r="1351" spans="1:45" x14ac:dyDescent="0.35">
      <c r="A1351">
        <v>1202</v>
      </c>
      <c r="B1351">
        <v>1200.8900000000001</v>
      </c>
      <c r="C1351">
        <v>616072.67200000002</v>
      </c>
      <c r="D1351">
        <v>3096803.2280000001</v>
      </c>
      <c r="E1351">
        <v>631.9615</v>
      </c>
      <c r="F1351">
        <v>5.2</v>
      </c>
      <c r="G1351">
        <v>0</v>
      </c>
      <c r="H1351" t="s">
        <v>191</v>
      </c>
      <c r="I1351">
        <v>0</v>
      </c>
      <c r="J1351">
        <f t="shared" si="661"/>
        <v>1</v>
      </c>
      <c r="K1351">
        <f t="shared" si="662"/>
        <v>51</v>
      </c>
      <c r="L1351" t="e">
        <f t="shared" ca="1" si="663"/>
        <v>#VALUE!</v>
      </c>
      <c r="M1351" t="e">
        <f t="shared" ca="1" si="636"/>
        <v>#VALUE!</v>
      </c>
      <c r="N1351" t="e">
        <f t="shared" ca="1" si="637"/>
        <v>#VALUE!</v>
      </c>
      <c r="O1351" t="e">
        <f t="shared" ca="1" si="638"/>
        <v>#VALUE!</v>
      </c>
      <c r="P1351" t="e">
        <f t="shared" ca="1" si="639"/>
        <v>#VALUE!</v>
      </c>
      <c r="Q1351" t="e">
        <f t="shared" ca="1" si="640"/>
        <v>#VALUE!</v>
      </c>
      <c r="R1351" t="e">
        <f t="shared" ca="1" si="641"/>
        <v>#VALUE!</v>
      </c>
      <c r="S1351" t="e">
        <f t="shared" ca="1" si="642"/>
        <v>#VALUE!</v>
      </c>
      <c r="T1351" t="e">
        <f t="shared" ca="1" si="643"/>
        <v>#VALUE!</v>
      </c>
      <c r="U1351" t="e">
        <f t="shared" ca="1" si="664"/>
        <v>#VALUE!</v>
      </c>
      <c r="V1351" t="e">
        <f t="shared" ca="1" si="665"/>
        <v>#VALUE!</v>
      </c>
      <c r="W1351" t="e">
        <f t="shared" ca="1" si="644"/>
        <v>#VALUE!</v>
      </c>
      <c r="X1351" t="e">
        <f t="shared" ca="1" si="645"/>
        <v>#VALUE!</v>
      </c>
      <c r="Y1351" t="e">
        <f t="shared" ca="1" si="646"/>
        <v>#VALUE!</v>
      </c>
      <c r="Z1351" t="e">
        <f t="shared" ca="1" si="647"/>
        <v>#VALUE!</v>
      </c>
      <c r="AA1351" t="e">
        <f t="shared" ca="1" si="648"/>
        <v>#VALUE!</v>
      </c>
      <c r="AB1351" t="e">
        <f t="shared" ca="1" si="649"/>
        <v>#VALUE!</v>
      </c>
      <c r="AC1351" t="e">
        <f t="shared" ca="1" si="650"/>
        <v>#VALUE!</v>
      </c>
      <c r="AD1351" t="e">
        <f t="shared" ca="1" si="651"/>
        <v>#VALUE!</v>
      </c>
      <c r="AE1351" t="e">
        <f t="shared" ca="1" si="652"/>
        <v>#VALUE!</v>
      </c>
      <c r="AF1351" t="e">
        <f t="shared" ca="1" si="653"/>
        <v>#VALUE!</v>
      </c>
      <c r="AG1351" t="e">
        <f t="shared" ca="1" si="654"/>
        <v>#VALUE!</v>
      </c>
      <c r="AH1351" t="e">
        <f ca="1">IF(V32="Supercritical",L1351,IF(V32="Subcritical",W1351,IF(AND(V1351=1,AG1351=1),IF(T1351&gt;=AE1351,L1351,W1351),IF(V1351=1,L1351,IF(AG1351=1,W1351,MAX($D$16,POWER((ABS(K1351)^2)/($I$5*MAX(F1351,0.1)^2),1/3)))))))</f>
        <v>#VALUE!</v>
      </c>
      <c r="AI1351" t="e">
        <f t="shared" ca="1" si="655"/>
        <v>#VALUE!</v>
      </c>
      <c r="AJ1351" t="e">
        <f t="shared" ca="1" si="656"/>
        <v>#VALUE!</v>
      </c>
      <c r="AM1351">
        <v>0</v>
      </c>
      <c r="AN1351">
        <v>0</v>
      </c>
      <c r="AO1351">
        <f t="shared" si="657"/>
        <v>0</v>
      </c>
      <c r="AP1351">
        <f t="shared" si="666"/>
        <v>0</v>
      </c>
      <c r="AQ1351" t="e">
        <f t="shared" ca="1" si="658"/>
        <v>#VALUE!</v>
      </c>
      <c r="AR1351" t="e">
        <f t="shared" ca="1" si="659"/>
        <v>#VALUE!</v>
      </c>
      <c r="AS1351" t="e">
        <f t="shared" ca="1" si="660"/>
        <v>#VALUE!</v>
      </c>
    </row>
    <row r="1352" spans="1:45" x14ac:dyDescent="0.35">
      <c r="A1352">
        <v>1203</v>
      </c>
      <c r="B1352">
        <v>1201.8889999999999</v>
      </c>
      <c r="C1352">
        <v>616072.63</v>
      </c>
      <c r="D1352">
        <v>3096802.2289999998</v>
      </c>
      <c r="E1352">
        <v>631.96100000000001</v>
      </c>
      <c r="F1352">
        <v>5.2</v>
      </c>
      <c r="G1352">
        <v>0</v>
      </c>
      <c r="H1352" t="s">
        <v>191</v>
      </c>
      <c r="I1352">
        <v>5.7000000000000002E-2</v>
      </c>
      <c r="J1352">
        <f t="shared" si="661"/>
        <v>0.99899999999979627</v>
      </c>
      <c r="K1352">
        <f t="shared" si="662"/>
        <v>51</v>
      </c>
      <c r="L1352" t="e">
        <f t="shared" ca="1" si="663"/>
        <v>#VALUE!</v>
      </c>
      <c r="M1352" t="e">
        <f t="shared" ca="1" si="636"/>
        <v>#VALUE!</v>
      </c>
      <c r="N1352" t="e">
        <f t="shared" ca="1" si="637"/>
        <v>#VALUE!</v>
      </c>
      <c r="O1352" t="e">
        <f t="shared" ca="1" si="638"/>
        <v>#VALUE!</v>
      </c>
      <c r="P1352" t="e">
        <f t="shared" ca="1" si="639"/>
        <v>#VALUE!</v>
      </c>
      <c r="Q1352" t="e">
        <f t="shared" ca="1" si="640"/>
        <v>#VALUE!</v>
      </c>
      <c r="R1352" t="e">
        <f t="shared" ca="1" si="641"/>
        <v>#VALUE!</v>
      </c>
      <c r="S1352" t="e">
        <f t="shared" ca="1" si="642"/>
        <v>#VALUE!</v>
      </c>
      <c r="T1352" t="e">
        <f t="shared" ca="1" si="643"/>
        <v>#VALUE!</v>
      </c>
      <c r="U1352" t="e">
        <f t="shared" ca="1" si="664"/>
        <v>#VALUE!</v>
      </c>
      <c r="V1352" t="e">
        <f t="shared" ca="1" si="665"/>
        <v>#VALUE!</v>
      </c>
      <c r="W1352" t="e">
        <f t="shared" ca="1" si="644"/>
        <v>#VALUE!</v>
      </c>
      <c r="X1352" t="e">
        <f t="shared" ca="1" si="645"/>
        <v>#VALUE!</v>
      </c>
      <c r="Y1352" t="e">
        <f t="shared" ca="1" si="646"/>
        <v>#VALUE!</v>
      </c>
      <c r="Z1352" t="e">
        <f t="shared" ca="1" si="647"/>
        <v>#VALUE!</v>
      </c>
      <c r="AA1352" t="e">
        <f t="shared" ca="1" si="648"/>
        <v>#VALUE!</v>
      </c>
      <c r="AB1352" t="e">
        <f t="shared" ca="1" si="649"/>
        <v>#VALUE!</v>
      </c>
      <c r="AC1352" t="e">
        <f t="shared" ca="1" si="650"/>
        <v>#VALUE!</v>
      </c>
      <c r="AD1352" t="e">
        <f t="shared" ca="1" si="651"/>
        <v>#VALUE!</v>
      </c>
      <c r="AE1352" t="e">
        <f t="shared" ca="1" si="652"/>
        <v>#VALUE!</v>
      </c>
      <c r="AF1352" t="e">
        <f t="shared" ca="1" si="653"/>
        <v>#VALUE!</v>
      </c>
      <c r="AG1352" t="e">
        <f t="shared" ca="1" si="654"/>
        <v>#VALUE!</v>
      </c>
      <c r="AH1352" t="e">
        <f ca="1">IF(V32="Supercritical",L1352,IF(V32="Subcritical",W1352,IF(AND(V1352=1,AG1352=1),IF(T1352&gt;=AE1352,L1352,W1352),IF(V1352=1,L1352,IF(AG1352=1,W1352,MAX($D$16,POWER((ABS(K1352)^2)/($I$5*MAX(F1352,0.1)^2),1/3)))))))</f>
        <v>#VALUE!</v>
      </c>
      <c r="AI1352" t="e">
        <f t="shared" ca="1" si="655"/>
        <v>#VALUE!</v>
      </c>
      <c r="AJ1352" t="e">
        <f t="shared" ca="1" si="656"/>
        <v>#VALUE!</v>
      </c>
      <c r="AM1352">
        <v>0</v>
      </c>
      <c r="AN1352">
        <v>0</v>
      </c>
      <c r="AO1352">
        <f t="shared" si="657"/>
        <v>0</v>
      </c>
      <c r="AP1352">
        <f t="shared" si="666"/>
        <v>0</v>
      </c>
      <c r="AQ1352" t="e">
        <f t="shared" ca="1" si="658"/>
        <v>#VALUE!</v>
      </c>
      <c r="AR1352" t="e">
        <f t="shared" ca="1" si="659"/>
        <v>#VALUE!</v>
      </c>
      <c r="AS1352" t="e">
        <f t="shared" ca="1" si="660"/>
        <v>#VALUE!</v>
      </c>
    </row>
    <row r="1353" spans="1:45" x14ac:dyDescent="0.35">
      <c r="A1353">
        <v>1204</v>
      </c>
      <c r="B1353">
        <v>1202.8889999999999</v>
      </c>
      <c r="C1353">
        <v>616072.58700000006</v>
      </c>
      <c r="D1353">
        <v>3096801.23</v>
      </c>
      <c r="E1353">
        <v>631.96050000000002</v>
      </c>
      <c r="F1353">
        <v>5.2</v>
      </c>
      <c r="G1353">
        <v>0</v>
      </c>
      <c r="H1353" t="s">
        <v>191</v>
      </c>
      <c r="I1353">
        <v>5.7000000000000002E-2</v>
      </c>
      <c r="J1353">
        <f t="shared" si="661"/>
        <v>1</v>
      </c>
      <c r="K1353">
        <f t="shared" si="662"/>
        <v>51</v>
      </c>
      <c r="L1353" t="e">
        <f t="shared" ca="1" si="663"/>
        <v>#VALUE!</v>
      </c>
      <c r="M1353" t="e">
        <f t="shared" ca="1" si="636"/>
        <v>#VALUE!</v>
      </c>
      <c r="N1353" t="e">
        <f t="shared" ca="1" si="637"/>
        <v>#VALUE!</v>
      </c>
      <c r="O1353" t="e">
        <f t="shared" ca="1" si="638"/>
        <v>#VALUE!</v>
      </c>
      <c r="P1353" t="e">
        <f t="shared" ca="1" si="639"/>
        <v>#VALUE!</v>
      </c>
      <c r="Q1353" t="e">
        <f t="shared" ca="1" si="640"/>
        <v>#VALUE!</v>
      </c>
      <c r="R1353" t="e">
        <f t="shared" ca="1" si="641"/>
        <v>#VALUE!</v>
      </c>
      <c r="S1353" t="e">
        <f t="shared" ca="1" si="642"/>
        <v>#VALUE!</v>
      </c>
      <c r="T1353" t="e">
        <f t="shared" ca="1" si="643"/>
        <v>#VALUE!</v>
      </c>
      <c r="U1353" t="e">
        <f t="shared" ca="1" si="664"/>
        <v>#VALUE!</v>
      </c>
      <c r="V1353" t="e">
        <f t="shared" ca="1" si="665"/>
        <v>#VALUE!</v>
      </c>
      <c r="W1353" t="e">
        <f t="shared" ca="1" si="644"/>
        <v>#VALUE!</v>
      </c>
      <c r="X1353" t="e">
        <f t="shared" ca="1" si="645"/>
        <v>#VALUE!</v>
      </c>
      <c r="Y1353" t="e">
        <f t="shared" ca="1" si="646"/>
        <v>#VALUE!</v>
      </c>
      <c r="Z1353" t="e">
        <f t="shared" ca="1" si="647"/>
        <v>#VALUE!</v>
      </c>
      <c r="AA1353" t="e">
        <f t="shared" ca="1" si="648"/>
        <v>#VALUE!</v>
      </c>
      <c r="AB1353" t="e">
        <f t="shared" ca="1" si="649"/>
        <v>#VALUE!</v>
      </c>
      <c r="AC1353" t="e">
        <f t="shared" ca="1" si="650"/>
        <v>#VALUE!</v>
      </c>
      <c r="AD1353" t="e">
        <f t="shared" ca="1" si="651"/>
        <v>#VALUE!</v>
      </c>
      <c r="AE1353" t="e">
        <f t="shared" ca="1" si="652"/>
        <v>#VALUE!</v>
      </c>
      <c r="AF1353" t="e">
        <f t="shared" ca="1" si="653"/>
        <v>#VALUE!</v>
      </c>
      <c r="AG1353" t="e">
        <f t="shared" ca="1" si="654"/>
        <v>#VALUE!</v>
      </c>
      <c r="AH1353" t="e">
        <f ca="1">IF(V32="Supercritical",L1353,IF(V32="Subcritical",W1353,IF(AND(V1353=1,AG1353=1),IF(T1353&gt;=AE1353,L1353,W1353),IF(V1353=1,L1353,IF(AG1353=1,W1353,MAX($D$16,POWER((ABS(K1353)^2)/($I$5*MAX(F1353,0.1)^2),1/3)))))))</f>
        <v>#VALUE!</v>
      </c>
      <c r="AI1353" t="e">
        <f t="shared" ca="1" si="655"/>
        <v>#VALUE!</v>
      </c>
      <c r="AJ1353" t="e">
        <f t="shared" ca="1" si="656"/>
        <v>#VALUE!</v>
      </c>
      <c r="AM1353">
        <v>0</v>
      </c>
      <c r="AN1353">
        <v>0</v>
      </c>
      <c r="AO1353">
        <f t="shared" si="657"/>
        <v>0</v>
      </c>
      <c r="AP1353">
        <f t="shared" si="666"/>
        <v>0</v>
      </c>
      <c r="AQ1353" t="e">
        <f t="shared" ca="1" si="658"/>
        <v>#VALUE!</v>
      </c>
      <c r="AR1353" t="e">
        <f t="shared" ca="1" si="659"/>
        <v>#VALUE!</v>
      </c>
      <c r="AS1353" t="e">
        <f t="shared" ca="1" si="660"/>
        <v>#VALUE!</v>
      </c>
    </row>
    <row r="1354" spans="1:45" x14ac:dyDescent="0.35">
      <c r="A1354">
        <v>1205</v>
      </c>
      <c r="B1354">
        <v>1203.8889999999999</v>
      </c>
      <c r="C1354">
        <v>616072.54500000004</v>
      </c>
      <c r="D1354">
        <v>3096800.2310000001</v>
      </c>
      <c r="E1354">
        <v>631.96</v>
      </c>
      <c r="F1354">
        <v>5.2</v>
      </c>
      <c r="G1354">
        <v>0</v>
      </c>
      <c r="H1354" t="s">
        <v>191</v>
      </c>
      <c r="I1354">
        <v>0</v>
      </c>
      <c r="J1354">
        <f t="shared" si="661"/>
        <v>1</v>
      </c>
      <c r="K1354">
        <f t="shared" si="662"/>
        <v>51</v>
      </c>
      <c r="L1354" t="e">
        <f t="shared" ca="1" si="663"/>
        <v>#VALUE!</v>
      </c>
      <c r="M1354" t="e">
        <f t="shared" ca="1" si="636"/>
        <v>#VALUE!</v>
      </c>
      <c r="N1354" t="e">
        <f t="shared" ca="1" si="637"/>
        <v>#VALUE!</v>
      </c>
      <c r="O1354" t="e">
        <f t="shared" ca="1" si="638"/>
        <v>#VALUE!</v>
      </c>
      <c r="P1354" t="e">
        <f t="shared" ca="1" si="639"/>
        <v>#VALUE!</v>
      </c>
      <c r="Q1354" t="e">
        <f t="shared" ca="1" si="640"/>
        <v>#VALUE!</v>
      </c>
      <c r="R1354" t="e">
        <f t="shared" ca="1" si="641"/>
        <v>#VALUE!</v>
      </c>
      <c r="S1354" t="e">
        <f t="shared" ca="1" si="642"/>
        <v>#VALUE!</v>
      </c>
      <c r="T1354" t="e">
        <f t="shared" ca="1" si="643"/>
        <v>#VALUE!</v>
      </c>
      <c r="U1354" t="e">
        <f t="shared" ca="1" si="664"/>
        <v>#VALUE!</v>
      </c>
      <c r="V1354" t="e">
        <f t="shared" ca="1" si="665"/>
        <v>#VALUE!</v>
      </c>
      <c r="W1354" t="e">
        <f t="shared" ca="1" si="644"/>
        <v>#VALUE!</v>
      </c>
      <c r="X1354" t="e">
        <f t="shared" ca="1" si="645"/>
        <v>#VALUE!</v>
      </c>
      <c r="Y1354" t="e">
        <f t="shared" ca="1" si="646"/>
        <v>#VALUE!</v>
      </c>
      <c r="Z1354" t="e">
        <f t="shared" ca="1" si="647"/>
        <v>#VALUE!</v>
      </c>
      <c r="AA1354" t="e">
        <f t="shared" ca="1" si="648"/>
        <v>#VALUE!</v>
      </c>
      <c r="AB1354" t="e">
        <f t="shared" ca="1" si="649"/>
        <v>#VALUE!</v>
      </c>
      <c r="AC1354" t="e">
        <f t="shared" ca="1" si="650"/>
        <v>#VALUE!</v>
      </c>
      <c r="AD1354" t="e">
        <f t="shared" ca="1" si="651"/>
        <v>#VALUE!</v>
      </c>
      <c r="AE1354" t="e">
        <f t="shared" ca="1" si="652"/>
        <v>#VALUE!</v>
      </c>
      <c r="AF1354" t="e">
        <f t="shared" ca="1" si="653"/>
        <v>#VALUE!</v>
      </c>
      <c r="AG1354" t="e">
        <f t="shared" ca="1" si="654"/>
        <v>#VALUE!</v>
      </c>
      <c r="AH1354" t="e">
        <f ca="1">IF(V32="Supercritical",L1354,IF(V32="Subcritical",W1354,IF(AND(V1354=1,AG1354=1),IF(T1354&gt;=AE1354,L1354,W1354),IF(V1354=1,L1354,IF(AG1354=1,W1354,MAX($D$16,POWER((ABS(K1354)^2)/($I$5*MAX(F1354,0.1)^2),1/3)))))))</f>
        <v>#VALUE!</v>
      </c>
      <c r="AI1354" t="e">
        <f t="shared" ca="1" si="655"/>
        <v>#VALUE!</v>
      </c>
      <c r="AJ1354" t="e">
        <f t="shared" ca="1" si="656"/>
        <v>#VALUE!</v>
      </c>
      <c r="AM1354">
        <v>0</v>
      </c>
      <c r="AN1354">
        <v>0</v>
      </c>
      <c r="AO1354">
        <f t="shared" si="657"/>
        <v>0</v>
      </c>
      <c r="AP1354">
        <f t="shared" si="666"/>
        <v>0</v>
      </c>
      <c r="AQ1354" t="e">
        <f t="shared" ca="1" si="658"/>
        <v>#VALUE!</v>
      </c>
      <c r="AR1354" t="e">
        <f t="shared" ca="1" si="659"/>
        <v>#VALUE!</v>
      </c>
      <c r="AS1354" t="e">
        <f t="shared" ca="1" si="660"/>
        <v>#VALUE!</v>
      </c>
    </row>
    <row r="1355" spans="1:45" x14ac:dyDescent="0.35">
      <c r="A1355">
        <v>1206</v>
      </c>
      <c r="B1355">
        <v>1204.8889999999999</v>
      </c>
      <c r="C1355">
        <v>616072.50300000003</v>
      </c>
      <c r="D1355">
        <v>3096799.2319999998</v>
      </c>
      <c r="E1355">
        <v>631.95950000000005</v>
      </c>
      <c r="F1355">
        <v>5.2</v>
      </c>
      <c r="G1355">
        <v>0</v>
      </c>
      <c r="H1355" t="s">
        <v>191</v>
      </c>
      <c r="I1355">
        <v>0</v>
      </c>
      <c r="J1355">
        <f t="shared" si="661"/>
        <v>1</v>
      </c>
      <c r="K1355">
        <f t="shared" si="662"/>
        <v>51</v>
      </c>
      <c r="L1355" t="e">
        <f t="shared" ca="1" si="663"/>
        <v>#VALUE!</v>
      </c>
      <c r="M1355" t="e">
        <f t="shared" ca="1" si="636"/>
        <v>#VALUE!</v>
      </c>
      <c r="N1355" t="e">
        <f t="shared" ca="1" si="637"/>
        <v>#VALUE!</v>
      </c>
      <c r="O1355" t="e">
        <f t="shared" ca="1" si="638"/>
        <v>#VALUE!</v>
      </c>
      <c r="P1355" t="e">
        <f t="shared" ca="1" si="639"/>
        <v>#VALUE!</v>
      </c>
      <c r="Q1355" t="e">
        <f t="shared" ca="1" si="640"/>
        <v>#VALUE!</v>
      </c>
      <c r="R1355" t="e">
        <f t="shared" ca="1" si="641"/>
        <v>#VALUE!</v>
      </c>
      <c r="S1355" t="e">
        <f t="shared" ca="1" si="642"/>
        <v>#VALUE!</v>
      </c>
      <c r="T1355" t="e">
        <f t="shared" ca="1" si="643"/>
        <v>#VALUE!</v>
      </c>
      <c r="U1355" t="e">
        <f t="shared" ca="1" si="664"/>
        <v>#VALUE!</v>
      </c>
      <c r="V1355" t="e">
        <f t="shared" ca="1" si="665"/>
        <v>#VALUE!</v>
      </c>
      <c r="W1355" t="e">
        <f t="shared" ca="1" si="644"/>
        <v>#VALUE!</v>
      </c>
      <c r="X1355" t="e">
        <f t="shared" ca="1" si="645"/>
        <v>#VALUE!</v>
      </c>
      <c r="Y1355" t="e">
        <f t="shared" ca="1" si="646"/>
        <v>#VALUE!</v>
      </c>
      <c r="Z1355" t="e">
        <f t="shared" ca="1" si="647"/>
        <v>#VALUE!</v>
      </c>
      <c r="AA1355" t="e">
        <f t="shared" ca="1" si="648"/>
        <v>#VALUE!</v>
      </c>
      <c r="AB1355" t="e">
        <f t="shared" ca="1" si="649"/>
        <v>#VALUE!</v>
      </c>
      <c r="AC1355" t="e">
        <f t="shared" ca="1" si="650"/>
        <v>#VALUE!</v>
      </c>
      <c r="AD1355" t="e">
        <f t="shared" ca="1" si="651"/>
        <v>#VALUE!</v>
      </c>
      <c r="AE1355" t="e">
        <f t="shared" ca="1" si="652"/>
        <v>#VALUE!</v>
      </c>
      <c r="AF1355" t="e">
        <f t="shared" ca="1" si="653"/>
        <v>#VALUE!</v>
      </c>
      <c r="AG1355" t="e">
        <f t="shared" ca="1" si="654"/>
        <v>#VALUE!</v>
      </c>
      <c r="AH1355" t="e">
        <f ca="1">IF(V32="Supercritical",L1355,IF(V32="Subcritical",W1355,IF(AND(V1355=1,AG1355=1),IF(T1355&gt;=AE1355,L1355,W1355),IF(V1355=1,L1355,IF(AG1355=1,W1355,MAX($D$16,POWER((ABS(K1355)^2)/($I$5*MAX(F1355,0.1)^2),1/3)))))))</f>
        <v>#VALUE!</v>
      </c>
      <c r="AI1355" t="e">
        <f t="shared" ca="1" si="655"/>
        <v>#VALUE!</v>
      </c>
      <c r="AJ1355" t="e">
        <f t="shared" ca="1" si="656"/>
        <v>#VALUE!</v>
      </c>
      <c r="AM1355">
        <v>0</v>
      </c>
      <c r="AN1355">
        <v>0</v>
      </c>
      <c r="AO1355">
        <f t="shared" si="657"/>
        <v>0</v>
      </c>
      <c r="AP1355">
        <f t="shared" si="666"/>
        <v>0</v>
      </c>
      <c r="AQ1355" t="e">
        <f t="shared" ca="1" si="658"/>
        <v>#VALUE!</v>
      </c>
      <c r="AR1355" t="e">
        <f t="shared" ca="1" si="659"/>
        <v>#VALUE!</v>
      </c>
      <c r="AS1355" t="e">
        <f t="shared" ca="1" si="660"/>
        <v>#VALUE!</v>
      </c>
    </row>
    <row r="1356" spans="1:45" x14ac:dyDescent="0.35">
      <c r="A1356">
        <v>1207</v>
      </c>
      <c r="B1356">
        <v>1205.8889999999999</v>
      </c>
      <c r="C1356">
        <v>616072.46100000001</v>
      </c>
      <c r="D1356">
        <v>3096798.233</v>
      </c>
      <c r="E1356">
        <v>631.95899999999995</v>
      </c>
      <c r="F1356">
        <v>5.2</v>
      </c>
      <c r="G1356">
        <v>0</v>
      </c>
      <c r="H1356" t="s">
        <v>191</v>
      </c>
      <c r="I1356">
        <v>5.7000000000000002E-2</v>
      </c>
      <c r="J1356">
        <f t="shared" si="661"/>
        <v>1</v>
      </c>
      <c r="K1356">
        <f t="shared" si="662"/>
        <v>51</v>
      </c>
      <c r="L1356" t="e">
        <f t="shared" ca="1" si="663"/>
        <v>#VALUE!</v>
      </c>
      <c r="M1356" t="e">
        <f t="shared" ca="1" si="636"/>
        <v>#VALUE!</v>
      </c>
      <c r="N1356" t="e">
        <f t="shared" ca="1" si="637"/>
        <v>#VALUE!</v>
      </c>
      <c r="O1356" t="e">
        <f t="shared" ca="1" si="638"/>
        <v>#VALUE!</v>
      </c>
      <c r="P1356" t="e">
        <f t="shared" ca="1" si="639"/>
        <v>#VALUE!</v>
      </c>
      <c r="Q1356" t="e">
        <f t="shared" ca="1" si="640"/>
        <v>#VALUE!</v>
      </c>
      <c r="R1356" t="e">
        <f t="shared" ca="1" si="641"/>
        <v>#VALUE!</v>
      </c>
      <c r="S1356" t="e">
        <f t="shared" ca="1" si="642"/>
        <v>#VALUE!</v>
      </c>
      <c r="T1356" t="e">
        <f t="shared" ca="1" si="643"/>
        <v>#VALUE!</v>
      </c>
      <c r="U1356" t="e">
        <f t="shared" ca="1" si="664"/>
        <v>#VALUE!</v>
      </c>
      <c r="V1356" t="e">
        <f t="shared" ca="1" si="665"/>
        <v>#VALUE!</v>
      </c>
      <c r="W1356" t="e">
        <f t="shared" ca="1" si="644"/>
        <v>#VALUE!</v>
      </c>
      <c r="X1356" t="e">
        <f t="shared" ca="1" si="645"/>
        <v>#VALUE!</v>
      </c>
      <c r="Y1356" t="e">
        <f t="shared" ca="1" si="646"/>
        <v>#VALUE!</v>
      </c>
      <c r="Z1356" t="e">
        <f t="shared" ca="1" si="647"/>
        <v>#VALUE!</v>
      </c>
      <c r="AA1356" t="e">
        <f t="shared" ca="1" si="648"/>
        <v>#VALUE!</v>
      </c>
      <c r="AB1356" t="e">
        <f t="shared" ca="1" si="649"/>
        <v>#VALUE!</v>
      </c>
      <c r="AC1356" t="e">
        <f t="shared" ca="1" si="650"/>
        <v>#VALUE!</v>
      </c>
      <c r="AD1356" t="e">
        <f t="shared" ca="1" si="651"/>
        <v>#VALUE!</v>
      </c>
      <c r="AE1356" t="e">
        <f t="shared" ca="1" si="652"/>
        <v>#VALUE!</v>
      </c>
      <c r="AF1356" t="e">
        <f t="shared" ca="1" si="653"/>
        <v>#VALUE!</v>
      </c>
      <c r="AG1356" t="e">
        <f t="shared" ca="1" si="654"/>
        <v>#VALUE!</v>
      </c>
      <c r="AH1356" t="e">
        <f ca="1">IF(V32="Supercritical",L1356,IF(V32="Subcritical",W1356,IF(AND(V1356=1,AG1356=1),IF(T1356&gt;=AE1356,L1356,W1356),IF(V1356=1,L1356,IF(AG1356=1,W1356,MAX($D$16,POWER((ABS(K1356)^2)/($I$5*MAX(F1356,0.1)^2),1/3)))))))</f>
        <v>#VALUE!</v>
      </c>
      <c r="AI1356" t="e">
        <f t="shared" ca="1" si="655"/>
        <v>#VALUE!</v>
      </c>
      <c r="AJ1356" t="e">
        <f t="shared" ca="1" si="656"/>
        <v>#VALUE!</v>
      </c>
      <c r="AM1356">
        <v>0</v>
      </c>
      <c r="AN1356">
        <v>0</v>
      </c>
      <c r="AO1356">
        <f t="shared" si="657"/>
        <v>0</v>
      </c>
      <c r="AP1356">
        <f t="shared" si="666"/>
        <v>0</v>
      </c>
      <c r="AQ1356" t="e">
        <f t="shared" ca="1" si="658"/>
        <v>#VALUE!</v>
      </c>
      <c r="AR1356" t="e">
        <f t="shared" ca="1" si="659"/>
        <v>#VALUE!</v>
      </c>
      <c r="AS1356" t="e">
        <f t="shared" ca="1" si="660"/>
        <v>#VALUE!</v>
      </c>
    </row>
    <row r="1357" spans="1:45" x14ac:dyDescent="0.35">
      <c r="A1357">
        <v>1208</v>
      </c>
      <c r="B1357">
        <v>1206.8889999999999</v>
      </c>
      <c r="C1357">
        <v>616072.41799999995</v>
      </c>
      <c r="D1357">
        <v>3096797.2340000002</v>
      </c>
      <c r="E1357">
        <v>631.95849999999996</v>
      </c>
      <c r="F1357">
        <v>5.2</v>
      </c>
      <c r="G1357">
        <v>0</v>
      </c>
      <c r="H1357" t="s">
        <v>191</v>
      </c>
      <c r="I1357">
        <v>5.7000000000000002E-2</v>
      </c>
      <c r="J1357">
        <f t="shared" si="661"/>
        <v>1</v>
      </c>
      <c r="K1357">
        <f t="shared" si="662"/>
        <v>51</v>
      </c>
      <c r="L1357" t="e">
        <f t="shared" ca="1" si="663"/>
        <v>#VALUE!</v>
      </c>
      <c r="M1357" t="e">
        <f t="shared" ca="1" si="636"/>
        <v>#VALUE!</v>
      </c>
      <c r="N1357" t="e">
        <f t="shared" ca="1" si="637"/>
        <v>#VALUE!</v>
      </c>
      <c r="O1357" t="e">
        <f t="shared" ca="1" si="638"/>
        <v>#VALUE!</v>
      </c>
      <c r="P1357" t="e">
        <f t="shared" ca="1" si="639"/>
        <v>#VALUE!</v>
      </c>
      <c r="Q1357" t="e">
        <f t="shared" ca="1" si="640"/>
        <v>#VALUE!</v>
      </c>
      <c r="R1357" t="e">
        <f t="shared" ca="1" si="641"/>
        <v>#VALUE!</v>
      </c>
      <c r="S1357" t="e">
        <f t="shared" ca="1" si="642"/>
        <v>#VALUE!</v>
      </c>
      <c r="T1357" t="e">
        <f t="shared" ca="1" si="643"/>
        <v>#VALUE!</v>
      </c>
      <c r="U1357" t="e">
        <f t="shared" ca="1" si="664"/>
        <v>#VALUE!</v>
      </c>
      <c r="V1357" t="e">
        <f t="shared" ca="1" si="665"/>
        <v>#VALUE!</v>
      </c>
      <c r="W1357" t="e">
        <f t="shared" ca="1" si="644"/>
        <v>#VALUE!</v>
      </c>
      <c r="X1357" t="e">
        <f t="shared" ca="1" si="645"/>
        <v>#VALUE!</v>
      </c>
      <c r="Y1357" t="e">
        <f t="shared" ca="1" si="646"/>
        <v>#VALUE!</v>
      </c>
      <c r="Z1357" t="e">
        <f t="shared" ca="1" si="647"/>
        <v>#VALUE!</v>
      </c>
      <c r="AA1357" t="e">
        <f t="shared" ca="1" si="648"/>
        <v>#VALUE!</v>
      </c>
      <c r="AB1357" t="e">
        <f t="shared" ca="1" si="649"/>
        <v>#VALUE!</v>
      </c>
      <c r="AC1357" t="e">
        <f t="shared" ca="1" si="650"/>
        <v>#VALUE!</v>
      </c>
      <c r="AD1357" t="e">
        <f t="shared" ca="1" si="651"/>
        <v>#VALUE!</v>
      </c>
      <c r="AE1357" t="e">
        <f t="shared" ca="1" si="652"/>
        <v>#VALUE!</v>
      </c>
      <c r="AF1357" t="e">
        <f t="shared" ca="1" si="653"/>
        <v>#VALUE!</v>
      </c>
      <c r="AG1357" t="e">
        <f t="shared" ca="1" si="654"/>
        <v>#VALUE!</v>
      </c>
      <c r="AH1357" t="e">
        <f ca="1">IF(V32="Supercritical",L1357,IF(V32="Subcritical",W1357,IF(AND(V1357=1,AG1357=1),IF(T1357&gt;=AE1357,L1357,W1357),IF(V1357=1,L1357,IF(AG1357=1,W1357,MAX($D$16,POWER((ABS(K1357)^2)/($I$5*MAX(F1357,0.1)^2),1/3)))))))</f>
        <v>#VALUE!</v>
      </c>
      <c r="AI1357" t="e">
        <f t="shared" ca="1" si="655"/>
        <v>#VALUE!</v>
      </c>
      <c r="AJ1357" t="e">
        <f t="shared" ca="1" si="656"/>
        <v>#VALUE!</v>
      </c>
      <c r="AM1357">
        <v>0</v>
      </c>
      <c r="AN1357">
        <v>0</v>
      </c>
      <c r="AO1357">
        <f t="shared" si="657"/>
        <v>0</v>
      </c>
      <c r="AP1357">
        <f t="shared" si="666"/>
        <v>0</v>
      </c>
      <c r="AQ1357" t="e">
        <f t="shared" ca="1" si="658"/>
        <v>#VALUE!</v>
      </c>
      <c r="AR1357" t="e">
        <f t="shared" ca="1" si="659"/>
        <v>#VALUE!</v>
      </c>
      <c r="AS1357" t="e">
        <f t="shared" ca="1" si="660"/>
        <v>#VALUE!</v>
      </c>
    </row>
    <row r="1358" spans="1:45" x14ac:dyDescent="0.35">
      <c r="A1358">
        <v>1209</v>
      </c>
      <c r="B1358">
        <v>1207.8889999999999</v>
      </c>
      <c r="C1358">
        <v>616072.37600000005</v>
      </c>
      <c r="D1358">
        <v>3096796.2349999999</v>
      </c>
      <c r="E1358">
        <v>631.95799999999997</v>
      </c>
      <c r="F1358">
        <v>5.2</v>
      </c>
      <c r="G1358">
        <v>0</v>
      </c>
      <c r="H1358" t="s">
        <v>191</v>
      </c>
      <c r="I1358">
        <v>2E-3</v>
      </c>
      <c r="J1358">
        <f t="shared" si="661"/>
        <v>1</v>
      </c>
      <c r="K1358">
        <f t="shared" si="662"/>
        <v>51</v>
      </c>
      <c r="L1358" t="e">
        <f t="shared" ca="1" si="663"/>
        <v>#VALUE!</v>
      </c>
      <c r="M1358" t="e">
        <f t="shared" ca="1" si="636"/>
        <v>#VALUE!</v>
      </c>
      <c r="N1358" t="e">
        <f t="shared" ca="1" si="637"/>
        <v>#VALUE!</v>
      </c>
      <c r="O1358" t="e">
        <f t="shared" ca="1" si="638"/>
        <v>#VALUE!</v>
      </c>
      <c r="P1358" t="e">
        <f t="shared" ca="1" si="639"/>
        <v>#VALUE!</v>
      </c>
      <c r="Q1358" t="e">
        <f t="shared" ca="1" si="640"/>
        <v>#VALUE!</v>
      </c>
      <c r="R1358" t="e">
        <f t="shared" ca="1" si="641"/>
        <v>#VALUE!</v>
      </c>
      <c r="S1358" t="e">
        <f t="shared" ca="1" si="642"/>
        <v>#VALUE!</v>
      </c>
      <c r="T1358" t="e">
        <f t="shared" ca="1" si="643"/>
        <v>#VALUE!</v>
      </c>
      <c r="U1358" t="e">
        <f t="shared" ca="1" si="664"/>
        <v>#VALUE!</v>
      </c>
      <c r="V1358" t="e">
        <f t="shared" ca="1" si="665"/>
        <v>#VALUE!</v>
      </c>
      <c r="W1358" t="e">
        <f t="shared" ca="1" si="644"/>
        <v>#VALUE!</v>
      </c>
      <c r="X1358" t="e">
        <f t="shared" ca="1" si="645"/>
        <v>#VALUE!</v>
      </c>
      <c r="Y1358" t="e">
        <f t="shared" ca="1" si="646"/>
        <v>#VALUE!</v>
      </c>
      <c r="Z1358" t="e">
        <f t="shared" ca="1" si="647"/>
        <v>#VALUE!</v>
      </c>
      <c r="AA1358" t="e">
        <f t="shared" ca="1" si="648"/>
        <v>#VALUE!</v>
      </c>
      <c r="AB1358" t="e">
        <f t="shared" ca="1" si="649"/>
        <v>#VALUE!</v>
      </c>
      <c r="AC1358" t="e">
        <f t="shared" ca="1" si="650"/>
        <v>#VALUE!</v>
      </c>
      <c r="AD1358" t="e">
        <f t="shared" ca="1" si="651"/>
        <v>#VALUE!</v>
      </c>
      <c r="AE1358" t="e">
        <f t="shared" ca="1" si="652"/>
        <v>#VALUE!</v>
      </c>
      <c r="AF1358" t="e">
        <f t="shared" ca="1" si="653"/>
        <v>#VALUE!</v>
      </c>
      <c r="AG1358" t="e">
        <f t="shared" ca="1" si="654"/>
        <v>#VALUE!</v>
      </c>
      <c r="AH1358" t="e">
        <f ca="1">IF(V32="Supercritical",L1358,IF(V32="Subcritical",W1358,IF(AND(V1358=1,AG1358=1),IF(T1358&gt;=AE1358,L1358,W1358),IF(V1358=1,L1358,IF(AG1358=1,W1358,MAX($D$16,POWER((ABS(K1358)^2)/($I$5*MAX(F1358,0.1)^2),1/3)))))))</f>
        <v>#VALUE!</v>
      </c>
      <c r="AI1358" t="e">
        <f t="shared" ca="1" si="655"/>
        <v>#VALUE!</v>
      </c>
      <c r="AJ1358" t="e">
        <f t="shared" ca="1" si="656"/>
        <v>#VALUE!</v>
      </c>
      <c r="AM1358">
        <v>0</v>
      </c>
      <c r="AN1358">
        <v>0</v>
      </c>
      <c r="AO1358">
        <f t="shared" si="657"/>
        <v>0</v>
      </c>
      <c r="AP1358">
        <f t="shared" si="666"/>
        <v>0</v>
      </c>
      <c r="AQ1358" t="e">
        <f t="shared" ca="1" si="658"/>
        <v>#VALUE!</v>
      </c>
      <c r="AR1358" t="e">
        <f t="shared" ca="1" si="659"/>
        <v>#VALUE!</v>
      </c>
      <c r="AS1358" t="e">
        <f t="shared" ca="1" si="660"/>
        <v>#VALUE!</v>
      </c>
    </row>
    <row r="1359" spans="1:45" x14ac:dyDescent="0.35">
      <c r="A1359">
        <v>1210</v>
      </c>
      <c r="B1359">
        <v>1208.8900000000001</v>
      </c>
      <c r="C1359">
        <v>616072.33400000003</v>
      </c>
      <c r="D1359">
        <v>3096795.2349999999</v>
      </c>
      <c r="E1359">
        <v>631.95749999999998</v>
      </c>
      <c r="F1359">
        <v>5.2</v>
      </c>
      <c r="G1359">
        <v>0</v>
      </c>
      <c r="H1359" t="s">
        <v>191</v>
      </c>
      <c r="I1359">
        <v>2E-3</v>
      </c>
      <c r="J1359">
        <f t="shared" si="661"/>
        <v>1.0010000000002037</v>
      </c>
      <c r="K1359">
        <f t="shared" si="662"/>
        <v>51</v>
      </c>
      <c r="L1359" t="e">
        <f t="shared" ca="1" si="663"/>
        <v>#VALUE!</v>
      </c>
      <c r="M1359" t="e">
        <f t="shared" ca="1" si="636"/>
        <v>#VALUE!</v>
      </c>
      <c r="N1359" t="e">
        <f t="shared" ca="1" si="637"/>
        <v>#VALUE!</v>
      </c>
      <c r="O1359" t="e">
        <f t="shared" ca="1" si="638"/>
        <v>#VALUE!</v>
      </c>
      <c r="P1359" t="e">
        <f t="shared" ca="1" si="639"/>
        <v>#VALUE!</v>
      </c>
      <c r="Q1359" t="e">
        <f t="shared" ca="1" si="640"/>
        <v>#VALUE!</v>
      </c>
      <c r="R1359" t="e">
        <f t="shared" ca="1" si="641"/>
        <v>#VALUE!</v>
      </c>
      <c r="S1359" t="e">
        <f t="shared" ca="1" si="642"/>
        <v>#VALUE!</v>
      </c>
      <c r="T1359" t="e">
        <f t="shared" ca="1" si="643"/>
        <v>#VALUE!</v>
      </c>
      <c r="U1359" t="e">
        <f t="shared" ca="1" si="664"/>
        <v>#VALUE!</v>
      </c>
      <c r="V1359" t="e">
        <f t="shared" ca="1" si="665"/>
        <v>#VALUE!</v>
      </c>
      <c r="W1359" t="e">
        <f t="shared" ca="1" si="644"/>
        <v>#VALUE!</v>
      </c>
      <c r="X1359" t="e">
        <f t="shared" ca="1" si="645"/>
        <v>#VALUE!</v>
      </c>
      <c r="Y1359" t="e">
        <f t="shared" ca="1" si="646"/>
        <v>#VALUE!</v>
      </c>
      <c r="Z1359" t="e">
        <f t="shared" ca="1" si="647"/>
        <v>#VALUE!</v>
      </c>
      <c r="AA1359" t="e">
        <f t="shared" ca="1" si="648"/>
        <v>#VALUE!</v>
      </c>
      <c r="AB1359" t="e">
        <f t="shared" ca="1" si="649"/>
        <v>#VALUE!</v>
      </c>
      <c r="AC1359" t="e">
        <f t="shared" ca="1" si="650"/>
        <v>#VALUE!</v>
      </c>
      <c r="AD1359" t="e">
        <f t="shared" ca="1" si="651"/>
        <v>#VALUE!</v>
      </c>
      <c r="AE1359" t="e">
        <f t="shared" ca="1" si="652"/>
        <v>#VALUE!</v>
      </c>
      <c r="AF1359" t="e">
        <f t="shared" ca="1" si="653"/>
        <v>#VALUE!</v>
      </c>
      <c r="AG1359" t="e">
        <f t="shared" ca="1" si="654"/>
        <v>#VALUE!</v>
      </c>
      <c r="AH1359" t="e">
        <f ca="1">IF(V32="Supercritical",L1359,IF(V32="Subcritical",W1359,IF(AND(V1359=1,AG1359=1),IF(T1359&gt;=AE1359,L1359,W1359),IF(V1359=1,L1359,IF(AG1359=1,W1359,MAX($D$16,POWER((ABS(K1359)^2)/($I$5*MAX(F1359,0.1)^2),1/3)))))))</f>
        <v>#VALUE!</v>
      </c>
      <c r="AI1359" t="e">
        <f t="shared" ca="1" si="655"/>
        <v>#VALUE!</v>
      </c>
      <c r="AJ1359" t="e">
        <f t="shared" ca="1" si="656"/>
        <v>#VALUE!</v>
      </c>
      <c r="AM1359">
        <v>0</v>
      </c>
      <c r="AN1359">
        <v>0</v>
      </c>
      <c r="AO1359">
        <f t="shared" si="657"/>
        <v>0</v>
      </c>
      <c r="AP1359">
        <f t="shared" si="666"/>
        <v>0</v>
      </c>
      <c r="AQ1359" t="e">
        <f t="shared" ca="1" si="658"/>
        <v>#VALUE!</v>
      </c>
      <c r="AR1359" t="e">
        <f t="shared" ca="1" si="659"/>
        <v>#VALUE!</v>
      </c>
      <c r="AS1359" t="e">
        <f t="shared" ca="1" si="660"/>
        <v>#VALUE!</v>
      </c>
    </row>
    <row r="1360" spans="1:45" x14ac:dyDescent="0.35">
      <c r="A1360">
        <v>1211</v>
      </c>
      <c r="B1360">
        <v>1209.8900000000001</v>
      </c>
      <c r="C1360">
        <v>616072.29200000002</v>
      </c>
      <c r="D1360">
        <v>3096794.236</v>
      </c>
      <c r="E1360">
        <v>631.95699999999999</v>
      </c>
      <c r="F1360">
        <v>5.2</v>
      </c>
      <c r="G1360">
        <v>0</v>
      </c>
      <c r="H1360" t="s">
        <v>191</v>
      </c>
      <c r="I1360">
        <v>5.7000000000000002E-2</v>
      </c>
      <c r="J1360">
        <f t="shared" si="661"/>
        <v>1</v>
      </c>
      <c r="K1360">
        <f t="shared" si="662"/>
        <v>51</v>
      </c>
      <c r="L1360" t="e">
        <f t="shared" ca="1" si="663"/>
        <v>#VALUE!</v>
      </c>
      <c r="M1360" t="e">
        <f t="shared" ca="1" si="636"/>
        <v>#VALUE!</v>
      </c>
      <c r="N1360" t="e">
        <f t="shared" ca="1" si="637"/>
        <v>#VALUE!</v>
      </c>
      <c r="O1360" t="e">
        <f t="shared" ca="1" si="638"/>
        <v>#VALUE!</v>
      </c>
      <c r="P1360" t="e">
        <f t="shared" ca="1" si="639"/>
        <v>#VALUE!</v>
      </c>
      <c r="Q1360" t="e">
        <f t="shared" ca="1" si="640"/>
        <v>#VALUE!</v>
      </c>
      <c r="R1360" t="e">
        <f t="shared" ca="1" si="641"/>
        <v>#VALUE!</v>
      </c>
      <c r="S1360" t="e">
        <f t="shared" ca="1" si="642"/>
        <v>#VALUE!</v>
      </c>
      <c r="T1360" t="e">
        <f t="shared" ca="1" si="643"/>
        <v>#VALUE!</v>
      </c>
      <c r="U1360" t="e">
        <f t="shared" ca="1" si="664"/>
        <v>#VALUE!</v>
      </c>
      <c r="V1360" t="e">
        <f t="shared" ca="1" si="665"/>
        <v>#VALUE!</v>
      </c>
      <c r="W1360" t="e">
        <f t="shared" ca="1" si="644"/>
        <v>#VALUE!</v>
      </c>
      <c r="X1360" t="e">
        <f t="shared" ca="1" si="645"/>
        <v>#VALUE!</v>
      </c>
      <c r="Y1360" t="e">
        <f t="shared" ca="1" si="646"/>
        <v>#VALUE!</v>
      </c>
      <c r="Z1360" t="e">
        <f t="shared" ca="1" si="647"/>
        <v>#VALUE!</v>
      </c>
      <c r="AA1360" t="e">
        <f t="shared" ca="1" si="648"/>
        <v>#VALUE!</v>
      </c>
      <c r="AB1360" t="e">
        <f t="shared" ca="1" si="649"/>
        <v>#VALUE!</v>
      </c>
      <c r="AC1360" t="e">
        <f t="shared" ca="1" si="650"/>
        <v>#VALUE!</v>
      </c>
      <c r="AD1360" t="e">
        <f t="shared" ca="1" si="651"/>
        <v>#VALUE!</v>
      </c>
      <c r="AE1360" t="e">
        <f t="shared" ca="1" si="652"/>
        <v>#VALUE!</v>
      </c>
      <c r="AF1360" t="e">
        <f t="shared" ca="1" si="653"/>
        <v>#VALUE!</v>
      </c>
      <c r="AG1360" t="e">
        <f t="shared" ca="1" si="654"/>
        <v>#VALUE!</v>
      </c>
      <c r="AH1360" t="e">
        <f ca="1">IF(V32="Supercritical",L1360,IF(V32="Subcritical",W1360,IF(AND(V1360=1,AG1360=1),IF(T1360&gt;=AE1360,L1360,W1360),IF(V1360=1,L1360,IF(AG1360=1,W1360,MAX($D$16,POWER((ABS(K1360)^2)/($I$5*MAX(F1360,0.1)^2),1/3)))))))</f>
        <v>#VALUE!</v>
      </c>
      <c r="AI1360" t="e">
        <f t="shared" ca="1" si="655"/>
        <v>#VALUE!</v>
      </c>
      <c r="AJ1360" t="e">
        <f t="shared" ca="1" si="656"/>
        <v>#VALUE!</v>
      </c>
      <c r="AM1360">
        <v>0</v>
      </c>
      <c r="AN1360">
        <v>0</v>
      </c>
      <c r="AO1360">
        <f t="shared" si="657"/>
        <v>0</v>
      </c>
      <c r="AP1360">
        <f t="shared" si="666"/>
        <v>0</v>
      </c>
      <c r="AQ1360" t="e">
        <f t="shared" ca="1" si="658"/>
        <v>#VALUE!</v>
      </c>
      <c r="AR1360" t="e">
        <f t="shared" ca="1" si="659"/>
        <v>#VALUE!</v>
      </c>
      <c r="AS1360" t="e">
        <f t="shared" ca="1" si="660"/>
        <v>#VALUE!</v>
      </c>
    </row>
    <row r="1361" spans="1:45" x14ac:dyDescent="0.35">
      <c r="A1361">
        <v>1212</v>
      </c>
      <c r="B1361">
        <v>1210.8900000000001</v>
      </c>
      <c r="C1361">
        <v>616072.24899999995</v>
      </c>
      <c r="D1361">
        <v>3096793.2370000002</v>
      </c>
      <c r="E1361">
        <v>631.95650000000001</v>
      </c>
      <c r="F1361">
        <v>5.2</v>
      </c>
      <c r="G1361">
        <v>0</v>
      </c>
      <c r="H1361" t="s">
        <v>191</v>
      </c>
      <c r="I1361">
        <v>5.7000000000000002E-2</v>
      </c>
      <c r="J1361">
        <f t="shared" si="661"/>
        <v>1</v>
      </c>
      <c r="K1361">
        <f t="shared" si="662"/>
        <v>51</v>
      </c>
      <c r="L1361" t="e">
        <f t="shared" ca="1" si="663"/>
        <v>#VALUE!</v>
      </c>
      <c r="M1361" t="e">
        <f t="shared" ca="1" si="636"/>
        <v>#VALUE!</v>
      </c>
      <c r="N1361" t="e">
        <f t="shared" ca="1" si="637"/>
        <v>#VALUE!</v>
      </c>
      <c r="O1361" t="e">
        <f t="shared" ca="1" si="638"/>
        <v>#VALUE!</v>
      </c>
      <c r="P1361" t="e">
        <f t="shared" ca="1" si="639"/>
        <v>#VALUE!</v>
      </c>
      <c r="Q1361" t="e">
        <f t="shared" ca="1" si="640"/>
        <v>#VALUE!</v>
      </c>
      <c r="R1361" t="e">
        <f t="shared" ca="1" si="641"/>
        <v>#VALUE!</v>
      </c>
      <c r="S1361" t="e">
        <f t="shared" ca="1" si="642"/>
        <v>#VALUE!</v>
      </c>
      <c r="T1361" t="e">
        <f t="shared" ca="1" si="643"/>
        <v>#VALUE!</v>
      </c>
      <c r="U1361" t="e">
        <f t="shared" ca="1" si="664"/>
        <v>#VALUE!</v>
      </c>
      <c r="V1361" t="e">
        <f t="shared" ca="1" si="665"/>
        <v>#VALUE!</v>
      </c>
      <c r="W1361" t="e">
        <f t="shared" ca="1" si="644"/>
        <v>#VALUE!</v>
      </c>
      <c r="X1361" t="e">
        <f t="shared" ca="1" si="645"/>
        <v>#VALUE!</v>
      </c>
      <c r="Y1361" t="e">
        <f t="shared" ca="1" si="646"/>
        <v>#VALUE!</v>
      </c>
      <c r="Z1361" t="e">
        <f t="shared" ca="1" si="647"/>
        <v>#VALUE!</v>
      </c>
      <c r="AA1361" t="e">
        <f t="shared" ca="1" si="648"/>
        <v>#VALUE!</v>
      </c>
      <c r="AB1361" t="e">
        <f t="shared" ca="1" si="649"/>
        <v>#VALUE!</v>
      </c>
      <c r="AC1361" t="e">
        <f t="shared" ca="1" si="650"/>
        <v>#VALUE!</v>
      </c>
      <c r="AD1361" t="e">
        <f t="shared" ca="1" si="651"/>
        <v>#VALUE!</v>
      </c>
      <c r="AE1361" t="e">
        <f t="shared" ca="1" si="652"/>
        <v>#VALUE!</v>
      </c>
      <c r="AF1361" t="e">
        <f t="shared" ca="1" si="653"/>
        <v>#VALUE!</v>
      </c>
      <c r="AG1361" t="e">
        <f t="shared" ca="1" si="654"/>
        <v>#VALUE!</v>
      </c>
      <c r="AH1361" t="e">
        <f ca="1">IF(V32="Supercritical",L1361,IF(V32="Subcritical",W1361,IF(AND(V1361=1,AG1361=1),IF(T1361&gt;=AE1361,L1361,W1361),IF(V1361=1,L1361,IF(AG1361=1,W1361,MAX($D$16,POWER((ABS(K1361)^2)/($I$5*MAX(F1361,0.1)^2),1/3)))))))</f>
        <v>#VALUE!</v>
      </c>
      <c r="AI1361" t="e">
        <f t="shared" ca="1" si="655"/>
        <v>#VALUE!</v>
      </c>
      <c r="AJ1361" t="e">
        <f t="shared" ca="1" si="656"/>
        <v>#VALUE!</v>
      </c>
      <c r="AM1361">
        <v>0</v>
      </c>
      <c r="AN1361">
        <v>0</v>
      </c>
      <c r="AO1361">
        <f t="shared" si="657"/>
        <v>0</v>
      </c>
      <c r="AP1361">
        <f t="shared" si="666"/>
        <v>0</v>
      </c>
      <c r="AQ1361" t="e">
        <f t="shared" ca="1" si="658"/>
        <v>#VALUE!</v>
      </c>
      <c r="AR1361" t="e">
        <f t="shared" ca="1" si="659"/>
        <v>#VALUE!</v>
      </c>
      <c r="AS1361" t="e">
        <f t="shared" ca="1" si="660"/>
        <v>#VALUE!</v>
      </c>
    </row>
    <row r="1362" spans="1:45" x14ac:dyDescent="0.35">
      <c r="A1362">
        <v>1213</v>
      </c>
      <c r="B1362">
        <v>1211.8889999999999</v>
      </c>
      <c r="C1362">
        <v>616072.20700000005</v>
      </c>
      <c r="D1362">
        <v>3096792.2379999999</v>
      </c>
      <c r="E1362">
        <v>631.95600000000002</v>
      </c>
      <c r="F1362">
        <v>5.2</v>
      </c>
      <c r="G1362">
        <v>0</v>
      </c>
      <c r="H1362" t="s">
        <v>191</v>
      </c>
      <c r="I1362">
        <v>0</v>
      </c>
      <c r="J1362">
        <f t="shared" si="661"/>
        <v>0.99899999999979627</v>
      </c>
      <c r="K1362">
        <f t="shared" si="662"/>
        <v>51</v>
      </c>
      <c r="L1362" t="e">
        <f t="shared" ca="1" si="663"/>
        <v>#VALUE!</v>
      </c>
      <c r="M1362" t="e">
        <f t="shared" ca="1" si="636"/>
        <v>#VALUE!</v>
      </c>
      <c r="N1362" t="e">
        <f t="shared" ca="1" si="637"/>
        <v>#VALUE!</v>
      </c>
      <c r="O1362" t="e">
        <f t="shared" ca="1" si="638"/>
        <v>#VALUE!</v>
      </c>
      <c r="P1362" t="e">
        <f t="shared" ca="1" si="639"/>
        <v>#VALUE!</v>
      </c>
      <c r="Q1362" t="e">
        <f t="shared" ca="1" si="640"/>
        <v>#VALUE!</v>
      </c>
      <c r="R1362" t="e">
        <f t="shared" ca="1" si="641"/>
        <v>#VALUE!</v>
      </c>
      <c r="S1362" t="e">
        <f t="shared" ca="1" si="642"/>
        <v>#VALUE!</v>
      </c>
      <c r="T1362" t="e">
        <f t="shared" ca="1" si="643"/>
        <v>#VALUE!</v>
      </c>
      <c r="U1362" t="e">
        <f t="shared" ca="1" si="664"/>
        <v>#VALUE!</v>
      </c>
      <c r="V1362" t="e">
        <f t="shared" ca="1" si="665"/>
        <v>#VALUE!</v>
      </c>
      <c r="W1362" t="e">
        <f t="shared" ca="1" si="644"/>
        <v>#VALUE!</v>
      </c>
      <c r="X1362" t="e">
        <f t="shared" ca="1" si="645"/>
        <v>#VALUE!</v>
      </c>
      <c r="Y1362" t="e">
        <f t="shared" ca="1" si="646"/>
        <v>#VALUE!</v>
      </c>
      <c r="Z1362" t="e">
        <f t="shared" ca="1" si="647"/>
        <v>#VALUE!</v>
      </c>
      <c r="AA1362" t="e">
        <f t="shared" ca="1" si="648"/>
        <v>#VALUE!</v>
      </c>
      <c r="AB1362" t="e">
        <f t="shared" ca="1" si="649"/>
        <v>#VALUE!</v>
      </c>
      <c r="AC1362" t="e">
        <f t="shared" ca="1" si="650"/>
        <v>#VALUE!</v>
      </c>
      <c r="AD1362" t="e">
        <f t="shared" ca="1" si="651"/>
        <v>#VALUE!</v>
      </c>
      <c r="AE1362" t="e">
        <f t="shared" ca="1" si="652"/>
        <v>#VALUE!</v>
      </c>
      <c r="AF1362" t="e">
        <f t="shared" ca="1" si="653"/>
        <v>#VALUE!</v>
      </c>
      <c r="AG1362" t="e">
        <f t="shared" ca="1" si="654"/>
        <v>#VALUE!</v>
      </c>
      <c r="AH1362" t="e">
        <f ca="1">IF(V32="Supercritical",L1362,IF(V32="Subcritical",W1362,IF(AND(V1362=1,AG1362=1),IF(T1362&gt;=AE1362,L1362,W1362),IF(V1362=1,L1362,IF(AG1362=1,W1362,MAX($D$16,POWER((ABS(K1362)^2)/($I$5*MAX(F1362,0.1)^2),1/3)))))))</f>
        <v>#VALUE!</v>
      </c>
      <c r="AI1362" t="e">
        <f t="shared" ca="1" si="655"/>
        <v>#VALUE!</v>
      </c>
      <c r="AJ1362" t="e">
        <f t="shared" ca="1" si="656"/>
        <v>#VALUE!</v>
      </c>
      <c r="AM1362">
        <v>0</v>
      </c>
      <c r="AN1362">
        <v>0</v>
      </c>
      <c r="AO1362">
        <f t="shared" si="657"/>
        <v>0</v>
      </c>
      <c r="AP1362">
        <f t="shared" si="666"/>
        <v>0</v>
      </c>
      <c r="AQ1362" t="e">
        <f t="shared" ca="1" si="658"/>
        <v>#VALUE!</v>
      </c>
      <c r="AR1362" t="e">
        <f t="shared" ca="1" si="659"/>
        <v>#VALUE!</v>
      </c>
      <c r="AS1362" t="e">
        <f t="shared" ca="1" si="660"/>
        <v>#VALUE!</v>
      </c>
    </row>
    <row r="1363" spans="1:45" x14ac:dyDescent="0.35">
      <c r="A1363">
        <v>1214</v>
      </c>
      <c r="B1363">
        <v>1212.8889999999999</v>
      </c>
      <c r="C1363">
        <v>616072.16500000004</v>
      </c>
      <c r="D1363">
        <v>3096791.2390000001</v>
      </c>
      <c r="E1363">
        <v>631.95550000000003</v>
      </c>
      <c r="F1363">
        <v>5.2</v>
      </c>
      <c r="G1363">
        <v>0</v>
      </c>
      <c r="H1363" t="s">
        <v>191</v>
      </c>
      <c r="I1363">
        <v>0</v>
      </c>
      <c r="J1363">
        <f t="shared" si="661"/>
        <v>1</v>
      </c>
      <c r="K1363">
        <f t="shared" si="662"/>
        <v>51</v>
      </c>
      <c r="L1363" t="e">
        <f t="shared" ca="1" si="663"/>
        <v>#VALUE!</v>
      </c>
      <c r="M1363" t="e">
        <f t="shared" ca="1" si="636"/>
        <v>#VALUE!</v>
      </c>
      <c r="N1363" t="e">
        <f t="shared" ca="1" si="637"/>
        <v>#VALUE!</v>
      </c>
      <c r="O1363" t="e">
        <f t="shared" ca="1" si="638"/>
        <v>#VALUE!</v>
      </c>
      <c r="P1363" t="e">
        <f t="shared" ca="1" si="639"/>
        <v>#VALUE!</v>
      </c>
      <c r="Q1363" t="e">
        <f t="shared" ca="1" si="640"/>
        <v>#VALUE!</v>
      </c>
      <c r="R1363" t="e">
        <f t="shared" ca="1" si="641"/>
        <v>#VALUE!</v>
      </c>
      <c r="S1363" t="e">
        <f t="shared" ca="1" si="642"/>
        <v>#VALUE!</v>
      </c>
      <c r="T1363" t="e">
        <f t="shared" ca="1" si="643"/>
        <v>#VALUE!</v>
      </c>
      <c r="U1363" t="e">
        <f t="shared" ca="1" si="664"/>
        <v>#VALUE!</v>
      </c>
      <c r="V1363" t="e">
        <f t="shared" ca="1" si="665"/>
        <v>#VALUE!</v>
      </c>
      <c r="W1363" t="e">
        <f t="shared" ca="1" si="644"/>
        <v>#VALUE!</v>
      </c>
      <c r="X1363" t="e">
        <f t="shared" ca="1" si="645"/>
        <v>#VALUE!</v>
      </c>
      <c r="Y1363" t="e">
        <f t="shared" ca="1" si="646"/>
        <v>#VALUE!</v>
      </c>
      <c r="Z1363" t="e">
        <f t="shared" ca="1" si="647"/>
        <v>#VALUE!</v>
      </c>
      <c r="AA1363" t="e">
        <f t="shared" ca="1" si="648"/>
        <v>#VALUE!</v>
      </c>
      <c r="AB1363" t="e">
        <f t="shared" ca="1" si="649"/>
        <v>#VALUE!</v>
      </c>
      <c r="AC1363" t="e">
        <f t="shared" ca="1" si="650"/>
        <v>#VALUE!</v>
      </c>
      <c r="AD1363" t="e">
        <f t="shared" ca="1" si="651"/>
        <v>#VALUE!</v>
      </c>
      <c r="AE1363" t="e">
        <f t="shared" ca="1" si="652"/>
        <v>#VALUE!</v>
      </c>
      <c r="AF1363" t="e">
        <f t="shared" ca="1" si="653"/>
        <v>#VALUE!</v>
      </c>
      <c r="AG1363" t="e">
        <f t="shared" ca="1" si="654"/>
        <v>#VALUE!</v>
      </c>
      <c r="AH1363" t="e">
        <f ca="1">IF(V32="Supercritical",L1363,IF(V32="Subcritical",W1363,IF(AND(V1363=1,AG1363=1),IF(T1363&gt;=AE1363,L1363,W1363),IF(V1363=1,L1363,IF(AG1363=1,W1363,MAX($D$16,POWER((ABS(K1363)^2)/($I$5*MAX(F1363,0.1)^2),1/3)))))))</f>
        <v>#VALUE!</v>
      </c>
      <c r="AI1363" t="e">
        <f t="shared" ca="1" si="655"/>
        <v>#VALUE!</v>
      </c>
      <c r="AJ1363" t="e">
        <f t="shared" ca="1" si="656"/>
        <v>#VALUE!</v>
      </c>
      <c r="AM1363">
        <v>0</v>
      </c>
      <c r="AN1363">
        <v>0</v>
      </c>
      <c r="AO1363">
        <f t="shared" si="657"/>
        <v>0</v>
      </c>
      <c r="AP1363">
        <f t="shared" si="666"/>
        <v>0</v>
      </c>
      <c r="AQ1363" t="e">
        <f t="shared" ca="1" si="658"/>
        <v>#VALUE!</v>
      </c>
      <c r="AR1363" t="e">
        <f t="shared" ca="1" si="659"/>
        <v>#VALUE!</v>
      </c>
      <c r="AS1363" t="e">
        <f t="shared" ca="1" si="660"/>
        <v>#VALUE!</v>
      </c>
    </row>
    <row r="1364" spans="1:45" x14ac:dyDescent="0.35">
      <c r="A1364">
        <v>1215</v>
      </c>
      <c r="B1364">
        <v>1213.8889999999999</v>
      </c>
      <c r="C1364">
        <v>616072.12300000002</v>
      </c>
      <c r="D1364">
        <v>3096790.24</v>
      </c>
      <c r="E1364">
        <v>631.95500000000004</v>
      </c>
      <c r="F1364">
        <v>5.2</v>
      </c>
      <c r="G1364">
        <v>0</v>
      </c>
      <c r="H1364" t="s">
        <v>191</v>
      </c>
      <c r="I1364">
        <v>5.7000000000000002E-2</v>
      </c>
      <c r="J1364">
        <f t="shared" si="661"/>
        <v>1</v>
      </c>
      <c r="K1364">
        <f t="shared" si="662"/>
        <v>51</v>
      </c>
      <c r="L1364" t="e">
        <f t="shared" ca="1" si="663"/>
        <v>#VALUE!</v>
      </c>
      <c r="M1364" t="e">
        <f t="shared" ca="1" si="636"/>
        <v>#VALUE!</v>
      </c>
      <c r="N1364" t="e">
        <f t="shared" ca="1" si="637"/>
        <v>#VALUE!</v>
      </c>
      <c r="O1364" t="e">
        <f t="shared" ca="1" si="638"/>
        <v>#VALUE!</v>
      </c>
      <c r="P1364" t="e">
        <f t="shared" ca="1" si="639"/>
        <v>#VALUE!</v>
      </c>
      <c r="Q1364" t="e">
        <f t="shared" ca="1" si="640"/>
        <v>#VALUE!</v>
      </c>
      <c r="R1364" t="e">
        <f t="shared" ca="1" si="641"/>
        <v>#VALUE!</v>
      </c>
      <c r="S1364" t="e">
        <f t="shared" ca="1" si="642"/>
        <v>#VALUE!</v>
      </c>
      <c r="T1364" t="e">
        <f t="shared" ca="1" si="643"/>
        <v>#VALUE!</v>
      </c>
      <c r="U1364" t="e">
        <f t="shared" ca="1" si="664"/>
        <v>#VALUE!</v>
      </c>
      <c r="V1364" t="e">
        <f t="shared" ca="1" si="665"/>
        <v>#VALUE!</v>
      </c>
      <c r="W1364" t="e">
        <f t="shared" ca="1" si="644"/>
        <v>#VALUE!</v>
      </c>
      <c r="X1364" t="e">
        <f t="shared" ca="1" si="645"/>
        <v>#VALUE!</v>
      </c>
      <c r="Y1364" t="e">
        <f t="shared" ca="1" si="646"/>
        <v>#VALUE!</v>
      </c>
      <c r="Z1364" t="e">
        <f t="shared" ca="1" si="647"/>
        <v>#VALUE!</v>
      </c>
      <c r="AA1364" t="e">
        <f t="shared" ca="1" si="648"/>
        <v>#VALUE!</v>
      </c>
      <c r="AB1364" t="e">
        <f t="shared" ca="1" si="649"/>
        <v>#VALUE!</v>
      </c>
      <c r="AC1364" t="e">
        <f t="shared" ca="1" si="650"/>
        <v>#VALUE!</v>
      </c>
      <c r="AD1364" t="e">
        <f t="shared" ca="1" si="651"/>
        <v>#VALUE!</v>
      </c>
      <c r="AE1364" t="e">
        <f t="shared" ca="1" si="652"/>
        <v>#VALUE!</v>
      </c>
      <c r="AF1364" t="e">
        <f t="shared" ca="1" si="653"/>
        <v>#VALUE!</v>
      </c>
      <c r="AG1364" t="e">
        <f t="shared" ca="1" si="654"/>
        <v>#VALUE!</v>
      </c>
      <c r="AH1364" t="e">
        <f ca="1">IF(V32="Supercritical",L1364,IF(V32="Subcritical",W1364,IF(AND(V1364=1,AG1364=1),IF(T1364&gt;=AE1364,L1364,W1364),IF(V1364=1,L1364,IF(AG1364=1,W1364,MAX($D$16,POWER((ABS(K1364)^2)/($I$5*MAX(F1364,0.1)^2),1/3)))))))</f>
        <v>#VALUE!</v>
      </c>
      <c r="AI1364" t="e">
        <f t="shared" ca="1" si="655"/>
        <v>#VALUE!</v>
      </c>
      <c r="AJ1364" t="e">
        <f t="shared" ca="1" si="656"/>
        <v>#VALUE!</v>
      </c>
      <c r="AM1364">
        <v>0</v>
      </c>
      <c r="AN1364">
        <v>0</v>
      </c>
      <c r="AO1364">
        <f t="shared" si="657"/>
        <v>0</v>
      </c>
      <c r="AP1364">
        <f t="shared" si="666"/>
        <v>0</v>
      </c>
      <c r="AQ1364" t="e">
        <f t="shared" ca="1" si="658"/>
        <v>#VALUE!</v>
      </c>
      <c r="AR1364" t="e">
        <f t="shared" ca="1" si="659"/>
        <v>#VALUE!</v>
      </c>
      <c r="AS1364" t="e">
        <f t="shared" ca="1" si="660"/>
        <v>#VALUE!</v>
      </c>
    </row>
    <row r="1365" spans="1:45" x14ac:dyDescent="0.35">
      <c r="A1365">
        <v>1216</v>
      </c>
      <c r="B1365">
        <v>1214.8889999999999</v>
      </c>
      <c r="C1365">
        <v>616072.07999999996</v>
      </c>
      <c r="D1365">
        <v>3096789.2409999999</v>
      </c>
      <c r="E1365">
        <v>631.95450000000005</v>
      </c>
      <c r="F1365">
        <v>5.2</v>
      </c>
      <c r="G1365">
        <v>0</v>
      </c>
      <c r="H1365" t="s">
        <v>191</v>
      </c>
      <c r="I1365">
        <v>5.7000000000000002E-2</v>
      </c>
      <c r="J1365">
        <f t="shared" si="661"/>
        <v>1</v>
      </c>
      <c r="K1365">
        <f t="shared" si="662"/>
        <v>51</v>
      </c>
      <c r="L1365" t="e">
        <f t="shared" ca="1" si="663"/>
        <v>#VALUE!</v>
      </c>
      <c r="M1365" t="e">
        <f t="shared" ca="1" si="636"/>
        <v>#VALUE!</v>
      </c>
      <c r="N1365" t="e">
        <f t="shared" ca="1" si="637"/>
        <v>#VALUE!</v>
      </c>
      <c r="O1365" t="e">
        <f t="shared" ca="1" si="638"/>
        <v>#VALUE!</v>
      </c>
      <c r="P1365" t="e">
        <f t="shared" ca="1" si="639"/>
        <v>#VALUE!</v>
      </c>
      <c r="Q1365" t="e">
        <f t="shared" ca="1" si="640"/>
        <v>#VALUE!</v>
      </c>
      <c r="R1365" t="e">
        <f t="shared" ca="1" si="641"/>
        <v>#VALUE!</v>
      </c>
      <c r="S1365" t="e">
        <f t="shared" ca="1" si="642"/>
        <v>#VALUE!</v>
      </c>
      <c r="T1365" t="e">
        <f t="shared" ca="1" si="643"/>
        <v>#VALUE!</v>
      </c>
      <c r="U1365" t="e">
        <f t="shared" ca="1" si="664"/>
        <v>#VALUE!</v>
      </c>
      <c r="V1365" t="e">
        <f t="shared" ca="1" si="665"/>
        <v>#VALUE!</v>
      </c>
      <c r="W1365" t="e">
        <f t="shared" ca="1" si="644"/>
        <v>#VALUE!</v>
      </c>
      <c r="X1365" t="e">
        <f t="shared" ca="1" si="645"/>
        <v>#VALUE!</v>
      </c>
      <c r="Y1365" t="e">
        <f t="shared" ca="1" si="646"/>
        <v>#VALUE!</v>
      </c>
      <c r="Z1365" t="e">
        <f t="shared" ca="1" si="647"/>
        <v>#VALUE!</v>
      </c>
      <c r="AA1365" t="e">
        <f t="shared" ca="1" si="648"/>
        <v>#VALUE!</v>
      </c>
      <c r="AB1365" t="e">
        <f t="shared" ca="1" si="649"/>
        <v>#VALUE!</v>
      </c>
      <c r="AC1365" t="e">
        <f t="shared" ca="1" si="650"/>
        <v>#VALUE!</v>
      </c>
      <c r="AD1365" t="e">
        <f t="shared" ca="1" si="651"/>
        <v>#VALUE!</v>
      </c>
      <c r="AE1365" t="e">
        <f t="shared" ca="1" si="652"/>
        <v>#VALUE!</v>
      </c>
      <c r="AF1365" t="e">
        <f t="shared" ca="1" si="653"/>
        <v>#VALUE!</v>
      </c>
      <c r="AG1365" t="e">
        <f t="shared" ca="1" si="654"/>
        <v>#VALUE!</v>
      </c>
      <c r="AH1365" t="e">
        <f ca="1">IF(V32="Supercritical",L1365,IF(V32="Subcritical",W1365,IF(AND(V1365=1,AG1365=1),IF(T1365&gt;=AE1365,L1365,W1365),IF(V1365=1,L1365,IF(AG1365=1,W1365,MAX($D$16,POWER((ABS(K1365)^2)/($I$5*MAX(F1365,0.1)^2),1/3)))))))</f>
        <v>#VALUE!</v>
      </c>
      <c r="AI1365" t="e">
        <f t="shared" ca="1" si="655"/>
        <v>#VALUE!</v>
      </c>
      <c r="AJ1365" t="e">
        <f t="shared" ca="1" si="656"/>
        <v>#VALUE!</v>
      </c>
      <c r="AM1365">
        <v>0</v>
      </c>
      <c r="AN1365">
        <v>0</v>
      </c>
      <c r="AO1365">
        <f t="shared" si="657"/>
        <v>0</v>
      </c>
      <c r="AP1365">
        <f t="shared" si="666"/>
        <v>0</v>
      </c>
      <c r="AQ1365" t="e">
        <f t="shared" ca="1" si="658"/>
        <v>#VALUE!</v>
      </c>
      <c r="AR1365" t="e">
        <f t="shared" ca="1" si="659"/>
        <v>#VALUE!</v>
      </c>
      <c r="AS1365" t="e">
        <f t="shared" ca="1" si="660"/>
        <v>#VALUE!</v>
      </c>
    </row>
    <row r="1366" spans="1:45" x14ac:dyDescent="0.35">
      <c r="A1366">
        <v>1217</v>
      </c>
      <c r="B1366">
        <v>1215.8889999999999</v>
      </c>
      <c r="C1366">
        <v>616072.03799999994</v>
      </c>
      <c r="D1366">
        <v>3096788.2420000001</v>
      </c>
      <c r="E1366">
        <v>631.95399999999995</v>
      </c>
      <c r="F1366">
        <v>5.2</v>
      </c>
      <c r="G1366">
        <v>0</v>
      </c>
      <c r="H1366" t="s">
        <v>191</v>
      </c>
      <c r="I1366">
        <v>0</v>
      </c>
      <c r="J1366">
        <f t="shared" si="661"/>
        <v>1</v>
      </c>
      <c r="K1366">
        <f t="shared" si="662"/>
        <v>51</v>
      </c>
      <c r="L1366" t="e">
        <f t="shared" ca="1" si="663"/>
        <v>#VALUE!</v>
      </c>
      <c r="M1366" t="e">
        <f t="shared" ref="M1366:M1429" ca="1" si="667">((F1366)+(G1366)*(L1366))*(L1366)</f>
        <v>#VALUE!</v>
      </c>
      <c r="N1366" t="e">
        <f t="shared" ref="N1366:N1429" ca="1" si="668">(((F1366)+(G1366)*(L1366))*(L1366))/MAX((F1366)+2*(L1366)*SQRT(1+(G1366)^2),0.000001)</f>
        <v>#VALUE!</v>
      </c>
      <c r="O1366" t="e">
        <f t="shared" ref="O1366:O1429" ca="1" si="669">ABS(K1366)/MAX(((F1366)+(G1366)*(L1366))*(L1366),0.000001)</f>
        <v>#VALUE!</v>
      </c>
      <c r="P1366" t="e">
        <f t="shared" ref="P1366:P1429" ca="1" si="670">E1366+L1366</f>
        <v>#VALUE!</v>
      </c>
      <c r="Q1366" t="e">
        <f t="shared" ref="Q1366:Q1429" ca="1" si="671">P1366+((ABS(K1366)/MAX(((F1366)+(G1366)*(L1366))*(L1366),0.000001))^2)/(2*$I$5)</f>
        <v>#VALUE!</v>
      </c>
      <c r="R1366" t="e">
        <f t="shared" ref="R1366:R1429" ca="1" si="672">((ABS(K1366)*$D$6)/(MAX(((F1366)+(G1366)*(L1366))*(L1366),0.000001)*MAX(((((F1366)+(G1366)*(L1366))*(L1366))/MAX((F1366)+2*(L1366)*SQRT(1+(G1366)^2),0.000001))^(2/3),0.000001)))^2</f>
        <v>#VALUE!</v>
      </c>
      <c r="S1366" t="e">
        <f t="shared" ref="S1366:S1429" ca="1" si="673">ABS(ABS(K1366)/MAX(((F1366)+(G1366)*(L1366))*(L1366),0.000001))/SQRT($I$5*MAX((((F1366)+(G1366)*(L1366))*(L1366))/MAX((F1366)+2*(G1366)*(L1366),0.000001),0.000001))</f>
        <v>#VALUE!</v>
      </c>
      <c r="T1366" t="e">
        <f t="shared" ref="T1366:T1429" ca="1" si="674">((F1366)*(L1366)^2)/2+(G1366)*(L1366)^3/3+(ABS(K1366)^2)/($I$5*MAX(((F1366)+(G1366)*(L1366))*(L1366),0.000001))</f>
        <v>#VALUE!</v>
      </c>
      <c r="U1366" t="e">
        <f t="shared" ca="1" si="664"/>
        <v>#VALUE!</v>
      </c>
      <c r="V1366" t="e">
        <f t="shared" ca="1" si="665"/>
        <v>#VALUE!</v>
      </c>
      <c r="W1366" t="e">
        <f t="shared" ref="W1366:W1429" ca="1" si="675">IF($D$20=0,W1367,IF(AG1367=0,W1367,IF(W1366=0,W1367,IF(ABS(AF1366)&gt;$D$19,MAX($D$16,W1366+((AF1366)*$D$18*IF((AD1366)&lt;1,1,-1))),W1366))))</f>
        <v>#VALUE!</v>
      </c>
      <c r="X1366" t="e">
        <f t="shared" ref="X1366:X1429" ca="1" si="676">((F1366)+(G1366)*(W1366))*(W1366)</f>
        <v>#VALUE!</v>
      </c>
      <c r="Y1366" t="e">
        <f t="shared" ref="Y1366:Y1429" ca="1" si="677">(((F1366)+(G1366)*(W1366))*(W1366))/MAX((F1366)+2*(W1366)*SQRT(1+(G1366)^2),0.000001)</f>
        <v>#VALUE!</v>
      </c>
      <c r="Z1366" t="e">
        <f t="shared" ref="Z1366:Z1429" ca="1" si="678">ABS(K1366)/MAX(((F1366)+(G1366)*(W1366))*(W1366),0.000001)</f>
        <v>#VALUE!</v>
      </c>
      <c r="AA1366" t="e">
        <f t="shared" ref="AA1366:AA1429" ca="1" si="679">E1366+W1366</f>
        <v>#VALUE!</v>
      </c>
      <c r="AB1366" t="e">
        <f t="shared" ref="AB1366:AB1429" ca="1" si="680">AA1366+((ABS(K1366)/MAX(((F1366)+(G1366)*(W1366))*(W1366),0.000001))^2)/(2*$I$5)</f>
        <v>#VALUE!</v>
      </c>
      <c r="AC1366" t="e">
        <f t="shared" ref="AC1366:AC1429" ca="1" si="681">((ABS(K1366)*$D$6)/(MAX(((F1366)+(G1366)*(W1366))*(W1366),0.000001)*MAX(((((F1366)+(G1366)*(W1366))*(W1366))/MAX((F1366)+2*(W1366)*SQRT(1+(G1366)^2),0.000001))^(2/3),0.000001)))^2</f>
        <v>#VALUE!</v>
      </c>
      <c r="AD1366" t="e">
        <f t="shared" ref="AD1366:AD1429" ca="1" si="682">ABS(ABS(K1366)/MAX(((F1366)+(G1366)*(W1366))*(W1366),0.000001))/SQRT($I$5*MAX((((F1366)+(G1366)*(W1366))*(W1366))/MAX((F1366)+2*(G1366)*(W1366),0.000001),0.000001))</f>
        <v>#VALUE!</v>
      </c>
      <c r="AE1366" t="e">
        <f t="shared" ref="AE1366:AE1429" ca="1" si="683">((F1366)*(W1366)^2)/2+(G1366)*(W1366)^3/3+(ABS(K1366)^2)/($I$5*MAX(((F1366)+(G1366)*(W1366))*(W1366),0.000001))</f>
        <v>#VALUE!</v>
      </c>
      <c r="AF1366" t="e">
        <f t="shared" ref="AF1366:AF1429" ca="1" si="684">AB1367+(((AC1366+AC1367)/2)*J1367)+(IF(Z1366&gt;Z1367,$D$8*((Z1366^2-Z1367^2)/(2*$I$5)),$D$9*((Z1367^2-Z1366^2)/(2*$I$5)))+($D$10*(ABS(I1367)/90)*(MAX(Z1366^2,Z1367^2)/(2*$I$5))))-AB1366</f>
        <v>#VALUE!</v>
      </c>
      <c r="AG1366" t="e">
        <f t="shared" ref="AG1366:AG1429" ca="1" si="685">IF(ABS(AF1366)&lt;$D$19,1,0)</f>
        <v>#VALUE!</v>
      </c>
      <c r="AH1366" t="e">
        <f ca="1">IF(V32="Supercritical",L1366,IF(V32="Subcritical",W1366,IF(AND(V1366=1,AG1366=1),IF(T1366&gt;=AE1366,L1366,W1366),IF(V1366=1,L1366,IF(AG1366=1,W1366,MAX($D$16,POWER((ABS(K1366)^2)/($I$5*MAX(F1366,0.1)^2),1/3)))))))</f>
        <v>#VALUE!</v>
      </c>
      <c r="AI1366" t="e">
        <f t="shared" ref="AI1366:AI1429" ca="1" si="686">E1366+AH1366</f>
        <v>#VALUE!</v>
      </c>
      <c r="AJ1366" t="e">
        <f t="shared" ref="AJ1366:AJ1429" ca="1" si="687">AI1366+((ABS(K1366)/MAX(((F1366)+(G1366)*(AH1366))*(AH1366),0.000001))^2)/(2*$I$5)</f>
        <v>#VALUE!</v>
      </c>
      <c r="AM1366">
        <v>0</v>
      </c>
      <c r="AN1366">
        <v>0</v>
      </c>
      <c r="AO1366">
        <f t="shared" ref="AO1366:AO1429" si="688">AM1366+AN1366</f>
        <v>0</v>
      </c>
      <c r="AP1366">
        <f t="shared" si="666"/>
        <v>0</v>
      </c>
      <c r="AQ1366" t="e">
        <f t="shared" ref="AQ1366:AQ1429" ca="1" si="689">ABS(ABS(K1366)/MAX(((F1366)+(G1366)*(AH1366))*(AH1366),0.000001))/SQRT($I$5*MAX((((F1366)+(G1366)*(AH1366))*(AH1366))/MAX((F1366)+2*(G1366)*(AH1366),0.000001),0.000001))</f>
        <v>#VALUE!</v>
      </c>
      <c r="AR1366" t="e">
        <f t="shared" ref="AR1366:AR1429" ca="1" si="690">IF(AQ1366&lt;1,"Subcritical","Supercritical")</f>
        <v>#VALUE!</v>
      </c>
      <c r="AS1366" t="e">
        <f t="shared" ref="AS1366:AS1429" ca="1" si="691">((ABS(K1366)*$D$6)/(MAX(((F1366)+(G1366)*(AH1366))*(AH1366),0.000001)*MAX(((((F1366)+(G1366)*(AH1366))*(AH1366))/MAX((F1366)+2*(AH1366)*SQRT(1+(G1366)^2),0.000001))^(2/3),0.000001)))^2</f>
        <v>#VALUE!</v>
      </c>
    </row>
    <row r="1367" spans="1:45" x14ac:dyDescent="0.35">
      <c r="A1367">
        <v>1218</v>
      </c>
      <c r="B1367">
        <v>1216.8889999999999</v>
      </c>
      <c r="C1367">
        <v>616071.99600000004</v>
      </c>
      <c r="D1367">
        <v>3096787.2429999998</v>
      </c>
      <c r="E1367">
        <v>631.95349999999996</v>
      </c>
      <c r="F1367">
        <v>5.2</v>
      </c>
      <c r="G1367">
        <v>0</v>
      </c>
      <c r="H1367" t="s">
        <v>191</v>
      </c>
      <c r="I1367">
        <v>2E-3</v>
      </c>
      <c r="J1367">
        <f t="shared" ref="J1367:J1430" si="692">B1367-B1366</f>
        <v>1</v>
      </c>
      <c r="K1367">
        <f t="shared" ref="K1367:K1430" si="693">MAX(0,K1366-AO1366)</f>
        <v>51</v>
      </c>
      <c r="L1367" t="e">
        <f t="shared" ref="L1367:L1430" ca="1" si="694">IF($D$20=0,L1366,IF(V1366=0,L1366,IF(L1367=0,L1366,IF(ABS(U1367)&gt;$D$19,MAX($D$16,L1367+((U1367)*$D$18*IF((S1367)&lt;1,1,-1))),L1367))))</f>
        <v>#VALUE!</v>
      </c>
      <c r="M1367" t="e">
        <f t="shared" ca="1" si="667"/>
        <v>#VALUE!</v>
      </c>
      <c r="N1367" t="e">
        <f t="shared" ca="1" si="668"/>
        <v>#VALUE!</v>
      </c>
      <c r="O1367" t="e">
        <f t="shared" ca="1" si="669"/>
        <v>#VALUE!</v>
      </c>
      <c r="P1367" t="e">
        <f t="shared" ca="1" si="670"/>
        <v>#VALUE!</v>
      </c>
      <c r="Q1367" t="e">
        <f t="shared" ca="1" si="671"/>
        <v>#VALUE!</v>
      </c>
      <c r="R1367" t="e">
        <f t="shared" ca="1" si="672"/>
        <v>#VALUE!</v>
      </c>
      <c r="S1367" t="e">
        <f t="shared" ca="1" si="673"/>
        <v>#VALUE!</v>
      </c>
      <c r="T1367" t="e">
        <f t="shared" ca="1" si="674"/>
        <v>#VALUE!</v>
      </c>
      <c r="U1367" t="e">
        <f t="shared" ref="U1367:U1430" ca="1" si="695">Q1366-(((R1366+R1367)/2)*J1367)-(IF(O1366&gt;O1367,$D$8*((O1366^2-O1367^2)/(2*$I$5)),$D$9*((O1367^2-O1366^2)/(2*$I$5)))+($D$10*(ABS(I1367)/90)*(MAX(O1366^2,O1367^2)/(2*$I$5))))-Q1367</f>
        <v>#VALUE!</v>
      </c>
      <c r="V1367" t="e">
        <f t="shared" ref="V1367:V1430" ca="1" si="696">IF(ABS(U1367)&lt;$D$19,1,0)</f>
        <v>#VALUE!</v>
      </c>
      <c r="W1367" t="e">
        <f t="shared" ca="1" si="675"/>
        <v>#VALUE!</v>
      </c>
      <c r="X1367" t="e">
        <f t="shared" ca="1" si="676"/>
        <v>#VALUE!</v>
      </c>
      <c r="Y1367" t="e">
        <f t="shared" ca="1" si="677"/>
        <v>#VALUE!</v>
      </c>
      <c r="Z1367" t="e">
        <f t="shared" ca="1" si="678"/>
        <v>#VALUE!</v>
      </c>
      <c r="AA1367" t="e">
        <f t="shared" ca="1" si="679"/>
        <v>#VALUE!</v>
      </c>
      <c r="AB1367" t="e">
        <f t="shared" ca="1" si="680"/>
        <v>#VALUE!</v>
      </c>
      <c r="AC1367" t="e">
        <f t="shared" ca="1" si="681"/>
        <v>#VALUE!</v>
      </c>
      <c r="AD1367" t="e">
        <f t="shared" ca="1" si="682"/>
        <v>#VALUE!</v>
      </c>
      <c r="AE1367" t="e">
        <f t="shared" ca="1" si="683"/>
        <v>#VALUE!</v>
      </c>
      <c r="AF1367" t="e">
        <f t="shared" ca="1" si="684"/>
        <v>#VALUE!</v>
      </c>
      <c r="AG1367" t="e">
        <f t="shared" ca="1" si="685"/>
        <v>#VALUE!</v>
      </c>
      <c r="AH1367" t="e">
        <f ca="1">IF(V32="Supercritical",L1367,IF(V32="Subcritical",W1367,IF(AND(V1367=1,AG1367=1),IF(T1367&gt;=AE1367,L1367,W1367),IF(V1367=1,L1367,IF(AG1367=1,W1367,MAX($D$16,POWER((ABS(K1367)^2)/($I$5*MAX(F1367,0.1)^2),1/3)))))))</f>
        <v>#VALUE!</v>
      </c>
      <c r="AI1367" t="e">
        <f t="shared" ca="1" si="686"/>
        <v>#VALUE!</v>
      </c>
      <c r="AJ1367" t="e">
        <f t="shared" ca="1" si="687"/>
        <v>#VALUE!</v>
      </c>
      <c r="AM1367">
        <v>0</v>
      </c>
      <c r="AN1367">
        <v>0</v>
      </c>
      <c r="AO1367">
        <f t="shared" si="688"/>
        <v>0</v>
      </c>
      <c r="AP1367">
        <f t="shared" ref="AP1367:AP1430" si="697">AP1366+AO1367</f>
        <v>0</v>
      </c>
      <c r="AQ1367" t="e">
        <f t="shared" ca="1" si="689"/>
        <v>#VALUE!</v>
      </c>
      <c r="AR1367" t="e">
        <f t="shared" ca="1" si="690"/>
        <v>#VALUE!</v>
      </c>
      <c r="AS1367" t="e">
        <f t="shared" ca="1" si="691"/>
        <v>#VALUE!</v>
      </c>
    </row>
    <row r="1368" spans="1:45" x14ac:dyDescent="0.35">
      <c r="A1368">
        <v>1219</v>
      </c>
      <c r="B1368">
        <v>1217.8900000000001</v>
      </c>
      <c r="C1368">
        <v>616071.95400000003</v>
      </c>
      <c r="D1368">
        <v>3096786.2429999998</v>
      </c>
      <c r="E1368">
        <v>631.95299999999997</v>
      </c>
      <c r="F1368">
        <v>5.2</v>
      </c>
      <c r="G1368">
        <v>0</v>
      </c>
      <c r="H1368" t="s">
        <v>191</v>
      </c>
      <c r="I1368">
        <v>0.06</v>
      </c>
      <c r="J1368">
        <f t="shared" si="692"/>
        <v>1.0010000000002037</v>
      </c>
      <c r="K1368">
        <f t="shared" si="693"/>
        <v>51</v>
      </c>
      <c r="L1368" t="e">
        <f t="shared" ca="1" si="694"/>
        <v>#VALUE!</v>
      </c>
      <c r="M1368" t="e">
        <f t="shared" ca="1" si="667"/>
        <v>#VALUE!</v>
      </c>
      <c r="N1368" t="e">
        <f t="shared" ca="1" si="668"/>
        <v>#VALUE!</v>
      </c>
      <c r="O1368" t="e">
        <f t="shared" ca="1" si="669"/>
        <v>#VALUE!</v>
      </c>
      <c r="P1368" t="e">
        <f t="shared" ca="1" si="670"/>
        <v>#VALUE!</v>
      </c>
      <c r="Q1368" t="e">
        <f t="shared" ca="1" si="671"/>
        <v>#VALUE!</v>
      </c>
      <c r="R1368" t="e">
        <f t="shared" ca="1" si="672"/>
        <v>#VALUE!</v>
      </c>
      <c r="S1368" t="e">
        <f t="shared" ca="1" si="673"/>
        <v>#VALUE!</v>
      </c>
      <c r="T1368" t="e">
        <f t="shared" ca="1" si="674"/>
        <v>#VALUE!</v>
      </c>
      <c r="U1368" t="e">
        <f t="shared" ca="1" si="695"/>
        <v>#VALUE!</v>
      </c>
      <c r="V1368" t="e">
        <f t="shared" ca="1" si="696"/>
        <v>#VALUE!</v>
      </c>
      <c r="W1368" t="e">
        <f t="shared" ca="1" si="675"/>
        <v>#VALUE!</v>
      </c>
      <c r="X1368" t="e">
        <f t="shared" ca="1" si="676"/>
        <v>#VALUE!</v>
      </c>
      <c r="Y1368" t="e">
        <f t="shared" ca="1" si="677"/>
        <v>#VALUE!</v>
      </c>
      <c r="Z1368" t="e">
        <f t="shared" ca="1" si="678"/>
        <v>#VALUE!</v>
      </c>
      <c r="AA1368" t="e">
        <f t="shared" ca="1" si="679"/>
        <v>#VALUE!</v>
      </c>
      <c r="AB1368" t="e">
        <f t="shared" ca="1" si="680"/>
        <v>#VALUE!</v>
      </c>
      <c r="AC1368" t="e">
        <f t="shared" ca="1" si="681"/>
        <v>#VALUE!</v>
      </c>
      <c r="AD1368" t="e">
        <f t="shared" ca="1" si="682"/>
        <v>#VALUE!</v>
      </c>
      <c r="AE1368" t="e">
        <f t="shared" ca="1" si="683"/>
        <v>#VALUE!</v>
      </c>
      <c r="AF1368" t="e">
        <f t="shared" ca="1" si="684"/>
        <v>#VALUE!</v>
      </c>
      <c r="AG1368" t="e">
        <f t="shared" ca="1" si="685"/>
        <v>#VALUE!</v>
      </c>
      <c r="AH1368" t="e">
        <f ca="1">IF(V32="Supercritical",L1368,IF(V32="Subcritical",W1368,IF(AND(V1368=1,AG1368=1),IF(T1368&gt;=AE1368,L1368,W1368),IF(V1368=1,L1368,IF(AG1368=1,W1368,MAX($D$16,POWER((ABS(K1368)^2)/($I$5*MAX(F1368,0.1)^2),1/3)))))))</f>
        <v>#VALUE!</v>
      </c>
      <c r="AI1368" t="e">
        <f t="shared" ca="1" si="686"/>
        <v>#VALUE!</v>
      </c>
      <c r="AJ1368" t="e">
        <f t="shared" ca="1" si="687"/>
        <v>#VALUE!</v>
      </c>
      <c r="AM1368">
        <v>0</v>
      </c>
      <c r="AN1368">
        <v>0</v>
      </c>
      <c r="AO1368">
        <f t="shared" si="688"/>
        <v>0</v>
      </c>
      <c r="AP1368">
        <f t="shared" si="697"/>
        <v>0</v>
      </c>
      <c r="AQ1368" t="e">
        <f t="shared" ca="1" si="689"/>
        <v>#VALUE!</v>
      </c>
      <c r="AR1368" t="e">
        <f t="shared" ca="1" si="690"/>
        <v>#VALUE!</v>
      </c>
      <c r="AS1368" t="e">
        <f t="shared" ca="1" si="691"/>
        <v>#VALUE!</v>
      </c>
    </row>
    <row r="1369" spans="1:45" x14ac:dyDescent="0.35">
      <c r="A1369">
        <v>1220</v>
      </c>
      <c r="B1369">
        <v>1218.8900000000001</v>
      </c>
      <c r="C1369">
        <v>616071.91099999996</v>
      </c>
      <c r="D1369">
        <v>3096785.2439999999</v>
      </c>
      <c r="E1369">
        <v>631.95249999999999</v>
      </c>
      <c r="F1369">
        <v>5.2</v>
      </c>
      <c r="G1369">
        <v>0</v>
      </c>
      <c r="H1369" t="s">
        <v>191</v>
      </c>
      <c r="I1369">
        <v>5.7000000000000002E-2</v>
      </c>
      <c r="J1369">
        <f t="shared" si="692"/>
        <v>1</v>
      </c>
      <c r="K1369">
        <f t="shared" si="693"/>
        <v>51</v>
      </c>
      <c r="L1369" t="e">
        <f t="shared" ca="1" si="694"/>
        <v>#VALUE!</v>
      </c>
      <c r="M1369" t="e">
        <f t="shared" ca="1" si="667"/>
        <v>#VALUE!</v>
      </c>
      <c r="N1369" t="e">
        <f t="shared" ca="1" si="668"/>
        <v>#VALUE!</v>
      </c>
      <c r="O1369" t="e">
        <f t="shared" ca="1" si="669"/>
        <v>#VALUE!</v>
      </c>
      <c r="P1369" t="e">
        <f t="shared" ca="1" si="670"/>
        <v>#VALUE!</v>
      </c>
      <c r="Q1369" t="e">
        <f t="shared" ca="1" si="671"/>
        <v>#VALUE!</v>
      </c>
      <c r="R1369" t="e">
        <f t="shared" ca="1" si="672"/>
        <v>#VALUE!</v>
      </c>
      <c r="S1369" t="e">
        <f t="shared" ca="1" si="673"/>
        <v>#VALUE!</v>
      </c>
      <c r="T1369" t="e">
        <f t="shared" ca="1" si="674"/>
        <v>#VALUE!</v>
      </c>
      <c r="U1369" t="e">
        <f t="shared" ca="1" si="695"/>
        <v>#VALUE!</v>
      </c>
      <c r="V1369" t="e">
        <f t="shared" ca="1" si="696"/>
        <v>#VALUE!</v>
      </c>
      <c r="W1369" t="e">
        <f t="shared" ca="1" si="675"/>
        <v>#VALUE!</v>
      </c>
      <c r="X1369" t="e">
        <f t="shared" ca="1" si="676"/>
        <v>#VALUE!</v>
      </c>
      <c r="Y1369" t="e">
        <f t="shared" ca="1" si="677"/>
        <v>#VALUE!</v>
      </c>
      <c r="Z1369" t="e">
        <f t="shared" ca="1" si="678"/>
        <v>#VALUE!</v>
      </c>
      <c r="AA1369" t="e">
        <f t="shared" ca="1" si="679"/>
        <v>#VALUE!</v>
      </c>
      <c r="AB1369" t="e">
        <f t="shared" ca="1" si="680"/>
        <v>#VALUE!</v>
      </c>
      <c r="AC1369" t="e">
        <f t="shared" ca="1" si="681"/>
        <v>#VALUE!</v>
      </c>
      <c r="AD1369" t="e">
        <f t="shared" ca="1" si="682"/>
        <v>#VALUE!</v>
      </c>
      <c r="AE1369" t="e">
        <f t="shared" ca="1" si="683"/>
        <v>#VALUE!</v>
      </c>
      <c r="AF1369" t="e">
        <f t="shared" ca="1" si="684"/>
        <v>#VALUE!</v>
      </c>
      <c r="AG1369" t="e">
        <f t="shared" ca="1" si="685"/>
        <v>#VALUE!</v>
      </c>
      <c r="AH1369" t="e">
        <f ca="1">IF(V32="Supercritical",L1369,IF(V32="Subcritical",W1369,IF(AND(V1369=1,AG1369=1),IF(T1369&gt;=AE1369,L1369,W1369),IF(V1369=1,L1369,IF(AG1369=1,W1369,MAX($D$16,POWER((ABS(K1369)^2)/($I$5*MAX(F1369,0.1)^2),1/3)))))))</f>
        <v>#VALUE!</v>
      </c>
      <c r="AI1369" t="e">
        <f t="shared" ca="1" si="686"/>
        <v>#VALUE!</v>
      </c>
      <c r="AJ1369" t="e">
        <f t="shared" ca="1" si="687"/>
        <v>#VALUE!</v>
      </c>
      <c r="AM1369">
        <v>0</v>
      </c>
      <c r="AN1369">
        <v>0</v>
      </c>
      <c r="AO1369">
        <f t="shared" si="688"/>
        <v>0</v>
      </c>
      <c r="AP1369">
        <f t="shared" si="697"/>
        <v>0</v>
      </c>
      <c r="AQ1369" t="e">
        <f t="shared" ca="1" si="689"/>
        <v>#VALUE!</v>
      </c>
      <c r="AR1369" t="e">
        <f t="shared" ca="1" si="690"/>
        <v>#VALUE!</v>
      </c>
      <c r="AS1369" t="e">
        <f t="shared" ca="1" si="691"/>
        <v>#VALUE!</v>
      </c>
    </row>
    <row r="1370" spans="1:45" x14ac:dyDescent="0.35">
      <c r="A1370">
        <v>1221</v>
      </c>
      <c r="B1370">
        <v>1219.8900000000001</v>
      </c>
      <c r="C1370">
        <v>616071.86899999995</v>
      </c>
      <c r="D1370">
        <v>3096784.2450000001</v>
      </c>
      <c r="E1370">
        <v>631.952</v>
      </c>
      <c r="F1370">
        <v>5.2</v>
      </c>
      <c r="G1370">
        <v>0</v>
      </c>
      <c r="H1370" t="s">
        <v>191</v>
      </c>
      <c r="I1370">
        <v>0</v>
      </c>
      <c r="J1370">
        <f t="shared" si="692"/>
        <v>1</v>
      </c>
      <c r="K1370">
        <f t="shared" si="693"/>
        <v>51</v>
      </c>
      <c r="L1370" t="e">
        <f t="shared" ca="1" si="694"/>
        <v>#VALUE!</v>
      </c>
      <c r="M1370" t="e">
        <f t="shared" ca="1" si="667"/>
        <v>#VALUE!</v>
      </c>
      <c r="N1370" t="e">
        <f t="shared" ca="1" si="668"/>
        <v>#VALUE!</v>
      </c>
      <c r="O1370" t="e">
        <f t="shared" ca="1" si="669"/>
        <v>#VALUE!</v>
      </c>
      <c r="P1370" t="e">
        <f t="shared" ca="1" si="670"/>
        <v>#VALUE!</v>
      </c>
      <c r="Q1370" t="e">
        <f t="shared" ca="1" si="671"/>
        <v>#VALUE!</v>
      </c>
      <c r="R1370" t="e">
        <f t="shared" ca="1" si="672"/>
        <v>#VALUE!</v>
      </c>
      <c r="S1370" t="e">
        <f t="shared" ca="1" si="673"/>
        <v>#VALUE!</v>
      </c>
      <c r="T1370" t="e">
        <f t="shared" ca="1" si="674"/>
        <v>#VALUE!</v>
      </c>
      <c r="U1370" t="e">
        <f t="shared" ca="1" si="695"/>
        <v>#VALUE!</v>
      </c>
      <c r="V1370" t="e">
        <f t="shared" ca="1" si="696"/>
        <v>#VALUE!</v>
      </c>
      <c r="W1370" t="e">
        <f t="shared" ca="1" si="675"/>
        <v>#VALUE!</v>
      </c>
      <c r="X1370" t="e">
        <f t="shared" ca="1" si="676"/>
        <v>#VALUE!</v>
      </c>
      <c r="Y1370" t="e">
        <f t="shared" ca="1" si="677"/>
        <v>#VALUE!</v>
      </c>
      <c r="Z1370" t="e">
        <f t="shared" ca="1" si="678"/>
        <v>#VALUE!</v>
      </c>
      <c r="AA1370" t="e">
        <f t="shared" ca="1" si="679"/>
        <v>#VALUE!</v>
      </c>
      <c r="AB1370" t="e">
        <f t="shared" ca="1" si="680"/>
        <v>#VALUE!</v>
      </c>
      <c r="AC1370" t="e">
        <f t="shared" ca="1" si="681"/>
        <v>#VALUE!</v>
      </c>
      <c r="AD1370" t="e">
        <f t="shared" ca="1" si="682"/>
        <v>#VALUE!</v>
      </c>
      <c r="AE1370" t="e">
        <f t="shared" ca="1" si="683"/>
        <v>#VALUE!</v>
      </c>
      <c r="AF1370" t="e">
        <f t="shared" ca="1" si="684"/>
        <v>#VALUE!</v>
      </c>
      <c r="AG1370" t="e">
        <f t="shared" ca="1" si="685"/>
        <v>#VALUE!</v>
      </c>
      <c r="AH1370" t="e">
        <f ca="1">IF(V32="Supercritical",L1370,IF(V32="Subcritical",W1370,IF(AND(V1370=1,AG1370=1),IF(T1370&gt;=AE1370,L1370,W1370),IF(V1370=1,L1370,IF(AG1370=1,W1370,MAX($D$16,POWER((ABS(K1370)^2)/($I$5*MAX(F1370,0.1)^2),1/3)))))))</f>
        <v>#VALUE!</v>
      </c>
      <c r="AI1370" t="e">
        <f t="shared" ca="1" si="686"/>
        <v>#VALUE!</v>
      </c>
      <c r="AJ1370" t="e">
        <f t="shared" ca="1" si="687"/>
        <v>#VALUE!</v>
      </c>
      <c r="AM1370">
        <v>0</v>
      </c>
      <c r="AN1370">
        <v>0</v>
      </c>
      <c r="AO1370">
        <f t="shared" si="688"/>
        <v>0</v>
      </c>
      <c r="AP1370">
        <f t="shared" si="697"/>
        <v>0</v>
      </c>
      <c r="AQ1370" t="e">
        <f t="shared" ca="1" si="689"/>
        <v>#VALUE!</v>
      </c>
      <c r="AR1370" t="e">
        <f t="shared" ca="1" si="690"/>
        <v>#VALUE!</v>
      </c>
      <c r="AS1370" t="e">
        <f t="shared" ca="1" si="691"/>
        <v>#VALUE!</v>
      </c>
    </row>
    <row r="1371" spans="1:45" x14ac:dyDescent="0.35">
      <c r="A1371">
        <v>1222</v>
      </c>
      <c r="B1371">
        <v>1220.8889999999999</v>
      </c>
      <c r="C1371">
        <v>616071.82700000005</v>
      </c>
      <c r="D1371">
        <v>3096783.2459999998</v>
      </c>
      <c r="E1371">
        <v>631.95150000000001</v>
      </c>
      <c r="F1371">
        <v>5.2</v>
      </c>
      <c r="G1371">
        <v>0</v>
      </c>
      <c r="H1371" t="s">
        <v>191</v>
      </c>
      <c r="I1371">
        <v>0</v>
      </c>
      <c r="J1371">
        <f t="shared" si="692"/>
        <v>0.99899999999979627</v>
      </c>
      <c r="K1371">
        <f t="shared" si="693"/>
        <v>51</v>
      </c>
      <c r="L1371" t="e">
        <f t="shared" ca="1" si="694"/>
        <v>#VALUE!</v>
      </c>
      <c r="M1371" t="e">
        <f t="shared" ca="1" si="667"/>
        <v>#VALUE!</v>
      </c>
      <c r="N1371" t="e">
        <f t="shared" ca="1" si="668"/>
        <v>#VALUE!</v>
      </c>
      <c r="O1371" t="e">
        <f t="shared" ca="1" si="669"/>
        <v>#VALUE!</v>
      </c>
      <c r="P1371" t="e">
        <f t="shared" ca="1" si="670"/>
        <v>#VALUE!</v>
      </c>
      <c r="Q1371" t="e">
        <f t="shared" ca="1" si="671"/>
        <v>#VALUE!</v>
      </c>
      <c r="R1371" t="e">
        <f t="shared" ca="1" si="672"/>
        <v>#VALUE!</v>
      </c>
      <c r="S1371" t="e">
        <f t="shared" ca="1" si="673"/>
        <v>#VALUE!</v>
      </c>
      <c r="T1371" t="e">
        <f t="shared" ca="1" si="674"/>
        <v>#VALUE!</v>
      </c>
      <c r="U1371" t="e">
        <f t="shared" ca="1" si="695"/>
        <v>#VALUE!</v>
      </c>
      <c r="V1371" t="e">
        <f t="shared" ca="1" si="696"/>
        <v>#VALUE!</v>
      </c>
      <c r="W1371" t="e">
        <f t="shared" ca="1" si="675"/>
        <v>#VALUE!</v>
      </c>
      <c r="X1371" t="e">
        <f t="shared" ca="1" si="676"/>
        <v>#VALUE!</v>
      </c>
      <c r="Y1371" t="e">
        <f t="shared" ca="1" si="677"/>
        <v>#VALUE!</v>
      </c>
      <c r="Z1371" t="e">
        <f t="shared" ca="1" si="678"/>
        <v>#VALUE!</v>
      </c>
      <c r="AA1371" t="e">
        <f t="shared" ca="1" si="679"/>
        <v>#VALUE!</v>
      </c>
      <c r="AB1371" t="e">
        <f t="shared" ca="1" si="680"/>
        <v>#VALUE!</v>
      </c>
      <c r="AC1371" t="e">
        <f t="shared" ca="1" si="681"/>
        <v>#VALUE!</v>
      </c>
      <c r="AD1371" t="e">
        <f t="shared" ca="1" si="682"/>
        <v>#VALUE!</v>
      </c>
      <c r="AE1371" t="e">
        <f t="shared" ca="1" si="683"/>
        <v>#VALUE!</v>
      </c>
      <c r="AF1371" t="e">
        <f t="shared" ca="1" si="684"/>
        <v>#VALUE!</v>
      </c>
      <c r="AG1371" t="e">
        <f t="shared" ca="1" si="685"/>
        <v>#VALUE!</v>
      </c>
      <c r="AH1371" t="e">
        <f ca="1">IF(V32="Supercritical",L1371,IF(V32="Subcritical",W1371,IF(AND(V1371=1,AG1371=1),IF(T1371&gt;=AE1371,L1371,W1371),IF(V1371=1,L1371,IF(AG1371=1,W1371,MAX($D$16,POWER((ABS(K1371)^2)/($I$5*MAX(F1371,0.1)^2),1/3)))))))</f>
        <v>#VALUE!</v>
      </c>
      <c r="AI1371" t="e">
        <f t="shared" ca="1" si="686"/>
        <v>#VALUE!</v>
      </c>
      <c r="AJ1371" t="e">
        <f t="shared" ca="1" si="687"/>
        <v>#VALUE!</v>
      </c>
      <c r="AM1371">
        <v>0</v>
      </c>
      <c r="AN1371">
        <v>0</v>
      </c>
      <c r="AO1371">
        <f t="shared" si="688"/>
        <v>0</v>
      </c>
      <c r="AP1371">
        <f t="shared" si="697"/>
        <v>0</v>
      </c>
      <c r="AQ1371" t="e">
        <f t="shared" ca="1" si="689"/>
        <v>#VALUE!</v>
      </c>
      <c r="AR1371" t="e">
        <f t="shared" ca="1" si="690"/>
        <v>#VALUE!</v>
      </c>
      <c r="AS1371" t="e">
        <f t="shared" ca="1" si="691"/>
        <v>#VALUE!</v>
      </c>
    </row>
    <row r="1372" spans="1:45" x14ac:dyDescent="0.35">
      <c r="A1372">
        <v>1223</v>
      </c>
      <c r="B1372">
        <v>1221.8889999999999</v>
      </c>
      <c r="C1372">
        <v>616071.78500000003</v>
      </c>
      <c r="D1372">
        <v>3096782.247</v>
      </c>
      <c r="E1372">
        <v>631.95100000000002</v>
      </c>
      <c r="F1372">
        <v>5.2</v>
      </c>
      <c r="G1372">
        <v>0</v>
      </c>
      <c r="H1372" t="s">
        <v>191</v>
      </c>
      <c r="I1372">
        <v>5.7000000000000002E-2</v>
      </c>
      <c r="J1372">
        <f t="shared" si="692"/>
        <v>1</v>
      </c>
      <c r="K1372">
        <f t="shared" si="693"/>
        <v>51</v>
      </c>
      <c r="L1372" t="e">
        <f t="shared" ca="1" si="694"/>
        <v>#VALUE!</v>
      </c>
      <c r="M1372" t="e">
        <f t="shared" ca="1" si="667"/>
        <v>#VALUE!</v>
      </c>
      <c r="N1372" t="e">
        <f t="shared" ca="1" si="668"/>
        <v>#VALUE!</v>
      </c>
      <c r="O1372" t="e">
        <f t="shared" ca="1" si="669"/>
        <v>#VALUE!</v>
      </c>
      <c r="P1372" t="e">
        <f t="shared" ca="1" si="670"/>
        <v>#VALUE!</v>
      </c>
      <c r="Q1372" t="e">
        <f t="shared" ca="1" si="671"/>
        <v>#VALUE!</v>
      </c>
      <c r="R1372" t="e">
        <f t="shared" ca="1" si="672"/>
        <v>#VALUE!</v>
      </c>
      <c r="S1372" t="e">
        <f t="shared" ca="1" si="673"/>
        <v>#VALUE!</v>
      </c>
      <c r="T1372" t="e">
        <f t="shared" ca="1" si="674"/>
        <v>#VALUE!</v>
      </c>
      <c r="U1372" t="e">
        <f t="shared" ca="1" si="695"/>
        <v>#VALUE!</v>
      </c>
      <c r="V1372" t="e">
        <f t="shared" ca="1" si="696"/>
        <v>#VALUE!</v>
      </c>
      <c r="W1372" t="e">
        <f t="shared" ca="1" si="675"/>
        <v>#VALUE!</v>
      </c>
      <c r="X1372" t="e">
        <f t="shared" ca="1" si="676"/>
        <v>#VALUE!</v>
      </c>
      <c r="Y1372" t="e">
        <f t="shared" ca="1" si="677"/>
        <v>#VALUE!</v>
      </c>
      <c r="Z1372" t="e">
        <f t="shared" ca="1" si="678"/>
        <v>#VALUE!</v>
      </c>
      <c r="AA1372" t="e">
        <f t="shared" ca="1" si="679"/>
        <v>#VALUE!</v>
      </c>
      <c r="AB1372" t="e">
        <f t="shared" ca="1" si="680"/>
        <v>#VALUE!</v>
      </c>
      <c r="AC1372" t="e">
        <f t="shared" ca="1" si="681"/>
        <v>#VALUE!</v>
      </c>
      <c r="AD1372" t="e">
        <f t="shared" ca="1" si="682"/>
        <v>#VALUE!</v>
      </c>
      <c r="AE1372" t="e">
        <f t="shared" ca="1" si="683"/>
        <v>#VALUE!</v>
      </c>
      <c r="AF1372" t="e">
        <f t="shared" ca="1" si="684"/>
        <v>#VALUE!</v>
      </c>
      <c r="AG1372" t="e">
        <f t="shared" ca="1" si="685"/>
        <v>#VALUE!</v>
      </c>
      <c r="AH1372" t="e">
        <f ca="1">IF(V32="Supercritical",L1372,IF(V32="Subcritical",W1372,IF(AND(V1372=1,AG1372=1),IF(T1372&gt;=AE1372,L1372,W1372),IF(V1372=1,L1372,IF(AG1372=1,W1372,MAX($D$16,POWER((ABS(K1372)^2)/($I$5*MAX(F1372,0.1)^2),1/3)))))))</f>
        <v>#VALUE!</v>
      </c>
      <c r="AI1372" t="e">
        <f t="shared" ca="1" si="686"/>
        <v>#VALUE!</v>
      </c>
      <c r="AJ1372" t="e">
        <f t="shared" ca="1" si="687"/>
        <v>#VALUE!</v>
      </c>
      <c r="AM1372">
        <v>0</v>
      </c>
      <c r="AN1372">
        <v>0</v>
      </c>
      <c r="AO1372">
        <f t="shared" si="688"/>
        <v>0</v>
      </c>
      <c r="AP1372">
        <f t="shared" si="697"/>
        <v>0</v>
      </c>
      <c r="AQ1372" t="e">
        <f t="shared" ca="1" si="689"/>
        <v>#VALUE!</v>
      </c>
      <c r="AR1372" t="e">
        <f t="shared" ca="1" si="690"/>
        <v>#VALUE!</v>
      </c>
      <c r="AS1372" t="e">
        <f t="shared" ca="1" si="691"/>
        <v>#VALUE!</v>
      </c>
    </row>
    <row r="1373" spans="1:45" x14ac:dyDescent="0.35">
      <c r="A1373">
        <v>1224</v>
      </c>
      <c r="B1373">
        <v>1222.8889999999999</v>
      </c>
      <c r="C1373">
        <v>616071.74199999997</v>
      </c>
      <c r="D1373">
        <v>3096781.2480000001</v>
      </c>
      <c r="E1373">
        <v>631.95050000000003</v>
      </c>
      <c r="F1373">
        <v>5.2</v>
      </c>
      <c r="G1373">
        <v>0</v>
      </c>
      <c r="H1373" t="s">
        <v>191</v>
      </c>
      <c r="I1373">
        <v>5.7000000000000002E-2</v>
      </c>
      <c r="J1373">
        <f t="shared" si="692"/>
        <v>1</v>
      </c>
      <c r="K1373">
        <f t="shared" si="693"/>
        <v>51</v>
      </c>
      <c r="L1373" t="e">
        <f t="shared" ca="1" si="694"/>
        <v>#VALUE!</v>
      </c>
      <c r="M1373" t="e">
        <f t="shared" ca="1" si="667"/>
        <v>#VALUE!</v>
      </c>
      <c r="N1373" t="e">
        <f t="shared" ca="1" si="668"/>
        <v>#VALUE!</v>
      </c>
      <c r="O1373" t="e">
        <f t="shared" ca="1" si="669"/>
        <v>#VALUE!</v>
      </c>
      <c r="P1373" t="e">
        <f t="shared" ca="1" si="670"/>
        <v>#VALUE!</v>
      </c>
      <c r="Q1373" t="e">
        <f t="shared" ca="1" si="671"/>
        <v>#VALUE!</v>
      </c>
      <c r="R1373" t="e">
        <f t="shared" ca="1" si="672"/>
        <v>#VALUE!</v>
      </c>
      <c r="S1373" t="e">
        <f t="shared" ca="1" si="673"/>
        <v>#VALUE!</v>
      </c>
      <c r="T1373" t="e">
        <f t="shared" ca="1" si="674"/>
        <v>#VALUE!</v>
      </c>
      <c r="U1373" t="e">
        <f t="shared" ca="1" si="695"/>
        <v>#VALUE!</v>
      </c>
      <c r="V1373" t="e">
        <f t="shared" ca="1" si="696"/>
        <v>#VALUE!</v>
      </c>
      <c r="W1373" t="e">
        <f t="shared" ca="1" si="675"/>
        <v>#VALUE!</v>
      </c>
      <c r="X1373" t="e">
        <f t="shared" ca="1" si="676"/>
        <v>#VALUE!</v>
      </c>
      <c r="Y1373" t="e">
        <f t="shared" ca="1" si="677"/>
        <v>#VALUE!</v>
      </c>
      <c r="Z1373" t="e">
        <f t="shared" ca="1" si="678"/>
        <v>#VALUE!</v>
      </c>
      <c r="AA1373" t="e">
        <f t="shared" ca="1" si="679"/>
        <v>#VALUE!</v>
      </c>
      <c r="AB1373" t="e">
        <f t="shared" ca="1" si="680"/>
        <v>#VALUE!</v>
      </c>
      <c r="AC1373" t="e">
        <f t="shared" ca="1" si="681"/>
        <v>#VALUE!</v>
      </c>
      <c r="AD1373" t="e">
        <f t="shared" ca="1" si="682"/>
        <v>#VALUE!</v>
      </c>
      <c r="AE1373" t="e">
        <f t="shared" ca="1" si="683"/>
        <v>#VALUE!</v>
      </c>
      <c r="AF1373" t="e">
        <f t="shared" ca="1" si="684"/>
        <v>#VALUE!</v>
      </c>
      <c r="AG1373" t="e">
        <f t="shared" ca="1" si="685"/>
        <v>#VALUE!</v>
      </c>
      <c r="AH1373" t="e">
        <f ca="1">IF(V32="Supercritical",L1373,IF(V32="Subcritical",W1373,IF(AND(V1373=1,AG1373=1),IF(T1373&gt;=AE1373,L1373,W1373),IF(V1373=1,L1373,IF(AG1373=1,W1373,MAX($D$16,POWER((ABS(K1373)^2)/($I$5*MAX(F1373,0.1)^2),1/3)))))))</f>
        <v>#VALUE!</v>
      </c>
      <c r="AI1373" t="e">
        <f t="shared" ca="1" si="686"/>
        <v>#VALUE!</v>
      </c>
      <c r="AJ1373" t="e">
        <f t="shared" ca="1" si="687"/>
        <v>#VALUE!</v>
      </c>
      <c r="AM1373">
        <v>0</v>
      </c>
      <c r="AN1373">
        <v>0</v>
      </c>
      <c r="AO1373">
        <f t="shared" si="688"/>
        <v>0</v>
      </c>
      <c r="AP1373">
        <f t="shared" si="697"/>
        <v>0</v>
      </c>
      <c r="AQ1373" t="e">
        <f t="shared" ca="1" si="689"/>
        <v>#VALUE!</v>
      </c>
      <c r="AR1373" t="e">
        <f t="shared" ca="1" si="690"/>
        <v>#VALUE!</v>
      </c>
      <c r="AS1373" t="e">
        <f t="shared" ca="1" si="691"/>
        <v>#VALUE!</v>
      </c>
    </row>
    <row r="1374" spans="1:45" x14ac:dyDescent="0.35">
      <c r="A1374">
        <v>1225</v>
      </c>
      <c r="B1374">
        <v>1223.8889999999999</v>
      </c>
      <c r="C1374">
        <v>616071.69999999995</v>
      </c>
      <c r="D1374">
        <v>3096780.2489999998</v>
      </c>
      <c r="E1374">
        <v>631.95000000000005</v>
      </c>
      <c r="F1374">
        <v>5.2</v>
      </c>
      <c r="G1374">
        <v>0</v>
      </c>
      <c r="H1374" t="s">
        <v>191</v>
      </c>
      <c r="I1374">
        <v>0</v>
      </c>
      <c r="J1374">
        <f t="shared" si="692"/>
        <v>1</v>
      </c>
      <c r="K1374">
        <f t="shared" si="693"/>
        <v>51</v>
      </c>
      <c r="L1374" t="e">
        <f t="shared" ca="1" si="694"/>
        <v>#VALUE!</v>
      </c>
      <c r="M1374" t="e">
        <f t="shared" ca="1" si="667"/>
        <v>#VALUE!</v>
      </c>
      <c r="N1374" t="e">
        <f t="shared" ca="1" si="668"/>
        <v>#VALUE!</v>
      </c>
      <c r="O1374" t="e">
        <f t="shared" ca="1" si="669"/>
        <v>#VALUE!</v>
      </c>
      <c r="P1374" t="e">
        <f t="shared" ca="1" si="670"/>
        <v>#VALUE!</v>
      </c>
      <c r="Q1374" t="e">
        <f t="shared" ca="1" si="671"/>
        <v>#VALUE!</v>
      </c>
      <c r="R1374" t="e">
        <f t="shared" ca="1" si="672"/>
        <v>#VALUE!</v>
      </c>
      <c r="S1374" t="e">
        <f t="shared" ca="1" si="673"/>
        <v>#VALUE!</v>
      </c>
      <c r="T1374" t="e">
        <f t="shared" ca="1" si="674"/>
        <v>#VALUE!</v>
      </c>
      <c r="U1374" t="e">
        <f t="shared" ca="1" si="695"/>
        <v>#VALUE!</v>
      </c>
      <c r="V1374" t="e">
        <f t="shared" ca="1" si="696"/>
        <v>#VALUE!</v>
      </c>
      <c r="W1374" t="e">
        <f t="shared" ca="1" si="675"/>
        <v>#VALUE!</v>
      </c>
      <c r="X1374" t="e">
        <f t="shared" ca="1" si="676"/>
        <v>#VALUE!</v>
      </c>
      <c r="Y1374" t="e">
        <f t="shared" ca="1" si="677"/>
        <v>#VALUE!</v>
      </c>
      <c r="Z1374" t="e">
        <f t="shared" ca="1" si="678"/>
        <v>#VALUE!</v>
      </c>
      <c r="AA1374" t="e">
        <f t="shared" ca="1" si="679"/>
        <v>#VALUE!</v>
      </c>
      <c r="AB1374" t="e">
        <f t="shared" ca="1" si="680"/>
        <v>#VALUE!</v>
      </c>
      <c r="AC1374" t="e">
        <f t="shared" ca="1" si="681"/>
        <v>#VALUE!</v>
      </c>
      <c r="AD1374" t="e">
        <f t="shared" ca="1" si="682"/>
        <v>#VALUE!</v>
      </c>
      <c r="AE1374" t="e">
        <f t="shared" ca="1" si="683"/>
        <v>#VALUE!</v>
      </c>
      <c r="AF1374" t="e">
        <f t="shared" ca="1" si="684"/>
        <v>#VALUE!</v>
      </c>
      <c r="AG1374" t="e">
        <f t="shared" ca="1" si="685"/>
        <v>#VALUE!</v>
      </c>
      <c r="AH1374" t="e">
        <f ca="1">IF(V32="Supercritical",L1374,IF(V32="Subcritical",W1374,IF(AND(V1374=1,AG1374=1),IF(T1374&gt;=AE1374,L1374,W1374),IF(V1374=1,L1374,IF(AG1374=1,W1374,MAX($D$16,POWER((ABS(K1374)^2)/($I$5*MAX(F1374,0.1)^2),1/3)))))))</f>
        <v>#VALUE!</v>
      </c>
      <c r="AI1374" t="e">
        <f t="shared" ca="1" si="686"/>
        <v>#VALUE!</v>
      </c>
      <c r="AJ1374" t="e">
        <f t="shared" ca="1" si="687"/>
        <v>#VALUE!</v>
      </c>
      <c r="AM1374">
        <v>0</v>
      </c>
      <c r="AN1374">
        <v>0</v>
      </c>
      <c r="AO1374">
        <f t="shared" si="688"/>
        <v>0</v>
      </c>
      <c r="AP1374">
        <f t="shared" si="697"/>
        <v>0</v>
      </c>
      <c r="AQ1374" t="e">
        <f t="shared" ca="1" si="689"/>
        <v>#VALUE!</v>
      </c>
      <c r="AR1374" t="e">
        <f t="shared" ca="1" si="690"/>
        <v>#VALUE!</v>
      </c>
      <c r="AS1374" t="e">
        <f t="shared" ca="1" si="691"/>
        <v>#VALUE!</v>
      </c>
    </row>
    <row r="1375" spans="1:45" x14ac:dyDescent="0.35">
      <c r="A1375">
        <v>1226</v>
      </c>
      <c r="B1375">
        <v>1224.8889999999999</v>
      </c>
      <c r="C1375">
        <v>616071.65800000005</v>
      </c>
      <c r="D1375">
        <v>3096779.25</v>
      </c>
      <c r="E1375">
        <v>631.94949999999994</v>
      </c>
      <c r="F1375">
        <v>5.2</v>
      </c>
      <c r="G1375">
        <v>0</v>
      </c>
      <c r="H1375" t="s">
        <v>191</v>
      </c>
      <c r="I1375">
        <v>5.7000000000000002E-2</v>
      </c>
      <c r="J1375">
        <f t="shared" si="692"/>
        <v>1</v>
      </c>
      <c r="K1375">
        <f t="shared" si="693"/>
        <v>51</v>
      </c>
      <c r="L1375" t="e">
        <f t="shared" ca="1" si="694"/>
        <v>#VALUE!</v>
      </c>
      <c r="M1375" t="e">
        <f t="shared" ca="1" si="667"/>
        <v>#VALUE!</v>
      </c>
      <c r="N1375" t="e">
        <f t="shared" ca="1" si="668"/>
        <v>#VALUE!</v>
      </c>
      <c r="O1375" t="e">
        <f t="shared" ca="1" si="669"/>
        <v>#VALUE!</v>
      </c>
      <c r="P1375" t="e">
        <f t="shared" ca="1" si="670"/>
        <v>#VALUE!</v>
      </c>
      <c r="Q1375" t="e">
        <f t="shared" ca="1" si="671"/>
        <v>#VALUE!</v>
      </c>
      <c r="R1375" t="e">
        <f t="shared" ca="1" si="672"/>
        <v>#VALUE!</v>
      </c>
      <c r="S1375" t="e">
        <f t="shared" ca="1" si="673"/>
        <v>#VALUE!</v>
      </c>
      <c r="T1375" t="e">
        <f t="shared" ca="1" si="674"/>
        <v>#VALUE!</v>
      </c>
      <c r="U1375" t="e">
        <f t="shared" ca="1" si="695"/>
        <v>#VALUE!</v>
      </c>
      <c r="V1375" t="e">
        <f t="shared" ca="1" si="696"/>
        <v>#VALUE!</v>
      </c>
      <c r="W1375" t="e">
        <f t="shared" ca="1" si="675"/>
        <v>#VALUE!</v>
      </c>
      <c r="X1375" t="e">
        <f t="shared" ca="1" si="676"/>
        <v>#VALUE!</v>
      </c>
      <c r="Y1375" t="e">
        <f t="shared" ca="1" si="677"/>
        <v>#VALUE!</v>
      </c>
      <c r="Z1375" t="e">
        <f t="shared" ca="1" si="678"/>
        <v>#VALUE!</v>
      </c>
      <c r="AA1375" t="e">
        <f t="shared" ca="1" si="679"/>
        <v>#VALUE!</v>
      </c>
      <c r="AB1375" t="e">
        <f t="shared" ca="1" si="680"/>
        <v>#VALUE!</v>
      </c>
      <c r="AC1375" t="e">
        <f t="shared" ca="1" si="681"/>
        <v>#VALUE!</v>
      </c>
      <c r="AD1375" t="e">
        <f t="shared" ca="1" si="682"/>
        <v>#VALUE!</v>
      </c>
      <c r="AE1375" t="e">
        <f t="shared" ca="1" si="683"/>
        <v>#VALUE!</v>
      </c>
      <c r="AF1375" t="e">
        <f t="shared" ca="1" si="684"/>
        <v>#VALUE!</v>
      </c>
      <c r="AG1375" t="e">
        <f t="shared" ca="1" si="685"/>
        <v>#VALUE!</v>
      </c>
      <c r="AH1375" t="e">
        <f ca="1">IF(V32="Supercritical",L1375,IF(V32="Subcritical",W1375,IF(AND(V1375=1,AG1375=1),IF(T1375&gt;=AE1375,L1375,W1375),IF(V1375=1,L1375,IF(AG1375=1,W1375,MAX($D$16,POWER((ABS(K1375)^2)/($I$5*MAX(F1375,0.1)^2),1/3)))))))</f>
        <v>#VALUE!</v>
      </c>
      <c r="AI1375" t="e">
        <f t="shared" ca="1" si="686"/>
        <v>#VALUE!</v>
      </c>
      <c r="AJ1375" t="e">
        <f t="shared" ca="1" si="687"/>
        <v>#VALUE!</v>
      </c>
      <c r="AM1375">
        <v>0</v>
      </c>
      <c r="AN1375">
        <v>0</v>
      </c>
      <c r="AO1375">
        <f t="shared" si="688"/>
        <v>0</v>
      </c>
      <c r="AP1375">
        <f t="shared" si="697"/>
        <v>0</v>
      </c>
      <c r="AQ1375" t="e">
        <f t="shared" ca="1" si="689"/>
        <v>#VALUE!</v>
      </c>
      <c r="AR1375" t="e">
        <f t="shared" ca="1" si="690"/>
        <v>#VALUE!</v>
      </c>
      <c r="AS1375" t="e">
        <f t="shared" ca="1" si="691"/>
        <v>#VALUE!</v>
      </c>
    </row>
    <row r="1376" spans="1:45" x14ac:dyDescent="0.35">
      <c r="A1376">
        <v>1227</v>
      </c>
      <c r="B1376">
        <v>1225.8889999999999</v>
      </c>
      <c r="C1376">
        <v>616071.61499999999</v>
      </c>
      <c r="D1376">
        <v>3096778.2510000002</v>
      </c>
      <c r="E1376">
        <v>631.94899999999996</v>
      </c>
      <c r="F1376">
        <v>5.2</v>
      </c>
      <c r="G1376">
        <v>0</v>
      </c>
      <c r="H1376" t="s">
        <v>191</v>
      </c>
      <c r="I1376">
        <v>5.7000000000000002E-2</v>
      </c>
      <c r="J1376">
        <f t="shared" si="692"/>
        <v>1</v>
      </c>
      <c r="K1376">
        <f t="shared" si="693"/>
        <v>51</v>
      </c>
      <c r="L1376" t="e">
        <f t="shared" ca="1" si="694"/>
        <v>#VALUE!</v>
      </c>
      <c r="M1376" t="e">
        <f t="shared" ca="1" si="667"/>
        <v>#VALUE!</v>
      </c>
      <c r="N1376" t="e">
        <f t="shared" ca="1" si="668"/>
        <v>#VALUE!</v>
      </c>
      <c r="O1376" t="e">
        <f t="shared" ca="1" si="669"/>
        <v>#VALUE!</v>
      </c>
      <c r="P1376" t="e">
        <f t="shared" ca="1" si="670"/>
        <v>#VALUE!</v>
      </c>
      <c r="Q1376" t="e">
        <f t="shared" ca="1" si="671"/>
        <v>#VALUE!</v>
      </c>
      <c r="R1376" t="e">
        <f t="shared" ca="1" si="672"/>
        <v>#VALUE!</v>
      </c>
      <c r="S1376" t="e">
        <f t="shared" ca="1" si="673"/>
        <v>#VALUE!</v>
      </c>
      <c r="T1376" t="e">
        <f t="shared" ca="1" si="674"/>
        <v>#VALUE!</v>
      </c>
      <c r="U1376" t="e">
        <f t="shared" ca="1" si="695"/>
        <v>#VALUE!</v>
      </c>
      <c r="V1376" t="e">
        <f t="shared" ca="1" si="696"/>
        <v>#VALUE!</v>
      </c>
      <c r="W1376" t="e">
        <f t="shared" ca="1" si="675"/>
        <v>#VALUE!</v>
      </c>
      <c r="X1376" t="e">
        <f t="shared" ca="1" si="676"/>
        <v>#VALUE!</v>
      </c>
      <c r="Y1376" t="e">
        <f t="shared" ca="1" si="677"/>
        <v>#VALUE!</v>
      </c>
      <c r="Z1376" t="e">
        <f t="shared" ca="1" si="678"/>
        <v>#VALUE!</v>
      </c>
      <c r="AA1376" t="e">
        <f t="shared" ca="1" si="679"/>
        <v>#VALUE!</v>
      </c>
      <c r="AB1376" t="e">
        <f t="shared" ca="1" si="680"/>
        <v>#VALUE!</v>
      </c>
      <c r="AC1376" t="e">
        <f t="shared" ca="1" si="681"/>
        <v>#VALUE!</v>
      </c>
      <c r="AD1376" t="e">
        <f t="shared" ca="1" si="682"/>
        <v>#VALUE!</v>
      </c>
      <c r="AE1376" t="e">
        <f t="shared" ca="1" si="683"/>
        <v>#VALUE!</v>
      </c>
      <c r="AF1376" t="e">
        <f t="shared" ca="1" si="684"/>
        <v>#VALUE!</v>
      </c>
      <c r="AG1376" t="e">
        <f t="shared" ca="1" si="685"/>
        <v>#VALUE!</v>
      </c>
      <c r="AH1376" t="e">
        <f ca="1">IF(V32="Supercritical",L1376,IF(V32="Subcritical",W1376,IF(AND(V1376=1,AG1376=1),IF(T1376&gt;=AE1376,L1376,W1376),IF(V1376=1,L1376,IF(AG1376=1,W1376,MAX($D$16,POWER((ABS(K1376)^2)/($I$5*MAX(F1376,0.1)^2),1/3)))))))</f>
        <v>#VALUE!</v>
      </c>
      <c r="AI1376" t="e">
        <f t="shared" ca="1" si="686"/>
        <v>#VALUE!</v>
      </c>
      <c r="AJ1376" t="e">
        <f t="shared" ca="1" si="687"/>
        <v>#VALUE!</v>
      </c>
      <c r="AM1376">
        <v>0</v>
      </c>
      <c r="AN1376">
        <v>0</v>
      </c>
      <c r="AO1376">
        <f t="shared" si="688"/>
        <v>0</v>
      </c>
      <c r="AP1376">
        <f t="shared" si="697"/>
        <v>0</v>
      </c>
      <c r="AQ1376" t="e">
        <f t="shared" ca="1" si="689"/>
        <v>#VALUE!</v>
      </c>
      <c r="AR1376" t="e">
        <f t="shared" ca="1" si="690"/>
        <v>#VALUE!</v>
      </c>
      <c r="AS1376" t="e">
        <f t="shared" ca="1" si="691"/>
        <v>#VALUE!</v>
      </c>
    </row>
    <row r="1377" spans="1:45" x14ac:dyDescent="0.35">
      <c r="A1377">
        <v>1228</v>
      </c>
      <c r="B1377">
        <v>1226.8889999999999</v>
      </c>
      <c r="C1377">
        <v>616071.57299999997</v>
      </c>
      <c r="D1377">
        <v>3096777.2519999999</v>
      </c>
      <c r="E1377">
        <v>631.94849999999997</v>
      </c>
      <c r="F1377">
        <v>5.2</v>
      </c>
      <c r="G1377">
        <v>0</v>
      </c>
      <c r="H1377" t="s">
        <v>191</v>
      </c>
      <c r="I1377">
        <v>2E-3</v>
      </c>
      <c r="J1377">
        <f t="shared" si="692"/>
        <v>1</v>
      </c>
      <c r="K1377">
        <f t="shared" si="693"/>
        <v>51</v>
      </c>
      <c r="L1377" t="e">
        <f t="shared" ca="1" si="694"/>
        <v>#VALUE!</v>
      </c>
      <c r="M1377" t="e">
        <f t="shared" ca="1" si="667"/>
        <v>#VALUE!</v>
      </c>
      <c r="N1377" t="e">
        <f t="shared" ca="1" si="668"/>
        <v>#VALUE!</v>
      </c>
      <c r="O1377" t="e">
        <f t="shared" ca="1" si="669"/>
        <v>#VALUE!</v>
      </c>
      <c r="P1377" t="e">
        <f t="shared" ca="1" si="670"/>
        <v>#VALUE!</v>
      </c>
      <c r="Q1377" t="e">
        <f t="shared" ca="1" si="671"/>
        <v>#VALUE!</v>
      </c>
      <c r="R1377" t="e">
        <f t="shared" ca="1" si="672"/>
        <v>#VALUE!</v>
      </c>
      <c r="S1377" t="e">
        <f t="shared" ca="1" si="673"/>
        <v>#VALUE!</v>
      </c>
      <c r="T1377" t="e">
        <f t="shared" ca="1" si="674"/>
        <v>#VALUE!</v>
      </c>
      <c r="U1377" t="e">
        <f t="shared" ca="1" si="695"/>
        <v>#VALUE!</v>
      </c>
      <c r="V1377" t="e">
        <f t="shared" ca="1" si="696"/>
        <v>#VALUE!</v>
      </c>
      <c r="W1377" t="e">
        <f t="shared" ca="1" si="675"/>
        <v>#VALUE!</v>
      </c>
      <c r="X1377" t="e">
        <f t="shared" ca="1" si="676"/>
        <v>#VALUE!</v>
      </c>
      <c r="Y1377" t="e">
        <f t="shared" ca="1" si="677"/>
        <v>#VALUE!</v>
      </c>
      <c r="Z1377" t="e">
        <f t="shared" ca="1" si="678"/>
        <v>#VALUE!</v>
      </c>
      <c r="AA1377" t="e">
        <f t="shared" ca="1" si="679"/>
        <v>#VALUE!</v>
      </c>
      <c r="AB1377" t="e">
        <f t="shared" ca="1" si="680"/>
        <v>#VALUE!</v>
      </c>
      <c r="AC1377" t="e">
        <f t="shared" ca="1" si="681"/>
        <v>#VALUE!</v>
      </c>
      <c r="AD1377" t="e">
        <f t="shared" ca="1" si="682"/>
        <v>#VALUE!</v>
      </c>
      <c r="AE1377" t="e">
        <f t="shared" ca="1" si="683"/>
        <v>#VALUE!</v>
      </c>
      <c r="AF1377" t="e">
        <f t="shared" ca="1" si="684"/>
        <v>#VALUE!</v>
      </c>
      <c r="AG1377" t="e">
        <f t="shared" ca="1" si="685"/>
        <v>#VALUE!</v>
      </c>
      <c r="AH1377" t="e">
        <f ca="1">IF(V32="Supercritical",L1377,IF(V32="Subcritical",W1377,IF(AND(V1377=1,AG1377=1),IF(T1377&gt;=AE1377,L1377,W1377),IF(V1377=1,L1377,IF(AG1377=1,W1377,MAX($D$16,POWER((ABS(K1377)^2)/($I$5*MAX(F1377,0.1)^2),1/3)))))))</f>
        <v>#VALUE!</v>
      </c>
      <c r="AI1377" t="e">
        <f t="shared" ca="1" si="686"/>
        <v>#VALUE!</v>
      </c>
      <c r="AJ1377" t="e">
        <f t="shared" ca="1" si="687"/>
        <v>#VALUE!</v>
      </c>
      <c r="AM1377">
        <v>0</v>
      </c>
      <c r="AN1377">
        <v>0</v>
      </c>
      <c r="AO1377">
        <f t="shared" si="688"/>
        <v>0</v>
      </c>
      <c r="AP1377">
        <f t="shared" si="697"/>
        <v>0</v>
      </c>
      <c r="AQ1377" t="e">
        <f t="shared" ca="1" si="689"/>
        <v>#VALUE!</v>
      </c>
      <c r="AR1377" t="e">
        <f t="shared" ca="1" si="690"/>
        <v>#VALUE!</v>
      </c>
      <c r="AS1377" t="e">
        <f t="shared" ca="1" si="691"/>
        <v>#VALUE!</v>
      </c>
    </row>
    <row r="1378" spans="1:45" x14ac:dyDescent="0.35">
      <c r="A1378">
        <v>1229</v>
      </c>
      <c r="B1378">
        <v>1227.8900000000001</v>
      </c>
      <c r="C1378">
        <v>616071.53099999996</v>
      </c>
      <c r="D1378">
        <v>3096776.2519999999</v>
      </c>
      <c r="E1378">
        <v>631.94799999999998</v>
      </c>
      <c r="F1378">
        <v>5.2</v>
      </c>
      <c r="G1378">
        <v>0</v>
      </c>
      <c r="H1378" t="s">
        <v>191</v>
      </c>
      <c r="I1378">
        <v>2E-3</v>
      </c>
      <c r="J1378">
        <f t="shared" si="692"/>
        <v>1.0010000000002037</v>
      </c>
      <c r="K1378">
        <f t="shared" si="693"/>
        <v>51</v>
      </c>
      <c r="L1378" t="e">
        <f t="shared" ca="1" si="694"/>
        <v>#VALUE!</v>
      </c>
      <c r="M1378" t="e">
        <f t="shared" ca="1" si="667"/>
        <v>#VALUE!</v>
      </c>
      <c r="N1378" t="e">
        <f t="shared" ca="1" si="668"/>
        <v>#VALUE!</v>
      </c>
      <c r="O1378" t="e">
        <f t="shared" ca="1" si="669"/>
        <v>#VALUE!</v>
      </c>
      <c r="P1378" t="e">
        <f t="shared" ca="1" si="670"/>
        <v>#VALUE!</v>
      </c>
      <c r="Q1378" t="e">
        <f t="shared" ca="1" si="671"/>
        <v>#VALUE!</v>
      </c>
      <c r="R1378" t="e">
        <f t="shared" ca="1" si="672"/>
        <v>#VALUE!</v>
      </c>
      <c r="S1378" t="e">
        <f t="shared" ca="1" si="673"/>
        <v>#VALUE!</v>
      </c>
      <c r="T1378" t="e">
        <f t="shared" ca="1" si="674"/>
        <v>#VALUE!</v>
      </c>
      <c r="U1378" t="e">
        <f t="shared" ca="1" si="695"/>
        <v>#VALUE!</v>
      </c>
      <c r="V1378" t="e">
        <f t="shared" ca="1" si="696"/>
        <v>#VALUE!</v>
      </c>
      <c r="W1378" t="e">
        <f t="shared" ca="1" si="675"/>
        <v>#VALUE!</v>
      </c>
      <c r="X1378" t="e">
        <f t="shared" ca="1" si="676"/>
        <v>#VALUE!</v>
      </c>
      <c r="Y1378" t="e">
        <f t="shared" ca="1" si="677"/>
        <v>#VALUE!</v>
      </c>
      <c r="Z1378" t="e">
        <f t="shared" ca="1" si="678"/>
        <v>#VALUE!</v>
      </c>
      <c r="AA1378" t="e">
        <f t="shared" ca="1" si="679"/>
        <v>#VALUE!</v>
      </c>
      <c r="AB1378" t="e">
        <f t="shared" ca="1" si="680"/>
        <v>#VALUE!</v>
      </c>
      <c r="AC1378" t="e">
        <f t="shared" ca="1" si="681"/>
        <v>#VALUE!</v>
      </c>
      <c r="AD1378" t="e">
        <f t="shared" ca="1" si="682"/>
        <v>#VALUE!</v>
      </c>
      <c r="AE1378" t="e">
        <f t="shared" ca="1" si="683"/>
        <v>#VALUE!</v>
      </c>
      <c r="AF1378" t="e">
        <f t="shared" ca="1" si="684"/>
        <v>#VALUE!</v>
      </c>
      <c r="AG1378" t="e">
        <f t="shared" ca="1" si="685"/>
        <v>#VALUE!</v>
      </c>
      <c r="AH1378" t="e">
        <f ca="1">IF(V32="Supercritical",L1378,IF(V32="Subcritical",W1378,IF(AND(V1378=1,AG1378=1),IF(T1378&gt;=AE1378,L1378,W1378),IF(V1378=1,L1378,IF(AG1378=1,W1378,MAX($D$16,POWER((ABS(K1378)^2)/($I$5*MAX(F1378,0.1)^2),1/3)))))))</f>
        <v>#VALUE!</v>
      </c>
      <c r="AI1378" t="e">
        <f t="shared" ca="1" si="686"/>
        <v>#VALUE!</v>
      </c>
      <c r="AJ1378" t="e">
        <f t="shared" ca="1" si="687"/>
        <v>#VALUE!</v>
      </c>
      <c r="AM1378">
        <v>0</v>
      </c>
      <c r="AN1378">
        <v>0</v>
      </c>
      <c r="AO1378">
        <f t="shared" si="688"/>
        <v>0</v>
      </c>
      <c r="AP1378">
        <f t="shared" si="697"/>
        <v>0</v>
      </c>
      <c r="AQ1378" t="e">
        <f t="shared" ca="1" si="689"/>
        <v>#VALUE!</v>
      </c>
      <c r="AR1378" t="e">
        <f t="shared" ca="1" si="690"/>
        <v>#VALUE!</v>
      </c>
      <c r="AS1378" t="e">
        <f t="shared" ca="1" si="691"/>
        <v>#VALUE!</v>
      </c>
    </row>
    <row r="1379" spans="1:45" x14ac:dyDescent="0.35">
      <c r="A1379">
        <v>1230</v>
      </c>
      <c r="B1379">
        <v>1228.8900000000001</v>
      </c>
      <c r="C1379">
        <v>616071.48899999994</v>
      </c>
      <c r="D1379">
        <v>3096775.253</v>
      </c>
      <c r="E1379">
        <v>631.94749999999999</v>
      </c>
      <c r="F1379">
        <v>5.2</v>
      </c>
      <c r="G1379">
        <v>0</v>
      </c>
      <c r="H1379" t="s">
        <v>191</v>
      </c>
      <c r="I1379">
        <v>5.7000000000000002E-2</v>
      </c>
      <c r="J1379">
        <f t="shared" si="692"/>
        <v>1</v>
      </c>
      <c r="K1379">
        <f t="shared" si="693"/>
        <v>51</v>
      </c>
      <c r="L1379" t="e">
        <f t="shared" ca="1" si="694"/>
        <v>#VALUE!</v>
      </c>
      <c r="M1379" t="e">
        <f t="shared" ca="1" si="667"/>
        <v>#VALUE!</v>
      </c>
      <c r="N1379" t="e">
        <f t="shared" ca="1" si="668"/>
        <v>#VALUE!</v>
      </c>
      <c r="O1379" t="e">
        <f t="shared" ca="1" si="669"/>
        <v>#VALUE!</v>
      </c>
      <c r="P1379" t="e">
        <f t="shared" ca="1" si="670"/>
        <v>#VALUE!</v>
      </c>
      <c r="Q1379" t="e">
        <f t="shared" ca="1" si="671"/>
        <v>#VALUE!</v>
      </c>
      <c r="R1379" t="e">
        <f t="shared" ca="1" si="672"/>
        <v>#VALUE!</v>
      </c>
      <c r="S1379" t="e">
        <f t="shared" ca="1" si="673"/>
        <v>#VALUE!</v>
      </c>
      <c r="T1379" t="e">
        <f t="shared" ca="1" si="674"/>
        <v>#VALUE!</v>
      </c>
      <c r="U1379" t="e">
        <f t="shared" ca="1" si="695"/>
        <v>#VALUE!</v>
      </c>
      <c r="V1379" t="e">
        <f t="shared" ca="1" si="696"/>
        <v>#VALUE!</v>
      </c>
      <c r="W1379" t="e">
        <f t="shared" ca="1" si="675"/>
        <v>#VALUE!</v>
      </c>
      <c r="X1379" t="e">
        <f t="shared" ca="1" si="676"/>
        <v>#VALUE!</v>
      </c>
      <c r="Y1379" t="e">
        <f t="shared" ca="1" si="677"/>
        <v>#VALUE!</v>
      </c>
      <c r="Z1379" t="e">
        <f t="shared" ca="1" si="678"/>
        <v>#VALUE!</v>
      </c>
      <c r="AA1379" t="e">
        <f t="shared" ca="1" si="679"/>
        <v>#VALUE!</v>
      </c>
      <c r="AB1379" t="e">
        <f t="shared" ca="1" si="680"/>
        <v>#VALUE!</v>
      </c>
      <c r="AC1379" t="e">
        <f t="shared" ca="1" si="681"/>
        <v>#VALUE!</v>
      </c>
      <c r="AD1379" t="e">
        <f t="shared" ca="1" si="682"/>
        <v>#VALUE!</v>
      </c>
      <c r="AE1379" t="e">
        <f t="shared" ca="1" si="683"/>
        <v>#VALUE!</v>
      </c>
      <c r="AF1379" t="e">
        <f t="shared" ca="1" si="684"/>
        <v>#VALUE!</v>
      </c>
      <c r="AG1379" t="e">
        <f t="shared" ca="1" si="685"/>
        <v>#VALUE!</v>
      </c>
      <c r="AH1379" t="e">
        <f ca="1">IF(V32="Supercritical",L1379,IF(V32="Subcritical",W1379,IF(AND(V1379=1,AG1379=1),IF(T1379&gt;=AE1379,L1379,W1379),IF(V1379=1,L1379,IF(AG1379=1,W1379,MAX($D$16,POWER((ABS(K1379)^2)/($I$5*MAX(F1379,0.1)^2),1/3)))))))</f>
        <v>#VALUE!</v>
      </c>
      <c r="AI1379" t="e">
        <f t="shared" ca="1" si="686"/>
        <v>#VALUE!</v>
      </c>
      <c r="AJ1379" t="e">
        <f t="shared" ca="1" si="687"/>
        <v>#VALUE!</v>
      </c>
      <c r="AM1379">
        <v>0</v>
      </c>
      <c r="AN1379">
        <v>0</v>
      </c>
      <c r="AO1379">
        <f t="shared" si="688"/>
        <v>0</v>
      </c>
      <c r="AP1379">
        <f t="shared" si="697"/>
        <v>0</v>
      </c>
      <c r="AQ1379" t="e">
        <f t="shared" ca="1" si="689"/>
        <v>#VALUE!</v>
      </c>
      <c r="AR1379" t="e">
        <f t="shared" ca="1" si="690"/>
        <v>#VALUE!</v>
      </c>
      <c r="AS1379" t="e">
        <f t="shared" ca="1" si="691"/>
        <v>#VALUE!</v>
      </c>
    </row>
    <row r="1380" spans="1:45" x14ac:dyDescent="0.35">
      <c r="A1380">
        <v>1231</v>
      </c>
      <c r="B1380">
        <v>1229.8900000000001</v>
      </c>
      <c r="C1380">
        <v>616071.446</v>
      </c>
      <c r="D1380">
        <v>3096774.2540000002</v>
      </c>
      <c r="E1380">
        <v>631.947</v>
      </c>
      <c r="F1380">
        <v>5.2</v>
      </c>
      <c r="G1380">
        <v>0</v>
      </c>
      <c r="H1380" t="s">
        <v>191</v>
      </c>
      <c r="I1380">
        <v>5.7000000000000002E-2</v>
      </c>
      <c r="J1380">
        <f t="shared" si="692"/>
        <v>1</v>
      </c>
      <c r="K1380">
        <f t="shared" si="693"/>
        <v>51</v>
      </c>
      <c r="L1380" t="e">
        <f t="shared" ca="1" si="694"/>
        <v>#VALUE!</v>
      </c>
      <c r="M1380" t="e">
        <f t="shared" ca="1" si="667"/>
        <v>#VALUE!</v>
      </c>
      <c r="N1380" t="e">
        <f t="shared" ca="1" si="668"/>
        <v>#VALUE!</v>
      </c>
      <c r="O1380" t="e">
        <f t="shared" ca="1" si="669"/>
        <v>#VALUE!</v>
      </c>
      <c r="P1380" t="e">
        <f t="shared" ca="1" si="670"/>
        <v>#VALUE!</v>
      </c>
      <c r="Q1380" t="e">
        <f t="shared" ca="1" si="671"/>
        <v>#VALUE!</v>
      </c>
      <c r="R1380" t="e">
        <f t="shared" ca="1" si="672"/>
        <v>#VALUE!</v>
      </c>
      <c r="S1380" t="e">
        <f t="shared" ca="1" si="673"/>
        <v>#VALUE!</v>
      </c>
      <c r="T1380" t="e">
        <f t="shared" ca="1" si="674"/>
        <v>#VALUE!</v>
      </c>
      <c r="U1380" t="e">
        <f t="shared" ca="1" si="695"/>
        <v>#VALUE!</v>
      </c>
      <c r="V1380" t="e">
        <f t="shared" ca="1" si="696"/>
        <v>#VALUE!</v>
      </c>
      <c r="W1380" t="e">
        <f t="shared" ca="1" si="675"/>
        <v>#VALUE!</v>
      </c>
      <c r="X1380" t="e">
        <f t="shared" ca="1" si="676"/>
        <v>#VALUE!</v>
      </c>
      <c r="Y1380" t="e">
        <f t="shared" ca="1" si="677"/>
        <v>#VALUE!</v>
      </c>
      <c r="Z1380" t="e">
        <f t="shared" ca="1" si="678"/>
        <v>#VALUE!</v>
      </c>
      <c r="AA1380" t="e">
        <f t="shared" ca="1" si="679"/>
        <v>#VALUE!</v>
      </c>
      <c r="AB1380" t="e">
        <f t="shared" ca="1" si="680"/>
        <v>#VALUE!</v>
      </c>
      <c r="AC1380" t="e">
        <f t="shared" ca="1" si="681"/>
        <v>#VALUE!</v>
      </c>
      <c r="AD1380" t="e">
        <f t="shared" ca="1" si="682"/>
        <v>#VALUE!</v>
      </c>
      <c r="AE1380" t="e">
        <f t="shared" ca="1" si="683"/>
        <v>#VALUE!</v>
      </c>
      <c r="AF1380" t="e">
        <f t="shared" ca="1" si="684"/>
        <v>#VALUE!</v>
      </c>
      <c r="AG1380" t="e">
        <f t="shared" ca="1" si="685"/>
        <v>#VALUE!</v>
      </c>
      <c r="AH1380" t="e">
        <f ca="1">IF(V32="Supercritical",L1380,IF(V32="Subcritical",W1380,IF(AND(V1380=1,AG1380=1),IF(T1380&gt;=AE1380,L1380,W1380),IF(V1380=1,L1380,IF(AG1380=1,W1380,MAX($D$16,POWER((ABS(K1380)^2)/($I$5*MAX(F1380,0.1)^2),1/3)))))))</f>
        <v>#VALUE!</v>
      </c>
      <c r="AI1380" t="e">
        <f t="shared" ca="1" si="686"/>
        <v>#VALUE!</v>
      </c>
      <c r="AJ1380" t="e">
        <f t="shared" ca="1" si="687"/>
        <v>#VALUE!</v>
      </c>
      <c r="AM1380">
        <v>0</v>
      </c>
      <c r="AN1380">
        <v>0</v>
      </c>
      <c r="AO1380">
        <f t="shared" si="688"/>
        <v>0</v>
      </c>
      <c r="AP1380">
        <f t="shared" si="697"/>
        <v>0</v>
      </c>
      <c r="AQ1380" t="e">
        <f t="shared" ca="1" si="689"/>
        <v>#VALUE!</v>
      </c>
      <c r="AR1380" t="e">
        <f t="shared" ca="1" si="690"/>
        <v>#VALUE!</v>
      </c>
      <c r="AS1380" t="e">
        <f t="shared" ca="1" si="691"/>
        <v>#VALUE!</v>
      </c>
    </row>
    <row r="1381" spans="1:45" x14ac:dyDescent="0.35">
      <c r="A1381">
        <v>1232</v>
      </c>
      <c r="B1381">
        <v>1230.8889999999999</v>
      </c>
      <c r="C1381">
        <v>616071.40399999998</v>
      </c>
      <c r="D1381">
        <v>3096773.2549999999</v>
      </c>
      <c r="E1381">
        <v>631.94650000000001</v>
      </c>
      <c r="F1381">
        <v>5.2</v>
      </c>
      <c r="G1381">
        <v>0</v>
      </c>
      <c r="H1381" t="s">
        <v>191</v>
      </c>
      <c r="I1381">
        <v>0</v>
      </c>
      <c r="J1381">
        <f t="shared" si="692"/>
        <v>0.99899999999979627</v>
      </c>
      <c r="K1381">
        <f t="shared" si="693"/>
        <v>51</v>
      </c>
      <c r="L1381" t="e">
        <f t="shared" ca="1" si="694"/>
        <v>#VALUE!</v>
      </c>
      <c r="M1381" t="e">
        <f t="shared" ca="1" si="667"/>
        <v>#VALUE!</v>
      </c>
      <c r="N1381" t="e">
        <f t="shared" ca="1" si="668"/>
        <v>#VALUE!</v>
      </c>
      <c r="O1381" t="e">
        <f t="shared" ca="1" si="669"/>
        <v>#VALUE!</v>
      </c>
      <c r="P1381" t="e">
        <f t="shared" ca="1" si="670"/>
        <v>#VALUE!</v>
      </c>
      <c r="Q1381" t="e">
        <f t="shared" ca="1" si="671"/>
        <v>#VALUE!</v>
      </c>
      <c r="R1381" t="e">
        <f t="shared" ca="1" si="672"/>
        <v>#VALUE!</v>
      </c>
      <c r="S1381" t="e">
        <f t="shared" ca="1" si="673"/>
        <v>#VALUE!</v>
      </c>
      <c r="T1381" t="e">
        <f t="shared" ca="1" si="674"/>
        <v>#VALUE!</v>
      </c>
      <c r="U1381" t="e">
        <f t="shared" ca="1" si="695"/>
        <v>#VALUE!</v>
      </c>
      <c r="V1381" t="e">
        <f t="shared" ca="1" si="696"/>
        <v>#VALUE!</v>
      </c>
      <c r="W1381" t="e">
        <f t="shared" ca="1" si="675"/>
        <v>#VALUE!</v>
      </c>
      <c r="X1381" t="e">
        <f t="shared" ca="1" si="676"/>
        <v>#VALUE!</v>
      </c>
      <c r="Y1381" t="e">
        <f t="shared" ca="1" si="677"/>
        <v>#VALUE!</v>
      </c>
      <c r="Z1381" t="e">
        <f t="shared" ca="1" si="678"/>
        <v>#VALUE!</v>
      </c>
      <c r="AA1381" t="e">
        <f t="shared" ca="1" si="679"/>
        <v>#VALUE!</v>
      </c>
      <c r="AB1381" t="e">
        <f t="shared" ca="1" si="680"/>
        <v>#VALUE!</v>
      </c>
      <c r="AC1381" t="e">
        <f t="shared" ca="1" si="681"/>
        <v>#VALUE!</v>
      </c>
      <c r="AD1381" t="e">
        <f t="shared" ca="1" si="682"/>
        <v>#VALUE!</v>
      </c>
      <c r="AE1381" t="e">
        <f t="shared" ca="1" si="683"/>
        <v>#VALUE!</v>
      </c>
      <c r="AF1381" t="e">
        <f t="shared" ca="1" si="684"/>
        <v>#VALUE!</v>
      </c>
      <c r="AG1381" t="e">
        <f t="shared" ca="1" si="685"/>
        <v>#VALUE!</v>
      </c>
      <c r="AH1381" t="e">
        <f ca="1">IF(V32="Supercritical",L1381,IF(V32="Subcritical",W1381,IF(AND(V1381=1,AG1381=1),IF(T1381&gt;=AE1381,L1381,W1381),IF(V1381=1,L1381,IF(AG1381=1,W1381,MAX($D$16,POWER((ABS(K1381)^2)/($I$5*MAX(F1381,0.1)^2),1/3)))))))</f>
        <v>#VALUE!</v>
      </c>
      <c r="AI1381" t="e">
        <f t="shared" ca="1" si="686"/>
        <v>#VALUE!</v>
      </c>
      <c r="AJ1381" t="e">
        <f t="shared" ca="1" si="687"/>
        <v>#VALUE!</v>
      </c>
      <c r="AM1381">
        <v>0</v>
      </c>
      <c r="AN1381">
        <v>0</v>
      </c>
      <c r="AO1381">
        <f t="shared" si="688"/>
        <v>0</v>
      </c>
      <c r="AP1381">
        <f t="shared" si="697"/>
        <v>0</v>
      </c>
      <c r="AQ1381" t="e">
        <f t="shared" ca="1" si="689"/>
        <v>#VALUE!</v>
      </c>
      <c r="AR1381" t="e">
        <f t="shared" ca="1" si="690"/>
        <v>#VALUE!</v>
      </c>
      <c r="AS1381" t="e">
        <f t="shared" ca="1" si="691"/>
        <v>#VALUE!</v>
      </c>
    </row>
    <row r="1382" spans="1:45" x14ac:dyDescent="0.35">
      <c r="A1382">
        <v>1233</v>
      </c>
      <c r="B1382">
        <v>1231.8889999999999</v>
      </c>
      <c r="C1382">
        <v>616071.36199999996</v>
      </c>
      <c r="D1382">
        <v>3096772.2560000001</v>
      </c>
      <c r="E1382">
        <v>631.94600000000003</v>
      </c>
      <c r="F1382">
        <v>5.2</v>
      </c>
      <c r="G1382">
        <v>0</v>
      </c>
      <c r="H1382" t="s">
        <v>191</v>
      </c>
      <c r="I1382">
        <v>0</v>
      </c>
      <c r="J1382">
        <f t="shared" si="692"/>
        <v>1</v>
      </c>
      <c r="K1382">
        <f t="shared" si="693"/>
        <v>51</v>
      </c>
      <c r="L1382" t="e">
        <f t="shared" ca="1" si="694"/>
        <v>#VALUE!</v>
      </c>
      <c r="M1382" t="e">
        <f t="shared" ca="1" si="667"/>
        <v>#VALUE!</v>
      </c>
      <c r="N1382" t="e">
        <f t="shared" ca="1" si="668"/>
        <v>#VALUE!</v>
      </c>
      <c r="O1382" t="e">
        <f t="shared" ca="1" si="669"/>
        <v>#VALUE!</v>
      </c>
      <c r="P1382" t="e">
        <f t="shared" ca="1" si="670"/>
        <v>#VALUE!</v>
      </c>
      <c r="Q1382" t="e">
        <f t="shared" ca="1" si="671"/>
        <v>#VALUE!</v>
      </c>
      <c r="R1382" t="e">
        <f t="shared" ca="1" si="672"/>
        <v>#VALUE!</v>
      </c>
      <c r="S1382" t="e">
        <f t="shared" ca="1" si="673"/>
        <v>#VALUE!</v>
      </c>
      <c r="T1382" t="e">
        <f t="shared" ca="1" si="674"/>
        <v>#VALUE!</v>
      </c>
      <c r="U1382" t="e">
        <f t="shared" ca="1" si="695"/>
        <v>#VALUE!</v>
      </c>
      <c r="V1382" t="e">
        <f t="shared" ca="1" si="696"/>
        <v>#VALUE!</v>
      </c>
      <c r="W1382" t="e">
        <f t="shared" ca="1" si="675"/>
        <v>#VALUE!</v>
      </c>
      <c r="X1382" t="e">
        <f t="shared" ca="1" si="676"/>
        <v>#VALUE!</v>
      </c>
      <c r="Y1382" t="e">
        <f t="shared" ca="1" si="677"/>
        <v>#VALUE!</v>
      </c>
      <c r="Z1382" t="e">
        <f t="shared" ca="1" si="678"/>
        <v>#VALUE!</v>
      </c>
      <c r="AA1382" t="e">
        <f t="shared" ca="1" si="679"/>
        <v>#VALUE!</v>
      </c>
      <c r="AB1382" t="e">
        <f t="shared" ca="1" si="680"/>
        <v>#VALUE!</v>
      </c>
      <c r="AC1382" t="e">
        <f t="shared" ca="1" si="681"/>
        <v>#VALUE!</v>
      </c>
      <c r="AD1382" t="e">
        <f t="shared" ca="1" si="682"/>
        <v>#VALUE!</v>
      </c>
      <c r="AE1382" t="e">
        <f t="shared" ca="1" si="683"/>
        <v>#VALUE!</v>
      </c>
      <c r="AF1382" t="e">
        <f t="shared" ca="1" si="684"/>
        <v>#VALUE!</v>
      </c>
      <c r="AG1382" t="e">
        <f t="shared" ca="1" si="685"/>
        <v>#VALUE!</v>
      </c>
      <c r="AH1382" t="e">
        <f ca="1">IF(V32="Supercritical",L1382,IF(V32="Subcritical",W1382,IF(AND(V1382=1,AG1382=1),IF(T1382&gt;=AE1382,L1382,W1382),IF(V1382=1,L1382,IF(AG1382=1,W1382,MAX($D$16,POWER((ABS(K1382)^2)/($I$5*MAX(F1382,0.1)^2),1/3)))))))</f>
        <v>#VALUE!</v>
      </c>
      <c r="AI1382" t="e">
        <f t="shared" ca="1" si="686"/>
        <v>#VALUE!</v>
      </c>
      <c r="AJ1382" t="e">
        <f t="shared" ca="1" si="687"/>
        <v>#VALUE!</v>
      </c>
      <c r="AM1382">
        <v>0</v>
      </c>
      <c r="AN1382">
        <v>0</v>
      </c>
      <c r="AO1382">
        <f t="shared" si="688"/>
        <v>0</v>
      </c>
      <c r="AP1382">
        <f t="shared" si="697"/>
        <v>0</v>
      </c>
      <c r="AQ1382" t="e">
        <f t="shared" ca="1" si="689"/>
        <v>#VALUE!</v>
      </c>
      <c r="AR1382" t="e">
        <f t="shared" ca="1" si="690"/>
        <v>#VALUE!</v>
      </c>
      <c r="AS1382" t="e">
        <f t="shared" ca="1" si="691"/>
        <v>#VALUE!</v>
      </c>
    </row>
    <row r="1383" spans="1:45" x14ac:dyDescent="0.35">
      <c r="A1383">
        <v>1234</v>
      </c>
      <c r="B1383">
        <v>1232.8889999999999</v>
      </c>
      <c r="C1383">
        <v>616071.31999999995</v>
      </c>
      <c r="D1383">
        <v>3096771.2570000002</v>
      </c>
      <c r="E1383">
        <v>631.94550000000004</v>
      </c>
      <c r="F1383">
        <v>5.2</v>
      </c>
      <c r="G1383">
        <v>0</v>
      </c>
      <c r="H1383" t="s">
        <v>191</v>
      </c>
      <c r="I1383">
        <v>5.7000000000000002E-2</v>
      </c>
      <c r="J1383">
        <f t="shared" si="692"/>
        <v>1</v>
      </c>
      <c r="K1383">
        <f t="shared" si="693"/>
        <v>51</v>
      </c>
      <c r="L1383" t="e">
        <f t="shared" ca="1" si="694"/>
        <v>#VALUE!</v>
      </c>
      <c r="M1383" t="e">
        <f t="shared" ca="1" si="667"/>
        <v>#VALUE!</v>
      </c>
      <c r="N1383" t="e">
        <f t="shared" ca="1" si="668"/>
        <v>#VALUE!</v>
      </c>
      <c r="O1383" t="e">
        <f t="shared" ca="1" si="669"/>
        <v>#VALUE!</v>
      </c>
      <c r="P1383" t="e">
        <f t="shared" ca="1" si="670"/>
        <v>#VALUE!</v>
      </c>
      <c r="Q1383" t="e">
        <f t="shared" ca="1" si="671"/>
        <v>#VALUE!</v>
      </c>
      <c r="R1383" t="e">
        <f t="shared" ca="1" si="672"/>
        <v>#VALUE!</v>
      </c>
      <c r="S1383" t="e">
        <f t="shared" ca="1" si="673"/>
        <v>#VALUE!</v>
      </c>
      <c r="T1383" t="e">
        <f t="shared" ca="1" si="674"/>
        <v>#VALUE!</v>
      </c>
      <c r="U1383" t="e">
        <f t="shared" ca="1" si="695"/>
        <v>#VALUE!</v>
      </c>
      <c r="V1383" t="e">
        <f t="shared" ca="1" si="696"/>
        <v>#VALUE!</v>
      </c>
      <c r="W1383" t="e">
        <f t="shared" ca="1" si="675"/>
        <v>#VALUE!</v>
      </c>
      <c r="X1383" t="e">
        <f t="shared" ca="1" si="676"/>
        <v>#VALUE!</v>
      </c>
      <c r="Y1383" t="e">
        <f t="shared" ca="1" si="677"/>
        <v>#VALUE!</v>
      </c>
      <c r="Z1383" t="e">
        <f t="shared" ca="1" si="678"/>
        <v>#VALUE!</v>
      </c>
      <c r="AA1383" t="e">
        <f t="shared" ca="1" si="679"/>
        <v>#VALUE!</v>
      </c>
      <c r="AB1383" t="e">
        <f t="shared" ca="1" si="680"/>
        <v>#VALUE!</v>
      </c>
      <c r="AC1383" t="e">
        <f t="shared" ca="1" si="681"/>
        <v>#VALUE!</v>
      </c>
      <c r="AD1383" t="e">
        <f t="shared" ca="1" si="682"/>
        <v>#VALUE!</v>
      </c>
      <c r="AE1383" t="e">
        <f t="shared" ca="1" si="683"/>
        <v>#VALUE!</v>
      </c>
      <c r="AF1383" t="e">
        <f t="shared" ca="1" si="684"/>
        <v>#VALUE!</v>
      </c>
      <c r="AG1383" t="e">
        <f t="shared" ca="1" si="685"/>
        <v>#VALUE!</v>
      </c>
      <c r="AH1383" t="e">
        <f ca="1">IF(V32="Supercritical",L1383,IF(V32="Subcritical",W1383,IF(AND(V1383=1,AG1383=1),IF(T1383&gt;=AE1383,L1383,W1383),IF(V1383=1,L1383,IF(AG1383=1,W1383,MAX($D$16,POWER((ABS(K1383)^2)/($I$5*MAX(F1383,0.1)^2),1/3)))))))</f>
        <v>#VALUE!</v>
      </c>
      <c r="AI1383" t="e">
        <f t="shared" ca="1" si="686"/>
        <v>#VALUE!</v>
      </c>
      <c r="AJ1383" t="e">
        <f t="shared" ca="1" si="687"/>
        <v>#VALUE!</v>
      </c>
      <c r="AM1383">
        <v>0</v>
      </c>
      <c r="AN1383">
        <v>0</v>
      </c>
      <c r="AO1383">
        <f t="shared" si="688"/>
        <v>0</v>
      </c>
      <c r="AP1383">
        <f t="shared" si="697"/>
        <v>0</v>
      </c>
      <c r="AQ1383" t="e">
        <f t="shared" ca="1" si="689"/>
        <v>#VALUE!</v>
      </c>
      <c r="AR1383" t="e">
        <f t="shared" ca="1" si="690"/>
        <v>#VALUE!</v>
      </c>
      <c r="AS1383" t="e">
        <f t="shared" ca="1" si="691"/>
        <v>#VALUE!</v>
      </c>
    </row>
    <row r="1384" spans="1:45" x14ac:dyDescent="0.35">
      <c r="A1384">
        <v>1235</v>
      </c>
      <c r="B1384">
        <v>1233.8889999999999</v>
      </c>
      <c r="C1384">
        <v>616071.277</v>
      </c>
      <c r="D1384">
        <v>3096770.2579999999</v>
      </c>
      <c r="E1384">
        <v>631.94500000000005</v>
      </c>
      <c r="F1384">
        <v>5.2</v>
      </c>
      <c r="G1384">
        <v>0</v>
      </c>
      <c r="H1384" t="s">
        <v>191</v>
      </c>
      <c r="I1384">
        <v>5.7000000000000002E-2</v>
      </c>
      <c r="J1384">
        <f t="shared" si="692"/>
        <v>1</v>
      </c>
      <c r="K1384">
        <f t="shared" si="693"/>
        <v>51</v>
      </c>
      <c r="L1384" t="e">
        <f t="shared" ca="1" si="694"/>
        <v>#VALUE!</v>
      </c>
      <c r="M1384" t="e">
        <f t="shared" ca="1" si="667"/>
        <v>#VALUE!</v>
      </c>
      <c r="N1384" t="e">
        <f t="shared" ca="1" si="668"/>
        <v>#VALUE!</v>
      </c>
      <c r="O1384" t="e">
        <f t="shared" ca="1" si="669"/>
        <v>#VALUE!</v>
      </c>
      <c r="P1384" t="e">
        <f t="shared" ca="1" si="670"/>
        <v>#VALUE!</v>
      </c>
      <c r="Q1384" t="e">
        <f t="shared" ca="1" si="671"/>
        <v>#VALUE!</v>
      </c>
      <c r="R1384" t="e">
        <f t="shared" ca="1" si="672"/>
        <v>#VALUE!</v>
      </c>
      <c r="S1384" t="e">
        <f t="shared" ca="1" si="673"/>
        <v>#VALUE!</v>
      </c>
      <c r="T1384" t="e">
        <f t="shared" ca="1" si="674"/>
        <v>#VALUE!</v>
      </c>
      <c r="U1384" t="e">
        <f t="shared" ca="1" si="695"/>
        <v>#VALUE!</v>
      </c>
      <c r="V1384" t="e">
        <f t="shared" ca="1" si="696"/>
        <v>#VALUE!</v>
      </c>
      <c r="W1384" t="e">
        <f t="shared" ca="1" si="675"/>
        <v>#VALUE!</v>
      </c>
      <c r="X1384" t="e">
        <f t="shared" ca="1" si="676"/>
        <v>#VALUE!</v>
      </c>
      <c r="Y1384" t="e">
        <f t="shared" ca="1" si="677"/>
        <v>#VALUE!</v>
      </c>
      <c r="Z1384" t="e">
        <f t="shared" ca="1" si="678"/>
        <v>#VALUE!</v>
      </c>
      <c r="AA1384" t="e">
        <f t="shared" ca="1" si="679"/>
        <v>#VALUE!</v>
      </c>
      <c r="AB1384" t="e">
        <f t="shared" ca="1" si="680"/>
        <v>#VALUE!</v>
      </c>
      <c r="AC1384" t="e">
        <f t="shared" ca="1" si="681"/>
        <v>#VALUE!</v>
      </c>
      <c r="AD1384" t="e">
        <f t="shared" ca="1" si="682"/>
        <v>#VALUE!</v>
      </c>
      <c r="AE1384" t="e">
        <f t="shared" ca="1" si="683"/>
        <v>#VALUE!</v>
      </c>
      <c r="AF1384" t="e">
        <f t="shared" ca="1" si="684"/>
        <v>#VALUE!</v>
      </c>
      <c r="AG1384" t="e">
        <f t="shared" ca="1" si="685"/>
        <v>#VALUE!</v>
      </c>
      <c r="AH1384" t="e">
        <f ca="1">IF(V32="Supercritical",L1384,IF(V32="Subcritical",W1384,IF(AND(V1384=1,AG1384=1),IF(T1384&gt;=AE1384,L1384,W1384),IF(V1384=1,L1384,IF(AG1384=1,W1384,MAX($D$16,POWER((ABS(K1384)^2)/($I$5*MAX(F1384,0.1)^2),1/3)))))))</f>
        <v>#VALUE!</v>
      </c>
      <c r="AI1384" t="e">
        <f t="shared" ca="1" si="686"/>
        <v>#VALUE!</v>
      </c>
      <c r="AJ1384" t="e">
        <f t="shared" ca="1" si="687"/>
        <v>#VALUE!</v>
      </c>
      <c r="AM1384">
        <v>0</v>
      </c>
      <c r="AN1384">
        <v>0</v>
      </c>
      <c r="AO1384">
        <f t="shared" si="688"/>
        <v>0</v>
      </c>
      <c r="AP1384">
        <f t="shared" si="697"/>
        <v>0</v>
      </c>
      <c r="AQ1384" t="e">
        <f t="shared" ca="1" si="689"/>
        <v>#VALUE!</v>
      </c>
      <c r="AR1384" t="e">
        <f t="shared" ca="1" si="690"/>
        <v>#VALUE!</v>
      </c>
      <c r="AS1384" t="e">
        <f t="shared" ca="1" si="691"/>
        <v>#VALUE!</v>
      </c>
    </row>
    <row r="1385" spans="1:45" x14ac:dyDescent="0.35">
      <c r="A1385">
        <v>1236</v>
      </c>
      <c r="B1385">
        <v>1234.8889999999999</v>
      </c>
      <c r="C1385">
        <v>616071.23499999999</v>
      </c>
      <c r="D1385">
        <v>3096769.2590000001</v>
      </c>
      <c r="E1385">
        <v>631.94449999999995</v>
      </c>
      <c r="F1385">
        <v>5.2</v>
      </c>
      <c r="G1385">
        <v>0</v>
      </c>
      <c r="H1385" t="s">
        <v>191</v>
      </c>
      <c r="I1385">
        <v>0</v>
      </c>
      <c r="J1385">
        <f t="shared" si="692"/>
        <v>1</v>
      </c>
      <c r="K1385">
        <f t="shared" si="693"/>
        <v>51</v>
      </c>
      <c r="L1385" t="e">
        <f t="shared" ca="1" si="694"/>
        <v>#VALUE!</v>
      </c>
      <c r="M1385" t="e">
        <f t="shared" ca="1" si="667"/>
        <v>#VALUE!</v>
      </c>
      <c r="N1385" t="e">
        <f t="shared" ca="1" si="668"/>
        <v>#VALUE!</v>
      </c>
      <c r="O1385" t="e">
        <f t="shared" ca="1" si="669"/>
        <v>#VALUE!</v>
      </c>
      <c r="P1385" t="e">
        <f t="shared" ca="1" si="670"/>
        <v>#VALUE!</v>
      </c>
      <c r="Q1385" t="e">
        <f t="shared" ca="1" si="671"/>
        <v>#VALUE!</v>
      </c>
      <c r="R1385" t="e">
        <f t="shared" ca="1" si="672"/>
        <v>#VALUE!</v>
      </c>
      <c r="S1385" t="e">
        <f t="shared" ca="1" si="673"/>
        <v>#VALUE!</v>
      </c>
      <c r="T1385" t="e">
        <f t="shared" ca="1" si="674"/>
        <v>#VALUE!</v>
      </c>
      <c r="U1385" t="e">
        <f t="shared" ca="1" si="695"/>
        <v>#VALUE!</v>
      </c>
      <c r="V1385" t="e">
        <f t="shared" ca="1" si="696"/>
        <v>#VALUE!</v>
      </c>
      <c r="W1385" t="e">
        <f t="shared" ca="1" si="675"/>
        <v>#VALUE!</v>
      </c>
      <c r="X1385" t="e">
        <f t="shared" ca="1" si="676"/>
        <v>#VALUE!</v>
      </c>
      <c r="Y1385" t="e">
        <f t="shared" ca="1" si="677"/>
        <v>#VALUE!</v>
      </c>
      <c r="Z1385" t="e">
        <f t="shared" ca="1" si="678"/>
        <v>#VALUE!</v>
      </c>
      <c r="AA1385" t="e">
        <f t="shared" ca="1" si="679"/>
        <v>#VALUE!</v>
      </c>
      <c r="AB1385" t="e">
        <f t="shared" ca="1" si="680"/>
        <v>#VALUE!</v>
      </c>
      <c r="AC1385" t="e">
        <f t="shared" ca="1" si="681"/>
        <v>#VALUE!</v>
      </c>
      <c r="AD1385" t="e">
        <f t="shared" ca="1" si="682"/>
        <v>#VALUE!</v>
      </c>
      <c r="AE1385" t="e">
        <f t="shared" ca="1" si="683"/>
        <v>#VALUE!</v>
      </c>
      <c r="AF1385" t="e">
        <f t="shared" ca="1" si="684"/>
        <v>#VALUE!</v>
      </c>
      <c r="AG1385" t="e">
        <f t="shared" ca="1" si="685"/>
        <v>#VALUE!</v>
      </c>
      <c r="AH1385" t="e">
        <f ca="1">IF(V32="Supercritical",L1385,IF(V32="Subcritical",W1385,IF(AND(V1385=1,AG1385=1),IF(T1385&gt;=AE1385,L1385,W1385),IF(V1385=1,L1385,IF(AG1385=1,W1385,MAX($D$16,POWER((ABS(K1385)^2)/($I$5*MAX(F1385,0.1)^2),1/3)))))))</f>
        <v>#VALUE!</v>
      </c>
      <c r="AI1385" t="e">
        <f t="shared" ca="1" si="686"/>
        <v>#VALUE!</v>
      </c>
      <c r="AJ1385" t="e">
        <f t="shared" ca="1" si="687"/>
        <v>#VALUE!</v>
      </c>
      <c r="AM1385">
        <v>0</v>
      </c>
      <c r="AN1385">
        <v>0</v>
      </c>
      <c r="AO1385">
        <f t="shared" si="688"/>
        <v>0</v>
      </c>
      <c r="AP1385">
        <f t="shared" si="697"/>
        <v>0</v>
      </c>
      <c r="AQ1385" t="e">
        <f t="shared" ca="1" si="689"/>
        <v>#VALUE!</v>
      </c>
      <c r="AR1385" t="e">
        <f t="shared" ca="1" si="690"/>
        <v>#VALUE!</v>
      </c>
      <c r="AS1385" t="e">
        <f t="shared" ca="1" si="691"/>
        <v>#VALUE!</v>
      </c>
    </row>
    <row r="1386" spans="1:45" x14ac:dyDescent="0.35">
      <c r="A1386">
        <v>1237</v>
      </c>
      <c r="B1386">
        <v>1235.8889999999999</v>
      </c>
      <c r="C1386">
        <v>616071.19299999997</v>
      </c>
      <c r="D1386">
        <v>3096768.26</v>
      </c>
      <c r="E1386">
        <v>631.94399999999996</v>
      </c>
      <c r="F1386">
        <v>5.2</v>
      </c>
      <c r="G1386">
        <v>0</v>
      </c>
      <c r="H1386" t="s">
        <v>191</v>
      </c>
      <c r="I1386">
        <v>2E-3</v>
      </c>
      <c r="J1386">
        <f t="shared" si="692"/>
        <v>1</v>
      </c>
      <c r="K1386">
        <f t="shared" si="693"/>
        <v>51</v>
      </c>
      <c r="L1386" t="e">
        <f t="shared" ca="1" si="694"/>
        <v>#VALUE!</v>
      </c>
      <c r="M1386" t="e">
        <f t="shared" ca="1" si="667"/>
        <v>#VALUE!</v>
      </c>
      <c r="N1386" t="e">
        <f t="shared" ca="1" si="668"/>
        <v>#VALUE!</v>
      </c>
      <c r="O1386" t="e">
        <f t="shared" ca="1" si="669"/>
        <v>#VALUE!</v>
      </c>
      <c r="P1386" t="e">
        <f t="shared" ca="1" si="670"/>
        <v>#VALUE!</v>
      </c>
      <c r="Q1386" t="e">
        <f t="shared" ca="1" si="671"/>
        <v>#VALUE!</v>
      </c>
      <c r="R1386" t="e">
        <f t="shared" ca="1" si="672"/>
        <v>#VALUE!</v>
      </c>
      <c r="S1386" t="e">
        <f t="shared" ca="1" si="673"/>
        <v>#VALUE!</v>
      </c>
      <c r="T1386" t="e">
        <f t="shared" ca="1" si="674"/>
        <v>#VALUE!</v>
      </c>
      <c r="U1386" t="e">
        <f t="shared" ca="1" si="695"/>
        <v>#VALUE!</v>
      </c>
      <c r="V1386" t="e">
        <f t="shared" ca="1" si="696"/>
        <v>#VALUE!</v>
      </c>
      <c r="W1386" t="e">
        <f t="shared" ca="1" si="675"/>
        <v>#VALUE!</v>
      </c>
      <c r="X1386" t="e">
        <f t="shared" ca="1" si="676"/>
        <v>#VALUE!</v>
      </c>
      <c r="Y1386" t="e">
        <f t="shared" ca="1" si="677"/>
        <v>#VALUE!</v>
      </c>
      <c r="Z1386" t="e">
        <f t="shared" ca="1" si="678"/>
        <v>#VALUE!</v>
      </c>
      <c r="AA1386" t="e">
        <f t="shared" ca="1" si="679"/>
        <v>#VALUE!</v>
      </c>
      <c r="AB1386" t="e">
        <f t="shared" ca="1" si="680"/>
        <v>#VALUE!</v>
      </c>
      <c r="AC1386" t="e">
        <f t="shared" ca="1" si="681"/>
        <v>#VALUE!</v>
      </c>
      <c r="AD1386" t="e">
        <f t="shared" ca="1" si="682"/>
        <v>#VALUE!</v>
      </c>
      <c r="AE1386" t="e">
        <f t="shared" ca="1" si="683"/>
        <v>#VALUE!</v>
      </c>
      <c r="AF1386" t="e">
        <f t="shared" ca="1" si="684"/>
        <v>#VALUE!</v>
      </c>
      <c r="AG1386" t="e">
        <f t="shared" ca="1" si="685"/>
        <v>#VALUE!</v>
      </c>
      <c r="AH1386" t="e">
        <f ca="1">IF(V32="Supercritical",L1386,IF(V32="Subcritical",W1386,IF(AND(V1386=1,AG1386=1),IF(T1386&gt;=AE1386,L1386,W1386),IF(V1386=1,L1386,IF(AG1386=1,W1386,MAX($D$16,POWER((ABS(K1386)^2)/($I$5*MAX(F1386,0.1)^2),1/3)))))))</f>
        <v>#VALUE!</v>
      </c>
      <c r="AI1386" t="e">
        <f t="shared" ca="1" si="686"/>
        <v>#VALUE!</v>
      </c>
      <c r="AJ1386" t="e">
        <f t="shared" ca="1" si="687"/>
        <v>#VALUE!</v>
      </c>
      <c r="AM1386">
        <v>0</v>
      </c>
      <c r="AN1386">
        <v>0</v>
      </c>
      <c r="AO1386">
        <f t="shared" si="688"/>
        <v>0</v>
      </c>
      <c r="AP1386">
        <f t="shared" si="697"/>
        <v>0</v>
      </c>
      <c r="AQ1386" t="e">
        <f t="shared" ca="1" si="689"/>
        <v>#VALUE!</v>
      </c>
      <c r="AR1386" t="e">
        <f t="shared" ca="1" si="690"/>
        <v>#VALUE!</v>
      </c>
      <c r="AS1386" t="e">
        <f t="shared" ca="1" si="691"/>
        <v>#VALUE!</v>
      </c>
    </row>
    <row r="1387" spans="1:45" x14ac:dyDescent="0.35">
      <c r="A1387">
        <v>1238</v>
      </c>
      <c r="B1387">
        <v>1236.8900000000001</v>
      </c>
      <c r="C1387">
        <v>616071.15099999995</v>
      </c>
      <c r="D1387">
        <v>3096767.26</v>
      </c>
      <c r="E1387">
        <v>631.94349999999997</v>
      </c>
      <c r="F1387">
        <v>5.2</v>
      </c>
      <c r="G1387">
        <v>0</v>
      </c>
      <c r="H1387" t="s">
        <v>191</v>
      </c>
      <c r="I1387">
        <v>0.06</v>
      </c>
      <c r="J1387">
        <f t="shared" si="692"/>
        <v>1.0010000000002037</v>
      </c>
      <c r="K1387">
        <f t="shared" si="693"/>
        <v>51</v>
      </c>
      <c r="L1387" t="e">
        <f t="shared" ca="1" si="694"/>
        <v>#VALUE!</v>
      </c>
      <c r="M1387" t="e">
        <f t="shared" ca="1" si="667"/>
        <v>#VALUE!</v>
      </c>
      <c r="N1387" t="e">
        <f t="shared" ca="1" si="668"/>
        <v>#VALUE!</v>
      </c>
      <c r="O1387" t="e">
        <f t="shared" ca="1" si="669"/>
        <v>#VALUE!</v>
      </c>
      <c r="P1387" t="e">
        <f t="shared" ca="1" si="670"/>
        <v>#VALUE!</v>
      </c>
      <c r="Q1387" t="e">
        <f t="shared" ca="1" si="671"/>
        <v>#VALUE!</v>
      </c>
      <c r="R1387" t="e">
        <f t="shared" ca="1" si="672"/>
        <v>#VALUE!</v>
      </c>
      <c r="S1387" t="e">
        <f t="shared" ca="1" si="673"/>
        <v>#VALUE!</v>
      </c>
      <c r="T1387" t="e">
        <f t="shared" ca="1" si="674"/>
        <v>#VALUE!</v>
      </c>
      <c r="U1387" t="e">
        <f t="shared" ca="1" si="695"/>
        <v>#VALUE!</v>
      </c>
      <c r="V1387" t="e">
        <f t="shared" ca="1" si="696"/>
        <v>#VALUE!</v>
      </c>
      <c r="W1387" t="e">
        <f t="shared" ca="1" si="675"/>
        <v>#VALUE!</v>
      </c>
      <c r="X1387" t="e">
        <f t="shared" ca="1" si="676"/>
        <v>#VALUE!</v>
      </c>
      <c r="Y1387" t="e">
        <f t="shared" ca="1" si="677"/>
        <v>#VALUE!</v>
      </c>
      <c r="Z1387" t="e">
        <f t="shared" ca="1" si="678"/>
        <v>#VALUE!</v>
      </c>
      <c r="AA1387" t="e">
        <f t="shared" ca="1" si="679"/>
        <v>#VALUE!</v>
      </c>
      <c r="AB1387" t="e">
        <f t="shared" ca="1" si="680"/>
        <v>#VALUE!</v>
      </c>
      <c r="AC1387" t="e">
        <f t="shared" ca="1" si="681"/>
        <v>#VALUE!</v>
      </c>
      <c r="AD1387" t="e">
        <f t="shared" ca="1" si="682"/>
        <v>#VALUE!</v>
      </c>
      <c r="AE1387" t="e">
        <f t="shared" ca="1" si="683"/>
        <v>#VALUE!</v>
      </c>
      <c r="AF1387" t="e">
        <f t="shared" ca="1" si="684"/>
        <v>#VALUE!</v>
      </c>
      <c r="AG1387" t="e">
        <f t="shared" ca="1" si="685"/>
        <v>#VALUE!</v>
      </c>
      <c r="AH1387" t="e">
        <f ca="1">IF(V32="Supercritical",L1387,IF(V32="Subcritical",W1387,IF(AND(V1387=1,AG1387=1),IF(T1387&gt;=AE1387,L1387,W1387),IF(V1387=1,L1387,IF(AG1387=1,W1387,MAX($D$16,POWER((ABS(K1387)^2)/($I$5*MAX(F1387,0.1)^2),1/3)))))))</f>
        <v>#VALUE!</v>
      </c>
      <c r="AI1387" t="e">
        <f t="shared" ca="1" si="686"/>
        <v>#VALUE!</v>
      </c>
      <c r="AJ1387" t="e">
        <f t="shared" ca="1" si="687"/>
        <v>#VALUE!</v>
      </c>
      <c r="AM1387">
        <v>0</v>
      </c>
      <c r="AN1387">
        <v>0</v>
      </c>
      <c r="AO1387">
        <f t="shared" si="688"/>
        <v>0</v>
      </c>
      <c r="AP1387">
        <f t="shared" si="697"/>
        <v>0</v>
      </c>
      <c r="AQ1387" t="e">
        <f t="shared" ca="1" si="689"/>
        <v>#VALUE!</v>
      </c>
      <c r="AR1387" t="e">
        <f t="shared" ca="1" si="690"/>
        <v>#VALUE!</v>
      </c>
      <c r="AS1387" t="e">
        <f t="shared" ca="1" si="691"/>
        <v>#VALUE!</v>
      </c>
    </row>
    <row r="1388" spans="1:45" x14ac:dyDescent="0.35">
      <c r="A1388">
        <v>1239</v>
      </c>
      <c r="B1388">
        <v>1237.8900000000001</v>
      </c>
      <c r="C1388">
        <v>616071.10800000001</v>
      </c>
      <c r="D1388">
        <v>3096766.2609999999</v>
      </c>
      <c r="E1388">
        <v>631.94299999999998</v>
      </c>
      <c r="F1388">
        <v>5.2</v>
      </c>
      <c r="G1388">
        <v>0</v>
      </c>
      <c r="H1388" t="s">
        <v>191</v>
      </c>
      <c r="I1388">
        <v>5.7000000000000002E-2</v>
      </c>
      <c r="J1388">
        <f t="shared" si="692"/>
        <v>1</v>
      </c>
      <c r="K1388">
        <f t="shared" si="693"/>
        <v>51</v>
      </c>
      <c r="L1388" t="e">
        <f t="shared" ca="1" si="694"/>
        <v>#VALUE!</v>
      </c>
      <c r="M1388" t="e">
        <f t="shared" ca="1" si="667"/>
        <v>#VALUE!</v>
      </c>
      <c r="N1388" t="e">
        <f t="shared" ca="1" si="668"/>
        <v>#VALUE!</v>
      </c>
      <c r="O1388" t="e">
        <f t="shared" ca="1" si="669"/>
        <v>#VALUE!</v>
      </c>
      <c r="P1388" t="e">
        <f t="shared" ca="1" si="670"/>
        <v>#VALUE!</v>
      </c>
      <c r="Q1388" t="e">
        <f t="shared" ca="1" si="671"/>
        <v>#VALUE!</v>
      </c>
      <c r="R1388" t="e">
        <f t="shared" ca="1" si="672"/>
        <v>#VALUE!</v>
      </c>
      <c r="S1388" t="e">
        <f t="shared" ca="1" si="673"/>
        <v>#VALUE!</v>
      </c>
      <c r="T1388" t="e">
        <f t="shared" ca="1" si="674"/>
        <v>#VALUE!</v>
      </c>
      <c r="U1388" t="e">
        <f t="shared" ca="1" si="695"/>
        <v>#VALUE!</v>
      </c>
      <c r="V1388" t="e">
        <f t="shared" ca="1" si="696"/>
        <v>#VALUE!</v>
      </c>
      <c r="W1388" t="e">
        <f t="shared" ca="1" si="675"/>
        <v>#VALUE!</v>
      </c>
      <c r="X1388" t="e">
        <f t="shared" ca="1" si="676"/>
        <v>#VALUE!</v>
      </c>
      <c r="Y1388" t="e">
        <f t="shared" ca="1" si="677"/>
        <v>#VALUE!</v>
      </c>
      <c r="Z1388" t="e">
        <f t="shared" ca="1" si="678"/>
        <v>#VALUE!</v>
      </c>
      <c r="AA1388" t="e">
        <f t="shared" ca="1" si="679"/>
        <v>#VALUE!</v>
      </c>
      <c r="AB1388" t="e">
        <f t="shared" ca="1" si="680"/>
        <v>#VALUE!</v>
      </c>
      <c r="AC1388" t="e">
        <f t="shared" ca="1" si="681"/>
        <v>#VALUE!</v>
      </c>
      <c r="AD1388" t="e">
        <f t="shared" ca="1" si="682"/>
        <v>#VALUE!</v>
      </c>
      <c r="AE1388" t="e">
        <f t="shared" ca="1" si="683"/>
        <v>#VALUE!</v>
      </c>
      <c r="AF1388" t="e">
        <f t="shared" ca="1" si="684"/>
        <v>#VALUE!</v>
      </c>
      <c r="AG1388" t="e">
        <f t="shared" ca="1" si="685"/>
        <v>#VALUE!</v>
      </c>
      <c r="AH1388" t="e">
        <f ca="1">IF(V32="Supercritical",L1388,IF(V32="Subcritical",W1388,IF(AND(V1388=1,AG1388=1),IF(T1388&gt;=AE1388,L1388,W1388),IF(V1388=1,L1388,IF(AG1388=1,W1388,MAX($D$16,POWER((ABS(K1388)^2)/($I$5*MAX(F1388,0.1)^2),1/3)))))))</f>
        <v>#VALUE!</v>
      </c>
      <c r="AI1388" t="e">
        <f t="shared" ca="1" si="686"/>
        <v>#VALUE!</v>
      </c>
      <c r="AJ1388" t="e">
        <f t="shared" ca="1" si="687"/>
        <v>#VALUE!</v>
      </c>
      <c r="AM1388">
        <v>0</v>
      </c>
      <c r="AN1388">
        <v>0</v>
      </c>
      <c r="AO1388">
        <f t="shared" si="688"/>
        <v>0</v>
      </c>
      <c r="AP1388">
        <f t="shared" si="697"/>
        <v>0</v>
      </c>
      <c r="AQ1388" t="e">
        <f t="shared" ca="1" si="689"/>
        <v>#VALUE!</v>
      </c>
      <c r="AR1388" t="e">
        <f t="shared" ca="1" si="690"/>
        <v>#VALUE!</v>
      </c>
      <c r="AS1388" t="e">
        <f t="shared" ca="1" si="691"/>
        <v>#VALUE!</v>
      </c>
    </row>
    <row r="1389" spans="1:45" x14ac:dyDescent="0.35">
      <c r="A1389">
        <v>1240</v>
      </c>
      <c r="B1389">
        <v>1238.8900000000001</v>
      </c>
      <c r="C1389">
        <v>616071.06599999999</v>
      </c>
      <c r="D1389">
        <v>3096765.2620000001</v>
      </c>
      <c r="E1389">
        <v>631.9425</v>
      </c>
      <c r="F1389">
        <v>5.2</v>
      </c>
      <c r="G1389">
        <v>0</v>
      </c>
      <c r="H1389" t="s">
        <v>191</v>
      </c>
      <c r="I1389">
        <v>0</v>
      </c>
      <c r="J1389">
        <f t="shared" si="692"/>
        <v>1</v>
      </c>
      <c r="K1389">
        <f t="shared" si="693"/>
        <v>51</v>
      </c>
      <c r="L1389" t="e">
        <f t="shared" ca="1" si="694"/>
        <v>#VALUE!</v>
      </c>
      <c r="M1389" t="e">
        <f t="shared" ca="1" si="667"/>
        <v>#VALUE!</v>
      </c>
      <c r="N1389" t="e">
        <f t="shared" ca="1" si="668"/>
        <v>#VALUE!</v>
      </c>
      <c r="O1389" t="e">
        <f t="shared" ca="1" si="669"/>
        <v>#VALUE!</v>
      </c>
      <c r="P1389" t="e">
        <f t="shared" ca="1" si="670"/>
        <v>#VALUE!</v>
      </c>
      <c r="Q1389" t="e">
        <f t="shared" ca="1" si="671"/>
        <v>#VALUE!</v>
      </c>
      <c r="R1389" t="e">
        <f t="shared" ca="1" si="672"/>
        <v>#VALUE!</v>
      </c>
      <c r="S1389" t="e">
        <f t="shared" ca="1" si="673"/>
        <v>#VALUE!</v>
      </c>
      <c r="T1389" t="e">
        <f t="shared" ca="1" si="674"/>
        <v>#VALUE!</v>
      </c>
      <c r="U1389" t="e">
        <f t="shared" ca="1" si="695"/>
        <v>#VALUE!</v>
      </c>
      <c r="V1389" t="e">
        <f t="shared" ca="1" si="696"/>
        <v>#VALUE!</v>
      </c>
      <c r="W1389" t="e">
        <f t="shared" ca="1" si="675"/>
        <v>#VALUE!</v>
      </c>
      <c r="X1389" t="e">
        <f t="shared" ca="1" si="676"/>
        <v>#VALUE!</v>
      </c>
      <c r="Y1389" t="e">
        <f t="shared" ca="1" si="677"/>
        <v>#VALUE!</v>
      </c>
      <c r="Z1389" t="e">
        <f t="shared" ca="1" si="678"/>
        <v>#VALUE!</v>
      </c>
      <c r="AA1389" t="e">
        <f t="shared" ca="1" si="679"/>
        <v>#VALUE!</v>
      </c>
      <c r="AB1389" t="e">
        <f t="shared" ca="1" si="680"/>
        <v>#VALUE!</v>
      </c>
      <c r="AC1389" t="e">
        <f t="shared" ca="1" si="681"/>
        <v>#VALUE!</v>
      </c>
      <c r="AD1389" t="e">
        <f t="shared" ca="1" si="682"/>
        <v>#VALUE!</v>
      </c>
      <c r="AE1389" t="e">
        <f t="shared" ca="1" si="683"/>
        <v>#VALUE!</v>
      </c>
      <c r="AF1389" t="e">
        <f t="shared" ca="1" si="684"/>
        <v>#VALUE!</v>
      </c>
      <c r="AG1389" t="e">
        <f t="shared" ca="1" si="685"/>
        <v>#VALUE!</v>
      </c>
      <c r="AH1389" t="e">
        <f ca="1">IF(V32="Supercritical",L1389,IF(V32="Subcritical",W1389,IF(AND(V1389=1,AG1389=1),IF(T1389&gt;=AE1389,L1389,W1389),IF(V1389=1,L1389,IF(AG1389=1,W1389,MAX($D$16,POWER((ABS(K1389)^2)/($I$5*MAX(F1389,0.1)^2),1/3)))))))</f>
        <v>#VALUE!</v>
      </c>
      <c r="AI1389" t="e">
        <f t="shared" ca="1" si="686"/>
        <v>#VALUE!</v>
      </c>
      <c r="AJ1389" t="e">
        <f t="shared" ca="1" si="687"/>
        <v>#VALUE!</v>
      </c>
      <c r="AM1389">
        <v>0</v>
      </c>
      <c r="AN1389">
        <v>0</v>
      </c>
      <c r="AO1389">
        <f t="shared" si="688"/>
        <v>0</v>
      </c>
      <c r="AP1389">
        <f t="shared" si="697"/>
        <v>0</v>
      </c>
      <c r="AQ1389" t="e">
        <f t="shared" ca="1" si="689"/>
        <v>#VALUE!</v>
      </c>
      <c r="AR1389" t="e">
        <f t="shared" ca="1" si="690"/>
        <v>#VALUE!</v>
      </c>
      <c r="AS1389" t="e">
        <f t="shared" ca="1" si="691"/>
        <v>#VALUE!</v>
      </c>
    </row>
    <row r="1390" spans="1:45" x14ac:dyDescent="0.35">
      <c r="A1390">
        <v>1241</v>
      </c>
      <c r="B1390">
        <v>1239.8889999999999</v>
      </c>
      <c r="C1390">
        <v>616071.02399999998</v>
      </c>
      <c r="D1390">
        <v>3096764.2629999998</v>
      </c>
      <c r="E1390">
        <v>631.94200000000001</v>
      </c>
      <c r="F1390">
        <v>5.2</v>
      </c>
      <c r="G1390">
        <v>0</v>
      </c>
      <c r="H1390" t="s">
        <v>191</v>
      </c>
      <c r="I1390">
        <v>0</v>
      </c>
      <c r="J1390">
        <f t="shared" si="692"/>
        <v>0.99899999999979627</v>
      </c>
      <c r="K1390">
        <f t="shared" si="693"/>
        <v>51</v>
      </c>
      <c r="L1390" t="e">
        <f t="shared" ca="1" si="694"/>
        <v>#VALUE!</v>
      </c>
      <c r="M1390" t="e">
        <f t="shared" ca="1" si="667"/>
        <v>#VALUE!</v>
      </c>
      <c r="N1390" t="e">
        <f t="shared" ca="1" si="668"/>
        <v>#VALUE!</v>
      </c>
      <c r="O1390" t="e">
        <f t="shared" ca="1" si="669"/>
        <v>#VALUE!</v>
      </c>
      <c r="P1390" t="e">
        <f t="shared" ca="1" si="670"/>
        <v>#VALUE!</v>
      </c>
      <c r="Q1390" t="e">
        <f t="shared" ca="1" si="671"/>
        <v>#VALUE!</v>
      </c>
      <c r="R1390" t="e">
        <f t="shared" ca="1" si="672"/>
        <v>#VALUE!</v>
      </c>
      <c r="S1390" t="e">
        <f t="shared" ca="1" si="673"/>
        <v>#VALUE!</v>
      </c>
      <c r="T1390" t="e">
        <f t="shared" ca="1" si="674"/>
        <v>#VALUE!</v>
      </c>
      <c r="U1390" t="e">
        <f t="shared" ca="1" si="695"/>
        <v>#VALUE!</v>
      </c>
      <c r="V1390" t="e">
        <f t="shared" ca="1" si="696"/>
        <v>#VALUE!</v>
      </c>
      <c r="W1390" t="e">
        <f t="shared" ca="1" si="675"/>
        <v>#VALUE!</v>
      </c>
      <c r="X1390" t="e">
        <f t="shared" ca="1" si="676"/>
        <v>#VALUE!</v>
      </c>
      <c r="Y1390" t="e">
        <f t="shared" ca="1" si="677"/>
        <v>#VALUE!</v>
      </c>
      <c r="Z1390" t="e">
        <f t="shared" ca="1" si="678"/>
        <v>#VALUE!</v>
      </c>
      <c r="AA1390" t="e">
        <f t="shared" ca="1" si="679"/>
        <v>#VALUE!</v>
      </c>
      <c r="AB1390" t="e">
        <f t="shared" ca="1" si="680"/>
        <v>#VALUE!</v>
      </c>
      <c r="AC1390" t="e">
        <f t="shared" ca="1" si="681"/>
        <v>#VALUE!</v>
      </c>
      <c r="AD1390" t="e">
        <f t="shared" ca="1" si="682"/>
        <v>#VALUE!</v>
      </c>
      <c r="AE1390" t="e">
        <f t="shared" ca="1" si="683"/>
        <v>#VALUE!</v>
      </c>
      <c r="AF1390" t="e">
        <f t="shared" ca="1" si="684"/>
        <v>#VALUE!</v>
      </c>
      <c r="AG1390" t="e">
        <f t="shared" ca="1" si="685"/>
        <v>#VALUE!</v>
      </c>
      <c r="AH1390" t="e">
        <f ca="1">IF(V32="Supercritical",L1390,IF(V32="Subcritical",W1390,IF(AND(V1390=1,AG1390=1),IF(T1390&gt;=AE1390,L1390,W1390),IF(V1390=1,L1390,IF(AG1390=1,W1390,MAX($D$16,POWER((ABS(K1390)^2)/($I$5*MAX(F1390,0.1)^2),1/3)))))))</f>
        <v>#VALUE!</v>
      </c>
      <c r="AI1390" t="e">
        <f t="shared" ca="1" si="686"/>
        <v>#VALUE!</v>
      </c>
      <c r="AJ1390" t="e">
        <f t="shared" ca="1" si="687"/>
        <v>#VALUE!</v>
      </c>
      <c r="AM1390">
        <v>0</v>
      </c>
      <c r="AN1390">
        <v>0</v>
      </c>
      <c r="AO1390">
        <f t="shared" si="688"/>
        <v>0</v>
      </c>
      <c r="AP1390">
        <f t="shared" si="697"/>
        <v>0</v>
      </c>
      <c r="AQ1390" t="e">
        <f t="shared" ca="1" si="689"/>
        <v>#VALUE!</v>
      </c>
      <c r="AR1390" t="e">
        <f t="shared" ca="1" si="690"/>
        <v>#VALUE!</v>
      </c>
      <c r="AS1390" t="e">
        <f t="shared" ca="1" si="691"/>
        <v>#VALUE!</v>
      </c>
    </row>
    <row r="1391" spans="1:45" x14ac:dyDescent="0.35">
      <c r="A1391">
        <v>1242</v>
      </c>
      <c r="B1391">
        <v>1240.8889999999999</v>
      </c>
      <c r="C1391">
        <v>616070.98199999996</v>
      </c>
      <c r="D1391">
        <v>3096763.264</v>
      </c>
      <c r="E1391">
        <v>631.94150000000002</v>
      </c>
      <c r="F1391">
        <v>5.2</v>
      </c>
      <c r="G1391">
        <v>0</v>
      </c>
      <c r="H1391" t="s">
        <v>191</v>
      </c>
      <c r="I1391">
        <v>5.7000000000000002E-2</v>
      </c>
      <c r="J1391">
        <f t="shared" si="692"/>
        <v>1</v>
      </c>
      <c r="K1391">
        <f t="shared" si="693"/>
        <v>51</v>
      </c>
      <c r="L1391" t="e">
        <f t="shared" ca="1" si="694"/>
        <v>#VALUE!</v>
      </c>
      <c r="M1391" t="e">
        <f t="shared" ca="1" si="667"/>
        <v>#VALUE!</v>
      </c>
      <c r="N1391" t="e">
        <f t="shared" ca="1" si="668"/>
        <v>#VALUE!</v>
      </c>
      <c r="O1391" t="e">
        <f t="shared" ca="1" si="669"/>
        <v>#VALUE!</v>
      </c>
      <c r="P1391" t="e">
        <f t="shared" ca="1" si="670"/>
        <v>#VALUE!</v>
      </c>
      <c r="Q1391" t="e">
        <f t="shared" ca="1" si="671"/>
        <v>#VALUE!</v>
      </c>
      <c r="R1391" t="e">
        <f t="shared" ca="1" si="672"/>
        <v>#VALUE!</v>
      </c>
      <c r="S1391" t="e">
        <f t="shared" ca="1" si="673"/>
        <v>#VALUE!</v>
      </c>
      <c r="T1391" t="e">
        <f t="shared" ca="1" si="674"/>
        <v>#VALUE!</v>
      </c>
      <c r="U1391" t="e">
        <f t="shared" ca="1" si="695"/>
        <v>#VALUE!</v>
      </c>
      <c r="V1391" t="e">
        <f t="shared" ca="1" si="696"/>
        <v>#VALUE!</v>
      </c>
      <c r="W1391" t="e">
        <f t="shared" ca="1" si="675"/>
        <v>#VALUE!</v>
      </c>
      <c r="X1391" t="e">
        <f t="shared" ca="1" si="676"/>
        <v>#VALUE!</v>
      </c>
      <c r="Y1391" t="e">
        <f t="shared" ca="1" si="677"/>
        <v>#VALUE!</v>
      </c>
      <c r="Z1391" t="e">
        <f t="shared" ca="1" si="678"/>
        <v>#VALUE!</v>
      </c>
      <c r="AA1391" t="e">
        <f t="shared" ca="1" si="679"/>
        <v>#VALUE!</v>
      </c>
      <c r="AB1391" t="e">
        <f t="shared" ca="1" si="680"/>
        <v>#VALUE!</v>
      </c>
      <c r="AC1391" t="e">
        <f t="shared" ca="1" si="681"/>
        <v>#VALUE!</v>
      </c>
      <c r="AD1391" t="e">
        <f t="shared" ca="1" si="682"/>
        <v>#VALUE!</v>
      </c>
      <c r="AE1391" t="e">
        <f t="shared" ca="1" si="683"/>
        <v>#VALUE!</v>
      </c>
      <c r="AF1391" t="e">
        <f t="shared" ca="1" si="684"/>
        <v>#VALUE!</v>
      </c>
      <c r="AG1391" t="e">
        <f t="shared" ca="1" si="685"/>
        <v>#VALUE!</v>
      </c>
      <c r="AH1391" t="e">
        <f ca="1">IF(V32="Supercritical",L1391,IF(V32="Subcritical",W1391,IF(AND(V1391=1,AG1391=1),IF(T1391&gt;=AE1391,L1391,W1391),IF(V1391=1,L1391,IF(AG1391=1,W1391,MAX($D$16,POWER((ABS(K1391)^2)/($I$5*MAX(F1391,0.1)^2),1/3)))))))</f>
        <v>#VALUE!</v>
      </c>
      <c r="AI1391" t="e">
        <f t="shared" ca="1" si="686"/>
        <v>#VALUE!</v>
      </c>
      <c r="AJ1391" t="e">
        <f t="shared" ca="1" si="687"/>
        <v>#VALUE!</v>
      </c>
      <c r="AM1391">
        <v>0</v>
      </c>
      <c r="AN1391">
        <v>0</v>
      </c>
      <c r="AO1391">
        <f t="shared" si="688"/>
        <v>0</v>
      </c>
      <c r="AP1391">
        <f t="shared" si="697"/>
        <v>0</v>
      </c>
      <c r="AQ1391" t="e">
        <f t="shared" ca="1" si="689"/>
        <v>#VALUE!</v>
      </c>
      <c r="AR1391" t="e">
        <f t="shared" ca="1" si="690"/>
        <v>#VALUE!</v>
      </c>
      <c r="AS1391" t="e">
        <f t="shared" ca="1" si="691"/>
        <v>#VALUE!</v>
      </c>
    </row>
    <row r="1392" spans="1:45" x14ac:dyDescent="0.35">
      <c r="A1392">
        <v>1243</v>
      </c>
      <c r="B1392">
        <v>1241.8889999999999</v>
      </c>
      <c r="C1392">
        <v>616070.93900000001</v>
      </c>
      <c r="D1392">
        <v>3096762.2650000001</v>
      </c>
      <c r="E1392">
        <v>631.94100000000003</v>
      </c>
      <c r="F1392">
        <v>5.2</v>
      </c>
      <c r="G1392">
        <v>0</v>
      </c>
      <c r="H1392" t="s">
        <v>191</v>
      </c>
      <c r="I1392">
        <v>5.7000000000000002E-2</v>
      </c>
      <c r="J1392">
        <f t="shared" si="692"/>
        <v>1</v>
      </c>
      <c r="K1392">
        <f t="shared" si="693"/>
        <v>51</v>
      </c>
      <c r="L1392" t="e">
        <f t="shared" ca="1" si="694"/>
        <v>#VALUE!</v>
      </c>
      <c r="M1392" t="e">
        <f t="shared" ca="1" si="667"/>
        <v>#VALUE!</v>
      </c>
      <c r="N1392" t="e">
        <f t="shared" ca="1" si="668"/>
        <v>#VALUE!</v>
      </c>
      <c r="O1392" t="e">
        <f t="shared" ca="1" si="669"/>
        <v>#VALUE!</v>
      </c>
      <c r="P1392" t="e">
        <f t="shared" ca="1" si="670"/>
        <v>#VALUE!</v>
      </c>
      <c r="Q1392" t="e">
        <f t="shared" ca="1" si="671"/>
        <v>#VALUE!</v>
      </c>
      <c r="R1392" t="e">
        <f t="shared" ca="1" si="672"/>
        <v>#VALUE!</v>
      </c>
      <c r="S1392" t="e">
        <f t="shared" ca="1" si="673"/>
        <v>#VALUE!</v>
      </c>
      <c r="T1392" t="e">
        <f t="shared" ca="1" si="674"/>
        <v>#VALUE!</v>
      </c>
      <c r="U1392" t="e">
        <f t="shared" ca="1" si="695"/>
        <v>#VALUE!</v>
      </c>
      <c r="V1392" t="e">
        <f t="shared" ca="1" si="696"/>
        <v>#VALUE!</v>
      </c>
      <c r="W1392" t="e">
        <f t="shared" ca="1" si="675"/>
        <v>#VALUE!</v>
      </c>
      <c r="X1392" t="e">
        <f t="shared" ca="1" si="676"/>
        <v>#VALUE!</v>
      </c>
      <c r="Y1392" t="e">
        <f t="shared" ca="1" si="677"/>
        <v>#VALUE!</v>
      </c>
      <c r="Z1392" t="e">
        <f t="shared" ca="1" si="678"/>
        <v>#VALUE!</v>
      </c>
      <c r="AA1392" t="e">
        <f t="shared" ca="1" si="679"/>
        <v>#VALUE!</v>
      </c>
      <c r="AB1392" t="e">
        <f t="shared" ca="1" si="680"/>
        <v>#VALUE!</v>
      </c>
      <c r="AC1392" t="e">
        <f t="shared" ca="1" si="681"/>
        <v>#VALUE!</v>
      </c>
      <c r="AD1392" t="e">
        <f t="shared" ca="1" si="682"/>
        <v>#VALUE!</v>
      </c>
      <c r="AE1392" t="e">
        <f t="shared" ca="1" si="683"/>
        <v>#VALUE!</v>
      </c>
      <c r="AF1392" t="e">
        <f t="shared" ca="1" si="684"/>
        <v>#VALUE!</v>
      </c>
      <c r="AG1392" t="e">
        <f t="shared" ca="1" si="685"/>
        <v>#VALUE!</v>
      </c>
      <c r="AH1392" t="e">
        <f ca="1">IF(V32="Supercritical",L1392,IF(V32="Subcritical",W1392,IF(AND(V1392=1,AG1392=1),IF(T1392&gt;=AE1392,L1392,W1392),IF(V1392=1,L1392,IF(AG1392=1,W1392,MAX($D$16,POWER((ABS(K1392)^2)/($I$5*MAX(F1392,0.1)^2),1/3)))))))</f>
        <v>#VALUE!</v>
      </c>
      <c r="AI1392" t="e">
        <f t="shared" ca="1" si="686"/>
        <v>#VALUE!</v>
      </c>
      <c r="AJ1392" t="e">
        <f t="shared" ca="1" si="687"/>
        <v>#VALUE!</v>
      </c>
      <c r="AM1392">
        <v>0</v>
      </c>
      <c r="AN1392">
        <v>0</v>
      </c>
      <c r="AO1392">
        <f t="shared" si="688"/>
        <v>0</v>
      </c>
      <c r="AP1392">
        <f t="shared" si="697"/>
        <v>0</v>
      </c>
      <c r="AQ1392" t="e">
        <f t="shared" ca="1" si="689"/>
        <v>#VALUE!</v>
      </c>
      <c r="AR1392" t="e">
        <f t="shared" ca="1" si="690"/>
        <v>#VALUE!</v>
      </c>
      <c r="AS1392" t="e">
        <f t="shared" ca="1" si="691"/>
        <v>#VALUE!</v>
      </c>
    </row>
    <row r="1393" spans="1:45" x14ac:dyDescent="0.35">
      <c r="A1393">
        <v>1244</v>
      </c>
      <c r="B1393">
        <v>1242.8889999999999</v>
      </c>
      <c r="C1393">
        <v>616070.897</v>
      </c>
      <c r="D1393">
        <v>3096761.2659999998</v>
      </c>
      <c r="E1393">
        <v>631.94050000000004</v>
      </c>
      <c r="F1393">
        <v>5.2</v>
      </c>
      <c r="G1393">
        <v>0</v>
      </c>
      <c r="H1393" t="s">
        <v>191</v>
      </c>
      <c r="I1393">
        <v>0</v>
      </c>
      <c r="J1393">
        <f t="shared" si="692"/>
        <v>1</v>
      </c>
      <c r="K1393">
        <f t="shared" si="693"/>
        <v>51</v>
      </c>
      <c r="L1393" t="e">
        <f t="shared" ca="1" si="694"/>
        <v>#VALUE!</v>
      </c>
      <c r="M1393" t="e">
        <f t="shared" ca="1" si="667"/>
        <v>#VALUE!</v>
      </c>
      <c r="N1393" t="e">
        <f t="shared" ca="1" si="668"/>
        <v>#VALUE!</v>
      </c>
      <c r="O1393" t="e">
        <f t="shared" ca="1" si="669"/>
        <v>#VALUE!</v>
      </c>
      <c r="P1393" t="e">
        <f t="shared" ca="1" si="670"/>
        <v>#VALUE!</v>
      </c>
      <c r="Q1393" t="e">
        <f t="shared" ca="1" si="671"/>
        <v>#VALUE!</v>
      </c>
      <c r="R1393" t="e">
        <f t="shared" ca="1" si="672"/>
        <v>#VALUE!</v>
      </c>
      <c r="S1393" t="e">
        <f t="shared" ca="1" si="673"/>
        <v>#VALUE!</v>
      </c>
      <c r="T1393" t="e">
        <f t="shared" ca="1" si="674"/>
        <v>#VALUE!</v>
      </c>
      <c r="U1393" t="e">
        <f t="shared" ca="1" si="695"/>
        <v>#VALUE!</v>
      </c>
      <c r="V1393" t="e">
        <f t="shared" ca="1" si="696"/>
        <v>#VALUE!</v>
      </c>
      <c r="W1393" t="e">
        <f t="shared" ca="1" si="675"/>
        <v>#VALUE!</v>
      </c>
      <c r="X1393" t="e">
        <f t="shared" ca="1" si="676"/>
        <v>#VALUE!</v>
      </c>
      <c r="Y1393" t="e">
        <f t="shared" ca="1" si="677"/>
        <v>#VALUE!</v>
      </c>
      <c r="Z1393" t="e">
        <f t="shared" ca="1" si="678"/>
        <v>#VALUE!</v>
      </c>
      <c r="AA1393" t="e">
        <f t="shared" ca="1" si="679"/>
        <v>#VALUE!</v>
      </c>
      <c r="AB1393" t="e">
        <f t="shared" ca="1" si="680"/>
        <v>#VALUE!</v>
      </c>
      <c r="AC1393" t="e">
        <f t="shared" ca="1" si="681"/>
        <v>#VALUE!</v>
      </c>
      <c r="AD1393" t="e">
        <f t="shared" ca="1" si="682"/>
        <v>#VALUE!</v>
      </c>
      <c r="AE1393" t="e">
        <f t="shared" ca="1" si="683"/>
        <v>#VALUE!</v>
      </c>
      <c r="AF1393" t="e">
        <f t="shared" ca="1" si="684"/>
        <v>#VALUE!</v>
      </c>
      <c r="AG1393" t="e">
        <f t="shared" ca="1" si="685"/>
        <v>#VALUE!</v>
      </c>
      <c r="AH1393" t="e">
        <f ca="1">IF(V32="Supercritical",L1393,IF(V32="Subcritical",W1393,IF(AND(V1393=1,AG1393=1),IF(T1393&gt;=AE1393,L1393,W1393),IF(V1393=1,L1393,IF(AG1393=1,W1393,MAX($D$16,POWER((ABS(K1393)^2)/($I$5*MAX(F1393,0.1)^2),1/3)))))))</f>
        <v>#VALUE!</v>
      </c>
      <c r="AI1393" t="e">
        <f t="shared" ca="1" si="686"/>
        <v>#VALUE!</v>
      </c>
      <c r="AJ1393" t="e">
        <f t="shared" ca="1" si="687"/>
        <v>#VALUE!</v>
      </c>
      <c r="AM1393">
        <v>0</v>
      </c>
      <c r="AN1393">
        <v>0</v>
      </c>
      <c r="AO1393">
        <f t="shared" si="688"/>
        <v>0</v>
      </c>
      <c r="AP1393">
        <f t="shared" si="697"/>
        <v>0</v>
      </c>
      <c r="AQ1393" t="e">
        <f t="shared" ca="1" si="689"/>
        <v>#VALUE!</v>
      </c>
      <c r="AR1393" t="e">
        <f t="shared" ca="1" si="690"/>
        <v>#VALUE!</v>
      </c>
      <c r="AS1393" t="e">
        <f t="shared" ca="1" si="691"/>
        <v>#VALUE!</v>
      </c>
    </row>
    <row r="1394" spans="1:45" x14ac:dyDescent="0.35">
      <c r="A1394">
        <v>1245</v>
      </c>
      <c r="B1394">
        <v>1243.8889999999999</v>
      </c>
      <c r="C1394">
        <v>616070.85499999998</v>
      </c>
      <c r="D1394">
        <v>3096760.267</v>
      </c>
      <c r="E1394">
        <v>631.94000000000005</v>
      </c>
      <c r="F1394">
        <v>5.2</v>
      </c>
      <c r="G1394">
        <v>0</v>
      </c>
      <c r="H1394" t="s">
        <v>191</v>
      </c>
      <c r="I1394">
        <v>0</v>
      </c>
      <c r="J1394">
        <f t="shared" si="692"/>
        <v>1</v>
      </c>
      <c r="K1394">
        <f t="shared" si="693"/>
        <v>51</v>
      </c>
      <c r="L1394" t="e">
        <f t="shared" ca="1" si="694"/>
        <v>#VALUE!</v>
      </c>
      <c r="M1394" t="e">
        <f t="shared" ca="1" si="667"/>
        <v>#VALUE!</v>
      </c>
      <c r="N1394" t="e">
        <f t="shared" ca="1" si="668"/>
        <v>#VALUE!</v>
      </c>
      <c r="O1394" t="e">
        <f t="shared" ca="1" si="669"/>
        <v>#VALUE!</v>
      </c>
      <c r="P1394" t="e">
        <f t="shared" ca="1" si="670"/>
        <v>#VALUE!</v>
      </c>
      <c r="Q1394" t="e">
        <f t="shared" ca="1" si="671"/>
        <v>#VALUE!</v>
      </c>
      <c r="R1394" t="e">
        <f t="shared" ca="1" si="672"/>
        <v>#VALUE!</v>
      </c>
      <c r="S1394" t="e">
        <f t="shared" ca="1" si="673"/>
        <v>#VALUE!</v>
      </c>
      <c r="T1394" t="e">
        <f t="shared" ca="1" si="674"/>
        <v>#VALUE!</v>
      </c>
      <c r="U1394" t="e">
        <f t="shared" ca="1" si="695"/>
        <v>#VALUE!</v>
      </c>
      <c r="V1394" t="e">
        <f t="shared" ca="1" si="696"/>
        <v>#VALUE!</v>
      </c>
      <c r="W1394" t="e">
        <f t="shared" ca="1" si="675"/>
        <v>#VALUE!</v>
      </c>
      <c r="X1394" t="e">
        <f t="shared" ca="1" si="676"/>
        <v>#VALUE!</v>
      </c>
      <c r="Y1394" t="e">
        <f t="shared" ca="1" si="677"/>
        <v>#VALUE!</v>
      </c>
      <c r="Z1394" t="e">
        <f t="shared" ca="1" si="678"/>
        <v>#VALUE!</v>
      </c>
      <c r="AA1394" t="e">
        <f t="shared" ca="1" si="679"/>
        <v>#VALUE!</v>
      </c>
      <c r="AB1394" t="e">
        <f t="shared" ca="1" si="680"/>
        <v>#VALUE!</v>
      </c>
      <c r="AC1394" t="e">
        <f t="shared" ca="1" si="681"/>
        <v>#VALUE!</v>
      </c>
      <c r="AD1394" t="e">
        <f t="shared" ca="1" si="682"/>
        <v>#VALUE!</v>
      </c>
      <c r="AE1394" t="e">
        <f t="shared" ca="1" si="683"/>
        <v>#VALUE!</v>
      </c>
      <c r="AF1394" t="e">
        <f t="shared" ca="1" si="684"/>
        <v>#VALUE!</v>
      </c>
      <c r="AG1394" t="e">
        <f t="shared" ca="1" si="685"/>
        <v>#VALUE!</v>
      </c>
      <c r="AH1394" t="e">
        <f ca="1">IF(V32="Supercritical",L1394,IF(V32="Subcritical",W1394,IF(AND(V1394=1,AG1394=1),IF(T1394&gt;=AE1394,L1394,W1394),IF(V1394=1,L1394,IF(AG1394=1,W1394,MAX($D$16,POWER((ABS(K1394)^2)/($I$5*MAX(F1394,0.1)^2),1/3)))))))</f>
        <v>#VALUE!</v>
      </c>
      <c r="AI1394" t="e">
        <f t="shared" ca="1" si="686"/>
        <v>#VALUE!</v>
      </c>
      <c r="AJ1394" t="e">
        <f t="shared" ca="1" si="687"/>
        <v>#VALUE!</v>
      </c>
      <c r="AM1394">
        <v>0</v>
      </c>
      <c r="AN1394">
        <v>0</v>
      </c>
      <c r="AO1394">
        <f t="shared" si="688"/>
        <v>0</v>
      </c>
      <c r="AP1394">
        <f t="shared" si="697"/>
        <v>0</v>
      </c>
      <c r="AQ1394" t="e">
        <f t="shared" ca="1" si="689"/>
        <v>#VALUE!</v>
      </c>
      <c r="AR1394" t="e">
        <f t="shared" ca="1" si="690"/>
        <v>#VALUE!</v>
      </c>
      <c r="AS1394" t="e">
        <f t="shared" ca="1" si="691"/>
        <v>#VALUE!</v>
      </c>
    </row>
    <row r="1395" spans="1:45" x14ac:dyDescent="0.35">
      <c r="A1395">
        <v>1246</v>
      </c>
      <c r="B1395">
        <v>1244.8889999999999</v>
      </c>
      <c r="C1395">
        <v>616070.81299999997</v>
      </c>
      <c r="D1395">
        <v>3096759.2680000002</v>
      </c>
      <c r="E1395">
        <v>631.93949999999995</v>
      </c>
      <c r="F1395">
        <v>5.2</v>
      </c>
      <c r="G1395">
        <v>0</v>
      </c>
      <c r="H1395" t="s">
        <v>191</v>
      </c>
      <c r="I1395">
        <v>5.7000000000000002E-2</v>
      </c>
      <c r="J1395">
        <f t="shared" si="692"/>
        <v>1</v>
      </c>
      <c r="K1395">
        <f t="shared" si="693"/>
        <v>51</v>
      </c>
      <c r="L1395" t="e">
        <f t="shared" ca="1" si="694"/>
        <v>#VALUE!</v>
      </c>
      <c r="M1395" t="e">
        <f t="shared" ca="1" si="667"/>
        <v>#VALUE!</v>
      </c>
      <c r="N1395" t="e">
        <f t="shared" ca="1" si="668"/>
        <v>#VALUE!</v>
      </c>
      <c r="O1395" t="e">
        <f t="shared" ca="1" si="669"/>
        <v>#VALUE!</v>
      </c>
      <c r="P1395" t="e">
        <f t="shared" ca="1" si="670"/>
        <v>#VALUE!</v>
      </c>
      <c r="Q1395" t="e">
        <f t="shared" ca="1" si="671"/>
        <v>#VALUE!</v>
      </c>
      <c r="R1395" t="e">
        <f t="shared" ca="1" si="672"/>
        <v>#VALUE!</v>
      </c>
      <c r="S1395" t="e">
        <f t="shared" ca="1" si="673"/>
        <v>#VALUE!</v>
      </c>
      <c r="T1395" t="e">
        <f t="shared" ca="1" si="674"/>
        <v>#VALUE!</v>
      </c>
      <c r="U1395" t="e">
        <f t="shared" ca="1" si="695"/>
        <v>#VALUE!</v>
      </c>
      <c r="V1395" t="e">
        <f t="shared" ca="1" si="696"/>
        <v>#VALUE!</v>
      </c>
      <c r="W1395" t="e">
        <f t="shared" ca="1" si="675"/>
        <v>#VALUE!</v>
      </c>
      <c r="X1395" t="e">
        <f t="shared" ca="1" si="676"/>
        <v>#VALUE!</v>
      </c>
      <c r="Y1395" t="e">
        <f t="shared" ca="1" si="677"/>
        <v>#VALUE!</v>
      </c>
      <c r="Z1395" t="e">
        <f t="shared" ca="1" si="678"/>
        <v>#VALUE!</v>
      </c>
      <c r="AA1395" t="e">
        <f t="shared" ca="1" si="679"/>
        <v>#VALUE!</v>
      </c>
      <c r="AB1395" t="e">
        <f t="shared" ca="1" si="680"/>
        <v>#VALUE!</v>
      </c>
      <c r="AC1395" t="e">
        <f t="shared" ca="1" si="681"/>
        <v>#VALUE!</v>
      </c>
      <c r="AD1395" t="e">
        <f t="shared" ca="1" si="682"/>
        <v>#VALUE!</v>
      </c>
      <c r="AE1395" t="e">
        <f t="shared" ca="1" si="683"/>
        <v>#VALUE!</v>
      </c>
      <c r="AF1395" t="e">
        <f t="shared" ca="1" si="684"/>
        <v>#VALUE!</v>
      </c>
      <c r="AG1395" t="e">
        <f t="shared" ca="1" si="685"/>
        <v>#VALUE!</v>
      </c>
      <c r="AH1395" t="e">
        <f ca="1">IF(V32="Supercritical",L1395,IF(V32="Subcritical",W1395,IF(AND(V1395=1,AG1395=1),IF(T1395&gt;=AE1395,L1395,W1395),IF(V1395=1,L1395,IF(AG1395=1,W1395,MAX($D$16,POWER((ABS(K1395)^2)/($I$5*MAX(F1395,0.1)^2),1/3)))))))</f>
        <v>#VALUE!</v>
      </c>
      <c r="AI1395" t="e">
        <f t="shared" ca="1" si="686"/>
        <v>#VALUE!</v>
      </c>
      <c r="AJ1395" t="e">
        <f t="shared" ca="1" si="687"/>
        <v>#VALUE!</v>
      </c>
      <c r="AM1395">
        <v>0</v>
      </c>
      <c r="AN1395">
        <v>0</v>
      </c>
      <c r="AO1395">
        <f t="shared" si="688"/>
        <v>0</v>
      </c>
      <c r="AP1395">
        <f t="shared" si="697"/>
        <v>0</v>
      </c>
      <c r="AQ1395" t="e">
        <f t="shared" ca="1" si="689"/>
        <v>#VALUE!</v>
      </c>
      <c r="AR1395" t="e">
        <f t="shared" ca="1" si="690"/>
        <v>#VALUE!</v>
      </c>
      <c r="AS1395" t="e">
        <f t="shared" ca="1" si="691"/>
        <v>#VALUE!</v>
      </c>
    </row>
    <row r="1396" spans="1:45" x14ac:dyDescent="0.35">
      <c r="A1396">
        <v>1247</v>
      </c>
      <c r="B1396">
        <v>1245.8889999999999</v>
      </c>
      <c r="C1396">
        <v>616070.77</v>
      </c>
      <c r="D1396">
        <v>3096758.2689999999</v>
      </c>
      <c r="E1396">
        <v>631.93899999999996</v>
      </c>
      <c r="F1396">
        <v>5.2</v>
      </c>
      <c r="G1396">
        <v>0</v>
      </c>
      <c r="H1396" t="s">
        <v>191</v>
      </c>
      <c r="I1396">
        <v>0.06</v>
      </c>
      <c r="J1396">
        <f t="shared" si="692"/>
        <v>1</v>
      </c>
      <c r="K1396">
        <f t="shared" si="693"/>
        <v>51</v>
      </c>
      <c r="L1396" t="e">
        <f t="shared" ca="1" si="694"/>
        <v>#VALUE!</v>
      </c>
      <c r="M1396" t="e">
        <f t="shared" ca="1" si="667"/>
        <v>#VALUE!</v>
      </c>
      <c r="N1396" t="e">
        <f t="shared" ca="1" si="668"/>
        <v>#VALUE!</v>
      </c>
      <c r="O1396" t="e">
        <f t="shared" ca="1" si="669"/>
        <v>#VALUE!</v>
      </c>
      <c r="P1396" t="e">
        <f t="shared" ca="1" si="670"/>
        <v>#VALUE!</v>
      </c>
      <c r="Q1396" t="e">
        <f t="shared" ca="1" si="671"/>
        <v>#VALUE!</v>
      </c>
      <c r="R1396" t="e">
        <f t="shared" ca="1" si="672"/>
        <v>#VALUE!</v>
      </c>
      <c r="S1396" t="e">
        <f t="shared" ca="1" si="673"/>
        <v>#VALUE!</v>
      </c>
      <c r="T1396" t="e">
        <f t="shared" ca="1" si="674"/>
        <v>#VALUE!</v>
      </c>
      <c r="U1396" t="e">
        <f t="shared" ca="1" si="695"/>
        <v>#VALUE!</v>
      </c>
      <c r="V1396" t="e">
        <f t="shared" ca="1" si="696"/>
        <v>#VALUE!</v>
      </c>
      <c r="W1396" t="e">
        <f t="shared" ca="1" si="675"/>
        <v>#VALUE!</v>
      </c>
      <c r="X1396" t="e">
        <f t="shared" ca="1" si="676"/>
        <v>#VALUE!</v>
      </c>
      <c r="Y1396" t="e">
        <f t="shared" ca="1" si="677"/>
        <v>#VALUE!</v>
      </c>
      <c r="Z1396" t="e">
        <f t="shared" ca="1" si="678"/>
        <v>#VALUE!</v>
      </c>
      <c r="AA1396" t="e">
        <f t="shared" ca="1" si="679"/>
        <v>#VALUE!</v>
      </c>
      <c r="AB1396" t="e">
        <f t="shared" ca="1" si="680"/>
        <v>#VALUE!</v>
      </c>
      <c r="AC1396" t="e">
        <f t="shared" ca="1" si="681"/>
        <v>#VALUE!</v>
      </c>
      <c r="AD1396" t="e">
        <f t="shared" ca="1" si="682"/>
        <v>#VALUE!</v>
      </c>
      <c r="AE1396" t="e">
        <f t="shared" ca="1" si="683"/>
        <v>#VALUE!</v>
      </c>
      <c r="AF1396" t="e">
        <f t="shared" ca="1" si="684"/>
        <v>#VALUE!</v>
      </c>
      <c r="AG1396" t="e">
        <f t="shared" ca="1" si="685"/>
        <v>#VALUE!</v>
      </c>
      <c r="AH1396" t="e">
        <f ca="1">IF(V32="Supercritical",L1396,IF(V32="Subcritical",W1396,IF(AND(V1396=1,AG1396=1),IF(T1396&gt;=AE1396,L1396,W1396),IF(V1396=1,L1396,IF(AG1396=1,W1396,MAX($D$16,POWER((ABS(K1396)^2)/($I$5*MAX(F1396,0.1)^2),1/3)))))))</f>
        <v>#VALUE!</v>
      </c>
      <c r="AI1396" t="e">
        <f t="shared" ca="1" si="686"/>
        <v>#VALUE!</v>
      </c>
      <c r="AJ1396" t="e">
        <f t="shared" ca="1" si="687"/>
        <v>#VALUE!</v>
      </c>
      <c r="AM1396">
        <v>0</v>
      </c>
      <c r="AN1396">
        <v>0</v>
      </c>
      <c r="AO1396">
        <f t="shared" si="688"/>
        <v>0</v>
      </c>
      <c r="AP1396">
        <f t="shared" si="697"/>
        <v>0</v>
      </c>
      <c r="AQ1396" t="e">
        <f t="shared" ca="1" si="689"/>
        <v>#VALUE!</v>
      </c>
      <c r="AR1396" t="e">
        <f t="shared" ca="1" si="690"/>
        <v>#VALUE!</v>
      </c>
      <c r="AS1396" t="e">
        <f t="shared" ca="1" si="691"/>
        <v>#VALUE!</v>
      </c>
    </row>
    <row r="1397" spans="1:45" x14ac:dyDescent="0.35">
      <c r="A1397">
        <v>1248</v>
      </c>
      <c r="B1397">
        <v>1246.8900000000001</v>
      </c>
      <c r="C1397">
        <v>616070.728</v>
      </c>
      <c r="D1397">
        <v>3096757.2689999999</v>
      </c>
      <c r="E1397">
        <v>631.93849999999998</v>
      </c>
      <c r="F1397">
        <v>5.2</v>
      </c>
      <c r="G1397">
        <v>0</v>
      </c>
      <c r="H1397" t="s">
        <v>191</v>
      </c>
      <c r="I1397">
        <v>2E-3</v>
      </c>
      <c r="J1397">
        <f t="shared" si="692"/>
        <v>1.0010000000002037</v>
      </c>
      <c r="K1397">
        <f t="shared" si="693"/>
        <v>51</v>
      </c>
      <c r="L1397" t="e">
        <f t="shared" ca="1" si="694"/>
        <v>#VALUE!</v>
      </c>
      <c r="M1397" t="e">
        <f t="shared" ca="1" si="667"/>
        <v>#VALUE!</v>
      </c>
      <c r="N1397" t="e">
        <f t="shared" ca="1" si="668"/>
        <v>#VALUE!</v>
      </c>
      <c r="O1397" t="e">
        <f t="shared" ca="1" si="669"/>
        <v>#VALUE!</v>
      </c>
      <c r="P1397" t="e">
        <f t="shared" ca="1" si="670"/>
        <v>#VALUE!</v>
      </c>
      <c r="Q1397" t="e">
        <f t="shared" ca="1" si="671"/>
        <v>#VALUE!</v>
      </c>
      <c r="R1397" t="e">
        <f t="shared" ca="1" si="672"/>
        <v>#VALUE!</v>
      </c>
      <c r="S1397" t="e">
        <f t="shared" ca="1" si="673"/>
        <v>#VALUE!</v>
      </c>
      <c r="T1397" t="e">
        <f t="shared" ca="1" si="674"/>
        <v>#VALUE!</v>
      </c>
      <c r="U1397" t="e">
        <f t="shared" ca="1" si="695"/>
        <v>#VALUE!</v>
      </c>
      <c r="V1397" t="e">
        <f t="shared" ca="1" si="696"/>
        <v>#VALUE!</v>
      </c>
      <c r="W1397" t="e">
        <f t="shared" ca="1" si="675"/>
        <v>#VALUE!</v>
      </c>
      <c r="X1397" t="e">
        <f t="shared" ca="1" si="676"/>
        <v>#VALUE!</v>
      </c>
      <c r="Y1397" t="e">
        <f t="shared" ca="1" si="677"/>
        <v>#VALUE!</v>
      </c>
      <c r="Z1397" t="e">
        <f t="shared" ca="1" si="678"/>
        <v>#VALUE!</v>
      </c>
      <c r="AA1397" t="e">
        <f t="shared" ca="1" si="679"/>
        <v>#VALUE!</v>
      </c>
      <c r="AB1397" t="e">
        <f t="shared" ca="1" si="680"/>
        <v>#VALUE!</v>
      </c>
      <c r="AC1397" t="e">
        <f t="shared" ca="1" si="681"/>
        <v>#VALUE!</v>
      </c>
      <c r="AD1397" t="e">
        <f t="shared" ca="1" si="682"/>
        <v>#VALUE!</v>
      </c>
      <c r="AE1397" t="e">
        <f t="shared" ca="1" si="683"/>
        <v>#VALUE!</v>
      </c>
      <c r="AF1397" t="e">
        <f t="shared" ca="1" si="684"/>
        <v>#VALUE!</v>
      </c>
      <c r="AG1397" t="e">
        <f t="shared" ca="1" si="685"/>
        <v>#VALUE!</v>
      </c>
      <c r="AH1397" t="e">
        <f ca="1">IF(V32="Supercritical",L1397,IF(V32="Subcritical",W1397,IF(AND(V1397=1,AG1397=1),IF(T1397&gt;=AE1397,L1397,W1397),IF(V1397=1,L1397,IF(AG1397=1,W1397,MAX($D$16,POWER((ABS(K1397)^2)/($I$5*MAX(F1397,0.1)^2),1/3)))))))</f>
        <v>#VALUE!</v>
      </c>
      <c r="AI1397" t="e">
        <f t="shared" ca="1" si="686"/>
        <v>#VALUE!</v>
      </c>
      <c r="AJ1397" t="e">
        <f t="shared" ca="1" si="687"/>
        <v>#VALUE!</v>
      </c>
      <c r="AM1397">
        <v>0</v>
      </c>
      <c r="AN1397">
        <v>0</v>
      </c>
      <c r="AO1397">
        <f t="shared" si="688"/>
        <v>0</v>
      </c>
      <c r="AP1397">
        <f t="shared" si="697"/>
        <v>0</v>
      </c>
      <c r="AQ1397" t="e">
        <f t="shared" ca="1" si="689"/>
        <v>#VALUE!</v>
      </c>
      <c r="AR1397" t="e">
        <f t="shared" ca="1" si="690"/>
        <v>#VALUE!</v>
      </c>
      <c r="AS1397" t="e">
        <f t="shared" ca="1" si="691"/>
        <v>#VALUE!</v>
      </c>
    </row>
    <row r="1398" spans="1:45" x14ac:dyDescent="0.35">
      <c r="A1398">
        <v>1249</v>
      </c>
      <c r="B1398">
        <v>1247.8900000000001</v>
      </c>
      <c r="C1398">
        <v>616070.68599999999</v>
      </c>
      <c r="D1398">
        <v>3096756.27</v>
      </c>
      <c r="E1398">
        <v>631.93799999999999</v>
      </c>
      <c r="F1398">
        <v>5.2</v>
      </c>
      <c r="G1398">
        <v>0</v>
      </c>
      <c r="H1398" t="s">
        <v>191</v>
      </c>
      <c r="I1398">
        <v>0</v>
      </c>
      <c r="J1398">
        <f t="shared" si="692"/>
        <v>1</v>
      </c>
      <c r="K1398">
        <f t="shared" si="693"/>
        <v>51</v>
      </c>
      <c r="L1398" t="e">
        <f t="shared" ca="1" si="694"/>
        <v>#VALUE!</v>
      </c>
      <c r="M1398" t="e">
        <f t="shared" ca="1" si="667"/>
        <v>#VALUE!</v>
      </c>
      <c r="N1398" t="e">
        <f t="shared" ca="1" si="668"/>
        <v>#VALUE!</v>
      </c>
      <c r="O1398" t="e">
        <f t="shared" ca="1" si="669"/>
        <v>#VALUE!</v>
      </c>
      <c r="P1398" t="e">
        <f t="shared" ca="1" si="670"/>
        <v>#VALUE!</v>
      </c>
      <c r="Q1398" t="e">
        <f t="shared" ca="1" si="671"/>
        <v>#VALUE!</v>
      </c>
      <c r="R1398" t="e">
        <f t="shared" ca="1" si="672"/>
        <v>#VALUE!</v>
      </c>
      <c r="S1398" t="e">
        <f t="shared" ca="1" si="673"/>
        <v>#VALUE!</v>
      </c>
      <c r="T1398" t="e">
        <f t="shared" ca="1" si="674"/>
        <v>#VALUE!</v>
      </c>
      <c r="U1398" t="e">
        <f t="shared" ca="1" si="695"/>
        <v>#VALUE!</v>
      </c>
      <c r="V1398" t="e">
        <f t="shared" ca="1" si="696"/>
        <v>#VALUE!</v>
      </c>
      <c r="W1398" t="e">
        <f t="shared" ca="1" si="675"/>
        <v>#VALUE!</v>
      </c>
      <c r="X1398" t="e">
        <f t="shared" ca="1" si="676"/>
        <v>#VALUE!</v>
      </c>
      <c r="Y1398" t="e">
        <f t="shared" ca="1" si="677"/>
        <v>#VALUE!</v>
      </c>
      <c r="Z1398" t="e">
        <f t="shared" ca="1" si="678"/>
        <v>#VALUE!</v>
      </c>
      <c r="AA1398" t="e">
        <f t="shared" ca="1" si="679"/>
        <v>#VALUE!</v>
      </c>
      <c r="AB1398" t="e">
        <f t="shared" ca="1" si="680"/>
        <v>#VALUE!</v>
      </c>
      <c r="AC1398" t="e">
        <f t="shared" ca="1" si="681"/>
        <v>#VALUE!</v>
      </c>
      <c r="AD1398" t="e">
        <f t="shared" ca="1" si="682"/>
        <v>#VALUE!</v>
      </c>
      <c r="AE1398" t="e">
        <f t="shared" ca="1" si="683"/>
        <v>#VALUE!</v>
      </c>
      <c r="AF1398" t="e">
        <f t="shared" ca="1" si="684"/>
        <v>#VALUE!</v>
      </c>
      <c r="AG1398" t="e">
        <f t="shared" ca="1" si="685"/>
        <v>#VALUE!</v>
      </c>
      <c r="AH1398" t="e">
        <f ca="1">IF(V32="Supercritical",L1398,IF(V32="Subcritical",W1398,IF(AND(V1398=1,AG1398=1),IF(T1398&gt;=AE1398,L1398,W1398),IF(V1398=1,L1398,IF(AG1398=1,W1398,MAX($D$16,POWER((ABS(K1398)^2)/($I$5*MAX(F1398,0.1)^2),1/3)))))))</f>
        <v>#VALUE!</v>
      </c>
      <c r="AI1398" t="e">
        <f t="shared" ca="1" si="686"/>
        <v>#VALUE!</v>
      </c>
      <c r="AJ1398" t="e">
        <f t="shared" ca="1" si="687"/>
        <v>#VALUE!</v>
      </c>
      <c r="AM1398">
        <v>0</v>
      </c>
      <c r="AN1398">
        <v>0</v>
      </c>
      <c r="AO1398">
        <f t="shared" si="688"/>
        <v>0</v>
      </c>
      <c r="AP1398">
        <f t="shared" si="697"/>
        <v>0</v>
      </c>
      <c r="AQ1398" t="e">
        <f t="shared" ca="1" si="689"/>
        <v>#VALUE!</v>
      </c>
      <c r="AR1398" t="e">
        <f t="shared" ca="1" si="690"/>
        <v>#VALUE!</v>
      </c>
      <c r="AS1398" t="e">
        <f t="shared" ca="1" si="691"/>
        <v>#VALUE!</v>
      </c>
    </row>
    <row r="1399" spans="1:45" x14ac:dyDescent="0.35">
      <c r="A1399">
        <v>1250</v>
      </c>
      <c r="B1399">
        <v>1248.8889999999999</v>
      </c>
      <c r="C1399">
        <v>616070.64399999997</v>
      </c>
      <c r="D1399">
        <v>3096755.2710000002</v>
      </c>
      <c r="E1399">
        <v>631.9375</v>
      </c>
      <c r="F1399">
        <v>5.2</v>
      </c>
      <c r="G1399">
        <v>0</v>
      </c>
      <c r="H1399" t="s">
        <v>191</v>
      </c>
      <c r="I1399">
        <v>5.7000000000000002E-2</v>
      </c>
      <c r="J1399">
        <f t="shared" si="692"/>
        <v>0.99899999999979627</v>
      </c>
      <c r="K1399">
        <f t="shared" si="693"/>
        <v>51</v>
      </c>
      <c r="L1399" t="e">
        <f t="shared" ca="1" si="694"/>
        <v>#VALUE!</v>
      </c>
      <c r="M1399" t="e">
        <f t="shared" ca="1" si="667"/>
        <v>#VALUE!</v>
      </c>
      <c r="N1399" t="e">
        <f t="shared" ca="1" si="668"/>
        <v>#VALUE!</v>
      </c>
      <c r="O1399" t="e">
        <f t="shared" ca="1" si="669"/>
        <v>#VALUE!</v>
      </c>
      <c r="P1399" t="e">
        <f t="shared" ca="1" si="670"/>
        <v>#VALUE!</v>
      </c>
      <c r="Q1399" t="e">
        <f t="shared" ca="1" si="671"/>
        <v>#VALUE!</v>
      </c>
      <c r="R1399" t="e">
        <f t="shared" ca="1" si="672"/>
        <v>#VALUE!</v>
      </c>
      <c r="S1399" t="e">
        <f t="shared" ca="1" si="673"/>
        <v>#VALUE!</v>
      </c>
      <c r="T1399" t="e">
        <f t="shared" ca="1" si="674"/>
        <v>#VALUE!</v>
      </c>
      <c r="U1399" t="e">
        <f t="shared" ca="1" si="695"/>
        <v>#VALUE!</v>
      </c>
      <c r="V1399" t="e">
        <f t="shared" ca="1" si="696"/>
        <v>#VALUE!</v>
      </c>
      <c r="W1399" t="e">
        <f t="shared" ca="1" si="675"/>
        <v>#VALUE!</v>
      </c>
      <c r="X1399" t="e">
        <f t="shared" ca="1" si="676"/>
        <v>#VALUE!</v>
      </c>
      <c r="Y1399" t="e">
        <f t="shared" ca="1" si="677"/>
        <v>#VALUE!</v>
      </c>
      <c r="Z1399" t="e">
        <f t="shared" ca="1" si="678"/>
        <v>#VALUE!</v>
      </c>
      <c r="AA1399" t="e">
        <f t="shared" ca="1" si="679"/>
        <v>#VALUE!</v>
      </c>
      <c r="AB1399" t="e">
        <f t="shared" ca="1" si="680"/>
        <v>#VALUE!</v>
      </c>
      <c r="AC1399" t="e">
        <f t="shared" ca="1" si="681"/>
        <v>#VALUE!</v>
      </c>
      <c r="AD1399" t="e">
        <f t="shared" ca="1" si="682"/>
        <v>#VALUE!</v>
      </c>
      <c r="AE1399" t="e">
        <f t="shared" ca="1" si="683"/>
        <v>#VALUE!</v>
      </c>
      <c r="AF1399" t="e">
        <f t="shared" ca="1" si="684"/>
        <v>#VALUE!</v>
      </c>
      <c r="AG1399" t="e">
        <f t="shared" ca="1" si="685"/>
        <v>#VALUE!</v>
      </c>
      <c r="AH1399" t="e">
        <f ca="1">IF(V32="Supercritical",L1399,IF(V32="Subcritical",W1399,IF(AND(V1399=1,AG1399=1),IF(T1399&gt;=AE1399,L1399,W1399),IF(V1399=1,L1399,IF(AG1399=1,W1399,MAX($D$16,POWER((ABS(K1399)^2)/($I$5*MAX(F1399,0.1)^2),1/3)))))))</f>
        <v>#VALUE!</v>
      </c>
      <c r="AI1399" t="e">
        <f t="shared" ca="1" si="686"/>
        <v>#VALUE!</v>
      </c>
      <c r="AJ1399" t="e">
        <f t="shared" ca="1" si="687"/>
        <v>#VALUE!</v>
      </c>
      <c r="AM1399">
        <v>0</v>
      </c>
      <c r="AN1399">
        <v>0</v>
      </c>
      <c r="AO1399">
        <f t="shared" si="688"/>
        <v>0</v>
      </c>
      <c r="AP1399">
        <f t="shared" si="697"/>
        <v>0</v>
      </c>
      <c r="AQ1399" t="e">
        <f t="shared" ca="1" si="689"/>
        <v>#VALUE!</v>
      </c>
      <c r="AR1399" t="e">
        <f t="shared" ca="1" si="690"/>
        <v>#VALUE!</v>
      </c>
      <c r="AS1399" t="e">
        <f t="shared" ca="1" si="691"/>
        <v>#VALUE!</v>
      </c>
    </row>
    <row r="1400" spans="1:45" x14ac:dyDescent="0.35">
      <c r="A1400">
        <v>1251</v>
      </c>
      <c r="B1400">
        <v>1249.8889999999999</v>
      </c>
      <c r="C1400">
        <v>616070.60100000002</v>
      </c>
      <c r="D1400">
        <v>3096754.2719999999</v>
      </c>
      <c r="E1400">
        <v>631.93700000000001</v>
      </c>
      <c r="F1400">
        <v>5.2</v>
      </c>
      <c r="G1400">
        <v>0</v>
      </c>
      <c r="H1400" t="s">
        <v>191</v>
      </c>
      <c r="I1400">
        <v>5.7000000000000002E-2</v>
      </c>
      <c r="J1400">
        <f t="shared" si="692"/>
        <v>1</v>
      </c>
      <c r="K1400">
        <f t="shared" si="693"/>
        <v>51</v>
      </c>
      <c r="L1400" t="e">
        <f t="shared" ca="1" si="694"/>
        <v>#VALUE!</v>
      </c>
      <c r="M1400" t="e">
        <f t="shared" ca="1" si="667"/>
        <v>#VALUE!</v>
      </c>
      <c r="N1400" t="e">
        <f t="shared" ca="1" si="668"/>
        <v>#VALUE!</v>
      </c>
      <c r="O1400" t="e">
        <f t="shared" ca="1" si="669"/>
        <v>#VALUE!</v>
      </c>
      <c r="P1400" t="e">
        <f t="shared" ca="1" si="670"/>
        <v>#VALUE!</v>
      </c>
      <c r="Q1400" t="e">
        <f t="shared" ca="1" si="671"/>
        <v>#VALUE!</v>
      </c>
      <c r="R1400" t="e">
        <f t="shared" ca="1" si="672"/>
        <v>#VALUE!</v>
      </c>
      <c r="S1400" t="e">
        <f t="shared" ca="1" si="673"/>
        <v>#VALUE!</v>
      </c>
      <c r="T1400" t="e">
        <f t="shared" ca="1" si="674"/>
        <v>#VALUE!</v>
      </c>
      <c r="U1400" t="e">
        <f t="shared" ca="1" si="695"/>
        <v>#VALUE!</v>
      </c>
      <c r="V1400" t="e">
        <f t="shared" ca="1" si="696"/>
        <v>#VALUE!</v>
      </c>
      <c r="W1400" t="e">
        <f t="shared" ca="1" si="675"/>
        <v>#VALUE!</v>
      </c>
      <c r="X1400" t="e">
        <f t="shared" ca="1" si="676"/>
        <v>#VALUE!</v>
      </c>
      <c r="Y1400" t="e">
        <f t="shared" ca="1" si="677"/>
        <v>#VALUE!</v>
      </c>
      <c r="Z1400" t="e">
        <f t="shared" ca="1" si="678"/>
        <v>#VALUE!</v>
      </c>
      <c r="AA1400" t="e">
        <f t="shared" ca="1" si="679"/>
        <v>#VALUE!</v>
      </c>
      <c r="AB1400" t="e">
        <f t="shared" ca="1" si="680"/>
        <v>#VALUE!</v>
      </c>
      <c r="AC1400" t="e">
        <f t="shared" ca="1" si="681"/>
        <v>#VALUE!</v>
      </c>
      <c r="AD1400" t="e">
        <f t="shared" ca="1" si="682"/>
        <v>#VALUE!</v>
      </c>
      <c r="AE1400" t="e">
        <f t="shared" ca="1" si="683"/>
        <v>#VALUE!</v>
      </c>
      <c r="AF1400" t="e">
        <f t="shared" ca="1" si="684"/>
        <v>#VALUE!</v>
      </c>
      <c r="AG1400" t="e">
        <f t="shared" ca="1" si="685"/>
        <v>#VALUE!</v>
      </c>
      <c r="AH1400" t="e">
        <f ca="1">IF(V32="Supercritical",L1400,IF(V32="Subcritical",W1400,IF(AND(V1400=1,AG1400=1),IF(T1400&gt;=AE1400,L1400,W1400),IF(V1400=1,L1400,IF(AG1400=1,W1400,MAX($D$16,POWER((ABS(K1400)^2)/($I$5*MAX(F1400,0.1)^2),1/3)))))))</f>
        <v>#VALUE!</v>
      </c>
      <c r="AI1400" t="e">
        <f t="shared" ca="1" si="686"/>
        <v>#VALUE!</v>
      </c>
      <c r="AJ1400" t="e">
        <f t="shared" ca="1" si="687"/>
        <v>#VALUE!</v>
      </c>
      <c r="AM1400">
        <v>0</v>
      </c>
      <c r="AN1400">
        <v>0</v>
      </c>
      <c r="AO1400">
        <f t="shared" si="688"/>
        <v>0</v>
      </c>
      <c r="AP1400">
        <f t="shared" si="697"/>
        <v>0</v>
      </c>
      <c r="AQ1400" t="e">
        <f t="shared" ca="1" si="689"/>
        <v>#VALUE!</v>
      </c>
      <c r="AR1400" t="e">
        <f t="shared" ca="1" si="690"/>
        <v>#VALUE!</v>
      </c>
      <c r="AS1400" t="e">
        <f t="shared" ca="1" si="691"/>
        <v>#VALUE!</v>
      </c>
    </row>
    <row r="1401" spans="1:45" x14ac:dyDescent="0.35">
      <c r="A1401">
        <v>1252</v>
      </c>
      <c r="B1401">
        <v>1250.8889999999999</v>
      </c>
      <c r="C1401">
        <v>616070.55900000001</v>
      </c>
      <c r="D1401">
        <v>3096753.273</v>
      </c>
      <c r="E1401">
        <v>631.93650000000002</v>
      </c>
      <c r="F1401">
        <v>5.2</v>
      </c>
      <c r="G1401">
        <v>0</v>
      </c>
      <c r="H1401" t="s">
        <v>191</v>
      </c>
      <c r="I1401">
        <v>0</v>
      </c>
      <c r="J1401">
        <f t="shared" si="692"/>
        <v>1</v>
      </c>
      <c r="K1401">
        <f t="shared" si="693"/>
        <v>51</v>
      </c>
      <c r="L1401" t="e">
        <f t="shared" ca="1" si="694"/>
        <v>#VALUE!</v>
      </c>
      <c r="M1401" t="e">
        <f t="shared" ca="1" si="667"/>
        <v>#VALUE!</v>
      </c>
      <c r="N1401" t="e">
        <f t="shared" ca="1" si="668"/>
        <v>#VALUE!</v>
      </c>
      <c r="O1401" t="e">
        <f t="shared" ca="1" si="669"/>
        <v>#VALUE!</v>
      </c>
      <c r="P1401" t="e">
        <f t="shared" ca="1" si="670"/>
        <v>#VALUE!</v>
      </c>
      <c r="Q1401" t="e">
        <f t="shared" ca="1" si="671"/>
        <v>#VALUE!</v>
      </c>
      <c r="R1401" t="e">
        <f t="shared" ca="1" si="672"/>
        <v>#VALUE!</v>
      </c>
      <c r="S1401" t="e">
        <f t="shared" ca="1" si="673"/>
        <v>#VALUE!</v>
      </c>
      <c r="T1401" t="e">
        <f t="shared" ca="1" si="674"/>
        <v>#VALUE!</v>
      </c>
      <c r="U1401" t="e">
        <f t="shared" ca="1" si="695"/>
        <v>#VALUE!</v>
      </c>
      <c r="V1401" t="e">
        <f t="shared" ca="1" si="696"/>
        <v>#VALUE!</v>
      </c>
      <c r="W1401" t="e">
        <f t="shared" ca="1" si="675"/>
        <v>#VALUE!</v>
      </c>
      <c r="X1401" t="e">
        <f t="shared" ca="1" si="676"/>
        <v>#VALUE!</v>
      </c>
      <c r="Y1401" t="e">
        <f t="shared" ca="1" si="677"/>
        <v>#VALUE!</v>
      </c>
      <c r="Z1401" t="e">
        <f t="shared" ca="1" si="678"/>
        <v>#VALUE!</v>
      </c>
      <c r="AA1401" t="e">
        <f t="shared" ca="1" si="679"/>
        <v>#VALUE!</v>
      </c>
      <c r="AB1401" t="e">
        <f t="shared" ca="1" si="680"/>
        <v>#VALUE!</v>
      </c>
      <c r="AC1401" t="e">
        <f t="shared" ca="1" si="681"/>
        <v>#VALUE!</v>
      </c>
      <c r="AD1401" t="e">
        <f t="shared" ca="1" si="682"/>
        <v>#VALUE!</v>
      </c>
      <c r="AE1401" t="e">
        <f t="shared" ca="1" si="683"/>
        <v>#VALUE!</v>
      </c>
      <c r="AF1401" t="e">
        <f t="shared" ca="1" si="684"/>
        <v>#VALUE!</v>
      </c>
      <c r="AG1401" t="e">
        <f t="shared" ca="1" si="685"/>
        <v>#VALUE!</v>
      </c>
      <c r="AH1401" t="e">
        <f ca="1">IF(V32="Supercritical",L1401,IF(V32="Subcritical",W1401,IF(AND(V1401=1,AG1401=1),IF(T1401&gt;=AE1401,L1401,W1401),IF(V1401=1,L1401,IF(AG1401=1,W1401,MAX($D$16,POWER((ABS(K1401)^2)/($I$5*MAX(F1401,0.1)^2),1/3)))))))</f>
        <v>#VALUE!</v>
      </c>
      <c r="AI1401" t="e">
        <f t="shared" ca="1" si="686"/>
        <v>#VALUE!</v>
      </c>
      <c r="AJ1401" t="e">
        <f t="shared" ca="1" si="687"/>
        <v>#VALUE!</v>
      </c>
      <c r="AM1401">
        <v>0</v>
      </c>
      <c r="AN1401">
        <v>0</v>
      </c>
      <c r="AO1401">
        <f t="shared" si="688"/>
        <v>0</v>
      </c>
      <c r="AP1401">
        <f t="shared" si="697"/>
        <v>0</v>
      </c>
      <c r="AQ1401" t="e">
        <f t="shared" ca="1" si="689"/>
        <v>#VALUE!</v>
      </c>
      <c r="AR1401" t="e">
        <f t="shared" ca="1" si="690"/>
        <v>#VALUE!</v>
      </c>
      <c r="AS1401" t="e">
        <f t="shared" ca="1" si="691"/>
        <v>#VALUE!</v>
      </c>
    </row>
    <row r="1402" spans="1:45" x14ac:dyDescent="0.35">
      <c r="A1402">
        <v>1253</v>
      </c>
      <c r="B1402">
        <v>1251.8889999999999</v>
      </c>
      <c r="C1402">
        <v>616070.51699999999</v>
      </c>
      <c r="D1402">
        <v>3096752.2740000002</v>
      </c>
      <c r="E1402">
        <v>631.93600000000004</v>
      </c>
      <c r="F1402">
        <v>5.2</v>
      </c>
      <c r="G1402">
        <v>0</v>
      </c>
      <c r="H1402" t="s">
        <v>191</v>
      </c>
      <c r="I1402">
        <v>5.7000000000000002E-2</v>
      </c>
      <c r="J1402">
        <f t="shared" si="692"/>
        <v>1</v>
      </c>
      <c r="K1402">
        <f t="shared" si="693"/>
        <v>51</v>
      </c>
      <c r="L1402" t="e">
        <f t="shared" ca="1" si="694"/>
        <v>#VALUE!</v>
      </c>
      <c r="M1402" t="e">
        <f t="shared" ca="1" si="667"/>
        <v>#VALUE!</v>
      </c>
      <c r="N1402" t="e">
        <f t="shared" ca="1" si="668"/>
        <v>#VALUE!</v>
      </c>
      <c r="O1402" t="e">
        <f t="shared" ca="1" si="669"/>
        <v>#VALUE!</v>
      </c>
      <c r="P1402" t="e">
        <f t="shared" ca="1" si="670"/>
        <v>#VALUE!</v>
      </c>
      <c r="Q1402" t="e">
        <f t="shared" ca="1" si="671"/>
        <v>#VALUE!</v>
      </c>
      <c r="R1402" t="e">
        <f t="shared" ca="1" si="672"/>
        <v>#VALUE!</v>
      </c>
      <c r="S1402" t="e">
        <f t="shared" ca="1" si="673"/>
        <v>#VALUE!</v>
      </c>
      <c r="T1402" t="e">
        <f t="shared" ca="1" si="674"/>
        <v>#VALUE!</v>
      </c>
      <c r="U1402" t="e">
        <f t="shared" ca="1" si="695"/>
        <v>#VALUE!</v>
      </c>
      <c r="V1402" t="e">
        <f t="shared" ca="1" si="696"/>
        <v>#VALUE!</v>
      </c>
      <c r="W1402" t="e">
        <f t="shared" ca="1" si="675"/>
        <v>#VALUE!</v>
      </c>
      <c r="X1402" t="e">
        <f t="shared" ca="1" si="676"/>
        <v>#VALUE!</v>
      </c>
      <c r="Y1402" t="e">
        <f t="shared" ca="1" si="677"/>
        <v>#VALUE!</v>
      </c>
      <c r="Z1402" t="e">
        <f t="shared" ca="1" si="678"/>
        <v>#VALUE!</v>
      </c>
      <c r="AA1402" t="e">
        <f t="shared" ca="1" si="679"/>
        <v>#VALUE!</v>
      </c>
      <c r="AB1402" t="e">
        <f t="shared" ca="1" si="680"/>
        <v>#VALUE!</v>
      </c>
      <c r="AC1402" t="e">
        <f t="shared" ca="1" si="681"/>
        <v>#VALUE!</v>
      </c>
      <c r="AD1402" t="e">
        <f t="shared" ca="1" si="682"/>
        <v>#VALUE!</v>
      </c>
      <c r="AE1402" t="e">
        <f t="shared" ca="1" si="683"/>
        <v>#VALUE!</v>
      </c>
      <c r="AF1402" t="e">
        <f t="shared" ca="1" si="684"/>
        <v>#VALUE!</v>
      </c>
      <c r="AG1402" t="e">
        <f t="shared" ca="1" si="685"/>
        <v>#VALUE!</v>
      </c>
      <c r="AH1402" t="e">
        <f ca="1">IF(V32="Supercritical",L1402,IF(V32="Subcritical",W1402,IF(AND(V1402=1,AG1402=1),IF(T1402&gt;=AE1402,L1402,W1402),IF(V1402=1,L1402,IF(AG1402=1,W1402,MAX($D$16,POWER((ABS(K1402)^2)/($I$5*MAX(F1402,0.1)^2),1/3)))))))</f>
        <v>#VALUE!</v>
      </c>
      <c r="AI1402" t="e">
        <f t="shared" ca="1" si="686"/>
        <v>#VALUE!</v>
      </c>
      <c r="AJ1402" t="e">
        <f t="shared" ca="1" si="687"/>
        <v>#VALUE!</v>
      </c>
      <c r="AM1402">
        <v>0</v>
      </c>
      <c r="AN1402">
        <v>0</v>
      </c>
      <c r="AO1402">
        <f t="shared" si="688"/>
        <v>0</v>
      </c>
      <c r="AP1402">
        <f t="shared" si="697"/>
        <v>0</v>
      </c>
      <c r="AQ1402" t="e">
        <f t="shared" ca="1" si="689"/>
        <v>#VALUE!</v>
      </c>
      <c r="AR1402" t="e">
        <f t="shared" ca="1" si="690"/>
        <v>#VALUE!</v>
      </c>
      <c r="AS1402" t="e">
        <f t="shared" ca="1" si="691"/>
        <v>#VALUE!</v>
      </c>
    </row>
    <row r="1403" spans="1:45" x14ac:dyDescent="0.35">
      <c r="A1403">
        <v>1254</v>
      </c>
      <c r="B1403">
        <v>1252.8889999999999</v>
      </c>
      <c r="C1403">
        <v>616070.47400000005</v>
      </c>
      <c r="D1403">
        <v>3096751.2749999999</v>
      </c>
      <c r="E1403">
        <v>631.93550000000005</v>
      </c>
      <c r="F1403">
        <v>5.2</v>
      </c>
      <c r="G1403">
        <v>0</v>
      </c>
      <c r="H1403" t="s">
        <v>191</v>
      </c>
      <c r="I1403">
        <v>5.7000000000000002E-2</v>
      </c>
      <c r="J1403">
        <f t="shared" si="692"/>
        <v>1</v>
      </c>
      <c r="K1403">
        <f t="shared" si="693"/>
        <v>51</v>
      </c>
      <c r="L1403" t="e">
        <f t="shared" ca="1" si="694"/>
        <v>#VALUE!</v>
      </c>
      <c r="M1403" t="e">
        <f t="shared" ca="1" si="667"/>
        <v>#VALUE!</v>
      </c>
      <c r="N1403" t="e">
        <f t="shared" ca="1" si="668"/>
        <v>#VALUE!</v>
      </c>
      <c r="O1403" t="e">
        <f t="shared" ca="1" si="669"/>
        <v>#VALUE!</v>
      </c>
      <c r="P1403" t="e">
        <f t="shared" ca="1" si="670"/>
        <v>#VALUE!</v>
      </c>
      <c r="Q1403" t="e">
        <f t="shared" ca="1" si="671"/>
        <v>#VALUE!</v>
      </c>
      <c r="R1403" t="e">
        <f t="shared" ca="1" si="672"/>
        <v>#VALUE!</v>
      </c>
      <c r="S1403" t="e">
        <f t="shared" ca="1" si="673"/>
        <v>#VALUE!</v>
      </c>
      <c r="T1403" t="e">
        <f t="shared" ca="1" si="674"/>
        <v>#VALUE!</v>
      </c>
      <c r="U1403" t="e">
        <f t="shared" ca="1" si="695"/>
        <v>#VALUE!</v>
      </c>
      <c r="V1403" t="e">
        <f t="shared" ca="1" si="696"/>
        <v>#VALUE!</v>
      </c>
      <c r="W1403" t="e">
        <f t="shared" ca="1" si="675"/>
        <v>#VALUE!</v>
      </c>
      <c r="X1403" t="e">
        <f t="shared" ca="1" si="676"/>
        <v>#VALUE!</v>
      </c>
      <c r="Y1403" t="e">
        <f t="shared" ca="1" si="677"/>
        <v>#VALUE!</v>
      </c>
      <c r="Z1403" t="e">
        <f t="shared" ca="1" si="678"/>
        <v>#VALUE!</v>
      </c>
      <c r="AA1403" t="e">
        <f t="shared" ca="1" si="679"/>
        <v>#VALUE!</v>
      </c>
      <c r="AB1403" t="e">
        <f t="shared" ca="1" si="680"/>
        <v>#VALUE!</v>
      </c>
      <c r="AC1403" t="e">
        <f t="shared" ca="1" si="681"/>
        <v>#VALUE!</v>
      </c>
      <c r="AD1403" t="e">
        <f t="shared" ca="1" si="682"/>
        <v>#VALUE!</v>
      </c>
      <c r="AE1403" t="e">
        <f t="shared" ca="1" si="683"/>
        <v>#VALUE!</v>
      </c>
      <c r="AF1403" t="e">
        <f t="shared" ca="1" si="684"/>
        <v>#VALUE!</v>
      </c>
      <c r="AG1403" t="e">
        <f t="shared" ca="1" si="685"/>
        <v>#VALUE!</v>
      </c>
      <c r="AH1403" t="e">
        <f ca="1">IF(V32="Supercritical",L1403,IF(V32="Subcritical",W1403,IF(AND(V1403=1,AG1403=1),IF(T1403&gt;=AE1403,L1403,W1403),IF(V1403=1,L1403,IF(AG1403=1,W1403,MAX($D$16,POWER((ABS(K1403)^2)/($I$5*MAX(F1403,0.1)^2),1/3)))))))</f>
        <v>#VALUE!</v>
      </c>
      <c r="AI1403" t="e">
        <f t="shared" ca="1" si="686"/>
        <v>#VALUE!</v>
      </c>
      <c r="AJ1403" t="e">
        <f t="shared" ca="1" si="687"/>
        <v>#VALUE!</v>
      </c>
      <c r="AM1403">
        <v>0</v>
      </c>
      <c r="AN1403">
        <v>0</v>
      </c>
      <c r="AO1403">
        <f t="shared" si="688"/>
        <v>0</v>
      </c>
      <c r="AP1403">
        <f t="shared" si="697"/>
        <v>0</v>
      </c>
      <c r="AQ1403" t="e">
        <f t="shared" ca="1" si="689"/>
        <v>#VALUE!</v>
      </c>
      <c r="AR1403" t="e">
        <f t="shared" ca="1" si="690"/>
        <v>#VALUE!</v>
      </c>
      <c r="AS1403" t="e">
        <f t="shared" ca="1" si="691"/>
        <v>#VALUE!</v>
      </c>
    </row>
    <row r="1404" spans="1:45" x14ac:dyDescent="0.35">
      <c r="A1404">
        <v>1255</v>
      </c>
      <c r="B1404">
        <v>1253.8889999999999</v>
      </c>
      <c r="C1404">
        <v>616070.43200000003</v>
      </c>
      <c r="D1404">
        <v>3096750.2760000001</v>
      </c>
      <c r="E1404">
        <v>631.93499999999995</v>
      </c>
      <c r="F1404">
        <v>5.2</v>
      </c>
      <c r="G1404">
        <v>0</v>
      </c>
      <c r="H1404" t="s">
        <v>191</v>
      </c>
      <c r="I1404">
        <v>0</v>
      </c>
      <c r="J1404">
        <f t="shared" si="692"/>
        <v>1</v>
      </c>
      <c r="K1404">
        <f t="shared" si="693"/>
        <v>51</v>
      </c>
      <c r="L1404" t="e">
        <f t="shared" ca="1" si="694"/>
        <v>#VALUE!</v>
      </c>
      <c r="M1404" t="e">
        <f t="shared" ca="1" si="667"/>
        <v>#VALUE!</v>
      </c>
      <c r="N1404" t="e">
        <f t="shared" ca="1" si="668"/>
        <v>#VALUE!</v>
      </c>
      <c r="O1404" t="e">
        <f t="shared" ca="1" si="669"/>
        <v>#VALUE!</v>
      </c>
      <c r="P1404" t="e">
        <f t="shared" ca="1" si="670"/>
        <v>#VALUE!</v>
      </c>
      <c r="Q1404" t="e">
        <f t="shared" ca="1" si="671"/>
        <v>#VALUE!</v>
      </c>
      <c r="R1404" t="e">
        <f t="shared" ca="1" si="672"/>
        <v>#VALUE!</v>
      </c>
      <c r="S1404" t="e">
        <f t="shared" ca="1" si="673"/>
        <v>#VALUE!</v>
      </c>
      <c r="T1404" t="e">
        <f t="shared" ca="1" si="674"/>
        <v>#VALUE!</v>
      </c>
      <c r="U1404" t="e">
        <f t="shared" ca="1" si="695"/>
        <v>#VALUE!</v>
      </c>
      <c r="V1404" t="e">
        <f t="shared" ca="1" si="696"/>
        <v>#VALUE!</v>
      </c>
      <c r="W1404" t="e">
        <f t="shared" ca="1" si="675"/>
        <v>#VALUE!</v>
      </c>
      <c r="X1404" t="e">
        <f t="shared" ca="1" si="676"/>
        <v>#VALUE!</v>
      </c>
      <c r="Y1404" t="e">
        <f t="shared" ca="1" si="677"/>
        <v>#VALUE!</v>
      </c>
      <c r="Z1404" t="e">
        <f t="shared" ca="1" si="678"/>
        <v>#VALUE!</v>
      </c>
      <c r="AA1404" t="e">
        <f t="shared" ca="1" si="679"/>
        <v>#VALUE!</v>
      </c>
      <c r="AB1404" t="e">
        <f t="shared" ca="1" si="680"/>
        <v>#VALUE!</v>
      </c>
      <c r="AC1404" t="e">
        <f t="shared" ca="1" si="681"/>
        <v>#VALUE!</v>
      </c>
      <c r="AD1404" t="e">
        <f t="shared" ca="1" si="682"/>
        <v>#VALUE!</v>
      </c>
      <c r="AE1404" t="e">
        <f t="shared" ca="1" si="683"/>
        <v>#VALUE!</v>
      </c>
      <c r="AF1404" t="e">
        <f t="shared" ca="1" si="684"/>
        <v>#VALUE!</v>
      </c>
      <c r="AG1404" t="e">
        <f t="shared" ca="1" si="685"/>
        <v>#VALUE!</v>
      </c>
      <c r="AH1404" t="e">
        <f ca="1">IF(V32="Supercritical",L1404,IF(V32="Subcritical",W1404,IF(AND(V1404=1,AG1404=1),IF(T1404&gt;=AE1404,L1404,W1404),IF(V1404=1,L1404,IF(AG1404=1,W1404,MAX($D$16,POWER((ABS(K1404)^2)/($I$5*MAX(F1404,0.1)^2),1/3)))))))</f>
        <v>#VALUE!</v>
      </c>
      <c r="AI1404" t="e">
        <f t="shared" ca="1" si="686"/>
        <v>#VALUE!</v>
      </c>
      <c r="AJ1404" t="e">
        <f t="shared" ca="1" si="687"/>
        <v>#VALUE!</v>
      </c>
      <c r="AM1404">
        <v>0</v>
      </c>
      <c r="AN1404">
        <v>0</v>
      </c>
      <c r="AO1404">
        <f t="shared" si="688"/>
        <v>0</v>
      </c>
      <c r="AP1404">
        <f t="shared" si="697"/>
        <v>0</v>
      </c>
      <c r="AQ1404" t="e">
        <f t="shared" ca="1" si="689"/>
        <v>#VALUE!</v>
      </c>
      <c r="AR1404" t="e">
        <f t="shared" ca="1" si="690"/>
        <v>#VALUE!</v>
      </c>
      <c r="AS1404" t="e">
        <f t="shared" ca="1" si="691"/>
        <v>#VALUE!</v>
      </c>
    </row>
    <row r="1405" spans="1:45" x14ac:dyDescent="0.35">
      <c r="A1405">
        <v>1256</v>
      </c>
      <c r="B1405">
        <v>1254.8889999999999</v>
      </c>
      <c r="C1405">
        <v>616070.39</v>
      </c>
      <c r="D1405">
        <v>3096749.2769999998</v>
      </c>
      <c r="E1405">
        <v>631.93449999999996</v>
      </c>
      <c r="F1405">
        <v>5.2</v>
      </c>
      <c r="G1405">
        <v>0</v>
      </c>
      <c r="H1405" t="s">
        <v>191</v>
      </c>
      <c r="I1405">
        <v>2E-3</v>
      </c>
      <c r="J1405">
        <f t="shared" si="692"/>
        <v>1</v>
      </c>
      <c r="K1405">
        <f t="shared" si="693"/>
        <v>51</v>
      </c>
      <c r="L1405" t="e">
        <f t="shared" ca="1" si="694"/>
        <v>#VALUE!</v>
      </c>
      <c r="M1405" t="e">
        <f t="shared" ca="1" si="667"/>
        <v>#VALUE!</v>
      </c>
      <c r="N1405" t="e">
        <f t="shared" ca="1" si="668"/>
        <v>#VALUE!</v>
      </c>
      <c r="O1405" t="e">
        <f t="shared" ca="1" si="669"/>
        <v>#VALUE!</v>
      </c>
      <c r="P1405" t="e">
        <f t="shared" ca="1" si="670"/>
        <v>#VALUE!</v>
      </c>
      <c r="Q1405" t="e">
        <f t="shared" ca="1" si="671"/>
        <v>#VALUE!</v>
      </c>
      <c r="R1405" t="e">
        <f t="shared" ca="1" si="672"/>
        <v>#VALUE!</v>
      </c>
      <c r="S1405" t="e">
        <f t="shared" ca="1" si="673"/>
        <v>#VALUE!</v>
      </c>
      <c r="T1405" t="e">
        <f t="shared" ca="1" si="674"/>
        <v>#VALUE!</v>
      </c>
      <c r="U1405" t="e">
        <f t="shared" ca="1" si="695"/>
        <v>#VALUE!</v>
      </c>
      <c r="V1405" t="e">
        <f t="shared" ca="1" si="696"/>
        <v>#VALUE!</v>
      </c>
      <c r="W1405" t="e">
        <f t="shared" ca="1" si="675"/>
        <v>#VALUE!</v>
      </c>
      <c r="X1405" t="e">
        <f t="shared" ca="1" si="676"/>
        <v>#VALUE!</v>
      </c>
      <c r="Y1405" t="e">
        <f t="shared" ca="1" si="677"/>
        <v>#VALUE!</v>
      </c>
      <c r="Z1405" t="e">
        <f t="shared" ca="1" si="678"/>
        <v>#VALUE!</v>
      </c>
      <c r="AA1405" t="e">
        <f t="shared" ca="1" si="679"/>
        <v>#VALUE!</v>
      </c>
      <c r="AB1405" t="e">
        <f t="shared" ca="1" si="680"/>
        <v>#VALUE!</v>
      </c>
      <c r="AC1405" t="e">
        <f t="shared" ca="1" si="681"/>
        <v>#VALUE!</v>
      </c>
      <c r="AD1405" t="e">
        <f t="shared" ca="1" si="682"/>
        <v>#VALUE!</v>
      </c>
      <c r="AE1405" t="e">
        <f t="shared" ca="1" si="683"/>
        <v>#VALUE!</v>
      </c>
      <c r="AF1405" t="e">
        <f t="shared" ca="1" si="684"/>
        <v>#VALUE!</v>
      </c>
      <c r="AG1405" t="e">
        <f t="shared" ca="1" si="685"/>
        <v>#VALUE!</v>
      </c>
      <c r="AH1405" t="e">
        <f ca="1">IF(V32="Supercritical",L1405,IF(V32="Subcritical",W1405,IF(AND(V1405=1,AG1405=1),IF(T1405&gt;=AE1405,L1405,W1405),IF(V1405=1,L1405,IF(AG1405=1,W1405,MAX($D$16,POWER((ABS(K1405)^2)/($I$5*MAX(F1405,0.1)^2),1/3)))))))</f>
        <v>#VALUE!</v>
      </c>
      <c r="AI1405" t="e">
        <f t="shared" ca="1" si="686"/>
        <v>#VALUE!</v>
      </c>
      <c r="AJ1405" t="e">
        <f t="shared" ca="1" si="687"/>
        <v>#VALUE!</v>
      </c>
      <c r="AM1405">
        <v>0</v>
      </c>
      <c r="AN1405">
        <v>0</v>
      </c>
      <c r="AO1405">
        <f t="shared" si="688"/>
        <v>0</v>
      </c>
      <c r="AP1405">
        <f t="shared" si="697"/>
        <v>0</v>
      </c>
      <c r="AQ1405" t="e">
        <f t="shared" ca="1" si="689"/>
        <v>#VALUE!</v>
      </c>
      <c r="AR1405" t="e">
        <f t="shared" ca="1" si="690"/>
        <v>#VALUE!</v>
      </c>
      <c r="AS1405" t="e">
        <f t="shared" ca="1" si="691"/>
        <v>#VALUE!</v>
      </c>
    </row>
    <row r="1406" spans="1:45" x14ac:dyDescent="0.35">
      <c r="A1406">
        <v>1257</v>
      </c>
      <c r="B1406">
        <v>1255.8900000000001</v>
      </c>
      <c r="C1406">
        <v>616070.348</v>
      </c>
      <c r="D1406">
        <v>3096748.2769999998</v>
      </c>
      <c r="E1406">
        <v>631.93399999999997</v>
      </c>
      <c r="F1406">
        <v>5.2</v>
      </c>
      <c r="G1406">
        <v>0</v>
      </c>
      <c r="H1406" t="s">
        <v>191</v>
      </c>
      <c r="I1406">
        <v>0.06</v>
      </c>
      <c r="J1406">
        <f t="shared" si="692"/>
        <v>1.0010000000002037</v>
      </c>
      <c r="K1406">
        <f t="shared" si="693"/>
        <v>51</v>
      </c>
      <c r="L1406" t="e">
        <f t="shared" ca="1" si="694"/>
        <v>#VALUE!</v>
      </c>
      <c r="M1406" t="e">
        <f t="shared" ca="1" si="667"/>
        <v>#VALUE!</v>
      </c>
      <c r="N1406" t="e">
        <f t="shared" ca="1" si="668"/>
        <v>#VALUE!</v>
      </c>
      <c r="O1406" t="e">
        <f t="shared" ca="1" si="669"/>
        <v>#VALUE!</v>
      </c>
      <c r="P1406" t="e">
        <f t="shared" ca="1" si="670"/>
        <v>#VALUE!</v>
      </c>
      <c r="Q1406" t="e">
        <f t="shared" ca="1" si="671"/>
        <v>#VALUE!</v>
      </c>
      <c r="R1406" t="e">
        <f t="shared" ca="1" si="672"/>
        <v>#VALUE!</v>
      </c>
      <c r="S1406" t="e">
        <f t="shared" ca="1" si="673"/>
        <v>#VALUE!</v>
      </c>
      <c r="T1406" t="e">
        <f t="shared" ca="1" si="674"/>
        <v>#VALUE!</v>
      </c>
      <c r="U1406" t="e">
        <f t="shared" ca="1" si="695"/>
        <v>#VALUE!</v>
      </c>
      <c r="V1406" t="e">
        <f t="shared" ca="1" si="696"/>
        <v>#VALUE!</v>
      </c>
      <c r="W1406" t="e">
        <f t="shared" ca="1" si="675"/>
        <v>#VALUE!</v>
      </c>
      <c r="X1406" t="e">
        <f t="shared" ca="1" si="676"/>
        <v>#VALUE!</v>
      </c>
      <c r="Y1406" t="e">
        <f t="shared" ca="1" si="677"/>
        <v>#VALUE!</v>
      </c>
      <c r="Z1406" t="e">
        <f t="shared" ca="1" si="678"/>
        <v>#VALUE!</v>
      </c>
      <c r="AA1406" t="e">
        <f t="shared" ca="1" si="679"/>
        <v>#VALUE!</v>
      </c>
      <c r="AB1406" t="e">
        <f t="shared" ca="1" si="680"/>
        <v>#VALUE!</v>
      </c>
      <c r="AC1406" t="e">
        <f t="shared" ca="1" si="681"/>
        <v>#VALUE!</v>
      </c>
      <c r="AD1406" t="e">
        <f t="shared" ca="1" si="682"/>
        <v>#VALUE!</v>
      </c>
      <c r="AE1406" t="e">
        <f t="shared" ca="1" si="683"/>
        <v>#VALUE!</v>
      </c>
      <c r="AF1406" t="e">
        <f t="shared" ca="1" si="684"/>
        <v>#VALUE!</v>
      </c>
      <c r="AG1406" t="e">
        <f t="shared" ca="1" si="685"/>
        <v>#VALUE!</v>
      </c>
      <c r="AH1406" t="e">
        <f ca="1">IF(V32="Supercritical",L1406,IF(V32="Subcritical",W1406,IF(AND(V1406=1,AG1406=1),IF(T1406&gt;=AE1406,L1406,W1406),IF(V1406=1,L1406,IF(AG1406=1,W1406,MAX($D$16,POWER((ABS(K1406)^2)/($I$5*MAX(F1406,0.1)^2),1/3)))))))</f>
        <v>#VALUE!</v>
      </c>
      <c r="AI1406" t="e">
        <f t="shared" ca="1" si="686"/>
        <v>#VALUE!</v>
      </c>
      <c r="AJ1406" t="e">
        <f t="shared" ca="1" si="687"/>
        <v>#VALUE!</v>
      </c>
      <c r="AM1406">
        <v>0</v>
      </c>
      <c r="AN1406">
        <v>0</v>
      </c>
      <c r="AO1406">
        <f t="shared" si="688"/>
        <v>0</v>
      </c>
      <c r="AP1406">
        <f t="shared" si="697"/>
        <v>0</v>
      </c>
      <c r="AQ1406" t="e">
        <f t="shared" ca="1" si="689"/>
        <v>#VALUE!</v>
      </c>
      <c r="AR1406" t="e">
        <f t="shared" ca="1" si="690"/>
        <v>#VALUE!</v>
      </c>
      <c r="AS1406" t="e">
        <f t="shared" ca="1" si="691"/>
        <v>#VALUE!</v>
      </c>
    </row>
    <row r="1407" spans="1:45" x14ac:dyDescent="0.35">
      <c r="A1407">
        <v>1258</v>
      </c>
      <c r="B1407">
        <v>1256.8900000000001</v>
      </c>
      <c r="C1407">
        <v>616070.30500000005</v>
      </c>
      <c r="D1407">
        <v>3096747.2779999999</v>
      </c>
      <c r="E1407">
        <v>631.93349999999998</v>
      </c>
      <c r="F1407">
        <v>5.2</v>
      </c>
      <c r="G1407">
        <v>0</v>
      </c>
      <c r="H1407" t="s">
        <v>191</v>
      </c>
      <c r="I1407">
        <v>5.7000000000000002E-2</v>
      </c>
      <c r="J1407">
        <f t="shared" si="692"/>
        <v>1</v>
      </c>
      <c r="K1407">
        <f t="shared" si="693"/>
        <v>51</v>
      </c>
      <c r="L1407" t="e">
        <f t="shared" ca="1" si="694"/>
        <v>#VALUE!</v>
      </c>
      <c r="M1407" t="e">
        <f t="shared" ca="1" si="667"/>
        <v>#VALUE!</v>
      </c>
      <c r="N1407" t="e">
        <f t="shared" ca="1" si="668"/>
        <v>#VALUE!</v>
      </c>
      <c r="O1407" t="e">
        <f t="shared" ca="1" si="669"/>
        <v>#VALUE!</v>
      </c>
      <c r="P1407" t="e">
        <f t="shared" ca="1" si="670"/>
        <v>#VALUE!</v>
      </c>
      <c r="Q1407" t="e">
        <f t="shared" ca="1" si="671"/>
        <v>#VALUE!</v>
      </c>
      <c r="R1407" t="e">
        <f t="shared" ca="1" si="672"/>
        <v>#VALUE!</v>
      </c>
      <c r="S1407" t="e">
        <f t="shared" ca="1" si="673"/>
        <v>#VALUE!</v>
      </c>
      <c r="T1407" t="e">
        <f t="shared" ca="1" si="674"/>
        <v>#VALUE!</v>
      </c>
      <c r="U1407" t="e">
        <f t="shared" ca="1" si="695"/>
        <v>#VALUE!</v>
      </c>
      <c r="V1407" t="e">
        <f t="shared" ca="1" si="696"/>
        <v>#VALUE!</v>
      </c>
      <c r="W1407" t="e">
        <f t="shared" ca="1" si="675"/>
        <v>#VALUE!</v>
      </c>
      <c r="X1407" t="e">
        <f t="shared" ca="1" si="676"/>
        <v>#VALUE!</v>
      </c>
      <c r="Y1407" t="e">
        <f t="shared" ca="1" si="677"/>
        <v>#VALUE!</v>
      </c>
      <c r="Z1407" t="e">
        <f t="shared" ca="1" si="678"/>
        <v>#VALUE!</v>
      </c>
      <c r="AA1407" t="e">
        <f t="shared" ca="1" si="679"/>
        <v>#VALUE!</v>
      </c>
      <c r="AB1407" t="e">
        <f t="shared" ca="1" si="680"/>
        <v>#VALUE!</v>
      </c>
      <c r="AC1407" t="e">
        <f t="shared" ca="1" si="681"/>
        <v>#VALUE!</v>
      </c>
      <c r="AD1407" t="e">
        <f t="shared" ca="1" si="682"/>
        <v>#VALUE!</v>
      </c>
      <c r="AE1407" t="e">
        <f t="shared" ca="1" si="683"/>
        <v>#VALUE!</v>
      </c>
      <c r="AF1407" t="e">
        <f t="shared" ca="1" si="684"/>
        <v>#VALUE!</v>
      </c>
      <c r="AG1407" t="e">
        <f t="shared" ca="1" si="685"/>
        <v>#VALUE!</v>
      </c>
      <c r="AH1407" t="e">
        <f ca="1">IF(V32="Supercritical",L1407,IF(V32="Subcritical",W1407,IF(AND(V1407=1,AG1407=1),IF(T1407&gt;=AE1407,L1407,W1407),IF(V1407=1,L1407,IF(AG1407=1,W1407,MAX($D$16,POWER((ABS(K1407)^2)/($I$5*MAX(F1407,0.1)^2),1/3)))))))</f>
        <v>#VALUE!</v>
      </c>
      <c r="AI1407" t="e">
        <f t="shared" ca="1" si="686"/>
        <v>#VALUE!</v>
      </c>
      <c r="AJ1407" t="e">
        <f t="shared" ca="1" si="687"/>
        <v>#VALUE!</v>
      </c>
      <c r="AM1407">
        <v>0</v>
      </c>
      <c r="AN1407">
        <v>0</v>
      </c>
      <c r="AO1407">
        <f t="shared" si="688"/>
        <v>0</v>
      </c>
      <c r="AP1407">
        <f t="shared" si="697"/>
        <v>0</v>
      </c>
      <c r="AQ1407" t="e">
        <f t="shared" ca="1" si="689"/>
        <v>#VALUE!</v>
      </c>
      <c r="AR1407" t="e">
        <f t="shared" ca="1" si="690"/>
        <v>#VALUE!</v>
      </c>
      <c r="AS1407" t="e">
        <f t="shared" ca="1" si="691"/>
        <v>#VALUE!</v>
      </c>
    </row>
    <row r="1408" spans="1:45" x14ac:dyDescent="0.35">
      <c r="A1408">
        <v>1259</v>
      </c>
      <c r="B1408">
        <v>1257.8900000000001</v>
      </c>
      <c r="C1408">
        <v>616070.26300000004</v>
      </c>
      <c r="D1408">
        <v>3096746.2790000001</v>
      </c>
      <c r="E1408">
        <v>631.93299999999999</v>
      </c>
      <c r="F1408">
        <v>5.2</v>
      </c>
      <c r="G1408">
        <v>0</v>
      </c>
      <c r="H1408" t="s">
        <v>191</v>
      </c>
      <c r="I1408">
        <v>0</v>
      </c>
      <c r="J1408">
        <f t="shared" si="692"/>
        <v>1</v>
      </c>
      <c r="K1408">
        <f t="shared" si="693"/>
        <v>51</v>
      </c>
      <c r="L1408" t="e">
        <f t="shared" ca="1" si="694"/>
        <v>#VALUE!</v>
      </c>
      <c r="M1408" t="e">
        <f t="shared" ca="1" si="667"/>
        <v>#VALUE!</v>
      </c>
      <c r="N1408" t="e">
        <f t="shared" ca="1" si="668"/>
        <v>#VALUE!</v>
      </c>
      <c r="O1408" t="e">
        <f t="shared" ca="1" si="669"/>
        <v>#VALUE!</v>
      </c>
      <c r="P1408" t="e">
        <f t="shared" ca="1" si="670"/>
        <v>#VALUE!</v>
      </c>
      <c r="Q1408" t="e">
        <f t="shared" ca="1" si="671"/>
        <v>#VALUE!</v>
      </c>
      <c r="R1408" t="e">
        <f t="shared" ca="1" si="672"/>
        <v>#VALUE!</v>
      </c>
      <c r="S1408" t="e">
        <f t="shared" ca="1" si="673"/>
        <v>#VALUE!</v>
      </c>
      <c r="T1408" t="e">
        <f t="shared" ca="1" si="674"/>
        <v>#VALUE!</v>
      </c>
      <c r="U1408" t="e">
        <f t="shared" ca="1" si="695"/>
        <v>#VALUE!</v>
      </c>
      <c r="V1408" t="e">
        <f t="shared" ca="1" si="696"/>
        <v>#VALUE!</v>
      </c>
      <c r="W1408" t="e">
        <f t="shared" ca="1" si="675"/>
        <v>#VALUE!</v>
      </c>
      <c r="X1408" t="e">
        <f t="shared" ca="1" si="676"/>
        <v>#VALUE!</v>
      </c>
      <c r="Y1408" t="e">
        <f t="shared" ca="1" si="677"/>
        <v>#VALUE!</v>
      </c>
      <c r="Z1408" t="e">
        <f t="shared" ca="1" si="678"/>
        <v>#VALUE!</v>
      </c>
      <c r="AA1408" t="e">
        <f t="shared" ca="1" si="679"/>
        <v>#VALUE!</v>
      </c>
      <c r="AB1408" t="e">
        <f t="shared" ca="1" si="680"/>
        <v>#VALUE!</v>
      </c>
      <c r="AC1408" t="e">
        <f t="shared" ca="1" si="681"/>
        <v>#VALUE!</v>
      </c>
      <c r="AD1408" t="e">
        <f t="shared" ca="1" si="682"/>
        <v>#VALUE!</v>
      </c>
      <c r="AE1408" t="e">
        <f t="shared" ca="1" si="683"/>
        <v>#VALUE!</v>
      </c>
      <c r="AF1408" t="e">
        <f t="shared" ca="1" si="684"/>
        <v>#VALUE!</v>
      </c>
      <c r="AG1408" t="e">
        <f t="shared" ca="1" si="685"/>
        <v>#VALUE!</v>
      </c>
      <c r="AH1408" t="e">
        <f ca="1">IF(V32="Supercritical",L1408,IF(V32="Subcritical",W1408,IF(AND(V1408=1,AG1408=1),IF(T1408&gt;=AE1408,L1408,W1408),IF(V1408=1,L1408,IF(AG1408=1,W1408,MAX($D$16,POWER((ABS(K1408)^2)/($I$5*MAX(F1408,0.1)^2),1/3)))))))</f>
        <v>#VALUE!</v>
      </c>
      <c r="AI1408" t="e">
        <f t="shared" ca="1" si="686"/>
        <v>#VALUE!</v>
      </c>
      <c r="AJ1408" t="e">
        <f t="shared" ca="1" si="687"/>
        <v>#VALUE!</v>
      </c>
      <c r="AM1408">
        <v>0</v>
      </c>
      <c r="AN1408">
        <v>0</v>
      </c>
      <c r="AO1408">
        <f t="shared" si="688"/>
        <v>0</v>
      </c>
      <c r="AP1408">
        <f t="shared" si="697"/>
        <v>0</v>
      </c>
      <c r="AQ1408" t="e">
        <f t="shared" ca="1" si="689"/>
        <v>#VALUE!</v>
      </c>
      <c r="AR1408" t="e">
        <f t="shared" ca="1" si="690"/>
        <v>#VALUE!</v>
      </c>
      <c r="AS1408" t="e">
        <f t="shared" ca="1" si="691"/>
        <v>#VALUE!</v>
      </c>
    </row>
    <row r="1409" spans="1:45" x14ac:dyDescent="0.35">
      <c r="A1409">
        <v>1260</v>
      </c>
      <c r="B1409">
        <v>1258.8889999999999</v>
      </c>
      <c r="C1409">
        <v>616070.22100000002</v>
      </c>
      <c r="D1409">
        <v>3096745.28</v>
      </c>
      <c r="E1409">
        <v>631.9325</v>
      </c>
      <c r="F1409">
        <v>5.2</v>
      </c>
      <c r="G1409">
        <v>0</v>
      </c>
      <c r="H1409" t="s">
        <v>191</v>
      </c>
      <c r="I1409">
        <v>0</v>
      </c>
      <c r="J1409">
        <f t="shared" si="692"/>
        <v>0.99899999999979627</v>
      </c>
      <c r="K1409">
        <f t="shared" si="693"/>
        <v>51</v>
      </c>
      <c r="L1409" t="e">
        <f t="shared" ca="1" si="694"/>
        <v>#VALUE!</v>
      </c>
      <c r="M1409" t="e">
        <f t="shared" ca="1" si="667"/>
        <v>#VALUE!</v>
      </c>
      <c r="N1409" t="e">
        <f t="shared" ca="1" si="668"/>
        <v>#VALUE!</v>
      </c>
      <c r="O1409" t="e">
        <f t="shared" ca="1" si="669"/>
        <v>#VALUE!</v>
      </c>
      <c r="P1409" t="e">
        <f t="shared" ca="1" si="670"/>
        <v>#VALUE!</v>
      </c>
      <c r="Q1409" t="e">
        <f t="shared" ca="1" si="671"/>
        <v>#VALUE!</v>
      </c>
      <c r="R1409" t="e">
        <f t="shared" ca="1" si="672"/>
        <v>#VALUE!</v>
      </c>
      <c r="S1409" t="e">
        <f t="shared" ca="1" si="673"/>
        <v>#VALUE!</v>
      </c>
      <c r="T1409" t="e">
        <f t="shared" ca="1" si="674"/>
        <v>#VALUE!</v>
      </c>
      <c r="U1409" t="e">
        <f t="shared" ca="1" si="695"/>
        <v>#VALUE!</v>
      </c>
      <c r="V1409" t="e">
        <f t="shared" ca="1" si="696"/>
        <v>#VALUE!</v>
      </c>
      <c r="W1409" t="e">
        <f t="shared" ca="1" si="675"/>
        <v>#VALUE!</v>
      </c>
      <c r="X1409" t="e">
        <f t="shared" ca="1" si="676"/>
        <v>#VALUE!</v>
      </c>
      <c r="Y1409" t="e">
        <f t="shared" ca="1" si="677"/>
        <v>#VALUE!</v>
      </c>
      <c r="Z1409" t="e">
        <f t="shared" ca="1" si="678"/>
        <v>#VALUE!</v>
      </c>
      <c r="AA1409" t="e">
        <f t="shared" ca="1" si="679"/>
        <v>#VALUE!</v>
      </c>
      <c r="AB1409" t="e">
        <f t="shared" ca="1" si="680"/>
        <v>#VALUE!</v>
      </c>
      <c r="AC1409" t="e">
        <f t="shared" ca="1" si="681"/>
        <v>#VALUE!</v>
      </c>
      <c r="AD1409" t="e">
        <f t="shared" ca="1" si="682"/>
        <v>#VALUE!</v>
      </c>
      <c r="AE1409" t="e">
        <f t="shared" ca="1" si="683"/>
        <v>#VALUE!</v>
      </c>
      <c r="AF1409" t="e">
        <f t="shared" ca="1" si="684"/>
        <v>#VALUE!</v>
      </c>
      <c r="AG1409" t="e">
        <f t="shared" ca="1" si="685"/>
        <v>#VALUE!</v>
      </c>
      <c r="AH1409" t="e">
        <f ca="1">IF(V32="Supercritical",L1409,IF(V32="Subcritical",W1409,IF(AND(V1409=1,AG1409=1),IF(T1409&gt;=AE1409,L1409,W1409),IF(V1409=1,L1409,IF(AG1409=1,W1409,MAX($D$16,POWER((ABS(K1409)^2)/($I$5*MAX(F1409,0.1)^2),1/3)))))))</f>
        <v>#VALUE!</v>
      </c>
      <c r="AI1409" t="e">
        <f t="shared" ca="1" si="686"/>
        <v>#VALUE!</v>
      </c>
      <c r="AJ1409" t="e">
        <f t="shared" ca="1" si="687"/>
        <v>#VALUE!</v>
      </c>
      <c r="AM1409">
        <v>0</v>
      </c>
      <c r="AN1409">
        <v>0</v>
      </c>
      <c r="AO1409">
        <f t="shared" si="688"/>
        <v>0</v>
      </c>
      <c r="AP1409">
        <f t="shared" si="697"/>
        <v>0</v>
      </c>
      <c r="AQ1409" t="e">
        <f t="shared" ca="1" si="689"/>
        <v>#VALUE!</v>
      </c>
      <c r="AR1409" t="e">
        <f t="shared" ca="1" si="690"/>
        <v>#VALUE!</v>
      </c>
      <c r="AS1409" t="e">
        <f t="shared" ca="1" si="691"/>
        <v>#VALUE!</v>
      </c>
    </row>
    <row r="1410" spans="1:45" x14ac:dyDescent="0.35">
      <c r="A1410">
        <v>1261</v>
      </c>
      <c r="B1410">
        <v>1259.8889999999999</v>
      </c>
      <c r="C1410">
        <v>616070.179</v>
      </c>
      <c r="D1410">
        <v>3096744.281</v>
      </c>
      <c r="E1410">
        <v>631.93200000000002</v>
      </c>
      <c r="F1410">
        <v>5.2</v>
      </c>
      <c r="G1410">
        <v>0</v>
      </c>
      <c r="H1410" t="s">
        <v>191</v>
      </c>
      <c r="I1410">
        <v>5.7000000000000002E-2</v>
      </c>
      <c r="J1410">
        <f t="shared" si="692"/>
        <v>1</v>
      </c>
      <c r="K1410">
        <f t="shared" si="693"/>
        <v>51</v>
      </c>
      <c r="L1410" t="e">
        <f t="shared" ca="1" si="694"/>
        <v>#VALUE!</v>
      </c>
      <c r="M1410" t="e">
        <f t="shared" ca="1" si="667"/>
        <v>#VALUE!</v>
      </c>
      <c r="N1410" t="e">
        <f t="shared" ca="1" si="668"/>
        <v>#VALUE!</v>
      </c>
      <c r="O1410" t="e">
        <f t="shared" ca="1" si="669"/>
        <v>#VALUE!</v>
      </c>
      <c r="P1410" t="e">
        <f t="shared" ca="1" si="670"/>
        <v>#VALUE!</v>
      </c>
      <c r="Q1410" t="e">
        <f t="shared" ca="1" si="671"/>
        <v>#VALUE!</v>
      </c>
      <c r="R1410" t="e">
        <f t="shared" ca="1" si="672"/>
        <v>#VALUE!</v>
      </c>
      <c r="S1410" t="e">
        <f t="shared" ca="1" si="673"/>
        <v>#VALUE!</v>
      </c>
      <c r="T1410" t="e">
        <f t="shared" ca="1" si="674"/>
        <v>#VALUE!</v>
      </c>
      <c r="U1410" t="e">
        <f t="shared" ca="1" si="695"/>
        <v>#VALUE!</v>
      </c>
      <c r="V1410" t="e">
        <f t="shared" ca="1" si="696"/>
        <v>#VALUE!</v>
      </c>
      <c r="W1410" t="e">
        <f t="shared" ca="1" si="675"/>
        <v>#VALUE!</v>
      </c>
      <c r="X1410" t="e">
        <f t="shared" ca="1" si="676"/>
        <v>#VALUE!</v>
      </c>
      <c r="Y1410" t="e">
        <f t="shared" ca="1" si="677"/>
        <v>#VALUE!</v>
      </c>
      <c r="Z1410" t="e">
        <f t="shared" ca="1" si="678"/>
        <v>#VALUE!</v>
      </c>
      <c r="AA1410" t="e">
        <f t="shared" ca="1" si="679"/>
        <v>#VALUE!</v>
      </c>
      <c r="AB1410" t="e">
        <f t="shared" ca="1" si="680"/>
        <v>#VALUE!</v>
      </c>
      <c r="AC1410" t="e">
        <f t="shared" ca="1" si="681"/>
        <v>#VALUE!</v>
      </c>
      <c r="AD1410" t="e">
        <f t="shared" ca="1" si="682"/>
        <v>#VALUE!</v>
      </c>
      <c r="AE1410" t="e">
        <f t="shared" ca="1" si="683"/>
        <v>#VALUE!</v>
      </c>
      <c r="AF1410" t="e">
        <f t="shared" ca="1" si="684"/>
        <v>#VALUE!</v>
      </c>
      <c r="AG1410" t="e">
        <f t="shared" ca="1" si="685"/>
        <v>#VALUE!</v>
      </c>
      <c r="AH1410" t="e">
        <f ca="1">IF(V32="Supercritical",L1410,IF(V32="Subcritical",W1410,IF(AND(V1410=1,AG1410=1),IF(T1410&gt;=AE1410,L1410,W1410),IF(V1410=1,L1410,IF(AG1410=1,W1410,MAX($D$16,POWER((ABS(K1410)^2)/($I$5*MAX(F1410,0.1)^2),1/3)))))))</f>
        <v>#VALUE!</v>
      </c>
      <c r="AI1410" t="e">
        <f t="shared" ca="1" si="686"/>
        <v>#VALUE!</v>
      </c>
      <c r="AJ1410" t="e">
        <f t="shared" ca="1" si="687"/>
        <v>#VALUE!</v>
      </c>
      <c r="AM1410">
        <v>0</v>
      </c>
      <c r="AN1410">
        <v>0</v>
      </c>
      <c r="AO1410">
        <f t="shared" si="688"/>
        <v>0</v>
      </c>
      <c r="AP1410">
        <f t="shared" si="697"/>
        <v>0</v>
      </c>
      <c r="AQ1410" t="e">
        <f t="shared" ca="1" si="689"/>
        <v>#VALUE!</v>
      </c>
      <c r="AR1410" t="e">
        <f t="shared" ca="1" si="690"/>
        <v>#VALUE!</v>
      </c>
      <c r="AS1410" t="e">
        <f t="shared" ca="1" si="691"/>
        <v>#VALUE!</v>
      </c>
    </row>
    <row r="1411" spans="1:45" x14ac:dyDescent="0.35">
      <c r="A1411">
        <v>1262</v>
      </c>
      <c r="B1411">
        <v>1260.8889999999999</v>
      </c>
      <c r="C1411">
        <v>616070.13600000006</v>
      </c>
      <c r="D1411">
        <v>3096743.2820000001</v>
      </c>
      <c r="E1411">
        <v>631.93150000000003</v>
      </c>
      <c r="F1411">
        <v>5.2</v>
      </c>
      <c r="G1411">
        <v>0</v>
      </c>
      <c r="H1411" t="s">
        <v>191</v>
      </c>
      <c r="I1411">
        <v>5.7000000000000002E-2</v>
      </c>
      <c r="J1411">
        <f t="shared" si="692"/>
        <v>1</v>
      </c>
      <c r="K1411">
        <f t="shared" si="693"/>
        <v>51</v>
      </c>
      <c r="L1411" t="e">
        <f t="shared" ca="1" si="694"/>
        <v>#VALUE!</v>
      </c>
      <c r="M1411" t="e">
        <f t="shared" ca="1" si="667"/>
        <v>#VALUE!</v>
      </c>
      <c r="N1411" t="e">
        <f t="shared" ca="1" si="668"/>
        <v>#VALUE!</v>
      </c>
      <c r="O1411" t="e">
        <f t="shared" ca="1" si="669"/>
        <v>#VALUE!</v>
      </c>
      <c r="P1411" t="e">
        <f t="shared" ca="1" si="670"/>
        <v>#VALUE!</v>
      </c>
      <c r="Q1411" t="e">
        <f t="shared" ca="1" si="671"/>
        <v>#VALUE!</v>
      </c>
      <c r="R1411" t="e">
        <f t="shared" ca="1" si="672"/>
        <v>#VALUE!</v>
      </c>
      <c r="S1411" t="e">
        <f t="shared" ca="1" si="673"/>
        <v>#VALUE!</v>
      </c>
      <c r="T1411" t="e">
        <f t="shared" ca="1" si="674"/>
        <v>#VALUE!</v>
      </c>
      <c r="U1411" t="e">
        <f t="shared" ca="1" si="695"/>
        <v>#VALUE!</v>
      </c>
      <c r="V1411" t="e">
        <f t="shared" ca="1" si="696"/>
        <v>#VALUE!</v>
      </c>
      <c r="W1411" t="e">
        <f t="shared" ca="1" si="675"/>
        <v>#VALUE!</v>
      </c>
      <c r="X1411" t="e">
        <f t="shared" ca="1" si="676"/>
        <v>#VALUE!</v>
      </c>
      <c r="Y1411" t="e">
        <f t="shared" ca="1" si="677"/>
        <v>#VALUE!</v>
      </c>
      <c r="Z1411" t="e">
        <f t="shared" ca="1" si="678"/>
        <v>#VALUE!</v>
      </c>
      <c r="AA1411" t="e">
        <f t="shared" ca="1" si="679"/>
        <v>#VALUE!</v>
      </c>
      <c r="AB1411" t="e">
        <f t="shared" ca="1" si="680"/>
        <v>#VALUE!</v>
      </c>
      <c r="AC1411" t="e">
        <f t="shared" ca="1" si="681"/>
        <v>#VALUE!</v>
      </c>
      <c r="AD1411" t="e">
        <f t="shared" ca="1" si="682"/>
        <v>#VALUE!</v>
      </c>
      <c r="AE1411" t="e">
        <f t="shared" ca="1" si="683"/>
        <v>#VALUE!</v>
      </c>
      <c r="AF1411" t="e">
        <f t="shared" ca="1" si="684"/>
        <v>#VALUE!</v>
      </c>
      <c r="AG1411" t="e">
        <f t="shared" ca="1" si="685"/>
        <v>#VALUE!</v>
      </c>
      <c r="AH1411" t="e">
        <f ca="1">IF(V32="Supercritical",L1411,IF(V32="Subcritical",W1411,IF(AND(V1411=1,AG1411=1),IF(T1411&gt;=AE1411,L1411,W1411),IF(V1411=1,L1411,IF(AG1411=1,W1411,MAX($D$16,POWER((ABS(K1411)^2)/($I$5*MAX(F1411,0.1)^2),1/3)))))))</f>
        <v>#VALUE!</v>
      </c>
      <c r="AI1411" t="e">
        <f t="shared" ca="1" si="686"/>
        <v>#VALUE!</v>
      </c>
      <c r="AJ1411" t="e">
        <f t="shared" ca="1" si="687"/>
        <v>#VALUE!</v>
      </c>
      <c r="AM1411">
        <v>0</v>
      </c>
      <c r="AN1411">
        <v>0</v>
      </c>
      <c r="AO1411">
        <f t="shared" si="688"/>
        <v>0</v>
      </c>
      <c r="AP1411">
        <f t="shared" si="697"/>
        <v>0</v>
      </c>
      <c r="AQ1411" t="e">
        <f t="shared" ca="1" si="689"/>
        <v>#VALUE!</v>
      </c>
      <c r="AR1411" t="e">
        <f t="shared" ca="1" si="690"/>
        <v>#VALUE!</v>
      </c>
      <c r="AS1411" t="e">
        <f t="shared" ca="1" si="691"/>
        <v>#VALUE!</v>
      </c>
    </row>
    <row r="1412" spans="1:45" x14ac:dyDescent="0.35">
      <c r="A1412">
        <v>1263</v>
      </c>
      <c r="B1412">
        <v>1261.8889999999999</v>
      </c>
      <c r="C1412">
        <v>616070.09400000004</v>
      </c>
      <c r="D1412">
        <v>3096742.2829999998</v>
      </c>
      <c r="E1412">
        <v>631.93100000000004</v>
      </c>
      <c r="F1412">
        <v>5.2</v>
      </c>
      <c r="G1412">
        <v>0</v>
      </c>
      <c r="H1412" t="s">
        <v>191</v>
      </c>
      <c r="I1412">
        <v>0</v>
      </c>
      <c r="J1412">
        <f t="shared" si="692"/>
        <v>1</v>
      </c>
      <c r="K1412">
        <f t="shared" si="693"/>
        <v>51</v>
      </c>
      <c r="L1412" t="e">
        <f t="shared" ca="1" si="694"/>
        <v>#VALUE!</v>
      </c>
      <c r="M1412" t="e">
        <f t="shared" ca="1" si="667"/>
        <v>#VALUE!</v>
      </c>
      <c r="N1412" t="e">
        <f t="shared" ca="1" si="668"/>
        <v>#VALUE!</v>
      </c>
      <c r="O1412" t="e">
        <f t="shared" ca="1" si="669"/>
        <v>#VALUE!</v>
      </c>
      <c r="P1412" t="e">
        <f t="shared" ca="1" si="670"/>
        <v>#VALUE!</v>
      </c>
      <c r="Q1412" t="e">
        <f t="shared" ca="1" si="671"/>
        <v>#VALUE!</v>
      </c>
      <c r="R1412" t="e">
        <f t="shared" ca="1" si="672"/>
        <v>#VALUE!</v>
      </c>
      <c r="S1412" t="e">
        <f t="shared" ca="1" si="673"/>
        <v>#VALUE!</v>
      </c>
      <c r="T1412" t="e">
        <f t="shared" ca="1" si="674"/>
        <v>#VALUE!</v>
      </c>
      <c r="U1412" t="e">
        <f t="shared" ca="1" si="695"/>
        <v>#VALUE!</v>
      </c>
      <c r="V1412" t="e">
        <f t="shared" ca="1" si="696"/>
        <v>#VALUE!</v>
      </c>
      <c r="W1412" t="e">
        <f t="shared" ca="1" si="675"/>
        <v>#VALUE!</v>
      </c>
      <c r="X1412" t="e">
        <f t="shared" ca="1" si="676"/>
        <v>#VALUE!</v>
      </c>
      <c r="Y1412" t="e">
        <f t="shared" ca="1" si="677"/>
        <v>#VALUE!</v>
      </c>
      <c r="Z1412" t="e">
        <f t="shared" ca="1" si="678"/>
        <v>#VALUE!</v>
      </c>
      <c r="AA1412" t="e">
        <f t="shared" ca="1" si="679"/>
        <v>#VALUE!</v>
      </c>
      <c r="AB1412" t="e">
        <f t="shared" ca="1" si="680"/>
        <v>#VALUE!</v>
      </c>
      <c r="AC1412" t="e">
        <f t="shared" ca="1" si="681"/>
        <v>#VALUE!</v>
      </c>
      <c r="AD1412" t="e">
        <f t="shared" ca="1" si="682"/>
        <v>#VALUE!</v>
      </c>
      <c r="AE1412" t="e">
        <f t="shared" ca="1" si="683"/>
        <v>#VALUE!</v>
      </c>
      <c r="AF1412" t="e">
        <f t="shared" ca="1" si="684"/>
        <v>#VALUE!</v>
      </c>
      <c r="AG1412" t="e">
        <f t="shared" ca="1" si="685"/>
        <v>#VALUE!</v>
      </c>
      <c r="AH1412" t="e">
        <f ca="1">IF(V32="Supercritical",L1412,IF(V32="Subcritical",W1412,IF(AND(V1412=1,AG1412=1),IF(T1412&gt;=AE1412,L1412,W1412),IF(V1412=1,L1412,IF(AG1412=1,W1412,MAX($D$16,POWER((ABS(K1412)^2)/($I$5*MAX(F1412,0.1)^2),1/3)))))))</f>
        <v>#VALUE!</v>
      </c>
      <c r="AI1412" t="e">
        <f t="shared" ca="1" si="686"/>
        <v>#VALUE!</v>
      </c>
      <c r="AJ1412" t="e">
        <f t="shared" ca="1" si="687"/>
        <v>#VALUE!</v>
      </c>
      <c r="AM1412">
        <v>0</v>
      </c>
      <c r="AN1412">
        <v>0</v>
      </c>
      <c r="AO1412">
        <f t="shared" si="688"/>
        <v>0</v>
      </c>
      <c r="AP1412">
        <f t="shared" si="697"/>
        <v>0</v>
      </c>
      <c r="AQ1412" t="e">
        <f t="shared" ca="1" si="689"/>
        <v>#VALUE!</v>
      </c>
      <c r="AR1412" t="e">
        <f t="shared" ca="1" si="690"/>
        <v>#VALUE!</v>
      </c>
      <c r="AS1412" t="e">
        <f t="shared" ca="1" si="691"/>
        <v>#VALUE!</v>
      </c>
    </row>
    <row r="1413" spans="1:45" x14ac:dyDescent="0.35">
      <c r="A1413">
        <v>1264</v>
      </c>
      <c r="B1413">
        <v>1262.8889999999999</v>
      </c>
      <c r="C1413">
        <v>616070.05200000003</v>
      </c>
      <c r="D1413">
        <v>3096741.284</v>
      </c>
      <c r="E1413">
        <v>631.93050000000005</v>
      </c>
      <c r="F1413">
        <v>5.2</v>
      </c>
      <c r="G1413">
        <v>0</v>
      </c>
      <c r="H1413" t="s">
        <v>191</v>
      </c>
      <c r="I1413">
        <v>0</v>
      </c>
      <c r="J1413">
        <f t="shared" si="692"/>
        <v>1</v>
      </c>
      <c r="K1413">
        <f t="shared" si="693"/>
        <v>51</v>
      </c>
      <c r="L1413" t="e">
        <f t="shared" ca="1" si="694"/>
        <v>#VALUE!</v>
      </c>
      <c r="M1413" t="e">
        <f t="shared" ca="1" si="667"/>
        <v>#VALUE!</v>
      </c>
      <c r="N1413" t="e">
        <f t="shared" ca="1" si="668"/>
        <v>#VALUE!</v>
      </c>
      <c r="O1413" t="e">
        <f t="shared" ca="1" si="669"/>
        <v>#VALUE!</v>
      </c>
      <c r="P1413" t="e">
        <f t="shared" ca="1" si="670"/>
        <v>#VALUE!</v>
      </c>
      <c r="Q1413" t="e">
        <f t="shared" ca="1" si="671"/>
        <v>#VALUE!</v>
      </c>
      <c r="R1413" t="e">
        <f t="shared" ca="1" si="672"/>
        <v>#VALUE!</v>
      </c>
      <c r="S1413" t="e">
        <f t="shared" ca="1" si="673"/>
        <v>#VALUE!</v>
      </c>
      <c r="T1413" t="e">
        <f t="shared" ca="1" si="674"/>
        <v>#VALUE!</v>
      </c>
      <c r="U1413" t="e">
        <f t="shared" ca="1" si="695"/>
        <v>#VALUE!</v>
      </c>
      <c r="V1413" t="e">
        <f t="shared" ca="1" si="696"/>
        <v>#VALUE!</v>
      </c>
      <c r="W1413" t="e">
        <f t="shared" ca="1" si="675"/>
        <v>#VALUE!</v>
      </c>
      <c r="X1413" t="e">
        <f t="shared" ca="1" si="676"/>
        <v>#VALUE!</v>
      </c>
      <c r="Y1413" t="e">
        <f t="shared" ca="1" si="677"/>
        <v>#VALUE!</v>
      </c>
      <c r="Z1413" t="e">
        <f t="shared" ca="1" si="678"/>
        <v>#VALUE!</v>
      </c>
      <c r="AA1413" t="e">
        <f t="shared" ca="1" si="679"/>
        <v>#VALUE!</v>
      </c>
      <c r="AB1413" t="e">
        <f t="shared" ca="1" si="680"/>
        <v>#VALUE!</v>
      </c>
      <c r="AC1413" t="e">
        <f t="shared" ca="1" si="681"/>
        <v>#VALUE!</v>
      </c>
      <c r="AD1413" t="e">
        <f t="shared" ca="1" si="682"/>
        <v>#VALUE!</v>
      </c>
      <c r="AE1413" t="e">
        <f t="shared" ca="1" si="683"/>
        <v>#VALUE!</v>
      </c>
      <c r="AF1413" t="e">
        <f t="shared" ca="1" si="684"/>
        <v>#VALUE!</v>
      </c>
      <c r="AG1413" t="e">
        <f t="shared" ca="1" si="685"/>
        <v>#VALUE!</v>
      </c>
      <c r="AH1413" t="e">
        <f ca="1">IF(V32="Supercritical",L1413,IF(V32="Subcritical",W1413,IF(AND(V1413=1,AG1413=1),IF(T1413&gt;=AE1413,L1413,W1413),IF(V1413=1,L1413,IF(AG1413=1,W1413,MAX($D$16,POWER((ABS(K1413)^2)/($I$5*MAX(F1413,0.1)^2),1/3)))))))</f>
        <v>#VALUE!</v>
      </c>
      <c r="AI1413" t="e">
        <f t="shared" ca="1" si="686"/>
        <v>#VALUE!</v>
      </c>
      <c r="AJ1413" t="e">
        <f t="shared" ca="1" si="687"/>
        <v>#VALUE!</v>
      </c>
      <c r="AM1413">
        <v>0</v>
      </c>
      <c r="AN1413">
        <v>0</v>
      </c>
      <c r="AO1413">
        <f t="shared" si="688"/>
        <v>0</v>
      </c>
      <c r="AP1413">
        <f t="shared" si="697"/>
        <v>0</v>
      </c>
      <c r="AQ1413" t="e">
        <f t="shared" ca="1" si="689"/>
        <v>#VALUE!</v>
      </c>
      <c r="AR1413" t="e">
        <f t="shared" ca="1" si="690"/>
        <v>#VALUE!</v>
      </c>
      <c r="AS1413" t="e">
        <f t="shared" ca="1" si="691"/>
        <v>#VALUE!</v>
      </c>
    </row>
    <row r="1414" spans="1:45" x14ac:dyDescent="0.35">
      <c r="A1414">
        <v>1265</v>
      </c>
      <c r="B1414">
        <v>1263.8889999999999</v>
      </c>
      <c r="C1414">
        <v>616070.01</v>
      </c>
      <c r="D1414">
        <v>3096740.2850000001</v>
      </c>
      <c r="E1414">
        <v>631.92999999999995</v>
      </c>
      <c r="F1414">
        <v>5.2</v>
      </c>
      <c r="G1414">
        <v>0</v>
      </c>
      <c r="H1414" t="s">
        <v>191</v>
      </c>
      <c r="I1414">
        <v>5.5E-2</v>
      </c>
      <c r="J1414">
        <f t="shared" si="692"/>
        <v>1</v>
      </c>
      <c r="K1414">
        <f t="shared" si="693"/>
        <v>51</v>
      </c>
      <c r="L1414" t="e">
        <f t="shared" ca="1" si="694"/>
        <v>#VALUE!</v>
      </c>
      <c r="M1414" t="e">
        <f t="shared" ca="1" si="667"/>
        <v>#VALUE!</v>
      </c>
      <c r="N1414" t="e">
        <f t="shared" ca="1" si="668"/>
        <v>#VALUE!</v>
      </c>
      <c r="O1414" t="e">
        <f t="shared" ca="1" si="669"/>
        <v>#VALUE!</v>
      </c>
      <c r="P1414" t="e">
        <f t="shared" ca="1" si="670"/>
        <v>#VALUE!</v>
      </c>
      <c r="Q1414" t="e">
        <f t="shared" ca="1" si="671"/>
        <v>#VALUE!</v>
      </c>
      <c r="R1414" t="e">
        <f t="shared" ca="1" si="672"/>
        <v>#VALUE!</v>
      </c>
      <c r="S1414" t="e">
        <f t="shared" ca="1" si="673"/>
        <v>#VALUE!</v>
      </c>
      <c r="T1414" t="e">
        <f t="shared" ca="1" si="674"/>
        <v>#VALUE!</v>
      </c>
      <c r="U1414" t="e">
        <f t="shared" ca="1" si="695"/>
        <v>#VALUE!</v>
      </c>
      <c r="V1414" t="e">
        <f t="shared" ca="1" si="696"/>
        <v>#VALUE!</v>
      </c>
      <c r="W1414" t="e">
        <f t="shared" ca="1" si="675"/>
        <v>#VALUE!</v>
      </c>
      <c r="X1414" t="e">
        <f t="shared" ca="1" si="676"/>
        <v>#VALUE!</v>
      </c>
      <c r="Y1414" t="e">
        <f t="shared" ca="1" si="677"/>
        <v>#VALUE!</v>
      </c>
      <c r="Z1414" t="e">
        <f t="shared" ca="1" si="678"/>
        <v>#VALUE!</v>
      </c>
      <c r="AA1414" t="e">
        <f t="shared" ca="1" si="679"/>
        <v>#VALUE!</v>
      </c>
      <c r="AB1414" t="e">
        <f t="shared" ca="1" si="680"/>
        <v>#VALUE!</v>
      </c>
      <c r="AC1414" t="e">
        <f t="shared" ca="1" si="681"/>
        <v>#VALUE!</v>
      </c>
      <c r="AD1414" t="e">
        <f t="shared" ca="1" si="682"/>
        <v>#VALUE!</v>
      </c>
      <c r="AE1414" t="e">
        <f t="shared" ca="1" si="683"/>
        <v>#VALUE!</v>
      </c>
      <c r="AF1414" t="e">
        <f t="shared" ca="1" si="684"/>
        <v>#VALUE!</v>
      </c>
      <c r="AG1414" t="e">
        <f t="shared" ca="1" si="685"/>
        <v>#VALUE!</v>
      </c>
      <c r="AH1414" t="e">
        <f ca="1">IF(V32="Supercritical",L1414,IF(V32="Subcritical",W1414,IF(AND(V1414=1,AG1414=1),IF(T1414&gt;=AE1414,L1414,W1414),IF(V1414=1,L1414,IF(AG1414=1,W1414,MAX($D$16,POWER((ABS(K1414)^2)/($I$5*MAX(F1414,0.1)^2),1/3)))))))</f>
        <v>#VALUE!</v>
      </c>
      <c r="AI1414" t="e">
        <f t="shared" ca="1" si="686"/>
        <v>#VALUE!</v>
      </c>
      <c r="AJ1414" t="e">
        <f t="shared" ca="1" si="687"/>
        <v>#VALUE!</v>
      </c>
      <c r="AM1414">
        <v>0</v>
      </c>
      <c r="AN1414">
        <v>0</v>
      </c>
      <c r="AO1414">
        <f t="shared" si="688"/>
        <v>0</v>
      </c>
      <c r="AP1414">
        <f t="shared" si="697"/>
        <v>0</v>
      </c>
      <c r="AQ1414" t="e">
        <f t="shared" ca="1" si="689"/>
        <v>#VALUE!</v>
      </c>
      <c r="AR1414" t="e">
        <f t="shared" ca="1" si="690"/>
        <v>#VALUE!</v>
      </c>
      <c r="AS1414" t="e">
        <f t="shared" ca="1" si="691"/>
        <v>#VALUE!</v>
      </c>
    </row>
    <row r="1415" spans="1:45" x14ac:dyDescent="0.35">
      <c r="A1415">
        <v>1266</v>
      </c>
      <c r="B1415">
        <v>1264.8900000000001</v>
      </c>
      <c r="C1415">
        <v>616069.96699999995</v>
      </c>
      <c r="D1415">
        <v>3096739.2850000001</v>
      </c>
      <c r="E1415">
        <v>631.92949999999996</v>
      </c>
      <c r="F1415">
        <v>5.2</v>
      </c>
      <c r="G1415">
        <v>0</v>
      </c>
      <c r="H1415" t="s">
        <v>191</v>
      </c>
      <c r="I1415">
        <v>5.5E-2</v>
      </c>
      <c r="J1415">
        <f t="shared" si="692"/>
        <v>1.0010000000002037</v>
      </c>
      <c r="K1415">
        <f t="shared" si="693"/>
        <v>51</v>
      </c>
      <c r="L1415" t="e">
        <f t="shared" ca="1" si="694"/>
        <v>#VALUE!</v>
      </c>
      <c r="M1415" t="e">
        <f t="shared" ca="1" si="667"/>
        <v>#VALUE!</v>
      </c>
      <c r="N1415" t="e">
        <f t="shared" ca="1" si="668"/>
        <v>#VALUE!</v>
      </c>
      <c r="O1415" t="e">
        <f t="shared" ca="1" si="669"/>
        <v>#VALUE!</v>
      </c>
      <c r="P1415" t="e">
        <f t="shared" ca="1" si="670"/>
        <v>#VALUE!</v>
      </c>
      <c r="Q1415" t="e">
        <f t="shared" ca="1" si="671"/>
        <v>#VALUE!</v>
      </c>
      <c r="R1415" t="e">
        <f t="shared" ca="1" si="672"/>
        <v>#VALUE!</v>
      </c>
      <c r="S1415" t="e">
        <f t="shared" ca="1" si="673"/>
        <v>#VALUE!</v>
      </c>
      <c r="T1415" t="e">
        <f t="shared" ca="1" si="674"/>
        <v>#VALUE!</v>
      </c>
      <c r="U1415" t="e">
        <f t="shared" ca="1" si="695"/>
        <v>#VALUE!</v>
      </c>
      <c r="V1415" t="e">
        <f t="shared" ca="1" si="696"/>
        <v>#VALUE!</v>
      </c>
      <c r="W1415" t="e">
        <f t="shared" ca="1" si="675"/>
        <v>#VALUE!</v>
      </c>
      <c r="X1415" t="e">
        <f t="shared" ca="1" si="676"/>
        <v>#VALUE!</v>
      </c>
      <c r="Y1415" t="e">
        <f t="shared" ca="1" si="677"/>
        <v>#VALUE!</v>
      </c>
      <c r="Z1415" t="e">
        <f t="shared" ca="1" si="678"/>
        <v>#VALUE!</v>
      </c>
      <c r="AA1415" t="e">
        <f t="shared" ca="1" si="679"/>
        <v>#VALUE!</v>
      </c>
      <c r="AB1415" t="e">
        <f t="shared" ca="1" si="680"/>
        <v>#VALUE!</v>
      </c>
      <c r="AC1415" t="e">
        <f t="shared" ca="1" si="681"/>
        <v>#VALUE!</v>
      </c>
      <c r="AD1415" t="e">
        <f t="shared" ca="1" si="682"/>
        <v>#VALUE!</v>
      </c>
      <c r="AE1415" t="e">
        <f t="shared" ca="1" si="683"/>
        <v>#VALUE!</v>
      </c>
      <c r="AF1415" t="e">
        <f t="shared" ca="1" si="684"/>
        <v>#VALUE!</v>
      </c>
      <c r="AG1415" t="e">
        <f t="shared" ca="1" si="685"/>
        <v>#VALUE!</v>
      </c>
      <c r="AH1415" t="e">
        <f ca="1">IF(V32="Supercritical",L1415,IF(V32="Subcritical",W1415,IF(AND(V1415=1,AG1415=1),IF(T1415&gt;=AE1415,L1415,W1415),IF(V1415=1,L1415,IF(AG1415=1,W1415,MAX($D$16,POWER((ABS(K1415)^2)/($I$5*MAX(F1415,0.1)^2),1/3)))))))</f>
        <v>#VALUE!</v>
      </c>
      <c r="AI1415" t="e">
        <f t="shared" ca="1" si="686"/>
        <v>#VALUE!</v>
      </c>
      <c r="AJ1415" t="e">
        <f t="shared" ca="1" si="687"/>
        <v>#VALUE!</v>
      </c>
      <c r="AM1415">
        <v>0</v>
      </c>
      <c r="AN1415">
        <v>0</v>
      </c>
      <c r="AO1415">
        <f t="shared" si="688"/>
        <v>0</v>
      </c>
      <c r="AP1415">
        <f t="shared" si="697"/>
        <v>0</v>
      </c>
      <c r="AQ1415" t="e">
        <f t="shared" ca="1" si="689"/>
        <v>#VALUE!</v>
      </c>
      <c r="AR1415" t="e">
        <f t="shared" ca="1" si="690"/>
        <v>#VALUE!</v>
      </c>
      <c r="AS1415" t="e">
        <f t="shared" ca="1" si="691"/>
        <v>#VALUE!</v>
      </c>
    </row>
    <row r="1416" spans="1:45" x14ac:dyDescent="0.35">
      <c r="A1416">
        <v>1267</v>
      </c>
      <c r="B1416">
        <v>1265.8900000000001</v>
      </c>
      <c r="C1416">
        <v>616069.92500000005</v>
      </c>
      <c r="D1416">
        <v>3096738.2859999998</v>
      </c>
      <c r="E1416">
        <v>631.92899999999997</v>
      </c>
      <c r="F1416">
        <v>5.2</v>
      </c>
      <c r="G1416">
        <v>0</v>
      </c>
      <c r="H1416" t="s">
        <v>191</v>
      </c>
      <c r="I1416">
        <v>0</v>
      </c>
      <c r="J1416">
        <f t="shared" si="692"/>
        <v>1</v>
      </c>
      <c r="K1416">
        <f t="shared" si="693"/>
        <v>51</v>
      </c>
      <c r="L1416" t="e">
        <f t="shared" ca="1" si="694"/>
        <v>#VALUE!</v>
      </c>
      <c r="M1416" t="e">
        <f t="shared" ca="1" si="667"/>
        <v>#VALUE!</v>
      </c>
      <c r="N1416" t="e">
        <f t="shared" ca="1" si="668"/>
        <v>#VALUE!</v>
      </c>
      <c r="O1416" t="e">
        <f t="shared" ca="1" si="669"/>
        <v>#VALUE!</v>
      </c>
      <c r="P1416" t="e">
        <f t="shared" ca="1" si="670"/>
        <v>#VALUE!</v>
      </c>
      <c r="Q1416" t="e">
        <f t="shared" ca="1" si="671"/>
        <v>#VALUE!</v>
      </c>
      <c r="R1416" t="e">
        <f t="shared" ca="1" si="672"/>
        <v>#VALUE!</v>
      </c>
      <c r="S1416" t="e">
        <f t="shared" ca="1" si="673"/>
        <v>#VALUE!</v>
      </c>
      <c r="T1416" t="e">
        <f t="shared" ca="1" si="674"/>
        <v>#VALUE!</v>
      </c>
      <c r="U1416" t="e">
        <f t="shared" ca="1" si="695"/>
        <v>#VALUE!</v>
      </c>
      <c r="V1416" t="e">
        <f t="shared" ca="1" si="696"/>
        <v>#VALUE!</v>
      </c>
      <c r="W1416" t="e">
        <f t="shared" ca="1" si="675"/>
        <v>#VALUE!</v>
      </c>
      <c r="X1416" t="e">
        <f t="shared" ca="1" si="676"/>
        <v>#VALUE!</v>
      </c>
      <c r="Y1416" t="e">
        <f t="shared" ca="1" si="677"/>
        <v>#VALUE!</v>
      </c>
      <c r="Z1416" t="e">
        <f t="shared" ca="1" si="678"/>
        <v>#VALUE!</v>
      </c>
      <c r="AA1416" t="e">
        <f t="shared" ca="1" si="679"/>
        <v>#VALUE!</v>
      </c>
      <c r="AB1416" t="e">
        <f t="shared" ca="1" si="680"/>
        <v>#VALUE!</v>
      </c>
      <c r="AC1416" t="e">
        <f t="shared" ca="1" si="681"/>
        <v>#VALUE!</v>
      </c>
      <c r="AD1416" t="e">
        <f t="shared" ca="1" si="682"/>
        <v>#VALUE!</v>
      </c>
      <c r="AE1416" t="e">
        <f t="shared" ca="1" si="683"/>
        <v>#VALUE!</v>
      </c>
      <c r="AF1416" t="e">
        <f t="shared" ca="1" si="684"/>
        <v>#VALUE!</v>
      </c>
      <c r="AG1416" t="e">
        <f t="shared" ca="1" si="685"/>
        <v>#VALUE!</v>
      </c>
      <c r="AH1416" t="e">
        <f ca="1">IF(V32="Supercritical",L1416,IF(V32="Subcritical",W1416,IF(AND(V1416=1,AG1416=1),IF(T1416&gt;=AE1416,L1416,W1416),IF(V1416=1,L1416,IF(AG1416=1,W1416,MAX($D$16,POWER((ABS(K1416)^2)/($I$5*MAX(F1416,0.1)^2),1/3)))))))</f>
        <v>#VALUE!</v>
      </c>
      <c r="AI1416" t="e">
        <f t="shared" ca="1" si="686"/>
        <v>#VALUE!</v>
      </c>
      <c r="AJ1416" t="e">
        <f t="shared" ca="1" si="687"/>
        <v>#VALUE!</v>
      </c>
      <c r="AM1416">
        <v>0</v>
      </c>
      <c r="AN1416">
        <v>0</v>
      </c>
      <c r="AO1416">
        <f t="shared" si="688"/>
        <v>0</v>
      </c>
      <c r="AP1416">
        <f t="shared" si="697"/>
        <v>0</v>
      </c>
      <c r="AQ1416" t="e">
        <f t="shared" ca="1" si="689"/>
        <v>#VALUE!</v>
      </c>
      <c r="AR1416" t="e">
        <f t="shared" ca="1" si="690"/>
        <v>#VALUE!</v>
      </c>
      <c r="AS1416" t="e">
        <f t="shared" ca="1" si="691"/>
        <v>#VALUE!</v>
      </c>
    </row>
    <row r="1417" spans="1:45" x14ac:dyDescent="0.35">
      <c r="A1417">
        <v>1268</v>
      </c>
      <c r="B1417">
        <v>1266.8900000000001</v>
      </c>
      <c r="C1417">
        <v>616069.88300000003</v>
      </c>
      <c r="D1417">
        <v>3096737.287</v>
      </c>
      <c r="E1417">
        <v>631.92849999999999</v>
      </c>
      <c r="F1417">
        <v>5.2</v>
      </c>
      <c r="G1417">
        <v>0</v>
      </c>
      <c r="H1417" t="s">
        <v>191</v>
      </c>
      <c r="I1417">
        <v>0</v>
      </c>
      <c r="J1417">
        <f t="shared" si="692"/>
        <v>1</v>
      </c>
      <c r="K1417">
        <f t="shared" si="693"/>
        <v>51</v>
      </c>
      <c r="L1417" t="e">
        <f t="shared" ca="1" si="694"/>
        <v>#VALUE!</v>
      </c>
      <c r="M1417" t="e">
        <f t="shared" ca="1" si="667"/>
        <v>#VALUE!</v>
      </c>
      <c r="N1417" t="e">
        <f t="shared" ca="1" si="668"/>
        <v>#VALUE!</v>
      </c>
      <c r="O1417" t="e">
        <f t="shared" ca="1" si="669"/>
        <v>#VALUE!</v>
      </c>
      <c r="P1417" t="e">
        <f t="shared" ca="1" si="670"/>
        <v>#VALUE!</v>
      </c>
      <c r="Q1417" t="e">
        <f t="shared" ca="1" si="671"/>
        <v>#VALUE!</v>
      </c>
      <c r="R1417" t="e">
        <f t="shared" ca="1" si="672"/>
        <v>#VALUE!</v>
      </c>
      <c r="S1417" t="e">
        <f t="shared" ca="1" si="673"/>
        <v>#VALUE!</v>
      </c>
      <c r="T1417" t="e">
        <f t="shared" ca="1" si="674"/>
        <v>#VALUE!</v>
      </c>
      <c r="U1417" t="e">
        <f t="shared" ca="1" si="695"/>
        <v>#VALUE!</v>
      </c>
      <c r="V1417" t="e">
        <f t="shared" ca="1" si="696"/>
        <v>#VALUE!</v>
      </c>
      <c r="W1417" t="e">
        <f t="shared" ca="1" si="675"/>
        <v>#VALUE!</v>
      </c>
      <c r="X1417" t="e">
        <f t="shared" ca="1" si="676"/>
        <v>#VALUE!</v>
      </c>
      <c r="Y1417" t="e">
        <f t="shared" ca="1" si="677"/>
        <v>#VALUE!</v>
      </c>
      <c r="Z1417" t="e">
        <f t="shared" ca="1" si="678"/>
        <v>#VALUE!</v>
      </c>
      <c r="AA1417" t="e">
        <f t="shared" ca="1" si="679"/>
        <v>#VALUE!</v>
      </c>
      <c r="AB1417" t="e">
        <f t="shared" ca="1" si="680"/>
        <v>#VALUE!</v>
      </c>
      <c r="AC1417" t="e">
        <f t="shared" ca="1" si="681"/>
        <v>#VALUE!</v>
      </c>
      <c r="AD1417" t="e">
        <f t="shared" ca="1" si="682"/>
        <v>#VALUE!</v>
      </c>
      <c r="AE1417" t="e">
        <f t="shared" ca="1" si="683"/>
        <v>#VALUE!</v>
      </c>
      <c r="AF1417" t="e">
        <f t="shared" ca="1" si="684"/>
        <v>#VALUE!</v>
      </c>
      <c r="AG1417" t="e">
        <f t="shared" ca="1" si="685"/>
        <v>#VALUE!</v>
      </c>
      <c r="AH1417" t="e">
        <f ca="1">IF(V32="Supercritical",L1417,IF(V32="Subcritical",W1417,IF(AND(V1417=1,AG1417=1),IF(T1417&gt;=AE1417,L1417,W1417),IF(V1417=1,L1417,IF(AG1417=1,W1417,MAX($D$16,POWER((ABS(K1417)^2)/($I$5*MAX(F1417,0.1)^2),1/3)))))))</f>
        <v>#VALUE!</v>
      </c>
      <c r="AI1417" t="e">
        <f t="shared" ca="1" si="686"/>
        <v>#VALUE!</v>
      </c>
      <c r="AJ1417" t="e">
        <f t="shared" ca="1" si="687"/>
        <v>#VALUE!</v>
      </c>
      <c r="AM1417">
        <v>0</v>
      </c>
      <c r="AN1417">
        <v>0</v>
      </c>
      <c r="AO1417">
        <f t="shared" si="688"/>
        <v>0</v>
      </c>
      <c r="AP1417">
        <f t="shared" si="697"/>
        <v>0</v>
      </c>
      <c r="AQ1417" t="e">
        <f t="shared" ca="1" si="689"/>
        <v>#VALUE!</v>
      </c>
      <c r="AR1417" t="e">
        <f t="shared" ca="1" si="690"/>
        <v>#VALUE!</v>
      </c>
      <c r="AS1417" t="e">
        <f t="shared" ca="1" si="691"/>
        <v>#VALUE!</v>
      </c>
    </row>
    <row r="1418" spans="1:45" x14ac:dyDescent="0.35">
      <c r="A1418">
        <v>1269</v>
      </c>
      <c r="B1418">
        <v>1267.8889999999999</v>
      </c>
      <c r="C1418">
        <v>616069.84100000001</v>
      </c>
      <c r="D1418">
        <v>3096736.2880000002</v>
      </c>
      <c r="E1418">
        <v>631.928</v>
      </c>
      <c r="F1418">
        <v>5.2</v>
      </c>
      <c r="G1418">
        <v>0</v>
      </c>
      <c r="H1418" t="s">
        <v>191</v>
      </c>
      <c r="I1418">
        <v>5.7000000000000002E-2</v>
      </c>
      <c r="J1418">
        <f t="shared" si="692"/>
        <v>0.99899999999979627</v>
      </c>
      <c r="K1418">
        <f t="shared" si="693"/>
        <v>51</v>
      </c>
      <c r="L1418" t="e">
        <f t="shared" ca="1" si="694"/>
        <v>#VALUE!</v>
      </c>
      <c r="M1418" t="e">
        <f t="shared" ca="1" si="667"/>
        <v>#VALUE!</v>
      </c>
      <c r="N1418" t="e">
        <f t="shared" ca="1" si="668"/>
        <v>#VALUE!</v>
      </c>
      <c r="O1418" t="e">
        <f t="shared" ca="1" si="669"/>
        <v>#VALUE!</v>
      </c>
      <c r="P1418" t="e">
        <f t="shared" ca="1" si="670"/>
        <v>#VALUE!</v>
      </c>
      <c r="Q1418" t="e">
        <f t="shared" ca="1" si="671"/>
        <v>#VALUE!</v>
      </c>
      <c r="R1418" t="e">
        <f t="shared" ca="1" si="672"/>
        <v>#VALUE!</v>
      </c>
      <c r="S1418" t="e">
        <f t="shared" ca="1" si="673"/>
        <v>#VALUE!</v>
      </c>
      <c r="T1418" t="e">
        <f t="shared" ca="1" si="674"/>
        <v>#VALUE!</v>
      </c>
      <c r="U1418" t="e">
        <f t="shared" ca="1" si="695"/>
        <v>#VALUE!</v>
      </c>
      <c r="V1418" t="e">
        <f t="shared" ca="1" si="696"/>
        <v>#VALUE!</v>
      </c>
      <c r="W1418" t="e">
        <f t="shared" ca="1" si="675"/>
        <v>#VALUE!</v>
      </c>
      <c r="X1418" t="e">
        <f t="shared" ca="1" si="676"/>
        <v>#VALUE!</v>
      </c>
      <c r="Y1418" t="e">
        <f t="shared" ca="1" si="677"/>
        <v>#VALUE!</v>
      </c>
      <c r="Z1418" t="e">
        <f t="shared" ca="1" si="678"/>
        <v>#VALUE!</v>
      </c>
      <c r="AA1418" t="e">
        <f t="shared" ca="1" si="679"/>
        <v>#VALUE!</v>
      </c>
      <c r="AB1418" t="e">
        <f t="shared" ca="1" si="680"/>
        <v>#VALUE!</v>
      </c>
      <c r="AC1418" t="e">
        <f t="shared" ca="1" si="681"/>
        <v>#VALUE!</v>
      </c>
      <c r="AD1418" t="e">
        <f t="shared" ca="1" si="682"/>
        <v>#VALUE!</v>
      </c>
      <c r="AE1418" t="e">
        <f t="shared" ca="1" si="683"/>
        <v>#VALUE!</v>
      </c>
      <c r="AF1418" t="e">
        <f t="shared" ca="1" si="684"/>
        <v>#VALUE!</v>
      </c>
      <c r="AG1418" t="e">
        <f t="shared" ca="1" si="685"/>
        <v>#VALUE!</v>
      </c>
      <c r="AH1418" t="e">
        <f ca="1">IF(V32="Supercritical",L1418,IF(V32="Subcritical",W1418,IF(AND(V1418=1,AG1418=1),IF(T1418&gt;=AE1418,L1418,W1418),IF(V1418=1,L1418,IF(AG1418=1,W1418,MAX($D$16,POWER((ABS(K1418)^2)/($I$5*MAX(F1418,0.1)^2),1/3)))))))</f>
        <v>#VALUE!</v>
      </c>
      <c r="AI1418" t="e">
        <f t="shared" ca="1" si="686"/>
        <v>#VALUE!</v>
      </c>
      <c r="AJ1418" t="e">
        <f t="shared" ca="1" si="687"/>
        <v>#VALUE!</v>
      </c>
      <c r="AM1418">
        <v>0</v>
      </c>
      <c r="AN1418">
        <v>0</v>
      </c>
      <c r="AO1418">
        <f t="shared" si="688"/>
        <v>0</v>
      </c>
      <c r="AP1418">
        <f t="shared" si="697"/>
        <v>0</v>
      </c>
      <c r="AQ1418" t="e">
        <f t="shared" ca="1" si="689"/>
        <v>#VALUE!</v>
      </c>
      <c r="AR1418" t="e">
        <f t="shared" ca="1" si="690"/>
        <v>#VALUE!</v>
      </c>
      <c r="AS1418" t="e">
        <f t="shared" ca="1" si="691"/>
        <v>#VALUE!</v>
      </c>
    </row>
    <row r="1419" spans="1:45" x14ac:dyDescent="0.35">
      <c r="A1419">
        <v>1270</v>
      </c>
      <c r="B1419">
        <v>1268.8889999999999</v>
      </c>
      <c r="C1419">
        <v>616069.79799999995</v>
      </c>
      <c r="D1419">
        <v>3096735.2889999999</v>
      </c>
      <c r="E1419">
        <v>631.92750000000001</v>
      </c>
      <c r="F1419">
        <v>5.2</v>
      </c>
      <c r="G1419">
        <v>0</v>
      </c>
      <c r="H1419" t="s">
        <v>191</v>
      </c>
      <c r="I1419">
        <v>5.7000000000000002E-2</v>
      </c>
      <c r="J1419">
        <f t="shared" si="692"/>
        <v>1</v>
      </c>
      <c r="K1419">
        <f t="shared" si="693"/>
        <v>51</v>
      </c>
      <c r="L1419" t="e">
        <f t="shared" ca="1" si="694"/>
        <v>#VALUE!</v>
      </c>
      <c r="M1419" t="e">
        <f t="shared" ca="1" si="667"/>
        <v>#VALUE!</v>
      </c>
      <c r="N1419" t="e">
        <f t="shared" ca="1" si="668"/>
        <v>#VALUE!</v>
      </c>
      <c r="O1419" t="e">
        <f t="shared" ca="1" si="669"/>
        <v>#VALUE!</v>
      </c>
      <c r="P1419" t="e">
        <f t="shared" ca="1" si="670"/>
        <v>#VALUE!</v>
      </c>
      <c r="Q1419" t="e">
        <f t="shared" ca="1" si="671"/>
        <v>#VALUE!</v>
      </c>
      <c r="R1419" t="e">
        <f t="shared" ca="1" si="672"/>
        <v>#VALUE!</v>
      </c>
      <c r="S1419" t="e">
        <f t="shared" ca="1" si="673"/>
        <v>#VALUE!</v>
      </c>
      <c r="T1419" t="e">
        <f t="shared" ca="1" si="674"/>
        <v>#VALUE!</v>
      </c>
      <c r="U1419" t="e">
        <f t="shared" ca="1" si="695"/>
        <v>#VALUE!</v>
      </c>
      <c r="V1419" t="e">
        <f t="shared" ca="1" si="696"/>
        <v>#VALUE!</v>
      </c>
      <c r="W1419" t="e">
        <f t="shared" ca="1" si="675"/>
        <v>#VALUE!</v>
      </c>
      <c r="X1419" t="e">
        <f t="shared" ca="1" si="676"/>
        <v>#VALUE!</v>
      </c>
      <c r="Y1419" t="e">
        <f t="shared" ca="1" si="677"/>
        <v>#VALUE!</v>
      </c>
      <c r="Z1419" t="e">
        <f t="shared" ca="1" si="678"/>
        <v>#VALUE!</v>
      </c>
      <c r="AA1419" t="e">
        <f t="shared" ca="1" si="679"/>
        <v>#VALUE!</v>
      </c>
      <c r="AB1419" t="e">
        <f t="shared" ca="1" si="680"/>
        <v>#VALUE!</v>
      </c>
      <c r="AC1419" t="e">
        <f t="shared" ca="1" si="681"/>
        <v>#VALUE!</v>
      </c>
      <c r="AD1419" t="e">
        <f t="shared" ca="1" si="682"/>
        <v>#VALUE!</v>
      </c>
      <c r="AE1419" t="e">
        <f t="shared" ca="1" si="683"/>
        <v>#VALUE!</v>
      </c>
      <c r="AF1419" t="e">
        <f t="shared" ca="1" si="684"/>
        <v>#VALUE!</v>
      </c>
      <c r="AG1419" t="e">
        <f t="shared" ca="1" si="685"/>
        <v>#VALUE!</v>
      </c>
      <c r="AH1419" t="e">
        <f ca="1">IF(V32="Supercritical",L1419,IF(V32="Subcritical",W1419,IF(AND(V1419=1,AG1419=1),IF(T1419&gt;=AE1419,L1419,W1419),IF(V1419=1,L1419,IF(AG1419=1,W1419,MAX($D$16,POWER((ABS(K1419)^2)/($I$5*MAX(F1419,0.1)^2),1/3)))))))</f>
        <v>#VALUE!</v>
      </c>
      <c r="AI1419" t="e">
        <f t="shared" ca="1" si="686"/>
        <v>#VALUE!</v>
      </c>
      <c r="AJ1419" t="e">
        <f t="shared" ca="1" si="687"/>
        <v>#VALUE!</v>
      </c>
      <c r="AM1419">
        <v>0</v>
      </c>
      <c r="AN1419">
        <v>0</v>
      </c>
      <c r="AO1419">
        <f t="shared" si="688"/>
        <v>0</v>
      </c>
      <c r="AP1419">
        <f t="shared" si="697"/>
        <v>0</v>
      </c>
      <c r="AQ1419" t="e">
        <f t="shared" ca="1" si="689"/>
        <v>#VALUE!</v>
      </c>
      <c r="AR1419" t="e">
        <f t="shared" ca="1" si="690"/>
        <v>#VALUE!</v>
      </c>
      <c r="AS1419" t="e">
        <f t="shared" ca="1" si="691"/>
        <v>#VALUE!</v>
      </c>
    </row>
    <row r="1420" spans="1:45" x14ac:dyDescent="0.35">
      <c r="A1420">
        <v>1271</v>
      </c>
      <c r="B1420">
        <v>1269.8889999999999</v>
      </c>
      <c r="C1420">
        <v>616069.75600000005</v>
      </c>
      <c r="D1420">
        <v>3096734.29</v>
      </c>
      <c r="E1420">
        <v>631.92700000000002</v>
      </c>
      <c r="F1420">
        <v>5.2</v>
      </c>
      <c r="G1420">
        <v>0</v>
      </c>
      <c r="H1420" t="s">
        <v>191</v>
      </c>
      <c r="I1420">
        <v>0</v>
      </c>
      <c r="J1420">
        <f t="shared" si="692"/>
        <v>1</v>
      </c>
      <c r="K1420">
        <f t="shared" si="693"/>
        <v>51</v>
      </c>
      <c r="L1420" t="e">
        <f t="shared" ca="1" si="694"/>
        <v>#VALUE!</v>
      </c>
      <c r="M1420" t="e">
        <f t="shared" ca="1" si="667"/>
        <v>#VALUE!</v>
      </c>
      <c r="N1420" t="e">
        <f t="shared" ca="1" si="668"/>
        <v>#VALUE!</v>
      </c>
      <c r="O1420" t="e">
        <f t="shared" ca="1" si="669"/>
        <v>#VALUE!</v>
      </c>
      <c r="P1420" t="e">
        <f t="shared" ca="1" si="670"/>
        <v>#VALUE!</v>
      </c>
      <c r="Q1420" t="e">
        <f t="shared" ca="1" si="671"/>
        <v>#VALUE!</v>
      </c>
      <c r="R1420" t="e">
        <f t="shared" ca="1" si="672"/>
        <v>#VALUE!</v>
      </c>
      <c r="S1420" t="e">
        <f t="shared" ca="1" si="673"/>
        <v>#VALUE!</v>
      </c>
      <c r="T1420" t="e">
        <f t="shared" ca="1" si="674"/>
        <v>#VALUE!</v>
      </c>
      <c r="U1420" t="e">
        <f t="shared" ca="1" si="695"/>
        <v>#VALUE!</v>
      </c>
      <c r="V1420" t="e">
        <f t="shared" ca="1" si="696"/>
        <v>#VALUE!</v>
      </c>
      <c r="W1420" t="e">
        <f t="shared" ca="1" si="675"/>
        <v>#VALUE!</v>
      </c>
      <c r="X1420" t="e">
        <f t="shared" ca="1" si="676"/>
        <v>#VALUE!</v>
      </c>
      <c r="Y1420" t="e">
        <f t="shared" ca="1" si="677"/>
        <v>#VALUE!</v>
      </c>
      <c r="Z1420" t="e">
        <f t="shared" ca="1" si="678"/>
        <v>#VALUE!</v>
      </c>
      <c r="AA1420" t="e">
        <f t="shared" ca="1" si="679"/>
        <v>#VALUE!</v>
      </c>
      <c r="AB1420" t="e">
        <f t="shared" ca="1" si="680"/>
        <v>#VALUE!</v>
      </c>
      <c r="AC1420" t="e">
        <f t="shared" ca="1" si="681"/>
        <v>#VALUE!</v>
      </c>
      <c r="AD1420" t="e">
        <f t="shared" ca="1" si="682"/>
        <v>#VALUE!</v>
      </c>
      <c r="AE1420" t="e">
        <f t="shared" ca="1" si="683"/>
        <v>#VALUE!</v>
      </c>
      <c r="AF1420" t="e">
        <f t="shared" ca="1" si="684"/>
        <v>#VALUE!</v>
      </c>
      <c r="AG1420" t="e">
        <f t="shared" ca="1" si="685"/>
        <v>#VALUE!</v>
      </c>
      <c r="AH1420" t="e">
        <f ca="1">IF(V32="Supercritical",L1420,IF(V32="Subcritical",W1420,IF(AND(V1420=1,AG1420=1),IF(T1420&gt;=AE1420,L1420,W1420),IF(V1420=1,L1420,IF(AG1420=1,W1420,MAX($D$16,POWER((ABS(K1420)^2)/($I$5*MAX(F1420,0.1)^2),1/3)))))))</f>
        <v>#VALUE!</v>
      </c>
      <c r="AI1420" t="e">
        <f t="shared" ca="1" si="686"/>
        <v>#VALUE!</v>
      </c>
      <c r="AJ1420" t="e">
        <f t="shared" ca="1" si="687"/>
        <v>#VALUE!</v>
      </c>
      <c r="AM1420">
        <v>0</v>
      </c>
      <c r="AN1420">
        <v>0</v>
      </c>
      <c r="AO1420">
        <f t="shared" si="688"/>
        <v>0</v>
      </c>
      <c r="AP1420">
        <f t="shared" si="697"/>
        <v>0</v>
      </c>
      <c r="AQ1420" t="e">
        <f t="shared" ca="1" si="689"/>
        <v>#VALUE!</v>
      </c>
      <c r="AR1420" t="e">
        <f t="shared" ca="1" si="690"/>
        <v>#VALUE!</v>
      </c>
      <c r="AS1420" t="e">
        <f t="shared" ca="1" si="691"/>
        <v>#VALUE!</v>
      </c>
    </row>
    <row r="1421" spans="1:45" x14ac:dyDescent="0.35">
      <c r="A1421">
        <v>1272</v>
      </c>
      <c r="B1421">
        <v>1270.8889999999999</v>
      </c>
      <c r="C1421">
        <v>616069.71400000004</v>
      </c>
      <c r="D1421">
        <v>3096733.2910000002</v>
      </c>
      <c r="E1421">
        <v>631.92650000000003</v>
      </c>
      <c r="F1421">
        <v>5.2</v>
      </c>
      <c r="G1421">
        <v>0</v>
      </c>
      <c r="H1421" t="s">
        <v>191</v>
      </c>
      <c r="I1421">
        <v>0</v>
      </c>
      <c r="J1421">
        <f t="shared" si="692"/>
        <v>1</v>
      </c>
      <c r="K1421">
        <f t="shared" si="693"/>
        <v>51</v>
      </c>
      <c r="L1421" t="e">
        <f t="shared" ca="1" si="694"/>
        <v>#VALUE!</v>
      </c>
      <c r="M1421" t="e">
        <f t="shared" ca="1" si="667"/>
        <v>#VALUE!</v>
      </c>
      <c r="N1421" t="e">
        <f t="shared" ca="1" si="668"/>
        <v>#VALUE!</v>
      </c>
      <c r="O1421" t="e">
        <f t="shared" ca="1" si="669"/>
        <v>#VALUE!</v>
      </c>
      <c r="P1421" t="e">
        <f t="shared" ca="1" si="670"/>
        <v>#VALUE!</v>
      </c>
      <c r="Q1421" t="e">
        <f t="shared" ca="1" si="671"/>
        <v>#VALUE!</v>
      </c>
      <c r="R1421" t="e">
        <f t="shared" ca="1" si="672"/>
        <v>#VALUE!</v>
      </c>
      <c r="S1421" t="e">
        <f t="shared" ca="1" si="673"/>
        <v>#VALUE!</v>
      </c>
      <c r="T1421" t="e">
        <f t="shared" ca="1" si="674"/>
        <v>#VALUE!</v>
      </c>
      <c r="U1421" t="e">
        <f t="shared" ca="1" si="695"/>
        <v>#VALUE!</v>
      </c>
      <c r="V1421" t="e">
        <f t="shared" ca="1" si="696"/>
        <v>#VALUE!</v>
      </c>
      <c r="W1421" t="e">
        <f t="shared" ca="1" si="675"/>
        <v>#VALUE!</v>
      </c>
      <c r="X1421" t="e">
        <f t="shared" ca="1" si="676"/>
        <v>#VALUE!</v>
      </c>
      <c r="Y1421" t="e">
        <f t="shared" ca="1" si="677"/>
        <v>#VALUE!</v>
      </c>
      <c r="Z1421" t="e">
        <f t="shared" ca="1" si="678"/>
        <v>#VALUE!</v>
      </c>
      <c r="AA1421" t="e">
        <f t="shared" ca="1" si="679"/>
        <v>#VALUE!</v>
      </c>
      <c r="AB1421" t="e">
        <f t="shared" ca="1" si="680"/>
        <v>#VALUE!</v>
      </c>
      <c r="AC1421" t="e">
        <f t="shared" ca="1" si="681"/>
        <v>#VALUE!</v>
      </c>
      <c r="AD1421" t="e">
        <f t="shared" ca="1" si="682"/>
        <v>#VALUE!</v>
      </c>
      <c r="AE1421" t="e">
        <f t="shared" ca="1" si="683"/>
        <v>#VALUE!</v>
      </c>
      <c r="AF1421" t="e">
        <f t="shared" ca="1" si="684"/>
        <v>#VALUE!</v>
      </c>
      <c r="AG1421" t="e">
        <f t="shared" ca="1" si="685"/>
        <v>#VALUE!</v>
      </c>
      <c r="AH1421" t="e">
        <f ca="1">IF(V32="Supercritical",L1421,IF(V32="Subcritical",W1421,IF(AND(V1421=1,AG1421=1),IF(T1421&gt;=AE1421,L1421,W1421),IF(V1421=1,L1421,IF(AG1421=1,W1421,MAX($D$16,POWER((ABS(K1421)^2)/($I$5*MAX(F1421,0.1)^2),1/3)))))))</f>
        <v>#VALUE!</v>
      </c>
      <c r="AI1421" t="e">
        <f t="shared" ca="1" si="686"/>
        <v>#VALUE!</v>
      </c>
      <c r="AJ1421" t="e">
        <f t="shared" ca="1" si="687"/>
        <v>#VALUE!</v>
      </c>
      <c r="AM1421">
        <v>0</v>
      </c>
      <c r="AN1421">
        <v>0</v>
      </c>
      <c r="AO1421">
        <f t="shared" si="688"/>
        <v>0</v>
      </c>
      <c r="AP1421">
        <f t="shared" si="697"/>
        <v>0</v>
      </c>
      <c r="AQ1421" t="e">
        <f t="shared" ca="1" si="689"/>
        <v>#VALUE!</v>
      </c>
      <c r="AR1421" t="e">
        <f t="shared" ca="1" si="690"/>
        <v>#VALUE!</v>
      </c>
      <c r="AS1421" t="e">
        <f t="shared" ca="1" si="691"/>
        <v>#VALUE!</v>
      </c>
    </row>
    <row r="1422" spans="1:45" x14ac:dyDescent="0.35">
      <c r="A1422">
        <v>1273</v>
      </c>
      <c r="B1422">
        <v>1271.8889999999999</v>
      </c>
      <c r="C1422">
        <v>616069.67200000002</v>
      </c>
      <c r="D1422">
        <v>3096732.2919999999</v>
      </c>
      <c r="E1422">
        <v>631.92600000000004</v>
      </c>
      <c r="F1422">
        <v>5.2</v>
      </c>
      <c r="G1422">
        <v>0</v>
      </c>
      <c r="H1422" t="s">
        <v>191</v>
      </c>
      <c r="I1422">
        <v>5.7000000000000002E-2</v>
      </c>
      <c r="J1422">
        <f t="shared" si="692"/>
        <v>1</v>
      </c>
      <c r="K1422">
        <f t="shared" si="693"/>
        <v>51</v>
      </c>
      <c r="L1422" t="e">
        <f t="shared" ca="1" si="694"/>
        <v>#VALUE!</v>
      </c>
      <c r="M1422" t="e">
        <f t="shared" ca="1" si="667"/>
        <v>#VALUE!</v>
      </c>
      <c r="N1422" t="e">
        <f t="shared" ca="1" si="668"/>
        <v>#VALUE!</v>
      </c>
      <c r="O1422" t="e">
        <f t="shared" ca="1" si="669"/>
        <v>#VALUE!</v>
      </c>
      <c r="P1422" t="e">
        <f t="shared" ca="1" si="670"/>
        <v>#VALUE!</v>
      </c>
      <c r="Q1422" t="e">
        <f t="shared" ca="1" si="671"/>
        <v>#VALUE!</v>
      </c>
      <c r="R1422" t="e">
        <f t="shared" ca="1" si="672"/>
        <v>#VALUE!</v>
      </c>
      <c r="S1422" t="e">
        <f t="shared" ca="1" si="673"/>
        <v>#VALUE!</v>
      </c>
      <c r="T1422" t="e">
        <f t="shared" ca="1" si="674"/>
        <v>#VALUE!</v>
      </c>
      <c r="U1422" t="e">
        <f t="shared" ca="1" si="695"/>
        <v>#VALUE!</v>
      </c>
      <c r="V1422" t="e">
        <f t="shared" ca="1" si="696"/>
        <v>#VALUE!</v>
      </c>
      <c r="W1422" t="e">
        <f t="shared" ca="1" si="675"/>
        <v>#VALUE!</v>
      </c>
      <c r="X1422" t="e">
        <f t="shared" ca="1" si="676"/>
        <v>#VALUE!</v>
      </c>
      <c r="Y1422" t="e">
        <f t="shared" ca="1" si="677"/>
        <v>#VALUE!</v>
      </c>
      <c r="Z1422" t="e">
        <f t="shared" ca="1" si="678"/>
        <v>#VALUE!</v>
      </c>
      <c r="AA1422" t="e">
        <f t="shared" ca="1" si="679"/>
        <v>#VALUE!</v>
      </c>
      <c r="AB1422" t="e">
        <f t="shared" ca="1" si="680"/>
        <v>#VALUE!</v>
      </c>
      <c r="AC1422" t="e">
        <f t="shared" ca="1" si="681"/>
        <v>#VALUE!</v>
      </c>
      <c r="AD1422" t="e">
        <f t="shared" ca="1" si="682"/>
        <v>#VALUE!</v>
      </c>
      <c r="AE1422" t="e">
        <f t="shared" ca="1" si="683"/>
        <v>#VALUE!</v>
      </c>
      <c r="AF1422" t="e">
        <f t="shared" ca="1" si="684"/>
        <v>#VALUE!</v>
      </c>
      <c r="AG1422" t="e">
        <f t="shared" ca="1" si="685"/>
        <v>#VALUE!</v>
      </c>
      <c r="AH1422" t="e">
        <f ca="1">IF(V32="Supercritical",L1422,IF(V32="Subcritical",W1422,IF(AND(V1422=1,AG1422=1),IF(T1422&gt;=AE1422,L1422,W1422),IF(V1422=1,L1422,IF(AG1422=1,W1422,MAX($D$16,POWER((ABS(K1422)^2)/($I$5*MAX(F1422,0.1)^2),1/3)))))))</f>
        <v>#VALUE!</v>
      </c>
      <c r="AI1422" t="e">
        <f t="shared" ca="1" si="686"/>
        <v>#VALUE!</v>
      </c>
      <c r="AJ1422" t="e">
        <f t="shared" ca="1" si="687"/>
        <v>#VALUE!</v>
      </c>
      <c r="AM1422">
        <v>0</v>
      </c>
      <c r="AN1422">
        <v>0</v>
      </c>
      <c r="AO1422">
        <f t="shared" si="688"/>
        <v>0</v>
      </c>
      <c r="AP1422">
        <f t="shared" si="697"/>
        <v>0</v>
      </c>
      <c r="AQ1422" t="e">
        <f t="shared" ca="1" si="689"/>
        <v>#VALUE!</v>
      </c>
      <c r="AR1422" t="e">
        <f t="shared" ca="1" si="690"/>
        <v>#VALUE!</v>
      </c>
      <c r="AS1422" t="e">
        <f t="shared" ca="1" si="691"/>
        <v>#VALUE!</v>
      </c>
    </row>
    <row r="1423" spans="1:45" x14ac:dyDescent="0.35">
      <c r="A1423">
        <v>1274</v>
      </c>
      <c r="B1423">
        <v>1272.8889999999999</v>
      </c>
      <c r="C1423">
        <v>616069.62899999996</v>
      </c>
      <c r="D1423">
        <v>3096731.2930000001</v>
      </c>
      <c r="E1423">
        <v>631.92550000000006</v>
      </c>
      <c r="F1423">
        <v>5.2</v>
      </c>
      <c r="G1423">
        <v>0</v>
      </c>
      <c r="H1423" t="s">
        <v>191</v>
      </c>
      <c r="I1423">
        <v>5.7000000000000002E-2</v>
      </c>
      <c r="J1423">
        <f t="shared" si="692"/>
        <v>1</v>
      </c>
      <c r="K1423">
        <f t="shared" si="693"/>
        <v>51</v>
      </c>
      <c r="L1423" t="e">
        <f t="shared" ca="1" si="694"/>
        <v>#VALUE!</v>
      </c>
      <c r="M1423" t="e">
        <f t="shared" ca="1" si="667"/>
        <v>#VALUE!</v>
      </c>
      <c r="N1423" t="e">
        <f t="shared" ca="1" si="668"/>
        <v>#VALUE!</v>
      </c>
      <c r="O1423" t="e">
        <f t="shared" ca="1" si="669"/>
        <v>#VALUE!</v>
      </c>
      <c r="P1423" t="e">
        <f t="shared" ca="1" si="670"/>
        <v>#VALUE!</v>
      </c>
      <c r="Q1423" t="e">
        <f t="shared" ca="1" si="671"/>
        <v>#VALUE!</v>
      </c>
      <c r="R1423" t="e">
        <f t="shared" ca="1" si="672"/>
        <v>#VALUE!</v>
      </c>
      <c r="S1423" t="e">
        <f t="shared" ca="1" si="673"/>
        <v>#VALUE!</v>
      </c>
      <c r="T1423" t="e">
        <f t="shared" ca="1" si="674"/>
        <v>#VALUE!</v>
      </c>
      <c r="U1423" t="e">
        <f t="shared" ca="1" si="695"/>
        <v>#VALUE!</v>
      </c>
      <c r="V1423" t="e">
        <f t="shared" ca="1" si="696"/>
        <v>#VALUE!</v>
      </c>
      <c r="W1423" t="e">
        <f t="shared" ca="1" si="675"/>
        <v>#VALUE!</v>
      </c>
      <c r="X1423" t="e">
        <f t="shared" ca="1" si="676"/>
        <v>#VALUE!</v>
      </c>
      <c r="Y1423" t="e">
        <f t="shared" ca="1" si="677"/>
        <v>#VALUE!</v>
      </c>
      <c r="Z1423" t="e">
        <f t="shared" ca="1" si="678"/>
        <v>#VALUE!</v>
      </c>
      <c r="AA1423" t="e">
        <f t="shared" ca="1" si="679"/>
        <v>#VALUE!</v>
      </c>
      <c r="AB1423" t="e">
        <f t="shared" ca="1" si="680"/>
        <v>#VALUE!</v>
      </c>
      <c r="AC1423" t="e">
        <f t="shared" ca="1" si="681"/>
        <v>#VALUE!</v>
      </c>
      <c r="AD1423" t="e">
        <f t="shared" ca="1" si="682"/>
        <v>#VALUE!</v>
      </c>
      <c r="AE1423" t="e">
        <f t="shared" ca="1" si="683"/>
        <v>#VALUE!</v>
      </c>
      <c r="AF1423" t="e">
        <f t="shared" ca="1" si="684"/>
        <v>#VALUE!</v>
      </c>
      <c r="AG1423" t="e">
        <f t="shared" ca="1" si="685"/>
        <v>#VALUE!</v>
      </c>
      <c r="AH1423" t="e">
        <f ca="1">IF(V32="Supercritical",L1423,IF(V32="Subcritical",W1423,IF(AND(V1423=1,AG1423=1),IF(T1423&gt;=AE1423,L1423,W1423),IF(V1423=1,L1423,IF(AG1423=1,W1423,MAX($D$16,POWER((ABS(K1423)^2)/($I$5*MAX(F1423,0.1)^2),1/3)))))))</f>
        <v>#VALUE!</v>
      </c>
      <c r="AI1423" t="e">
        <f t="shared" ca="1" si="686"/>
        <v>#VALUE!</v>
      </c>
      <c r="AJ1423" t="e">
        <f t="shared" ca="1" si="687"/>
        <v>#VALUE!</v>
      </c>
      <c r="AM1423">
        <v>0</v>
      </c>
      <c r="AN1423">
        <v>0</v>
      </c>
      <c r="AO1423">
        <f t="shared" si="688"/>
        <v>0</v>
      </c>
      <c r="AP1423">
        <f t="shared" si="697"/>
        <v>0</v>
      </c>
      <c r="AQ1423" t="e">
        <f t="shared" ca="1" si="689"/>
        <v>#VALUE!</v>
      </c>
      <c r="AR1423" t="e">
        <f t="shared" ca="1" si="690"/>
        <v>#VALUE!</v>
      </c>
      <c r="AS1423" t="e">
        <f t="shared" ca="1" si="691"/>
        <v>#VALUE!</v>
      </c>
    </row>
    <row r="1424" spans="1:45" x14ac:dyDescent="0.35">
      <c r="A1424">
        <v>1275</v>
      </c>
      <c r="B1424">
        <v>1273.8889999999999</v>
      </c>
      <c r="C1424">
        <v>616069.58700000006</v>
      </c>
      <c r="D1424">
        <v>3096730.2940000002</v>
      </c>
      <c r="E1424">
        <v>631.92499999999995</v>
      </c>
      <c r="F1424">
        <v>5.2</v>
      </c>
      <c r="G1424">
        <v>0</v>
      </c>
      <c r="H1424" t="s">
        <v>191</v>
      </c>
      <c r="I1424">
        <v>2E-3</v>
      </c>
      <c r="J1424">
        <f t="shared" si="692"/>
        <v>1</v>
      </c>
      <c r="K1424">
        <f t="shared" si="693"/>
        <v>51</v>
      </c>
      <c r="L1424" t="e">
        <f t="shared" ca="1" si="694"/>
        <v>#VALUE!</v>
      </c>
      <c r="M1424" t="e">
        <f t="shared" ca="1" si="667"/>
        <v>#VALUE!</v>
      </c>
      <c r="N1424" t="e">
        <f t="shared" ca="1" si="668"/>
        <v>#VALUE!</v>
      </c>
      <c r="O1424" t="e">
        <f t="shared" ca="1" si="669"/>
        <v>#VALUE!</v>
      </c>
      <c r="P1424" t="e">
        <f t="shared" ca="1" si="670"/>
        <v>#VALUE!</v>
      </c>
      <c r="Q1424" t="e">
        <f t="shared" ca="1" si="671"/>
        <v>#VALUE!</v>
      </c>
      <c r="R1424" t="e">
        <f t="shared" ca="1" si="672"/>
        <v>#VALUE!</v>
      </c>
      <c r="S1424" t="e">
        <f t="shared" ca="1" si="673"/>
        <v>#VALUE!</v>
      </c>
      <c r="T1424" t="e">
        <f t="shared" ca="1" si="674"/>
        <v>#VALUE!</v>
      </c>
      <c r="U1424" t="e">
        <f t="shared" ca="1" si="695"/>
        <v>#VALUE!</v>
      </c>
      <c r="V1424" t="e">
        <f t="shared" ca="1" si="696"/>
        <v>#VALUE!</v>
      </c>
      <c r="W1424" t="e">
        <f t="shared" ca="1" si="675"/>
        <v>#VALUE!</v>
      </c>
      <c r="X1424" t="e">
        <f t="shared" ca="1" si="676"/>
        <v>#VALUE!</v>
      </c>
      <c r="Y1424" t="e">
        <f t="shared" ca="1" si="677"/>
        <v>#VALUE!</v>
      </c>
      <c r="Z1424" t="e">
        <f t="shared" ca="1" si="678"/>
        <v>#VALUE!</v>
      </c>
      <c r="AA1424" t="e">
        <f t="shared" ca="1" si="679"/>
        <v>#VALUE!</v>
      </c>
      <c r="AB1424" t="e">
        <f t="shared" ca="1" si="680"/>
        <v>#VALUE!</v>
      </c>
      <c r="AC1424" t="e">
        <f t="shared" ca="1" si="681"/>
        <v>#VALUE!</v>
      </c>
      <c r="AD1424" t="e">
        <f t="shared" ca="1" si="682"/>
        <v>#VALUE!</v>
      </c>
      <c r="AE1424" t="e">
        <f t="shared" ca="1" si="683"/>
        <v>#VALUE!</v>
      </c>
      <c r="AF1424" t="e">
        <f t="shared" ca="1" si="684"/>
        <v>#VALUE!</v>
      </c>
      <c r="AG1424" t="e">
        <f t="shared" ca="1" si="685"/>
        <v>#VALUE!</v>
      </c>
      <c r="AH1424" t="e">
        <f ca="1">IF(V32="Supercritical",L1424,IF(V32="Subcritical",W1424,IF(AND(V1424=1,AG1424=1),IF(T1424&gt;=AE1424,L1424,W1424),IF(V1424=1,L1424,IF(AG1424=1,W1424,MAX($D$16,POWER((ABS(K1424)^2)/($I$5*MAX(F1424,0.1)^2),1/3)))))))</f>
        <v>#VALUE!</v>
      </c>
      <c r="AI1424" t="e">
        <f t="shared" ca="1" si="686"/>
        <v>#VALUE!</v>
      </c>
      <c r="AJ1424" t="e">
        <f t="shared" ca="1" si="687"/>
        <v>#VALUE!</v>
      </c>
      <c r="AM1424">
        <v>0</v>
      </c>
      <c r="AN1424">
        <v>0</v>
      </c>
      <c r="AO1424">
        <f t="shared" si="688"/>
        <v>0</v>
      </c>
      <c r="AP1424">
        <f t="shared" si="697"/>
        <v>0</v>
      </c>
      <c r="AQ1424" t="e">
        <f t="shared" ca="1" si="689"/>
        <v>#VALUE!</v>
      </c>
      <c r="AR1424" t="e">
        <f t="shared" ca="1" si="690"/>
        <v>#VALUE!</v>
      </c>
      <c r="AS1424" t="e">
        <f t="shared" ca="1" si="691"/>
        <v>#VALUE!</v>
      </c>
    </row>
    <row r="1425" spans="1:45" x14ac:dyDescent="0.35">
      <c r="A1425">
        <v>1276</v>
      </c>
      <c r="B1425">
        <v>1274.8900000000001</v>
      </c>
      <c r="C1425">
        <v>616069.54500000004</v>
      </c>
      <c r="D1425">
        <v>3096729.2940000002</v>
      </c>
      <c r="E1425">
        <v>631.92449999999997</v>
      </c>
      <c r="F1425">
        <v>5.2</v>
      </c>
      <c r="G1425">
        <v>0</v>
      </c>
      <c r="H1425" t="s">
        <v>191</v>
      </c>
      <c r="I1425">
        <v>2E-3</v>
      </c>
      <c r="J1425">
        <f t="shared" si="692"/>
        <v>1.0010000000002037</v>
      </c>
      <c r="K1425">
        <f t="shared" si="693"/>
        <v>51</v>
      </c>
      <c r="L1425" t="e">
        <f t="shared" ca="1" si="694"/>
        <v>#VALUE!</v>
      </c>
      <c r="M1425" t="e">
        <f t="shared" ca="1" si="667"/>
        <v>#VALUE!</v>
      </c>
      <c r="N1425" t="e">
        <f t="shared" ca="1" si="668"/>
        <v>#VALUE!</v>
      </c>
      <c r="O1425" t="e">
        <f t="shared" ca="1" si="669"/>
        <v>#VALUE!</v>
      </c>
      <c r="P1425" t="e">
        <f t="shared" ca="1" si="670"/>
        <v>#VALUE!</v>
      </c>
      <c r="Q1425" t="e">
        <f t="shared" ca="1" si="671"/>
        <v>#VALUE!</v>
      </c>
      <c r="R1425" t="e">
        <f t="shared" ca="1" si="672"/>
        <v>#VALUE!</v>
      </c>
      <c r="S1425" t="e">
        <f t="shared" ca="1" si="673"/>
        <v>#VALUE!</v>
      </c>
      <c r="T1425" t="e">
        <f t="shared" ca="1" si="674"/>
        <v>#VALUE!</v>
      </c>
      <c r="U1425" t="e">
        <f t="shared" ca="1" si="695"/>
        <v>#VALUE!</v>
      </c>
      <c r="V1425" t="e">
        <f t="shared" ca="1" si="696"/>
        <v>#VALUE!</v>
      </c>
      <c r="W1425" t="e">
        <f t="shared" ca="1" si="675"/>
        <v>#VALUE!</v>
      </c>
      <c r="X1425" t="e">
        <f t="shared" ca="1" si="676"/>
        <v>#VALUE!</v>
      </c>
      <c r="Y1425" t="e">
        <f t="shared" ca="1" si="677"/>
        <v>#VALUE!</v>
      </c>
      <c r="Z1425" t="e">
        <f t="shared" ca="1" si="678"/>
        <v>#VALUE!</v>
      </c>
      <c r="AA1425" t="e">
        <f t="shared" ca="1" si="679"/>
        <v>#VALUE!</v>
      </c>
      <c r="AB1425" t="e">
        <f t="shared" ca="1" si="680"/>
        <v>#VALUE!</v>
      </c>
      <c r="AC1425" t="e">
        <f t="shared" ca="1" si="681"/>
        <v>#VALUE!</v>
      </c>
      <c r="AD1425" t="e">
        <f t="shared" ca="1" si="682"/>
        <v>#VALUE!</v>
      </c>
      <c r="AE1425" t="e">
        <f t="shared" ca="1" si="683"/>
        <v>#VALUE!</v>
      </c>
      <c r="AF1425" t="e">
        <f t="shared" ca="1" si="684"/>
        <v>#VALUE!</v>
      </c>
      <c r="AG1425" t="e">
        <f t="shared" ca="1" si="685"/>
        <v>#VALUE!</v>
      </c>
      <c r="AH1425" t="e">
        <f ca="1">IF(V32="Supercritical",L1425,IF(V32="Subcritical",W1425,IF(AND(V1425=1,AG1425=1),IF(T1425&gt;=AE1425,L1425,W1425),IF(V1425=1,L1425,IF(AG1425=1,W1425,MAX($D$16,POWER((ABS(K1425)^2)/($I$5*MAX(F1425,0.1)^2),1/3)))))))</f>
        <v>#VALUE!</v>
      </c>
      <c r="AI1425" t="e">
        <f t="shared" ca="1" si="686"/>
        <v>#VALUE!</v>
      </c>
      <c r="AJ1425" t="e">
        <f t="shared" ca="1" si="687"/>
        <v>#VALUE!</v>
      </c>
      <c r="AM1425">
        <v>0</v>
      </c>
      <c r="AN1425">
        <v>0</v>
      </c>
      <c r="AO1425">
        <f t="shared" si="688"/>
        <v>0</v>
      </c>
      <c r="AP1425">
        <f t="shared" si="697"/>
        <v>0</v>
      </c>
      <c r="AQ1425" t="e">
        <f t="shared" ca="1" si="689"/>
        <v>#VALUE!</v>
      </c>
      <c r="AR1425" t="e">
        <f t="shared" ca="1" si="690"/>
        <v>#VALUE!</v>
      </c>
      <c r="AS1425" t="e">
        <f t="shared" ca="1" si="691"/>
        <v>#VALUE!</v>
      </c>
    </row>
    <row r="1426" spans="1:45" x14ac:dyDescent="0.35">
      <c r="A1426">
        <v>1277</v>
      </c>
      <c r="B1426">
        <v>1275.8900000000001</v>
      </c>
      <c r="C1426">
        <v>616069.50300000003</v>
      </c>
      <c r="D1426">
        <v>3096728.2949999999</v>
      </c>
      <c r="E1426">
        <v>631.92399999999998</v>
      </c>
      <c r="F1426">
        <v>5.2</v>
      </c>
      <c r="G1426">
        <v>0</v>
      </c>
      <c r="H1426" t="s">
        <v>191</v>
      </c>
      <c r="I1426">
        <v>5.7000000000000002E-2</v>
      </c>
      <c r="J1426">
        <f t="shared" si="692"/>
        <v>1</v>
      </c>
      <c r="K1426">
        <f t="shared" si="693"/>
        <v>51</v>
      </c>
      <c r="L1426" t="e">
        <f t="shared" ca="1" si="694"/>
        <v>#VALUE!</v>
      </c>
      <c r="M1426" t="e">
        <f t="shared" ca="1" si="667"/>
        <v>#VALUE!</v>
      </c>
      <c r="N1426" t="e">
        <f t="shared" ca="1" si="668"/>
        <v>#VALUE!</v>
      </c>
      <c r="O1426" t="e">
        <f t="shared" ca="1" si="669"/>
        <v>#VALUE!</v>
      </c>
      <c r="P1426" t="e">
        <f t="shared" ca="1" si="670"/>
        <v>#VALUE!</v>
      </c>
      <c r="Q1426" t="e">
        <f t="shared" ca="1" si="671"/>
        <v>#VALUE!</v>
      </c>
      <c r="R1426" t="e">
        <f t="shared" ca="1" si="672"/>
        <v>#VALUE!</v>
      </c>
      <c r="S1426" t="e">
        <f t="shared" ca="1" si="673"/>
        <v>#VALUE!</v>
      </c>
      <c r="T1426" t="e">
        <f t="shared" ca="1" si="674"/>
        <v>#VALUE!</v>
      </c>
      <c r="U1426" t="e">
        <f t="shared" ca="1" si="695"/>
        <v>#VALUE!</v>
      </c>
      <c r="V1426" t="e">
        <f t="shared" ca="1" si="696"/>
        <v>#VALUE!</v>
      </c>
      <c r="W1426" t="e">
        <f t="shared" ca="1" si="675"/>
        <v>#VALUE!</v>
      </c>
      <c r="X1426" t="e">
        <f t="shared" ca="1" si="676"/>
        <v>#VALUE!</v>
      </c>
      <c r="Y1426" t="e">
        <f t="shared" ca="1" si="677"/>
        <v>#VALUE!</v>
      </c>
      <c r="Z1426" t="e">
        <f t="shared" ca="1" si="678"/>
        <v>#VALUE!</v>
      </c>
      <c r="AA1426" t="e">
        <f t="shared" ca="1" si="679"/>
        <v>#VALUE!</v>
      </c>
      <c r="AB1426" t="e">
        <f t="shared" ca="1" si="680"/>
        <v>#VALUE!</v>
      </c>
      <c r="AC1426" t="e">
        <f t="shared" ca="1" si="681"/>
        <v>#VALUE!</v>
      </c>
      <c r="AD1426" t="e">
        <f t="shared" ca="1" si="682"/>
        <v>#VALUE!</v>
      </c>
      <c r="AE1426" t="e">
        <f t="shared" ca="1" si="683"/>
        <v>#VALUE!</v>
      </c>
      <c r="AF1426" t="e">
        <f t="shared" ca="1" si="684"/>
        <v>#VALUE!</v>
      </c>
      <c r="AG1426" t="e">
        <f t="shared" ca="1" si="685"/>
        <v>#VALUE!</v>
      </c>
      <c r="AH1426" t="e">
        <f ca="1">IF(V32="Supercritical",L1426,IF(V32="Subcritical",W1426,IF(AND(V1426=1,AG1426=1),IF(T1426&gt;=AE1426,L1426,W1426),IF(V1426=1,L1426,IF(AG1426=1,W1426,MAX($D$16,POWER((ABS(K1426)^2)/($I$5*MAX(F1426,0.1)^2),1/3)))))))</f>
        <v>#VALUE!</v>
      </c>
      <c r="AI1426" t="e">
        <f t="shared" ca="1" si="686"/>
        <v>#VALUE!</v>
      </c>
      <c r="AJ1426" t="e">
        <f t="shared" ca="1" si="687"/>
        <v>#VALUE!</v>
      </c>
      <c r="AM1426">
        <v>0</v>
      </c>
      <c r="AN1426">
        <v>0</v>
      </c>
      <c r="AO1426">
        <f t="shared" si="688"/>
        <v>0</v>
      </c>
      <c r="AP1426">
        <f t="shared" si="697"/>
        <v>0</v>
      </c>
      <c r="AQ1426" t="e">
        <f t="shared" ca="1" si="689"/>
        <v>#VALUE!</v>
      </c>
      <c r="AR1426" t="e">
        <f t="shared" ca="1" si="690"/>
        <v>#VALUE!</v>
      </c>
      <c r="AS1426" t="e">
        <f t="shared" ca="1" si="691"/>
        <v>#VALUE!</v>
      </c>
    </row>
    <row r="1427" spans="1:45" x14ac:dyDescent="0.35">
      <c r="A1427">
        <v>1278</v>
      </c>
      <c r="B1427">
        <v>1276.8889999999999</v>
      </c>
      <c r="C1427">
        <v>616069.46</v>
      </c>
      <c r="D1427">
        <v>3096727.2960000001</v>
      </c>
      <c r="E1427">
        <v>631.92349999999999</v>
      </c>
      <c r="F1427">
        <v>5.2</v>
      </c>
      <c r="G1427">
        <v>0</v>
      </c>
      <c r="H1427" t="s">
        <v>191</v>
      </c>
      <c r="I1427">
        <v>5.7000000000000002E-2</v>
      </c>
      <c r="J1427">
        <f t="shared" si="692"/>
        <v>0.99899999999979627</v>
      </c>
      <c r="K1427">
        <f t="shared" si="693"/>
        <v>51</v>
      </c>
      <c r="L1427" t="e">
        <f t="shared" ca="1" si="694"/>
        <v>#VALUE!</v>
      </c>
      <c r="M1427" t="e">
        <f t="shared" ca="1" si="667"/>
        <v>#VALUE!</v>
      </c>
      <c r="N1427" t="e">
        <f t="shared" ca="1" si="668"/>
        <v>#VALUE!</v>
      </c>
      <c r="O1427" t="e">
        <f t="shared" ca="1" si="669"/>
        <v>#VALUE!</v>
      </c>
      <c r="P1427" t="e">
        <f t="shared" ca="1" si="670"/>
        <v>#VALUE!</v>
      </c>
      <c r="Q1427" t="e">
        <f t="shared" ca="1" si="671"/>
        <v>#VALUE!</v>
      </c>
      <c r="R1427" t="e">
        <f t="shared" ca="1" si="672"/>
        <v>#VALUE!</v>
      </c>
      <c r="S1427" t="e">
        <f t="shared" ca="1" si="673"/>
        <v>#VALUE!</v>
      </c>
      <c r="T1427" t="e">
        <f t="shared" ca="1" si="674"/>
        <v>#VALUE!</v>
      </c>
      <c r="U1427" t="e">
        <f t="shared" ca="1" si="695"/>
        <v>#VALUE!</v>
      </c>
      <c r="V1427" t="e">
        <f t="shared" ca="1" si="696"/>
        <v>#VALUE!</v>
      </c>
      <c r="W1427" t="e">
        <f t="shared" ca="1" si="675"/>
        <v>#VALUE!</v>
      </c>
      <c r="X1427" t="e">
        <f t="shared" ca="1" si="676"/>
        <v>#VALUE!</v>
      </c>
      <c r="Y1427" t="e">
        <f t="shared" ca="1" si="677"/>
        <v>#VALUE!</v>
      </c>
      <c r="Z1427" t="e">
        <f t="shared" ca="1" si="678"/>
        <v>#VALUE!</v>
      </c>
      <c r="AA1427" t="e">
        <f t="shared" ca="1" si="679"/>
        <v>#VALUE!</v>
      </c>
      <c r="AB1427" t="e">
        <f t="shared" ca="1" si="680"/>
        <v>#VALUE!</v>
      </c>
      <c r="AC1427" t="e">
        <f t="shared" ca="1" si="681"/>
        <v>#VALUE!</v>
      </c>
      <c r="AD1427" t="e">
        <f t="shared" ca="1" si="682"/>
        <v>#VALUE!</v>
      </c>
      <c r="AE1427" t="e">
        <f t="shared" ca="1" si="683"/>
        <v>#VALUE!</v>
      </c>
      <c r="AF1427" t="e">
        <f t="shared" ca="1" si="684"/>
        <v>#VALUE!</v>
      </c>
      <c r="AG1427" t="e">
        <f t="shared" ca="1" si="685"/>
        <v>#VALUE!</v>
      </c>
      <c r="AH1427" t="e">
        <f ca="1">IF(V32="Supercritical",L1427,IF(V32="Subcritical",W1427,IF(AND(V1427=1,AG1427=1),IF(T1427&gt;=AE1427,L1427,W1427),IF(V1427=1,L1427,IF(AG1427=1,W1427,MAX($D$16,POWER((ABS(K1427)^2)/($I$5*MAX(F1427,0.1)^2),1/3)))))))</f>
        <v>#VALUE!</v>
      </c>
      <c r="AI1427" t="e">
        <f t="shared" ca="1" si="686"/>
        <v>#VALUE!</v>
      </c>
      <c r="AJ1427" t="e">
        <f t="shared" ca="1" si="687"/>
        <v>#VALUE!</v>
      </c>
      <c r="AM1427">
        <v>0</v>
      </c>
      <c r="AN1427">
        <v>0</v>
      </c>
      <c r="AO1427">
        <f t="shared" si="688"/>
        <v>0</v>
      </c>
      <c r="AP1427">
        <f t="shared" si="697"/>
        <v>0</v>
      </c>
      <c r="AQ1427" t="e">
        <f t="shared" ca="1" si="689"/>
        <v>#VALUE!</v>
      </c>
      <c r="AR1427" t="e">
        <f t="shared" ca="1" si="690"/>
        <v>#VALUE!</v>
      </c>
      <c r="AS1427" t="e">
        <f t="shared" ca="1" si="691"/>
        <v>#VALUE!</v>
      </c>
    </row>
    <row r="1428" spans="1:45" x14ac:dyDescent="0.35">
      <c r="A1428">
        <v>1279</v>
      </c>
      <c r="B1428">
        <v>1277.8889999999999</v>
      </c>
      <c r="C1428">
        <v>616069.41799999995</v>
      </c>
      <c r="D1428">
        <v>3096726.2969999998</v>
      </c>
      <c r="E1428">
        <v>631.923</v>
      </c>
      <c r="F1428">
        <v>5.2</v>
      </c>
      <c r="G1428">
        <v>0</v>
      </c>
      <c r="H1428" t="s">
        <v>191</v>
      </c>
      <c r="I1428">
        <v>0</v>
      </c>
      <c r="J1428">
        <f t="shared" si="692"/>
        <v>1</v>
      </c>
      <c r="K1428">
        <f t="shared" si="693"/>
        <v>51</v>
      </c>
      <c r="L1428" t="e">
        <f t="shared" ca="1" si="694"/>
        <v>#VALUE!</v>
      </c>
      <c r="M1428" t="e">
        <f t="shared" ca="1" si="667"/>
        <v>#VALUE!</v>
      </c>
      <c r="N1428" t="e">
        <f t="shared" ca="1" si="668"/>
        <v>#VALUE!</v>
      </c>
      <c r="O1428" t="e">
        <f t="shared" ca="1" si="669"/>
        <v>#VALUE!</v>
      </c>
      <c r="P1428" t="e">
        <f t="shared" ca="1" si="670"/>
        <v>#VALUE!</v>
      </c>
      <c r="Q1428" t="e">
        <f t="shared" ca="1" si="671"/>
        <v>#VALUE!</v>
      </c>
      <c r="R1428" t="e">
        <f t="shared" ca="1" si="672"/>
        <v>#VALUE!</v>
      </c>
      <c r="S1428" t="e">
        <f t="shared" ca="1" si="673"/>
        <v>#VALUE!</v>
      </c>
      <c r="T1428" t="e">
        <f t="shared" ca="1" si="674"/>
        <v>#VALUE!</v>
      </c>
      <c r="U1428" t="e">
        <f t="shared" ca="1" si="695"/>
        <v>#VALUE!</v>
      </c>
      <c r="V1428" t="e">
        <f t="shared" ca="1" si="696"/>
        <v>#VALUE!</v>
      </c>
      <c r="W1428" t="e">
        <f t="shared" ca="1" si="675"/>
        <v>#VALUE!</v>
      </c>
      <c r="X1428" t="e">
        <f t="shared" ca="1" si="676"/>
        <v>#VALUE!</v>
      </c>
      <c r="Y1428" t="e">
        <f t="shared" ca="1" si="677"/>
        <v>#VALUE!</v>
      </c>
      <c r="Z1428" t="e">
        <f t="shared" ca="1" si="678"/>
        <v>#VALUE!</v>
      </c>
      <c r="AA1428" t="e">
        <f t="shared" ca="1" si="679"/>
        <v>#VALUE!</v>
      </c>
      <c r="AB1428" t="e">
        <f t="shared" ca="1" si="680"/>
        <v>#VALUE!</v>
      </c>
      <c r="AC1428" t="e">
        <f t="shared" ca="1" si="681"/>
        <v>#VALUE!</v>
      </c>
      <c r="AD1428" t="e">
        <f t="shared" ca="1" si="682"/>
        <v>#VALUE!</v>
      </c>
      <c r="AE1428" t="e">
        <f t="shared" ca="1" si="683"/>
        <v>#VALUE!</v>
      </c>
      <c r="AF1428" t="e">
        <f t="shared" ca="1" si="684"/>
        <v>#VALUE!</v>
      </c>
      <c r="AG1428" t="e">
        <f t="shared" ca="1" si="685"/>
        <v>#VALUE!</v>
      </c>
      <c r="AH1428" t="e">
        <f ca="1">IF(V32="Supercritical",L1428,IF(V32="Subcritical",W1428,IF(AND(V1428=1,AG1428=1),IF(T1428&gt;=AE1428,L1428,W1428),IF(V1428=1,L1428,IF(AG1428=1,W1428,MAX($D$16,POWER((ABS(K1428)^2)/($I$5*MAX(F1428,0.1)^2),1/3)))))))</f>
        <v>#VALUE!</v>
      </c>
      <c r="AI1428" t="e">
        <f t="shared" ca="1" si="686"/>
        <v>#VALUE!</v>
      </c>
      <c r="AJ1428" t="e">
        <f t="shared" ca="1" si="687"/>
        <v>#VALUE!</v>
      </c>
      <c r="AM1428">
        <v>0</v>
      </c>
      <c r="AN1428">
        <v>0</v>
      </c>
      <c r="AO1428">
        <f t="shared" si="688"/>
        <v>0</v>
      </c>
      <c r="AP1428">
        <f t="shared" si="697"/>
        <v>0</v>
      </c>
      <c r="AQ1428" t="e">
        <f t="shared" ca="1" si="689"/>
        <v>#VALUE!</v>
      </c>
      <c r="AR1428" t="e">
        <f t="shared" ca="1" si="690"/>
        <v>#VALUE!</v>
      </c>
      <c r="AS1428" t="e">
        <f t="shared" ca="1" si="691"/>
        <v>#VALUE!</v>
      </c>
    </row>
    <row r="1429" spans="1:45" x14ac:dyDescent="0.35">
      <c r="A1429">
        <v>1280</v>
      </c>
      <c r="B1429">
        <v>1278.8889999999999</v>
      </c>
      <c r="C1429">
        <v>616069.37600000005</v>
      </c>
      <c r="D1429">
        <v>3096725.298</v>
      </c>
      <c r="E1429">
        <v>631.92250000000001</v>
      </c>
      <c r="F1429">
        <v>5.2</v>
      </c>
      <c r="G1429">
        <v>0</v>
      </c>
      <c r="H1429" t="s">
        <v>191</v>
      </c>
      <c r="I1429">
        <v>5.7000000000000002E-2</v>
      </c>
      <c r="J1429">
        <f t="shared" si="692"/>
        <v>1</v>
      </c>
      <c r="K1429">
        <f t="shared" si="693"/>
        <v>51</v>
      </c>
      <c r="L1429" t="e">
        <f t="shared" ca="1" si="694"/>
        <v>#VALUE!</v>
      </c>
      <c r="M1429" t="e">
        <f t="shared" ca="1" si="667"/>
        <v>#VALUE!</v>
      </c>
      <c r="N1429" t="e">
        <f t="shared" ca="1" si="668"/>
        <v>#VALUE!</v>
      </c>
      <c r="O1429" t="e">
        <f t="shared" ca="1" si="669"/>
        <v>#VALUE!</v>
      </c>
      <c r="P1429" t="e">
        <f t="shared" ca="1" si="670"/>
        <v>#VALUE!</v>
      </c>
      <c r="Q1429" t="e">
        <f t="shared" ca="1" si="671"/>
        <v>#VALUE!</v>
      </c>
      <c r="R1429" t="e">
        <f t="shared" ca="1" si="672"/>
        <v>#VALUE!</v>
      </c>
      <c r="S1429" t="e">
        <f t="shared" ca="1" si="673"/>
        <v>#VALUE!</v>
      </c>
      <c r="T1429" t="e">
        <f t="shared" ca="1" si="674"/>
        <v>#VALUE!</v>
      </c>
      <c r="U1429" t="e">
        <f t="shared" ca="1" si="695"/>
        <v>#VALUE!</v>
      </c>
      <c r="V1429" t="e">
        <f t="shared" ca="1" si="696"/>
        <v>#VALUE!</v>
      </c>
      <c r="W1429" t="e">
        <f t="shared" ca="1" si="675"/>
        <v>#VALUE!</v>
      </c>
      <c r="X1429" t="e">
        <f t="shared" ca="1" si="676"/>
        <v>#VALUE!</v>
      </c>
      <c r="Y1429" t="e">
        <f t="shared" ca="1" si="677"/>
        <v>#VALUE!</v>
      </c>
      <c r="Z1429" t="e">
        <f t="shared" ca="1" si="678"/>
        <v>#VALUE!</v>
      </c>
      <c r="AA1429" t="e">
        <f t="shared" ca="1" si="679"/>
        <v>#VALUE!</v>
      </c>
      <c r="AB1429" t="e">
        <f t="shared" ca="1" si="680"/>
        <v>#VALUE!</v>
      </c>
      <c r="AC1429" t="e">
        <f t="shared" ca="1" si="681"/>
        <v>#VALUE!</v>
      </c>
      <c r="AD1429" t="e">
        <f t="shared" ca="1" si="682"/>
        <v>#VALUE!</v>
      </c>
      <c r="AE1429" t="e">
        <f t="shared" ca="1" si="683"/>
        <v>#VALUE!</v>
      </c>
      <c r="AF1429" t="e">
        <f t="shared" ca="1" si="684"/>
        <v>#VALUE!</v>
      </c>
      <c r="AG1429" t="e">
        <f t="shared" ca="1" si="685"/>
        <v>#VALUE!</v>
      </c>
      <c r="AH1429" t="e">
        <f ca="1">IF(V32="Supercritical",L1429,IF(V32="Subcritical",W1429,IF(AND(V1429=1,AG1429=1),IF(T1429&gt;=AE1429,L1429,W1429),IF(V1429=1,L1429,IF(AG1429=1,W1429,MAX($D$16,POWER((ABS(K1429)^2)/($I$5*MAX(F1429,0.1)^2),1/3)))))))</f>
        <v>#VALUE!</v>
      </c>
      <c r="AI1429" t="e">
        <f t="shared" ca="1" si="686"/>
        <v>#VALUE!</v>
      </c>
      <c r="AJ1429" t="e">
        <f t="shared" ca="1" si="687"/>
        <v>#VALUE!</v>
      </c>
      <c r="AM1429">
        <v>0</v>
      </c>
      <c r="AN1429">
        <v>0</v>
      </c>
      <c r="AO1429">
        <f t="shared" si="688"/>
        <v>0</v>
      </c>
      <c r="AP1429">
        <f t="shared" si="697"/>
        <v>0</v>
      </c>
      <c r="AQ1429" t="e">
        <f t="shared" ca="1" si="689"/>
        <v>#VALUE!</v>
      </c>
      <c r="AR1429" t="e">
        <f t="shared" ca="1" si="690"/>
        <v>#VALUE!</v>
      </c>
      <c r="AS1429" t="e">
        <f t="shared" ca="1" si="691"/>
        <v>#VALUE!</v>
      </c>
    </row>
    <row r="1430" spans="1:45" x14ac:dyDescent="0.35">
      <c r="A1430">
        <v>1281</v>
      </c>
      <c r="B1430">
        <v>1279.8889999999999</v>
      </c>
      <c r="C1430">
        <v>616069.33299999998</v>
      </c>
      <c r="D1430">
        <v>3096724.2990000001</v>
      </c>
      <c r="E1430">
        <v>631.92200000000003</v>
      </c>
      <c r="F1430">
        <v>5.2</v>
      </c>
      <c r="G1430">
        <v>0</v>
      </c>
      <c r="H1430" t="s">
        <v>191</v>
      </c>
      <c r="I1430">
        <v>5.7000000000000002E-2</v>
      </c>
      <c r="J1430">
        <f t="shared" si="692"/>
        <v>1</v>
      </c>
      <c r="K1430">
        <f t="shared" si="693"/>
        <v>51</v>
      </c>
      <c r="L1430" t="e">
        <f t="shared" ca="1" si="694"/>
        <v>#VALUE!</v>
      </c>
      <c r="M1430" t="e">
        <f t="shared" ref="M1430:M1493" ca="1" si="698">((F1430)+(G1430)*(L1430))*(L1430)</f>
        <v>#VALUE!</v>
      </c>
      <c r="N1430" t="e">
        <f t="shared" ref="N1430:N1493" ca="1" si="699">(((F1430)+(G1430)*(L1430))*(L1430))/MAX((F1430)+2*(L1430)*SQRT(1+(G1430)^2),0.000001)</f>
        <v>#VALUE!</v>
      </c>
      <c r="O1430" t="e">
        <f t="shared" ref="O1430:O1493" ca="1" si="700">ABS(K1430)/MAX(((F1430)+(G1430)*(L1430))*(L1430),0.000001)</f>
        <v>#VALUE!</v>
      </c>
      <c r="P1430" t="e">
        <f t="shared" ref="P1430:P1493" ca="1" si="701">E1430+L1430</f>
        <v>#VALUE!</v>
      </c>
      <c r="Q1430" t="e">
        <f t="shared" ref="Q1430:Q1493" ca="1" si="702">P1430+((ABS(K1430)/MAX(((F1430)+(G1430)*(L1430))*(L1430),0.000001))^2)/(2*$I$5)</f>
        <v>#VALUE!</v>
      </c>
      <c r="R1430" t="e">
        <f t="shared" ref="R1430:R1493" ca="1" si="703">((ABS(K1430)*$D$6)/(MAX(((F1430)+(G1430)*(L1430))*(L1430),0.000001)*MAX(((((F1430)+(G1430)*(L1430))*(L1430))/MAX((F1430)+2*(L1430)*SQRT(1+(G1430)^2),0.000001))^(2/3),0.000001)))^2</f>
        <v>#VALUE!</v>
      </c>
      <c r="S1430" t="e">
        <f t="shared" ref="S1430:S1493" ca="1" si="704">ABS(ABS(K1430)/MAX(((F1430)+(G1430)*(L1430))*(L1430),0.000001))/SQRT($I$5*MAX((((F1430)+(G1430)*(L1430))*(L1430))/MAX((F1430)+2*(G1430)*(L1430),0.000001),0.000001))</f>
        <v>#VALUE!</v>
      </c>
      <c r="T1430" t="e">
        <f t="shared" ref="T1430:T1493" ca="1" si="705">((F1430)*(L1430)^2)/2+(G1430)*(L1430)^3/3+(ABS(K1430)^2)/($I$5*MAX(((F1430)+(G1430)*(L1430))*(L1430),0.000001))</f>
        <v>#VALUE!</v>
      </c>
      <c r="U1430" t="e">
        <f t="shared" ca="1" si="695"/>
        <v>#VALUE!</v>
      </c>
      <c r="V1430" t="e">
        <f t="shared" ca="1" si="696"/>
        <v>#VALUE!</v>
      </c>
      <c r="W1430" t="e">
        <f t="shared" ref="W1430:W1493" ca="1" si="706">IF($D$20=0,W1431,IF(AG1431=0,W1431,IF(W1430=0,W1431,IF(ABS(AF1430)&gt;$D$19,MAX($D$16,W1430+((AF1430)*$D$18*IF((AD1430)&lt;1,1,-1))),W1430))))</f>
        <v>#VALUE!</v>
      </c>
      <c r="X1430" t="e">
        <f t="shared" ref="X1430:X1493" ca="1" si="707">((F1430)+(G1430)*(W1430))*(W1430)</f>
        <v>#VALUE!</v>
      </c>
      <c r="Y1430" t="e">
        <f t="shared" ref="Y1430:Y1493" ca="1" si="708">(((F1430)+(G1430)*(W1430))*(W1430))/MAX((F1430)+2*(W1430)*SQRT(1+(G1430)^2),0.000001)</f>
        <v>#VALUE!</v>
      </c>
      <c r="Z1430" t="e">
        <f t="shared" ref="Z1430:Z1493" ca="1" si="709">ABS(K1430)/MAX(((F1430)+(G1430)*(W1430))*(W1430),0.000001)</f>
        <v>#VALUE!</v>
      </c>
      <c r="AA1430" t="e">
        <f t="shared" ref="AA1430:AA1493" ca="1" si="710">E1430+W1430</f>
        <v>#VALUE!</v>
      </c>
      <c r="AB1430" t="e">
        <f t="shared" ref="AB1430:AB1493" ca="1" si="711">AA1430+((ABS(K1430)/MAX(((F1430)+(G1430)*(W1430))*(W1430),0.000001))^2)/(2*$I$5)</f>
        <v>#VALUE!</v>
      </c>
      <c r="AC1430" t="e">
        <f t="shared" ref="AC1430:AC1493" ca="1" si="712">((ABS(K1430)*$D$6)/(MAX(((F1430)+(G1430)*(W1430))*(W1430),0.000001)*MAX(((((F1430)+(G1430)*(W1430))*(W1430))/MAX((F1430)+2*(W1430)*SQRT(1+(G1430)^2),0.000001))^(2/3),0.000001)))^2</f>
        <v>#VALUE!</v>
      </c>
      <c r="AD1430" t="e">
        <f t="shared" ref="AD1430:AD1493" ca="1" si="713">ABS(ABS(K1430)/MAX(((F1430)+(G1430)*(W1430))*(W1430),0.000001))/SQRT($I$5*MAX((((F1430)+(G1430)*(W1430))*(W1430))/MAX((F1430)+2*(G1430)*(W1430),0.000001),0.000001))</f>
        <v>#VALUE!</v>
      </c>
      <c r="AE1430" t="e">
        <f t="shared" ref="AE1430:AE1493" ca="1" si="714">((F1430)*(W1430)^2)/2+(G1430)*(W1430)^3/3+(ABS(K1430)^2)/($I$5*MAX(((F1430)+(G1430)*(W1430))*(W1430),0.000001))</f>
        <v>#VALUE!</v>
      </c>
      <c r="AF1430" t="e">
        <f t="shared" ref="AF1430:AF1493" ca="1" si="715">AB1431+(((AC1430+AC1431)/2)*J1431)+(IF(Z1430&gt;Z1431,$D$8*((Z1430^2-Z1431^2)/(2*$I$5)),$D$9*((Z1431^2-Z1430^2)/(2*$I$5)))+($D$10*(ABS(I1431)/90)*(MAX(Z1430^2,Z1431^2)/(2*$I$5))))-AB1430</f>
        <v>#VALUE!</v>
      </c>
      <c r="AG1430" t="e">
        <f t="shared" ref="AG1430:AG1493" ca="1" si="716">IF(ABS(AF1430)&lt;$D$19,1,0)</f>
        <v>#VALUE!</v>
      </c>
      <c r="AH1430" t="e">
        <f ca="1">IF(V32="Supercritical",L1430,IF(V32="Subcritical",W1430,IF(AND(V1430=1,AG1430=1),IF(T1430&gt;=AE1430,L1430,W1430),IF(V1430=1,L1430,IF(AG1430=1,W1430,MAX($D$16,POWER((ABS(K1430)^2)/($I$5*MAX(F1430,0.1)^2),1/3)))))))</f>
        <v>#VALUE!</v>
      </c>
      <c r="AI1430" t="e">
        <f t="shared" ref="AI1430:AI1493" ca="1" si="717">E1430+AH1430</f>
        <v>#VALUE!</v>
      </c>
      <c r="AJ1430" t="e">
        <f t="shared" ref="AJ1430:AJ1493" ca="1" si="718">AI1430+((ABS(K1430)/MAX(((F1430)+(G1430)*(AH1430))*(AH1430),0.000001))^2)/(2*$I$5)</f>
        <v>#VALUE!</v>
      </c>
      <c r="AM1430">
        <v>0</v>
      </c>
      <c r="AN1430">
        <v>0</v>
      </c>
      <c r="AO1430">
        <f t="shared" ref="AO1430:AO1493" si="719">AM1430+AN1430</f>
        <v>0</v>
      </c>
      <c r="AP1430">
        <f t="shared" si="697"/>
        <v>0</v>
      </c>
      <c r="AQ1430" t="e">
        <f t="shared" ref="AQ1430:AQ1493" ca="1" si="720">ABS(ABS(K1430)/MAX(((F1430)+(G1430)*(AH1430))*(AH1430),0.000001))/SQRT($I$5*MAX((((F1430)+(G1430)*(AH1430))*(AH1430))/MAX((F1430)+2*(G1430)*(AH1430),0.000001),0.000001))</f>
        <v>#VALUE!</v>
      </c>
      <c r="AR1430" t="e">
        <f t="shared" ref="AR1430:AR1493" ca="1" si="721">IF(AQ1430&lt;1,"Subcritical","Supercritical")</f>
        <v>#VALUE!</v>
      </c>
      <c r="AS1430" t="e">
        <f t="shared" ref="AS1430:AS1493" ca="1" si="722">((ABS(K1430)*$D$6)/(MAX(((F1430)+(G1430)*(AH1430))*(AH1430),0.000001)*MAX(((((F1430)+(G1430)*(AH1430))*(AH1430))/MAX((F1430)+2*(AH1430)*SQRT(1+(G1430)^2),0.000001))^(2/3),0.000001)))^2</f>
        <v>#VALUE!</v>
      </c>
    </row>
    <row r="1431" spans="1:45" x14ac:dyDescent="0.35">
      <c r="A1431">
        <v>1282</v>
      </c>
      <c r="B1431">
        <v>1280.8889999999999</v>
      </c>
      <c r="C1431">
        <v>616069.29099999997</v>
      </c>
      <c r="D1431">
        <v>3096723.3</v>
      </c>
      <c r="E1431">
        <v>631.92150000000004</v>
      </c>
      <c r="F1431">
        <v>5.2</v>
      </c>
      <c r="G1431">
        <v>0</v>
      </c>
      <c r="H1431" t="s">
        <v>191</v>
      </c>
      <c r="I1431">
        <v>0</v>
      </c>
      <c r="J1431">
        <f t="shared" ref="J1431:J1494" si="723">B1431-B1430</f>
        <v>1</v>
      </c>
      <c r="K1431">
        <f t="shared" ref="K1431:K1494" si="724">MAX(0,K1430-AO1430)</f>
        <v>51</v>
      </c>
      <c r="L1431" t="e">
        <f t="shared" ref="L1431:L1494" ca="1" si="725">IF($D$20=0,L1430,IF(V1430=0,L1430,IF(L1431=0,L1430,IF(ABS(U1431)&gt;$D$19,MAX($D$16,L1431+((U1431)*$D$18*IF((S1431)&lt;1,1,-1))),L1431))))</f>
        <v>#VALUE!</v>
      </c>
      <c r="M1431" t="e">
        <f t="shared" ca="1" si="698"/>
        <v>#VALUE!</v>
      </c>
      <c r="N1431" t="e">
        <f t="shared" ca="1" si="699"/>
        <v>#VALUE!</v>
      </c>
      <c r="O1431" t="e">
        <f t="shared" ca="1" si="700"/>
        <v>#VALUE!</v>
      </c>
      <c r="P1431" t="e">
        <f t="shared" ca="1" si="701"/>
        <v>#VALUE!</v>
      </c>
      <c r="Q1431" t="e">
        <f t="shared" ca="1" si="702"/>
        <v>#VALUE!</v>
      </c>
      <c r="R1431" t="e">
        <f t="shared" ca="1" si="703"/>
        <v>#VALUE!</v>
      </c>
      <c r="S1431" t="e">
        <f t="shared" ca="1" si="704"/>
        <v>#VALUE!</v>
      </c>
      <c r="T1431" t="e">
        <f t="shared" ca="1" si="705"/>
        <v>#VALUE!</v>
      </c>
      <c r="U1431" t="e">
        <f t="shared" ref="U1431:U1494" ca="1" si="726">Q1430-(((R1430+R1431)/2)*J1431)-(IF(O1430&gt;O1431,$D$8*((O1430^2-O1431^2)/(2*$I$5)),$D$9*((O1431^2-O1430^2)/(2*$I$5)))+($D$10*(ABS(I1431)/90)*(MAX(O1430^2,O1431^2)/(2*$I$5))))-Q1431</f>
        <v>#VALUE!</v>
      </c>
      <c r="V1431" t="e">
        <f t="shared" ref="V1431:V1494" ca="1" si="727">IF(ABS(U1431)&lt;$D$19,1,0)</f>
        <v>#VALUE!</v>
      </c>
      <c r="W1431" t="e">
        <f t="shared" ca="1" si="706"/>
        <v>#VALUE!</v>
      </c>
      <c r="X1431" t="e">
        <f t="shared" ca="1" si="707"/>
        <v>#VALUE!</v>
      </c>
      <c r="Y1431" t="e">
        <f t="shared" ca="1" si="708"/>
        <v>#VALUE!</v>
      </c>
      <c r="Z1431" t="e">
        <f t="shared" ca="1" si="709"/>
        <v>#VALUE!</v>
      </c>
      <c r="AA1431" t="e">
        <f t="shared" ca="1" si="710"/>
        <v>#VALUE!</v>
      </c>
      <c r="AB1431" t="e">
        <f t="shared" ca="1" si="711"/>
        <v>#VALUE!</v>
      </c>
      <c r="AC1431" t="e">
        <f t="shared" ca="1" si="712"/>
        <v>#VALUE!</v>
      </c>
      <c r="AD1431" t="e">
        <f t="shared" ca="1" si="713"/>
        <v>#VALUE!</v>
      </c>
      <c r="AE1431" t="e">
        <f t="shared" ca="1" si="714"/>
        <v>#VALUE!</v>
      </c>
      <c r="AF1431" t="e">
        <f t="shared" ca="1" si="715"/>
        <v>#VALUE!</v>
      </c>
      <c r="AG1431" t="e">
        <f t="shared" ca="1" si="716"/>
        <v>#VALUE!</v>
      </c>
      <c r="AH1431" t="e">
        <f ca="1">IF(V32="Supercritical",L1431,IF(V32="Subcritical",W1431,IF(AND(V1431=1,AG1431=1),IF(T1431&gt;=AE1431,L1431,W1431),IF(V1431=1,L1431,IF(AG1431=1,W1431,MAX($D$16,POWER((ABS(K1431)^2)/($I$5*MAX(F1431,0.1)^2),1/3)))))))</f>
        <v>#VALUE!</v>
      </c>
      <c r="AI1431" t="e">
        <f t="shared" ca="1" si="717"/>
        <v>#VALUE!</v>
      </c>
      <c r="AJ1431" t="e">
        <f t="shared" ca="1" si="718"/>
        <v>#VALUE!</v>
      </c>
      <c r="AM1431">
        <v>0</v>
      </c>
      <c r="AN1431">
        <v>0</v>
      </c>
      <c r="AO1431">
        <f t="shared" si="719"/>
        <v>0</v>
      </c>
      <c r="AP1431">
        <f t="shared" ref="AP1431:AP1494" si="728">AP1430+AO1431</f>
        <v>0</v>
      </c>
      <c r="AQ1431" t="e">
        <f t="shared" ca="1" si="720"/>
        <v>#VALUE!</v>
      </c>
      <c r="AR1431" t="e">
        <f t="shared" ca="1" si="721"/>
        <v>#VALUE!</v>
      </c>
      <c r="AS1431" t="e">
        <f t="shared" ca="1" si="722"/>
        <v>#VALUE!</v>
      </c>
    </row>
    <row r="1432" spans="1:45" x14ac:dyDescent="0.35">
      <c r="A1432">
        <v>1283</v>
      </c>
      <c r="B1432">
        <v>1281.8889999999999</v>
      </c>
      <c r="C1432">
        <v>616069.24899999995</v>
      </c>
      <c r="D1432">
        <v>3096722.301</v>
      </c>
      <c r="E1432">
        <v>631.92100000000005</v>
      </c>
      <c r="F1432">
        <v>5.2</v>
      </c>
      <c r="G1432">
        <v>0</v>
      </c>
      <c r="H1432" t="s">
        <v>191</v>
      </c>
      <c r="I1432">
        <v>0</v>
      </c>
      <c r="J1432">
        <f t="shared" si="723"/>
        <v>1</v>
      </c>
      <c r="K1432">
        <f t="shared" si="724"/>
        <v>51</v>
      </c>
      <c r="L1432" t="e">
        <f t="shared" ca="1" si="725"/>
        <v>#VALUE!</v>
      </c>
      <c r="M1432" t="e">
        <f t="shared" ca="1" si="698"/>
        <v>#VALUE!</v>
      </c>
      <c r="N1432" t="e">
        <f t="shared" ca="1" si="699"/>
        <v>#VALUE!</v>
      </c>
      <c r="O1432" t="e">
        <f t="shared" ca="1" si="700"/>
        <v>#VALUE!</v>
      </c>
      <c r="P1432" t="e">
        <f t="shared" ca="1" si="701"/>
        <v>#VALUE!</v>
      </c>
      <c r="Q1432" t="e">
        <f t="shared" ca="1" si="702"/>
        <v>#VALUE!</v>
      </c>
      <c r="R1432" t="e">
        <f t="shared" ca="1" si="703"/>
        <v>#VALUE!</v>
      </c>
      <c r="S1432" t="e">
        <f t="shared" ca="1" si="704"/>
        <v>#VALUE!</v>
      </c>
      <c r="T1432" t="e">
        <f t="shared" ca="1" si="705"/>
        <v>#VALUE!</v>
      </c>
      <c r="U1432" t="e">
        <f t="shared" ca="1" si="726"/>
        <v>#VALUE!</v>
      </c>
      <c r="V1432" t="e">
        <f t="shared" ca="1" si="727"/>
        <v>#VALUE!</v>
      </c>
      <c r="W1432" t="e">
        <f t="shared" ca="1" si="706"/>
        <v>#VALUE!</v>
      </c>
      <c r="X1432" t="e">
        <f t="shared" ca="1" si="707"/>
        <v>#VALUE!</v>
      </c>
      <c r="Y1432" t="e">
        <f t="shared" ca="1" si="708"/>
        <v>#VALUE!</v>
      </c>
      <c r="Z1432" t="e">
        <f t="shared" ca="1" si="709"/>
        <v>#VALUE!</v>
      </c>
      <c r="AA1432" t="e">
        <f t="shared" ca="1" si="710"/>
        <v>#VALUE!</v>
      </c>
      <c r="AB1432" t="e">
        <f t="shared" ca="1" si="711"/>
        <v>#VALUE!</v>
      </c>
      <c r="AC1432" t="e">
        <f t="shared" ca="1" si="712"/>
        <v>#VALUE!</v>
      </c>
      <c r="AD1432" t="e">
        <f t="shared" ca="1" si="713"/>
        <v>#VALUE!</v>
      </c>
      <c r="AE1432" t="e">
        <f t="shared" ca="1" si="714"/>
        <v>#VALUE!</v>
      </c>
      <c r="AF1432" t="e">
        <f t="shared" ca="1" si="715"/>
        <v>#VALUE!</v>
      </c>
      <c r="AG1432" t="e">
        <f t="shared" ca="1" si="716"/>
        <v>#VALUE!</v>
      </c>
      <c r="AH1432" t="e">
        <f ca="1">IF(V32="Supercritical",L1432,IF(V32="Subcritical",W1432,IF(AND(V1432=1,AG1432=1),IF(T1432&gt;=AE1432,L1432,W1432),IF(V1432=1,L1432,IF(AG1432=1,W1432,MAX($D$16,POWER((ABS(K1432)^2)/($I$5*MAX(F1432,0.1)^2),1/3)))))))</f>
        <v>#VALUE!</v>
      </c>
      <c r="AI1432" t="e">
        <f t="shared" ca="1" si="717"/>
        <v>#VALUE!</v>
      </c>
      <c r="AJ1432" t="e">
        <f t="shared" ca="1" si="718"/>
        <v>#VALUE!</v>
      </c>
      <c r="AM1432">
        <v>0</v>
      </c>
      <c r="AN1432">
        <v>0</v>
      </c>
      <c r="AO1432">
        <f t="shared" si="719"/>
        <v>0</v>
      </c>
      <c r="AP1432">
        <f t="shared" si="728"/>
        <v>0</v>
      </c>
      <c r="AQ1432" t="e">
        <f t="shared" ca="1" si="720"/>
        <v>#VALUE!</v>
      </c>
      <c r="AR1432" t="e">
        <f t="shared" ca="1" si="721"/>
        <v>#VALUE!</v>
      </c>
      <c r="AS1432" t="e">
        <f t="shared" ca="1" si="722"/>
        <v>#VALUE!</v>
      </c>
    </row>
    <row r="1433" spans="1:45" x14ac:dyDescent="0.35">
      <c r="A1433">
        <v>1284</v>
      </c>
      <c r="B1433">
        <v>1282.8889999999999</v>
      </c>
      <c r="C1433">
        <v>616069.20700000005</v>
      </c>
      <c r="D1433">
        <v>3096721.3020000001</v>
      </c>
      <c r="E1433">
        <v>631.92049999999995</v>
      </c>
      <c r="F1433">
        <v>5.2</v>
      </c>
      <c r="G1433">
        <v>0</v>
      </c>
      <c r="H1433" t="s">
        <v>191</v>
      </c>
      <c r="I1433">
        <v>5.5E-2</v>
      </c>
      <c r="J1433">
        <f t="shared" si="723"/>
        <v>1</v>
      </c>
      <c r="K1433">
        <f t="shared" si="724"/>
        <v>51</v>
      </c>
      <c r="L1433" t="e">
        <f t="shared" ca="1" si="725"/>
        <v>#VALUE!</v>
      </c>
      <c r="M1433" t="e">
        <f t="shared" ca="1" si="698"/>
        <v>#VALUE!</v>
      </c>
      <c r="N1433" t="e">
        <f t="shared" ca="1" si="699"/>
        <v>#VALUE!</v>
      </c>
      <c r="O1433" t="e">
        <f t="shared" ca="1" si="700"/>
        <v>#VALUE!</v>
      </c>
      <c r="P1433" t="e">
        <f t="shared" ca="1" si="701"/>
        <v>#VALUE!</v>
      </c>
      <c r="Q1433" t="e">
        <f t="shared" ca="1" si="702"/>
        <v>#VALUE!</v>
      </c>
      <c r="R1433" t="e">
        <f t="shared" ca="1" si="703"/>
        <v>#VALUE!</v>
      </c>
      <c r="S1433" t="e">
        <f t="shared" ca="1" si="704"/>
        <v>#VALUE!</v>
      </c>
      <c r="T1433" t="e">
        <f t="shared" ca="1" si="705"/>
        <v>#VALUE!</v>
      </c>
      <c r="U1433" t="e">
        <f t="shared" ca="1" si="726"/>
        <v>#VALUE!</v>
      </c>
      <c r="V1433" t="e">
        <f t="shared" ca="1" si="727"/>
        <v>#VALUE!</v>
      </c>
      <c r="W1433" t="e">
        <f t="shared" ca="1" si="706"/>
        <v>#VALUE!</v>
      </c>
      <c r="X1433" t="e">
        <f t="shared" ca="1" si="707"/>
        <v>#VALUE!</v>
      </c>
      <c r="Y1433" t="e">
        <f t="shared" ca="1" si="708"/>
        <v>#VALUE!</v>
      </c>
      <c r="Z1433" t="e">
        <f t="shared" ca="1" si="709"/>
        <v>#VALUE!</v>
      </c>
      <c r="AA1433" t="e">
        <f t="shared" ca="1" si="710"/>
        <v>#VALUE!</v>
      </c>
      <c r="AB1433" t="e">
        <f t="shared" ca="1" si="711"/>
        <v>#VALUE!</v>
      </c>
      <c r="AC1433" t="e">
        <f t="shared" ca="1" si="712"/>
        <v>#VALUE!</v>
      </c>
      <c r="AD1433" t="e">
        <f t="shared" ca="1" si="713"/>
        <v>#VALUE!</v>
      </c>
      <c r="AE1433" t="e">
        <f t="shared" ca="1" si="714"/>
        <v>#VALUE!</v>
      </c>
      <c r="AF1433" t="e">
        <f t="shared" ca="1" si="715"/>
        <v>#VALUE!</v>
      </c>
      <c r="AG1433" t="e">
        <f t="shared" ca="1" si="716"/>
        <v>#VALUE!</v>
      </c>
      <c r="AH1433" t="e">
        <f ca="1">IF(V32="Supercritical",L1433,IF(V32="Subcritical",W1433,IF(AND(V1433=1,AG1433=1),IF(T1433&gt;=AE1433,L1433,W1433),IF(V1433=1,L1433,IF(AG1433=1,W1433,MAX($D$16,POWER((ABS(K1433)^2)/($I$5*MAX(F1433,0.1)^2),1/3)))))))</f>
        <v>#VALUE!</v>
      </c>
      <c r="AI1433" t="e">
        <f t="shared" ca="1" si="717"/>
        <v>#VALUE!</v>
      </c>
      <c r="AJ1433" t="e">
        <f t="shared" ca="1" si="718"/>
        <v>#VALUE!</v>
      </c>
      <c r="AM1433">
        <v>0</v>
      </c>
      <c r="AN1433">
        <v>0</v>
      </c>
      <c r="AO1433">
        <f t="shared" si="719"/>
        <v>0</v>
      </c>
      <c r="AP1433">
        <f t="shared" si="728"/>
        <v>0</v>
      </c>
      <c r="AQ1433" t="e">
        <f t="shared" ca="1" si="720"/>
        <v>#VALUE!</v>
      </c>
      <c r="AR1433" t="e">
        <f t="shared" ca="1" si="721"/>
        <v>#VALUE!</v>
      </c>
      <c r="AS1433" t="e">
        <f t="shared" ca="1" si="722"/>
        <v>#VALUE!</v>
      </c>
    </row>
    <row r="1434" spans="1:45" x14ac:dyDescent="0.35">
      <c r="A1434">
        <v>1285</v>
      </c>
      <c r="B1434">
        <v>1283.8900000000001</v>
      </c>
      <c r="C1434">
        <v>616069.16399999999</v>
      </c>
      <c r="D1434">
        <v>3096720.3020000001</v>
      </c>
      <c r="E1434">
        <v>631.91999999999996</v>
      </c>
      <c r="F1434">
        <v>5.2</v>
      </c>
      <c r="G1434">
        <v>0</v>
      </c>
      <c r="H1434" t="s">
        <v>191</v>
      </c>
      <c r="I1434">
        <v>5.5E-2</v>
      </c>
      <c r="J1434">
        <f t="shared" si="723"/>
        <v>1.0010000000002037</v>
      </c>
      <c r="K1434">
        <f t="shared" si="724"/>
        <v>51</v>
      </c>
      <c r="L1434" t="e">
        <f t="shared" ca="1" si="725"/>
        <v>#VALUE!</v>
      </c>
      <c r="M1434" t="e">
        <f t="shared" ca="1" si="698"/>
        <v>#VALUE!</v>
      </c>
      <c r="N1434" t="e">
        <f t="shared" ca="1" si="699"/>
        <v>#VALUE!</v>
      </c>
      <c r="O1434" t="e">
        <f t="shared" ca="1" si="700"/>
        <v>#VALUE!</v>
      </c>
      <c r="P1434" t="e">
        <f t="shared" ca="1" si="701"/>
        <v>#VALUE!</v>
      </c>
      <c r="Q1434" t="e">
        <f t="shared" ca="1" si="702"/>
        <v>#VALUE!</v>
      </c>
      <c r="R1434" t="e">
        <f t="shared" ca="1" si="703"/>
        <v>#VALUE!</v>
      </c>
      <c r="S1434" t="e">
        <f t="shared" ca="1" si="704"/>
        <v>#VALUE!</v>
      </c>
      <c r="T1434" t="e">
        <f t="shared" ca="1" si="705"/>
        <v>#VALUE!</v>
      </c>
      <c r="U1434" t="e">
        <f t="shared" ca="1" si="726"/>
        <v>#VALUE!</v>
      </c>
      <c r="V1434" t="e">
        <f t="shared" ca="1" si="727"/>
        <v>#VALUE!</v>
      </c>
      <c r="W1434" t="e">
        <f t="shared" ca="1" si="706"/>
        <v>#VALUE!</v>
      </c>
      <c r="X1434" t="e">
        <f t="shared" ca="1" si="707"/>
        <v>#VALUE!</v>
      </c>
      <c r="Y1434" t="e">
        <f t="shared" ca="1" si="708"/>
        <v>#VALUE!</v>
      </c>
      <c r="Z1434" t="e">
        <f t="shared" ca="1" si="709"/>
        <v>#VALUE!</v>
      </c>
      <c r="AA1434" t="e">
        <f t="shared" ca="1" si="710"/>
        <v>#VALUE!</v>
      </c>
      <c r="AB1434" t="e">
        <f t="shared" ca="1" si="711"/>
        <v>#VALUE!</v>
      </c>
      <c r="AC1434" t="e">
        <f t="shared" ca="1" si="712"/>
        <v>#VALUE!</v>
      </c>
      <c r="AD1434" t="e">
        <f t="shared" ca="1" si="713"/>
        <v>#VALUE!</v>
      </c>
      <c r="AE1434" t="e">
        <f t="shared" ca="1" si="714"/>
        <v>#VALUE!</v>
      </c>
      <c r="AF1434" t="e">
        <f t="shared" ca="1" si="715"/>
        <v>#VALUE!</v>
      </c>
      <c r="AG1434" t="e">
        <f t="shared" ca="1" si="716"/>
        <v>#VALUE!</v>
      </c>
      <c r="AH1434" t="e">
        <f ca="1">IF(V32="Supercritical",L1434,IF(V32="Subcritical",W1434,IF(AND(V1434=1,AG1434=1),IF(T1434&gt;=AE1434,L1434,W1434),IF(V1434=1,L1434,IF(AG1434=1,W1434,MAX($D$16,POWER((ABS(K1434)^2)/($I$5*MAX(F1434,0.1)^2),1/3)))))))</f>
        <v>#VALUE!</v>
      </c>
      <c r="AI1434" t="e">
        <f t="shared" ca="1" si="717"/>
        <v>#VALUE!</v>
      </c>
      <c r="AJ1434" t="e">
        <f t="shared" ca="1" si="718"/>
        <v>#VALUE!</v>
      </c>
      <c r="AM1434">
        <v>0</v>
      </c>
      <c r="AN1434">
        <v>0</v>
      </c>
      <c r="AO1434">
        <f t="shared" si="719"/>
        <v>0</v>
      </c>
      <c r="AP1434">
        <f t="shared" si="728"/>
        <v>0</v>
      </c>
      <c r="AQ1434" t="e">
        <f t="shared" ca="1" si="720"/>
        <v>#VALUE!</v>
      </c>
      <c r="AR1434" t="e">
        <f t="shared" ca="1" si="721"/>
        <v>#VALUE!</v>
      </c>
      <c r="AS1434" t="e">
        <f t="shared" ca="1" si="722"/>
        <v>#VALUE!</v>
      </c>
    </row>
    <row r="1435" spans="1:45" x14ac:dyDescent="0.35">
      <c r="A1435">
        <v>1286</v>
      </c>
      <c r="B1435">
        <v>1284.8900000000001</v>
      </c>
      <c r="C1435">
        <v>616069.12199999997</v>
      </c>
      <c r="D1435">
        <v>3096719.3029999998</v>
      </c>
      <c r="E1435">
        <v>631.91949999999997</v>
      </c>
      <c r="F1435">
        <v>5.2</v>
      </c>
      <c r="G1435">
        <v>0</v>
      </c>
      <c r="H1435" t="s">
        <v>191</v>
      </c>
      <c r="I1435">
        <v>0</v>
      </c>
      <c r="J1435">
        <f t="shared" si="723"/>
        <v>1</v>
      </c>
      <c r="K1435">
        <f t="shared" si="724"/>
        <v>51</v>
      </c>
      <c r="L1435" t="e">
        <f t="shared" ca="1" si="725"/>
        <v>#VALUE!</v>
      </c>
      <c r="M1435" t="e">
        <f t="shared" ca="1" si="698"/>
        <v>#VALUE!</v>
      </c>
      <c r="N1435" t="e">
        <f t="shared" ca="1" si="699"/>
        <v>#VALUE!</v>
      </c>
      <c r="O1435" t="e">
        <f t="shared" ca="1" si="700"/>
        <v>#VALUE!</v>
      </c>
      <c r="P1435" t="e">
        <f t="shared" ca="1" si="701"/>
        <v>#VALUE!</v>
      </c>
      <c r="Q1435" t="e">
        <f t="shared" ca="1" si="702"/>
        <v>#VALUE!</v>
      </c>
      <c r="R1435" t="e">
        <f t="shared" ca="1" si="703"/>
        <v>#VALUE!</v>
      </c>
      <c r="S1435" t="e">
        <f t="shared" ca="1" si="704"/>
        <v>#VALUE!</v>
      </c>
      <c r="T1435" t="e">
        <f t="shared" ca="1" si="705"/>
        <v>#VALUE!</v>
      </c>
      <c r="U1435" t="e">
        <f t="shared" ca="1" si="726"/>
        <v>#VALUE!</v>
      </c>
      <c r="V1435" t="e">
        <f t="shared" ca="1" si="727"/>
        <v>#VALUE!</v>
      </c>
      <c r="W1435" t="e">
        <f t="shared" ca="1" si="706"/>
        <v>#VALUE!</v>
      </c>
      <c r="X1435" t="e">
        <f t="shared" ca="1" si="707"/>
        <v>#VALUE!</v>
      </c>
      <c r="Y1435" t="e">
        <f t="shared" ca="1" si="708"/>
        <v>#VALUE!</v>
      </c>
      <c r="Z1435" t="e">
        <f t="shared" ca="1" si="709"/>
        <v>#VALUE!</v>
      </c>
      <c r="AA1435" t="e">
        <f t="shared" ca="1" si="710"/>
        <v>#VALUE!</v>
      </c>
      <c r="AB1435" t="e">
        <f t="shared" ca="1" si="711"/>
        <v>#VALUE!</v>
      </c>
      <c r="AC1435" t="e">
        <f t="shared" ca="1" si="712"/>
        <v>#VALUE!</v>
      </c>
      <c r="AD1435" t="e">
        <f t="shared" ca="1" si="713"/>
        <v>#VALUE!</v>
      </c>
      <c r="AE1435" t="e">
        <f t="shared" ca="1" si="714"/>
        <v>#VALUE!</v>
      </c>
      <c r="AF1435" t="e">
        <f t="shared" ca="1" si="715"/>
        <v>#VALUE!</v>
      </c>
      <c r="AG1435" t="e">
        <f t="shared" ca="1" si="716"/>
        <v>#VALUE!</v>
      </c>
      <c r="AH1435" t="e">
        <f ca="1">IF(V32="Supercritical",L1435,IF(V32="Subcritical",W1435,IF(AND(V1435=1,AG1435=1),IF(T1435&gt;=AE1435,L1435,W1435),IF(V1435=1,L1435,IF(AG1435=1,W1435,MAX($D$16,POWER((ABS(K1435)^2)/($I$5*MAX(F1435,0.1)^2),1/3)))))))</f>
        <v>#VALUE!</v>
      </c>
      <c r="AI1435" t="e">
        <f t="shared" ca="1" si="717"/>
        <v>#VALUE!</v>
      </c>
      <c r="AJ1435" t="e">
        <f t="shared" ca="1" si="718"/>
        <v>#VALUE!</v>
      </c>
      <c r="AM1435">
        <v>0</v>
      </c>
      <c r="AN1435">
        <v>0</v>
      </c>
      <c r="AO1435">
        <f t="shared" si="719"/>
        <v>0</v>
      </c>
      <c r="AP1435">
        <f t="shared" si="728"/>
        <v>0</v>
      </c>
      <c r="AQ1435" t="e">
        <f t="shared" ca="1" si="720"/>
        <v>#VALUE!</v>
      </c>
      <c r="AR1435" t="e">
        <f t="shared" ca="1" si="721"/>
        <v>#VALUE!</v>
      </c>
      <c r="AS1435" t="e">
        <f t="shared" ca="1" si="722"/>
        <v>#VALUE!</v>
      </c>
    </row>
    <row r="1436" spans="1:45" x14ac:dyDescent="0.35">
      <c r="A1436">
        <v>1287</v>
      </c>
      <c r="B1436">
        <v>1285.8900000000001</v>
      </c>
      <c r="C1436">
        <v>616069.07999999996</v>
      </c>
      <c r="D1436">
        <v>3096718.304</v>
      </c>
      <c r="E1436">
        <v>631.91899999999998</v>
      </c>
      <c r="F1436">
        <v>5.2</v>
      </c>
      <c r="G1436">
        <v>0</v>
      </c>
      <c r="H1436" t="s">
        <v>191</v>
      </c>
      <c r="I1436">
        <v>0</v>
      </c>
      <c r="J1436">
        <f t="shared" si="723"/>
        <v>1</v>
      </c>
      <c r="K1436">
        <f t="shared" si="724"/>
        <v>51</v>
      </c>
      <c r="L1436" t="e">
        <f t="shared" ca="1" si="725"/>
        <v>#VALUE!</v>
      </c>
      <c r="M1436" t="e">
        <f t="shared" ca="1" si="698"/>
        <v>#VALUE!</v>
      </c>
      <c r="N1436" t="e">
        <f t="shared" ca="1" si="699"/>
        <v>#VALUE!</v>
      </c>
      <c r="O1436" t="e">
        <f t="shared" ca="1" si="700"/>
        <v>#VALUE!</v>
      </c>
      <c r="P1436" t="e">
        <f t="shared" ca="1" si="701"/>
        <v>#VALUE!</v>
      </c>
      <c r="Q1436" t="e">
        <f t="shared" ca="1" si="702"/>
        <v>#VALUE!</v>
      </c>
      <c r="R1436" t="e">
        <f t="shared" ca="1" si="703"/>
        <v>#VALUE!</v>
      </c>
      <c r="S1436" t="e">
        <f t="shared" ca="1" si="704"/>
        <v>#VALUE!</v>
      </c>
      <c r="T1436" t="e">
        <f t="shared" ca="1" si="705"/>
        <v>#VALUE!</v>
      </c>
      <c r="U1436" t="e">
        <f t="shared" ca="1" si="726"/>
        <v>#VALUE!</v>
      </c>
      <c r="V1436" t="e">
        <f t="shared" ca="1" si="727"/>
        <v>#VALUE!</v>
      </c>
      <c r="W1436" t="e">
        <f t="shared" ca="1" si="706"/>
        <v>#VALUE!</v>
      </c>
      <c r="X1436" t="e">
        <f t="shared" ca="1" si="707"/>
        <v>#VALUE!</v>
      </c>
      <c r="Y1436" t="e">
        <f t="shared" ca="1" si="708"/>
        <v>#VALUE!</v>
      </c>
      <c r="Z1436" t="e">
        <f t="shared" ca="1" si="709"/>
        <v>#VALUE!</v>
      </c>
      <c r="AA1436" t="e">
        <f t="shared" ca="1" si="710"/>
        <v>#VALUE!</v>
      </c>
      <c r="AB1436" t="e">
        <f t="shared" ca="1" si="711"/>
        <v>#VALUE!</v>
      </c>
      <c r="AC1436" t="e">
        <f t="shared" ca="1" si="712"/>
        <v>#VALUE!</v>
      </c>
      <c r="AD1436" t="e">
        <f t="shared" ca="1" si="713"/>
        <v>#VALUE!</v>
      </c>
      <c r="AE1436" t="e">
        <f t="shared" ca="1" si="714"/>
        <v>#VALUE!</v>
      </c>
      <c r="AF1436" t="e">
        <f t="shared" ca="1" si="715"/>
        <v>#VALUE!</v>
      </c>
      <c r="AG1436" t="e">
        <f t="shared" ca="1" si="716"/>
        <v>#VALUE!</v>
      </c>
      <c r="AH1436" t="e">
        <f ca="1">IF(V32="Supercritical",L1436,IF(V32="Subcritical",W1436,IF(AND(V1436=1,AG1436=1),IF(T1436&gt;=AE1436,L1436,W1436),IF(V1436=1,L1436,IF(AG1436=1,W1436,MAX($D$16,POWER((ABS(K1436)^2)/($I$5*MAX(F1436,0.1)^2),1/3)))))))</f>
        <v>#VALUE!</v>
      </c>
      <c r="AI1436" t="e">
        <f t="shared" ca="1" si="717"/>
        <v>#VALUE!</v>
      </c>
      <c r="AJ1436" t="e">
        <f t="shared" ca="1" si="718"/>
        <v>#VALUE!</v>
      </c>
      <c r="AM1436">
        <v>0</v>
      </c>
      <c r="AN1436">
        <v>0</v>
      </c>
      <c r="AO1436">
        <f t="shared" si="719"/>
        <v>0</v>
      </c>
      <c r="AP1436">
        <f t="shared" si="728"/>
        <v>0</v>
      </c>
      <c r="AQ1436" t="e">
        <f t="shared" ca="1" si="720"/>
        <v>#VALUE!</v>
      </c>
      <c r="AR1436" t="e">
        <f t="shared" ca="1" si="721"/>
        <v>#VALUE!</v>
      </c>
      <c r="AS1436" t="e">
        <f t="shared" ca="1" si="722"/>
        <v>#VALUE!</v>
      </c>
    </row>
    <row r="1437" spans="1:45" x14ac:dyDescent="0.35">
      <c r="A1437">
        <v>1288</v>
      </c>
      <c r="B1437">
        <v>1286.8889999999999</v>
      </c>
      <c r="C1437">
        <v>616069.03799999994</v>
      </c>
      <c r="D1437">
        <v>3096717.3050000002</v>
      </c>
      <c r="E1437">
        <v>631.91849999999999</v>
      </c>
      <c r="F1437">
        <v>5.2</v>
      </c>
      <c r="G1437">
        <v>0</v>
      </c>
      <c r="H1437" t="s">
        <v>191</v>
      </c>
      <c r="I1437">
        <v>5.7000000000000002E-2</v>
      </c>
      <c r="J1437">
        <f t="shared" si="723"/>
        <v>0.99899999999979627</v>
      </c>
      <c r="K1437">
        <f t="shared" si="724"/>
        <v>51</v>
      </c>
      <c r="L1437" t="e">
        <f t="shared" ca="1" si="725"/>
        <v>#VALUE!</v>
      </c>
      <c r="M1437" t="e">
        <f t="shared" ca="1" si="698"/>
        <v>#VALUE!</v>
      </c>
      <c r="N1437" t="e">
        <f t="shared" ca="1" si="699"/>
        <v>#VALUE!</v>
      </c>
      <c r="O1437" t="e">
        <f t="shared" ca="1" si="700"/>
        <v>#VALUE!</v>
      </c>
      <c r="P1437" t="e">
        <f t="shared" ca="1" si="701"/>
        <v>#VALUE!</v>
      </c>
      <c r="Q1437" t="e">
        <f t="shared" ca="1" si="702"/>
        <v>#VALUE!</v>
      </c>
      <c r="R1437" t="e">
        <f t="shared" ca="1" si="703"/>
        <v>#VALUE!</v>
      </c>
      <c r="S1437" t="e">
        <f t="shared" ca="1" si="704"/>
        <v>#VALUE!</v>
      </c>
      <c r="T1437" t="e">
        <f t="shared" ca="1" si="705"/>
        <v>#VALUE!</v>
      </c>
      <c r="U1437" t="e">
        <f t="shared" ca="1" si="726"/>
        <v>#VALUE!</v>
      </c>
      <c r="V1437" t="e">
        <f t="shared" ca="1" si="727"/>
        <v>#VALUE!</v>
      </c>
      <c r="W1437" t="e">
        <f t="shared" ca="1" si="706"/>
        <v>#VALUE!</v>
      </c>
      <c r="X1437" t="e">
        <f t="shared" ca="1" si="707"/>
        <v>#VALUE!</v>
      </c>
      <c r="Y1437" t="e">
        <f t="shared" ca="1" si="708"/>
        <v>#VALUE!</v>
      </c>
      <c r="Z1437" t="e">
        <f t="shared" ca="1" si="709"/>
        <v>#VALUE!</v>
      </c>
      <c r="AA1437" t="e">
        <f t="shared" ca="1" si="710"/>
        <v>#VALUE!</v>
      </c>
      <c r="AB1437" t="e">
        <f t="shared" ca="1" si="711"/>
        <v>#VALUE!</v>
      </c>
      <c r="AC1437" t="e">
        <f t="shared" ca="1" si="712"/>
        <v>#VALUE!</v>
      </c>
      <c r="AD1437" t="e">
        <f t="shared" ca="1" si="713"/>
        <v>#VALUE!</v>
      </c>
      <c r="AE1437" t="e">
        <f t="shared" ca="1" si="714"/>
        <v>#VALUE!</v>
      </c>
      <c r="AF1437" t="e">
        <f t="shared" ca="1" si="715"/>
        <v>#VALUE!</v>
      </c>
      <c r="AG1437" t="e">
        <f t="shared" ca="1" si="716"/>
        <v>#VALUE!</v>
      </c>
      <c r="AH1437" t="e">
        <f ca="1">IF(V32="Supercritical",L1437,IF(V32="Subcritical",W1437,IF(AND(V1437=1,AG1437=1),IF(T1437&gt;=AE1437,L1437,W1437),IF(V1437=1,L1437,IF(AG1437=1,W1437,MAX($D$16,POWER((ABS(K1437)^2)/($I$5*MAX(F1437,0.1)^2),1/3)))))))</f>
        <v>#VALUE!</v>
      </c>
      <c r="AI1437" t="e">
        <f t="shared" ca="1" si="717"/>
        <v>#VALUE!</v>
      </c>
      <c r="AJ1437" t="e">
        <f t="shared" ca="1" si="718"/>
        <v>#VALUE!</v>
      </c>
      <c r="AM1437">
        <v>0</v>
      </c>
      <c r="AN1437">
        <v>0</v>
      </c>
      <c r="AO1437">
        <f t="shared" si="719"/>
        <v>0</v>
      </c>
      <c r="AP1437">
        <f t="shared" si="728"/>
        <v>0</v>
      </c>
      <c r="AQ1437" t="e">
        <f t="shared" ca="1" si="720"/>
        <v>#VALUE!</v>
      </c>
      <c r="AR1437" t="e">
        <f t="shared" ca="1" si="721"/>
        <v>#VALUE!</v>
      </c>
      <c r="AS1437" t="e">
        <f t="shared" ca="1" si="722"/>
        <v>#VALUE!</v>
      </c>
    </row>
    <row r="1438" spans="1:45" x14ac:dyDescent="0.35">
      <c r="A1438">
        <v>1289</v>
      </c>
      <c r="B1438">
        <v>1287.8889999999999</v>
      </c>
      <c r="C1438">
        <v>616068.995</v>
      </c>
      <c r="D1438">
        <v>3096716.3059999999</v>
      </c>
      <c r="E1438">
        <v>631.91800000000001</v>
      </c>
      <c r="F1438">
        <v>5.2</v>
      </c>
      <c r="G1438">
        <v>0</v>
      </c>
      <c r="H1438" t="s">
        <v>191</v>
      </c>
      <c r="I1438">
        <v>5.7000000000000002E-2</v>
      </c>
      <c r="J1438">
        <f t="shared" si="723"/>
        <v>1</v>
      </c>
      <c r="K1438">
        <f t="shared" si="724"/>
        <v>51</v>
      </c>
      <c r="L1438" t="e">
        <f t="shared" ca="1" si="725"/>
        <v>#VALUE!</v>
      </c>
      <c r="M1438" t="e">
        <f t="shared" ca="1" si="698"/>
        <v>#VALUE!</v>
      </c>
      <c r="N1438" t="e">
        <f t="shared" ca="1" si="699"/>
        <v>#VALUE!</v>
      </c>
      <c r="O1438" t="e">
        <f t="shared" ca="1" si="700"/>
        <v>#VALUE!</v>
      </c>
      <c r="P1438" t="e">
        <f t="shared" ca="1" si="701"/>
        <v>#VALUE!</v>
      </c>
      <c r="Q1438" t="e">
        <f t="shared" ca="1" si="702"/>
        <v>#VALUE!</v>
      </c>
      <c r="R1438" t="e">
        <f t="shared" ca="1" si="703"/>
        <v>#VALUE!</v>
      </c>
      <c r="S1438" t="e">
        <f t="shared" ca="1" si="704"/>
        <v>#VALUE!</v>
      </c>
      <c r="T1438" t="e">
        <f t="shared" ca="1" si="705"/>
        <v>#VALUE!</v>
      </c>
      <c r="U1438" t="e">
        <f t="shared" ca="1" si="726"/>
        <v>#VALUE!</v>
      </c>
      <c r="V1438" t="e">
        <f t="shared" ca="1" si="727"/>
        <v>#VALUE!</v>
      </c>
      <c r="W1438" t="e">
        <f t="shared" ca="1" si="706"/>
        <v>#VALUE!</v>
      </c>
      <c r="X1438" t="e">
        <f t="shared" ca="1" si="707"/>
        <v>#VALUE!</v>
      </c>
      <c r="Y1438" t="e">
        <f t="shared" ca="1" si="708"/>
        <v>#VALUE!</v>
      </c>
      <c r="Z1438" t="e">
        <f t="shared" ca="1" si="709"/>
        <v>#VALUE!</v>
      </c>
      <c r="AA1438" t="e">
        <f t="shared" ca="1" si="710"/>
        <v>#VALUE!</v>
      </c>
      <c r="AB1438" t="e">
        <f t="shared" ca="1" si="711"/>
        <v>#VALUE!</v>
      </c>
      <c r="AC1438" t="e">
        <f t="shared" ca="1" si="712"/>
        <v>#VALUE!</v>
      </c>
      <c r="AD1438" t="e">
        <f t="shared" ca="1" si="713"/>
        <v>#VALUE!</v>
      </c>
      <c r="AE1438" t="e">
        <f t="shared" ca="1" si="714"/>
        <v>#VALUE!</v>
      </c>
      <c r="AF1438" t="e">
        <f t="shared" ca="1" si="715"/>
        <v>#VALUE!</v>
      </c>
      <c r="AG1438" t="e">
        <f t="shared" ca="1" si="716"/>
        <v>#VALUE!</v>
      </c>
      <c r="AH1438" t="e">
        <f ca="1">IF(V32="Supercritical",L1438,IF(V32="Subcritical",W1438,IF(AND(V1438=1,AG1438=1),IF(T1438&gt;=AE1438,L1438,W1438),IF(V1438=1,L1438,IF(AG1438=1,W1438,MAX($D$16,POWER((ABS(K1438)^2)/($I$5*MAX(F1438,0.1)^2),1/3)))))))</f>
        <v>#VALUE!</v>
      </c>
      <c r="AI1438" t="e">
        <f t="shared" ca="1" si="717"/>
        <v>#VALUE!</v>
      </c>
      <c r="AJ1438" t="e">
        <f t="shared" ca="1" si="718"/>
        <v>#VALUE!</v>
      </c>
      <c r="AM1438">
        <v>0</v>
      </c>
      <c r="AN1438">
        <v>0</v>
      </c>
      <c r="AO1438">
        <f t="shared" si="719"/>
        <v>0</v>
      </c>
      <c r="AP1438">
        <f t="shared" si="728"/>
        <v>0</v>
      </c>
      <c r="AQ1438" t="e">
        <f t="shared" ca="1" si="720"/>
        <v>#VALUE!</v>
      </c>
      <c r="AR1438" t="e">
        <f t="shared" ca="1" si="721"/>
        <v>#VALUE!</v>
      </c>
      <c r="AS1438" t="e">
        <f t="shared" ca="1" si="722"/>
        <v>#VALUE!</v>
      </c>
    </row>
    <row r="1439" spans="1:45" x14ac:dyDescent="0.35">
      <c r="A1439">
        <v>1290</v>
      </c>
      <c r="B1439">
        <v>1288.8889999999999</v>
      </c>
      <c r="C1439">
        <v>616068.95299999998</v>
      </c>
      <c r="D1439">
        <v>3096715.307</v>
      </c>
      <c r="E1439">
        <v>631.91750000000002</v>
      </c>
      <c r="F1439">
        <v>5.2</v>
      </c>
      <c r="G1439">
        <v>0</v>
      </c>
      <c r="H1439" t="s">
        <v>191</v>
      </c>
      <c r="I1439">
        <v>0</v>
      </c>
      <c r="J1439">
        <f t="shared" si="723"/>
        <v>1</v>
      </c>
      <c r="K1439">
        <f t="shared" si="724"/>
        <v>51</v>
      </c>
      <c r="L1439" t="e">
        <f t="shared" ca="1" si="725"/>
        <v>#VALUE!</v>
      </c>
      <c r="M1439" t="e">
        <f t="shared" ca="1" si="698"/>
        <v>#VALUE!</v>
      </c>
      <c r="N1439" t="e">
        <f t="shared" ca="1" si="699"/>
        <v>#VALUE!</v>
      </c>
      <c r="O1439" t="e">
        <f t="shared" ca="1" si="700"/>
        <v>#VALUE!</v>
      </c>
      <c r="P1439" t="e">
        <f t="shared" ca="1" si="701"/>
        <v>#VALUE!</v>
      </c>
      <c r="Q1439" t="e">
        <f t="shared" ca="1" si="702"/>
        <v>#VALUE!</v>
      </c>
      <c r="R1439" t="e">
        <f t="shared" ca="1" si="703"/>
        <v>#VALUE!</v>
      </c>
      <c r="S1439" t="e">
        <f t="shared" ca="1" si="704"/>
        <v>#VALUE!</v>
      </c>
      <c r="T1439" t="e">
        <f t="shared" ca="1" si="705"/>
        <v>#VALUE!</v>
      </c>
      <c r="U1439" t="e">
        <f t="shared" ca="1" si="726"/>
        <v>#VALUE!</v>
      </c>
      <c r="V1439" t="e">
        <f t="shared" ca="1" si="727"/>
        <v>#VALUE!</v>
      </c>
      <c r="W1439" t="e">
        <f t="shared" ca="1" si="706"/>
        <v>#VALUE!</v>
      </c>
      <c r="X1439" t="e">
        <f t="shared" ca="1" si="707"/>
        <v>#VALUE!</v>
      </c>
      <c r="Y1439" t="e">
        <f t="shared" ca="1" si="708"/>
        <v>#VALUE!</v>
      </c>
      <c r="Z1439" t="e">
        <f t="shared" ca="1" si="709"/>
        <v>#VALUE!</v>
      </c>
      <c r="AA1439" t="e">
        <f t="shared" ca="1" si="710"/>
        <v>#VALUE!</v>
      </c>
      <c r="AB1439" t="e">
        <f t="shared" ca="1" si="711"/>
        <v>#VALUE!</v>
      </c>
      <c r="AC1439" t="e">
        <f t="shared" ca="1" si="712"/>
        <v>#VALUE!</v>
      </c>
      <c r="AD1439" t="e">
        <f t="shared" ca="1" si="713"/>
        <v>#VALUE!</v>
      </c>
      <c r="AE1439" t="e">
        <f t="shared" ca="1" si="714"/>
        <v>#VALUE!</v>
      </c>
      <c r="AF1439" t="e">
        <f t="shared" ca="1" si="715"/>
        <v>#VALUE!</v>
      </c>
      <c r="AG1439" t="e">
        <f t="shared" ca="1" si="716"/>
        <v>#VALUE!</v>
      </c>
      <c r="AH1439" t="e">
        <f ca="1">IF(V32="Supercritical",L1439,IF(V32="Subcritical",W1439,IF(AND(V1439=1,AG1439=1),IF(T1439&gt;=AE1439,L1439,W1439),IF(V1439=1,L1439,IF(AG1439=1,W1439,MAX($D$16,POWER((ABS(K1439)^2)/($I$5*MAX(F1439,0.1)^2),1/3)))))))</f>
        <v>#VALUE!</v>
      </c>
      <c r="AI1439" t="e">
        <f t="shared" ca="1" si="717"/>
        <v>#VALUE!</v>
      </c>
      <c r="AJ1439" t="e">
        <f t="shared" ca="1" si="718"/>
        <v>#VALUE!</v>
      </c>
      <c r="AM1439">
        <v>0</v>
      </c>
      <c r="AN1439">
        <v>0</v>
      </c>
      <c r="AO1439">
        <f t="shared" si="719"/>
        <v>0</v>
      </c>
      <c r="AP1439">
        <f t="shared" si="728"/>
        <v>0</v>
      </c>
      <c r="AQ1439" t="e">
        <f t="shared" ca="1" si="720"/>
        <v>#VALUE!</v>
      </c>
      <c r="AR1439" t="e">
        <f t="shared" ca="1" si="721"/>
        <v>#VALUE!</v>
      </c>
      <c r="AS1439" t="e">
        <f t="shared" ca="1" si="722"/>
        <v>#VALUE!</v>
      </c>
    </row>
    <row r="1440" spans="1:45" x14ac:dyDescent="0.35">
      <c r="A1440">
        <v>1291</v>
      </c>
      <c r="B1440">
        <v>1289.8889999999999</v>
      </c>
      <c r="C1440">
        <v>616068.91099999996</v>
      </c>
      <c r="D1440">
        <v>3096714.3080000002</v>
      </c>
      <c r="E1440">
        <v>631.91700000000003</v>
      </c>
      <c r="F1440">
        <v>5.2</v>
      </c>
      <c r="G1440">
        <v>0</v>
      </c>
      <c r="H1440" t="s">
        <v>191</v>
      </c>
      <c r="I1440">
        <v>0</v>
      </c>
      <c r="J1440">
        <f t="shared" si="723"/>
        <v>1</v>
      </c>
      <c r="K1440">
        <f t="shared" si="724"/>
        <v>51</v>
      </c>
      <c r="L1440" t="e">
        <f t="shared" ca="1" si="725"/>
        <v>#VALUE!</v>
      </c>
      <c r="M1440" t="e">
        <f t="shared" ca="1" si="698"/>
        <v>#VALUE!</v>
      </c>
      <c r="N1440" t="e">
        <f t="shared" ca="1" si="699"/>
        <v>#VALUE!</v>
      </c>
      <c r="O1440" t="e">
        <f t="shared" ca="1" si="700"/>
        <v>#VALUE!</v>
      </c>
      <c r="P1440" t="e">
        <f t="shared" ca="1" si="701"/>
        <v>#VALUE!</v>
      </c>
      <c r="Q1440" t="e">
        <f t="shared" ca="1" si="702"/>
        <v>#VALUE!</v>
      </c>
      <c r="R1440" t="e">
        <f t="shared" ca="1" si="703"/>
        <v>#VALUE!</v>
      </c>
      <c r="S1440" t="e">
        <f t="shared" ca="1" si="704"/>
        <v>#VALUE!</v>
      </c>
      <c r="T1440" t="e">
        <f t="shared" ca="1" si="705"/>
        <v>#VALUE!</v>
      </c>
      <c r="U1440" t="e">
        <f t="shared" ca="1" si="726"/>
        <v>#VALUE!</v>
      </c>
      <c r="V1440" t="e">
        <f t="shared" ca="1" si="727"/>
        <v>#VALUE!</v>
      </c>
      <c r="W1440" t="e">
        <f t="shared" ca="1" si="706"/>
        <v>#VALUE!</v>
      </c>
      <c r="X1440" t="e">
        <f t="shared" ca="1" si="707"/>
        <v>#VALUE!</v>
      </c>
      <c r="Y1440" t="e">
        <f t="shared" ca="1" si="708"/>
        <v>#VALUE!</v>
      </c>
      <c r="Z1440" t="e">
        <f t="shared" ca="1" si="709"/>
        <v>#VALUE!</v>
      </c>
      <c r="AA1440" t="e">
        <f t="shared" ca="1" si="710"/>
        <v>#VALUE!</v>
      </c>
      <c r="AB1440" t="e">
        <f t="shared" ca="1" si="711"/>
        <v>#VALUE!</v>
      </c>
      <c r="AC1440" t="e">
        <f t="shared" ca="1" si="712"/>
        <v>#VALUE!</v>
      </c>
      <c r="AD1440" t="e">
        <f t="shared" ca="1" si="713"/>
        <v>#VALUE!</v>
      </c>
      <c r="AE1440" t="e">
        <f t="shared" ca="1" si="714"/>
        <v>#VALUE!</v>
      </c>
      <c r="AF1440" t="e">
        <f t="shared" ca="1" si="715"/>
        <v>#VALUE!</v>
      </c>
      <c r="AG1440" t="e">
        <f t="shared" ca="1" si="716"/>
        <v>#VALUE!</v>
      </c>
      <c r="AH1440" t="e">
        <f ca="1">IF(V32="Supercritical",L1440,IF(V32="Subcritical",W1440,IF(AND(V1440=1,AG1440=1),IF(T1440&gt;=AE1440,L1440,W1440),IF(V1440=1,L1440,IF(AG1440=1,W1440,MAX($D$16,POWER((ABS(K1440)^2)/($I$5*MAX(F1440,0.1)^2),1/3)))))))</f>
        <v>#VALUE!</v>
      </c>
      <c r="AI1440" t="e">
        <f t="shared" ca="1" si="717"/>
        <v>#VALUE!</v>
      </c>
      <c r="AJ1440" t="e">
        <f t="shared" ca="1" si="718"/>
        <v>#VALUE!</v>
      </c>
      <c r="AM1440">
        <v>0</v>
      </c>
      <c r="AN1440">
        <v>0</v>
      </c>
      <c r="AO1440">
        <f t="shared" si="719"/>
        <v>0</v>
      </c>
      <c r="AP1440">
        <f t="shared" si="728"/>
        <v>0</v>
      </c>
      <c r="AQ1440" t="e">
        <f t="shared" ca="1" si="720"/>
        <v>#VALUE!</v>
      </c>
      <c r="AR1440" t="e">
        <f t="shared" ca="1" si="721"/>
        <v>#VALUE!</v>
      </c>
      <c r="AS1440" t="e">
        <f t="shared" ca="1" si="722"/>
        <v>#VALUE!</v>
      </c>
    </row>
    <row r="1441" spans="1:45" x14ac:dyDescent="0.35">
      <c r="A1441">
        <v>1292</v>
      </c>
      <c r="B1441">
        <v>1290.8889999999999</v>
      </c>
      <c r="C1441">
        <v>616068.86899999995</v>
      </c>
      <c r="D1441">
        <v>3096713.3089999999</v>
      </c>
      <c r="E1441">
        <v>631.91650000000004</v>
      </c>
      <c r="F1441">
        <v>5.2</v>
      </c>
      <c r="G1441">
        <v>0</v>
      </c>
      <c r="H1441" t="s">
        <v>191</v>
      </c>
      <c r="I1441">
        <v>5.7000000000000002E-2</v>
      </c>
      <c r="J1441">
        <f t="shared" si="723"/>
        <v>1</v>
      </c>
      <c r="K1441">
        <f t="shared" si="724"/>
        <v>51</v>
      </c>
      <c r="L1441" t="e">
        <f t="shared" ca="1" si="725"/>
        <v>#VALUE!</v>
      </c>
      <c r="M1441" t="e">
        <f t="shared" ca="1" si="698"/>
        <v>#VALUE!</v>
      </c>
      <c r="N1441" t="e">
        <f t="shared" ca="1" si="699"/>
        <v>#VALUE!</v>
      </c>
      <c r="O1441" t="e">
        <f t="shared" ca="1" si="700"/>
        <v>#VALUE!</v>
      </c>
      <c r="P1441" t="e">
        <f t="shared" ca="1" si="701"/>
        <v>#VALUE!</v>
      </c>
      <c r="Q1441" t="e">
        <f t="shared" ca="1" si="702"/>
        <v>#VALUE!</v>
      </c>
      <c r="R1441" t="e">
        <f t="shared" ca="1" si="703"/>
        <v>#VALUE!</v>
      </c>
      <c r="S1441" t="e">
        <f t="shared" ca="1" si="704"/>
        <v>#VALUE!</v>
      </c>
      <c r="T1441" t="e">
        <f t="shared" ca="1" si="705"/>
        <v>#VALUE!</v>
      </c>
      <c r="U1441" t="e">
        <f t="shared" ca="1" si="726"/>
        <v>#VALUE!</v>
      </c>
      <c r="V1441" t="e">
        <f t="shared" ca="1" si="727"/>
        <v>#VALUE!</v>
      </c>
      <c r="W1441" t="e">
        <f t="shared" ca="1" si="706"/>
        <v>#VALUE!</v>
      </c>
      <c r="X1441" t="e">
        <f t="shared" ca="1" si="707"/>
        <v>#VALUE!</v>
      </c>
      <c r="Y1441" t="e">
        <f t="shared" ca="1" si="708"/>
        <v>#VALUE!</v>
      </c>
      <c r="Z1441" t="e">
        <f t="shared" ca="1" si="709"/>
        <v>#VALUE!</v>
      </c>
      <c r="AA1441" t="e">
        <f t="shared" ca="1" si="710"/>
        <v>#VALUE!</v>
      </c>
      <c r="AB1441" t="e">
        <f t="shared" ca="1" si="711"/>
        <v>#VALUE!</v>
      </c>
      <c r="AC1441" t="e">
        <f t="shared" ca="1" si="712"/>
        <v>#VALUE!</v>
      </c>
      <c r="AD1441" t="e">
        <f t="shared" ca="1" si="713"/>
        <v>#VALUE!</v>
      </c>
      <c r="AE1441" t="e">
        <f t="shared" ca="1" si="714"/>
        <v>#VALUE!</v>
      </c>
      <c r="AF1441" t="e">
        <f t="shared" ca="1" si="715"/>
        <v>#VALUE!</v>
      </c>
      <c r="AG1441" t="e">
        <f t="shared" ca="1" si="716"/>
        <v>#VALUE!</v>
      </c>
      <c r="AH1441" t="e">
        <f ca="1">IF(V32="Supercritical",L1441,IF(V32="Subcritical",W1441,IF(AND(V1441=1,AG1441=1),IF(T1441&gt;=AE1441,L1441,W1441),IF(V1441=1,L1441,IF(AG1441=1,W1441,MAX($D$16,POWER((ABS(K1441)^2)/($I$5*MAX(F1441,0.1)^2),1/3)))))))</f>
        <v>#VALUE!</v>
      </c>
      <c r="AI1441" t="e">
        <f t="shared" ca="1" si="717"/>
        <v>#VALUE!</v>
      </c>
      <c r="AJ1441" t="e">
        <f t="shared" ca="1" si="718"/>
        <v>#VALUE!</v>
      </c>
      <c r="AM1441">
        <v>0</v>
      </c>
      <c r="AN1441">
        <v>0</v>
      </c>
      <c r="AO1441">
        <f t="shared" si="719"/>
        <v>0</v>
      </c>
      <c r="AP1441">
        <f t="shared" si="728"/>
        <v>0</v>
      </c>
      <c r="AQ1441" t="e">
        <f t="shared" ca="1" si="720"/>
        <v>#VALUE!</v>
      </c>
      <c r="AR1441" t="e">
        <f t="shared" ca="1" si="721"/>
        <v>#VALUE!</v>
      </c>
      <c r="AS1441" t="e">
        <f t="shared" ca="1" si="722"/>
        <v>#VALUE!</v>
      </c>
    </row>
    <row r="1442" spans="1:45" x14ac:dyDescent="0.35">
      <c r="A1442">
        <v>1293</v>
      </c>
      <c r="B1442">
        <v>1291.8889999999999</v>
      </c>
      <c r="C1442">
        <v>616068.826</v>
      </c>
      <c r="D1442">
        <v>3096712.31</v>
      </c>
      <c r="E1442">
        <v>631.91600000000005</v>
      </c>
      <c r="F1442">
        <v>5.2</v>
      </c>
      <c r="G1442">
        <v>0</v>
      </c>
      <c r="H1442" t="s">
        <v>191</v>
      </c>
      <c r="I1442">
        <v>0.06</v>
      </c>
      <c r="J1442">
        <f t="shared" si="723"/>
        <v>1</v>
      </c>
      <c r="K1442">
        <f t="shared" si="724"/>
        <v>51</v>
      </c>
      <c r="L1442" t="e">
        <f t="shared" ca="1" si="725"/>
        <v>#VALUE!</v>
      </c>
      <c r="M1442" t="e">
        <f t="shared" ca="1" si="698"/>
        <v>#VALUE!</v>
      </c>
      <c r="N1442" t="e">
        <f t="shared" ca="1" si="699"/>
        <v>#VALUE!</v>
      </c>
      <c r="O1442" t="e">
        <f t="shared" ca="1" si="700"/>
        <v>#VALUE!</v>
      </c>
      <c r="P1442" t="e">
        <f t="shared" ca="1" si="701"/>
        <v>#VALUE!</v>
      </c>
      <c r="Q1442" t="e">
        <f t="shared" ca="1" si="702"/>
        <v>#VALUE!</v>
      </c>
      <c r="R1442" t="e">
        <f t="shared" ca="1" si="703"/>
        <v>#VALUE!</v>
      </c>
      <c r="S1442" t="e">
        <f t="shared" ca="1" si="704"/>
        <v>#VALUE!</v>
      </c>
      <c r="T1442" t="e">
        <f t="shared" ca="1" si="705"/>
        <v>#VALUE!</v>
      </c>
      <c r="U1442" t="e">
        <f t="shared" ca="1" si="726"/>
        <v>#VALUE!</v>
      </c>
      <c r="V1442" t="e">
        <f t="shared" ca="1" si="727"/>
        <v>#VALUE!</v>
      </c>
      <c r="W1442" t="e">
        <f t="shared" ca="1" si="706"/>
        <v>#VALUE!</v>
      </c>
      <c r="X1442" t="e">
        <f t="shared" ca="1" si="707"/>
        <v>#VALUE!</v>
      </c>
      <c r="Y1442" t="e">
        <f t="shared" ca="1" si="708"/>
        <v>#VALUE!</v>
      </c>
      <c r="Z1442" t="e">
        <f t="shared" ca="1" si="709"/>
        <v>#VALUE!</v>
      </c>
      <c r="AA1442" t="e">
        <f t="shared" ca="1" si="710"/>
        <v>#VALUE!</v>
      </c>
      <c r="AB1442" t="e">
        <f t="shared" ca="1" si="711"/>
        <v>#VALUE!</v>
      </c>
      <c r="AC1442" t="e">
        <f t="shared" ca="1" si="712"/>
        <v>#VALUE!</v>
      </c>
      <c r="AD1442" t="e">
        <f t="shared" ca="1" si="713"/>
        <v>#VALUE!</v>
      </c>
      <c r="AE1442" t="e">
        <f t="shared" ca="1" si="714"/>
        <v>#VALUE!</v>
      </c>
      <c r="AF1442" t="e">
        <f t="shared" ca="1" si="715"/>
        <v>#VALUE!</v>
      </c>
      <c r="AG1442" t="e">
        <f t="shared" ca="1" si="716"/>
        <v>#VALUE!</v>
      </c>
      <c r="AH1442" t="e">
        <f ca="1">IF(V32="Supercritical",L1442,IF(V32="Subcritical",W1442,IF(AND(V1442=1,AG1442=1),IF(T1442&gt;=AE1442,L1442,W1442),IF(V1442=1,L1442,IF(AG1442=1,W1442,MAX($D$16,POWER((ABS(K1442)^2)/($I$5*MAX(F1442,0.1)^2),1/3)))))))</f>
        <v>#VALUE!</v>
      </c>
      <c r="AI1442" t="e">
        <f t="shared" ca="1" si="717"/>
        <v>#VALUE!</v>
      </c>
      <c r="AJ1442" t="e">
        <f t="shared" ca="1" si="718"/>
        <v>#VALUE!</v>
      </c>
      <c r="AM1442">
        <v>0</v>
      </c>
      <c r="AN1442">
        <v>0</v>
      </c>
      <c r="AO1442">
        <f t="shared" si="719"/>
        <v>0</v>
      </c>
      <c r="AP1442">
        <f t="shared" si="728"/>
        <v>0</v>
      </c>
      <c r="AQ1442" t="e">
        <f t="shared" ca="1" si="720"/>
        <v>#VALUE!</v>
      </c>
      <c r="AR1442" t="e">
        <f t="shared" ca="1" si="721"/>
        <v>#VALUE!</v>
      </c>
      <c r="AS1442" t="e">
        <f t="shared" ca="1" si="722"/>
        <v>#VALUE!</v>
      </c>
    </row>
    <row r="1443" spans="1:45" x14ac:dyDescent="0.35">
      <c r="A1443">
        <v>1294</v>
      </c>
      <c r="B1443">
        <v>1292.8900000000001</v>
      </c>
      <c r="C1443">
        <v>616068.78399999999</v>
      </c>
      <c r="D1443">
        <v>3096711.31</v>
      </c>
      <c r="E1443">
        <v>631.91549999999995</v>
      </c>
      <c r="F1443">
        <v>5.2</v>
      </c>
      <c r="G1443">
        <v>0</v>
      </c>
      <c r="H1443" t="s">
        <v>191</v>
      </c>
      <c r="I1443">
        <v>2E-3</v>
      </c>
      <c r="J1443">
        <f t="shared" si="723"/>
        <v>1.0010000000002037</v>
      </c>
      <c r="K1443">
        <f t="shared" si="724"/>
        <v>51</v>
      </c>
      <c r="L1443" t="e">
        <f t="shared" ca="1" si="725"/>
        <v>#VALUE!</v>
      </c>
      <c r="M1443" t="e">
        <f t="shared" ca="1" si="698"/>
        <v>#VALUE!</v>
      </c>
      <c r="N1443" t="e">
        <f t="shared" ca="1" si="699"/>
        <v>#VALUE!</v>
      </c>
      <c r="O1443" t="e">
        <f t="shared" ca="1" si="700"/>
        <v>#VALUE!</v>
      </c>
      <c r="P1443" t="e">
        <f t="shared" ca="1" si="701"/>
        <v>#VALUE!</v>
      </c>
      <c r="Q1443" t="e">
        <f t="shared" ca="1" si="702"/>
        <v>#VALUE!</v>
      </c>
      <c r="R1443" t="e">
        <f t="shared" ca="1" si="703"/>
        <v>#VALUE!</v>
      </c>
      <c r="S1443" t="e">
        <f t="shared" ca="1" si="704"/>
        <v>#VALUE!</v>
      </c>
      <c r="T1443" t="e">
        <f t="shared" ca="1" si="705"/>
        <v>#VALUE!</v>
      </c>
      <c r="U1443" t="e">
        <f t="shared" ca="1" si="726"/>
        <v>#VALUE!</v>
      </c>
      <c r="V1443" t="e">
        <f t="shared" ca="1" si="727"/>
        <v>#VALUE!</v>
      </c>
      <c r="W1443" t="e">
        <f t="shared" ca="1" si="706"/>
        <v>#VALUE!</v>
      </c>
      <c r="X1443" t="e">
        <f t="shared" ca="1" si="707"/>
        <v>#VALUE!</v>
      </c>
      <c r="Y1443" t="e">
        <f t="shared" ca="1" si="708"/>
        <v>#VALUE!</v>
      </c>
      <c r="Z1443" t="e">
        <f t="shared" ca="1" si="709"/>
        <v>#VALUE!</v>
      </c>
      <c r="AA1443" t="e">
        <f t="shared" ca="1" si="710"/>
        <v>#VALUE!</v>
      </c>
      <c r="AB1443" t="e">
        <f t="shared" ca="1" si="711"/>
        <v>#VALUE!</v>
      </c>
      <c r="AC1443" t="e">
        <f t="shared" ca="1" si="712"/>
        <v>#VALUE!</v>
      </c>
      <c r="AD1443" t="e">
        <f t="shared" ca="1" si="713"/>
        <v>#VALUE!</v>
      </c>
      <c r="AE1443" t="e">
        <f t="shared" ca="1" si="714"/>
        <v>#VALUE!</v>
      </c>
      <c r="AF1443" t="e">
        <f t="shared" ca="1" si="715"/>
        <v>#VALUE!</v>
      </c>
      <c r="AG1443" t="e">
        <f t="shared" ca="1" si="716"/>
        <v>#VALUE!</v>
      </c>
      <c r="AH1443" t="e">
        <f ca="1">IF(V32="Supercritical",L1443,IF(V32="Subcritical",W1443,IF(AND(V1443=1,AG1443=1),IF(T1443&gt;=AE1443,L1443,W1443),IF(V1443=1,L1443,IF(AG1443=1,W1443,MAX($D$16,POWER((ABS(K1443)^2)/($I$5*MAX(F1443,0.1)^2),1/3)))))))</f>
        <v>#VALUE!</v>
      </c>
      <c r="AI1443" t="e">
        <f t="shared" ca="1" si="717"/>
        <v>#VALUE!</v>
      </c>
      <c r="AJ1443" t="e">
        <f t="shared" ca="1" si="718"/>
        <v>#VALUE!</v>
      </c>
      <c r="AM1443">
        <v>0</v>
      </c>
      <c r="AN1443">
        <v>0</v>
      </c>
      <c r="AO1443">
        <f t="shared" si="719"/>
        <v>0</v>
      </c>
      <c r="AP1443">
        <f t="shared" si="728"/>
        <v>0</v>
      </c>
      <c r="AQ1443" t="e">
        <f t="shared" ca="1" si="720"/>
        <v>#VALUE!</v>
      </c>
      <c r="AR1443" t="e">
        <f t="shared" ca="1" si="721"/>
        <v>#VALUE!</v>
      </c>
      <c r="AS1443" t="e">
        <f t="shared" ca="1" si="722"/>
        <v>#VALUE!</v>
      </c>
    </row>
    <row r="1444" spans="1:45" x14ac:dyDescent="0.35">
      <c r="A1444">
        <v>1295</v>
      </c>
      <c r="B1444">
        <v>1293.8900000000001</v>
      </c>
      <c r="C1444">
        <v>616068.74199999997</v>
      </c>
      <c r="D1444">
        <v>3096710.3110000002</v>
      </c>
      <c r="E1444">
        <v>631.91499999999996</v>
      </c>
      <c r="F1444">
        <v>5.2</v>
      </c>
      <c r="G1444">
        <v>0</v>
      </c>
      <c r="H1444" t="s">
        <v>191</v>
      </c>
      <c r="I1444">
        <v>0</v>
      </c>
      <c r="J1444">
        <f t="shared" si="723"/>
        <v>1</v>
      </c>
      <c r="K1444">
        <f t="shared" si="724"/>
        <v>51</v>
      </c>
      <c r="L1444" t="e">
        <f t="shared" ca="1" si="725"/>
        <v>#VALUE!</v>
      </c>
      <c r="M1444" t="e">
        <f t="shared" ca="1" si="698"/>
        <v>#VALUE!</v>
      </c>
      <c r="N1444" t="e">
        <f t="shared" ca="1" si="699"/>
        <v>#VALUE!</v>
      </c>
      <c r="O1444" t="e">
        <f t="shared" ca="1" si="700"/>
        <v>#VALUE!</v>
      </c>
      <c r="P1444" t="e">
        <f t="shared" ca="1" si="701"/>
        <v>#VALUE!</v>
      </c>
      <c r="Q1444" t="e">
        <f t="shared" ca="1" si="702"/>
        <v>#VALUE!</v>
      </c>
      <c r="R1444" t="e">
        <f t="shared" ca="1" si="703"/>
        <v>#VALUE!</v>
      </c>
      <c r="S1444" t="e">
        <f t="shared" ca="1" si="704"/>
        <v>#VALUE!</v>
      </c>
      <c r="T1444" t="e">
        <f t="shared" ca="1" si="705"/>
        <v>#VALUE!</v>
      </c>
      <c r="U1444" t="e">
        <f t="shared" ca="1" si="726"/>
        <v>#VALUE!</v>
      </c>
      <c r="V1444" t="e">
        <f t="shared" ca="1" si="727"/>
        <v>#VALUE!</v>
      </c>
      <c r="W1444" t="e">
        <f t="shared" ca="1" si="706"/>
        <v>#VALUE!</v>
      </c>
      <c r="X1444" t="e">
        <f t="shared" ca="1" si="707"/>
        <v>#VALUE!</v>
      </c>
      <c r="Y1444" t="e">
        <f t="shared" ca="1" si="708"/>
        <v>#VALUE!</v>
      </c>
      <c r="Z1444" t="e">
        <f t="shared" ca="1" si="709"/>
        <v>#VALUE!</v>
      </c>
      <c r="AA1444" t="e">
        <f t="shared" ca="1" si="710"/>
        <v>#VALUE!</v>
      </c>
      <c r="AB1444" t="e">
        <f t="shared" ca="1" si="711"/>
        <v>#VALUE!</v>
      </c>
      <c r="AC1444" t="e">
        <f t="shared" ca="1" si="712"/>
        <v>#VALUE!</v>
      </c>
      <c r="AD1444" t="e">
        <f t="shared" ca="1" si="713"/>
        <v>#VALUE!</v>
      </c>
      <c r="AE1444" t="e">
        <f t="shared" ca="1" si="714"/>
        <v>#VALUE!</v>
      </c>
      <c r="AF1444" t="e">
        <f t="shared" ca="1" si="715"/>
        <v>#VALUE!</v>
      </c>
      <c r="AG1444" t="e">
        <f t="shared" ca="1" si="716"/>
        <v>#VALUE!</v>
      </c>
      <c r="AH1444" t="e">
        <f ca="1">IF(V32="Supercritical",L1444,IF(V32="Subcritical",W1444,IF(AND(V1444=1,AG1444=1),IF(T1444&gt;=AE1444,L1444,W1444),IF(V1444=1,L1444,IF(AG1444=1,W1444,MAX($D$16,POWER((ABS(K1444)^2)/($I$5*MAX(F1444,0.1)^2),1/3)))))))</f>
        <v>#VALUE!</v>
      </c>
      <c r="AI1444" t="e">
        <f t="shared" ca="1" si="717"/>
        <v>#VALUE!</v>
      </c>
      <c r="AJ1444" t="e">
        <f t="shared" ca="1" si="718"/>
        <v>#VALUE!</v>
      </c>
      <c r="AM1444">
        <v>0</v>
      </c>
      <c r="AN1444">
        <v>0</v>
      </c>
      <c r="AO1444">
        <f t="shared" si="719"/>
        <v>0</v>
      </c>
      <c r="AP1444">
        <f t="shared" si="728"/>
        <v>0</v>
      </c>
      <c r="AQ1444" t="e">
        <f t="shared" ca="1" si="720"/>
        <v>#VALUE!</v>
      </c>
      <c r="AR1444" t="e">
        <f t="shared" ca="1" si="721"/>
        <v>#VALUE!</v>
      </c>
      <c r="AS1444" t="e">
        <f t="shared" ca="1" si="722"/>
        <v>#VALUE!</v>
      </c>
    </row>
    <row r="1445" spans="1:45" x14ac:dyDescent="0.35">
      <c r="A1445">
        <v>1296</v>
      </c>
      <c r="B1445">
        <v>1294.8900000000001</v>
      </c>
      <c r="C1445">
        <v>616068.69999999995</v>
      </c>
      <c r="D1445">
        <v>3096709.3119999999</v>
      </c>
      <c r="E1445">
        <v>631.91449999999998</v>
      </c>
      <c r="F1445">
        <v>5.2</v>
      </c>
      <c r="G1445">
        <v>0</v>
      </c>
      <c r="H1445" t="s">
        <v>191</v>
      </c>
      <c r="I1445">
        <v>5.7000000000000002E-2</v>
      </c>
      <c r="J1445">
        <f t="shared" si="723"/>
        <v>1</v>
      </c>
      <c r="K1445">
        <f t="shared" si="724"/>
        <v>51</v>
      </c>
      <c r="L1445" t="e">
        <f t="shared" ca="1" si="725"/>
        <v>#VALUE!</v>
      </c>
      <c r="M1445" t="e">
        <f t="shared" ca="1" si="698"/>
        <v>#VALUE!</v>
      </c>
      <c r="N1445" t="e">
        <f t="shared" ca="1" si="699"/>
        <v>#VALUE!</v>
      </c>
      <c r="O1445" t="e">
        <f t="shared" ca="1" si="700"/>
        <v>#VALUE!</v>
      </c>
      <c r="P1445" t="e">
        <f t="shared" ca="1" si="701"/>
        <v>#VALUE!</v>
      </c>
      <c r="Q1445" t="e">
        <f t="shared" ca="1" si="702"/>
        <v>#VALUE!</v>
      </c>
      <c r="R1445" t="e">
        <f t="shared" ca="1" si="703"/>
        <v>#VALUE!</v>
      </c>
      <c r="S1445" t="e">
        <f t="shared" ca="1" si="704"/>
        <v>#VALUE!</v>
      </c>
      <c r="T1445" t="e">
        <f t="shared" ca="1" si="705"/>
        <v>#VALUE!</v>
      </c>
      <c r="U1445" t="e">
        <f t="shared" ca="1" si="726"/>
        <v>#VALUE!</v>
      </c>
      <c r="V1445" t="e">
        <f t="shared" ca="1" si="727"/>
        <v>#VALUE!</v>
      </c>
      <c r="W1445" t="e">
        <f t="shared" ca="1" si="706"/>
        <v>#VALUE!</v>
      </c>
      <c r="X1445" t="e">
        <f t="shared" ca="1" si="707"/>
        <v>#VALUE!</v>
      </c>
      <c r="Y1445" t="e">
        <f t="shared" ca="1" si="708"/>
        <v>#VALUE!</v>
      </c>
      <c r="Z1445" t="e">
        <f t="shared" ca="1" si="709"/>
        <v>#VALUE!</v>
      </c>
      <c r="AA1445" t="e">
        <f t="shared" ca="1" si="710"/>
        <v>#VALUE!</v>
      </c>
      <c r="AB1445" t="e">
        <f t="shared" ca="1" si="711"/>
        <v>#VALUE!</v>
      </c>
      <c r="AC1445" t="e">
        <f t="shared" ca="1" si="712"/>
        <v>#VALUE!</v>
      </c>
      <c r="AD1445" t="e">
        <f t="shared" ca="1" si="713"/>
        <v>#VALUE!</v>
      </c>
      <c r="AE1445" t="e">
        <f t="shared" ca="1" si="714"/>
        <v>#VALUE!</v>
      </c>
      <c r="AF1445" t="e">
        <f t="shared" ca="1" si="715"/>
        <v>#VALUE!</v>
      </c>
      <c r="AG1445" t="e">
        <f t="shared" ca="1" si="716"/>
        <v>#VALUE!</v>
      </c>
      <c r="AH1445" t="e">
        <f ca="1">IF(V32="Supercritical",L1445,IF(V32="Subcritical",W1445,IF(AND(V1445=1,AG1445=1),IF(T1445&gt;=AE1445,L1445,W1445),IF(V1445=1,L1445,IF(AG1445=1,W1445,MAX($D$16,POWER((ABS(K1445)^2)/($I$5*MAX(F1445,0.1)^2),1/3)))))))</f>
        <v>#VALUE!</v>
      </c>
      <c r="AI1445" t="e">
        <f t="shared" ca="1" si="717"/>
        <v>#VALUE!</v>
      </c>
      <c r="AJ1445" t="e">
        <f t="shared" ca="1" si="718"/>
        <v>#VALUE!</v>
      </c>
      <c r="AM1445">
        <v>0</v>
      </c>
      <c r="AN1445">
        <v>0</v>
      </c>
      <c r="AO1445">
        <f t="shared" si="719"/>
        <v>0</v>
      </c>
      <c r="AP1445">
        <f t="shared" si="728"/>
        <v>0</v>
      </c>
      <c r="AQ1445" t="e">
        <f t="shared" ca="1" si="720"/>
        <v>#VALUE!</v>
      </c>
      <c r="AR1445" t="e">
        <f t="shared" ca="1" si="721"/>
        <v>#VALUE!</v>
      </c>
      <c r="AS1445" t="e">
        <f t="shared" ca="1" si="722"/>
        <v>#VALUE!</v>
      </c>
    </row>
    <row r="1446" spans="1:45" x14ac:dyDescent="0.35">
      <c r="A1446">
        <v>1297</v>
      </c>
      <c r="B1446">
        <v>1295.8889999999999</v>
      </c>
      <c r="C1446">
        <v>616068.65700000001</v>
      </c>
      <c r="D1446">
        <v>3096708.3130000001</v>
      </c>
      <c r="E1446">
        <v>631.91399999999999</v>
      </c>
      <c r="F1446">
        <v>5.2</v>
      </c>
      <c r="G1446">
        <v>0</v>
      </c>
      <c r="H1446" t="s">
        <v>191</v>
      </c>
      <c r="I1446">
        <v>5.7000000000000002E-2</v>
      </c>
      <c r="J1446">
        <f t="shared" si="723"/>
        <v>0.99899999999979627</v>
      </c>
      <c r="K1446">
        <f t="shared" si="724"/>
        <v>51</v>
      </c>
      <c r="L1446" t="e">
        <f t="shared" ca="1" si="725"/>
        <v>#VALUE!</v>
      </c>
      <c r="M1446" t="e">
        <f t="shared" ca="1" si="698"/>
        <v>#VALUE!</v>
      </c>
      <c r="N1446" t="e">
        <f t="shared" ca="1" si="699"/>
        <v>#VALUE!</v>
      </c>
      <c r="O1446" t="e">
        <f t="shared" ca="1" si="700"/>
        <v>#VALUE!</v>
      </c>
      <c r="P1446" t="e">
        <f t="shared" ca="1" si="701"/>
        <v>#VALUE!</v>
      </c>
      <c r="Q1446" t="e">
        <f t="shared" ca="1" si="702"/>
        <v>#VALUE!</v>
      </c>
      <c r="R1446" t="e">
        <f t="shared" ca="1" si="703"/>
        <v>#VALUE!</v>
      </c>
      <c r="S1446" t="e">
        <f t="shared" ca="1" si="704"/>
        <v>#VALUE!</v>
      </c>
      <c r="T1446" t="e">
        <f t="shared" ca="1" si="705"/>
        <v>#VALUE!</v>
      </c>
      <c r="U1446" t="e">
        <f t="shared" ca="1" si="726"/>
        <v>#VALUE!</v>
      </c>
      <c r="V1446" t="e">
        <f t="shared" ca="1" si="727"/>
        <v>#VALUE!</v>
      </c>
      <c r="W1446" t="e">
        <f t="shared" ca="1" si="706"/>
        <v>#VALUE!</v>
      </c>
      <c r="X1446" t="e">
        <f t="shared" ca="1" si="707"/>
        <v>#VALUE!</v>
      </c>
      <c r="Y1446" t="e">
        <f t="shared" ca="1" si="708"/>
        <v>#VALUE!</v>
      </c>
      <c r="Z1446" t="e">
        <f t="shared" ca="1" si="709"/>
        <v>#VALUE!</v>
      </c>
      <c r="AA1446" t="e">
        <f t="shared" ca="1" si="710"/>
        <v>#VALUE!</v>
      </c>
      <c r="AB1446" t="e">
        <f t="shared" ca="1" si="711"/>
        <v>#VALUE!</v>
      </c>
      <c r="AC1446" t="e">
        <f t="shared" ca="1" si="712"/>
        <v>#VALUE!</v>
      </c>
      <c r="AD1446" t="e">
        <f t="shared" ca="1" si="713"/>
        <v>#VALUE!</v>
      </c>
      <c r="AE1446" t="e">
        <f t="shared" ca="1" si="714"/>
        <v>#VALUE!</v>
      </c>
      <c r="AF1446" t="e">
        <f t="shared" ca="1" si="715"/>
        <v>#VALUE!</v>
      </c>
      <c r="AG1446" t="e">
        <f t="shared" ca="1" si="716"/>
        <v>#VALUE!</v>
      </c>
      <c r="AH1446" t="e">
        <f ca="1">IF(V32="Supercritical",L1446,IF(V32="Subcritical",W1446,IF(AND(V1446=1,AG1446=1),IF(T1446&gt;=AE1446,L1446,W1446),IF(V1446=1,L1446,IF(AG1446=1,W1446,MAX($D$16,POWER((ABS(K1446)^2)/($I$5*MAX(F1446,0.1)^2),1/3)))))))</f>
        <v>#VALUE!</v>
      </c>
      <c r="AI1446" t="e">
        <f t="shared" ca="1" si="717"/>
        <v>#VALUE!</v>
      </c>
      <c r="AJ1446" t="e">
        <f t="shared" ca="1" si="718"/>
        <v>#VALUE!</v>
      </c>
      <c r="AM1446">
        <v>0</v>
      </c>
      <c r="AN1446">
        <v>0</v>
      </c>
      <c r="AO1446">
        <f t="shared" si="719"/>
        <v>0</v>
      </c>
      <c r="AP1446">
        <f t="shared" si="728"/>
        <v>0</v>
      </c>
      <c r="AQ1446" t="e">
        <f t="shared" ca="1" si="720"/>
        <v>#VALUE!</v>
      </c>
      <c r="AR1446" t="e">
        <f t="shared" ca="1" si="721"/>
        <v>#VALUE!</v>
      </c>
      <c r="AS1446" t="e">
        <f t="shared" ca="1" si="722"/>
        <v>#VALUE!</v>
      </c>
    </row>
    <row r="1447" spans="1:45" x14ac:dyDescent="0.35">
      <c r="A1447">
        <v>1298</v>
      </c>
      <c r="B1447">
        <v>1296.8889999999999</v>
      </c>
      <c r="C1447">
        <v>616068.61499999999</v>
      </c>
      <c r="D1447">
        <v>3096707.3139999998</v>
      </c>
      <c r="E1447">
        <v>631.9135</v>
      </c>
      <c r="F1447">
        <v>5.2</v>
      </c>
      <c r="G1447">
        <v>0</v>
      </c>
      <c r="H1447" t="s">
        <v>191</v>
      </c>
      <c r="I1447">
        <v>0</v>
      </c>
      <c r="J1447">
        <f t="shared" si="723"/>
        <v>1</v>
      </c>
      <c r="K1447">
        <f t="shared" si="724"/>
        <v>51</v>
      </c>
      <c r="L1447" t="e">
        <f t="shared" ca="1" si="725"/>
        <v>#VALUE!</v>
      </c>
      <c r="M1447" t="e">
        <f t="shared" ca="1" si="698"/>
        <v>#VALUE!</v>
      </c>
      <c r="N1447" t="e">
        <f t="shared" ca="1" si="699"/>
        <v>#VALUE!</v>
      </c>
      <c r="O1447" t="e">
        <f t="shared" ca="1" si="700"/>
        <v>#VALUE!</v>
      </c>
      <c r="P1447" t="e">
        <f t="shared" ca="1" si="701"/>
        <v>#VALUE!</v>
      </c>
      <c r="Q1447" t="e">
        <f t="shared" ca="1" si="702"/>
        <v>#VALUE!</v>
      </c>
      <c r="R1447" t="e">
        <f t="shared" ca="1" si="703"/>
        <v>#VALUE!</v>
      </c>
      <c r="S1447" t="e">
        <f t="shared" ca="1" si="704"/>
        <v>#VALUE!</v>
      </c>
      <c r="T1447" t="e">
        <f t="shared" ca="1" si="705"/>
        <v>#VALUE!</v>
      </c>
      <c r="U1447" t="e">
        <f t="shared" ca="1" si="726"/>
        <v>#VALUE!</v>
      </c>
      <c r="V1447" t="e">
        <f t="shared" ca="1" si="727"/>
        <v>#VALUE!</v>
      </c>
      <c r="W1447" t="e">
        <f t="shared" ca="1" si="706"/>
        <v>#VALUE!</v>
      </c>
      <c r="X1447" t="e">
        <f t="shared" ca="1" si="707"/>
        <v>#VALUE!</v>
      </c>
      <c r="Y1447" t="e">
        <f t="shared" ca="1" si="708"/>
        <v>#VALUE!</v>
      </c>
      <c r="Z1447" t="e">
        <f t="shared" ca="1" si="709"/>
        <v>#VALUE!</v>
      </c>
      <c r="AA1447" t="e">
        <f t="shared" ca="1" si="710"/>
        <v>#VALUE!</v>
      </c>
      <c r="AB1447" t="e">
        <f t="shared" ca="1" si="711"/>
        <v>#VALUE!</v>
      </c>
      <c r="AC1447" t="e">
        <f t="shared" ca="1" si="712"/>
        <v>#VALUE!</v>
      </c>
      <c r="AD1447" t="e">
        <f t="shared" ca="1" si="713"/>
        <v>#VALUE!</v>
      </c>
      <c r="AE1447" t="e">
        <f t="shared" ca="1" si="714"/>
        <v>#VALUE!</v>
      </c>
      <c r="AF1447" t="e">
        <f t="shared" ca="1" si="715"/>
        <v>#VALUE!</v>
      </c>
      <c r="AG1447" t="e">
        <f t="shared" ca="1" si="716"/>
        <v>#VALUE!</v>
      </c>
      <c r="AH1447" t="e">
        <f ca="1">IF(V32="Supercritical",L1447,IF(V32="Subcritical",W1447,IF(AND(V1447=1,AG1447=1),IF(T1447&gt;=AE1447,L1447,W1447),IF(V1447=1,L1447,IF(AG1447=1,W1447,MAX($D$16,POWER((ABS(K1447)^2)/($I$5*MAX(F1447,0.1)^2),1/3)))))))</f>
        <v>#VALUE!</v>
      </c>
      <c r="AI1447" t="e">
        <f t="shared" ca="1" si="717"/>
        <v>#VALUE!</v>
      </c>
      <c r="AJ1447" t="e">
        <f t="shared" ca="1" si="718"/>
        <v>#VALUE!</v>
      </c>
      <c r="AM1447">
        <v>0</v>
      </c>
      <c r="AN1447">
        <v>0</v>
      </c>
      <c r="AO1447">
        <f t="shared" si="719"/>
        <v>0</v>
      </c>
      <c r="AP1447">
        <f t="shared" si="728"/>
        <v>0</v>
      </c>
      <c r="AQ1447" t="e">
        <f t="shared" ca="1" si="720"/>
        <v>#VALUE!</v>
      </c>
      <c r="AR1447" t="e">
        <f t="shared" ca="1" si="721"/>
        <v>#VALUE!</v>
      </c>
      <c r="AS1447" t="e">
        <f t="shared" ca="1" si="722"/>
        <v>#VALUE!</v>
      </c>
    </row>
    <row r="1448" spans="1:45" x14ac:dyDescent="0.35">
      <c r="A1448">
        <v>1299</v>
      </c>
      <c r="B1448">
        <v>1297.8889999999999</v>
      </c>
      <c r="C1448">
        <v>616068.57299999997</v>
      </c>
      <c r="D1448">
        <v>3096706.3149999999</v>
      </c>
      <c r="E1448">
        <v>631.91300000000001</v>
      </c>
      <c r="F1448">
        <v>5.2</v>
      </c>
      <c r="G1448">
        <v>0</v>
      </c>
      <c r="H1448" t="s">
        <v>191</v>
      </c>
      <c r="I1448">
        <v>0</v>
      </c>
      <c r="J1448">
        <f t="shared" si="723"/>
        <v>1</v>
      </c>
      <c r="K1448">
        <f t="shared" si="724"/>
        <v>51</v>
      </c>
      <c r="L1448" t="e">
        <f t="shared" ca="1" si="725"/>
        <v>#VALUE!</v>
      </c>
      <c r="M1448" t="e">
        <f t="shared" ca="1" si="698"/>
        <v>#VALUE!</v>
      </c>
      <c r="N1448" t="e">
        <f t="shared" ca="1" si="699"/>
        <v>#VALUE!</v>
      </c>
      <c r="O1448" t="e">
        <f t="shared" ca="1" si="700"/>
        <v>#VALUE!</v>
      </c>
      <c r="P1448" t="e">
        <f t="shared" ca="1" si="701"/>
        <v>#VALUE!</v>
      </c>
      <c r="Q1448" t="e">
        <f t="shared" ca="1" si="702"/>
        <v>#VALUE!</v>
      </c>
      <c r="R1448" t="e">
        <f t="shared" ca="1" si="703"/>
        <v>#VALUE!</v>
      </c>
      <c r="S1448" t="e">
        <f t="shared" ca="1" si="704"/>
        <v>#VALUE!</v>
      </c>
      <c r="T1448" t="e">
        <f t="shared" ca="1" si="705"/>
        <v>#VALUE!</v>
      </c>
      <c r="U1448" t="e">
        <f t="shared" ca="1" si="726"/>
        <v>#VALUE!</v>
      </c>
      <c r="V1448" t="e">
        <f t="shared" ca="1" si="727"/>
        <v>#VALUE!</v>
      </c>
      <c r="W1448" t="e">
        <f t="shared" ca="1" si="706"/>
        <v>#VALUE!</v>
      </c>
      <c r="X1448" t="e">
        <f t="shared" ca="1" si="707"/>
        <v>#VALUE!</v>
      </c>
      <c r="Y1448" t="e">
        <f t="shared" ca="1" si="708"/>
        <v>#VALUE!</v>
      </c>
      <c r="Z1448" t="e">
        <f t="shared" ca="1" si="709"/>
        <v>#VALUE!</v>
      </c>
      <c r="AA1448" t="e">
        <f t="shared" ca="1" si="710"/>
        <v>#VALUE!</v>
      </c>
      <c r="AB1448" t="e">
        <f t="shared" ca="1" si="711"/>
        <v>#VALUE!</v>
      </c>
      <c r="AC1448" t="e">
        <f t="shared" ca="1" si="712"/>
        <v>#VALUE!</v>
      </c>
      <c r="AD1448" t="e">
        <f t="shared" ca="1" si="713"/>
        <v>#VALUE!</v>
      </c>
      <c r="AE1448" t="e">
        <f t="shared" ca="1" si="714"/>
        <v>#VALUE!</v>
      </c>
      <c r="AF1448" t="e">
        <f t="shared" ca="1" si="715"/>
        <v>#VALUE!</v>
      </c>
      <c r="AG1448" t="e">
        <f t="shared" ca="1" si="716"/>
        <v>#VALUE!</v>
      </c>
      <c r="AH1448" t="e">
        <f ca="1">IF(V32="Supercritical",L1448,IF(V32="Subcritical",W1448,IF(AND(V1448=1,AG1448=1),IF(T1448&gt;=AE1448,L1448,W1448),IF(V1448=1,L1448,IF(AG1448=1,W1448,MAX($D$16,POWER((ABS(K1448)^2)/($I$5*MAX(F1448,0.1)^2),1/3)))))))</f>
        <v>#VALUE!</v>
      </c>
      <c r="AI1448" t="e">
        <f t="shared" ca="1" si="717"/>
        <v>#VALUE!</v>
      </c>
      <c r="AJ1448" t="e">
        <f t="shared" ca="1" si="718"/>
        <v>#VALUE!</v>
      </c>
      <c r="AM1448">
        <v>0</v>
      </c>
      <c r="AN1448">
        <v>0</v>
      </c>
      <c r="AO1448">
        <f t="shared" si="719"/>
        <v>0</v>
      </c>
      <c r="AP1448">
        <f t="shared" si="728"/>
        <v>0</v>
      </c>
      <c r="AQ1448" t="e">
        <f t="shared" ca="1" si="720"/>
        <v>#VALUE!</v>
      </c>
      <c r="AR1448" t="e">
        <f t="shared" ca="1" si="721"/>
        <v>#VALUE!</v>
      </c>
      <c r="AS1448" t="e">
        <f t="shared" ca="1" si="722"/>
        <v>#VALUE!</v>
      </c>
    </row>
    <row r="1449" spans="1:45" x14ac:dyDescent="0.35">
      <c r="A1449">
        <v>1300</v>
      </c>
      <c r="B1449">
        <v>1298.8889999999999</v>
      </c>
      <c r="C1449">
        <v>616068.53099999996</v>
      </c>
      <c r="D1449">
        <v>3096705.3160000001</v>
      </c>
      <c r="E1449">
        <v>631.91250000000002</v>
      </c>
      <c r="F1449">
        <v>5.2</v>
      </c>
      <c r="G1449">
        <v>0</v>
      </c>
      <c r="H1449" t="s">
        <v>191</v>
      </c>
      <c r="I1449">
        <v>5.7000000000000002E-2</v>
      </c>
      <c r="J1449">
        <f t="shared" si="723"/>
        <v>1</v>
      </c>
      <c r="K1449">
        <f t="shared" si="724"/>
        <v>51</v>
      </c>
      <c r="L1449" t="e">
        <f t="shared" ca="1" si="725"/>
        <v>#VALUE!</v>
      </c>
      <c r="M1449" t="e">
        <f t="shared" ca="1" si="698"/>
        <v>#VALUE!</v>
      </c>
      <c r="N1449" t="e">
        <f t="shared" ca="1" si="699"/>
        <v>#VALUE!</v>
      </c>
      <c r="O1449" t="e">
        <f t="shared" ca="1" si="700"/>
        <v>#VALUE!</v>
      </c>
      <c r="P1449" t="e">
        <f t="shared" ca="1" si="701"/>
        <v>#VALUE!</v>
      </c>
      <c r="Q1449" t="e">
        <f t="shared" ca="1" si="702"/>
        <v>#VALUE!</v>
      </c>
      <c r="R1449" t="e">
        <f t="shared" ca="1" si="703"/>
        <v>#VALUE!</v>
      </c>
      <c r="S1449" t="e">
        <f t="shared" ca="1" si="704"/>
        <v>#VALUE!</v>
      </c>
      <c r="T1449" t="e">
        <f t="shared" ca="1" si="705"/>
        <v>#VALUE!</v>
      </c>
      <c r="U1449" t="e">
        <f t="shared" ca="1" si="726"/>
        <v>#VALUE!</v>
      </c>
      <c r="V1449" t="e">
        <f t="shared" ca="1" si="727"/>
        <v>#VALUE!</v>
      </c>
      <c r="W1449" t="e">
        <f t="shared" ca="1" si="706"/>
        <v>#VALUE!</v>
      </c>
      <c r="X1449" t="e">
        <f t="shared" ca="1" si="707"/>
        <v>#VALUE!</v>
      </c>
      <c r="Y1449" t="e">
        <f t="shared" ca="1" si="708"/>
        <v>#VALUE!</v>
      </c>
      <c r="Z1449" t="e">
        <f t="shared" ca="1" si="709"/>
        <v>#VALUE!</v>
      </c>
      <c r="AA1449" t="e">
        <f t="shared" ca="1" si="710"/>
        <v>#VALUE!</v>
      </c>
      <c r="AB1449" t="e">
        <f t="shared" ca="1" si="711"/>
        <v>#VALUE!</v>
      </c>
      <c r="AC1449" t="e">
        <f t="shared" ca="1" si="712"/>
        <v>#VALUE!</v>
      </c>
      <c r="AD1449" t="e">
        <f t="shared" ca="1" si="713"/>
        <v>#VALUE!</v>
      </c>
      <c r="AE1449" t="e">
        <f t="shared" ca="1" si="714"/>
        <v>#VALUE!</v>
      </c>
      <c r="AF1449" t="e">
        <f t="shared" ca="1" si="715"/>
        <v>#VALUE!</v>
      </c>
      <c r="AG1449" t="e">
        <f t="shared" ca="1" si="716"/>
        <v>#VALUE!</v>
      </c>
      <c r="AH1449" t="e">
        <f ca="1">IF(V32="Supercritical",L1449,IF(V32="Subcritical",W1449,IF(AND(V1449=1,AG1449=1),IF(T1449&gt;=AE1449,L1449,W1449),IF(V1449=1,L1449,IF(AG1449=1,W1449,MAX($D$16,POWER((ABS(K1449)^2)/($I$5*MAX(F1449,0.1)^2),1/3)))))))</f>
        <v>#VALUE!</v>
      </c>
      <c r="AI1449" t="e">
        <f t="shared" ca="1" si="717"/>
        <v>#VALUE!</v>
      </c>
      <c r="AJ1449" t="e">
        <f t="shared" ca="1" si="718"/>
        <v>#VALUE!</v>
      </c>
      <c r="AM1449">
        <v>0</v>
      </c>
      <c r="AN1449">
        <v>0</v>
      </c>
      <c r="AO1449">
        <f t="shared" si="719"/>
        <v>0</v>
      </c>
      <c r="AP1449">
        <f t="shared" si="728"/>
        <v>0</v>
      </c>
      <c r="AQ1449" t="e">
        <f t="shared" ca="1" si="720"/>
        <v>#VALUE!</v>
      </c>
      <c r="AR1449" t="e">
        <f t="shared" ca="1" si="721"/>
        <v>#VALUE!</v>
      </c>
      <c r="AS1449" t="e">
        <f t="shared" ca="1" si="722"/>
        <v>#VALUE!</v>
      </c>
    </row>
    <row r="1450" spans="1:45" x14ac:dyDescent="0.35">
      <c r="A1450">
        <v>1301</v>
      </c>
      <c r="B1450">
        <v>1299.8889999999999</v>
      </c>
      <c r="C1450">
        <v>616068.48800000001</v>
      </c>
      <c r="D1450">
        <v>3096704.3169999998</v>
      </c>
      <c r="E1450">
        <v>631.91200000000003</v>
      </c>
      <c r="F1450">
        <v>5.2</v>
      </c>
      <c r="G1450">
        <v>0</v>
      </c>
      <c r="H1450" t="s">
        <v>191</v>
      </c>
      <c r="I1450">
        <v>5.7000000000000002E-2</v>
      </c>
      <c r="J1450">
        <f t="shared" si="723"/>
        <v>1</v>
      </c>
      <c r="K1450">
        <f t="shared" si="724"/>
        <v>51</v>
      </c>
      <c r="L1450" t="e">
        <f t="shared" ca="1" si="725"/>
        <v>#VALUE!</v>
      </c>
      <c r="M1450" t="e">
        <f t="shared" ca="1" si="698"/>
        <v>#VALUE!</v>
      </c>
      <c r="N1450" t="e">
        <f t="shared" ca="1" si="699"/>
        <v>#VALUE!</v>
      </c>
      <c r="O1450" t="e">
        <f t="shared" ca="1" si="700"/>
        <v>#VALUE!</v>
      </c>
      <c r="P1450" t="e">
        <f t="shared" ca="1" si="701"/>
        <v>#VALUE!</v>
      </c>
      <c r="Q1450" t="e">
        <f t="shared" ca="1" si="702"/>
        <v>#VALUE!</v>
      </c>
      <c r="R1450" t="e">
        <f t="shared" ca="1" si="703"/>
        <v>#VALUE!</v>
      </c>
      <c r="S1450" t="e">
        <f t="shared" ca="1" si="704"/>
        <v>#VALUE!</v>
      </c>
      <c r="T1450" t="e">
        <f t="shared" ca="1" si="705"/>
        <v>#VALUE!</v>
      </c>
      <c r="U1450" t="e">
        <f t="shared" ca="1" si="726"/>
        <v>#VALUE!</v>
      </c>
      <c r="V1450" t="e">
        <f t="shared" ca="1" si="727"/>
        <v>#VALUE!</v>
      </c>
      <c r="W1450" t="e">
        <f t="shared" ca="1" si="706"/>
        <v>#VALUE!</v>
      </c>
      <c r="X1450" t="e">
        <f t="shared" ca="1" si="707"/>
        <v>#VALUE!</v>
      </c>
      <c r="Y1450" t="e">
        <f t="shared" ca="1" si="708"/>
        <v>#VALUE!</v>
      </c>
      <c r="Z1450" t="e">
        <f t="shared" ca="1" si="709"/>
        <v>#VALUE!</v>
      </c>
      <c r="AA1450" t="e">
        <f t="shared" ca="1" si="710"/>
        <v>#VALUE!</v>
      </c>
      <c r="AB1450" t="e">
        <f t="shared" ca="1" si="711"/>
        <v>#VALUE!</v>
      </c>
      <c r="AC1450" t="e">
        <f t="shared" ca="1" si="712"/>
        <v>#VALUE!</v>
      </c>
      <c r="AD1450" t="e">
        <f t="shared" ca="1" si="713"/>
        <v>#VALUE!</v>
      </c>
      <c r="AE1450" t="e">
        <f t="shared" ca="1" si="714"/>
        <v>#VALUE!</v>
      </c>
      <c r="AF1450" t="e">
        <f t="shared" ca="1" si="715"/>
        <v>#VALUE!</v>
      </c>
      <c r="AG1450" t="e">
        <f t="shared" ca="1" si="716"/>
        <v>#VALUE!</v>
      </c>
      <c r="AH1450" t="e">
        <f ca="1">IF(V32="Supercritical",L1450,IF(V32="Subcritical",W1450,IF(AND(V1450=1,AG1450=1),IF(T1450&gt;=AE1450,L1450,W1450),IF(V1450=1,L1450,IF(AG1450=1,W1450,MAX($D$16,POWER((ABS(K1450)^2)/($I$5*MAX(F1450,0.1)^2),1/3)))))))</f>
        <v>#VALUE!</v>
      </c>
      <c r="AI1450" t="e">
        <f t="shared" ca="1" si="717"/>
        <v>#VALUE!</v>
      </c>
      <c r="AJ1450" t="e">
        <f t="shared" ca="1" si="718"/>
        <v>#VALUE!</v>
      </c>
      <c r="AM1450">
        <v>0</v>
      </c>
      <c r="AN1450">
        <v>0</v>
      </c>
      <c r="AO1450">
        <f t="shared" si="719"/>
        <v>0</v>
      </c>
      <c r="AP1450">
        <f t="shared" si="728"/>
        <v>0</v>
      </c>
      <c r="AQ1450" t="e">
        <f t="shared" ca="1" si="720"/>
        <v>#VALUE!</v>
      </c>
      <c r="AR1450" t="e">
        <f t="shared" ca="1" si="721"/>
        <v>#VALUE!</v>
      </c>
      <c r="AS1450" t="e">
        <f t="shared" ca="1" si="722"/>
        <v>#VALUE!</v>
      </c>
    </row>
    <row r="1451" spans="1:45" x14ac:dyDescent="0.35">
      <c r="A1451">
        <v>1302</v>
      </c>
      <c r="B1451">
        <v>1300.8889999999999</v>
      </c>
      <c r="C1451">
        <v>616068.446</v>
      </c>
      <c r="D1451">
        <v>3096703.318</v>
      </c>
      <c r="E1451">
        <v>631.91150000000005</v>
      </c>
      <c r="F1451">
        <v>5.2</v>
      </c>
      <c r="G1451">
        <v>0</v>
      </c>
      <c r="H1451" t="s">
        <v>191</v>
      </c>
      <c r="I1451">
        <v>0</v>
      </c>
      <c r="J1451">
        <f t="shared" si="723"/>
        <v>1</v>
      </c>
      <c r="K1451">
        <f t="shared" si="724"/>
        <v>51</v>
      </c>
      <c r="L1451" t="e">
        <f t="shared" ca="1" si="725"/>
        <v>#VALUE!</v>
      </c>
      <c r="M1451" t="e">
        <f t="shared" ca="1" si="698"/>
        <v>#VALUE!</v>
      </c>
      <c r="N1451" t="e">
        <f t="shared" ca="1" si="699"/>
        <v>#VALUE!</v>
      </c>
      <c r="O1451" t="e">
        <f t="shared" ca="1" si="700"/>
        <v>#VALUE!</v>
      </c>
      <c r="P1451" t="e">
        <f t="shared" ca="1" si="701"/>
        <v>#VALUE!</v>
      </c>
      <c r="Q1451" t="e">
        <f t="shared" ca="1" si="702"/>
        <v>#VALUE!</v>
      </c>
      <c r="R1451" t="e">
        <f t="shared" ca="1" si="703"/>
        <v>#VALUE!</v>
      </c>
      <c r="S1451" t="e">
        <f t="shared" ca="1" si="704"/>
        <v>#VALUE!</v>
      </c>
      <c r="T1451" t="e">
        <f t="shared" ca="1" si="705"/>
        <v>#VALUE!</v>
      </c>
      <c r="U1451" t="e">
        <f t="shared" ca="1" si="726"/>
        <v>#VALUE!</v>
      </c>
      <c r="V1451" t="e">
        <f t="shared" ca="1" si="727"/>
        <v>#VALUE!</v>
      </c>
      <c r="W1451" t="e">
        <f t="shared" ca="1" si="706"/>
        <v>#VALUE!</v>
      </c>
      <c r="X1451" t="e">
        <f t="shared" ca="1" si="707"/>
        <v>#VALUE!</v>
      </c>
      <c r="Y1451" t="e">
        <f t="shared" ca="1" si="708"/>
        <v>#VALUE!</v>
      </c>
      <c r="Z1451" t="e">
        <f t="shared" ca="1" si="709"/>
        <v>#VALUE!</v>
      </c>
      <c r="AA1451" t="e">
        <f t="shared" ca="1" si="710"/>
        <v>#VALUE!</v>
      </c>
      <c r="AB1451" t="e">
        <f t="shared" ca="1" si="711"/>
        <v>#VALUE!</v>
      </c>
      <c r="AC1451" t="e">
        <f t="shared" ca="1" si="712"/>
        <v>#VALUE!</v>
      </c>
      <c r="AD1451" t="e">
        <f t="shared" ca="1" si="713"/>
        <v>#VALUE!</v>
      </c>
      <c r="AE1451" t="e">
        <f t="shared" ca="1" si="714"/>
        <v>#VALUE!</v>
      </c>
      <c r="AF1451" t="e">
        <f t="shared" ca="1" si="715"/>
        <v>#VALUE!</v>
      </c>
      <c r="AG1451" t="e">
        <f t="shared" ca="1" si="716"/>
        <v>#VALUE!</v>
      </c>
      <c r="AH1451" t="e">
        <f ca="1">IF(V32="Supercritical",L1451,IF(V32="Subcritical",W1451,IF(AND(V1451=1,AG1451=1),IF(T1451&gt;=AE1451,L1451,W1451),IF(V1451=1,L1451,IF(AG1451=1,W1451,MAX($D$16,POWER((ABS(K1451)^2)/($I$5*MAX(F1451,0.1)^2),1/3)))))))</f>
        <v>#VALUE!</v>
      </c>
      <c r="AI1451" t="e">
        <f t="shared" ca="1" si="717"/>
        <v>#VALUE!</v>
      </c>
      <c r="AJ1451" t="e">
        <f t="shared" ca="1" si="718"/>
        <v>#VALUE!</v>
      </c>
      <c r="AM1451">
        <v>0</v>
      </c>
      <c r="AN1451">
        <v>0</v>
      </c>
      <c r="AO1451">
        <f t="shared" si="719"/>
        <v>0</v>
      </c>
      <c r="AP1451">
        <f t="shared" si="728"/>
        <v>0</v>
      </c>
      <c r="AQ1451" t="e">
        <f t="shared" ca="1" si="720"/>
        <v>#VALUE!</v>
      </c>
      <c r="AR1451" t="e">
        <f t="shared" ca="1" si="721"/>
        <v>#VALUE!</v>
      </c>
      <c r="AS1451" t="e">
        <f t="shared" ca="1" si="722"/>
        <v>#VALUE!</v>
      </c>
    </row>
    <row r="1452" spans="1:45" x14ac:dyDescent="0.35">
      <c r="A1452">
        <v>1303</v>
      </c>
      <c r="B1452">
        <v>1301.8889999999999</v>
      </c>
      <c r="C1452">
        <v>616068.40399999998</v>
      </c>
      <c r="D1452">
        <v>3096702.3190000001</v>
      </c>
      <c r="E1452">
        <v>631.91099999999994</v>
      </c>
      <c r="F1452">
        <v>5.2</v>
      </c>
      <c r="G1452">
        <v>0</v>
      </c>
      <c r="H1452" t="s">
        <v>191</v>
      </c>
      <c r="I1452">
        <v>2E-3</v>
      </c>
      <c r="J1452">
        <f t="shared" si="723"/>
        <v>1</v>
      </c>
      <c r="K1452">
        <f t="shared" si="724"/>
        <v>51</v>
      </c>
      <c r="L1452" t="e">
        <f t="shared" ca="1" si="725"/>
        <v>#VALUE!</v>
      </c>
      <c r="M1452" t="e">
        <f t="shared" ca="1" si="698"/>
        <v>#VALUE!</v>
      </c>
      <c r="N1452" t="e">
        <f t="shared" ca="1" si="699"/>
        <v>#VALUE!</v>
      </c>
      <c r="O1452" t="e">
        <f t="shared" ca="1" si="700"/>
        <v>#VALUE!</v>
      </c>
      <c r="P1452" t="e">
        <f t="shared" ca="1" si="701"/>
        <v>#VALUE!</v>
      </c>
      <c r="Q1452" t="e">
        <f t="shared" ca="1" si="702"/>
        <v>#VALUE!</v>
      </c>
      <c r="R1452" t="e">
        <f t="shared" ca="1" si="703"/>
        <v>#VALUE!</v>
      </c>
      <c r="S1452" t="e">
        <f t="shared" ca="1" si="704"/>
        <v>#VALUE!</v>
      </c>
      <c r="T1452" t="e">
        <f t="shared" ca="1" si="705"/>
        <v>#VALUE!</v>
      </c>
      <c r="U1452" t="e">
        <f t="shared" ca="1" si="726"/>
        <v>#VALUE!</v>
      </c>
      <c r="V1452" t="e">
        <f t="shared" ca="1" si="727"/>
        <v>#VALUE!</v>
      </c>
      <c r="W1452" t="e">
        <f t="shared" ca="1" si="706"/>
        <v>#VALUE!</v>
      </c>
      <c r="X1452" t="e">
        <f t="shared" ca="1" si="707"/>
        <v>#VALUE!</v>
      </c>
      <c r="Y1452" t="e">
        <f t="shared" ca="1" si="708"/>
        <v>#VALUE!</v>
      </c>
      <c r="Z1452" t="e">
        <f t="shared" ca="1" si="709"/>
        <v>#VALUE!</v>
      </c>
      <c r="AA1452" t="e">
        <f t="shared" ca="1" si="710"/>
        <v>#VALUE!</v>
      </c>
      <c r="AB1452" t="e">
        <f t="shared" ca="1" si="711"/>
        <v>#VALUE!</v>
      </c>
      <c r="AC1452" t="e">
        <f t="shared" ca="1" si="712"/>
        <v>#VALUE!</v>
      </c>
      <c r="AD1452" t="e">
        <f t="shared" ca="1" si="713"/>
        <v>#VALUE!</v>
      </c>
      <c r="AE1452" t="e">
        <f t="shared" ca="1" si="714"/>
        <v>#VALUE!</v>
      </c>
      <c r="AF1452" t="e">
        <f t="shared" ca="1" si="715"/>
        <v>#VALUE!</v>
      </c>
      <c r="AG1452" t="e">
        <f t="shared" ca="1" si="716"/>
        <v>#VALUE!</v>
      </c>
      <c r="AH1452" t="e">
        <f ca="1">IF(V32="Supercritical",L1452,IF(V32="Subcritical",W1452,IF(AND(V1452=1,AG1452=1),IF(T1452&gt;=AE1452,L1452,W1452),IF(V1452=1,L1452,IF(AG1452=1,W1452,MAX($D$16,POWER((ABS(K1452)^2)/($I$5*MAX(F1452,0.1)^2),1/3)))))))</f>
        <v>#VALUE!</v>
      </c>
      <c r="AI1452" t="e">
        <f t="shared" ca="1" si="717"/>
        <v>#VALUE!</v>
      </c>
      <c r="AJ1452" t="e">
        <f t="shared" ca="1" si="718"/>
        <v>#VALUE!</v>
      </c>
      <c r="AM1452">
        <v>0</v>
      </c>
      <c r="AN1452">
        <v>0</v>
      </c>
      <c r="AO1452">
        <f t="shared" si="719"/>
        <v>0</v>
      </c>
      <c r="AP1452">
        <f t="shared" si="728"/>
        <v>0</v>
      </c>
      <c r="AQ1452" t="e">
        <f t="shared" ca="1" si="720"/>
        <v>#VALUE!</v>
      </c>
      <c r="AR1452" t="e">
        <f t="shared" ca="1" si="721"/>
        <v>#VALUE!</v>
      </c>
      <c r="AS1452" t="e">
        <f t="shared" ca="1" si="722"/>
        <v>#VALUE!</v>
      </c>
    </row>
    <row r="1453" spans="1:45" x14ac:dyDescent="0.35">
      <c r="A1453">
        <v>1304</v>
      </c>
      <c r="B1453">
        <v>1302.8900000000001</v>
      </c>
      <c r="C1453">
        <v>616068.36199999996</v>
      </c>
      <c r="D1453">
        <v>3096701.3190000001</v>
      </c>
      <c r="E1453">
        <v>631.91049999999996</v>
      </c>
      <c r="F1453">
        <v>5.2</v>
      </c>
      <c r="G1453">
        <v>0</v>
      </c>
      <c r="H1453" t="s">
        <v>191</v>
      </c>
      <c r="I1453">
        <v>0.06</v>
      </c>
      <c r="J1453">
        <f t="shared" si="723"/>
        <v>1.0010000000002037</v>
      </c>
      <c r="K1453">
        <f t="shared" si="724"/>
        <v>51</v>
      </c>
      <c r="L1453" t="e">
        <f t="shared" ca="1" si="725"/>
        <v>#VALUE!</v>
      </c>
      <c r="M1453" t="e">
        <f t="shared" ca="1" si="698"/>
        <v>#VALUE!</v>
      </c>
      <c r="N1453" t="e">
        <f t="shared" ca="1" si="699"/>
        <v>#VALUE!</v>
      </c>
      <c r="O1453" t="e">
        <f t="shared" ca="1" si="700"/>
        <v>#VALUE!</v>
      </c>
      <c r="P1453" t="e">
        <f t="shared" ca="1" si="701"/>
        <v>#VALUE!</v>
      </c>
      <c r="Q1453" t="e">
        <f t="shared" ca="1" si="702"/>
        <v>#VALUE!</v>
      </c>
      <c r="R1453" t="e">
        <f t="shared" ca="1" si="703"/>
        <v>#VALUE!</v>
      </c>
      <c r="S1453" t="e">
        <f t="shared" ca="1" si="704"/>
        <v>#VALUE!</v>
      </c>
      <c r="T1453" t="e">
        <f t="shared" ca="1" si="705"/>
        <v>#VALUE!</v>
      </c>
      <c r="U1453" t="e">
        <f t="shared" ca="1" si="726"/>
        <v>#VALUE!</v>
      </c>
      <c r="V1453" t="e">
        <f t="shared" ca="1" si="727"/>
        <v>#VALUE!</v>
      </c>
      <c r="W1453" t="e">
        <f t="shared" ca="1" si="706"/>
        <v>#VALUE!</v>
      </c>
      <c r="X1453" t="e">
        <f t="shared" ca="1" si="707"/>
        <v>#VALUE!</v>
      </c>
      <c r="Y1453" t="e">
        <f t="shared" ca="1" si="708"/>
        <v>#VALUE!</v>
      </c>
      <c r="Z1453" t="e">
        <f t="shared" ca="1" si="709"/>
        <v>#VALUE!</v>
      </c>
      <c r="AA1453" t="e">
        <f t="shared" ca="1" si="710"/>
        <v>#VALUE!</v>
      </c>
      <c r="AB1453" t="e">
        <f t="shared" ca="1" si="711"/>
        <v>#VALUE!</v>
      </c>
      <c r="AC1453" t="e">
        <f t="shared" ca="1" si="712"/>
        <v>#VALUE!</v>
      </c>
      <c r="AD1453" t="e">
        <f t="shared" ca="1" si="713"/>
        <v>#VALUE!</v>
      </c>
      <c r="AE1453" t="e">
        <f t="shared" ca="1" si="714"/>
        <v>#VALUE!</v>
      </c>
      <c r="AF1453" t="e">
        <f t="shared" ca="1" si="715"/>
        <v>#VALUE!</v>
      </c>
      <c r="AG1453" t="e">
        <f t="shared" ca="1" si="716"/>
        <v>#VALUE!</v>
      </c>
      <c r="AH1453" t="e">
        <f ca="1">IF(V32="Supercritical",L1453,IF(V32="Subcritical",W1453,IF(AND(V1453=1,AG1453=1),IF(T1453&gt;=AE1453,L1453,W1453),IF(V1453=1,L1453,IF(AG1453=1,W1453,MAX($D$16,POWER((ABS(K1453)^2)/($I$5*MAX(F1453,0.1)^2),1/3)))))))</f>
        <v>#VALUE!</v>
      </c>
      <c r="AI1453" t="e">
        <f t="shared" ca="1" si="717"/>
        <v>#VALUE!</v>
      </c>
      <c r="AJ1453" t="e">
        <f t="shared" ca="1" si="718"/>
        <v>#VALUE!</v>
      </c>
      <c r="AM1453">
        <v>0</v>
      </c>
      <c r="AN1453">
        <v>0</v>
      </c>
      <c r="AO1453">
        <f t="shared" si="719"/>
        <v>0</v>
      </c>
      <c r="AP1453">
        <f t="shared" si="728"/>
        <v>0</v>
      </c>
      <c r="AQ1453" t="e">
        <f t="shared" ca="1" si="720"/>
        <v>#VALUE!</v>
      </c>
      <c r="AR1453" t="e">
        <f t="shared" ca="1" si="721"/>
        <v>#VALUE!</v>
      </c>
      <c r="AS1453" t="e">
        <f t="shared" ca="1" si="722"/>
        <v>#VALUE!</v>
      </c>
    </row>
    <row r="1454" spans="1:45" x14ac:dyDescent="0.35">
      <c r="A1454">
        <v>1305</v>
      </c>
      <c r="B1454">
        <v>1303.8900000000001</v>
      </c>
      <c r="C1454">
        <v>616068.31900000002</v>
      </c>
      <c r="D1454">
        <v>3096700.32</v>
      </c>
      <c r="E1454">
        <v>631.91</v>
      </c>
      <c r="F1454">
        <v>5.2</v>
      </c>
      <c r="G1454">
        <v>0</v>
      </c>
      <c r="H1454" t="s">
        <v>191</v>
      </c>
      <c r="I1454">
        <v>5.7000000000000002E-2</v>
      </c>
      <c r="J1454">
        <f t="shared" si="723"/>
        <v>1</v>
      </c>
      <c r="K1454">
        <f t="shared" si="724"/>
        <v>51</v>
      </c>
      <c r="L1454" t="e">
        <f t="shared" ca="1" si="725"/>
        <v>#VALUE!</v>
      </c>
      <c r="M1454" t="e">
        <f t="shared" ca="1" si="698"/>
        <v>#VALUE!</v>
      </c>
      <c r="N1454" t="e">
        <f t="shared" ca="1" si="699"/>
        <v>#VALUE!</v>
      </c>
      <c r="O1454" t="e">
        <f t="shared" ca="1" si="700"/>
        <v>#VALUE!</v>
      </c>
      <c r="P1454" t="e">
        <f t="shared" ca="1" si="701"/>
        <v>#VALUE!</v>
      </c>
      <c r="Q1454" t="e">
        <f t="shared" ca="1" si="702"/>
        <v>#VALUE!</v>
      </c>
      <c r="R1454" t="e">
        <f t="shared" ca="1" si="703"/>
        <v>#VALUE!</v>
      </c>
      <c r="S1454" t="e">
        <f t="shared" ca="1" si="704"/>
        <v>#VALUE!</v>
      </c>
      <c r="T1454" t="e">
        <f t="shared" ca="1" si="705"/>
        <v>#VALUE!</v>
      </c>
      <c r="U1454" t="e">
        <f t="shared" ca="1" si="726"/>
        <v>#VALUE!</v>
      </c>
      <c r="V1454" t="e">
        <f t="shared" ca="1" si="727"/>
        <v>#VALUE!</v>
      </c>
      <c r="W1454" t="e">
        <f t="shared" ca="1" si="706"/>
        <v>#VALUE!</v>
      </c>
      <c r="X1454" t="e">
        <f t="shared" ca="1" si="707"/>
        <v>#VALUE!</v>
      </c>
      <c r="Y1454" t="e">
        <f t="shared" ca="1" si="708"/>
        <v>#VALUE!</v>
      </c>
      <c r="Z1454" t="e">
        <f t="shared" ca="1" si="709"/>
        <v>#VALUE!</v>
      </c>
      <c r="AA1454" t="e">
        <f t="shared" ca="1" si="710"/>
        <v>#VALUE!</v>
      </c>
      <c r="AB1454" t="e">
        <f t="shared" ca="1" si="711"/>
        <v>#VALUE!</v>
      </c>
      <c r="AC1454" t="e">
        <f t="shared" ca="1" si="712"/>
        <v>#VALUE!</v>
      </c>
      <c r="AD1454" t="e">
        <f t="shared" ca="1" si="713"/>
        <v>#VALUE!</v>
      </c>
      <c r="AE1454" t="e">
        <f t="shared" ca="1" si="714"/>
        <v>#VALUE!</v>
      </c>
      <c r="AF1454" t="e">
        <f t="shared" ca="1" si="715"/>
        <v>#VALUE!</v>
      </c>
      <c r="AG1454" t="e">
        <f t="shared" ca="1" si="716"/>
        <v>#VALUE!</v>
      </c>
      <c r="AH1454" t="e">
        <f ca="1">IF(V32="Supercritical",L1454,IF(V32="Subcritical",W1454,IF(AND(V1454=1,AG1454=1),IF(T1454&gt;=AE1454,L1454,W1454),IF(V1454=1,L1454,IF(AG1454=1,W1454,MAX($D$16,POWER((ABS(K1454)^2)/($I$5*MAX(F1454,0.1)^2),1/3)))))))</f>
        <v>#VALUE!</v>
      </c>
      <c r="AI1454" t="e">
        <f t="shared" ca="1" si="717"/>
        <v>#VALUE!</v>
      </c>
      <c r="AJ1454" t="e">
        <f t="shared" ca="1" si="718"/>
        <v>#VALUE!</v>
      </c>
      <c r="AM1454">
        <v>0</v>
      </c>
      <c r="AN1454">
        <v>0</v>
      </c>
      <c r="AO1454">
        <f t="shared" si="719"/>
        <v>0</v>
      </c>
      <c r="AP1454">
        <f t="shared" si="728"/>
        <v>0</v>
      </c>
      <c r="AQ1454" t="e">
        <f t="shared" ca="1" si="720"/>
        <v>#VALUE!</v>
      </c>
      <c r="AR1454" t="e">
        <f t="shared" ca="1" si="721"/>
        <v>#VALUE!</v>
      </c>
      <c r="AS1454" t="e">
        <f t="shared" ca="1" si="722"/>
        <v>#VALUE!</v>
      </c>
    </row>
    <row r="1455" spans="1:45" x14ac:dyDescent="0.35">
      <c r="A1455">
        <v>1306</v>
      </c>
      <c r="B1455">
        <v>1304.8900000000001</v>
      </c>
      <c r="C1455">
        <v>616068.277</v>
      </c>
      <c r="D1455">
        <v>3096699.321</v>
      </c>
      <c r="E1455">
        <v>631.90949999999998</v>
      </c>
      <c r="F1455">
        <v>5.2</v>
      </c>
      <c r="G1455">
        <v>0</v>
      </c>
      <c r="H1455" t="s">
        <v>191</v>
      </c>
      <c r="I1455">
        <v>0</v>
      </c>
      <c r="J1455">
        <f t="shared" si="723"/>
        <v>1</v>
      </c>
      <c r="K1455">
        <f t="shared" si="724"/>
        <v>51</v>
      </c>
      <c r="L1455" t="e">
        <f t="shared" ca="1" si="725"/>
        <v>#VALUE!</v>
      </c>
      <c r="M1455" t="e">
        <f t="shared" ca="1" si="698"/>
        <v>#VALUE!</v>
      </c>
      <c r="N1455" t="e">
        <f t="shared" ca="1" si="699"/>
        <v>#VALUE!</v>
      </c>
      <c r="O1455" t="e">
        <f t="shared" ca="1" si="700"/>
        <v>#VALUE!</v>
      </c>
      <c r="P1455" t="e">
        <f t="shared" ca="1" si="701"/>
        <v>#VALUE!</v>
      </c>
      <c r="Q1455" t="e">
        <f t="shared" ca="1" si="702"/>
        <v>#VALUE!</v>
      </c>
      <c r="R1455" t="e">
        <f t="shared" ca="1" si="703"/>
        <v>#VALUE!</v>
      </c>
      <c r="S1455" t="e">
        <f t="shared" ca="1" si="704"/>
        <v>#VALUE!</v>
      </c>
      <c r="T1455" t="e">
        <f t="shared" ca="1" si="705"/>
        <v>#VALUE!</v>
      </c>
      <c r="U1455" t="e">
        <f t="shared" ca="1" si="726"/>
        <v>#VALUE!</v>
      </c>
      <c r="V1455" t="e">
        <f t="shared" ca="1" si="727"/>
        <v>#VALUE!</v>
      </c>
      <c r="W1455" t="e">
        <f t="shared" ca="1" si="706"/>
        <v>#VALUE!</v>
      </c>
      <c r="X1455" t="e">
        <f t="shared" ca="1" si="707"/>
        <v>#VALUE!</v>
      </c>
      <c r="Y1455" t="e">
        <f t="shared" ca="1" si="708"/>
        <v>#VALUE!</v>
      </c>
      <c r="Z1455" t="e">
        <f t="shared" ca="1" si="709"/>
        <v>#VALUE!</v>
      </c>
      <c r="AA1455" t="e">
        <f t="shared" ca="1" si="710"/>
        <v>#VALUE!</v>
      </c>
      <c r="AB1455" t="e">
        <f t="shared" ca="1" si="711"/>
        <v>#VALUE!</v>
      </c>
      <c r="AC1455" t="e">
        <f t="shared" ca="1" si="712"/>
        <v>#VALUE!</v>
      </c>
      <c r="AD1455" t="e">
        <f t="shared" ca="1" si="713"/>
        <v>#VALUE!</v>
      </c>
      <c r="AE1455" t="e">
        <f t="shared" ca="1" si="714"/>
        <v>#VALUE!</v>
      </c>
      <c r="AF1455" t="e">
        <f t="shared" ca="1" si="715"/>
        <v>#VALUE!</v>
      </c>
      <c r="AG1455" t="e">
        <f t="shared" ca="1" si="716"/>
        <v>#VALUE!</v>
      </c>
      <c r="AH1455" t="e">
        <f ca="1">IF(V32="Supercritical",L1455,IF(V32="Subcritical",W1455,IF(AND(V1455=1,AG1455=1),IF(T1455&gt;=AE1455,L1455,W1455),IF(V1455=1,L1455,IF(AG1455=1,W1455,MAX($D$16,POWER((ABS(K1455)^2)/($I$5*MAX(F1455,0.1)^2),1/3)))))))</f>
        <v>#VALUE!</v>
      </c>
      <c r="AI1455" t="e">
        <f t="shared" ca="1" si="717"/>
        <v>#VALUE!</v>
      </c>
      <c r="AJ1455" t="e">
        <f t="shared" ca="1" si="718"/>
        <v>#VALUE!</v>
      </c>
      <c r="AM1455">
        <v>0</v>
      </c>
      <c r="AN1455">
        <v>0</v>
      </c>
      <c r="AO1455">
        <f t="shared" si="719"/>
        <v>0</v>
      </c>
      <c r="AP1455">
        <f t="shared" si="728"/>
        <v>0</v>
      </c>
      <c r="AQ1455" t="e">
        <f t="shared" ca="1" si="720"/>
        <v>#VALUE!</v>
      </c>
      <c r="AR1455" t="e">
        <f t="shared" ca="1" si="721"/>
        <v>#VALUE!</v>
      </c>
      <c r="AS1455" t="e">
        <f t="shared" ca="1" si="722"/>
        <v>#VALUE!</v>
      </c>
    </row>
    <row r="1456" spans="1:45" x14ac:dyDescent="0.35">
      <c r="A1456">
        <v>1307</v>
      </c>
      <c r="B1456">
        <v>1305.8889999999999</v>
      </c>
      <c r="C1456">
        <v>616068.23499999999</v>
      </c>
      <c r="D1456">
        <v>3096698.3220000002</v>
      </c>
      <c r="E1456">
        <v>631.90899999999999</v>
      </c>
      <c r="F1456">
        <v>5.2</v>
      </c>
      <c r="G1456">
        <v>0</v>
      </c>
      <c r="H1456" t="s">
        <v>191</v>
      </c>
      <c r="I1456">
        <v>5.7000000000000002E-2</v>
      </c>
      <c r="J1456">
        <f t="shared" si="723"/>
        <v>0.99899999999979627</v>
      </c>
      <c r="K1456">
        <f t="shared" si="724"/>
        <v>51</v>
      </c>
      <c r="L1456" t="e">
        <f t="shared" ca="1" si="725"/>
        <v>#VALUE!</v>
      </c>
      <c r="M1456" t="e">
        <f t="shared" ca="1" si="698"/>
        <v>#VALUE!</v>
      </c>
      <c r="N1456" t="e">
        <f t="shared" ca="1" si="699"/>
        <v>#VALUE!</v>
      </c>
      <c r="O1456" t="e">
        <f t="shared" ca="1" si="700"/>
        <v>#VALUE!</v>
      </c>
      <c r="P1456" t="e">
        <f t="shared" ca="1" si="701"/>
        <v>#VALUE!</v>
      </c>
      <c r="Q1456" t="e">
        <f t="shared" ca="1" si="702"/>
        <v>#VALUE!</v>
      </c>
      <c r="R1456" t="e">
        <f t="shared" ca="1" si="703"/>
        <v>#VALUE!</v>
      </c>
      <c r="S1456" t="e">
        <f t="shared" ca="1" si="704"/>
        <v>#VALUE!</v>
      </c>
      <c r="T1456" t="e">
        <f t="shared" ca="1" si="705"/>
        <v>#VALUE!</v>
      </c>
      <c r="U1456" t="e">
        <f t="shared" ca="1" si="726"/>
        <v>#VALUE!</v>
      </c>
      <c r="V1456" t="e">
        <f t="shared" ca="1" si="727"/>
        <v>#VALUE!</v>
      </c>
      <c r="W1456" t="e">
        <f t="shared" ca="1" si="706"/>
        <v>#VALUE!</v>
      </c>
      <c r="X1456" t="e">
        <f t="shared" ca="1" si="707"/>
        <v>#VALUE!</v>
      </c>
      <c r="Y1456" t="e">
        <f t="shared" ca="1" si="708"/>
        <v>#VALUE!</v>
      </c>
      <c r="Z1456" t="e">
        <f t="shared" ca="1" si="709"/>
        <v>#VALUE!</v>
      </c>
      <c r="AA1456" t="e">
        <f t="shared" ca="1" si="710"/>
        <v>#VALUE!</v>
      </c>
      <c r="AB1456" t="e">
        <f t="shared" ca="1" si="711"/>
        <v>#VALUE!</v>
      </c>
      <c r="AC1456" t="e">
        <f t="shared" ca="1" si="712"/>
        <v>#VALUE!</v>
      </c>
      <c r="AD1456" t="e">
        <f t="shared" ca="1" si="713"/>
        <v>#VALUE!</v>
      </c>
      <c r="AE1456" t="e">
        <f t="shared" ca="1" si="714"/>
        <v>#VALUE!</v>
      </c>
      <c r="AF1456" t="e">
        <f t="shared" ca="1" si="715"/>
        <v>#VALUE!</v>
      </c>
      <c r="AG1456" t="e">
        <f t="shared" ca="1" si="716"/>
        <v>#VALUE!</v>
      </c>
      <c r="AH1456" t="e">
        <f ca="1">IF(V32="Supercritical",L1456,IF(V32="Subcritical",W1456,IF(AND(V1456=1,AG1456=1),IF(T1456&gt;=AE1456,L1456,W1456),IF(V1456=1,L1456,IF(AG1456=1,W1456,MAX($D$16,POWER((ABS(K1456)^2)/($I$5*MAX(F1456,0.1)^2),1/3)))))))</f>
        <v>#VALUE!</v>
      </c>
      <c r="AI1456" t="e">
        <f t="shared" ca="1" si="717"/>
        <v>#VALUE!</v>
      </c>
      <c r="AJ1456" t="e">
        <f t="shared" ca="1" si="718"/>
        <v>#VALUE!</v>
      </c>
      <c r="AM1456">
        <v>0</v>
      </c>
      <c r="AN1456">
        <v>0</v>
      </c>
      <c r="AO1456">
        <f t="shared" si="719"/>
        <v>0</v>
      </c>
      <c r="AP1456">
        <f t="shared" si="728"/>
        <v>0</v>
      </c>
      <c r="AQ1456" t="e">
        <f t="shared" ca="1" si="720"/>
        <v>#VALUE!</v>
      </c>
      <c r="AR1456" t="e">
        <f t="shared" ca="1" si="721"/>
        <v>#VALUE!</v>
      </c>
      <c r="AS1456" t="e">
        <f t="shared" ca="1" si="722"/>
        <v>#VALUE!</v>
      </c>
    </row>
    <row r="1457" spans="1:45" x14ac:dyDescent="0.35">
      <c r="A1457">
        <v>1308</v>
      </c>
      <c r="B1457">
        <v>1306.8889999999999</v>
      </c>
      <c r="C1457">
        <v>616068.19200000004</v>
      </c>
      <c r="D1457">
        <v>3096697.3229999999</v>
      </c>
      <c r="E1457">
        <v>631.9085</v>
      </c>
      <c r="F1457">
        <v>5.2</v>
      </c>
      <c r="G1457">
        <v>0</v>
      </c>
      <c r="H1457" t="s">
        <v>191</v>
      </c>
      <c r="I1457">
        <v>5.7000000000000002E-2</v>
      </c>
      <c r="J1457">
        <f t="shared" si="723"/>
        <v>1</v>
      </c>
      <c r="K1457">
        <f t="shared" si="724"/>
        <v>51</v>
      </c>
      <c r="L1457" t="e">
        <f t="shared" ca="1" si="725"/>
        <v>#VALUE!</v>
      </c>
      <c r="M1457" t="e">
        <f t="shared" ca="1" si="698"/>
        <v>#VALUE!</v>
      </c>
      <c r="N1457" t="e">
        <f t="shared" ca="1" si="699"/>
        <v>#VALUE!</v>
      </c>
      <c r="O1457" t="e">
        <f t="shared" ca="1" si="700"/>
        <v>#VALUE!</v>
      </c>
      <c r="P1457" t="e">
        <f t="shared" ca="1" si="701"/>
        <v>#VALUE!</v>
      </c>
      <c r="Q1457" t="e">
        <f t="shared" ca="1" si="702"/>
        <v>#VALUE!</v>
      </c>
      <c r="R1457" t="e">
        <f t="shared" ca="1" si="703"/>
        <v>#VALUE!</v>
      </c>
      <c r="S1457" t="e">
        <f t="shared" ca="1" si="704"/>
        <v>#VALUE!</v>
      </c>
      <c r="T1457" t="e">
        <f t="shared" ca="1" si="705"/>
        <v>#VALUE!</v>
      </c>
      <c r="U1457" t="e">
        <f t="shared" ca="1" si="726"/>
        <v>#VALUE!</v>
      </c>
      <c r="V1457" t="e">
        <f t="shared" ca="1" si="727"/>
        <v>#VALUE!</v>
      </c>
      <c r="W1457" t="e">
        <f t="shared" ca="1" si="706"/>
        <v>#VALUE!</v>
      </c>
      <c r="X1457" t="e">
        <f t="shared" ca="1" si="707"/>
        <v>#VALUE!</v>
      </c>
      <c r="Y1457" t="e">
        <f t="shared" ca="1" si="708"/>
        <v>#VALUE!</v>
      </c>
      <c r="Z1457" t="e">
        <f t="shared" ca="1" si="709"/>
        <v>#VALUE!</v>
      </c>
      <c r="AA1457" t="e">
        <f t="shared" ca="1" si="710"/>
        <v>#VALUE!</v>
      </c>
      <c r="AB1457" t="e">
        <f t="shared" ca="1" si="711"/>
        <v>#VALUE!</v>
      </c>
      <c r="AC1457" t="e">
        <f t="shared" ca="1" si="712"/>
        <v>#VALUE!</v>
      </c>
      <c r="AD1457" t="e">
        <f t="shared" ca="1" si="713"/>
        <v>#VALUE!</v>
      </c>
      <c r="AE1457" t="e">
        <f t="shared" ca="1" si="714"/>
        <v>#VALUE!</v>
      </c>
      <c r="AF1457" t="e">
        <f t="shared" ca="1" si="715"/>
        <v>#VALUE!</v>
      </c>
      <c r="AG1457" t="e">
        <f t="shared" ca="1" si="716"/>
        <v>#VALUE!</v>
      </c>
      <c r="AH1457" t="e">
        <f ca="1">IF(V32="Supercritical",L1457,IF(V32="Subcritical",W1457,IF(AND(V1457=1,AG1457=1),IF(T1457&gt;=AE1457,L1457,W1457),IF(V1457=1,L1457,IF(AG1457=1,W1457,MAX($D$16,POWER((ABS(K1457)^2)/($I$5*MAX(F1457,0.1)^2),1/3)))))))</f>
        <v>#VALUE!</v>
      </c>
      <c r="AI1457" t="e">
        <f t="shared" ca="1" si="717"/>
        <v>#VALUE!</v>
      </c>
      <c r="AJ1457" t="e">
        <f t="shared" ca="1" si="718"/>
        <v>#VALUE!</v>
      </c>
      <c r="AM1457">
        <v>0</v>
      </c>
      <c r="AN1457">
        <v>0</v>
      </c>
      <c r="AO1457">
        <f t="shared" si="719"/>
        <v>0</v>
      </c>
      <c r="AP1457">
        <f t="shared" si="728"/>
        <v>0</v>
      </c>
      <c r="AQ1457" t="e">
        <f t="shared" ca="1" si="720"/>
        <v>#VALUE!</v>
      </c>
      <c r="AR1457" t="e">
        <f t="shared" ca="1" si="721"/>
        <v>#VALUE!</v>
      </c>
      <c r="AS1457" t="e">
        <f t="shared" ca="1" si="722"/>
        <v>#VALUE!</v>
      </c>
    </row>
    <row r="1458" spans="1:45" x14ac:dyDescent="0.35">
      <c r="A1458">
        <v>1309</v>
      </c>
      <c r="B1458">
        <v>1307.8889999999999</v>
      </c>
      <c r="C1458">
        <v>616068.15</v>
      </c>
      <c r="D1458">
        <v>3096696.324</v>
      </c>
      <c r="E1458">
        <v>631.90800000000002</v>
      </c>
      <c r="F1458">
        <v>5.2</v>
      </c>
      <c r="G1458">
        <v>0</v>
      </c>
      <c r="H1458" t="s">
        <v>191</v>
      </c>
      <c r="I1458">
        <v>0</v>
      </c>
      <c r="J1458">
        <f t="shared" si="723"/>
        <v>1</v>
      </c>
      <c r="K1458">
        <f t="shared" si="724"/>
        <v>51</v>
      </c>
      <c r="L1458" t="e">
        <f t="shared" ca="1" si="725"/>
        <v>#VALUE!</v>
      </c>
      <c r="M1458" t="e">
        <f t="shared" ca="1" si="698"/>
        <v>#VALUE!</v>
      </c>
      <c r="N1458" t="e">
        <f t="shared" ca="1" si="699"/>
        <v>#VALUE!</v>
      </c>
      <c r="O1458" t="e">
        <f t="shared" ca="1" si="700"/>
        <v>#VALUE!</v>
      </c>
      <c r="P1458" t="e">
        <f t="shared" ca="1" si="701"/>
        <v>#VALUE!</v>
      </c>
      <c r="Q1458" t="e">
        <f t="shared" ca="1" si="702"/>
        <v>#VALUE!</v>
      </c>
      <c r="R1458" t="e">
        <f t="shared" ca="1" si="703"/>
        <v>#VALUE!</v>
      </c>
      <c r="S1458" t="e">
        <f t="shared" ca="1" si="704"/>
        <v>#VALUE!</v>
      </c>
      <c r="T1458" t="e">
        <f t="shared" ca="1" si="705"/>
        <v>#VALUE!</v>
      </c>
      <c r="U1458" t="e">
        <f t="shared" ca="1" si="726"/>
        <v>#VALUE!</v>
      </c>
      <c r="V1458" t="e">
        <f t="shared" ca="1" si="727"/>
        <v>#VALUE!</v>
      </c>
      <c r="W1458" t="e">
        <f t="shared" ca="1" si="706"/>
        <v>#VALUE!</v>
      </c>
      <c r="X1458" t="e">
        <f t="shared" ca="1" si="707"/>
        <v>#VALUE!</v>
      </c>
      <c r="Y1458" t="e">
        <f t="shared" ca="1" si="708"/>
        <v>#VALUE!</v>
      </c>
      <c r="Z1458" t="e">
        <f t="shared" ca="1" si="709"/>
        <v>#VALUE!</v>
      </c>
      <c r="AA1458" t="e">
        <f t="shared" ca="1" si="710"/>
        <v>#VALUE!</v>
      </c>
      <c r="AB1458" t="e">
        <f t="shared" ca="1" si="711"/>
        <v>#VALUE!</v>
      </c>
      <c r="AC1458" t="e">
        <f t="shared" ca="1" si="712"/>
        <v>#VALUE!</v>
      </c>
      <c r="AD1458" t="e">
        <f t="shared" ca="1" si="713"/>
        <v>#VALUE!</v>
      </c>
      <c r="AE1458" t="e">
        <f t="shared" ca="1" si="714"/>
        <v>#VALUE!</v>
      </c>
      <c r="AF1458" t="e">
        <f t="shared" ca="1" si="715"/>
        <v>#VALUE!</v>
      </c>
      <c r="AG1458" t="e">
        <f t="shared" ca="1" si="716"/>
        <v>#VALUE!</v>
      </c>
      <c r="AH1458" t="e">
        <f ca="1">IF(V32="Supercritical",L1458,IF(V32="Subcritical",W1458,IF(AND(V1458=1,AG1458=1),IF(T1458&gt;=AE1458,L1458,W1458),IF(V1458=1,L1458,IF(AG1458=1,W1458,MAX($D$16,POWER((ABS(K1458)^2)/($I$5*MAX(F1458,0.1)^2),1/3)))))))</f>
        <v>#VALUE!</v>
      </c>
      <c r="AI1458" t="e">
        <f t="shared" ca="1" si="717"/>
        <v>#VALUE!</v>
      </c>
      <c r="AJ1458" t="e">
        <f t="shared" ca="1" si="718"/>
        <v>#VALUE!</v>
      </c>
      <c r="AM1458">
        <v>0</v>
      </c>
      <c r="AN1458">
        <v>0</v>
      </c>
      <c r="AO1458">
        <f t="shared" si="719"/>
        <v>0</v>
      </c>
      <c r="AP1458">
        <f t="shared" si="728"/>
        <v>0</v>
      </c>
      <c r="AQ1458" t="e">
        <f t="shared" ca="1" si="720"/>
        <v>#VALUE!</v>
      </c>
      <c r="AR1458" t="e">
        <f t="shared" ca="1" si="721"/>
        <v>#VALUE!</v>
      </c>
      <c r="AS1458" t="e">
        <f t="shared" ca="1" si="722"/>
        <v>#VALUE!</v>
      </c>
    </row>
    <row r="1459" spans="1:45" x14ac:dyDescent="0.35">
      <c r="A1459">
        <v>1310</v>
      </c>
      <c r="B1459">
        <v>1308.8889999999999</v>
      </c>
      <c r="C1459">
        <v>616068.10800000001</v>
      </c>
      <c r="D1459">
        <v>3096695.3250000002</v>
      </c>
      <c r="E1459">
        <v>631.90750000000003</v>
      </c>
      <c r="F1459">
        <v>5.2</v>
      </c>
      <c r="G1459">
        <v>0</v>
      </c>
      <c r="H1459" t="s">
        <v>191</v>
      </c>
      <c r="I1459">
        <v>0</v>
      </c>
      <c r="J1459">
        <f t="shared" si="723"/>
        <v>1</v>
      </c>
      <c r="K1459">
        <f t="shared" si="724"/>
        <v>51</v>
      </c>
      <c r="L1459" t="e">
        <f t="shared" ca="1" si="725"/>
        <v>#VALUE!</v>
      </c>
      <c r="M1459" t="e">
        <f t="shared" ca="1" si="698"/>
        <v>#VALUE!</v>
      </c>
      <c r="N1459" t="e">
        <f t="shared" ca="1" si="699"/>
        <v>#VALUE!</v>
      </c>
      <c r="O1459" t="e">
        <f t="shared" ca="1" si="700"/>
        <v>#VALUE!</v>
      </c>
      <c r="P1459" t="e">
        <f t="shared" ca="1" si="701"/>
        <v>#VALUE!</v>
      </c>
      <c r="Q1459" t="e">
        <f t="shared" ca="1" si="702"/>
        <v>#VALUE!</v>
      </c>
      <c r="R1459" t="e">
        <f t="shared" ca="1" si="703"/>
        <v>#VALUE!</v>
      </c>
      <c r="S1459" t="e">
        <f t="shared" ca="1" si="704"/>
        <v>#VALUE!</v>
      </c>
      <c r="T1459" t="e">
        <f t="shared" ca="1" si="705"/>
        <v>#VALUE!</v>
      </c>
      <c r="U1459" t="e">
        <f t="shared" ca="1" si="726"/>
        <v>#VALUE!</v>
      </c>
      <c r="V1459" t="e">
        <f t="shared" ca="1" si="727"/>
        <v>#VALUE!</v>
      </c>
      <c r="W1459" t="e">
        <f t="shared" ca="1" si="706"/>
        <v>#VALUE!</v>
      </c>
      <c r="X1459" t="e">
        <f t="shared" ca="1" si="707"/>
        <v>#VALUE!</v>
      </c>
      <c r="Y1459" t="e">
        <f t="shared" ca="1" si="708"/>
        <v>#VALUE!</v>
      </c>
      <c r="Z1459" t="e">
        <f t="shared" ca="1" si="709"/>
        <v>#VALUE!</v>
      </c>
      <c r="AA1459" t="e">
        <f t="shared" ca="1" si="710"/>
        <v>#VALUE!</v>
      </c>
      <c r="AB1459" t="e">
        <f t="shared" ca="1" si="711"/>
        <v>#VALUE!</v>
      </c>
      <c r="AC1459" t="e">
        <f t="shared" ca="1" si="712"/>
        <v>#VALUE!</v>
      </c>
      <c r="AD1459" t="e">
        <f t="shared" ca="1" si="713"/>
        <v>#VALUE!</v>
      </c>
      <c r="AE1459" t="e">
        <f t="shared" ca="1" si="714"/>
        <v>#VALUE!</v>
      </c>
      <c r="AF1459" t="e">
        <f t="shared" ca="1" si="715"/>
        <v>#VALUE!</v>
      </c>
      <c r="AG1459" t="e">
        <f t="shared" ca="1" si="716"/>
        <v>#VALUE!</v>
      </c>
      <c r="AH1459" t="e">
        <f ca="1">IF(V32="Supercritical",L1459,IF(V32="Subcritical",W1459,IF(AND(V1459=1,AG1459=1),IF(T1459&gt;=AE1459,L1459,W1459),IF(V1459=1,L1459,IF(AG1459=1,W1459,MAX($D$16,POWER((ABS(K1459)^2)/($I$5*MAX(F1459,0.1)^2),1/3)))))))</f>
        <v>#VALUE!</v>
      </c>
      <c r="AI1459" t="e">
        <f t="shared" ca="1" si="717"/>
        <v>#VALUE!</v>
      </c>
      <c r="AJ1459" t="e">
        <f t="shared" ca="1" si="718"/>
        <v>#VALUE!</v>
      </c>
      <c r="AM1459">
        <v>0</v>
      </c>
      <c r="AN1459">
        <v>0</v>
      </c>
      <c r="AO1459">
        <f t="shared" si="719"/>
        <v>0</v>
      </c>
      <c r="AP1459">
        <f t="shared" si="728"/>
        <v>0</v>
      </c>
      <c r="AQ1459" t="e">
        <f t="shared" ca="1" si="720"/>
        <v>#VALUE!</v>
      </c>
      <c r="AR1459" t="e">
        <f t="shared" ca="1" si="721"/>
        <v>#VALUE!</v>
      </c>
      <c r="AS1459" t="e">
        <f t="shared" ca="1" si="722"/>
        <v>#VALUE!</v>
      </c>
    </row>
    <row r="1460" spans="1:45" x14ac:dyDescent="0.35">
      <c r="A1460">
        <v>1311</v>
      </c>
      <c r="B1460">
        <v>1309.8889999999999</v>
      </c>
      <c r="C1460">
        <v>616068.06599999999</v>
      </c>
      <c r="D1460">
        <v>3096694.3259999999</v>
      </c>
      <c r="E1460">
        <v>631.90700000000004</v>
      </c>
      <c r="F1460">
        <v>5.2</v>
      </c>
      <c r="G1460">
        <v>0</v>
      </c>
      <c r="H1460" t="s">
        <v>191</v>
      </c>
      <c r="I1460">
        <v>5.7000000000000002E-2</v>
      </c>
      <c r="J1460">
        <f t="shared" si="723"/>
        <v>1</v>
      </c>
      <c r="K1460">
        <f t="shared" si="724"/>
        <v>51</v>
      </c>
      <c r="L1460" t="e">
        <f t="shared" ca="1" si="725"/>
        <v>#VALUE!</v>
      </c>
      <c r="M1460" t="e">
        <f t="shared" ca="1" si="698"/>
        <v>#VALUE!</v>
      </c>
      <c r="N1460" t="e">
        <f t="shared" ca="1" si="699"/>
        <v>#VALUE!</v>
      </c>
      <c r="O1460" t="e">
        <f t="shared" ca="1" si="700"/>
        <v>#VALUE!</v>
      </c>
      <c r="P1460" t="e">
        <f t="shared" ca="1" si="701"/>
        <v>#VALUE!</v>
      </c>
      <c r="Q1460" t="e">
        <f t="shared" ca="1" si="702"/>
        <v>#VALUE!</v>
      </c>
      <c r="R1460" t="e">
        <f t="shared" ca="1" si="703"/>
        <v>#VALUE!</v>
      </c>
      <c r="S1460" t="e">
        <f t="shared" ca="1" si="704"/>
        <v>#VALUE!</v>
      </c>
      <c r="T1460" t="e">
        <f t="shared" ca="1" si="705"/>
        <v>#VALUE!</v>
      </c>
      <c r="U1460" t="e">
        <f t="shared" ca="1" si="726"/>
        <v>#VALUE!</v>
      </c>
      <c r="V1460" t="e">
        <f t="shared" ca="1" si="727"/>
        <v>#VALUE!</v>
      </c>
      <c r="W1460" t="e">
        <f t="shared" ca="1" si="706"/>
        <v>#VALUE!</v>
      </c>
      <c r="X1460" t="e">
        <f t="shared" ca="1" si="707"/>
        <v>#VALUE!</v>
      </c>
      <c r="Y1460" t="e">
        <f t="shared" ca="1" si="708"/>
        <v>#VALUE!</v>
      </c>
      <c r="Z1460" t="e">
        <f t="shared" ca="1" si="709"/>
        <v>#VALUE!</v>
      </c>
      <c r="AA1460" t="e">
        <f t="shared" ca="1" si="710"/>
        <v>#VALUE!</v>
      </c>
      <c r="AB1460" t="e">
        <f t="shared" ca="1" si="711"/>
        <v>#VALUE!</v>
      </c>
      <c r="AC1460" t="e">
        <f t="shared" ca="1" si="712"/>
        <v>#VALUE!</v>
      </c>
      <c r="AD1460" t="e">
        <f t="shared" ca="1" si="713"/>
        <v>#VALUE!</v>
      </c>
      <c r="AE1460" t="e">
        <f t="shared" ca="1" si="714"/>
        <v>#VALUE!</v>
      </c>
      <c r="AF1460" t="e">
        <f t="shared" ca="1" si="715"/>
        <v>#VALUE!</v>
      </c>
      <c r="AG1460" t="e">
        <f t="shared" ca="1" si="716"/>
        <v>#VALUE!</v>
      </c>
      <c r="AH1460" t="e">
        <f ca="1">IF(V32="Supercritical",L1460,IF(V32="Subcritical",W1460,IF(AND(V1460=1,AG1460=1),IF(T1460&gt;=AE1460,L1460,W1460),IF(V1460=1,L1460,IF(AG1460=1,W1460,MAX($D$16,POWER((ABS(K1460)^2)/($I$5*MAX(F1460,0.1)^2),1/3)))))))</f>
        <v>#VALUE!</v>
      </c>
      <c r="AI1460" t="e">
        <f t="shared" ca="1" si="717"/>
        <v>#VALUE!</v>
      </c>
      <c r="AJ1460" t="e">
        <f t="shared" ca="1" si="718"/>
        <v>#VALUE!</v>
      </c>
      <c r="AM1460">
        <v>0</v>
      </c>
      <c r="AN1460">
        <v>0</v>
      </c>
      <c r="AO1460">
        <f t="shared" si="719"/>
        <v>0</v>
      </c>
      <c r="AP1460">
        <f t="shared" si="728"/>
        <v>0</v>
      </c>
      <c r="AQ1460" t="e">
        <f t="shared" ca="1" si="720"/>
        <v>#VALUE!</v>
      </c>
      <c r="AR1460" t="e">
        <f t="shared" ca="1" si="721"/>
        <v>#VALUE!</v>
      </c>
      <c r="AS1460" t="e">
        <f t="shared" ca="1" si="722"/>
        <v>#VALUE!</v>
      </c>
    </row>
    <row r="1461" spans="1:45" x14ac:dyDescent="0.35">
      <c r="A1461">
        <v>1312</v>
      </c>
      <c r="B1461">
        <v>1310.8889999999999</v>
      </c>
      <c r="C1461">
        <v>616068.02300000004</v>
      </c>
      <c r="D1461">
        <v>3096693.327</v>
      </c>
      <c r="E1461">
        <v>631.90650000000005</v>
      </c>
      <c r="F1461">
        <v>5.2</v>
      </c>
      <c r="G1461">
        <v>0</v>
      </c>
      <c r="H1461" t="s">
        <v>191</v>
      </c>
      <c r="I1461">
        <v>0.06</v>
      </c>
      <c r="J1461">
        <f t="shared" si="723"/>
        <v>1</v>
      </c>
      <c r="K1461">
        <f t="shared" si="724"/>
        <v>51</v>
      </c>
      <c r="L1461" t="e">
        <f t="shared" ca="1" si="725"/>
        <v>#VALUE!</v>
      </c>
      <c r="M1461" t="e">
        <f t="shared" ca="1" si="698"/>
        <v>#VALUE!</v>
      </c>
      <c r="N1461" t="e">
        <f t="shared" ca="1" si="699"/>
        <v>#VALUE!</v>
      </c>
      <c r="O1461" t="e">
        <f t="shared" ca="1" si="700"/>
        <v>#VALUE!</v>
      </c>
      <c r="P1461" t="e">
        <f t="shared" ca="1" si="701"/>
        <v>#VALUE!</v>
      </c>
      <c r="Q1461" t="e">
        <f t="shared" ca="1" si="702"/>
        <v>#VALUE!</v>
      </c>
      <c r="R1461" t="e">
        <f t="shared" ca="1" si="703"/>
        <v>#VALUE!</v>
      </c>
      <c r="S1461" t="e">
        <f t="shared" ca="1" si="704"/>
        <v>#VALUE!</v>
      </c>
      <c r="T1461" t="e">
        <f t="shared" ca="1" si="705"/>
        <v>#VALUE!</v>
      </c>
      <c r="U1461" t="e">
        <f t="shared" ca="1" si="726"/>
        <v>#VALUE!</v>
      </c>
      <c r="V1461" t="e">
        <f t="shared" ca="1" si="727"/>
        <v>#VALUE!</v>
      </c>
      <c r="W1461" t="e">
        <f t="shared" ca="1" si="706"/>
        <v>#VALUE!</v>
      </c>
      <c r="X1461" t="e">
        <f t="shared" ca="1" si="707"/>
        <v>#VALUE!</v>
      </c>
      <c r="Y1461" t="e">
        <f t="shared" ca="1" si="708"/>
        <v>#VALUE!</v>
      </c>
      <c r="Z1461" t="e">
        <f t="shared" ca="1" si="709"/>
        <v>#VALUE!</v>
      </c>
      <c r="AA1461" t="e">
        <f t="shared" ca="1" si="710"/>
        <v>#VALUE!</v>
      </c>
      <c r="AB1461" t="e">
        <f t="shared" ca="1" si="711"/>
        <v>#VALUE!</v>
      </c>
      <c r="AC1461" t="e">
        <f t="shared" ca="1" si="712"/>
        <v>#VALUE!</v>
      </c>
      <c r="AD1461" t="e">
        <f t="shared" ca="1" si="713"/>
        <v>#VALUE!</v>
      </c>
      <c r="AE1461" t="e">
        <f t="shared" ca="1" si="714"/>
        <v>#VALUE!</v>
      </c>
      <c r="AF1461" t="e">
        <f t="shared" ca="1" si="715"/>
        <v>#VALUE!</v>
      </c>
      <c r="AG1461" t="e">
        <f t="shared" ca="1" si="716"/>
        <v>#VALUE!</v>
      </c>
      <c r="AH1461" t="e">
        <f ca="1">IF(V32="Supercritical",L1461,IF(V32="Subcritical",W1461,IF(AND(V1461=1,AG1461=1),IF(T1461&gt;=AE1461,L1461,W1461),IF(V1461=1,L1461,IF(AG1461=1,W1461,MAX($D$16,POWER((ABS(K1461)^2)/($I$5*MAX(F1461,0.1)^2),1/3)))))))</f>
        <v>#VALUE!</v>
      </c>
      <c r="AI1461" t="e">
        <f t="shared" ca="1" si="717"/>
        <v>#VALUE!</v>
      </c>
      <c r="AJ1461" t="e">
        <f t="shared" ca="1" si="718"/>
        <v>#VALUE!</v>
      </c>
      <c r="AM1461">
        <v>0</v>
      </c>
      <c r="AN1461">
        <v>0</v>
      </c>
      <c r="AO1461">
        <f t="shared" si="719"/>
        <v>0</v>
      </c>
      <c r="AP1461">
        <f t="shared" si="728"/>
        <v>0</v>
      </c>
      <c r="AQ1461" t="e">
        <f t="shared" ca="1" si="720"/>
        <v>#VALUE!</v>
      </c>
      <c r="AR1461" t="e">
        <f t="shared" ca="1" si="721"/>
        <v>#VALUE!</v>
      </c>
      <c r="AS1461" t="e">
        <f t="shared" ca="1" si="722"/>
        <v>#VALUE!</v>
      </c>
    </row>
    <row r="1462" spans="1:45" x14ac:dyDescent="0.35">
      <c r="A1462">
        <v>1313</v>
      </c>
      <c r="B1462">
        <v>1311.89</v>
      </c>
      <c r="C1462">
        <v>616067.98100000003</v>
      </c>
      <c r="D1462">
        <v>3096692.327</v>
      </c>
      <c r="E1462">
        <v>631.90599999999995</v>
      </c>
      <c r="F1462">
        <v>5.2</v>
      </c>
      <c r="G1462">
        <v>0</v>
      </c>
      <c r="H1462" t="s">
        <v>191</v>
      </c>
      <c r="I1462">
        <v>2E-3</v>
      </c>
      <c r="J1462">
        <f t="shared" si="723"/>
        <v>1.0010000000002037</v>
      </c>
      <c r="K1462">
        <f t="shared" si="724"/>
        <v>51</v>
      </c>
      <c r="L1462" t="e">
        <f t="shared" ca="1" si="725"/>
        <v>#VALUE!</v>
      </c>
      <c r="M1462" t="e">
        <f t="shared" ca="1" si="698"/>
        <v>#VALUE!</v>
      </c>
      <c r="N1462" t="e">
        <f t="shared" ca="1" si="699"/>
        <v>#VALUE!</v>
      </c>
      <c r="O1462" t="e">
        <f t="shared" ca="1" si="700"/>
        <v>#VALUE!</v>
      </c>
      <c r="P1462" t="e">
        <f t="shared" ca="1" si="701"/>
        <v>#VALUE!</v>
      </c>
      <c r="Q1462" t="e">
        <f t="shared" ca="1" si="702"/>
        <v>#VALUE!</v>
      </c>
      <c r="R1462" t="e">
        <f t="shared" ca="1" si="703"/>
        <v>#VALUE!</v>
      </c>
      <c r="S1462" t="e">
        <f t="shared" ca="1" si="704"/>
        <v>#VALUE!</v>
      </c>
      <c r="T1462" t="e">
        <f t="shared" ca="1" si="705"/>
        <v>#VALUE!</v>
      </c>
      <c r="U1462" t="e">
        <f t="shared" ca="1" si="726"/>
        <v>#VALUE!</v>
      </c>
      <c r="V1462" t="e">
        <f t="shared" ca="1" si="727"/>
        <v>#VALUE!</v>
      </c>
      <c r="W1462" t="e">
        <f t="shared" ca="1" si="706"/>
        <v>#VALUE!</v>
      </c>
      <c r="X1462" t="e">
        <f t="shared" ca="1" si="707"/>
        <v>#VALUE!</v>
      </c>
      <c r="Y1462" t="e">
        <f t="shared" ca="1" si="708"/>
        <v>#VALUE!</v>
      </c>
      <c r="Z1462" t="e">
        <f t="shared" ca="1" si="709"/>
        <v>#VALUE!</v>
      </c>
      <c r="AA1462" t="e">
        <f t="shared" ca="1" si="710"/>
        <v>#VALUE!</v>
      </c>
      <c r="AB1462" t="e">
        <f t="shared" ca="1" si="711"/>
        <v>#VALUE!</v>
      </c>
      <c r="AC1462" t="e">
        <f t="shared" ca="1" si="712"/>
        <v>#VALUE!</v>
      </c>
      <c r="AD1462" t="e">
        <f t="shared" ca="1" si="713"/>
        <v>#VALUE!</v>
      </c>
      <c r="AE1462" t="e">
        <f t="shared" ca="1" si="714"/>
        <v>#VALUE!</v>
      </c>
      <c r="AF1462" t="e">
        <f t="shared" ca="1" si="715"/>
        <v>#VALUE!</v>
      </c>
      <c r="AG1462" t="e">
        <f t="shared" ca="1" si="716"/>
        <v>#VALUE!</v>
      </c>
      <c r="AH1462" t="e">
        <f ca="1">IF(V32="Supercritical",L1462,IF(V32="Subcritical",W1462,IF(AND(V1462=1,AG1462=1),IF(T1462&gt;=AE1462,L1462,W1462),IF(V1462=1,L1462,IF(AG1462=1,W1462,MAX($D$16,POWER((ABS(K1462)^2)/($I$5*MAX(F1462,0.1)^2),1/3)))))))</f>
        <v>#VALUE!</v>
      </c>
      <c r="AI1462" t="e">
        <f t="shared" ca="1" si="717"/>
        <v>#VALUE!</v>
      </c>
      <c r="AJ1462" t="e">
        <f t="shared" ca="1" si="718"/>
        <v>#VALUE!</v>
      </c>
      <c r="AM1462">
        <v>0</v>
      </c>
      <c r="AN1462">
        <v>0</v>
      </c>
      <c r="AO1462">
        <f t="shared" si="719"/>
        <v>0</v>
      </c>
      <c r="AP1462">
        <f t="shared" si="728"/>
        <v>0</v>
      </c>
      <c r="AQ1462" t="e">
        <f t="shared" ca="1" si="720"/>
        <v>#VALUE!</v>
      </c>
      <c r="AR1462" t="e">
        <f t="shared" ca="1" si="721"/>
        <v>#VALUE!</v>
      </c>
      <c r="AS1462" t="e">
        <f t="shared" ca="1" si="722"/>
        <v>#VALUE!</v>
      </c>
    </row>
    <row r="1463" spans="1:45" x14ac:dyDescent="0.35">
      <c r="A1463">
        <v>1314</v>
      </c>
      <c r="B1463">
        <v>1312.89</v>
      </c>
      <c r="C1463">
        <v>616067.93900000001</v>
      </c>
      <c r="D1463">
        <v>3096691.3280000002</v>
      </c>
      <c r="E1463">
        <v>631.90549999999996</v>
      </c>
      <c r="F1463">
        <v>5.2</v>
      </c>
      <c r="G1463">
        <v>0</v>
      </c>
      <c r="H1463" t="s">
        <v>191</v>
      </c>
      <c r="I1463">
        <v>0</v>
      </c>
      <c r="J1463">
        <f t="shared" si="723"/>
        <v>1</v>
      </c>
      <c r="K1463">
        <f t="shared" si="724"/>
        <v>51</v>
      </c>
      <c r="L1463" t="e">
        <f t="shared" ca="1" si="725"/>
        <v>#VALUE!</v>
      </c>
      <c r="M1463" t="e">
        <f t="shared" ca="1" si="698"/>
        <v>#VALUE!</v>
      </c>
      <c r="N1463" t="e">
        <f t="shared" ca="1" si="699"/>
        <v>#VALUE!</v>
      </c>
      <c r="O1463" t="e">
        <f t="shared" ca="1" si="700"/>
        <v>#VALUE!</v>
      </c>
      <c r="P1463" t="e">
        <f t="shared" ca="1" si="701"/>
        <v>#VALUE!</v>
      </c>
      <c r="Q1463" t="e">
        <f t="shared" ca="1" si="702"/>
        <v>#VALUE!</v>
      </c>
      <c r="R1463" t="e">
        <f t="shared" ca="1" si="703"/>
        <v>#VALUE!</v>
      </c>
      <c r="S1463" t="e">
        <f t="shared" ca="1" si="704"/>
        <v>#VALUE!</v>
      </c>
      <c r="T1463" t="e">
        <f t="shared" ca="1" si="705"/>
        <v>#VALUE!</v>
      </c>
      <c r="U1463" t="e">
        <f t="shared" ca="1" si="726"/>
        <v>#VALUE!</v>
      </c>
      <c r="V1463" t="e">
        <f t="shared" ca="1" si="727"/>
        <v>#VALUE!</v>
      </c>
      <c r="W1463" t="e">
        <f t="shared" ca="1" si="706"/>
        <v>#VALUE!</v>
      </c>
      <c r="X1463" t="e">
        <f t="shared" ca="1" si="707"/>
        <v>#VALUE!</v>
      </c>
      <c r="Y1463" t="e">
        <f t="shared" ca="1" si="708"/>
        <v>#VALUE!</v>
      </c>
      <c r="Z1463" t="e">
        <f t="shared" ca="1" si="709"/>
        <v>#VALUE!</v>
      </c>
      <c r="AA1463" t="e">
        <f t="shared" ca="1" si="710"/>
        <v>#VALUE!</v>
      </c>
      <c r="AB1463" t="e">
        <f t="shared" ca="1" si="711"/>
        <v>#VALUE!</v>
      </c>
      <c r="AC1463" t="e">
        <f t="shared" ca="1" si="712"/>
        <v>#VALUE!</v>
      </c>
      <c r="AD1463" t="e">
        <f t="shared" ca="1" si="713"/>
        <v>#VALUE!</v>
      </c>
      <c r="AE1463" t="e">
        <f t="shared" ca="1" si="714"/>
        <v>#VALUE!</v>
      </c>
      <c r="AF1463" t="e">
        <f t="shared" ca="1" si="715"/>
        <v>#VALUE!</v>
      </c>
      <c r="AG1463" t="e">
        <f t="shared" ca="1" si="716"/>
        <v>#VALUE!</v>
      </c>
      <c r="AH1463" t="e">
        <f ca="1">IF(V32="Supercritical",L1463,IF(V32="Subcritical",W1463,IF(AND(V1463=1,AG1463=1),IF(T1463&gt;=AE1463,L1463,W1463),IF(V1463=1,L1463,IF(AG1463=1,W1463,MAX($D$16,POWER((ABS(K1463)^2)/($I$5*MAX(F1463,0.1)^2),1/3)))))))</f>
        <v>#VALUE!</v>
      </c>
      <c r="AI1463" t="e">
        <f t="shared" ca="1" si="717"/>
        <v>#VALUE!</v>
      </c>
      <c r="AJ1463" t="e">
        <f t="shared" ca="1" si="718"/>
        <v>#VALUE!</v>
      </c>
      <c r="AM1463">
        <v>0</v>
      </c>
      <c r="AN1463">
        <v>0</v>
      </c>
      <c r="AO1463">
        <f t="shared" si="719"/>
        <v>0</v>
      </c>
      <c r="AP1463">
        <f t="shared" si="728"/>
        <v>0</v>
      </c>
      <c r="AQ1463" t="e">
        <f t="shared" ca="1" si="720"/>
        <v>#VALUE!</v>
      </c>
      <c r="AR1463" t="e">
        <f t="shared" ca="1" si="721"/>
        <v>#VALUE!</v>
      </c>
      <c r="AS1463" t="e">
        <f t="shared" ca="1" si="722"/>
        <v>#VALUE!</v>
      </c>
    </row>
    <row r="1464" spans="1:45" x14ac:dyDescent="0.35">
      <c r="A1464">
        <v>1315</v>
      </c>
      <c r="B1464">
        <v>1313.89</v>
      </c>
      <c r="C1464">
        <v>616067.897</v>
      </c>
      <c r="D1464">
        <v>3096690.3289999999</v>
      </c>
      <c r="E1464">
        <v>631.90499999999997</v>
      </c>
      <c r="F1464">
        <v>5.2</v>
      </c>
      <c r="G1464">
        <v>0</v>
      </c>
      <c r="H1464" t="s">
        <v>191</v>
      </c>
      <c r="I1464">
        <v>5.7000000000000002E-2</v>
      </c>
      <c r="J1464">
        <f t="shared" si="723"/>
        <v>1</v>
      </c>
      <c r="K1464">
        <f t="shared" si="724"/>
        <v>51</v>
      </c>
      <c r="L1464" t="e">
        <f t="shared" ca="1" si="725"/>
        <v>#VALUE!</v>
      </c>
      <c r="M1464" t="e">
        <f t="shared" ca="1" si="698"/>
        <v>#VALUE!</v>
      </c>
      <c r="N1464" t="e">
        <f t="shared" ca="1" si="699"/>
        <v>#VALUE!</v>
      </c>
      <c r="O1464" t="e">
        <f t="shared" ca="1" si="700"/>
        <v>#VALUE!</v>
      </c>
      <c r="P1464" t="e">
        <f t="shared" ca="1" si="701"/>
        <v>#VALUE!</v>
      </c>
      <c r="Q1464" t="e">
        <f t="shared" ca="1" si="702"/>
        <v>#VALUE!</v>
      </c>
      <c r="R1464" t="e">
        <f t="shared" ca="1" si="703"/>
        <v>#VALUE!</v>
      </c>
      <c r="S1464" t="e">
        <f t="shared" ca="1" si="704"/>
        <v>#VALUE!</v>
      </c>
      <c r="T1464" t="e">
        <f t="shared" ca="1" si="705"/>
        <v>#VALUE!</v>
      </c>
      <c r="U1464" t="e">
        <f t="shared" ca="1" si="726"/>
        <v>#VALUE!</v>
      </c>
      <c r="V1464" t="e">
        <f t="shared" ca="1" si="727"/>
        <v>#VALUE!</v>
      </c>
      <c r="W1464" t="e">
        <f t="shared" ca="1" si="706"/>
        <v>#VALUE!</v>
      </c>
      <c r="X1464" t="e">
        <f t="shared" ca="1" si="707"/>
        <v>#VALUE!</v>
      </c>
      <c r="Y1464" t="e">
        <f t="shared" ca="1" si="708"/>
        <v>#VALUE!</v>
      </c>
      <c r="Z1464" t="e">
        <f t="shared" ca="1" si="709"/>
        <v>#VALUE!</v>
      </c>
      <c r="AA1464" t="e">
        <f t="shared" ca="1" si="710"/>
        <v>#VALUE!</v>
      </c>
      <c r="AB1464" t="e">
        <f t="shared" ca="1" si="711"/>
        <v>#VALUE!</v>
      </c>
      <c r="AC1464" t="e">
        <f t="shared" ca="1" si="712"/>
        <v>#VALUE!</v>
      </c>
      <c r="AD1464" t="e">
        <f t="shared" ca="1" si="713"/>
        <v>#VALUE!</v>
      </c>
      <c r="AE1464" t="e">
        <f t="shared" ca="1" si="714"/>
        <v>#VALUE!</v>
      </c>
      <c r="AF1464" t="e">
        <f t="shared" ca="1" si="715"/>
        <v>#VALUE!</v>
      </c>
      <c r="AG1464" t="e">
        <f t="shared" ca="1" si="716"/>
        <v>#VALUE!</v>
      </c>
      <c r="AH1464" t="e">
        <f ca="1">IF(V32="Supercritical",L1464,IF(V32="Subcritical",W1464,IF(AND(V1464=1,AG1464=1),IF(T1464&gt;=AE1464,L1464,W1464),IF(V1464=1,L1464,IF(AG1464=1,W1464,MAX($D$16,POWER((ABS(K1464)^2)/($I$5*MAX(F1464,0.1)^2),1/3)))))))</f>
        <v>#VALUE!</v>
      </c>
      <c r="AI1464" t="e">
        <f t="shared" ca="1" si="717"/>
        <v>#VALUE!</v>
      </c>
      <c r="AJ1464" t="e">
        <f t="shared" ca="1" si="718"/>
        <v>#VALUE!</v>
      </c>
      <c r="AM1464">
        <v>0</v>
      </c>
      <c r="AN1464">
        <v>0</v>
      </c>
      <c r="AO1464">
        <f t="shared" si="719"/>
        <v>0</v>
      </c>
      <c r="AP1464">
        <f t="shared" si="728"/>
        <v>0</v>
      </c>
      <c r="AQ1464" t="e">
        <f t="shared" ca="1" si="720"/>
        <v>#VALUE!</v>
      </c>
      <c r="AR1464" t="e">
        <f t="shared" ca="1" si="721"/>
        <v>#VALUE!</v>
      </c>
      <c r="AS1464" t="e">
        <f t="shared" ca="1" si="722"/>
        <v>#VALUE!</v>
      </c>
    </row>
    <row r="1465" spans="1:45" x14ac:dyDescent="0.35">
      <c r="A1465">
        <v>1316</v>
      </c>
      <c r="B1465">
        <v>1314.8889999999999</v>
      </c>
      <c r="C1465">
        <v>616067.85400000005</v>
      </c>
      <c r="D1465">
        <v>3096689.33</v>
      </c>
      <c r="E1465">
        <v>631.90449999999998</v>
      </c>
      <c r="F1465">
        <v>5.2</v>
      </c>
      <c r="G1465">
        <v>0</v>
      </c>
      <c r="H1465" t="s">
        <v>191</v>
      </c>
      <c r="I1465">
        <v>5.7000000000000002E-2</v>
      </c>
      <c r="J1465">
        <f t="shared" si="723"/>
        <v>0.99899999999979627</v>
      </c>
      <c r="K1465">
        <f t="shared" si="724"/>
        <v>51</v>
      </c>
      <c r="L1465" t="e">
        <f t="shared" ca="1" si="725"/>
        <v>#VALUE!</v>
      </c>
      <c r="M1465" t="e">
        <f t="shared" ca="1" si="698"/>
        <v>#VALUE!</v>
      </c>
      <c r="N1465" t="e">
        <f t="shared" ca="1" si="699"/>
        <v>#VALUE!</v>
      </c>
      <c r="O1465" t="e">
        <f t="shared" ca="1" si="700"/>
        <v>#VALUE!</v>
      </c>
      <c r="P1465" t="e">
        <f t="shared" ca="1" si="701"/>
        <v>#VALUE!</v>
      </c>
      <c r="Q1465" t="e">
        <f t="shared" ca="1" si="702"/>
        <v>#VALUE!</v>
      </c>
      <c r="R1465" t="e">
        <f t="shared" ca="1" si="703"/>
        <v>#VALUE!</v>
      </c>
      <c r="S1465" t="e">
        <f t="shared" ca="1" si="704"/>
        <v>#VALUE!</v>
      </c>
      <c r="T1465" t="e">
        <f t="shared" ca="1" si="705"/>
        <v>#VALUE!</v>
      </c>
      <c r="U1465" t="e">
        <f t="shared" ca="1" si="726"/>
        <v>#VALUE!</v>
      </c>
      <c r="V1465" t="e">
        <f t="shared" ca="1" si="727"/>
        <v>#VALUE!</v>
      </c>
      <c r="W1465" t="e">
        <f t="shared" ca="1" si="706"/>
        <v>#VALUE!</v>
      </c>
      <c r="X1465" t="e">
        <f t="shared" ca="1" si="707"/>
        <v>#VALUE!</v>
      </c>
      <c r="Y1465" t="e">
        <f t="shared" ca="1" si="708"/>
        <v>#VALUE!</v>
      </c>
      <c r="Z1465" t="e">
        <f t="shared" ca="1" si="709"/>
        <v>#VALUE!</v>
      </c>
      <c r="AA1465" t="e">
        <f t="shared" ca="1" si="710"/>
        <v>#VALUE!</v>
      </c>
      <c r="AB1465" t="e">
        <f t="shared" ca="1" si="711"/>
        <v>#VALUE!</v>
      </c>
      <c r="AC1465" t="e">
        <f t="shared" ca="1" si="712"/>
        <v>#VALUE!</v>
      </c>
      <c r="AD1465" t="e">
        <f t="shared" ca="1" si="713"/>
        <v>#VALUE!</v>
      </c>
      <c r="AE1465" t="e">
        <f t="shared" ca="1" si="714"/>
        <v>#VALUE!</v>
      </c>
      <c r="AF1465" t="e">
        <f t="shared" ca="1" si="715"/>
        <v>#VALUE!</v>
      </c>
      <c r="AG1465" t="e">
        <f t="shared" ca="1" si="716"/>
        <v>#VALUE!</v>
      </c>
      <c r="AH1465" t="e">
        <f ca="1">IF(V32="Supercritical",L1465,IF(V32="Subcritical",W1465,IF(AND(V1465=1,AG1465=1),IF(T1465&gt;=AE1465,L1465,W1465),IF(V1465=1,L1465,IF(AG1465=1,W1465,MAX($D$16,POWER((ABS(K1465)^2)/($I$5*MAX(F1465,0.1)^2),1/3)))))))</f>
        <v>#VALUE!</v>
      </c>
      <c r="AI1465" t="e">
        <f t="shared" ca="1" si="717"/>
        <v>#VALUE!</v>
      </c>
      <c r="AJ1465" t="e">
        <f t="shared" ca="1" si="718"/>
        <v>#VALUE!</v>
      </c>
      <c r="AM1465">
        <v>0</v>
      </c>
      <c r="AN1465">
        <v>0</v>
      </c>
      <c r="AO1465">
        <f t="shared" si="719"/>
        <v>0</v>
      </c>
      <c r="AP1465">
        <f t="shared" si="728"/>
        <v>0</v>
      </c>
      <c r="AQ1465" t="e">
        <f t="shared" ca="1" si="720"/>
        <v>#VALUE!</v>
      </c>
      <c r="AR1465" t="e">
        <f t="shared" ca="1" si="721"/>
        <v>#VALUE!</v>
      </c>
      <c r="AS1465" t="e">
        <f t="shared" ca="1" si="722"/>
        <v>#VALUE!</v>
      </c>
    </row>
    <row r="1466" spans="1:45" x14ac:dyDescent="0.35">
      <c r="A1466">
        <v>1317</v>
      </c>
      <c r="B1466">
        <v>1315.8889999999999</v>
      </c>
      <c r="C1466">
        <v>616067.81200000003</v>
      </c>
      <c r="D1466">
        <v>3096688.3309999998</v>
      </c>
      <c r="E1466">
        <v>631.904</v>
      </c>
      <c r="F1466">
        <v>5.2</v>
      </c>
      <c r="G1466">
        <v>0</v>
      </c>
      <c r="H1466" t="s">
        <v>191</v>
      </c>
      <c r="I1466">
        <v>0</v>
      </c>
      <c r="J1466">
        <f t="shared" si="723"/>
        <v>1</v>
      </c>
      <c r="K1466">
        <f t="shared" si="724"/>
        <v>51</v>
      </c>
      <c r="L1466" t="e">
        <f t="shared" ca="1" si="725"/>
        <v>#VALUE!</v>
      </c>
      <c r="M1466" t="e">
        <f t="shared" ca="1" si="698"/>
        <v>#VALUE!</v>
      </c>
      <c r="N1466" t="e">
        <f t="shared" ca="1" si="699"/>
        <v>#VALUE!</v>
      </c>
      <c r="O1466" t="e">
        <f t="shared" ca="1" si="700"/>
        <v>#VALUE!</v>
      </c>
      <c r="P1466" t="e">
        <f t="shared" ca="1" si="701"/>
        <v>#VALUE!</v>
      </c>
      <c r="Q1466" t="e">
        <f t="shared" ca="1" si="702"/>
        <v>#VALUE!</v>
      </c>
      <c r="R1466" t="e">
        <f t="shared" ca="1" si="703"/>
        <v>#VALUE!</v>
      </c>
      <c r="S1466" t="e">
        <f t="shared" ca="1" si="704"/>
        <v>#VALUE!</v>
      </c>
      <c r="T1466" t="e">
        <f t="shared" ca="1" si="705"/>
        <v>#VALUE!</v>
      </c>
      <c r="U1466" t="e">
        <f t="shared" ca="1" si="726"/>
        <v>#VALUE!</v>
      </c>
      <c r="V1466" t="e">
        <f t="shared" ca="1" si="727"/>
        <v>#VALUE!</v>
      </c>
      <c r="W1466" t="e">
        <f t="shared" ca="1" si="706"/>
        <v>#VALUE!</v>
      </c>
      <c r="X1466" t="e">
        <f t="shared" ca="1" si="707"/>
        <v>#VALUE!</v>
      </c>
      <c r="Y1466" t="e">
        <f t="shared" ca="1" si="708"/>
        <v>#VALUE!</v>
      </c>
      <c r="Z1466" t="e">
        <f t="shared" ca="1" si="709"/>
        <v>#VALUE!</v>
      </c>
      <c r="AA1466" t="e">
        <f t="shared" ca="1" si="710"/>
        <v>#VALUE!</v>
      </c>
      <c r="AB1466" t="e">
        <f t="shared" ca="1" si="711"/>
        <v>#VALUE!</v>
      </c>
      <c r="AC1466" t="e">
        <f t="shared" ca="1" si="712"/>
        <v>#VALUE!</v>
      </c>
      <c r="AD1466" t="e">
        <f t="shared" ca="1" si="713"/>
        <v>#VALUE!</v>
      </c>
      <c r="AE1466" t="e">
        <f t="shared" ca="1" si="714"/>
        <v>#VALUE!</v>
      </c>
      <c r="AF1466" t="e">
        <f t="shared" ca="1" si="715"/>
        <v>#VALUE!</v>
      </c>
      <c r="AG1466" t="e">
        <f t="shared" ca="1" si="716"/>
        <v>#VALUE!</v>
      </c>
      <c r="AH1466" t="e">
        <f ca="1">IF(V32="Supercritical",L1466,IF(V32="Subcritical",W1466,IF(AND(V1466=1,AG1466=1),IF(T1466&gt;=AE1466,L1466,W1466),IF(V1466=1,L1466,IF(AG1466=1,W1466,MAX($D$16,POWER((ABS(K1466)^2)/($I$5*MAX(F1466,0.1)^2),1/3)))))))</f>
        <v>#VALUE!</v>
      </c>
      <c r="AI1466" t="e">
        <f t="shared" ca="1" si="717"/>
        <v>#VALUE!</v>
      </c>
      <c r="AJ1466" t="e">
        <f t="shared" ca="1" si="718"/>
        <v>#VALUE!</v>
      </c>
      <c r="AM1466">
        <v>0</v>
      </c>
      <c r="AN1466">
        <v>0</v>
      </c>
      <c r="AO1466">
        <f t="shared" si="719"/>
        <v>0</v>
      </c>
      <c r="AP1466">
        <f t="shared" si="728"/>
        <v>0</v>
      </c>
      <c r="AQ1466" t="e">
        <f t="shared" ca="1" si="720"/>
        <v>#VALUE!</v>
      </c>
      <c r="AR1466" t="e">
        <f t="shared" ca="1" si="721"/>
        <v>#VALUE!</v>
      </c>
      <c r="AS1466" t="e">
        <f t="shared" ca="1" si="722"/>
        <v>#VALUE!</v>
      </c>
    </row>
    <row r="1467" spans="1:45" x14ac:dyDescent="0.35">
      <c r="A1467">
        <v>1318</v>
      </c>
      <c r="B1467">
        <v>1316.8889999999999</v>
      </c>
      <c r="C1467">
        <v>616067.77</v>
      </c>
      <c r="D1467">
        <v>3096687.3319999999</v>
      </c>
      <c r="E1467">
        <v>631.90350000000001</v>
      </c>
      <c r="F1467">
        <v>5.2</v>
      </c>
      <c r="G1467">
        <v>0</v>
      </c>
      <c r="H1467" t="s">
        <v>191</v>
      </c>
      <c r="I1467">
        <v>0</v>
      </c>
      <c r="J1467">
        <f t="shared" si="723"/>
        <v>1</v>
      </c>
      <c r="K1467">
        <f t="shared" si="724"/>
        <v>51</v>
      </c>
      <c r="L1467" t="e">
        <f t="shared" ca="1" si="725"/>
        <v>#VALUE!</v>
      </c>
      <c r="M1467" t="e">
        <f t="shared" ca="1" si="698"/>
        <v>#VALUE!</v>
      </c>
      <c r="N1467" t="e">
        <f t="shared" ca="1" si="699"/>
        <v>#VALUE!</v>
      </c>
      <c r="O1467" t="e">
        <f t="shared" ca="1" si="700"/>
        <v>#VALUE!</v>
      </c>
      <c r="P1467" t="e">
        <f t="shared" ca="1" si="701"/>
        <v>#VALUE!</v>
      </c>
      <c r="Q1467" t="e">
        <f t="shared" ca="1" si="702"/>
        <v>#VALUE!</v>
      </c>
      <c r="R1467" t="e">
        <f t="shared" ca="1" si="703"/>
        <v>#VALUE!</v>
      </c>
      <c r="S1467" t="e">
        <f t="shared" ca="1" si="704"/>
        <v>#VALUE!</v>
      </c>
      <c r="T1467" t="e">
        <f t="shared" ca="1" si="705"/>
        <v>#VALUE!</v>
      </c>
      <c r="U1467" t="e">
        <f t="shared" ca="1" si="726"/>
        <v>#VALUE!</v>
      </c>
      <c r="V1467" t="e">
        <f t="shared" ca="1" si="727"/>
        <v>#VALUE!</v>
      </c>
      <c r="W1467" t="e">
        <f t="shared" ca="1" si="706"/>
        <v>#VALUE!</v>
      </c>
      <c r="X1467" t="e">
        <f t="shared" ca="1" si="707"/>
        <v>#VALUE!</v>
      </c>
      <c r="Y1467" t="e">
        <f t="shared" ca="1" si="708"/>
        <v>#VALUE!</v>
      </c>
      <c r="Z1467" t="e">
        <f t="shared" ca="1" si="709"/>
        <v>#VALUE!</v>
      </c>
      <c r="AA1467" t="e">
        <f t="shared" ca="1" si="710"/>
        <v>#VALUE!</v>
      </c>
      <c r="AB1467" t="e">
        <f t="shared" ca="1" si="711"/>
        <v>#VALUE!</v>
      </c>
      <c r="AC1467" t="e">
        <f t="shared" ca="1" si="712"/>
        <v>#VALUE!</v>
      </c>
      <c r="AD1467" t="e">
        <f t="shared" ca="1" si="713"/>
        <v>#VALUE!</v>
      </c>
      <c r="AE1467" t="e">
        <f t="shared" ca="1" si="714"/>
        <v>#VALUE!</v>
      </c>
      <c r="AF1467" t="e">
        <f t="shared" ca="1" si="715"/>
        <v>#VALUE!</v>
      </c>
      <c r="AG1467" t="e">
        <f t="shared" ca="1" si="716"/>
        <v>#VALUE!</v>
      </c>
      <c r="AH1467" t="e">
        <f ca="1">IF(V32="Supercritical",L1467,IF(V32="Subcritical",W1467,IF(AND(V1467=1,AG1467=1),IF(T1467&gt;=AE1467,L1467,W1467),IF(V1467=1,L1467,IF(AG1467=1,W1467,MAX($D$16,POWER((ABS(K1467)^2)/($I$5*MAX(F1467,0.1)^2),1/3)))))))</f>
        <v>#VALUE!</v>
      </c>
      <c r="AI1467" t="e">
        <f t="shared" ca="1" si="717"/>
        <v>#VALUE!</v>
      </c>
      <c r="AJ1467" t="e">
        <f t="shared" ca="1" si="718"/>
        <v>#VALUE!</v>
      </c>
      <c r="AM1467">
        <v>0</v>
      </c>
      <c r="AN1467">
        <v>0</v>
      </c>
      <c r="AO1467">
        <f t="shared" si="719"/>
        <v>0</v>
      </c>
      <c r="AP1467">
        <f t="shared" si="728"/>
        <v>0</v>
      </c>
      <c r="AQ1467" t="e">
        <f t="shared" ca="1" si="720"/>
        <v>#VALUE!</v>
      </c>
      <c r="AR1467" t="e">
        <f t="shared" ca="1" si="721"/>
        <v>#VALUE!</v>
      </c>
      <c r="AS1467" t="e">
        <f t="shared" ca="1" si="722"/>
        <v>#VALUE!</v>
      </c>
    </row>
    <row r="1468" spans="1:45" x14ac:dyDescent="0.35">
      <c r="A1468">
        <v>1319</v>
      </c>
      <c r="B1468">
        <v>1317.8889999999999</v>
      </c>
      <c r="C1468">
        <v>616067.728</v>
      </c>
      <c r="D1468">
        <v>3096686.3330000001</v>
      </c>
      <c r="E1468">
        <v>631.90300000000002</v>
      </c>
      <c r="F1468">
        <v>5.2</v>
      </c>
      <c r="G1468">
        <v>0</v>
      </c>
      <c r="H1468" t="s">
        <v>191</v>
      </c>
      <c r="I1468">
        <v>5.7000000000000002E-2</v>
      </c>
      <c r="J1468">
        <f t="shared" si="723"/>
        <v>1</v>
      </c>
      <c r="K1468">
        <f t="shared" si="724"/>
        <v>51</v>
      </c>
      <c r="L1468" t="e">
        <f t="shared" ca="1" si="725"/>
        <v>#VALUE!</v>
      </c>
      <c r="M1468" t="e">
        <f t="shared" ca="1" si="698"/>
        <v>#VALUE!</v>
      </c>
      <c r="N1468" t="e">
        <f t="shared" ca="1" si="699"/>
        <v>#VALUE!</v>
      </c>
      <c r="O1468" t="e">
        <f t="shared" ca="1" si="700"/>
        <v>#VALUE!</v>
      </c>
      <c r="P1468" t="e">
        <f t="shared" ca="1" si="701"/>
        <v>#VALUE!</v>
      </c>
      <c r="Q1468" t="e">
        <f t="shared" ca="1" si="702"/>
        <v>#VALUE!</v>
      </c>
      <c r="R1468" t="e">
        <f t="shared" ca="1" si="703"/>
        <v>#VALUE!</v>
      </c>
      <c r="S1468" t="e">
        <f t="shared" ca="1" si="704"/>
        <v>#VALUE!</v>
      </c>
      <c r="T1468" t="e">
        <f t="shared" ca="1" si="705"/>
        <v>#VALUE!</v>
      </c>
      <c r="U1468" t="e">
        <f t="shared" ca="1" si="726"/>
        <v>#VALUE!</v>
      </c>
      <c r="V1468" t="e">
        <f t="shared" ca="1" si="727"/>
        <v>#VALUE!</v>
      </c>
      <c r="W1468" t="e">
        <f t="shared" ca="1" si="706"/>
        <v>#VALUE!</v>
      </c>
      <c r="X1468" t="e">
        <f t="shared" ca="1" si="707"/>
        <v>#VALUE!</v>
      </c>
      <c r="Y1468" t="e">
        <f t="shared" ca="1" si="708"/>
        <v>#VALUE!</v>
      </c>
      <c r="Z1468" t="e">
        <f t="shared" ca="1" si="709"/>
        <v>#VALUE!</v>
      </c>
      <c r="AA1468" t="e">
        <f t="shared" ca="1" si="710"/>
        <v>#VALUE!</v>
      </c>
      <c r="AB1468" t="e">
        <f t="shared" ca="1" si="711"/>
        <v>#VALUE!</v>
      </c>
      <c r="AC1468" t="e">
        <f t="shared" ca="1" si="712"/>
        <v>#VALUE!</v>
      </c>
      <c r="AD1468" t="e">
        <f t="shared" ca="1" si="713"/>
        <v>#VALUE!</v>
      </c>
      <c r="AE1468" t="e">
        <f t="shared" ca="1" si="714"/>
        <v>#VALUE!</v>
      </c>
      <c r="AF1468" t="e">
        <f t="shared" ca="1" si="715"/>
        <v>#VALUE!</v>
      </c>
      <c r="AG1468" t="e">
        <f t="shared" ca="1" si="716"/>
        <v>#VALUE!</v>
      </c>
      <c r="AH1468" t="e">
        <f ca="1">IF(V32="Supercritical",L1468,IF(V32="Subcritical",W1468,IF(AND(V1468=1,AG1468=1),IF(T1468&gt;=AE1468,L1468,W1468),IF(V1468=1,L1468,IF(AG1468=1,W1468,MAX($D$16,POWER((ABS(K1468)^2)/($I$5*MAX(F1468,0.1)^2),1/3)))))))</f>
        <v>#VALUE!</v>
      </c>
      <c r="AI1468" t="e">
        <f t="shared" ca="1" si="717"/>
        <v>#VALUE!</v>
      </c>
      <c r="AJ1468" t="e">
        <f t="shared" ca="1" si="718"/>
        <v>#VALUE!</v>
      </c>
      <c r="AM1468">
        <v>0</v>
      </c>
      <c r="AN1468">
        <v>0</v>
      </c>
      <c r="AO1468">
        <f t="shared" si="719"/>
        <v>0</v>
      </c>
      <c r="AP1468">
        <f t="shared" si="728"/>
        <v>0</v>
      </c>
      <c r="AQ1468" t="e">
        <f t="shared" ca="1" si="720"/>
        <v>#VALUE!</v>
      </c>
      <c r="AR1468" t="e">
        <f t="shared" ca="1" si="721"/>
        <v>#VALUE!</v>
      </c>
      <c r="AS1468" t="e">
        <f t="shared" ca="1" si="722"/>
        <v>#VALUE!</v>
      </c>
    </row>
    <row r="1469" spans="1:45" x14ac:dyDescent="0.35">
      <c r="A1469">
        <v>1320</v>
      </c>
      <c r="B1469">
        <v>1318.8889999999999</v>
      </c>
      <c r="C1469">
        <v>616067.68500000006</v>
      </c>
      <c r="D1469">
        <v>3096685.3339999998</v>
      </c>
      <c r="E1469">
        <v>631.90250000000003</v>
      </c>
      <c r="F1469">
        <v>5.2</v>
      </c>
      <c r="G1469">
        <v>0</v>
      </c>
      <c r="H1469" t="s">
        <v>191</v>
      </c>
      <c r="I1469">
        <v>5.7000000000000002E-2</v>
      </c>
      <c r="J1469">
        <f t="shared" si="723"/>
        <v>1</v>
      </c>
      <c r="K1469">
        <f t="shared" si="724"/>
        <v>51</v>
      </c>
      <c r="L1469" t="e">
        <f t="shared" ca="1" si="725"/>
        <v>#VALUE!</v>
      </c>
      <c r="M1469" t="e">
        <f t="shared" ca="1" si="698"/>
        <v>#VALUE!</v>
      </c>
      <c r="N1469" t="e">
        <f t="shared" ca="1" si="699"/>
        <v>#VALUE!</v>
      </c>
      <c r="O1469" t="e">
        <f t="shared" ca="1" si="700"/>
        <v>#VALUE!</v>
      </c>
      <c r="P1469" t="e">
        <f t="shared" ca="1" si="701"/>
        <v>#VALUE!</v>
      </c>
      <c r="Q1469" t="e">
        <f t="shared" ca="1" si="702"/>
        <v>#VALUE!</v>
      </c>
      <c r="R1469" t="e">
        <f t="shared" ca="1" si="703"/>
        <v>#VALUE!</v>
      </c>
      <c r="S1469" t="e">
        <f t="shared" ca="1" si="704"/>
        <v>#VALUE!</v>
      </c>
      <c r="T1469" t="e">
        <f t="shared" ca="1" si="705"/>
        <v>#VALUE!</v>
      </c>
      <c r="U1469" t="e">
        <f t="shared" ca="1" si="726"/>
        <v>#VALUE!</v>
      </c>
      <c r="V1469" t="e">
        <f t="shared" ca="1" si="727"/>
        <v>#VALUE!</v>
      </c>
      <c r="W1469" t="e">
        <f t="shared" ca="1" si="706"/>
        <v>#VALUE!</v>
      </c>
      <c r="X1469" t="e">
        <f t="shared" ca="1" si="707"/>
        <v>#VALUE!</v>
      </c>
      <c r="Y1469" t="e">
        <f t="shared" ca="1" si="708"/>
        <v>#VALUE!</v>
      </c>
      <c r="Z1469" t="e">
        <f t="shared" ca="1" si="709"/>
        <v>#VALUE!</v>
      </c>
      <c r="AA1469" t="e">
        <f t="shared" ca="1" si="710"/>
        <v>#VALUE!</v>
      </c>
      <c r="AB1469" t="e">
        <f t="shared" ca="1" si="711"/>
        <v>#VALUE!</v>
      </c>
      <c r="AC1469" t="e">
        <f t="shared" ca="1" si="712"/>
        <v>#VALUE!</v>
      </c>
      <c r="AD1469" t="e">
        <f t="shared" ca="1" si="713"/>
        <v>#VALUE!</v>
      </c>
      <c r="AE1469" t="e">
        <f t="shared" ca="1" si="714"/>
        <v>#VALUE!</v>
      </c>
      <c r="AF1469" t="e">
        <f t="shared" ca="1" si="715"/>
        <v>#VALUE!</v>
      </c>
      <c r="AG1469" t="e">
        <f t="shared" ca="1" si="716"/>
        <v>#VALUE!</v>
      </c>
      <c r="AH1469" t="e">
        <f ca="1">IF(V32="Supercritical",L1469,IF(V32="Subcritical",W1469,IF(AND(V1469=1,AG1469=1),IF(T1469&gt;=AE1469,L1469,W1469),IF(V1469=1,L1469,IF(AG1469=1,W1469,MAX($D$16,POWER((ABS(K1469)^2)/($I$5*MAX(F1469,0.1)^2),1/3)))))))</f>
        <v>#VALUE!</v>
      </c>
      <c r="AI1469" t="e">
        <f t="shared" ca="1" si="717"/>
        <v>#VALUE!</v>
      </c>
      <c r="AJ1469" t="e">
        <f t="shared" ca="1" si="718"/>
        <v>#VALUE!</v>
      </c>
      <c r="AM1469">
        <v>0</v>
      </c>
      <c r="AN1469">
        <v>0</v>
      </c>
      <c r="AO1469">
        <f t="shared" si="719"/>
        <v>0</v>
      </c>
      <c r="AP1469">
        <f t="shared" si="728"/>
        <v>0</v>
      </c>
      <c r="AQ1469" t="e">
        <f t="shared" ca="1" si="720"/>
        <v>#VALUE!</v>
      </c>
      <c r="AR1469" t="e">
        <f t="shared" ca="1" si="721"/>
        <v>#VALUE!</v>
      </c>
      <c r="AS1469" t="e">
        <f t="shared" ca="1" si="722"/>
        <v>#VALUE!</v>
      </c>
    </row>
    <row r="1470" spans="1:45" x14ac:dyDescent="0.35">
      <c r="A1470">
        <v>1321</v>
      </c>
      <c r="B1470">
        <v>1319.8889999999999</v>
      </c>
      <c r="C1470">
        <v>616067.64300000004</v>
      </c>
      <c r="D1470">
        <v>3096684.335</v>
      </c>
      <c r="E1470">
        <v>631.90200000000004</v>
      </c>
      <c r="F1470">
        <v>5.2</v>
      </c>
      <c r="G1470">
        <v>0</v>
      </c>
      <c r="H1470" t="s">
        <v>191</v>
      </c>
      <c r="I1470">
        <v>0</v>
      </c>
      <c r="J1470">
        <f t="shared" si="723"/>
        <v>1</v>
      </c>
      <c r="K1470">
        <f t="shared" si="724"/>
        <v>51</v>
      </c>
      <c r="L1470" t="e">
        <f t="shared" ca="1" si="725"/>
        <v>#VALUE!</v>
      </c>
      <c r="M1470" t="e">
        <f t="shared" ca="1" si="698"/>
        <v>#VALUE!</v>
      </c>
      <c r="N1470" t="e">
        <f t="shared" ca="1" si="699"/>
        <v>#VALUE!</v>
      </c>
      <c r="O1470" t="e">
        <f t="shared" ca="1" si="700"/>
        <v>#VALUE!</v>
      </c>
      <c r="P1470" t="e">
        <f t="shared" ca="1" si="701"/>
        <v>#VALUE!</v>
      </c>
      <c r="Q1470" t="e">
        <f t="shared" ca="1" si="702"/>
        <v>#VALUE!</v>
      </c>
      <c r="R1470" t="e">
        <f t="shared" ca="1" si="703"/>
        <v>#VALUE!</v>
      </c>
      <c r="S1470" t="e">
        <f t="shared" ca="1" si="704"/>
        <v>#VALUE!</v>
      </c>
      <c r="T1470" t="e">
        <f t="shared" ca="1" si="705"/>
        <v>#VALUE!</v>
      </c>
      <c r="U1470" t="e">
        <f t="shared" ca="1" si="726"/>
        <v>#VALUE!</v>
      </c>
      <c r="V1470" t="e">
        <f t="shared" ca="1" si="727"/>
        <v>#VALUE!</v>
      </c>
      <c r="W1470" t="e">
        <f t="shared" ca="1" si="706"/>
        <v>#VALUE!</v>
      </c>
      <c r="X1470" t="e">
        <f t="shared" ca="1" si="707"/>
        <v>#VALUE!</v>
      </c>
      <c r="Y1470" t="e">
        <f t="shared" ca="1" si="708"/>
        <v>#VALUE!</v>
      </c>
      <c r="Z1470" t="e">
        <f t="shared" ca="1" si="709"/>
        <v>#VALUE!</v>
      </c>
      <c r="AA1470" t="e">
        <f t="shared" ca="1" si="710"/>
        <v>#VALUE!</v>
      </c>
      <c r="AB1470" t="e">
        <f t="shared" ca="1" si="711"/>
        <v>#VALUE!</v>
      </c>
      <c r="AC1470" t="e">
        <f t="shared" ca="1" si="712"/>
        <v>#VALUE!</v>
      </c>
      <c r="AD1470" t="e">
        <f t="shared" ca="1" si="713"/>
        <v>#VALUE!</v>
      </c>
      <c r="AE1470" t="e">
        <f t="shared" ca="1" si="714"/>
        <v>#VALUE!</v>
      </c>
      <c r="AF1470" t="e">
        <f t="shared" ca="1" si="715"/>
        <v>#VALUE!</v>
      </c>
      <c r="AG1470" t="e">
        <f t="shared" ca="1" si="716"/>
        <v>#VALUE!</v>
      </c>
      <c r="AH1470" t="e">
        <f ca="1">IF(V32="Supercritical",L1470,IF(V32="Subcritical",W1470,IF(AND(V1470=1,AG1470=1),IF(T1470&gt;=AE1470,L1470,W1470),IF(V1470=1,L1470,IF(AG1470=1,W1470,MAX($D$16,POWER((ABS(K1470)^2)/($I$5*MAX(F1470,0.1)^2),1/3)))))))</f>
        <v>#VALUE!</v>
      </c>
      <c r="AI1470" t="e">
        <f t="shared" ca="1" si="717"/>
        <v>#VALUE!</v>
      </c>
      <c r="AJ1470" t="e">
        <f t="shared" ca="1" si="718"/>
        <v>#VALUE!</v>
      </c>
      <c r="AM1470">
        <v>0</v>
      </c>
      <c r="AN1470">
        <v>0</v>
      </c>
      <c r="AO1470">
        <f t="shared" si="719"/>
        <v>0</v>
      </c>
      <c r="AP1470">
        <f t="shared" si="728"/>
        <v>0</v>
      </c>
      <c r="AQ1470" t="e">
        <f t="shared" ca="1" si="720"/>
        <v>#VALUE!</v>
      </c>
      <c r="AR1470" t="e">
        <f t="shared" ca="1" si="721"/>
        <v>#VALUE!</v>
      </c>
      <c r="AS1470" t="e">
        <f t="shared" ca="1" si="722"/>
        <v>#VALUE!</v>
      </c>
    </row>
    <row r="1471" spans="1:45" x14ac:dyDescent="0.35">
      <c r="A1471">
        <v>1322</v>
      </c>
      <c r="B1471">
        <v>1320.8889999999999</v>
      </c>
      <c r="C1471">
        <v>616067.60100000002</v>
      </c>
      <c r="D1471">
        <v>3096683.3360000001</v>
      </c>
      <c r="E1471">
        <v>631.90150000000006</v>
      </c>
      <c r="F1471">
        <v>5.2</v>
      </c>
      <c r="G1471">
        <v>0</v>
      </c>
      <c r="H1471" t="s">
        <v>191</v>
      </c>
      <c r="I1471">
        <v>2E-3</v>
      </c>
      <c r="J1471">
        <f t="shared" si="723"/>
        <v>1</v>
      </c>
      <c r="K1471">
        <f t="shared" si="724"/>
        <v>51</v>
      </c>
      <c r="L1471" t="e">
        <f t="shared" ca="1" si="725"/>
        <v>#VALUE!</v>
      </c>
      <c r="M1471" t="e">
        <f t="shared" ca="1" si="698"/>
        <v>#VALUE!</v>
      </c>
      <c r="N1471" t="e">
        <f t="shared" ca="1" si="699"/>
        <v>#VALUE!</v>
      </c>
      <c r="O1471" t="e">
        <f t="shared" ca="1" si="700"/>
        <v>#VALUE!</v>
      </c>
      <c r="P1471" t="e">
        <f t="shared" ca="1" si="701"/>
        <v>#VALUE!</v>
      </c>
      <c r="Q1471" t="e">
        <f t="shared" ca="1" si="702"/>
        <v>#VALUE!</v>
      </c>
      <c r="R1471" t="e">
        <f t="shared" ca="1" si="703"/>
        <v>#VALUE!</v>
      </c>
      <c r="S1471" t="e">
        <f t="shared" ca="1" si="704"/>
        <v>#VALUE!</v>
      </c>
      <c r="T1471" t="e">
        <f t="shared" ca="1" si="705"/>
        <v>#VALUE!</v>
      </c>
      <c r="U1471" t="e">
        <f t="shared" ca="1" si="726"/>
        <v>#VALUE!</v>
      </c>
      <c r="V1471" t="e">
        <f t="shared" ca="1" si="727"/>
        <v>#VALUE!</v>
      </c>
      <c r="W1471" t="e">
        <f t="shared" ca="1" si="706"/>
        <v>#VALUE!</v>
      </c>
      <c r="X1471" t="e">
        <f t="shared" ca="1" si="707"/>
        <v>#VALUE!</v>
      </c>
      <c r="Y1471" t="e">
        <f t="shared" ca="1" si="708"/>
        <v>#VALUE!</v>
      </c>
      <c r="Z1471" t="e">
        <f t="shared" ca="1" si="709"/>
        <v>#VALUE!</v>
      </c>
      <c r="AA1471" t="e">
        <f t="shared" ca="1" si="710"/>
        <v>#VALUE!</v>
      </c>
      <c r="AB1471" t="e">
        <f t="shared" ca="1" si="711"/>
        <v>#VALUE!</v>
      </c>
      <c r="AC1471" t="e">
        <f t="shared" ca="1" si="712"/>
        <v>#VALUE!</v>
      </c>
      <c r="AD1471" t="e">
        <f t="shared" ca="1" si="713"/>
        <v>#VALUE!</v>
      </c>
      <c r="AE1471" t="e">
        <f t="shared" ca="1" si="714"/>
        <v>#VALUE!</v>
      </c>
      <c r="AF1471" t="e">
        <f t="shared" ca="1" si="715"/>
        <v>#VALUE!</v>
      </c>
      <c r="AG1471" t="e">
        <f t="shared" ca="1" si="716"/>
        <v>#VALUE!</v>
      </c>
      <c r="AH1471" t="e">
        <f ca="1">IF(V32="Supercritical",L1471,IF(V32="Subcritical",W1471,IF(AND(V1471=1,AG1471=1),IF(T1471&gt;=AE1471,L1471,W1471),IF(V1471=1,L1471,IF(AG1471=1,W1471,MAX($D$16,POWER((ABS(K1471)^2)/($I$5*MAX(F1471,0.1)^2),1/3)))))))</f>
        <v>#VALUE!</v>
      </c>
      <c r="AI1471" t="e">
        <f t="shared" ca="1" si="717"/>
        <v>#VALUE!</v>
      </c>
      <c r="AJ1471" t="e">
        <f t="shared" ca="1" si="718"/>
        <v>#VALUE!</v>
      </c>
      <c r="AM1471">
        <v>0</v>
      </c>
      <c r="AN1471">
        <v>0</v>
      </c>
      <c r="AO1471">
        <f t="shared" si="719"/>
        <v>0</v>
      </c>
      <c r="AP1471">
        <f t="shared" si="728"/>
        <v>0</v>
      </c>
      <c r="AQ1471" t="e">
        <f t="shared" ca="1" si="720"/>
        <v>#VALUE!</v>
      </c>
      <c r="AR1471" t="e">
        <f t="shared" ca="1" si="721"/>
        <v>#VALUE!</v>
      </c>
      <c r="AS1471" t="e">
        <f t="shared" ca="1" si="722"/>
        <v>#VALUE!</v>
      </c>
    </row>
    <row r="1472" spans="1:45" x14ac:dyDescent="0.35">
      <c r="A1472">
        <v>1323</v>
      </c>
      <c r="B1472">
        <v>1321.89</v>
      </c>
      <c r="C1472">
        <v>616067.55900000001</v>
      </c>
      <c r="D1472">
        <v>3096682.3360000001</v>
      </c>
      <c r="E1472">
        <v>631.90099999999995</v>
      </c>
      <c r="F1472">
        <v>5.2</v>
      </c>
      <c r="G1472">
        <v>0</v>
      </c>
      <c r="H1472" t="s">
        <v>191</v>
      </c>
      <c r="I1472">
        <v>0.06</v>
      </c>
      <c r="J1472">
        <f t="shared" si="723"/>
        <v>1.0010000000002037</v>
      </c>
      <c r="K1472">
        <f t="shared" si="724"/>
        <v>51</v>
      </c>
      <c r="L1472" t="e">
        <f t="shared" ca="1" si="725"/>
        <v>#VALUE!</v>
      </c>
      <c r="M1472" t="e">
        <f t="shared" ca="1" si="698"/>
        <v>#VALUE!</v>
      </c>
      <c r="N1472" t="e">
        <f t="shared" ca="1" si="699"/>
        <v>#VALUE!</v>
      </c>
      <c r="O1472" t="e">
        <f t="shared" ca="1" si="700"/>
        <v>#VALUE!</v>
      </c>
      <c r="P1472" t="e">
        <f t="shared" ca="1" si="701"/>
        <v>#VALUE!</v>
      </c>
      <c r="Q1472" t="e">
        <f t="shared" ca="1" si="702"/>
        <v>#VALUE!</v>
      </c>
      <c r="R1472" t="e">
        <f t="shared" ca="1" si="703"/>
        <v>#VALUE!</v>
      </c>
      <c r="S1472" t="e">
        <f t="shared" ca="1" si="704"/>
        <v>#VALUE!</v>
      </c>
      <c r="T1472" t="e">
        <f t="shared" ca="1" si="705"/>
        <v>#VALUE!</v>
      </c>
      <c r="U1472" t="e">
        <f t="shared" ca="1" si="726"/>
        <v>#VALUE!</v>
      </c>
      <c r="V1472" t="e">
        <f t="shared" ca="1" si="727"/>
        <v>#VALUE!</v>
      </c>
      <c r="W1472" t="e">
        <f t="shared" ca="1" si="706"/>
        <v>#VALUE!</v>
      </c>
      <c r="X1472" t="e">
        <f t="shared" ca="1" si="707"/>
        <v>#VALUE!</v>
      </c>
      <c r="Y1472" t="e">
        <f t="shared" ca="1" si="708"/>
        <v>#VALUE!</v>
      </c>
      <c r="Z1472" t="e">
        <f t="shared" ca="1" si="709"/>
        <v>#VALUE!</v>
      </c>
      <c r="AA1472" t="e">
        <f t="shared" ca="1" si="710"/>
        <v>#VALUE!</v>
      </c>
      <c r="AB1472" t="e">
        <f t="shared" ca="1" si="711"/>
        <v>#VALUE!</v>
      </c>
      <c r="AC1472" t="e">
        <f t="shared" ca="1" si="712"/>
        <v>#VALUE!</v>
      </c>
      <c r="AD1472" t="e">
        <f t="shared" ca="1" si="713"/>
        <v>#VALUE!</v>
      </c>
      <c r="AE1472" t="e">
        <f t="shared" ca="1" si="714"/>
        <v>#VALUE!</v>
      </c>
      <c r="AF1472" t="e">
        <f t="shared" ca="1" si="715"/>
        <v>#VALUE!</v>
      </c>
      <c r="AG1472" t="e">
        <f t="shared" ca="1" si="716"/>
        <v>#VALUE!</v>
      </c>
      <c r="AH1472" t="e">
        <f ca="1">IF(V32="Supercritical",L1472,IF(V32="Subcritical",W1472,IF(AND(V1472=1,AG1472=1),IF(T1472&gt;=AE1472,L1472,W1472),IF(V1472=1,L1472,IF(AG1472=1,W1472,MAX($D$16,POWER((ABS(K1472)^2)/($I$5*MAX(F1472,0.1)^2),1/3)))))))</f>
        <v>#VALUE!</v>
      </c>
      <c r="AI1472" t="e">
        <f t="shared" ca="1" si="717"/>
        <v>#VALUE!</v>
      </c>
      <c r="AJ1472" t="e">
        <f t="shared" ca="1" si="718"/>
        <v>#VALUE!</v>
      </c>
      <c r="AM1472">
        <v>0</v>
      </c>
      <c r="AN1472">
        <v>0</v>
      </c>
      <c r="AO1472">
        <f t="shared" si="719"/>
        <v>0</v>
      </c>
      <c r="AP1472">
        <f t="shared" si="728"/>
        <v>0</v>
      </c>
      <c r="AQ1472" t="e">
        <f t="shared" ca="1" si="720"/>
        <v>#VALUE!</v>
      </c>
      <c r="AR1472" t="e">
        <f t="shared" ca="1" si="721"/>
        <v>#VALUE!</v>
      </c>
      <c r="AS1472" t="e">
        <f t="shared" ca="1" si="722"/>
        <v>#VALUE!</v>
      </c>
    </row>
    <row r="1473" spans="1:45" x14ac:dyDescent="0.35">
      <c r="A1473">
        <v>1324</v>
      </c>
      <c r="B1473">
        <v>1322.89</v>
      </c>
      <c r="C1473">
        <v>616067.51599999995</v>
      </c>
      <c r="D1473">
        <v>3096681.3369999998</v>
      </c>
      <c r="E1473">
        <v>631.90049999999997</v>
      </c>
      <c r="F1473">
        <v>5.2</v>
      </c>
      <c r="G1473">
        <v>0</v>
      </c>
      <c r="H1473" t="s">
        <v>191</v>
      </c>
      <c r="I1473">
        <v>5.7000000000000002E-2</v>
      </c>
      <c r="J1473">
        <f t="shared" si="723"/>
        <v>1</v>
      </c>
      <c r="K1473">
        <f t="shared" si="724"/>
        <v>51</v>
      </c>
      <c r="L1473" t="e">
        <f t="shared" ca="1" si="725"/>
        <v>#VALUE!</v>
      </c>
      <c r="M1473" t="e">
        <f t="shared" ca="1" si="698"/>
        <v>#VALUE!</v>
      </c>
      <c r="N1473" t="e">
        <f t="shared" ca="1" si="699"/>
        <v>#VALUE!</v>
      </c>
      <c r="O1473" t="e">
        <f t="shared" ca="1" si="700"/>
        <v>#VALUE!</v>
      </c>
      <c r="P1473" t="e">
        <f t="shared" ca="1" si="701"/>
        <v>#VALUE!</v>
      </c>
      <c r="Q1473" t="e">
        <f t="shared" ca="1" si="702"/>
        <v>#VALUE!</v>
      </c>
      <c r="R1473" t="e">
        <f t="shared" ca="1" si="703"/>
        <v>#VALUE!</v>
      </c>
      <c r="S1473" t="e">
        <f t="shared" ca="1" si="704"/>
        <v>#VALUE!</v>
      </c>
      <c r="T1473" t="e">
        <f t="shared" ca="1" si="705"/>
        <v>#VALUE!</v>
      </c>
      <c r="U1473" t="e">
        <f t="shared" ca="1" si="726"/>
        <v>#VALUE!</v>
      </c>
      <c r="V1473" t="e">
        <f t="shared" ca="1" si="727"/>
        <v>#VALUE!</v>
      </c>
      <c r="W1473" t="e">
        <f t="shared" ca="1" si="706"/>
        <v>#VALUE!</v>
      </c>
      <c r="X1473" t="e">
        <f t="shared" ca="1" si="707"/>
        <v>#VALUE!</v>
      </c>
      <c r="Y1473" t="e">
        <f t="shared" ca="1" si="708"/>
        <v>#VALUE!</v>
      </c>
      <c r="Z1473" t="e">
        <f t="shared" ca="1" si="709"/>
        <v>#VALUE!</v>
      </c>
      <c r="AA1473" t="e">
        <f t="shared" ca="1" si="710"/>
        <v>#VALUE!</v>
      </c>
      <c r="AB1473" t="e">
        <f t="shared" ca="1" si="711"/>
        <v>#VALUE!</v>
      </c>
      <c r="AC1473" t="e">
        <f t="shared" ca="1" si="712"/>
        <v>#VALUE!</v>
      </c>
      <c r="AD1473" t="e">
        <f t="shared" ca="1" si="713"/>
        <v>#VALUE!</v>
      </c>
      <c r="AE1473" t="e">
        <f t="shared" ca="1" si="714"/>
        <v>#VALUE!</v>
      </c>
      <c r="AF1473" t="e">
        <f t="shared" ca="1" si="715"/>
        <v>#VALUE!</v>
      </c>
      <c r="AG1473" t="e">
        <f t="shared" ca="1" si="716"/>
        <v>#VALUE!</v>
      </c>
      <c r="AH1473" t="e">
        <f ca="1">IF(V32="Supercritical",L1473,IF(V32="Subcritical",W1473,IF(AND(V1473=1,AG1473=1),IF(T1473&gt;=AE1473,L1473,W1473),IF(V1473=1,L1473,IF(AG1473=1,W1473,MAX($D$16,POWER((ABS(K1473)^2)/($I$5*MAX(F1473,0.1)^2),1/3)))))))</f>
        <v>#VALUE!</v>
      </c>
      <c r="AI1473" t="e">
        <f t="shared" ca="1" si="717"/>
        <v>#VALUE!</v>
      </c>
      <c r="AJ1473" t="e">
        <f t="shared" ca="1" si="718"/>
        <v>#VALUE!</v>
      </c>
      <c r="AM1473">
        <v>0</v>
      </c>
      <c r="AN1473">
        <v>0</v>
      </c>
      <c r="AO1473">
        <f t="shared" si="719"/>
        <v>0</v>
      </c>
      <c r="AP1473">
        <f t="shared" si="728"/>
        <v>0</v>
      </c>
      <c r="AQ1473" t="e">
        <f t="shared" ca="1" si="720"/>
        <v>#VALUE!</v>
      </c>
      <c r="AR1473" t="e">
        <f t="shared" ca="1" si="721"/>
        <v>#VALUE!</v>
      </c>
      <c r="AS1473" t="e">
        <f t="shared" ca="1" si="722"/>
        <v>#VALUE!</v>
      </c>
    </row>
    <row r="1474" spans="1:45" x14ac:dyDescent="0.35">
      <c r="A1474">
        <v>1325</v>
      </c>
      <c r="B1474">
        <v>1323.8889999999999</v>
      </c>
      <c r="C1474">
        <v>616067.47400000005</v>
      </c>
      <c r="D1474">
        <v>3096680.338</v>
      </c>
      <c r="E1474">
        <v>631.9</v>
      </c>
      <c r="F1474">
        <v>5.2</v>
      </c>
      <c r="G1474">
        <v>0</v>
      </c>
      <c r="H1474" t="s">
        <v>191</v>
      </c>
      <c r="I1474">
        <v>0</v>
      </c>
      <c r="J1474">
        <f t="shared" si="723"/>
        <v>0.99899999999979627</v>
      </c>
      <c r="K1474">
        <f t="shared" si="724"/>
        <v>51</v>
      </c>
      <c r="L1474" t="e">
        <f t="shared" ca="1" si="725"/>
        <v>#VALUE!</v>
      </c>
      <c r="M1474" t="e">
        <f t="shared" ca="1" si="698"/>
        <v>#VALUE!</v>
      </c>
      <c r="N1474" t="e">
        <f t="shared" ca="1" si="699"/>
        <v>#VALUE!</v>
      </c>
      <c r="O1474" t="e">
        <f t="shared" ca="1" si="700"/>
        <v>#VALUE!</v>
      </c>
      <c r="P1474" t="e">
        <f t="shared" ca="1" si="701"/>
        <v>#VALUE!</v>
      </c>
      <c r="Q1474" t="e">
        <f t="shared" ca="1" si="702"/>
        <v>#VALUE!</v>
      </c>
      <c r="R1474" t="e">
        <f t="shared" ca="1" si="703"/>
        <v>#VALUE!</v>
      </c>
      <c r="S1474" t="e">
        <f t="shared" ca="1" si="704"/>
        <v>#VALUE!</v>
      </c>
      <c r="T1474" t="e">
        <f t="shared" ca="1" si="705"/>
        <v>#VALUE!</v>
      </c>
      <c r="U1474" t="e">
        <f t="shared" ca="1" si="726"/>
        <v>#VALUE!</v>
      </c>
      <c r="V1474" t="e">
        <f t="shared" ca="1" si="727"/>
        <v>#VALUE!</v>
      </c>
      <c r="W1474" t="e">
        <f t="shared" ca="1" si="706"/>
        <v>#VALUE!</v>
      </c>
      <c r="X1474" t="e">
        <f t="shared" ca="1" si="707"/>
        <v>#VALUE!</v>
      </c>
      <c r="Y1474" t="e">
        <f t="shared" ca="1" si="708"/>
        <v>#VALUE!</v>
      </c>
      <c r="Z1474" t="e">
        <f t="shared" ca="1" si="709"/>
        <v>#VALUE!</v>
      </c>
      <c r="AA1474" t="e">
        <f t="shared" ca="1" si="710"/>
        <v>#VALUE!</v>
      </c>
      <c r="AB1474" t="e">
        <f t="shared" ca="1" si="711"/>
        <v>#VALUE!</v>
      </c>
      <c r="AC1474" t="e">
        <f t="shared" ca="1" si="712"/>
        <v>#VALUE!</v>
      </c>
      <c r="AD1474" t="e">
        <f t="shared" ca="1" si="713"/>
        <v>#VALUE!</v>
      </c>
      <c r="AE1474" t="e">
        <f t="shared" ca="1" si="714"/>
        <v>#VALUE!</v>
      </c>
      <c r="AF1474" t="e">
        <f t="shared" ca="1" si="715"/>
        <v>#VALUE!</v>
      </c>
      <c r="AG1474" t="e">
        <f t="shared" ca="1" si="716"/>
        <v>#VALUE!</v>
      </c>
      <c r="AH1474" t="e">
        <f ca="1">IF(V32="Supercritical",L1474,IF(V32="Subcritical",W1474,IF(AND(V1474=1,AG1474=1),IF(T1474&gt;=AE1474,L1474,W1474),IF(V1474=1,L1474,IF(AG1474=1,W1474,MAX($D$16,POWER((ABS(K1474)^2)/($I$5*MAX(F1474,0.1)^2),1/3)))))))</f>
        <v>#VALUE!</v>
      </c>
      <c r="AI1474" t="e">
        <f t="shared" ca="1" si="717"/>
        <v>#VALUE!</v>
      </c>
      <c r="AJ1474" t="e">
        <f t="shared" ca="1" si="718"/>
        <v>#VALUE!</v>
      </c>
      <c r="AM1474">
        <v>0</v>
      </c>
      <c r="AN1474">
        <v>0</v>
      </c>
      <c r="AO1474">
        <f t="shared" si="719"/>
        <v>0</v>
      </c>
      <c r="AP1474">
        <f t="shared" si="728"/>
        <v>0</v>
      </c>
      <c r="AQ1474" t="e">
        <f t="shared" ca="1" si="720"/>
        <v>#VALUE!</v>
      </c>
      <c r="AR1474" t="e">
        <f t="shared" ca="1" si="721"/>
        <v>#VALUE!</v>
      </c>
      <c r="AS1474" t="e">
        <f t="shared" ca="1" si="722"/>
        <v>#VALUE!</v>
      </c>
    </row>
    <row r="1475" spans="1:45" x14ac:dyDescent="0.35">
      <c r="A1475">
        <v>1326</v>
      </c>
      <c r="B1475">
        <v>1324.8889999999999</v>
      </c>
      <c r="C1475">
        <v>616067.43200000003</v>
      </c>
      <c r="D1475">
        <v>3096679.3390000002</v>
      </c>
      <c r="E1475">
        <v>631.89949999999999</v>
      </c>
      <c r="F1475">
        <v>5.2</v>
      </c>
      <c r="G1475">
        <v>0</v>
      </c>
      <c r="H1475" t="s">
        <v>191</v>
      </c>
      <c r="I1475">
        <v>0</v>
      </c>
      <c r="J1475">
        <f t="shared" si="723"/>
        <v>1</v>
      </c>
      <c r="K1475">
        <f t="shared" si="724"/>
        <v>51</v>
      </c>
      <c r="L1475" t="e">
        <f t="shared" ca="1" si="725"/>
        <v>#VALUE!</v>
      </c>
      <c r="M1475" t="e">
        <f t="shared" ca="1" si="698"/>
        <v>#VALUE!</v>
      </c>
      <c r="N1475" t="e">
        <f t="shared" ca="1" si="699"/>
        <v>#VALUE!</v>
      </c>
      <c r="O1475" t="e">
        <f t="shared" ca="1" si="700"/>
        <v>#VALUE!</v>
      </c>
      <c r="P1475" t="e">
        <f t="shared" ca="1" si="701"/>
        <v>#VALUE!</v>
      </c>
      <c r="Q1475" t="e">
        <f t="shared" ca="1" si="702"/>
        <v>#VALUE!</v>
      </c>
      <c r="R1475" t="e">
        <f t="shared" ca="1" si="703"/>
        <v>#VALUE!</v>
      </c>
      <c r="S1475" t="e">
        <f t="shared" ca="1" si="704"/>
        <v>#VALUE!</v>
      </c>
      <c r="T1475" t="e">
        <f t="shared" ca="1" si="705"/>
        <v>#VALUE!</v>
      </c>
      <c r="U1475" t="e">
        <f t="shared" ca="1" si="726"/>
        <v>#VALUE!</v>
      </c>
      <c r="V1475" t="e">
        <f t="shared" ca="1" si="727"/>
        <v>#VALUE!</v>
      </c>
      <c r="W1475" t="e">
        <f t="shared" ca="1" si="706"/>
        <v>#VALUE!</v>
      </c>
      <c r="X1475" t="e">
        <f t="shared" ca="1" si="707"/>
        <v>#VALUE!</v>
      </c>
      <c r="Y1475" t="e">
        <f t="shared" ca="1" si="708"/>
        <v>#VALUE!</v>
      </c>
      <c r="Z1475" t="e">
        <f t="shared" ca="1" si="709"/>
        <v>#VALUE!</v>
      </c>
      <c r="AA1475" t="e">
        <f t="shared" ca="1" si="710"/>
        <v>#VALUE!</v>
      </c>
      <c r="AB1475" t="e">
        <f t="shared" ca="1" si="711"/>
        <v>#VALUE!</v>
      </c>
      <c r="AC1475" t="e">
        <f t="shared" ca="1" si="712"/>
        <v>#VALUE!</v>
      </c>
      <c r="AD1475" t="e">
        <f t="shared" ca="1" si="713"/>
        <v>#VALUE!</v>
      </c>
      <c r="AE1475" t="e">
        <f t="shared" ca="1" si="714"/>
        <v>#VALUE!</v>
      </c>
      <c r="AF1475" t="e">
        <f t="shared" ca="1" si="715"/>
        <v>#VALUE!</v>
      </c>
      <c r="AG1475" t="e">
        <f t="shared" ca="1" si="716"/>
        <v>#VALUE!</v>
      </c>
      <c r="AH1475" t="e">
        <f ca="1">IF(V32="Supercritical",L1475,IF(V32="Subcritical",W1475,IF(AND(V1475=1,AG1475=1),IF(T1475&gt;=AE1475,L1475,W1475),IF(V1475=1,L1475,IF(AG1475=1,W1475,MAX($D$16,POWER((ABS(K1475)^2)/($I$5*MAX(F1475,0.1)^2),1/3)))))))</f>
        <v>#VALUE!</v>
      </c>
      <c r="AI1475" t="e">
        <f t="shared" ca="1" si="717"/>
        <v>#VALUE!</v>
      </c>
      <c r="AJ1475" t="e">
        <f t="shared" ca="1" si="718"/>
        <v>#VALUE!</v>
      </c>
      <c r="AM1475">
        <v>0</v>
      </c>
      <c r="AN1475">
        <v>0</v>
      </c>
      <c r="AO1475">
        <f t="shared" si="719"/>
        <v>0</v>
      </c>
      <c r="AP1475">
        <f t="shared" si="728"/>
        <v>0</v>
      </c>
      <c r="AQ1475" t="e">
        <f t="shared" ca="1" si="720"/>
        <v>#VALUE!</v>
      </c>
      <c r="AR1475" t="e">
        <f t="shared" ca="1" si="721"/>
        <v>#VALUE!</v>
      </c>
      <c r="AS1475" t="e">
        <f t="shared" ca="1" si="722"/>
        <v>#VALUE!</v>
      </c>
    </row>
    <row r="1476" spans="1:45" x14ac:dyDescent="0.35">
      <c r="A1476">
        <v>1327</v>
      </c>
      <c r="B1476">
        <v>1325.8889999999999</v>
      </c>
      <c r="C1476">
        <v>616067.39</v>
      </c>
      <c r="D1476">
        <v>3096678.34</v>
      </c>
      <c r="E1476">
        <v>631.899</v>
      </c>
      <c r="F1476">
        <v>5.2</v>
      </c>
      <c r="G1476">
        <v>0</v>
      </c>
      <c r="H1476" t="s">
        <v>191</v>
      </c>
      <c r="I1476">
        <v>5.7000000000000002E-2</v>
      </c>
      <c r="J1476">
        <f t="shared" si="723"/>
        <v>1</v>
      </c>
      <c r="K1476">
        <f t="shared" si="724"/>
        <v>51</v>
      </c>
      <c r="L1476" t="e">
        <f t="shared" ca="1" si="725"/>
        <v>#VALUE!</v>
      </c>
      <c r="M1476" t="e">
        <f t="shared" ca="1" si="698"/>
        <v>#VALUE!</v>
      </c>
      <c r="N1476" t="e">
        <f t="shared" ca="1" si="699"/>
        <v>#VALUE!</v>
      </c>
      <c r="O1476" t="e">
        <f t="shared" ca="1" si="700"/>
        <v>#VALUE!</v>
      </c>
      <c r="P1476" t="e">
        <f t="shared" ca="1" si="701"/>
        <v>#VALUE!</v>
      </c>
      <c r="Q1476" t="e">
        <f t="shared" ca="1" si="702"/>
        <v>#VALUE!</v>
      </c>
      <c r="R1476" t="e">
        <f t="shared" ca="1" si="703"/>
        <v>#VALUE!</v>
      </c>
      <c r="S1476" t="e">
        <f t="shared" ca="1" si="704"/>
        <v>#VALUE!</v>
      </c>
      <c r="T1476" t="e">
        <f t="shared" ca="1" si="705"/>
        <v>#VALUE!</v>
      </c>
      <c r="U1476" t="e">
        <f t="shared" ca="1" si="726"/>
        <v>#VALUE!</v>
      </c>
      <c r="V1476" t="e">
        <f t="shared" ca="1" si="727"/>
        <v>#VALUE!</v>
      </c>
      <c r="W1476" t="e">
        <f t="shared" ca="1" si="706"/>
        <v>#VALUE!</v>
      </c>
      <c r="X1476" t="e">
        <f t="shared" ca="1" si="707"/>
        <v>#VALUE!</v>
      </c>
      <c r="Y1476" t="e">
        <f t="shared" ca="1" si="708"/>
        <v>#VALUE!</v>
      </c>
      <c r="Z1476" t="e">
        <f t="shared" ca="1" si="709"/>
        <v>#VALUE!</v>
      </c>
      <c r="AA1476" t="e">
        <f t="shared" ca="1" si="710"/>
        <v>#VALUE!</v>
      </c>
      <c r="AB1476" t="e">
        <f t="shared" ca="1" si="711"/>
        <v>#VALUE!</v>
      </c>
      <c r="AC1476" t="e">
        <f t="shared" ca="1" si="712"/>
        <v>#VALUE!</v>
      </c>
      <c r="AD1476" t="e">
        <f t="shared" ca="1" si="713"/>
        <v>#VALUE!</v>
      </c>
      <c r="AE1476" t="e">
        <f t="shared" ca="1" si="714"/>
        <v>#VALUE!</v>
      </c>
      <c r="AF1476" t="e">
        <f t="shared" ca="1" si="715"/>
        <v>#VALUE!</v>
      </c>
      <c r="AG1476" t="e">
        <f t="shared" ca="1" si="716"/>
        <v>#VALUE!</v>
      </c>
      <c r="AH1476" t="e">
        <f ca="1">IF(V32="Supercritical",L1476,IF(V32="Subcritical",W1476,IF(AND(V1476=1,AG1476=1),IF(T1476&gt;=AE1476,L1476,W1476),IF(V1476=1,L1476,IF(AG1476=1,W1476,MAX($D$16,POWER((ABS(K1476)^2)/($I$5*MAX(F1476,0.1)^2),1/3)))))))</f>
        <v>#VALUE!</v>
      </c>
      <c r="AI1476" t="e">
        <f t="shared" ca="1" si="717"/>
        <v>#VALUE!</v>
      </c>
      <c r="AJ1476" t="e">
        <f t="shared" ca="1" si="718"/>
        <v>#VALUE!</v>
      </c>
      <c r="AM1476">
        <v>0</v>
      </c>
      <c r="AN1476">
        <v>0</v>
      </c>
      <c r="AO1476">
        <f t="shared" si="719"/>
        <v>0</v>
      </c>
      <c r="AP1476">
        <f t="shared" si="728"/>
        <v>0</v>
      </c>
      <c r="AQ1476" t="e">
        <f t="shared" ca="1" si="720"/>
        <v>#VALUE!</v>
      </c>
      <c r="AR1476" t="e">
        <f t="shared" ca="1" si="721"/>
        <v>#VALUE!</v>
      </c>
      <c r="AS1476" t="e">
        <f t="shared" ca="1" si="722"/>
        <v>#VALUE!</v>
      </c>
    </row>
    <row r="1477" spans="1:45" x14ac:dyDescent="0.35">
      <c r="A1477">
        <v>1328</v>
      </c>
      <c r="B1477">
        <v>1326.8889999999999</v>
      </c>
      <c r="C1477">
        <v>616067.34699999995</v>
      </c>
      <c r="D1477">
        <v>3096677.341</v>
      </c>
      <c r="E1477">
        <v>631.89850000000001</v>
      </c>
      <c r="F1477">
        <v>5.2</v>
      </c>
      <c r="G1477">
        <v>0</v>
      </c>
      <c r="H1477" t="s">
        <v>191</v>
      </c>
      <c r="I1477">
        <v>5.7000000000000002E-2</v>
      </c>
      <c r="J1477">
        <f t="shared" si="723"/>
        <v>1</v>
      </c>
      <c r="K1477">
        <f t="shared" si="724"/>
        <v>51</v>
      </c>
      <c r="L1477" t="e">
        <f t="shared" ca="1" si="725"/>
        <v>#VALUE!</v>
      </c>
      <c r="M1477" t="e">
        <f t="shared" ca="1" si="698"/>
        <v>#VALUE!</v>
      </c>
      <c r="N1477" t="e">
        <f t="shared" ca="1" si="699"/>
        <v>#VALUE!</v>
      </c>
      <c r="O1477" t="e">
        <f t="shared" ca="1" si="700"/>
        <v>#VALUE!</v>
      </c>
      <c r="P1477" t="e">
        <f t="shared" ca="1" si="701"/>
        <v>#VALUE!</v>
      </c>
      <c r="Q1477" t="e">
        <f t="shared" ca="1" si="702"/>
        <v>#VALUE!</v>
      </c>
      <c r="R1477" t="e">
        <f t="shared" ca="1" si="703"/>
        <v>#VALUE!</v>
      </c>
      <c r="S1477" t="e">
        <f t="shared" ca="1" si="704"/>
        <v>#VALUE!</v>
      </c>
      <c r="T1477" t="e">
        <f t="shared" ca="1" si="705"/>
        <v>#VALUE!</v>
      </c>
      <c r="U1477" t="e">
        <f t="shared" ca="1" si="726"/>
        <v>#VALUE!</v>
      </c>
      <c r="V1477" t="e">
        <f t="shared" ca="1" si="727"/>
        <v>#VALUE!</v>
      </c>
      <c r="W1477" t="e">
        <f t="shared" ca="1" si="706"/>
        <v>#VALUE!</v>
      </c>
      <c r="X1477" t="e">
        <f t="shared" ca="1" si="707"/>
        <v>#VALUE!</v>
      </c>
      <c r="Y1477" t="e">
        <f t="shared" ca="1" si="708"/>
        <v>#VALUE!</v>
      </c>
      <c r="Z1477" t="e">
        <f t="shared" ca="1" si="709"/>
        <v>#VALUE!</v>
      </c>
      <c r="AA1477" t="e">
        <f t="shared" ca="1" si="710"/>
        <v>#VALUE!</v>
      </c>
      <c r="AB1477" t="e">
        <f t="shared" ca="1" si="711"/>
        <v>#VALUE!</v>
      </c>
      <c r="AC1477" t="e">
        <f t="shared" ca="1" si="712"/>
        <v>#VALUE!</v>
      </c>
      <c r="AD1477" t="e">
        <f t="shared" ca="1" si="713"/>
        <v>#VALUE!</v>
      </c>
      <c r="AE1477" t="e">
        <f t="shared" ca="1" si="714"/>
        <v>#VALUE!</v>
      </c>
      <c r="AF1477" t="e">
        <f t="shared" ca="1" si="715"/>
        <v>#VALUE!</v>
      </c>
      <c r="AG1477" t="e">
        <f t="shared" ca="1" si="716"/>
        <v>#VALUE!</v>
      </c>
      <c r="AH1477" t="e">
        <f ca="1">IF(V32="Supercritical",L1477,IF(V32="Subcritical",W1477,IF(AND(V1477=1,AG1477=1),IF(T1477&gt;=AE1477,L1477,W1477),IF(V1477=1,L1477,IF(AG1477=1,W1477,MAX($D$16,POWER((ABS(K1477)^2)/($I$5*MAX(F1477,0.1)^2),1/3)))))))</f>
        <v>#VALUE!</v>
      </c>
      <c r="AI1477" t="e">
        <f t="shared" ca="1" si="717"/>
        <v>#VALUE!</v>
      </c>
      <c r="AJ1477" t="e">
        <f t="shared" ca="1" si="718"/>
        <v>#VALUE!</v>
      </c>
      <c r="AM1477">
        <v>0</v>
      </c>
      <c r="AN1477">
        <v>0</v>
      </c>
      <c r="AO1477">
        <f t="shared" si="719"/>
        <v>0</v>
      </c>
      <c r="AP1477">
        <f t="shared" si="728"/>
        <v>0</v>
      </c>
      <c r="AQ1477" t="e">
        <f t="shared" ca="1" si="720"/>
        <v>#VALUE!</v>
      </c>
      <c r="AR1477" t="e">
        <f t="shared" ca="1" si="721"/>
        <v>#VALUE!</v>
      </c>
      <c r="AS1477" t="e">
        <f t="shared" ca="1" si="722"/>
        <v>#VALUE!</v>
      </c>
    </row>
    <row r="1478" spans="1:45" x14ac:dyDescent="0.35">
      <c r="A1478">
        <v>1329</v>
      </c>
      <c r="B1478">
        <v>1327.8889999999999</v>
      </c>
      <c r="C1478">
        <v>616067.30500000005</v>
      </c>
      <c r="D1478">
        <v>3096676.3420000002</v>
      </c>
      <c r="E1478">
        <v>631.89800000000002</v>
      </c>
      <c r="F1478">
        <v>5.2</v>
      </c>
      <c r="G1478">
        <v>0</v>
      </c>
      <c r="H1478" t="s">
        <v>191</v>
      </c>
      <c r="I1478">
        <v>0</v>
      </c>
      <c r="J1478">
        <f t="shared" si="723"/>
        <v>1</v>
      </c>
      <c r="K1478">
        <f t="shared" si="724"/>
        <v>51</v>
      </c>
      <c r="L1478" t="e">
        <f t="shared" ca="1" si="725"/>
        <v>#VALUE!</v>
      </c>
      <c r="M1478" t="e">
        <f t="shared" ca="1" si="698"/>
        <v>#VALUE!</v>
      </c>
      <c r="N1478" t="e">
        <f t="shared" ca="1" si="699"/>
        <v>#VALUE!</v>
      </c>
      <c r="O1478" t="e">
        <f t="shared" ca="1" si="700"/>
        <v>#VALUE!</v>
      </c>
      <c r="P1478" t="e">
        <f t="shared" ca="1" si="701"/>
        <v>#VALUE!</v>
      </c>
      <c r="Q1478" t="e">
        <f t="shared" ca="1" si="702"/>
        <v>#VALUE!</v>
      </c>
      <c r="R1478" t="e">
        <f t="shared" ca="1" si="703"/>
        <v>#VALUE!</v>
      </c>
      <c r="S1478" t="e">
        <f t="shared" ca="1" si="704"/>
        <v>#VALUE!</v>
      </c>
      <c r="T1478" t="e">
        <f t="shared" ca="1" si="705"/>
        <v>#VALUE!</v>
      </c>
      <c r="U1478" t="e">
        <f t="shared" ca="1" si="726"/>
        <v>#VALUE!</v>
      </c>
      <c r="V1478" t="e">
        <f t="shared" ca="1" si="727"/>
        <v>#VALUE!</v>
      </c>
      <c r="W1478" t="e">
        <f t="shared" ca="1" si="706"/>
        <v>#VALUE!</v>
      </c>
      <c r="X1478" t="e">
        <f t="shared" ca="1" si="707"/>
        <v>#VALUE!</v>
      </c>
      <c r="Y1478" t="e">
        <f t="shared" ca="1" si="708"/>
        <v>#VALUE!</v>
      </c>
      <c r="Z1478" t="e">
        <f t="shared" ca="1" si="709"/>
        <v>#VALUE!</v>
      </c>
      <c r="AA1478" t="e">
        <f t="shared" ca="1" si="710"/>
        <v>#VALUE!</v>
      </c>
      <c r="AB1478" t="e">
        <f t="shared" ca="1" si="711"/>
        <v>#VALUE!</v>
      </c>
      <c r="AC1478" t="e">
        <f t="shared" ca="1" si="712"/>
        <v>#VALUE!</v>
      </c>
      <c r="AD1478" t="e">
        <f t="shared" ca="1" si="713"/>
        <v>#VALUE!</v>
      </c>
      <c r="AE1478" t="e">
        <f t="shared" ca="1" si="714"/>
        <v>#VALUE!</v>
      </c>
      <c r="AF1478" t="e">
        <f t="shared" ca="1" si="715"/>
        <v>#VALUE!</v>
      </c>
      <c r="AG1478" t="e">
        <f t="shared" ca="1" si="716"/>
        <v>#VALUE!</v>
      </c>
      <c r="AH1478" t="e">
        <f ca="1">IF(V32="Supercritical",L1478,IF(V32="Subcritical",W1478,IF(AND(V1478=1,AG1478=1),IF(T1478&gt;=AE1478,L1478,W1478),IF(V1478=1,L1478,IF(AG1478=1,W1478,MAX($D$16,POWER((ABS(K1478)^2)/($I$5*MAX(F1478,0.1)^2),1/3)))))))</f>
        <v>#VALUE!</v>
      </c>
      <c r="AI1478" t="e">
        <f t="shared" ca="1" si="717"/>
        <v>#VALUE!</v>
      </c>
      <c r="AJ1478" t="e">
        <f t="shared" ca="1" si="718"/>
        <v>#VALUE!</v>
      </c>
      <c r="AM1478">
        <v>0</v>
      </c>
      <c r="AN1478">
        <v>0</v>
      </c>
      <c r="AO1478">
        <f t="shared" si="719"/>
        <v>0</v>
      </c>
      <c r="AP1478">
        <f t="shared" si="728"/>
        <v>0</v>
      </c>
      <c r="AQ1478" t="e">
        <f t="shared" ca="1" si="720"/>
        <v>#VALUE!</v>
      </c>
      <c r="AR1478" t="e">
        <f t="shared" ca="1" si="721"/>
        <v>#VALUE!</v>
      </c>
      <c r="AS1478" t="e">
        <f t="shared" ca="1" si="722"/>
        <v>#VALUE!</v>
      </c>
    </row>
    <row r="1479" spans="1:45" x14ac:dyDescent="0.35">
      <c r="A1479">
        <v>1330</v>
      </c>
      <c r="B1479">
        <v>1328.8889999999999</v>
      </c>
      <c r="C1479">
        <v>616067.26300000004</v>
      </c>
      <c r="D1479">
        <v>3096675.3429999999</v>
      </c>
      <c r="E1479">
        <v>631.89750000000004</v>
      </c>
      <c r="F1479">
        <v>5.2</v>
      </c>
      <c r="G1479">
        <v>0</v>
      </c>
      <c r="H1479" t="s">
        <v>191</v>
      </c>
      <c r="I1479">
        <v>0</v>
      </c>
      <c r="J1479">
        <f t="shared" si="723"/>
        <v>1</v>
      </c>
      <c r="K1479">
        <f t="shared" si="724"/>
        <v>51</v>
      </c>
      <c r="L1479" t="e">
        <f t="shared" ca="1" si="725"/>
        <v>#VALUE!</v>
      </c>
      <c r="M1479" t="e">
        <f t="shared" ca="1" si="698"/>
        <v>#VALUE!</v>
      </c>
      <c r="N1479" t="e">
        <f t="shared" ca="1" si="699"/>
        <v>#VALUE!</v>
      </c>
      <c r="O1479" t="e">
        <f t="shared" ca="1" si="700"/>
        <v>#VALUE!</v>
      </c>
      <c r="P1479" t="e">
        <f t="shared" ca="1" si="701"/>
        <v>#VALUE!</v>
      </c>
      <c r="Q1479" t="e">
        <f t="shared" ca="1" si="702"/>
        <v>#VALUE!</v>
      </c>
      <c r="R1479" t="e">
        <f t="shared" ca="1" si="703"/>
        <v>#VALUE!</v>
      </c>
      <c r="S1479" t="e">
        <f t="shared" ca="1" si="704"/>
        <v>#VALUE!</v>
      </c>
      <c r="T1479" t="e">
        <f t="shared" ca="1" si="705"/>
        <v>#VALUE!</v>
      </c>
      <c r="U1479" t="e">
        <f t="shared" ca="1" si="726"/>
        <v>#VALUE!</v>
      </c>
      <c r="V1479" t="e">
        <f t="shared" ca="1" si="727"/>
        <v>#VALUE!</v>
      </c>
      <c r="W1479" t="e">
        <f t="shared" ca="1" si="706"/>
        <v>#VALUE!</v>
      </c>
      <c r="X1479" t="e">
        <f t="shared" ca="1" si="707"/>
        <v>#VALUE!</v>
      </c>
      <c r="Y1479" t="e">
        <f t="shared" ca="1" si="708"/>
        <v>#VALUE!</v>
      </c>
      <c r="Z1479" t="e">
        <f t="shared" ca="1" si="709"/>
        <v>#VALUE!</v>
      </c>
      <c r="AA1479" t="e">
        <f t="shared" ca="1" si="710"/>
        <v>#VALUE!</v>
      </c>
      <c r="AB1479" t="e">
        <f t="shared" ca="1" si="711"/>
        <v>#VALUE!</v>
      </c>
      <c r="AC1479" t="e">
        <f t="shared" ca="1" si="712"/>
        <v>#VALUE!</v>
      </c>
      <c r="AD1479" t="e">
        <f t="shared" ca="1" si="713"/>
        <v>#VALUE!</v>
      </c>
      <c r="AE1479" t="e">
        <f t="shared" ca="1" si="714"/>
        <v>#VALUE!</v>
      </c>
      <c r="AF1479" t="e">
        <f t="shared" ca="1" si="715"/>
        <v>#VALUE!</v>
      </c>
      <c r="AG1479" t="e">
        <f t="shared" ca="1" si="716"/>
        <v>#VALUE!</v>
      </c>
      <c r="AH1479" t="e">
        <f ca="1">IF(V32="Supercritical",L1479,IF(V32="Subcritical",W1479,IF(AND(V1479=1,AG1479=1),IF(T1479&gt;=AE1479,L1479,W1479),IF(V1479=1,L1479,IF(AG1479=1,W1479,MAX($D$16,POWER((ABS(K1479)^2)/($I$5*MAX(F1479,0.1)^2),1/3)))))))</f>
        <v>#VALUE!</v>
      </c>
      <c r="AI1479" t="e">
        <f t="shared" ca="1" si="717"/>
        <v>#VALUE!</v>
      </c>
      <c r="AJ1479" t="e">
        <f t="shared" ca="1" si="718"/>
        <v>#VALUE!</v>
      </c>
      <c r="AM1479">
        <v>0</v>
      </c>
      <c r="AN1479">
        <v>0</v>
      </c>
      <c r="AO1479">
        <f t="shared" si="719"/>
        <v>0</v>
      </c>
      <c r="AP1479">
        <f t="shared" si="728"/>
        <v>0</v>
      </c>
      <c r="AQ1479" t="e">
        <f t="shared" ca="1" si="720"/>
        <v>#VALUE!</v>
      </c>
      <c r="AR1479" t="e">
        <f t="shared" ca="1" si="721"/>
        <v>#VALUE!</v>
      </c>
      <c r="AS1479" t="e">
        <f t="shared" ca="1" si="722"/>
        <v>#VALUE!</v>
      </c>
    </row>
    <row r="1480" spans="1:45" x14ac:dyDescent="0.35">
      <c r="A1480">
        <v>1331</v>
      </c>
      <c r="B1480">
        <v>1329.8889999999999</v>
      </c>
      <c r="C1480">
        <v>616067.22100000002</v>
      </c>
      <c r="D1480">
        <v>3096674.344</v>
      </c>
      <c r="E1480">
        <v>631.89700000000005</v>
      </c>
      <c r="F1480">
        <v>5.2</v>
      </c>
      <c r="G1480">
        <v>0</v>
      </c>
      <c r="H1480" t="s">
        <v>191</v>
      </c>
      <c r="I1480">
        <v>5.5E-2</v>
      </c>
      <c r="J1480">
        <f t="shared" si="723"/>
        <v>1</v>
      </c>
      <c r="K1480">
        <f t="shared" si="724"/>
        <v>51</v>
      </c>
      <c r="L1480" t="e">
        <f t="shared" ca="1" si="725"/>
        <v>#VALUE!</v>
      </c>
      <c r="M1480" t="e">
        <f t="shared" ca="1" si="698"/>
        <v>#VALUE!</v>
      </c>
      <c r="N1480" t="e">
        <f t="shared" ca="1" si="699"/>
        <v>#VALUE!</v>
      </c>
      <c r="O1480" t="e">
        <f t="shared" ca="1" si="700"/>
        <v>#VALUE!</v>
      </c>
      <c r="P1480" t="e">
        <f t="shared" ca="1" si="701"/>
        <v>#VALUE!</v>
      </c>
      <c r="Q1480" t="e">
        <f t="shared" ca="1" si="702"/>
        <v>#VALUE!</v>
      </c>
      <c r="R1480" t="e">
        <f t="shared" ca="1" si="703"/>
        <v>#VALUE!</v>
      </c>
      <c r="S1480" t="e">
        <f t="shared" ca="1" si="704"/>
        <v>#VALUE!</v>
      </c>
      <c r="T1480" t="e">
        <f t="shared" ca="1" si="705"/>
        <v>#VALUE!</v>
      </c>
      <c r="U1480" t="e">
        <f t="shared" ca="1" si="726"/>
        <v>#VALUE!</v>
      </c>
      <c r="V1480" t="e">
        <f t="shared" ca="1" si="727"/>
        <v>#VALUE!</v>
      </c>
      <c r="W1480" t="e">
        <f t="shared" ca="1" si="706"/>
        <v>#VALUE!</v>
      </c>
      <c r="X1480" t="e">
        <f t="shared" ca="1" si="707"/>
        <v>#VALUE!</v>
      </c>
      <c r="Y1480" t="e">
        <f t="shared" ca="1" si="708"/>
        <v>#VALUE!</v>
      </c>
      <c r="Z1480" t="e">
        <f t="shared" ca="1" si="709"/>
        <v>#VALUE!</v>
      </c>
      <c r="AA1480" t="e">
        <f t="shared" ca="1" si="710"/>
        <v>#VALUE!</v>
      </c>
      <c r="AB1480" t="e">
        <f t="shared" ca="1" si="711"/>
        <v>#VALUE!</v>
      </c>
      <c r="AC1480" t="e">
        <f t="shared" ca="1" si="712"/>
        <v>#VALUE!</v>
      </c>
      <c r="AD1480" t="e">
        <f t="shared" ca="1" si="713"/>
        <v>#VALUE!</v>
      </c>
      <c r="AE1480" t="e">
        <f t="shared" ca="1" si="714"/>
        <v>#VALUE!</v>
      </c>
      <c r="AF1480" t="e">
        <f t="shared" ca="1" si="715"/>
        <v>#VALUE!</v>
      </c>
      <c r="AG1480" t="e">
        <f t="shared" ca="1" si="716"/>
        <v>#VALUE!</v>
      </c>
      <c r="AH1480" t="e">
        <f ca="1">IF(V32="Supercritical",L1480,IF(V32="Subcritical",W1480,IF(AND(V1480=1,AG1480=1),IF(T1480&gt;=AE1480,L1480,W1480),IF(V1480=1,L1480,IF(AG1480=1,W1480,MAX($D$16,POWER((ABS(K1480)^2)/($I$5*MAX(F1480,0.1)^2),1/3)))))))</f>
        <v>#VALUE!</v>
      </c>
      <c r="AI1480" t="e">
        <f t="shared" ca="1" si="717"/>
        <v>#VALUE!</v>
      </c>
      <c r="AJ1480" t="e">
        <f t="shared" ca="1" si="718"/>
        <v>#VALUE!</v>
      </c>
      <c r="AM1480">
        <v>0</v>
      </c>
      <c r="AN1480">
        <v>0</v>
      </c>
      <c r="AO1480">
        <f t="shared" si="719"/>
        <v>0</v>
      </c>
      <c r="AP1480">
        <f t="shared" si="728"/>
        <v>0</v>
      </c>
      <c r="AQ1480" t="e">
        <f t="shared" ca="1" si="720"/>
        <v>#VALUE!</v>
      </c>
      <c r="AR1480" t="e">
        <f t="shared" ca="1" si="721"/>
        <v>#VALUE!</v>
      </c>
      <c r="AS1480" t="e">
        <f t="shared" ca="1" si="722"/>
        <v>#VALUE!</v>
      </c>
    </row>
    <row r="1481" spans="1:45" x14ac:dyDescent="0.35">
      <c r="A1481">
        <v>1332</v>
      </c>
      <c r="B1481">
        <v>1330.89</v>
      </c>
      <c r="C1481">
        <v>616067.17799999996</v>
      </c>
      <c r="D1481">
        <v>3096673.344</v>
      </c>
      <c r="E1481">
        <v>631.89649999999995</v>
      </c>
      <c r="F1481">
        <v>5.2</v>
      </c>
      <c r="G1481">
        <v>0</v>
      </c>
      <c r="H1481" t="s">
        <v>191</v>
      </c>
      <c r="I1481">
        <v>5.5E-2</v>
      </c>
      <c r="J1481">
        <f t="shared" si="723"/>
        <v>1.0010000000002037</v>
      </c>
      <c r="K1481">
        <f t="shared" si="724"/>
        <v>51</v>
      </c>
      <c r="L1481" t="e">
        <f t="shared" ca="1" si="725"/>
        <v>#VALUE!</v>
      </c>
      <c r="M1481" t="e">
        <f t="shared" ca="1" si="698"/>
        <v>#VALUE!</v>
      </c>
      <c r="N1481" t="e">
        <f t="shared" ca="1" si="699"/>
        <v>#VALUE!</v>
      </c>
      <c r="O1481" t="e">
        <f t="shared" ca="1" si="700"/>
        <v>#VALUE!</v>
      </c>
      <c r="P1481" t="e">
        <f t="shared" ca="1" si="701"/>
        <v>#VALUE!</v>
      </c>
      <c r="Q1481" t="e">
        <f t="shared" ca="1" si="702"/>
        <v>#VALUE!</v>
      </c>
      <c r="R1481" t="e">
        <f t="shared" ca="1" si="703"/>
        <v>#VALUE!</v>
      </c>
      <c r="S1481" t="e">
        <f t="shared" ca="1" si="704"/>
        <v>#VALUE!</v>
      </c>
      <c r="T1481" t="e">
        <f t="shared" ca="1" si="705"/>
        <v>#VALUE!</v>
      </c>
      <c r="U1481" t="e">
        <f t="shared" ca="1" si="726"/>
        <v>#VALUE!</v>
      </c>
      <c r="V1481" t="e">
        <f t="shared" ca="1" si="727"/>
        <v>#VALUE!</v>
      </c>
      <c r="W1481" t="e">
        <f t="shared" ca="1" si="706"/>
        <v>#VALUE!</v>
      </c>
      <c r="X1481" t="e">
        <f t="shared" ca="1" si="707"/>
        <v>#VALUE!</v>
      </c>
      <c r="Y1481" t="e">
        <f t="shared" ca="1" si="708"/>
        <v>#VALUE!</v>
      </c>
      <c r="Z1481" t="e">
        <f t="shared" ca="1" si="709"/>
        <v>#VALUE!</v>
      </c>
      <c r="AA1481" t="e">
        <f t="shared" ca="1" si="710"/>
        <v>#VALUE!</v>
      </c>
      <c r="AB1481" t="e">
        <f t="shared" ca="1" si="711"/>
        <v>#VALUE!</v>
      </c>
      <c r="AC1481" t="e">
        <f t="shared" ca="1" si="712"/>
        <v>#VALUE!</v>
      </c>
      <c r="AD1481" t="e">
        <f t="shared" ca="1" si="713"/>
        <v>#VALUE!</v>
      </c>
      <c r="AE1481" t="e">
        <f t="shared" ca="1" si="714"/>
        <v>#VALUE!</v>
      </c>
      <c r="AF1481" t="e">
        <f t="shared" ca="1" si="715"/>
        <v>#VALUE!</v>
      </c>
      <c r="AG1481" t="e">
        <f t="shared" ca="1" si="716"/>
        <v>#VALUE!</v>
      </c>
      <c r="AH1481" t="e">
        <f ca="1">IF(V32="Supercritical",L1481,IF(V32="Subcritical",W1481,IF(AND(V1481=1,AG1481=1),IF(T1481&gt;=AE1481,L1481,W1481),IF(V1481=1,L1481,IF(AG1481=1,W1481,MAX($D$16,POWER((ABS(K1481)^2)/($I$5*MAX(F1481,0.1)^2),1/3)))))))</f>
        <v>#VALUE!</v>
      </c>
      <c r="AI1481" t="e">
        <f t="shared" ca="1" si="717"/>
        <v>#VALUE!</v>
      </c>
      <c r="AJ1481" t="e">
        <f t="shared" ca="1" si="718"/>
        <v>#VALUE!</v>
      </c>
      <c r="AM1481">
        <v>0</v>
      </c>
      <c r="AN1481">
        <v>0</v>
      </c>
      <c r="AO1481">
        <f t="shared" si="719"/>
        <v>0</v>
      </c>
      <c r="AP1481">
        <f t="shared" si="728"/>
        <v>0</v>
      </c>
      <c r="AQ1481" t="e">
        <f t="shared" ca="1" si="720"/>
        <v>#VALUE!</v>
      </c>
      <c r="AR1481" t="e">
        <f t="shared" ca="1" si="721"/>
        <v>#VALUE!</v>
      </c>
      <c r="AS1481" t="e">
        <f t="shared" ca="1" si="722"/>
        <v>#VALUE!</v>
      </c>
    </row>
    <row r="1482" spans="1:45" x14ac:dyDescent="0.35">
      <c r="A1482">
        <v>1333</v>
      </c>
      <c r="B1482">
        <v>1331.89</v>
      </c>
      <c r="C1482">
        <v>616067.13600000006</v>
      </c>
      <c r="D1482">
        <v>3096672.3450000002</v>
      </c>
      <c r="E1482">
        <v>631.89599999999996</v>
      </c>
      <c r="F1482">
        <v>5.2</v>
      </c>
      <c r="G1482">
        <v>0</v>
      </c>
      <c r="H1482" t="s">
        <v>191</v>
      </c>
      <c r="I1482">
        <v>0</v>
      </c>
      <c r="J1482">
        <f t="shared" si="723"/>
        <v>1</v>
      </c>
      <c r="K1482">
        <f t="shared" si="724"/>
        <v>51</v>
      </c>
      <c r="L1482" t="e">
        <f t="shared" ca="1" si="725"/>
        <v>#VALUE!</v>
      </c>
      <c r="M1482" t="e">
        <f t="shared" ca="1" si="698"/>
        <v>#VALUE!</v>
      </c>
      <c r="N1482" t="e">
        <f t="shared" ca="1" si="699"/>
        <v>#VALUE!</v>
      </c>
      <c r="O1482" t="e">
        <f t="shared" ca="1" si="700"/>
        <v>#VALUE!</v>
      </c>
      <c r="P1482" t="e">
        <f t="shared" ca="1" si="701"/>
        <v>#VALUE!</v>
      </c>
      <c r="Q1482" t="e">
        <f t="shared" ca="1" si="702"/>
        <v>#VALUE!</v>
      </c>
      <c r="R1482" t="e">
        <f t="shared" ca="1" si="703"/>
        <v>#VALUE!</v>
      </c>
      <c r="S1482" t="e">
        <f t="shared" ca="1" si="704"/>
        <v>#VALUE!</v>
      </c>
      <c r="T1482" t="e">
        <f t="shared" ca="1" si="705"/>
        <v>#VALUE!</v>
      </c>
      <c r="U1482" t="e">
        <f t="shared" ca="1" si="726"/>
        <v>#VALUE!</v>
      </c>
      <c r="V1482" t="e">
        <f t="shared" ca="1" si="727"/>
        <v>#VALUE!</v>
      </c>
      <c r="W1482" t="e">
        <f t="shared" ca="1" si="706"/>
        <v>#VALUE!</v>
      </c>
      <c r="X1482" t="e">
        <f t="shared" ca="1" si="707"/>
        <v>#VALUE!</v>
      </c>
      <c r="Y1482" t="e">
        <f t="shared" ca="1" si="708"/>
        <v>#VALUE!</v>
      </c>
      <c r="Z1482" t="e">
        <f t="shared" ca="1" si="709"/>
        <v>#VALUE!</v>
      </c>
      <c r="AA1482" t="e">
        <f t="shared" ca="1" si="710"/>
        <v>#VALUE!</v>
      </c>
      <c r="AB1482" t="e">
        <f t="shared" ca="1" si="711"/>
        <v>#VALUE!</v>
      </c>
      <c r="AC1482" t="e">
        <f t="shared" ca="1" si="712"/>
        <v>#VALUE!</v>
      </c>
      <c r="AD1482" t="e">
        <f t="shared" ca="1" si="713"/>
        <v>#VALUE!</v>
      </c>
      <c r="AE1482" t="e">
        <f t="shared" ca="1" si="714"/>
        <v>#VALUE!</v>
      </c>
      <c r="AF1482" t="e">
        <f t="shared" ca="1" si="715"/>
        <v>#VALUE!</v>
      </c>
      <c r="AG1482" t="e">
        <f t="shared" ca="1" si="716"/>
        <v>#VALUE!</v>
      </c>
      <c r="AH1482" t="e">
        <f ca="1">IF(V32="Supercritical",L1482,IF(V32="Subcritical",W1482,IF(AND(V1482=1,AG1482=1),IF(T1482&gt;=AE1482,L1482,W1482),IF(V1482=1,L1482,IF(AG1482=1,W1482,MAX($D$16,POWER((ABS(K1482)^2)/($I$5*MAX(F1482,0.1)^2),1/3)))))))</f>
        <v>#VALUE!</v>
      </c>
      <c r="AI1482" t="e">
        <f t="shared" ca="1" si="717"/>
        <v>#VALUE!</v>
      </c>
      <c r="AJ1482" t="e">
        <f t="shared" ca="1" si="718"/>
        <v>#VALUE!</v>
      </c>
      <c r="AM1482">
        <v>0</v>
      </c>
      <c r="AN1482">
        <v>0</v>
      </c>
      <c r="AO1482">
        <f t="shared" si="719"/>
        <v>0</v>
      </c>
      <c r="AP1482">
        <f t="shared" si="728"/>
        <v>0</v>
      </c>
      <c r="AQ1482" t="e">
        <f t="shared" ca="1" si="720"/>
        <v>#VALUE!</v>
      </c>
      <c r="AR1482" t="e">
        <f t="shared" ca="1" si="721"/>
        <v>#VALUE!</v>
      </c>
      <c r="AS1482" t="e">
        <f t="shared" ca="1" si="722"/>
        <v>#VALUE!</v>
      </c>
    </row>
    <row r="1483" spans="1:45" x14ac:dyDescent="0.35">
      <c r="A1483">
        <v>1334</v>
      </c>
      <c r="B1483">
        <v>1332.89</v>
      </c>
      <c r="C1483">
        <v>616067.09400000004</v>
      </c>
      <c r="D1483">
        <v>3096671.3459999999</v>
      </c>
      <c r="E1483">
        <v>631.89549999999997</v>
      </c>
      <c r="F1483">
        <v>5.2</v>
      </c>
      <c r="G1483">
        <v>0</v>
      </c>
      <c r="H1483" t="s">
        <v>191</v>
      </c>
      <c r="I1483">
        <v>0</v>
      </c>
      <c r="J1483">
        <f t="shared" si="723"/>
        <v>1</v>
      </c>
      <c r="K1483">
        <f t="shared" si="724"/>
        <v>51</v>
      </c>
      <c r="L1483" t="e">
        <f t="shared" ca="1" si="725"/>
        <v>#VALUE!</v>
      </c>
      <c r="M1483" t="e">
        <f t="shared" ca="1" si="698"/>
        <v>#VALUE!</v>
      </c>
      <c r="N1483" t="e">
        <f t="shared" ca="1" si="699"/>
        <v>#VALUE!</v>
      </c>
      <c r="O1483" t="e">
        <f t="shared" ca="1" si="700"/>
        <v>#VALUE!</v>
      </c>
      <c r="P1483" t="e">
        <f t="shared" ca="1" si="701"/>
        <v>#VALUE!</v>
      </c>
      <c r="Q1483" t="e">
        <f t="shared" ca="1" si="702"/>
        <v>#VALUE!</v>
      </c>
      <c r="R1483" t="e">
        <f t="shared" ca="1" si="703"/>
        <v>#VALUE!</v>
      </c>
      <c r="S1483" t="e">
        <f t="shared" ca="1" si="704"/>
        <v>#VALUE!</v>
      </c>
      <c r="T1483" t="e">
        <f t="shared" ca="1" si="705"/>
        <v>#VALUE!</v>
      </c>
      <c r="U1483" t="e">
        <f t="shared" ca="1" si="726"/>
        <v>#VALUE!</v>
      </c>
      <c r="V1483" t="e">
        <f t="shared" ca="1" si="727"/>
        <v>#VALUE!</v>
      </c>
      <c r="W1483" t="e">
        <f t="shared" ca="1" si="706"/>
        <v>#VALUE!</v>
      </c>
      <c r="X1483" t="e">
        <f t="shared" ca="1" si="707"/>
        <v>#VALUE!</v>
      </c>
      <c r="Y1483" t="e">
        <f t="shared" ca="1" si="708"/>
        <v>#VALUE!</v>
      </c>
      <c r="Z1483" t="e">
        <f t="shared" ca="1" si="709"/>
        <v>#VALUE!</v>
      </c>
      <c r="AA1483" t="e">
        <f t="shared" ca="1" si="710"/>
        <v>#VALUE!</v>
      </c>
      <c r="AB1483" t="e">
        <f t="shared" ca="1" si="711"/>
        <v>#VALUE!</v>
      </c>
      <c r="AC1483" t="e">
        <f t="shared" ca="1" si="712"/>
        <v>#VALUE!</v>
      </c>
      <c r="AD1483" t="e">
        <f t="shared" ca="1" si="713"/>
        <v>#VALUE!</v>
      </c>
      <c r="AE1483" t="e">
        <f t="shared" ca="1" si="714"/>
        <v>#VALUE!</v>
      </c>
      <c r="AF1483" t="e">
        <f t="shared" ca="1" si="715"/>
        <v>#VALUE!</v>
      </c>
      <c r="AG1483" t="e">
        <f t="shared" ca="1" si="716"/>
        <v>#VALUE!</v>
      </c>
      <c r="AH1483" t="e">
        <f ca="1">IF(V32="Supercritical",L1483,IF(V32="Subcritical",W1483,IF(AND(V1483=1,AG1483=1),IF(T1483&gt;=AE1483,L1483,W1483),IF(V1483=1,L1483,IF(AG1483=1,W1483,MAX($D$16,POWER((ABS(K1483)^2)/($I$5*MAX(F1483,0.1)^2),1/3)))))))</f>
        <v>#VALUE!</v>
      </c>
      <c r="AI1483" t="e">
        <f t="shared" ca="1" si="717"/>
        <v>#VALUE!</v>
      </c>
      <c r="AJ1483" t="e">
        <f t="shared" ca="1" si="718"/>
        <v>#VALUE!</v>
      </c>
      <c r="AM1483">
        <v>0</v>
      </c>
      <c r="AN1483">
        <v>0</v>
      </c>
      <c r="AO1483">
        <f t="shared" si="719"/>
        <v>0</v>
      </c>
      <c r="AP1483">
        <f t="shared" si="728"/>
        <v>0</v>
      </c>
      <c r="AQ1483" t="e">
        <f t="shared" ca="1" si="720"/>
        <v>#VALUE!</v>
      </c>
      <c r="AR1483" t="e">
        <f t="shared" ca="1" si="721"/>
        <v>#VALUE!</v>
      </c>
      <c r="AS1483" t="e">
        <f t="shared" ca="1" si="722"/>
        <v>#VALUE!</v>
      </c>
    </row>
    <row r="1484" spans="1:45" x14ac:dyDescent="0.35">
      <c r="A1484">
        <v>1335</v>
      </c>
      <c r="B1484">
        <v>1333.8889999999999</v>
      </c>
      <c r="C1484">
        <v>616067.05200000003</v>
      </c>
      <c r="D1484">
        <v>3096670.3470000001</v>
      </c>
      <c r="E1484">
        <v>631.89499999999998</v>
      </c>
      <c r="F1484">
        <v>5.2</v>
      </c>
      <c r="G1484">
        <v>0</v>
      </c>
      <c r="H1484" t="s">
        <v>191</v>
      </c>
      <c r="I1484">
        <v>5.7000000000000002E-2</v>
      </c>
      <c r="J1484">
        <f t="shared" si="723"/>
        <v>0.99899999999979627</v>
      </c>
      <c r="K1484">
        <f t="shared" si="724"/>
        <v>51</v>
      </c>
      <c r="L1484" t="e">
        <f t="shared" ca="1" si="725"/>
        <v>#VALUE!</v>
      </c>
      <c r="M1484" t="e">
        <f t="shared" ca="1" si="698"/>
        <v>#VALUE!</v>
      </c>
      <c r="N1484" t="e">
        <f t="shared" ca="1" si="699"/>
        <v>#VALUE!</v>
      </c>
      <c r="O1484" t="e">
        <f t="shared" ca="1" si="700"/>
        <v>#VALUE!</v>
      </c>
      <c r="P1484" t="e">
        <f t="shared" ca="1" si="701"/>
        <v>#VALUE!</v>
      </c>
      <c r="Q1484" t="e">
        <f t="shared" ca="1" si="702"/>
        <v>#VALUE!</v>
      </c>
      <c r="R1484" t="e">
        <f t="shared" ca="1" si="703"/>
        <v>#VALUE!</v>
      </c>
      <c r="S1484" t="e">
        <f t="shared" ca="1" si="704"/>
        <v>#VALUE!</v>
      </c>
      <c r="T1484" t="e">
        <f t="shared" ca="1" si="705"/>
        <v>#VALUE!</v>
      </c>
      <c r="U1484" t="e">
        <f t="shared" ca="1" si="726"/>
        <v>#VALUE!</v>
      </c>
      <c r="V1484" t="e">
        <f t="shared" ca="1" si="727"/>
        <v>#VALUE!</v>
      </c>
      <c r="W1484" t="e">
        <f t="shared" ca="1" si="706"/>
        <v>#VALUE!</v>
      </c>
      <c r="X1484" t="e">
        <f t="shared" ca="1" si="707"/>
        <v>#VALUE!</v>
      </c>
      <c r="Y1484" t="e">
        <f t="shared" ca="1" si="708"/>
        <v>#VALUE!</v>
      </c>
      <c r="Z1484" t="e">
        <f t="shared" ca="1" si="709"/>
        <v>#VALUE!</v>
      </c>
      <c r="AA1484" t="e">
        <f t="shared" ca="1" si="710"/>
        <v>#VALUE!</v>
      </c>
      <c r="AB1484" t="e">
        <f t="shared" ca="1" si="711"/>
        <v>#VALUE!</v>
      </c>
      <c r="AC1484" t="e">
        <f t="shared" ca="1" si="712"/>
        <v>#VALUE!</v>
      </c>
      <c r="AD1484" t="e">
        <f t="shared" ca="1" si="713"/>
        <v>#VALUE!</v>
      </c>
      <c r="AE1484" t="e">
        <f t="shared" ca="1" si="714"/>
        <v>#VALUE!</v>
      </c>
      <c r="AF1484" t="e">
        <f t="shared" ca="1" si="715"/>
        <v>#VALUE!</v>
      </c>
      <c r="AG1484" t="e">
        <f t="shared" ca="1" si="716"/>
        <v>#VALUE!</v>
      </c>
      <c r="AH1484" t="e">
        <f ca="1">IF(V32="Supercritical",L1484,IF(V32="Subcritical",W1484,IF(AND(V1484=1,AG1484=1),IF(T1484&gt;=AE1484,L1484,W1484),IF(V1484=1,L1484,IF(AG1484=1,W1484,MAX($D$16,POWER((ABS(K1484)^2)/($I$5*MAX(F1484,0.1)^2),1/3)))))))</f>
        <v>#VALUE!</v>
      </c>
      <c r="AI1484" t="e">
        <f t="shared" ca="1" si="717"/>
        <v>#VALUE!</v>
      </c>
      <c r="AJ1484" t="e">
        <f t="shared" ca="1" si="718"/>
        <v>#VALUE!</v>
      </c>
      <c r="AM1484">
        <v>0</v>
      </c>
      <c r="AN1484">
        <v>0</v>
      </c>
      <c r="AO1484">
        <f t="shared" si="719"/>
        <v>0</v>
      </c>
      <c r="AP1484">
        <f t="shared" si="728"/>
        <v>0</v>
      </c>
      <c r="AQ1484" t="e">
        <f t="shared" ca="1" si="720"/>
        <v>#VALUE!</v>
      </c>
      <c r="AR1484" t="e">
        <f t="shared" ca="1" si="721"/>
        <v>#VALUE!</v>
      </c>
      <c r="AS1484" t="e">
        <f t="shared" ca="1" si="722"/>
        <v>#VALUE!</v>
      </c>
    </row>
    <row r="1485" spans="1:45" x14ac:dyDescent="0.35">
      <c r="A1485">
        <v>1336</v>
      </c>
      <c r="B1485">
        <v>1334.8889999999999</v>
      </c>
      <c r="C1485">
        <v>616067.00899999996</v>
      </c>
      <c r="D1485">
        <v>3096669.3480000002</v>
      </c>
      <c r="E1485">
        <v>631.89449999999999</v>
      </c>
      <c r="F1485">
        <v>5.2</v>
      </c>
      <c r="G1485">
        <v>0</v>
      </c>
      <c r="H1485" t="s">
        <v>191</v>
      </c>
      <c r="I1485">
        <v>5.7000000000000002E-2</v>
      </c>
      <c r="J1485">
        <f t="shared" si="723"/>
        <v>1</v>
      </c>
      <c r="K1485">
        <f t="shared" si="724"/>
        <v>51</v>
      </c>
      <c r="L1485" t="e">
        <f t="shared" ca="1" si="725"/>
        <v>#VALUE!</v>
      </c>
      <c r="M1485" t="e">
        <f t="shared" ca="1" si="698"/>
        <v>#VALUE!</v>
      </c>
      <c r="N1485" t="e">
        <f t="shared" ca="1" si="699"/>
        <v>#VALUE!</v>
      </c>
      <c r="O1485" t="e">
        <f t="shared" ca="1" si="700"/>
        <v>#VALUE!</v>
      </c>
      <c r="P1485" t="e">
        <f t="shared" ca="1" si="701"/>
        <v>#VALUE!</v>
      </c>
      <c r="Q1485" t="e">
        <f t="shared" ca="1" si="702"/>
        <v>#VALUE!</v>
      </c>
      <c r="R1485" t="e">
        <f t="shared" ca="1" si="703"/>
        <v>#VALUE!</v>
      </c>
      <c r="S1485" t="e">
        <f t="shared" ca="1" si="704"/>
        <v>#VALUE!</v>
      </c>
      <c r="T1485" t="e">
        <f t="shared" ca="1" si="705"/>
        <v>#VALUE!</v>
      </c>
      <c r="U1485" t="e">
        <f t="shared" ca="1" si="726"/>
        <v>#VALUE!</v>
      </c>
      <c r="V1485" t="e">
        <f t="shared" ca="1" si="727"/>
        <v>#VALUE!</v>
      </c>
      <c r="W1485" t="e">
        <f t="shared" ca="1" si="706"/>
        <v>#VALUE!</v>
      </c>
      <c r="X1485" t="e">
        <f t="shared" ca="1" si="707"/>
        <v>#VALUE!</v>
      </c>
      <c r="Y1485" t="e">
        <f t="shared" ca="1" si="708"/>
        <v>#VALUE!</v>
      </c>
      <c r="Z1485" t="e">
        <f t="shared" ca="1" si="709"/>
        <v>#VALUE!</v>
      </c>
      <c r="AA1485" t="e">
        <f t="shared" ca="1" si="710"/>
        <v>#VALUE!</v>
      </c>
      <c r="AB1485" t="e">
        <f t="shared" ca="1" si="711"/>
        <v>#VALUE!</v>
      </c>
      <c r="AC1485" t="e">
        <f t="shared" ca="1" si="712"/>
        <v>#VALUE!</v>
      </c>
      <c r="AD1485" t="e">
        <f t="shared" ca="1" si="713"/>
        <v>#VALUE!</v>
      </c>
      <c r="AE1485" t="e">
        <f t="shared" ca="1" si="714"/>
        <v>#VALUE!</v>
      </c>
      <c r="AF1485" t="e">
        <f t="shared" ca="1" si="715"/>
        <v>#VALUE!</v>
      </c>
      <c r="AG1485" t="e">
        <f t="shared" ca="1" si="716"/>
        <v>#VALUE!</v>
      </c>
      <c r="AH1485" t="e">
        <f ca="1">IF(V32="Supercritical",L1485,IF(V32="Subcritical",W1485,IF(AND(V1485=1,AG1485=1),IF(T1485&gt;=AE1485,L1485,W1485),IF(V1485=1,L1485,IF(AG1485=1,W1485,MAX($D$16,POWER((ABS(K1485)^2)/($I$5*MAX(F1485,0.1)^2),1/3)))))))</f>
        <v>#VALUE!</v>
      </c>
      <c r="AI1485" t="e">
        <f t="shared" ca="1" si="717"/>
        <v>#VALUE!</v>
      </c>
      <c r="AJ1485" t="e">
        <f t="shared" ca="1" si="718"/>
        <v>#VALUE!</v>
      </c>
      <c r="AM1485">
        <v>0</v>
      </c>
      <c r="AN1485">
        <v>0</v>
      </c>
      <c r="AO1485">
        <f t="shared" si="719"/>
        <v>0</v>
      </c>
      <c r="AP1485">
        <f t="shared" si="728"/>
        <v>0</v>
      </c>
      <c r="AQ1485" t="e">
        <f t="shared" ca="1" si="720"/>
        <v>#VALUE!</v>
      </c>
      <c r="AR1485" t="e">
        <f t="shared" ca="1" si="721"/>
        <v>#VALUE!</v>
      </c>
      <c r="AS1485" t="e">
        <f t="shared" ca="1" si="722"/>
        <v>#VALUE!</v>
      </c>
    </row>
    <row r="1486" spans="1:45" x14ac:dyDescent="0.35">
      <c r="A1486">
        <v>1337</v>
      </c>
      <c r="B1486">
        <v>1335.8889999999999</v>
      </c>
      <c r="C1486">
        <v>616066.96699999995</v>
      </c>
      <c r="D1486">
        <v>3096668.3489999999</v>
      </c>
      <c r="E1486">
        <v>631.89400000000001</v>
      </c>
      <c r="F1486">
        <v>5.2</v>
      </c>
      <c r="G1486">
        <v>0</v>
      </c>
      <c r="H1486" t="s">
        <v>191</v>
      </c>
      <c r="I1486">
        <v>0</v>
      </c>
      <c r="J1486">
        <f t="shared" si="723"/>
        <v>1</v>
      </c>
      <c r="K1486">
        <f t="shared" si="724"/>
        <v>51</v>
      </c>
      <c r="L1486" t="e">
        <f t="shared" ca="1" si="725"/>
        <v>#VALUE!</v>
      </c>
      <c r="M1486" t="e">
        <f t="shared" ca="1" si="698"/>
        <v>#VALUE!</v>
      </c>
      <c r="N1486" t="e">
        <f t="shared" ca="1" si="699"/>
        <v>#VALUE!</v>
      </c>
      <c r="O1486" t="e">
        <f t="shared" ca="1" si="700"/>
        <v>#VALUE!</v>
      </c>
      <c r="P1486" t="e">
        <f t="shared" ca="1" si="701"/>
        <v>#VALUE!</v>
      </c>
      <c r="Q1486" t="e">
        <f t="shared" ca="1" si="702"/>
        <v>#VALUE!</v>
      </c>
      <c r="R1486" t="e">
        <f t="shared" ca="1" si="703"/>
        <v>#VALUE!</v>
      </c>
      <c r="S1486" t="e">
        <f t="shared" ca="1" si="704"/>
        <v>#VALUE!</v>
      </c>
      <c r="T1486" t="e">
        <f t="shared" ca="1" si="705"/>
        <v>#VALUE!</v>
      </c>
      <c r="U1486" t="e">
        <f t="shared" ca="1" si="726"/>
        <v>#VALUE!</v>
      </c>
      <c r="V1486" t="e">
        <f t="shared" ca="1" si="727"/>
        <v>#VALUE!</v>
      </c>
      <c r="W1486" t="e">
        <f t="shared" ca="1" si="706"/>
        <v>#VALUE!</v>
      </c>
      <c r="X1486" t="e">
        <f t="shared" ca="1" si="707"/>
        <v>#VALUE!</v>
      </c>
      <c r="Y1486" t="e">
        <f t="shared" ca="1" si="708"/>
        <v>#VALUE!</v>
      </c>
      <c r="Z1486" t="e">
        <f t="shared" ca="1" si="709"/>
        <v>#VALUE!</v>
      </c>
      <c r="AA1486" t="e">
        <f t="shared" ca="1" si="710"/>
        <v>#VALUE!</v>
      </c>
      <c r="AB1486" t="e">
        <f t="shared" ca="1" si="711"/>
        <v>#VALUE!</v>
      </c>
      <c r="AC1486" t="e">
        <f t="shared" ca="1" si="712"/>
        <v>#VALUE!</v>
      </c>
      <c r="AD1486" t="e">
        <f t="shared" ca="1" si="713"/>
        <v>#VALUE!</v>
      </c>
      <c r="AE1486" t="e">
        <f t="shared" ca="1" si="714"/>
        <v>#VALUE!</v>
      </c>
      <c r="AF1486" t="e">
        <f t="shared" ca="1" si="715"/>
        <v>#VALUE!</v>
      </c>
      <c r="AG1486" t="e">
        <f t="shared" ca="1" si="716"/>
        <v>#VALUE!</v>
      </c>
      <c r="AH1486" t="e">
        <f ca="1">IF(V32="Supercritical",L1486,IF(V32="Subcritical",W1486,IF(AND(V1486=1,AG1486=1),IF(T1486&gt;=AE1486,L1486,W1486),IF(V1486=1,L1486,IF(AG1486=1,W1486,MAX($D$16,POWER((ABS(K1486)^2)/($I$5*MAX(F1486,0.1)^2),1/3)))))))</f>
        <v>#VALUE!</v>
      </c>
      <c r="AI1486" t="e">
        <f t="shared" ca="1" si="717"/>
        <v>#VALUE!</v>
      </c>
      <c r="AJ1486" t="e">
        <f t="shared" ca="1" si="718"/>
        <v>#VALUE!</v>
      </c>
      <c r="AM1486">
        <v>0</v>
      </c>
      <c r="AN1486">
        <v>0</v>
      </c>
      <c r="AO1486">
        <f t="shared" si="719"/>
        <v>0</v>
      </c>
      <c r="AP1486">
        <f t="shared" si="728"/>
        <v>0</v>
      </c>
      <c r="AQ1486" t="e">
        <f t="shared" ca="1" si="720"/>
        <v>#VALUE!</v>
      </c>
      <c r="AR1486" t="e">
        <f t="shared" ca="1" si="721"/>
        <v>#VALUE!</v>
      </c>
      <c r="AS1486" t="e">
        <f t="shared" ca="1" si="722"/>
        <v>#VALUE!</v>
      </c>
    </row>
    <row r="1487" spans="1:45" x14ac:dyDescent="0.35">
      <c r="A1487">
        <v>1338</v>
      </c>
      <c r="B1487">
        <v>1336.8889999999999</v>
      </c>
      <c r="C1487">
        <v>616066.92500000005</v>
      </c>
      <c r="D1487">
        <v>3096667.35</v>
      </c>
      <c r="E1487">
        <v>631.89350000000002</v>
      </c>
      <c r="F1487">
        <v>5.2</v>
      </c>
      <c r="G1487">
        <v>0</v>
      </c>
      <c r="H1487" t="s">
        <v>191</v>
      </c>
      <c r="I1487">
        <v>5.7000000000000002E-2</v>
      </c>
      <c r="J1487">
        <f t="shared" si="723"/>
        <v>1</v>
      </c>
      <c r="K1487">
        <f t="shared" si="724"/>
        <v>51</v>
      </c>
      <c r="L1487" t="e">
        <f t="shared" ca="1" si="725"/>
        <v>#VALUE!</v>
      </c>
      <c r="M1487" t="e">
        <f t="shared" ca="1" si="698"/>
        <v>#VALUE!</v>
      </c>
      <c r="N1487" t="e">
        <f t="shared" ca="1" si="699"/>
        <v>#VALUE!</v>
      </c>
      <c r="O1487" t="e">
        <f t="shared" ca="1" si="700"/>
        <v>#VALUE!</v>
      </c>
      <c r="P1487" t="e">
        <f t="shared" ca="1" si="701"/>
        <v>#VALUE!</v>
      </c>
      <c r="Q1487" t="e">
        <f t="shared" ca="1" si="702"/>
        <v>#VALUE!</v>
      </c>
      <c r="R1487" t="e">
        <f t="shared" ca="1" si="703"/>
        <v>#VALUE!</v>
      </c>
      <c r="S1487" t="e">
        <f t="shared" ca="1" si="704"/>
        <v>#VALUE!</v>
      </c>
      <c r="T1487" t="e">
        <f t="shared" ca="1" si="705"/>
        <v>#VALUE!</v>
      </c>
      <c r="U1487" t="e">
        <f t="shared" ca="1" si="726"/>
        <v>#VALUE!</v>
      </c>
      <c r="V1487" t="e">
        <f t="shared" ca="1" si="727"/>
        <v>#VALUE!</v>
      </c>
      <c r="W1487" t="e">
        <f t="shared" ca="1" si="706"/>
        <v>#VALUE!</v>
      </c>
      <c r="X1487" t="e">
        <f t="shared" ca="1" si="707"/>
        <v>#VALUE!</v>
      </c>
      <c r="Y1487" t="e">
        <f t="shared" ca="1" si="708"/>
        <v>#VALUE!</v>
      </c>
      <c r="Z1487" t="e">
        <f t="shared" ca="1" si="709"/>
        <v>#VALUE!</v>
      </c>
      <c r="AA1487" t="e">
        <f t="shared" ca="1" si="710"/>
        <v>#VALUE!</v>
      </c>
      <c r="AB1487" t="e">
        <f t="shared" ca="1" si="711"/>
        <v>#VALUE!</v>
      </c>
      <c r="AC1487" t="e">
        <f t="shared" ca="1" si="712"/>
        <v>#VALUE!</v>
      </c>
      <c r="AD1487" t="e">
        <f t="shared" ca="1" si="713"/>
        <v>#VALUE!</v>
      </c>
      <c r="AE1487" t="e">
        <f t="shared" ca="1" si="714"/>
        <v>#VALUE!</v>
      </c>
      <c r="AF1487" t="e">
        <f t="shared" ca="1" si="715"/>
        <v>#VALUE!</v>
      </c>
      <c r="AG1487" t="e">
        <f t="shared" ca="1" si="716"/>
        <v>#VALUE!</v>
      </c>
      <c r="AH1487" t="e">
        <f ca="1">IF(V32="Supercritical",L1487,IF(V32="Subcritical",W1487,IF(AND(V1487=1,AG1487=1),IF(T1487&gt;=AE1487,L1487,W1487),IF(V1487=1,L1487,IF(AG1487=1,W1487,MAX($D$16,POWER((ABS(K1487)^2)/($I$5*MAX(F1487,0.1)^2),1/3)))))))</f>
        <v>#VALUE!</v>
      </c>
      <c r="AI1487" t="e">
        <f t="shared" ca="1" si="717"/>
        <v>#VALUE!</v>
      </c>
      <c r="AJ1487" t="e">
        <f t="shared" ca="1" si="718"/>
        <v>#VALUE!</v>
      </c>
      <c r="AM1487">
        <v>0</v>
      </c>
      <c r="AN1487">
        <v>0</v>
      </c>
      <c r="AO1487">
        <f t="shared" si="719"/>
        <v>0</v>
      </c>
      <c r="AP1487">
        <f t="shared" si="728"/>
        <v>0</v>
      </c>
      <c r="AQ1487" t="e">
        <f t="shared" ca="1" si="720"/>
        <v>#VALUE!</v>
      </c>
      <c r="AR1487" t="e">
        <f t="shared" ca="1" si="721"/>
        <v>#VALUE!</v>
      </c>
      <c r="AS1487" t="e">
        <f t="shared" ca="1" si="722"/>
        <v>#VALUE!</v>
      </c>
    </row>
    <row r="1488" spans="1:45" x14ac:dyDescent="0.35">
      <c r="A1488">
        <v>1339</v>
      </c>
      <c r="B1488">
        <v>1337.8889999999999</v>
      </c>
      <c r="C1488">
        <v>616066.88199999998</v>
      </c>
      <c r="D1488">
        <v>3096666.3509999998</v>
      </c>
      <c r="E1488">
        <v>631.89300000000003</v>
      </c>
      <c r="F1488">
        <v>5.2</v>
      </c>
      <c r="G1488">
        <v>0</v>
      </c>
      <c r="H1488" t="s">
        <v>191</v>
      </c>
      <c r="I1488">
        <v>5.7000000000000002E-2</v>
      </c>
      <c r="J1488">
        <f t="shared" si="723"/>
        <v>1</v>
      </c>
      <c r="K1488">
        <f t="shared" si="724"/>
        <v>51</v>
      </c>
      <c r="L1488" t="e">
        <f t="shared" ca="1" si="725"/>
        <v>#VALUE!</v>
      </c>
      <c r="M1488" t="e">
        <f t="shared" ca="1" si="698"/>
        <v>#VALUE!</v>
      </c>
      <c r="N1488" t="e">
        <f t="shared" ca="1" si="699"/>
        <v>#VALUE!</v>
      </c>
      <c r="O1488" t="e">
        <f t="shared" ca="1" si="700"/>
        <v>#VALUE!</v>
      </c>
      <c r="P1488" t="e">
        <f t="shared" ca="1" si="701"/>
        <v>#VALUE!</v>
      </c>
      <c r="Q1488" t="e">
        <f t="shared" ca="1" si="702"/>
        <v>#VALUE!</v>
      </c>
      <c r="R1488" t="e">
        <f t="shared" ca="1" si="703"/>
        <v>#VALUE!</v>
      </c>
      <c r="S1488" t="e">
        <f t="shared" ca="1" si="704"/>
        <v>#VALUE!</v>
      </c>
      <c r="T1488" t="e">
        <f t="shared" ca="1" si="705"/>
        <v>#VALUE!</v>
      </c>
      <c r="U1488" t="e">
        <f t="shared" ca="1" si="726"/>
        <v>#VALUE!</v>
      </c>
      <c r="V1488" t="e">
        <f t="shared" ca="1" si="727"/>
        <v>#VALUE!</v>
      </c>
      <c r="W1488" t="e">
        <f t="shared" ca="1" si="706"/>
        <v>#VALUE!</v>
      </c>
      <c r="X1488" t="e">
        <f t="shared" ca="1" si="707"/>
        <v>#VALUE!</v>
      </c>
      <c r="Y1488" t="e">
        <f t="shared" ca="1" si="708"/>
        <v>#VALUE!</v>
      </c>
      <c r="Z1488" t="e">
        <f t="shared" ca="1" si="709"/>
        <v>#VALUE!</v>
      </c>
      <c r="AA1488" t="e">
        <f t="shared" ca="1" si="710"/>
        <v>#VALUE!</v>
      </c>
      <c r="AB1488" t="e">
        <f t="shared" ca="1" si="711"/>
        <v>#VALUE!</v>
      </c>
      <c r="AC1488" t="e">
        <f t="shared" ca="1" si="712"/>
        <v>#VALUE!</v>
      </c>
      <c r="AD1488" t="e">
        <f t="shared" ca="1" si="713"/>
        <v>#VALUE!</v>
      </c>
      <c r="AE1488" t="e">
        <f t="shared" ca="1" si="714"/>
        <v>#VALUE!</v>
      </c>
      <c r="AF1488" t="e">
        <f t="shared" ca="1" si="715"/>
        <v>#VALUE!</v>
      </c>
      <c r="AG1488" t="e">
        <f t="shared" ca="1" si="716"/>
        <v>#VALUE!</v>
      </c>
      <c r="AH1488" t="e">
        <f ca="1">IF(V32="Supercritical",L1488,IF(V32="Subcritical",W1488,IF(AND(V1488=1,AG1488=1),IF(T1488&gt;=AE1488,L1488,W1488),IF(V1488=1,L1488,IF(AG1488=1,W1488,MAX($D$16,POWER((ABS(K1488)^2)/($I$5*MAX(F1488,0.1)^2),1/3)))))))</f>
        <v>#VALUE!</v>
      </c>
      <c r="AI1488" t="e">
        <f t="shared" ca="1" si="717"/>
        <v>#VALUE!</v>
      </c>
      <c r="AJ1488" t="e">
        <f t="shared" ca="1" si="718"/>
        <v>#VALUE!</v>
      </c>
      <c r="AM1488">
        <v>0</v>
      </c>
      <c r="AN1488">
        <v>0</v>
      </c>
      <c r="AO1488">
        <f t="shared" si="719"/>
        <v>0</v>
      </c>
      <c r="AP1488">
        <f t="shared" si="728"/>
        <v>0</v>
      </c>
      <c r="AQ1488" t="e">
        <f t="shared" ca="1" si="720"/>
        <v>#VALUE!</v>
      </c>
      <c r="AR1488" t="e">
        <f t="shared" ca="1" si="721"/>
        <v>#VALUE!</v>
      </c>
      <c r="AS1488" t="e">
        <f t="shared" ca="1" si="722"/>
        <v>#VALUE!</v>
      </c>
    </row>
    <row r="1489" spans="1:45" x14ac:dyDescent="0.35">
      <c r="A1489">
        <v>1340</v>
      </c>
      <c r="B1489">
        <v>1338.8889999999999</v>
      </c>
      <c r="C1489">
        <v>616066.84</v>
      </c>
      <c r="D1489">
        <v>3096665.352</v>
      </c>
      <c r="E1489">
        <v>631.89250000000004</v>
      </c>
      <c r="F1489">
        <v>5.2</v>
      </c>
      <c r="G1489">
        <v>0</v>
      </c>
      <c r="H1489" t="s">
        <v>191</v>
      </c>
      <c r="I1489">
        <v>2E-3</v>
      </c>
      <c r="J1489">
        <f t="shared" si="723"/>
        <v>1</v>
      </c>
      <c r="K1489">
        <f t="shared" si="724"/>
        <v>51</v>
      </c>
      <c r="L1489" t="e">
        <f t="shared" ca="1" si="725"/>
        <v>#VALUE!</v>
      </c>
      <c r="M1489" t="e">
        <f t="shared" ca="1" si="698"/>
        <v>#VALUE!</v>
      </c>
      <c r="N1489" t="e">
        <f t="shared" ca="1" si="699"/>
        <v>#VALUE!</v>
      </c>
      <c r="O1489" t="e">
        <f t="shared" ca="1" si="700"/>
        <v>#VALUE!</v>
      </c>
      <c r="P1489" t="e">
        <f t="shared" ca="1" si="701"/>
        <v>#VALUE!</v>
      </c>
      <c r="Q1489" t="e">
        <f t="shared" ca="1" si="702"/>
        <v>#VALUE!</v>
      </c>
      <c r="R1489" t="e">
        <f t="shared" ca="1" si="703"/>
        <v>#VALUE!</v>
      </c>
      <c r="S1489" t="e">
        <f t="shared" ca="1" si="704"/>
        <v>#VALUE!</v>
      </c>
      <c r="T1489" t="e">
        <f t="shared" ca="1" si="705"/>
        <v>#VALUE!</v>
      </c>
      <c r="U1489" t="e">
        <f t="shared" ca="1" si="726"/>
        <v>#VALUE!</v>
      </c>
      <c r="V1489" t="e">
        <f t="shared" ca="1" si="727"/>
        <v>#VALUE!</v>
      </c>
      <c r="W1489" t="e">
        <f t="shared" ca="1" si="706"/>
        <v>#VALUE!</v>
      </c>
      <c r="X1489" t="e">
        <f t="shared" ca="1" si="707"/>
        <v>#VALUE!</v>
      </c>
      <c r="Y1489" t="e">
        <f t="shared" ca="1" si="708"/>
        <v>#VALUE!</v>
      </c>
      <c r="Z1489" t="e">
        <f t="shared" ca="1" si="709"/>
        <v>#VALUE!</v>
      </c>
      <c r="AA1489" t="e">
        <f t="shared" ca="1" si="710"/>
        <v>#VALUE!</v>
      </c>
      <c r="AB1489" t="e">
        <f t="shared" ca="1" si="711"/>
        <v>#VALUE!</v>
      </c>
      <c r="AC1489" t="e">
        <f t="shared" ca="1" si="712"/>
        <v>#VALUE!</v>
      </c>
      <c r="AD1489" t="e">
        <f t="shared" ca="1" si="713"/>
        <v>#VALUE!</v>
      </c>
      <c r="AE1489" t="e">
        <f t="shared" ca="1" si="714"/>
        <v>#VALUE!</v>
      </c>
      <c r="AF1489" t="e">
        <f t="shared" ca="1" si="715"/>
        <v>#VALUE!</v>
      </c>
      <c r="AG1489" t="e">
        <f t="shared" ca="1" si="716"/>
        <v>#VALUE!</v>
      </c>
      <c r="AH1489" t="e">
        <f ca="1">IF(V32="Supercritical",L1489,IF(V32="Subcritical",W1489,IF(AND(V1489=1,AG1489=1),IF(T1489&gt;=AE1489,L1489,W1489),IF(V1489=1,L1489,IF(AG1489=1,W1489,MAX($D$16,POWER((ABS(K1489)^2)/($I$5*MAX(F1489,0.1)^2),1/3)))))))</f>
        <v>#VALUE!</v>
      </c>
      <c r="AI1489" t="e">
        <f t="shared" ca="1" si="717"/>
        <v>#VALUE!</v>
      </c>
      <c r="AJ1489" t="e">
        <f t="shared" ca="1" si="718"/>
        <v>#VALUE!</v>
      </c>
      <c r="AM1489">
        <v>0</v>
      </c>
      <c r="AN1489">
        <v>0</v>
      </c>
      <c r="AO1489">
        <f t="shared" si="719"/>
        <v>0</v>
      </c>
      <c r="AP1489">
        <f t="shared" si="728"/>
        <v>0</v>
      </c>
      <c r="AQ1489" t="e">
        <f t="shared" ca="1" si="720"/>
        <v>#VALUE!</v>
      </c>
      <c r="AR1489" t="e">
        <f t="shared" ca="1" si="721"/>
        <v>#VALUE!</v>
      </c>
      <c r="AS1489" t="e">
        <f t="shared" ca="1" si="722"/>
        <v>#VALUE!</v>
      </c>
    </row>
    <row r="1490" spans="1:45" x14ac:dyDescent="0.35">
      <c r="A1490">
        <v>1341</v>
      </c>
      <c r="B1490">
        <v>1339.89</v>
      </c>
      <c r="C1490">
        <v>616066.79799999995</v>
      </c>
      <c r="D1490">
        <v>3096664.352</v>
      </c>
      <c r="E1490">
        <v>631.89200000000005</v>
      </c>
      <c r="F1490">
        <v>5.2</v>
      </c>
      <c r="G1490">
        <v>0</v>
      </c>
      <c r="H1490" t="s">
        <v>191</v>
      </c>
      <c r="I1490">
        <v>2E-3</v>
      </c>
      <c r="J1490">
        <f t="shared" si="723"/>
        <v>1.0010000000002037</v>
      </c>
      <c r="K1490">
        <f t="shared" si="724"/>
        <v>51</v>
      </c>
      <c r="L1490" t="e">
        <f t="shared" ca="1" si="725"/>
        <v>#VALUE!</v>
      </c>
      <c r="M1490" t="e">
        <f t="shared" ca="1" si="698"/>
        <v>#VALUE!</v>
      </c>
      <c r="N1490" t="e">
        <f t="shared" ca="1" si="699"/>
        <v>#VALUE!</v>
      </c>
      <c r="O1490" t="e">
        <f t="shared" ca="1" si="700"/>
        <v>#VALUE!</v>
      </c>
      <c r="P1490" t="e">
        <f t="shared" ca="1" si="701"/>
        <v>#VALUE!</v>
      </c>
      <c r="Q1490" t="e">
        <f t="shared" ca="1" si="702"/>
        <v>#VALUE!</v>
      </c>
      <c r="R1490" t="e">
        <f t="shared" ca="1" si="703"/>
        <v>#VALUE!</v>
      </c>
      <c r="S1490" t="e">
        <f t="shared" ca="1" si="704"/>
        <v>#VALUE!</v>
      </c>
      <c r="T1490" t="e">
        <f t="shared" ca="1" si="705"/>
        <v>#VALUE!</v>
      </c>
      <c r="U1490" t="e">
        <f t="shared" ca="1" si="726"/>
        <v>#VALUE!</v>
      </c>
      <c r="V1490" t="e">
        <f t="shared" ca="1" si="727"/>
        <v>#VALUE!</v>
      </c>
      <c r="W1490" t="e">
        <f t="shared" ca="1" si="706"/>
        <v>#VALUE!</v>
      </c>
      <c r="X1490" t="e">
        <f t="shared" ca="1" si="707"/>
        <v>#VALUE!</v>
      </c>
      <c r="Y1490" t="e">
        <f t="shared" ca="1" si="708"/>
        <v>#VALUE!</v>
      </c>
      <c r="Z1490" t="e">
        <f t="shared" ca="1" si="709"/>
        <v>#VALUE!</v>
      </c>
      <c r="AA1490" t="e">
        <f t="shared" ca="1" si="710"/>
        <v>#VALUE!</v>
      </c>
      <c r="AB1490" t="e">
        <f t="shared" ca="1" si="711"/>
        <v>#VALUE!</v>
      </c>
      <c r="AC1490" t="e">
        <f t="shared" ca="1" si="712"/>
        <v>#VALUE!</v>
      </c>
      <c r="AD1490" t="e">
        <f t="shared" ca="1" si="713"/>
        <v>#VALUE!</v>
      </c>
      <c r="AE1490" t="e">
        <f t="shared" ca="1" si="714"/>
        <v>#VALUE!</v>
      </c>
      <c r="AF1490" t="e">
        <f t="shared" ca="1" si="715"/>
        <v>#VALUE!</v>
      </c>
      <c r="AG1490" t="e">
        <f t="shared" ca="1" si="716"/>
        <v>#VALUE!</v>
      </c>
      <c r="AH1490" t="e">
        <f ca="1">IF(V32="Supercritical",L1490,IF(V32="Subcritical",W1490,IF(AND(V1490=1,AG1490=1),IF(T1490&gt;=AE1490,L1490,W1490),IF(V1490=1,L1490,IF(AG1490=1,W1490,MAX($D$16,POWER((ABS(K1490)^2)/($I$5*MAX(F1490,0.1)^2),1/3)))))))</f>
        <v>#VALUE!</v>
      </c>
      <c r="AI1490" t="e">
        <f t="shared" ca="1" si="717"/>
        <v>#VALUE!</v>
      </c>
      <c r="AJ1490" t="e">
        <f t="shared" ca="1" si="718"/>
        <v>#VALUE!</v>
      </c>
      <c r="AM1490">
        <v>0</v>
      </c>
      <c r="AN1490">
        <v>0</v>
      </c>
      <c r="AO1490">
        <f t="shared" si="719"/>
        <v>0</v>
      </c>
      <c r="AP1490">
        <f t="shared" si="728"/>
        <v>0</v>
      </c>
      <c r="AQ1490" t="e">
        <f t="shared" ca="1" si="720"/>
        <v>#VALUE!</v>
      </c>
      <c r="AR1490" t="e">
        <f t="shared" ca="1" si="721"/>
        <v>#VALUE!</v>
      </c>
      <c r="AS1490" t="e">
        <f t="shared" ca="1" si="722"/>
        <v>#VALUE!</v>
      </c>
    </row>
    <row r="1491" spans="1:45" x14ac:dyDescent="0.35">
      <c r="A1491">
        <v>1342</v>
      </c>
      <c r="B1491">
        <v>1340.89</v>
      </c>
      <c r="C1491">
        <v>616066.75600000005</v>
      </c>
      <c r="D1491">
        <v>3096663.3530000001</v>
      </c>
      <c r="E1491">
        <v>631.89149999999995</v>
      </c>
      <c r="F1491">
        <v>5.2</v>
      </c>
      <c r="G1491">
        <v>0</v>
      </c>
      <c r="H1491" t="s">
        <v>191</v>
      </c>
      <c r="I1491">
        <v>5.7000000000000002E-2</v>
      </c>
      <c r="J1491">
        <f t="shared" si="723"/>
        <v>1</v>
      </c>
      <c r="K1491">
        <f t="shared" si="724"/>
        <v>51</v>
      </c>
      <c r="L1491" t="e">
        <f t="shared" ca="1" si="725"/>
        <v>#VALUE!</v>
      </c>
      <c r="M1491" t="e">
        <f t="shared" ca="1" si="698"/>
        <v>#VALUE!</v>
      </c>
      <c r="N1491" t="e">
        <f t="shared" ca="1" si="699"/>
        <v>#VALUE!</v>
      </c>
      <c r="O1491" t="e">
        <f t="shared" ca="1" si="700"/>
        <v>#VALUE!</v>
      </c>
      <c r="P1491" t="e">
        <f t="shared" ca="1" si="701"/>
        <v>#VALUE!</v>
      </c>
      <c r="Q1491" t="e">
        <f t="shared" ca="1" si="702"/>
        <v>#VALUE!</v>
      </c>
      <c r="R1491" t="e">
        <f t="shared" ca="1" si="703"/>
        <v>#VALUE!</v>
      </c>
      <c r="S1491" t="e">
        <f t="shared" ca="1" si="704"/>
        <v>#VALUE!</v>
      </c>
      <c r="T1491" t="e">
        <f t="shared" ca="1" si="705"/>
        <v>#VALUE!</v>
      </c>
      <c r="U1491" t="e">
        <f t="shared" ca="1" si="726"/>
        <v>#VALUE!</v>
      </c>
      <c r="V1491" t="e">
        <f t="shared" ca="1" si="727"/>
        <v>#VALUE!</v>
      </c>
      <c r="W1491" t="e">
        <f t="shared" ca="1" si="706"/>
        <v>#VALUE!</v>
      </c>
      <c r="X1491" t="e">
        <f t="shared" ca="1" si="707"/>
        <v>#VALUE!</v>
      </c>
      <c r="Y1491" t="e">
        <f t="shared" ca="1" si="708"/>
        <v>#VALUE!</v>
      </c>
      <c r="Z1491" t="e">
        <f t="shared" ca="1" si="709"/>
        <v>#VALUE!</v>
      </c>
      <c r="AA1491" t="e">
        <f t="shared" ca="1" si="710"/>
        <v>#VALUE!</v>
      </c>
      <c r="AB1491" t="e">
        <f t="shared" ca="1" si="711"/>
        <v>#VALUE!</v>
      </c>
      <c r="AC1491" t="e">
        <f t="shared" ca="1" si="712"/>
        <v>#VALUE!</v>
      </c>
      <c r="AD1491" t="e">
        <f t="shared" ca="1" si="713"/>
        <v>#VALUE!</v>
      </c>
      <c r="AE1491" t="e">
        <f t="shared" ca="1" si="714"/>
        <v>#VALUE!</v>
      </c>
      <c r="AF1491" t="e">
        <f t="shared" ca="1" si="715"/>
        <v>#VALUE!</v>
      </c>
      <c r="AG1491" t="e">
        <f t="shared" ca="1" si="716"/>
        <v>#VALUE!</v>
      </c>
      <c r="AH1491" t="e">
        <f ca="1">IF(V32="Supercritical",L1491,IF(V32="Subcritical",W1491,IF(AND(V1491=1,AG1491=1),IF(T1491&gt;=AE1491,L1491,W1491),IF(V1491=1,L1491,IF(AG1491=1,W1491,MAX($D$16,POWER((ABS(K1491)^2)/($I$5*MAX(F1491,0.1)^2),1/3)))))))</f>
        <v>#VALUE!</v>
      </c>
      <c r="AI1491" t="e">
        <f t="shared" ca="1" si="717"/>
        <v>#VALUE!</v>
      </c>
      <c r="AJ1491" t="e">
        <f t="shared" ca="1" si="718"/>
        <v>#VALUE!</v>
      </c>
      <c r="AM1491">
        <v>0</v>
      </c>
      <c r="AN1491">
        <v>0</v>
      </c>
      <c r="AO1491">
        <f t="shared" si="719"/>
        <v>0</v>
      </c>
      <c r="AP1491">
        <f t="shared" si="728"/>
        <v>0</v>
      </c>
      <c r="AQ1491" t="e">
        <f t="shared" ca="1" si="720"/>
        <v>#VALUE!</v>
      </c>
      <c r="AR1491" t="e">
        <f t="shared" ca="1" si="721"/>
        <v>#VALUE!</v>
      </c>
      <c r="AS1491" t="e">
        <f t="shared" ca="1" si="722"/>
        <v>#VALUE!</v>
      </c>
    </row>
    <row r="1492" spans="1:45" x14ac:dyDescent="0.35">
      <c r="A1492">
        <v>1343</v>
      </c>
      <c r="B1492">
        <v>1341.89</v>
      </c>
      <c r="C1492">
        <v>616066.71299999999</v>
      </c>
      <c r="D1492">
        <v>3096662.3539999998</v>
      </c>
      <c r="E1492">
        <v>631.89099999999996</v>
      </c>
      <c r="F1492">
        <v>5.2</v>
      </c>
      <c r="G1492">
        <v>0</v>
      </c>
      <c r="H1492" t="s">
        <v>191</v>
      </c>
      <c r="I1492">
        <v>5.7000000000000002E-2</v>
      </c>
      <c r="J1492">
        <f t="shared" si="723"/>
        <v>1</v>
      </c>
      <c r="K1492">
        <f t="shared" si="724"/>
        <v>51</v>
      </c>
      <c r="L1492" t="e">
        <f t="shared" ca="1" si="725"/>
        <v>#VALUE!</v>
      </c>
      <c r="M1492" t="e">
        <f t="shared" ca="1" si="698"/>
        <v>#VALUE!</v>
      </c>
      <c r="N1492" t="e">
        <f t="shared" ca="1" si="699"/>
        <v>#VALUE!</v>
      </c>
      <c r="O1492" t="e">
        <f t="shared" ca="1" si="700"/>
        <v>#VALUE!</v>
      </c>
      <c r="P1492" t="e">
        <f t="shared" ca="1" si="701"/>
        <v>#VALUE!</v>
      </c>
      <c r="Q1492" t="e">
        <f t="shared" ca="1" si="702"/>
        <v>#VALUE!</v>
      </c>
      <c r="R1492" t="e">
        <f t="shared" ca="1" si="703"/>
        <v>#VALUE!</v>
      </c>
      <c r="S1492" t="e">
        <f t="shared" ca="1" si="704"/>
        <v>#VALUE!</v>
      </c>
      <c r="T1492" t="e">
        <f t="shared" ca="1" si="705"/>
        <v>#VALUE!</v>
      </c>
      <c r="U1492" t="e">
        <f t="shared" ca="1" si="726"/>
        <v>#VALUE!</v>
      </c>
      <c r="V1492" t="e">
        <f t="shared" ca="1" si="727"/>
        <v>#VALUE!</v>
      </c>
      <c r="W1492" t="e">
        <f t="shared" ca="1" si="706"/>
        <v>#VALUE!</v>
      </c>
      <c r="X1492" t="e">
        <f t="shared" ca="1" si="707"/>
        <v>#VALUE!</v>
      </c>
      <c r="Y1492" t="e">
        <f t="shared" ca="1" si="708"/>
        <v>#VALUE!</v>
      </c>
      <c r="Z1492" t="e">
        <f t="shared" ca="1" si="709"/>
        <v>#VALUE!</v>
      </c>
      <c r="AA1492" t="e">
        <f t="shared" ca="1" si="710"/>
        <v>#VALUE!</v>
      </c>
      <c r="AB1492" t="e">
        <f t="shared" ca="1" si="711"/>
        <v>#VALUE!</v>
      </c>
      <c r="AC1492" t="e">
        <f t="shared" ca="1" si="712"/>
        <v>#VALUE!</v>
      </c>
      <c r="AD1492" t="e">
        <f t="shared" ca="1" si="713"/>
        <v>#VALUE!</v>
      </c>
      <c r="AE1492" t="e">
        <f t="shared" ca="1" si="714"/>
        <v>#VALUE!</v>
      </c>
      <c r="AF1492" t="e">
        <f t="shared" ca="1" si="715"/>
        <v>#VALUE!</v>
      </c>
      <c r="AG1492" t="e">
        <f t="shared" ca="1" si="716"/>
        <v>#VALUE!</v>
      </c>
      <c r="AH1492" t="e">
        <f ca="1">IF(V32="Supercritical",L1492,IF(V32="Subcritical",W1492,IF(AND(V1492=1,AG1492=1),IF(T1492&gt;=AE1492,L1492,W1492),IF(V1492=1,L1492,IF(AG1492=1,W1492,MAX($D$16,POWER((ABS(K1492)^2)/($I$5*MAX(F1492,0.1)^2),1/3)))))))</f>
        <v>#VALUE!</v>
      </c>
      <c r="AI1492" t="e">
        <f t="shared" ca="1" si="717"/>
        <v>#VALUE!</v>
      </c>
      <c r="AJ1492" t="e">
        <f t="shared" ca="1" si="718"/>
        <v>#VALUE!</v>
      </c>
      <c r="AM1492">
        <v>0</v>
      </c>
      <c r="AN1492">
        <v>0</v>
      </c>
      <c r="AO1492">
        <f t="shared" si="719"/>
        <v>0</v>
      </c>
      <c r="AP1492">
        <f t="shared" si="728"/>
        <v>0</v>
      </c>
      <c r="AQ1492" t="e">
        <f t="shared" ca="1" si="720"/>
        <v>#VALUE!</v>
      </c>
      <c r="AR1492" t="e">
        <f t="shared" ca="1" si="721"/>
        <v>#VALUE!</v>
      </c>
      <c r="AS1492" t="e">
        <f t="shared" ca="1" si="722"/>
        <v>#VALUE!</v>
      </c>
    </row>
    <row r="1493" spans="1:45" x14ac:dyDescent="0.35">
      <c r="A1493">
        <v>1344</v>
      </c>
      <c r="B1493">
        <v>1342.8889999999999</v>
      </c>
      <c r="C1493">
        <v>616066.67099999997</v>
      </c>
      <c r="D1493">
        <v>3096661.355</v>
      </c>
      <c r="E1493">
        <v>631.89049999999997</v>
      </c>
      <c r="F1493">
        <v>5.2</v>
      </c>
      <c r="G1493">
        <v>0</v>
      </c>
      <c r="H1493" t="s">
        <v>191</v>
      </c>
      <c r="I1493">
        <v>0</v>
      </c>
      <c r="J1493">
        <f t="shared" si="723"/>
        <v>0.99899999999979627</v>
      </c>
      <c r="K1493">
        <f t="shared" si="724"/>
        <v>51</v>
      </c>
      <c r="L1493" t="e">
        <f t="shared" ca="1" si="725"/>
        <v>#VALUE!</v>
      </c>
      <c r="M1493" t="e">
        <f t="shared" ca="1" si="698"/>
        <v>#VALUE!</v>
      </c>
      <c r="N1493" t="e">
        <f t="shared" ca="1" si="699"/>
        <v>#VALUE!</v>
      </c>
      <c r="O1493" t="e">
        <f t="shared" ca="1" si="700"/>
        <v>#VALUE!</v>
      </c>
      <c r="P1493" t="e">
        <f t="shared" ca="1" si="701"/>
        <v>#VALUE!</v>
      </c>
      <c r="Q1493" t="e">
        <f t="shared" ca="1" si="702"/>
        <v>#VALUE!</v>
      </c>
      <c r="R1493" t="e">
        <f t="shared" ca="1" si="703"/>
        <v>#VALUE!</v>
      </c>
      <c r="S1493" t="e">
        <f t="shared" ca="1" si="704"/>
        <v>#VALUE!</v>
      </c>
      <c r="T1493" t="e">
        <f t="shared" ca="1" si="705"/>
        <v>#VALUE!</v>
      </c>
      <c r="U1493" t="e">
        <f t="shared" ca="1" si="726"/>
        <v>#VALUE!</v>
      </c>
      <c r="V1493" t="e">
        <f t="shared" ca="1" si="727"/>
        <v>#VALUE!</v>
      </c>
      <c r="W1493" t="e">
        <f t="shared" ca="1" si="706"/>
        <v>#VALUE!</v>
      </c>
      <c r="X1493" t="e">
        <f t="shared" ca="1" si="707"/>
        <v>#VALUE!</v>
      </c>
      <c r="Y1493" t="e">
        <f t="shared" ca="1" si="708"/>
        <v>#VALUE!</v>
      </c>
      <c r="Z1493" t="e">
        <f t="shared" ca="1" si="709"/>
        <v>#VALUE!</v>
      </c>
      <c r="AA1493" t="e">
        <f t="shared" ca="1" si="710"/>
        <v>#VALUE!</v>
      </c>
      <c r="AB1493" t="e">
        <f t="shared" ca="1" si="711"/>
        <v>#VALUE!</v>
      </c>
      <c r="AC1493" t="e">
        <f t="shared" ca="1" si="712"/>
        <v>#VALUE!</v>
      </c>
      <c r="AD1493" t="e">
        <f t="shared" ca="1" si="713"/>
        <v>#VALUE!</v>
      </c>
      <c r="AE1493" t="e">
        <f t="shared" ca="1" si="714"/>
        <v>#VALUE!</v>
      </c>
      <c r="AF1493" t="e">
        <f t="shared" ca="1" si="715"/>
        <v>#VALUE!</v>
      </c>
      <c r="AG1493" t="e">
        <f t="shared" ca="1" si="716"/>
        <v>#VALUE!</v>
      </c>
      <c r="AH1493" t="e">
        <f ca="1">IF(V32="Supercritical",L1493,IF(V32="Subcritical",W1493,IF(AND(V1493=1,AG1493=1),IF(T1493&gt;=AE1493,L1493,W1493),IF(V1493=1,L1493,IF(AG1493=1,W1493,MAX($D$16,POWER((ABS(K1493)^2)/($I$5*MAX(F1493,0.1)^2),1/3)))))))</f>
        <v>#VALUE!</v>
      </c>
      <c r="AI1493" t="e">
        <f t="shared" ca="1" si="717"/>
        <v>#VALUE!</v>
      </c>
      <c r="AJ1493" t="e">
        <f t="shared" ca="1" si="718"/>
        <v>#VALUE!</v>
      </c>
      <c r="AM1493">
        <v>0</v>
      </c>
      <c r="AN1493">
        <v>0</v>
      </c>
      <c r="AO1493">
        <f t="shared" si="719"/>
        <v>0</v>
      </c>
      <c r="AP1493">
        <f t="shared" si="728"/>
        <v>0</v>
      </c>
      <c r="AQ1493" t="e">
        <f t="shared" ca="1" si="720"/>
        <v>#VALUE!</v>
      </c>
      <c r="AR1493" t="e">
        <f t="shared" ca="1" si="721"/>
        <v>#VALUE!</v>
      </c>
      <c r="AS1493" t="e">
        <f t="shared" ca="1" si="722"/>
        <v>#VALUE!</v>
      </c>
    </row>
    <row r="1494" spans="1:45" x14ac:dyDescent="0.35">
      <c r="A1494">
        <v>1345</v>
      </c>
      <c r="B1494">
        <v>1343.8889999999999</v>
      </c>
      <c r="C1494">
        <v>616066.62899999996</v>
      </c>
      <c r="D1494">
        <v>3096660.3560000001</v>
      </c>
      <c r="E1494">
        <v>631.89</v>
      </c>
      <c r="F1494">
        <v>5.2</v>
      </c>
      <c r="G1494">
        <v>0</v>
      </c>
      <c r="H1494" t="s">
        <v>191</v>
      </c>
      <c r="I1494">
        <v>0</v>
      </c>
      <c r="J1494">
        <f t="shared" si="723"/>
        <v>1</v>
      </c>
      <c r="K1494">
        <f t="shared" si="724"/>
        <v>51</v>
      </c>
      <c r="L1494" t="e">
        <f t="shared" ca="1" si="725"/>
        <v>#VALUE!</v>
      </c>
      <c r="M1494" t="e">
        <f t="shared" ref="M1494:M1557" ca="1" si="729">((F1494)+(G1494)*(L1494))*(L1494)</f>
        <v>#VALUE!</v>
      </c>
      <c r="N1494" t="e">
        <f t="shared" ref="N1494:N1533" ca="1" si="730">(((F1494)+(G1494)*(L1494))*(L1494))/MAX((F1494)+2*(L1494)*SQRT(1+(G1494)^2),0.000001)</f>
        <v>#VALUE!</v>
      </c>
      <c r="O1494" t="e">
        <f t="shared" ref="O1494:O1533" ca="1" si="731">ABS(K1494)/MAX(((F1494)+(G1494)*(L1494))*(L1494),0.000001)</f>
        <v>#VALUE!</v>
      </c>
      <c r="P1494" t="e">
        <f t="shared" ref="P1494:P1533" ca="1" si="732">E1494+L1494</f>
        <v>#VALUE!</v>
      </c>
      <c r="Q1494" t="e">
        <f t="shared" ref="Q1494:Q1557" ca="1" si="733">P1494+((ABS(K1494)/MAX(((F1494)+(G1494)*(L1494))*(L1494),0.000001))^2)/(2*$I$5)</f>
        <v>#VALUE!</v>
      </c>
      <c r="R1494" t="e">
        <f t="shared" ref="R1494:R1533" ca="1" si="734">((ABS(K1494)*$D$6)/(MAX(((F1494)+(G1494)*(L1494))*(L1494),0.000001)*MAX(((((F1494)+(G1494)*(L1494))*(L1494))/MAX((F1494)+2*(L1494)*SQRT(1+(G1494)^2),0.000001))^(2/3),0.000001)))^2</f>
        <v>#VALUE!</v>
      </c>
      <c r="S1494" t="e">
        <f t="shared" ref="S1494:S1533" ca="1" si="735">ABS(ABS(K1494)/MAX(((F1494)+(G1494)*(L1494))*(L1494),0.000001))/SQRT($I$5*MAX((((F1494)+(G1494)*(L1494))*(L1494))/MAX((F1494)+2*(G1494)*(L1494),0.000001),0.000001))</f>
        <v>#VALUE!</v>
      </c>
      <c r="T1494" t="e">
        <f t="shared" ref="T1494:T1533" ca="1" si="736">((F1494)*(L1494)^2)/2+(G1494)*(L1494)^3/3+(ABS(K1494)^2)/($I$5*MAX(((F1494)+(G1494)*(L1494))*(L1494),0.000001))</f>
        <v>#VALUE!</v>
      </c>
      <c r="U1494" t="e">
        <f t="shared" ca="1" si="726"/>
        <v>#VALUE!</v>
      </c>
      <c r="V1494" t="e">
        <f t="shared" ca="1" si="727"/>
        <v>#VALUE!</v>
      </c>
      <c r="W1494" t="e">
        <f t="shared" ref="W1494:W1532" ca="1" si="737">IF($D$20=0,W1495,IF(AG1495=0,W1495,IF(W1494=0,W1495,IF(ABS(AF1494)&gt;$D$19,MAX($D$16,W1494+((AF1494)*$D$18*IF((AD1494)&lt;1,1,-1))),W1494))))</f>
        <v>#VALUE!</v>
      </c>
      <c r="X1494" t="e">
        <f t="shared" ref="X1494:X1557" ca="1" si="738">((F1494)+(G1494)*(W1494))*(W1494)</f>
        <v>#VALUE!</v>
      </c>
      <c r="Y1494" t="e">
        <f t="shared" ref="Y1494:Y1533" ca="1" si="739">(((F1494)+(G1494)*(W1494))*(W1494))/MAX((F1494)+2*(W1494)*SQRT(1+(G1494)^2),0.000001)</f>
        <v>#VALUE!</v>
      </c>
      <c r="Z1494" t="e">
        <f t="shared" ref="Z1494:Z1533" ca="1" si="740">ABS(K1494)/MAX(((F1494)+(G1494)*(W1494))*(W1494),0.000001)</f>
        <v>#VALUE!</v>
      </c>
      <c r="AA1494" t="e">
        <f t="shared" ref="AA1494:AA1533" ca="1" si="741">E1494+W1494</f>
        <v>#VALUE!</v>
      </c>
      <c r="AB1494" t="e">
        <f t="shared" ref="AB1494:AB1557" ca="1" si="742">AA1494+((ABS(K1494)/MAX(((F1494)+(G1494)*(W1494))*(W1494),0.000001))^2)/(2*$I$5)</f>
        <v>#VALUE!</v>
      </c>
      <c r="AC1494" t="e">
        <f t="shared" ref="AC1494:AC1533" ca="1" si="743">((ABS(K1494)*$D$6)/(MAX(((F1494)+(G1494)*(W1494))*(W1494),0.000001)*MAX(((((F1494)+(G1494)*(W1494))*(W1494))/MAX((F1494)+2*(W1494)*SQRT(1+(G1494)^2),0.000001))^(2/3),0.000001)))^2</f>
        <v>#VALUE!</v>
      </c>
      <c r="AD1494" t="e">
        <f t="shared" ref="AD1494:AD1533" ca="1" si="744">ABS(ABS(K1494)/MAX(((F1494)+(G1494)*(W1494))*(W1494),0.000001))/SQRT($I$5*MAX((((F1494)+(G1494)*(W1494))*(W1494))/MAX((F1494)+2*(G1494)*(W1494),0.000001),0.000001))</f>
        <v>#VALUE!</v>
      </c>
      <c r="AE1494" t="e">
        <f t="shared" ref="AE1494:AE1533" ca="1" si="745">((F1494)*(W1494)^2)/2+(G1494)*(W1494)^3/3+(ABS(K1494)^2)/($I$5*MAX(((F1494)+(G1494)*(W1494))*(W1494),0.000001))</f>
        <v>#VALUE!</v>
      </c>
      <c r="AF1494" t="e">
        <f t="shared" ref="AF1494:AF1532" ca="1" si="746">AB1495+(((AC1494+AC1495)/2)*J1495)+(IF(Z1494&gt;Z1495,$D$8*((Z1494^2-Z1495^2)/(2*$I$5)),$D$9*((Z1495^2-Z1494^2)/(2*$I$5)))+($D$10*(ABS(I1495)/90)*(MAX(Z1494^2,Z1495^2)/(2*$I$5))))-AB1494</f>
        <v>#VALUE!</v>
      </c>
      <c r="AG1494" t="e">
        <f t="shared" ref="AG1494:AG1557" ca="1" si="747">IF(ABS(AF1494)&lt;$D$19,1,0)</f>
        <v>#VALUE!</v>
      </c>
      <c r="AH1494" t="e">
        <f ca="1">IF(V32="Supercritical",L1494,IF(V32="Subcritical",W1494,IF(AND(V1494=1,AG1494=1),IF(T1494&gt;=AE1494,L1494,W1494),IF(V1494=1,L1494,IF(AG1494=1,W1494,MAX($D$16,POWER((ABS(K1494)^2)/($I$5*MAX(F1494,0.1)^2),1/3)))))))</f>
        <v>#VALUE!</v>
      </c>
      <c r="AI1494" t="e">
        <f t="shared" ref="AI1494:AI1557" ca="1" si="748">E1494+AH1494</f>
        <v>#VALUE!</v>
      </c>
      <c r="AJ1494" t="e">
        <f t="shared" ref="AJ1494:AJ1557" ca="1" si="749">AI1494+((ABS(K1494)/MAX(((F1494)+(G1494)*(AH1494))*(AH1494),0.000001))^2)/(2*$I$5)</f>
        <v>#VALUE!</v>
      </c>
      <c r="AM1494">
        <v>0</v>
      </c>
      <c r="AN1494">
        <v>0</v>
      </c>
      <c r="AO1494">
        <f t="shared" ref="AO1494:AO1557" si="750">AM1494+AN1494</f>
        <v>0</v>
      </c>
      <c r="AP1494">
        <f t="shared" si="728"/>
        <v>0</v>
      </c>
      <c r="AQ1494" t="e">
        <f t="shared" ref="AQ1494:AQ1533" ca="1" si="751">ABS(ABS(K1494)/MAX(((F1494)+(G1494)*(AH1494))*(AH1494),0.000001))/SQRT($I$5*MAX((((F1494)+(G1494)*(AH1494))*(AH1494))/MAX((F1494)+2*(G1494)*(AH1494),0.000001),0.000001))</f>
        <v>#VALUE!</v>
      </c>
      <c r="AR1494" t="e">
        <f t="shared" ref="AR1494:AR1557" ca="1" si="752">IF(AQ1494&lt;1,"Subcritical","Supercritical")</f>
        <v>#VALUE!</v>
      </c>
      <c r="AS1494" t="e">
        <f t="shared" ref="AS1494:AS1533" ca="1" si="753">((ABS(K1494)*$D$6)/(MAX(((F1494)+(G1494)*(AH1494))*(AH1494),0.000001)*MAX(((((F1494)+(G1494)*(AH1494))*(AH1494))/MAX((F1494)+2*(AH1494)*SQRT(1+(G1494)^2),0.000001))^(2/3),0.000001)))^2</f>
        <v>#VALUE!</v>
      </c>
    </row>
    <row r="1495" spans="1:45" x14ac:dyDescent="0.35">
      <c r="A1495">
        <v>1346</v>
      </c>
      <c r="B1495">
        <v>1344.8889999999999</v>
      </c>
      <c r="C1495">
        <v>616066.58700000006</v>
      </c>
      <c r="D1495">
        <v>3096659.3569999998</v>
      </c>
      <c r="E1495">
        <v>631.8895</v>
      </c>
      <c r="F1495">
        <v>5.2</v>
      </c>
      <c r="G1495">
        <v>0</v>
      </c>
      <c r="H1495" t="s">
        <v>191</v>
      </c>
      <c r="I1495">
        <v>5.7000000000000002E-2</v>
      </c>
      <c r="J1495">
        <f t="shared" ref="J1495:J1533" si="754">B1495-B1494</f>
        <v>1</v>
      </c>
      <c r="K1495">
        <f t="shared" ref="K1495:K1533" si="755">MAX(0,K1494-AO1494)</f>
        <v>51</v>
      </c>
      <c r="L1495" t="e">
        <f t="shared" ref="L1495:L1533" ca="1" si="756">IF($D$20=0,L1494,IF(V1494=0,L1494,IF(L1495=0,L1494,IF(ABS(U1495)&gt;$D$19,MAX($D$16,L1495+((U1495)*$D$18*IF((S1495)&lt;1,1,-1))),L1495))))</f>
        <v>#VALUE!</v>
      </c>
      <c r="M1495" t="e">
        <f t="shared" ca="1" si="729"/>
        <v>#VALUE!</v>
      </c>
      <c r="N1495" t="e">
        <f t="shared" ca="1" si="730"/>
        <v>#VALUE!</v>
      </c>
      <c r="O1495" t="e">
        <f t="shared" ca="1" si="731"/>
        <v>#VALUE!</v>
      </c>
      <c r="P1495" t="e">
        <f t="shared" ca="1" si="732"/>
        <v>#VALUE!</v>
      </c>
      <c r="Q1495" t="e">
        <f t="shared" ca="1" si="733"/>
        <v>#VALUE!</v>
      </c>
      <c r="R1495" t="e">
        <f t="shared" ca="1" si="734"/>
        <v>#VALUE!</v>
      </c>
      <c r="S1495" t="e">
        <f t="shared" ca="1" si="735"/>
        <v>#VALUE!</v>
      </c>
      <c r="T1495" t="e">
        <f t="shared" ca="1" si="736"/>
        <v>#VALUE!</v>
      </c>
      <c r="U1495" t="e">
        <f t="shared" ref="U1495:U1533" ca="1" si="757">Q1494-(((R1494+R1495)/2)*J1495)-(IF(O1494&gt;O1495,$D$8*((O1494^2-O1495^2)/(2*$I$5)),$D$9*((O1495^2-O1494^2)/(2*$I$5)))+($D$10*(ABS(I1495)/90)*(MAX(O1494^2,O1495^2)/(2*$I$5))))-Q1495</f>
        <v>#VALUE!</v>
      </c>
      <c r="V1495" t="e">
        <f t="shared" ref="V1495:V1558" ca="1" si="758">IF(ABS(U1495)&lt;$D$19,1,0)</f>
        <v>#VALUE!</v>
      </c>
      <c r="W1495" t="e">
        <f t="shared" ca="1" si="737"/>
        <v>#VALUE!</v>
      </c>
      <c r="X1495" t="e">
        <f t="shared" ca="1" si="738"/>
        <v>#VALUE!</v>
      </c>
      <c r="Y1495" t="e">
        <f t="shared" ca="1" si="739"/>
        <v>#VALUE!</v>
      </c>
      <c r="Z1495" t="e">
        <f t="shared" ca="1" si="740"/>
        <v>#VALUE!</v>
      </c>
      <c r="AA1495" t="e">
        <f t="shared" ca="1" si="741"/>
        <v>#VALUE!</v>
      </c>
      <c r="AB1495" t="e">
        <f t="shared" ca="1" si="742"/>
        <v>#VALUE!</v>
      </c>
      <c r="AC1495" t="e">
        <f t="shared" ca="1" si="743"/>
        <v>#VALUE!</v>
      </c>
      <c r="AD1495" t="e">
        <f t="shared" ca="1" si="744"/>
        <v>#VALUE!</v>
      </c>
      <c r="AE1495" t="e">
        <f t="shared" ca="1" si="745"/>
        <v>#VALUE!</v>
      </c>
      <c r="AF1495" t="e">
        <f t="shared" ca="1" si="746"/>
        <v>#VALUE!</v>
      </c>
      <c r="AG1495" t="e">
        <f t="shared" ca="1" si="747"/>
        <v>#VALUE!</v>
      </c>
      <c r="AH1495" t="e">
        <f ca="1">IF(V32="Supercritical",L1495,IF(V32="Subcritical",W1495,IF(AND(V1495=1,AG1495=1),IF(T1495&gt;=AE1495,L1495,W1495),IF(V1495=1,L1495,IF(AG1495=1,W1495,MAX($D$16,POWER((ABS(K1495)^2)/($I$5*MAX(F1495,0.1)^2),1/3)))))))</f>
        <v>#VALUE!</v>
      </c>
      <c r="AI1495" t="e">
        <f t="shared" ca="1" si="748"/>
        <v>#VALUE!</v>
      </c>
      <c r="AJ1495" t="e">
        <f t="shared" ca="1" si="749"/>
        <v>#VALUE!</v>
      </c>
      <c r="AM1495">
        <v>0</v>
      </c>
      <c r="AN1495">
        <v>0</v>
      </c>
      <c r="AO1495">
        <f t="shared" si="750"/>
        <v>0</v>
      </c>
      <c r="AP1495">
        <f t="shared" ref="AP1495:AP1558" si="759">AP1494+AO1495</f>
        <v>0</v>
      </c>
      <c r="AQ1495" t="e">
        <f t="shared" ca="1" si="751"/>
        <v>#VALUE!</v>
      </c>
      <c r="AR1495" t="e">
        <f t="shared" ca="1" si="752"/>
        <v>#VALUE!</v>
      </c>
      <c r="AS1495" t="e">
        <f t="shared" ca="1" si="753"/>
        <v>#VALUE!</v>
      </c>
    </row>
    <row r="1496" spans="1:45" x14ac:dyDescent="0.35">
      <c r="A1496">
        <v>1347</v>
      </c>
      <c r="B1496">
        <v>1345.8889999999999</v>
      </c>
      <c r="C1496">
        <v>616066.54399999999</v>
      </c>
      <c r="D1496">
        <v>3096658.358</v>
      </c>
      <c r="E1496">
        <v>631.88900000000001</v>
      </c>
      <c r="F1496">
        <v>5.2</v>
      </c>
      <c r="G1496">
        <v>0</v>
      </c>
      <c r="H1496" t="s">
        <v>191</v>
      </c>
      <c r="I1496">
        <v>5.7000000000000002E-2</v>
      </c>
      <c r="J1496">
        <f t="shared" si="754"/>
        <v>1</v>
      </c>
      <c r="K1496">
        <f t="shared" si="755"/>
        <v>51</v>
      </c>
      <c r="L1496" t="e">
        <f t="shared" ca="1" si="756"/>
        <v>#VALUE!</v>
      </c>
      <c r="M1496" t="e">
        <f t="shared" ca="1" si="729"/>
        <v>#VALUE!</v>
      </c>
      <c r="N1496" t="e">
        <f t="shared" ca="1" si="730"/>
        <v>#VALUE!</v>
      </c>
      <c r="O1496" t="e">
        <f t="shared" ca="1" si="731"/>
        <v>#VALUE!</v>
      </c>
      <c r="P1496" t="e">
        <f t="shared" ca="1" si="732"/>
        <v>#VALUE!</v>
      </c>
      <c r="Q1496" t="e">
        <f t="shared" ca="1" si="733"/>
        <v>#VALUE!</v>
      </c>
      <c r="R1496" t="e">
        <f t="shared" ca="1" si="734"/>
        <v>#VALUE!</v>
      </c>
      <c r="S1496" t="e">
        <f t="shared" ca="1" si="735"/>
        <v>#VALUE!</v>
      </c>
      <c r="T1496" t="e">
        <f t="shared" ca="1" si="736"/>
        <v>#VALUE!</v>
      </c>
      <c r="U1496" t="e">
        <f t="shared" ca="1" si="757"/>
        <v>#VALUE!</v>
      </c>
      <c r="V1496" t="e">
        <f t="shared" ca="1" si="758"/>
        <v>#VALUE!</v>
      </c>
      <c r="W1496" t="e">
        <f t="shared" ca="1" si="737"/>
        <v>#VALUE!</v>
      </c>
      <c r="X1496" t="e">
        <f t="shared" ca="1" si="738"/>
        <v>#VALUE!</v>
      </c>
      <c r="Y1496" t="e">
        <f t="shared" ca="1" si="739"/>
        <v>#VALUE!</v>
      </c>
      <c r="Z1496" t="e">
        <f t="shared" ca="1" si="740"/>
        <v>#VALUE!</v>
      </c>
      <c r="AA1496" t="e">
        <f t="shared" ca="1" si="741"/>
        <v>#VALUE!</v>
      </c>
      <c r="AB1496" t="e">
        <f t="shared" ca="1" si="742"/>
        <v>#VALUE!</v>
      </c>
      <c r="AC1496" t="e">
        <f t="shared" ca="1" si="743"/>
        <v>#VALUE!</v>
      </c>
      <c r="AD1496" t="e">
        <f t="shared" ca="1" si="744"/>
        <v>#VALUE!</v>
      </c>
      <c r="AE1496" t="e">
        <f t="shared" ca="1" si="745"/>
        <v>#VALUE!</v>
      </c>
      <c r="AF1496" t="e">
        <f t="shared" ca="1" si="746"/>
        <v>#VALUE!</v>
      </c>
      <c r="AG1496" t="e">
        <f t="shared" ca="1" si="747"/>
        <v>#VALUE!</v>
      </c>
      <c r="AH1496" t="e">
        <f ca="1">IF(V32="Supercritical",L1496,IF(V32="Subcritical",W1496,IF(AND(V1496=1,AG1496=1),IF(T1496&gt;=AE1496,L1496,W1496),IF(V1496=1,L1496,IF(AG1496=1,W1496,MAX($D$16,POWER((ABS(K1496)^2)/($I$5*MAX(F1496,0.1)^2),1/3)))))))</f>
        <v>#VALUE!</v>
      </c>
      <c r="AI1496" t="e">
        <f t="shared" ca="1" si="748"/>
        <v>#VALUE!</v>
      </c>
      <c r="AJ1496" t="e">
        <f t="shared" ca="1" si="749"/>
        <v>#VALUE!</v>
      </c>
      <c r="AM1496">
        <v>0</v>
      </c>
      <c r="AN1496">
        <v>0</v>
      </c>
      <c r="AO1496">
        <f t="shared" si="750"/>
        <v>0</v>
      </c>
      <c r="AP1496">
        <f t="shared" si="759"/>
        <v>0</v>
      </c>
      <c r="AQ1496" t="e">
        <f t="shared" ca="1" si="751"/>
        <v>#VALUE!</v>
      </c>
      <c r="AR1496" t="e">
        <f t="shared" ca="1" si="752"/>
        <v>#VALUE!</v>
      </c>
      <c r="AS1496" t="e">
        <f t="shared" ca="1" si="753"/>
        <v>#VALUE!</v>
      </c>
    </row>
    <row r="1497" spans="1:45" x14ac:dyDescent="0.35">
      <c r="A1497">
        <v>1348</v>
      </c>
      <c r="B1497">
        <v>1346.8889999999999</v>
      </c>
      <c r="C1497">
        <v>616066.50199999998</v>
      </c>
      <c r="D1497">
        <v>3096657.3590000002</v>
      </c>
      <c r="E1497">
        <v>631.88850000000002</v>
      </c>
      <c r="F1497">
        <v>5.2</v>
      </c>
      <c r="G1497">
        <v>0</v>
      </c>
      <c r="H1497" t="s">
        <v>191</v>
      </c>
      <c r="I1497">
        <v>0</v>
      </c>
      <c r="J1497">
        <f t="shared" si="754"/>
        <v>1</v>
      </c>
      <c r="K1497">
        <f t="shared" si="755"/>
        <v>51</v>
      </c>
      <c r="L1497" t="e">
        <f t="shared" ca="1" si="756"/>
        <v>#VALUE!</v>
      </c>
      <c r="M1497" t="e">
        <f t="shared" ca="1" si="729"/>
        <v>#VALUE!</v>
      </c>
      <c r="N1497" t="e">
        <f t="shared" ca="1" si="730"/>
        <v>#VALUE!</v>
      </c>
      <c r="O1497" t="e">
        <f t="shared" ca="1" si="731"/>
        <v>#VALUE!</v>
      </c>
      <c r="P1497" t="e">
        <f t="shared" ca="1" si="732"/>
        <v>#VALUE!</v>
      </c>
      <c r="Q1497" t="e">
        <f t="shared" ca="1" si="733"/>
        <v>#VALUE!</v>
      </c>
      <c r="R1497" t="e">
        <f t="shared" ca="1" si="734"/>
        <v>#VALUE!</v>
      </c>
      <c r="S1497" t="e">
        <f t="shared" ca="1" si="735"/>
        <v>#VALUE!</v>
      </c>
      <c r="T1497" t="e">
        <f t="shared" ca="1" si="736"/>
        <v>#VALUE!</v>
      </c>
      <c r="U1497" t="e">
        <f t="shared" ca="1" si="757"/>
        <v>#VALUE!</v>
      </c>
      <c r="V1497" t="e">
        <f t="shared" ca="1" si="758"/>
        <v>#VALUE!</v>
      </c>
      <c r="W1497" t="e">
        <f t="shared" ca="1" si="737"/>
        <v>#VALUE!</v>
      </c>
      <c r="X1497" t="e">
        <f t="shared" ca="1" si="738"/>
        <v>#VALUE!</v>
      </c>
      <c r="Y1497" t="e">
        <f t="shared" ca="1" si="739"/>
        <v>#VALUE!</v>
      </c>
      <c r="Z1497" t="e">
        <f t="shared" ca="1" si="740"/>
        <v>#VALUE!</v>
      </c>
      <c r="AA1497" t="e">
        <f t="shared" ca="1" si="741"/>
        <v>#VALUE!</v>
      </c>
      <c r="AB1497" t="e">
        <f t="shared" ca="1" si="742"/>
        <v>#VALUE!</v>
      </c>
      <c r="AC1497" t="e">
        <f t="shared" ca="1" si="743"/>
        <v>#VALUE!</v>
      </c>
      <c r="AD1497" t="e">
        <f t="shared" ca="1" si="744"/>
        <v>#VALUE!</v>
      </c>
      <c r="AE1497" t="e">
        <f t="shared" ca="1" si="745"/>
        <v>#VALUE!</v>
      </c>
      <c r="AF1497" t="e">
        <f t="shared" ca="1" si="746"/>
        <v>#VALUE!</v>
      </c>
      <c r="AG1497" t="e">
        <f t="shared" ca="1" si="747"/>
        <v>#VALUE!</v>
      </c>
      <c r="AH1497" t="e">
        <f ca="1">IF(V32="Supercritical",L1497,IF(V32="Subcritical",W1497,IF(AND(V1497=1,AG1497=1),IF(T1497&gt;=AE1497,L1497,W1497),IF(V1497=1,L1497,IF(AG1497=1,W1497,MAX($D$16,POWER((ABS(K1497)^2)/($I$5*MAX(F1497,0.1)^2),1/3)))))))</f>
        <v>#VALUE!</v>
      </c>
      <c r="AI1497" t="e">
        <f t="shared" ca="1" si="748"/>
        <v>#VALUE!</v>
      </c>
      <c r="AJ1497" t="e">
        <f t="shared" ca="1" si="749"/>
        <v>#VALUE!</v>
      </c>
      <c r="AM1497">
        <v>0</v>
      </c>
      <c r="AN1497">
        <v>0</v>
      </c>
      <c r="AO1497">
        <f t="shared" si="750"/>
        <v>0</v>
      </c>
      <c r="AP1497">
        <f t="shared" si="759"/>
        <v>0</v>
      </c>
      <c r="AQ1497" t="e">
        <f t="shared" ca="1" si="751"/>
        <v>#VALUE!</v>
      </c>
      <c r="AR1497" t="e">
        <f t="shared" ca="1" si="752"/>
        <v>#VALUE!</v>
      </c>
      <c r="AS1497" t="e">
        <f t="shared" ca="1" si="753"/>
        <v>#VALUE!</v>
      </c>
    </row>
    <row r="1498" spans="1:45" x14ac:dyDescent="0.35">
      <c r="A1498">
        <v>1349</v>
      </c>
      <c r="B1498">
        <v>1347.8889999999999</v>
      </c>
      <c r="C1498">
        <v>616066.46</v>
      </c>
      <c r="D1498">
        <v>3096656.36</v>
      </c>
      <c r="E1498">
        <v>631.88800000000003</v>
      </c>
      <c r="F1498">
        <v>5.2</v>
      </c>
      <c r="G1498">
        <v>0</v>
      </c>
      <c r="H1498" t="s">
        <v>191</v>
      </c>
      <c r="I1498">
        <v>0</v>
      </c>
      <c r="J1498">
        <f t="shared" si="754"/>
        <v>1</v>
      </c>
      <c r="K1498">
        <f t="shared" si="755"/>
        <v>51</v>
      </c>
      <c r="L1498" t="e">
        <f t="shared" ca="1" si="756"/>
        <v>#VALUE!</v>
      </c>
      <c r="M1498" t="e">
        <f t="shared" ca="1" si="729"/>
        <v>#VALUE!</v>
      </c>
      <c r="N1498" t="e">
        <f t="shared" ca="1" si="730"/>
        <v>#VALUE!</v>
      </c>
      <c r="O1498" t="e">
        <f t="shared" ca="1" si="731"/>
        <v>#VALUE!</v>
      </c>
      <c r="P1498" t="e">
        <f t="shared" ca="1" si="732"/>
        <v>#VALUE!</v>
      </c>
      <c r="Q1498" t="e">
        <f t="shared" ca="1" si="733"/>
        <v>#VALUE!</v>
      </c>
      <c r="R1498" t="e">
        <f t="shared" ca="1" si="734"/>
        <v>#VALUE!</v>
      </c>
      <c r="S1498" t="e">
        <f t="shared" ca="1" si="735"/>
        <v>#VALUE!</v>
      </c>
      <c r="T1498" t="e">
        <f t="shared" ca="1" si="736"/>
        <v>#VALUE!</v>
      </c>
      <c r="U1498" t="e">
        <f t="shared" ca="1" si="757"/>
        <v>#VALUE!</v>
      </c>
      <c r="V1498" t="e">
        <f t="shared" ca="1" si="758"/>
        <v>#VALUE!</v>
      </c>
      <c r="W1498" t="e">
        <f t="shared" ca="1" si="737"/>
        <v>#VALUE!</v>
      </c>
      <c r="X1498" t="e">
        <f t="shared" ca="1" si="738"/>
        <v>#VALUE!</v>
      </c>
      <c r="Y1498" t="e">
        <f t="shared" ca="1" si="739"/>
        <v>#VALUE!</v>
      </c>
      <c r="Z1498" t="e">
        <f t="shared" ca="1" si="740"/>
        <v>#VALUE!</v>
      </c>
      <c r="AA1498" t="e">
        <f t="shared" ca="1" si="741"/>
        <v>#VALUE!</v>
      </c>
      <c r="AB1498" t="e">
        <f t="shared" ca="1" si="742"/>
        <v>#VALUE!</v>
      </c>
      <c r="AC1498" t="e">
        <f t="shared" ca="1" si="743"/>
        <v>#VALUE!</v>
      </c>
      <c r="AD1498" t="e">
        <f t="shared" ca="1" si="744"/>
        <v>#VALUE!</v>
      </c>
      <c r="AE1498" t="e">
        <f t="shared" ca="1" si="745"/>
        <v>#VALUE!</v>
      </c>
      <c r="AF1498" t="e">
        <f t="shared" ca="1" si="746"/>
        <v>#VALUE!</v>
      </c>
      <c r="AG1498" t="e">
        <f t="shared" ca="1" si="747"/>
        <v>#VALUE!</v>
      </c>
      <c r="AH1498" t="e">
        <f ca="1">IF(V32="Supercritical",L1498,IF(V32="Subcritical",W1498,IF(AND(V1498=1,AG1498=1),IF(T1498&gt;=AE1498,L1498,W1498),IF(V1498=1,L1498,IF(AG1498=1,W1498,MAX($D$16,POWER((ABS(K1498)^2)/($I$5*MAX(F1498,0.1)^2),1/3)))))))</f>
        <v>#VALUE!</v>
      </c>
      <c r="AI1498" t="e">
        <f t="shared" ca="1" si="748"/>
        <v>#VALUE!</v>
      </c>
      <c r="AJ1498" t="e">
        <f t="shared" ca="1" si="749"/>
        <v>#VALUE!</v>
      </c>
      <c r="AM1498">
        <v>0</v>
      </c>
      <c r="AN1498">
        <v>0</v>
      </c>
      <c r="AO1498">
        <f t="shared" si="750"/>
        <v>0</v>
      </c>
      <c r="AP1498">
        <f t="shared" si="759"/>
        <v>0</v>
      </c>
      <c r="AQ1498" t="e">
        <f t="shared" ca="1" si="751"/>
        <v>#VALUE!</v>
      </c>
      <c r="AR1498" t="e">
        <f t="shared" ca="1" si="752"/>
        <v>#VALUE!</v>
      </c>
      <c r="AS1498" t="e">
        <f t="shared" ca="1" si="753"/>
        <v>#VALUE!</v>
      </c>
    </row>
    <row r="1499" spans="1:45" x14ac:dyDescent="0.35">
      <c r="A1499">
        <v>1350</v>
      </c>
      <c r="B1499">
        <v>1348.8889999999999</v>
      </c>
      <c r="C1499">
        <v>616066.41799999995</v>
      </c>
      <c r="D1499">
        <v>3096655.361</v>
      </c>
      <c r="E1499">
        <v>631.88750000000005</v>
      </c>
      <c r="F1499">
        <v>5.2</v>
      </c>
      <c r="G1499">
        <v>0</v>
      </c>
      <c r="H1499" t="s">
        <v>191</v>
      </c>
      <c r="I1499">
        <v>5.5E-2</v>
      </c>
      <c r="J1499">
        <f t="shared" si="754"/>
        <v>1</v>
      </c>
      <c r="K1499">
        <f t="shared" si="755"/>
        <v>51</v>
      </c>
      <c r="L1499" t="e">
        <f t="shared" ca="1" si="756"/>
        <v>#VALUE!</v>
      </c>
      <c r="M1499" t="e">
        <f t="shared" ca="1" si="729"/>
        <v>#VALUE!</v>
      </c>
      <c r="N1499" t="e">
        <f t="shared" ca="1" si="730"/>
        <v>#VALUE!</v>
      </c>
      <c r="O1499" t="e">
        <f t="shared" ca="1" si="731"/>
        <v>#VALUE!</v>
      </c>
      <c r="P1499" t="e">
        <f t="shared" ca="1" si="732"/>
        <v>#VALUE!</v>
      </c>
      <c r="Q1499" t="e">
        <f t="shared" ca="1" si="733"/>
        <v>#VALUE!</v>
      </c>
      <c r="R1499" t="e">
        <f t="shared" ca="1" si="734"/>
        <v>#VALUE!</v>
      </c>
      <c r="S1499" t="e">
        <f t="shared" ca="1" si="735"/>
        <v>#VALUE!</v>
      </c>
      <c r="T1499" t="e">
        <f t="shared" ca="1" si="736"/>
        <v>#VALUE!</v>
      </c>
      <c r="U1499" t="e">
        <f t="shared" ca="1" si="757"/>
        <v>#VALUE!</v>
      </c>
      <c r="V1499" t="e">
        <f t="shared" ca="1" si="758"/>
        <v>#VALUE!</v>
      </c>
      <c r="W1499" t="e">
        <f t="shared" ca="1" si="737"/>
        <v>#VALUE!</v>
      </c>
      <c r="X1499" t="e">
        <f t="shared" ca="1" si="738"/>
        <v>#VALUE!</v>
      </c>
      <c r="Y1499" t="e">
        <f t="shared" ca="1" si="739"/>
        <v>#VALUE!</v>
      </c>
      <c r="Z1499" t="e">
        <f t="shared" ca="1" si="740"/>
        <v>#VALUE!</v>
      </c>
      <c r="AA1499" t="e">
        <f t="shared" ca="1" si="741"/>
        <v>#VALUE!</v>
      </c>
      <c r="AB1499" t="e">
        <f t="shared" ca="1" si="742"/>
        <v>#VALUE!</v>
      </c>
      <c r="AC1499" t="e">
        <f t="shared" ca="1" si="743"/>
        <v>#VALUE!</v>
      </c>
      <c r="AD1499" t="e">
        <f t="shared" ca="1" si="744"/>
        <v>#VALUE!</v>
      </c>
      <c r="AE1499" t="e">
        <f t="shared" ca="1" si="745"/>
        <v>#VALUE!</v>
      </c>
      <c r="AF1499" t="e">
        <f t="shared" ca="1" si="746"/>
        <v>#VALUE!</v>
      </c>
      <c r="AG1499" t="e">
        <f t="shared" ca="1" si="747"/>
        <v>#VALUE!</v>
      </c>
      <c r="AH1499" t="e">
        <f ca="1">IF(V32="Supercritical",L1499,IF(V32="Subcritical",W1499,IF(AND(V1499=1,AG1499=1),IF(T1499&gt;=AE1499,L1499,W1499),IF(V1499=1,L1499,IF(AG1499=1,W1499,MAX($D$16,POWER((ABS(K1499)^2)/($I$5*MAX(F1499,0.1)^2),1/3)))))))</f>
        <v>#VALUE!</v>
      </c>
      <c r="AI1499" t="e">
        <f t="shared" ca="1" si="748"/>
        <v>#VALUE!</v>
      </c>
      <c r="AJ1499" t="e">
        <f t="shared" ca="1" si="749"/>
        <v>#VALUE!</v>
      </c>
      <c r="AM1499">
        <v>0</v>
      </c>
      <c r="AN1499">
        <v>0</v>
      </c>
      <c r="AO1499">
        <f t="shared" si="750"/>
        <v>0</v>
      </c>
      <c r="AP1499">
        <f t="shared" si="759"/>
        <v>0</v>
      </c>
      <c r="AQ1499" t="e">
        <f t="shared" ca="1" si="751"/>
        <v>#VALUE!</v>
      </c>
      <c r="AR1499" t="e">
        <f t="shared" ca="1" si="752"/>
        <v>#VALUE!</v>
      </c>
      <c r="AS1499" t="e">
        <f t="shared" ca="1" si="753"/>
        <v>#VALUE!</v>
      </c>
    </row>
    <row r="1500" spans="1:45" x14ac:dyDescent="0.35">
      <c r="A1500">
        <v>1351</v>
      </c>
      <c r="B1500">
        <v>1349.89</v>
      </c>
      <c r="C1500">
        <v>616066.375</v>
      </c>
      <c r="D1500">
        <v>3096654.361</v>
      </c>
      <c r="E1500">
        <v>631.88699999999994</v>
      </c>
      <c r="F1500">
        <v>5.2</v>
      </c>
      <c r="G1500">
        <v>0</v>
      </c>
      <c r="H1500" t="s">
        <v>191</v>
      </c>
      <c r="I1500">
        <v>5.5E-2</v>
      </c>
      <c r="J1500">
        <f t="shared" si="754"/>
        <v>1.0010000000002037</v>
      </c>
      <c r="K1500">
        <f t="shared" si="755"/>
        <v>51</v>
      </c>
      <c r="L1500" t="e">
        <f t="shared" ca="1" si="756"/>
        <v>#VALUE!</v>
      </c>
      <c r="M1500" t="e">
        <f t="shared" ca="1" si="729"/>
        <v>#VALUE!</v>
      </c>
      <c r="N1500" t="e">
        <f t="shared" ca="1" si="730"/>
        <v>#VALUE!</v>
      </c>
      <c r="O1500" t="e">
        <f t="shared" ca="1" si="731"/>
        <v>#VALUE!</v>
      </c>
      <c r="P1500" t="e">
        <f t="shared" ca="1" si="732"/>
        <v>#VALUE!</v>
      </c>
      <c r="Q1500" t="e">
        <f t="shared" ca="1" si="733"/>
        <v>#VALUE!</v>
      </c>
      <c r="R1500" t="e">
        <f t="shared" ca="1" si="734"/>
        <v>#VALUE!</v>
      </c>
      <c r="S1500" t="e">
        <f t="shared" ca="1" si="735"/>
        <v>#VALUE!</v>
      </c>
      <c r="T1500" t="e">
        <f t="shared" ca="1" si="736"/>
        <v>#VALUE!</v>
      </c>
      <c r="U1500" t="e">
        <f t="shared" ca="1" si="757"/>
        <v>#VALUE!</v>
      </c>
      <c r="V1500" t="e">
        <f t="shared" ca="1" si="758"/>
        <v>#VALUE!</v>
      </c>
      <c r="W1500" t="e">
        <f t="shared" ca="1" si="737"/>
        <v>#VALUE!</v>
      </c>
      <c r="X1500" t="e">
        <f t="shared" ca="1" si="738"/>
        <v>#VALUE!</v>
      </c>
      <c r="Y1500" t="e">
        <f t="shared" ca="1" si="739"/>
        <v>#VALUE!</v>
      </c>
      <c r="Z1500" t="e">
        <f t="shared" ca="1" si="740"/>
        <v>#VALUE!</v>
      </c>
      <c r="AA1500" t="e">
        <f t="shared" ca="1" si="741"/>
        <v>#VALUE!</v>
      </c>
      <c r="AB1500" t="e">
        <f t="shared" ca="1" si="742"/>
        <v>#VALUE!</v>
      </c>
      <c r="AC1500" t="e">
        <f t="shared" ca="1" si="743"/>
        <v>#VALUE!</v>
      </c>
      <c r="AD1500" t="e">
        <f t="shared" ca="1" si="744"/>
        <v>#VALUE!</v>
      </c>
      <c r="AE1500" t="e">
        <f t="shared" ca="1" si="745"/>
        <v>#VALUE!</v>
      </c>
      <c r="AF1500" t="e">
        <f t="shared" ca="1" si="746"/>
        <v>#VALUE!</v>
      </c>
      <c r="AG1500" t="e">
        <f t="shared" ca="1" si="747"/>
        <v>#VALUE!</v>
      </c>
      <c r="AH1500" t="e">
        <f ca="1">IF(V32="Supercritical",L1500,IF(V32="Subcritical",W1500,IF(AND(V1500=1,AG1500=1),IF(T1500&gt;=AE1500,L1500,W1500),IF(V1500=1,L1500,IF(AG1500=1,W1500,MAX($D$16,POWER((ABS(K1500)^2)/($I$5*MAX(F1500,0.1)^2),1/3)))))))</f>
        <v>#VALUE!</v>
      </c>
      <c r="AI1500" t="e">
        <f t="shared" ca="1" si="748"/>
        <v>#VALUE!</v>
      </c>
      <c r="AJ1500" t="e">
        <f t="shared" ca="1" si="749"/>
        <v>#VALUE!</v>
      </c>
      <c r="AM1500">
        <v>0</v>
      </c>
      <c r="AN1500">
        <v>0</v>
      </c>
      <c r="AO1500">
        <f t="shared" si="750"/>
        <v>0</v>
      </c>
      <c r="AP1500">
        <f t="shared" si="759"/>
        <v>0</v>
      </c>
      <c r="AQ1500" t="e">
        <f t="shared" ca="1" si="751"/>
        <v>#VALUE!</v>
      </c>
      <c r="AR1500" t="e">
        <f t="shared" ca="1" si="752"/>
        <v>#VALUE!</v>
      </c>
      <c r="AS1500" t="e">
        <f t="shared" ca="1" si="753"/>
        <v>#VALUE!</v>
      </c>
    </row>
    <row r="1501" spans="1:45" x14ac:dyDescent="0.35">
      <c r="A1501">
        <v>1352</v>
      </c>
      <c r="B1501">
        <v>1350.89</v>
      </c>
      <c r="C1501">
        <v>616066.33299999998</v>
      </c>
      <c r="D1501">
        <v>3096653.3620000002</v>
      </c>
      <c r="E1501">
        <v>631.88649999999996</v>
      </c>
      <c r="F1501">
        <v>5.2</v>
      </c>
      <c r="G1501">
        <v>0</v>
      </c>
      <c r="H1501" t="s">
        <v>191</v>
      </c>
      <c r="I1501">
        <v>0</v>
      </c>
      <c r="J1501">
        <f t="shared" si="754"/>
        <v>1</v>
      </c>
      <c r="K1501">
        <f t="shared" si="755"/>
        <v>51</v>
      </c>
      <c r="L1501" t="e">
        <f t="shared" ca="1" si="756"/>
        <v>#VALUE!</v>
      </c>
      <c r="M1501" t="e">
        <f t="shared" ca="1" si="729"/>
        <v>#VALUE!</v>
      </c>
      <c r="N1501" t="e">
        <f t="shared" ca="1" si="730"/>
        <v>#VALUE!</v>
      </c>
      <c r="O1501" t="e">
        <f t="shared" ca="1" si="731"/>
        <v>#VALUE!</v>
      </c>
      <c r="P1501" t="e">
        <f t="shared" ca="1" si="732"/>
        <v>#VALUE!</v>
      </c>
      <c r="Q1501" t="e">
        <f t="shared" ca="1" si="733"/>
        <v>#VALUE!</v>
      </c>
      <c r="R1501" t="e">
        <f t="shared" ca="1" si="734"/>
        <v>#VALUE!</v>
      </c>
      <c r="S1501" t="e">
        <f t="shared" ca="1" si="735"/>
        <v>#VALUE!</v>
      </c>
      <c r="T1501" t="e">
        <f t="shared" ca="1" si="736"/>
        <v>#VALUE!</v>
      </c>
      <c r="U1501" t="e">
        <f t="shared" ca="1" si="757"/>
        <v>#VALUE!</v>
      </c>
      <c r="V1501" t="e">
        <f t="shared" ca="1" si="758"/>
        <v>#VALUE!</v>
      </c>
      <c r="W1501" t="e">
        <f t="shared" ca="1" si="737"/>
        <v>#VALUE!</v>
      </c>
      <c r="X1501" t="e">
        <f t="shared" ca="1" si="738"/>
        <v>#VALUE!</v>
      </c>
      <c r="Y1501" t="e">
        <f t="shared" ca="1" si="739"/>
        <v>#VALUE!</v>
      </c>
      <c r="Z1501" t="e">
        <f t="shared" ca="1" si="740"/>
        <v>#VALUE!</v>
      </c>
      <c r="AA1501" t="e">
        <f t="shared" ca="1" si="741"/>
        <v>#VALUE!</v>
      </c>
      <c r="AB1501" t="e">
        <f t="shared" ca="1" si="742"/>
        <v>#VALUE!</v>
      </c>
      <c r="AC1501" t="e">
        <f t="shared" ca="1" si="743"/>
        <v>#VALUE!</v>
      </c>
      <c r="AD1501" t="e">
        <f t="shared" ca="1" si="744"/>
        <v>#VALUE!</v>
      </c>
      <c r="AE1501" t="e">
        <f t="shared" ca="1" si="745"/>
        <v>#VALUE!</v>
      </c>
      <c r="AF1501" t="e">
        <f t="shared" ca="1" si="746"/>
        <v>#VALUE!</v>
      </c>
      <c r="AG1501" t="e">
        <f t="shared" ca="1" si="747"/>
        <v>#VALUE!</v>
      </c>
      <c r="AH1501" t="e">
        <f ca="1">IF(V32="Supercritical",L1501,IF(V32="Subcritical",W1501,IF(AND(V1501=1,AG1501=1),IF(T1501&gt;=AE1501,L1501,W1501),IF(V1501=1,L1501,IF(AG1501=1,W1501,MAX($D$16,POWER((ABS(K1501)^2)/($I$5*MAX(F1501,0.1)^2),1/3)))))))</f>
        <v>#VALUE!</v>
      </c>
      <c r="AI1501" t="e">
        <f t="shared" ca="1" si="748"/>
        <v>#VALUE!</v>
      </c>
      <c r="AJ1501" t="e">
        <f t="shared" ca="1" si="749"/>
        <v>#VALUE!</v>
      </c>
      <c r="AM1501">
        <v>0</v>
      </c>
      <c r="AN1501">
        <v>0</v>
      </c>
      <c r="AO1501">
        <f t="shared" si="750"/>
        <v>0</v>
      </c>
      <c r="AP1501">
        <f t="shared" si="759"/>
        <v>0</v>
      </c>
      <c r="AQ1501" t="e">
        <f t="shared" ca="1" si="751"/>
        <v>#VALUE!</v>
      </c>
      <c r="AR1501" t="e">
        <f t="shared" ca="1" si="752"/>
        <v>#VALUE!</v>
      </c>
      <c r="AS1501" t="e">
        <f t="shared" ca="1" si="753"/>
        <v>#VALUE!</v>
      </c>
    </row>
    <row r="1502" spans="1:45" x14ac:dyDescent="0.35">
      <c r="A1502">
        <v>1353</v>
      </c>
      <c r="B1502">
        <v>1351.8889999999999</v>
      </c>
      <c r="C1502">
        <v>616066.29099999997</v>
      </c>
      <c r="D1502">
        <v>3096652.3629999999</v>
      </c>
      <c r="E1502">
        <v>631.88599999999997</v>
      </c>
      <c r="F1502">
        <v>5.2</v>
      </c>
      <c r="G1502">
        <v>0</v>
      </c>
      <c r="H1502" t="s">
        <v>191</v>
      </c>
      <c r="I1502">
        <v>0</v>
      </c>
      <c r="J1502">
        <f t="shared" si="754"/>
        <v>0.99899999999979627</v>
      </c>
      <c r="K1502">
        <f t="shared" si="755"/>
        <v>51</v>
      </c>
      <c r="L1502" t="e">
        <f t="shared" ca="1" si="756"/>
        <v>#VALUE!</v>
      </c>
      <c r="M1502" t="e">
        <f t="shared" ca="1" si="729"/>
        <v>#VALUE!</v>
      </c>
      <c r="N1502" t="e">
        <f t="shared" ca="1" si="730"/>
        <v>#VALUE!</v>
      </c>
      <c r="O1502" t="e">
        <f t="shared" ca="1" si="731"/>
        <v>#VALUE!</v>
      </c>
      <c r="P1502" t="e">
        <f t="shared" ca="1" si="732"/>
        <v>#VALUE!</v>
      </c>
      <c r="Q1502" t="e">
        <f t="shared" ca="1" si="733"/>
        <v>#VALUE!</v>
      </c>
      <c r="R1502" t="e">
        <f t="shared" ca="1" si="734"/>
        <v>#VALUE!</v>
      </c>
      <c r="S1502" t="e">
        <f t="shared" ca="1" si="735"/>
        <v>#VALUE!</v>
      </c>
      <c r="T1502" t="e">
        <f t="shared" ca="1" si="736"/>
        <v>#VALUE!</v>
      </c>
      <c r="U1502" t="e">
        <f t="shared" ca="1" si="757"/>
        <v>#VALUE!</v>
      </c>
      <c r="V1502" t="e">
        <f t="shared" ca="1" si="758"/>
        <v>#VALUE!</v>
      </c>
      <c r="W1502" t="e">
        <f t="shared" ca="1" si="737"/>
        <v>#VALUE!</v>
      </c>
      <c r="X1502" t="e">
        <f t="shared" ca="1" si="738"/>
        <v>#VALUE!</v>
      </c>
      <c r="Y1502" t="e">
        <f t="shared" ca="1" si="739"/>
        <v>#VALUE!</v>
      </c>
      <c r="Z1502" t="e">
        <f t="shared" ca="1" si="740"/>
        <v>#VALUE!</v>
      </c>
      <c r="AA1502" t="e">
        <f t="shared" ca="1" si="741"/>
        <v>#VALUE!</v>
      </c>
      <c r="AB1502" t="e">
        <f t="shared" ca="1" si="742"/>
        <v>#VALUE!</v>
      </c>
      <c r="AC1502" t="e">
        <f t="shared" ca="1" si="743"/>
        <v>#VALUE!</v>
      </c>
      <c r="AD1502" t="e">
        <f t="shared" ca="1" si="744"/>
        <v>#VALUE!</v>
      </c>
      <c r="AE1502" t="e">
        <f t="shared" ca="1" si="745"/>
        <v>#VALUE!</v>
      </c>
      <c r="AF1502" t="e">
        <f t="shared" ca="1" si="746"/>
        <v>#VALUE!</v>
      </c>
      <c r="AG1502" t="e">
        <f t="shared" ca="1" si="747"/>
        <v>#VALUE!</v>
      </c>
      <c r="AH1502" t="e">
        <f ca="1">IF(V32="Supercritical",L1502,IF(V32="Subcritical",W1502,IF(AND(V1502=1,AG1502=1),IF(T1502&gt;=AE1502,L1502,W1502),IF(V1502=1,L1502,IF(AG1502=1,W1502,MAX($D$16,POWER((ABS(K1502)^2)/($I$5*MAX(F1502,0.1)^2),1/3)))))))</f>
        <v>#VALUE!</v>
      </c>
      <c r="AI1502" t="e">
        <f t="shared" ca="1" si="748"/>
        <v>#VALUE!</v>
      </c>
      <c r="AJ1502" t="e">
        <f t="shared" ca="1" si="749"/>
        <v>#VALUE!</v>
      </c>
      <c r="AM1502">
        <v>0</v>
      </c>
      <c r="AN1502">
        <v>0</v>
      </c>
      <c r="AO1502">
        <f t="shared" si="750"/>
        <v>0</v>
      </c>
      <c r="AP1502">
        <f t="shared" si="759"/>
        <v>0</v>
      </c>
      <c r="AQ1502" t="e">
        <f t="shared" ca="1" si="751"/>
        <v>#VALUE!</v>
      </c>
      <c r="AR1502" t="e">
        <f t="shared" ca="1" si="752"/>
        <v>#VALUE!</v>
      </c>
      <c r="AS1502" t="e">
        <f t="shared" ca="1" si="753"/>
        <v>#VALUE!</v>
      </c>
    </row>
    <row r="1503" spans="1:45" x14ac:dyDescent="0.35">
      <c r="A1503">
        <v>1354</v>
      </c>
      <c r="B1503">
        <v>1352.8889999999999</v>
      </c>
      <c r="C1503">
        <v>616066.24899999995</v>
      </c>
      <c r="D1503">
        <v>3096651.3640000001</v>
      </c>
      <c r="E1503">
        <v>631.88549999999998</v>
      </c>
      <c r="F1503">
        <v>5.2</v>
      </c>
      <c r="G1503">
        <v>0</v>
      </c>
      <c r="H1503" t="s">
        <v>191</v>
      </c>
      <c r="I1503">
        <v>5.7000000000000002E-2</v>
      </c>
      <c r="J1503">
        <f t="shared" si="754"/>
        <v>1</v>
      </c>
      <c r="K1503">
        <f t="shared" si="755"/>
        <v>51</v>
      </c>
      <c r="L1503" t="e">
        <f t="shared" ca="1" si="756"/>
        <v>#VALUE!</v>
      </c>
      <c r="M1503" t="e">
        <f t="shared" ca="1" si="729"/>
        <v>#VALUE!</v>
      </c>
      <c r="N1503" t="e">
        <f t="shared" ca="1" si="730"/>
        <v>#VALUE!</v>
      </c>
      <c r="O1503" t="e">
        <f t="shared" ca="1" si="731"/>
        <v>#VALUE!</v>
      </c>
      <c r="P1503" t="e">
        <f t="shared" ca="1" si="732"/>
        <v>#VALUE!</v>
      </c>
      <c r="Q1503" t="e">
        <f t="shared" ca="1" si="733"/>
        <v>#VALUE!</v>
      </c>
      <c r="R1503" t="e">
        <f t="shared" ca="1" si="734"/>
        <v>#VALUE!</v>
      </c>
      <c r="S1503" t="e">
        <f t="shared" ca="1" si="735"/>
        <v>#VALUE!</v>
      </c>
      <c r="T1503" t="e">
        <f t="shared" ca="1" si="736"/>
        <v>#VALUE!</v>
      </c>
      <c r="U1503" t="e">
        <f t="shared" ca="1" si="757"/>
        <v>#VALUE!</v>
      </c>
      <c r="V1503" t="e">
        <f t="shared" ca="1" si="758"/>
        <v>#VALUE!</v>
      </c>
      <c r="W1503" t="e">
        <f t="shared" ca="1" si="737"/>
        <v>#VALUE!</v>
      </c>
      <c r="X1503" t="e">
        <f t="shared" ca="1" si="738"/>
        <v>#VALUE!</v>
      </c>
      <c r="Y1503" t="e">
        <f t="shared" ca="1" si="739"/>
        <v>#VALUE!</v>
      </c>
      <c r="Z1503" t="e">
        <f t="shared" ca="1" si="740"/>
        <v>#VALUE!</v>
      </c>
      <c r="AA1503" t="e">
        <f t="shared" ca="1" si="741"/>
        <v>#VALUE!</v>
      </c>
      <c r="AB1503" t="e">
        <f t="shared" ca="1" si="742"/>
        <v>#VALUE!</v>
      </c>
      <c r="AC1503" t="e">
        <f t="shared" ca="1" si="743"/>
        <v>#VALUE!</v>
      </c>
      <c r="AD1503" t="e">
        <f t="shared" ca="1" si="744"/>
        <v>#VALUE!</v>
      </c>
      <c r="AE1503" t="e">
        <f t="shared" ca="1" si="745"/>
        <v>#VALUE!</v>
      </c>
      <c r="AF1503" t="e">
        <f t="shared" ca="1" si="746"/>
        <v>#VALUE!</v>
      </c>
      <c r="AG1503" t="e">
        <f t="shared" ca="1" si="747"/>
        <v>#VALUE!</v>
      </c>
      <c r="AH1503" t="e">
        <f ca="1">IF(V32="Supercritical",L1503,IF(V32="Subcritical",W1503,IF(AND(V1503=1,AG1503=1),IF(T1503&gt;=AE1503,L1503,W1503),IF(V1503=1,L1503,IF(AG1503=1,W1503,MAX($D$16,POWER((ABS(K1503)^2)/($I$5*MAX(F1503,0.1)^2),1/3)))))))</f>
        <v>#VALUE!</v>
      </c>
      <c r="AI1503" t="e">
        <f t="shared" ca="1" si="748"/>
        <v>#VALUE!</v>
      </c>
      <c r="AJ1503" t="e">
        <f t="shared" ca="1" si="749"/>
        <v>#VALUE!</v>
      </c>
      <c r="AM1503">
        <v>0</v>
      </c>
      <c r="AN1503">
        <v>0</v>
      </c>
      <c r="AO1503">
        <f t="shared" si="750"/>
        <v>0</v>
      </c>
      <c r="AP1503">
        <f t="shared" si="759"/>
        <v>0</v>
      </c>
      <c r="AQ1503" t="e">
        <f t="shared" ca="1" si="751"/>
        <v>#VALUE!</v>
      </c>
      <c r="AR1503" t="e">
        <f t="shared" ca="1" si="752"/>
        <v>#VALUE!</v>
      </c>
      <c r="AS1503" t="e">
        <f t="shared" ca="1" si="753"/>
        <v>#VALUE!</v>
      </c>
    </row>
    <row r="1504" spans="1:45" x14ac:dyDescent="0.35">
      <c r="A1504">
        <v>1355</v>
      </c>
      <c r="B1504">
        <v>1353.8889999999999</v>
      </c>
      <c r="C1504">
        <v>616066.20600000001</v>
      </c>
      <c r="D1504">
        <v>3096650.3650000002</v>
      </c>
      <c r="E1504">
        <v>631.88499999999999</v>
      </c>
      <c r="F1504">
        <v>5.2</v>
      </c>
      <c r="G1504">
        <v>0</v>
      </c>
      <c r="H1504" t="s">
        <v>191</v>
      </c>
      <c r="I1504">
        <v>5.7000000000000002E-2</v>
      </c>
      <c r="J1504">
        <f t="shared" si="754"/>
        <v>1</v>
      </c>
      <c r="K1504">
        <f t="shared" si="755"/>
        <v>51</v>
      </c>
      <c r="L1504" t="e">
        <f t="shared" ca="1" si="756"/>
        <v>#VALUE!</v>
      </c>
      <c r="M1504" t="e">
        <f t="shared" ca="1" si="729"/>
        <v>#VALUE!</v>
      </c>
      <c r="N1504" t="e">
        <f t="shared" ca="1" si="730"/>
        <v>#VALUE!</v>
      </c>
      <c r="O1504" t="e">
        <f t="shared" ca="1" si="731"/>
        <v>#VALUE!</v>
      </c>
      <c r="P1504" t="e">
        <f t="shared" ca="1" si="732"/>
        <v>#VALUE!</v>
      </c>
      <c r="Q1504" t="e">
        <f t="shared" ca="1" si="733"/>
        <v>#VALUE!</v>
      </c>
      <c r="R1504" t="e">
        <f t="shared" ca="1" si="734"/>
        <v>#VALUE!</v>
      </c>
      <c r="S1504" t="e">
        <f t="shared" ca="1" si="735"/>
        <v>#VALUE!</v>
      </c>
      <c r="T1504" t="e">
        <f t="shared" ca="1" si="736"/>
        <v>#VALUE!</v>
      </c>
      <c r="U1504" t="e">
        <f t="shared" ca="1" si="757"/>
        <v>#VALUE!</v>
      </c>
      <c r="V1504" t="e">
        <f t="shared" ca="1" si="758"/>
        <v>#VALUE!</v>
      </c>
      <c r="W1504" t="e">
        <f t="shared" ca="1" si="737"/>
        <v>#VALUE!</v>
      </c>
      <c r="X1504" t="e">
        <f t="shared" ca="1" si="738"/>
        <v>#VALUE!</v>
      </c>
      <c r="Y1504" t="e">
        <f t="shared" ca="1" si="739"/>
        <v>#VALUE!</v>
      </c>
      <c r="Z1504" t="e">
        <f t="shared" ca="1" si="740"/>
        <v>#VALUE!</v>
      </c>
      <c r="AA1504" t="e">
        <f t="shared" ca="1" si="741"/>
        <v>#VALUE!</v>
      </c>
      <c r="AB1504" t="e">
        <f t="shared" ca="1" si="742"/>
        <v>#VALUE!</v>
      </c>
      <c r="AC1504" t="e">
        <f t="shared" ca="1" si="743"/>
        <v>#VALUE!</v>
      </c>
      <c r="AD1504" t="e">
        <f t="shared" ca="1" si="744"/>
        <v>#VALUE!</v>
      </c>
      <c r="AE1504" t="e">
        <f t="shared" ca="1" si="745"/>
        <v>#VALUE!</v>
      </c>
      <c r="AF1504" t="e">
        <f t="shared" ca="1" si="746"/>
        <v>#VALUE!</v>
      </c>
      <c r="AG1504" t="e">
        <f t="shared" ca="1" si="747"/>
        <v>#VALUE!</v>
      </c>
      <c r="AH1504" t="e">
        <f ca="1">IF(V32="Supercritical",L1504,IF(V32="Subcritical",W1504,IF(AND(V1504=1,AG1504=1),IF(T1504&gt;=AE1504,L1504,W1504),IF(V1504=1,L1504,IF(AG1504=1,W1504,MAX($D$16,POWER((ABS(K1504)^2)/($I$5*MAX(F1504,0.1)^2),1/3)))))))</f>
        <v>#VALUE!</v>
      </c>
      <c r="AI1504" t="e">
        <f t="shared" ca="1" si="748"/>
        <v>#VALUE!</v>
      </c>
      <c r="AJ1504" t="e">
        <f t="shared" ca="1" si="749"/>
        <v>#VALUE!</v>
      </c>
      <c r="AM1504">
        <v>0</v>
      </c>
      <c r="AN1504">
        <v>0</v>
      </c>
      <c r="AO1504">
        <f t="shared" si="750"/>
        <v>0</v>
      </c>
      <c r="AP1504">
        <f t="shared" si="759"/>
        <v>0</v>
      </c>
      <c r="AQ1504" t="e">
        <f t="shared" ca="1" si="751"/>
        <v>#VALUE!</v>
      </c>
      <c r="AR1504" t="e">
        <f t="shared" ca="1" si="752"/>
        <v>#VALUE!</v>
      </c>
      <c r="AS1504" t="e">
        <f t="shared" ca="1" si="753"/>
        <v>#VALUE!</v>
      </c>
    </row>
    <row r="1505" spans="1:45" x14ac:dyDescent="0.35">
      <c r="A1505">
        <v>1356</v>
      </c>
      <c r="B1505">
        <v>1354.8889999999999</v>
      </c>
      <c r="C1505">
        <v>616066.16399999999</v>
      </c>
      <c r="D1505">
        <v>3096649.3659999999</v>
      </c>
      <c r="E1505">
        <v>631.8845</v>
      </c>
      <c r="F1505">
        <v>5.2</v>
      </c>
      <c r="G1505">
        <v>0</v>
      </c>
      <c r="H1505" t="s">
        <v>191</v>
      </c>
      <c r="I1505">
        <v>0</v>
      </c>
      <c r="J1505">
        <f t="shared" si="754"/>
        <v>1</v>
      </c>
      <c r="K1505">
        <f t="shared" si="755"/>
        <v>51</v>
      </c>
      <c r="L1505" t="e">
        <f t="shared" ca="1" si="756"/>
        <v>#VALUE!</v>
      </c>
      <c r="M1505" t="e">
        <f t="shared" ca="1" si="729"/>
        <v>#VALUE!</v>
      </c>
      <c r="N1505" t="e">
        <f t="shared" ca="1" si="730"/>
        <v>#VALUE!</v>
      </c>
      <c r="O1505" t="e">
        <f t="shared" ca="1" si="731"/>
        <v>#VALUE!</v>
      </c>
      <c r="P1505" t="e">
        <f t="shared" ca="1" si="732"/>
        <v>#VALUE!</v>
      </c>
      <c r="Q1505" t="e">
        <f t="shared" ca="1" si="733"/>
        <v>#VALUE!</v>
      </c>
      <c r="R1505" t="e">
        <f t="shared" ca="1" si="734"/>
        <v>#VALUE!</v>
      </c>
      <c r="S1505" t="e">
        <f t="shared" ca="1" si="735"/>
        <v>#VALUE!</v>
      </c>
      <c r="T1505" t="e">
        <f t="shared" ca="1" si="736"/>
        <v>#VALUE!</v>
      </c>
      <c r="U1505" t="e">
        <f t="shared" ca="1" si="757"/>
        <v>#VALUE!</v>
      </c>
      <c r="V1505" t="e">
        <f t="shared" ca="1" si="758"/>
        <v>#VALUE!</v>
      </c>
      <c r="W1505" t="e">
        <f t="shared" ca="1" si="737"/>
        <v>#VALUE!</v>
      </c>
      <c r="X1505" t="e">
        <f t="shared" ca="1" si="738"/>
        <v>#VALUE!</v>
      </c>
      <c r="Y1505" t="e">
        <f t="shared" ca="1" si="739"/>
        <v>#VALUE!</v>
      </c>
      <c r="Z1505" t="e">
        <f t="shared" ca="1" si="740"/>
        <v>#VALUE!</v>
      </c>
      <c r="AA1505" t="e">
        <f t="shared" ca="1" si="741"/>
        <v>#VALUE!</v>
      </c>
      <c r="AB1505" t="e">
        <f t="shared" ca="1" si="742"/>
        <v>#VALUE!</v>
      </c>
      <c r="AC1505" t="e">
        <f t="shared" ca="1" si="743"/>
        <v>#VALUE!</v>
      </c>
      <c r="AD1505" t="e">
        <f t="shared" ca="1" si="744"/>
        <v>#VALUE!</v>
      </c>
      <c r="AE1505" t="e">
        <f t="shared" ca="1" si="745"/>
        <v>#VALUE!</v>
      </c>
      <c r="AF1505" t="e">
        <f t="shared" ca="1" si="746"/>
        <v>#VALUE!</v>
      </c>
      <c r="AG1505" t="e">
        <f t="shared" ca="1" si="747"/>
        <v>#VALUE!</v>
      </c>
      <c r="AH1505" t="e">
        <f ca="1">IF(V32="Supercritical",L1505,IF(V32="Subcritical",W1505,IF(AND(V1505=1,AG1505=1),IF(T1505&gt;=AE1505,L1505,W1505),IF(V1505=1,L1505,IF(AG1505=1,W1505,MAX($D$16,POWER((ABS(K1505)^2)/($I$5*MAX(F1505,0.1)^2),1/3)))))))</f>
        <v>#VALUE!</v>
      </c>
      <c r="AI1505" t="e">
        <f t="shared" ca="1" si="748"/>
        <v>#VALUE!</v>
      </c>
      <c r="AJ1505" t="e">
        <f t="shared" ca="1" si="749"/>
        <v>#VALUE!</v>
      </c>
      <c r="AM1505">
        <v>0</v>
      </c>
      <c r="AN1505">
        <v>0</v>
      </c>
      <c r="AO1505">
        <f t="shared" si="750"/>
        <v>0</v>
      </c>
      <c r="AP1505">
        <f t="shared" si="759"/>
        <v>0</v>
      </c>
      <c r="AQ1505" t="e">
        <f t="shared" ca="1" si="751"/>
        <v>#VALUE!</v>
      </c>
      <c r="AR1505" t="e">
        <f t="shared" ca="1" si="752"/>
        <v>#VALUE!</v>
      </c>
      <c r="AS1505" t="e">
        <f t="shared" ca="1" si="753"/>
        <v>#VALUE!</v>
      </c>
    </row>
    <row r="1506" spans="1:45" x14ac:dyDescent="0.35">
      <c r="A1506">
        <v>1357</v>
      </c>
      <c r="B1506">
        <v>1355.8889999999999</v>
      </c>
      <c r="C1506">
        <v>616066.12199999997</v>
      </c>
      <c r="D1506">
        <v>3096648.3670000001</v>
      </c>
      <c r="E1506">
        <v>631.88400000000001</v>
      </c>
      <c r="F1506">
        <v>5.2</v>
      </c>
      <c r="G1506">
        <v>0</v>
      </c>
      <c r="H1506" t="s">
        <v>191</v>
      </c>
      <c r="I1506">
        <v>0</v>
      </c>
      <c r="J1506">
        <f t="shared" si="754"/>
        <v>1</v>
      </c>
      <c r="K1506">
        <f t="shared" si="755"/>
        <v>51</v>
      </c>
      <c r="L1506" t="e">
        <f t="shared" ca="1" si="756"/>
        <v>#VALUE!</v>
      </c>
      <c r="M1506" t="e">
        <f t="shared" ca="1" si="729"/>
        <v>#VALUE!</v>
      </c>
      <c r="N1506" t="e">
        <f t="shared" ca="1" si="730"/>
        <v>#VALUE!</v>
      </c>
      <c r="O1506" t="e">
        <f t="shared" ca="1" si="731"/>
        <v>#VALUE!</v>
      </c>
      <c r="P1506" t="e">
        <f t="shared" ca="1" si="732"/>
        <v>#VALUE!</v>
      </c>
      <c r="Q1506" t="e">
        <f t="shared" ca="1" si="733"/>
        <v>#VALUE!</v>
      </c>
      <c r="R1506" t="e">
        <f t="shared" ca="1" si="734"/>
        <v>#VALUE!</v>
      </c>
      <c r="S1506" t="e">
        <f t="shared" ca="1" si="735"/>
        <v>#VALUE!</v>
      </c>
      <c r="T1506" t="e">
        <f t="shared" ca="1" si="736"/>
        <v>#VALUE!</v>
      </c>
      <c r="U1506" t="e">
        <f t="shared" ca="1" si="757"/>
        <v>#VALUE!</v>
      </c>
      <c r="V1506" t="e">
        <f t="shared" ca="1" si="758"/>
        <v>#VALUE!</v>
      </c>
      <c r="W1506" t="e">
        <f t="shared" ca="1" si="737"/>
        <v>#VALUE!</v>
      </c>
      <c r="X1506" t="e">
        <f t="shared" ca="1" si="738"/>
        <v>#VALUE!</v>
      </c>
      <c r="Y1506" t="e">
        <f t="shared" ca="1" si="739"/>
        <v>#VALUE!</v>
      </c>
      <c r="Z1506" t="e">
        <f t="shared" ca="1" si="740"/>
        <v>#VALUE!</v>
      </c>
      <c r="AA1506" t="e">
        <f t="shared" ca="1" si="741"/>
        <v>#VALUE!</v>
      </c>
      <c r="AB1506" t="e">
        <f t="shared" ca="1" si="742"/>
        <v>#VALUE!</v>
      </c>
      <c r="AC1506" t="e">
        <f t="shared" ca="1" si="743"/>
        <v>#VALUE!</v>
      </c>
      <c r="AD1506" t="e">
        <f t="shared" ca="1" si="744"/>
        <v>#VALUE!</v>
      </c>
      <c r="AE1506" t="e">
        <f t="shared" ca="1" si="745"/>
        <v>#VALUE!</v>
      </c>
      <c r="AF1506" t="e">
        <f t="shared" ca="1" si="746"/>
        <v>#VALUE!</v>
      </c>
      <c r="AG1506" t="e">
        <f t="shared" ca="1" si="747"/>
        <v>#VALUE!</v>
      </c>
      <c r="AH1506" t="e">
        <f ca="1">IF(V32="Supercritical",L1506,IF(V32="Subcritical",W1506,IF(AND(V1506=1,AG1506=1),IF(T1506&gt;=AE1506,L1506,W1506),IF(V1506=1,L1506,IF(AG1506=1,W1506,MAX($D$16,POWER((ABS(K1506)^2)/($I$5*MAX(F1506,0.1)^2),1/3)))))))</f>
        <v>#VALUE!</v>
      </c>
      <c r="AI1506" t="e">
        <f t="shared" ca="1" si="748"/>
        <v>#VALUE!</v>
      </c>
      <c r="AJ1506" t="e">
        <f t="shared" ca="1" si="749"/>
        <v>#VALUE!</v>
      </c>
      <c r="AM1506">
        <v>0</v>
      </c>
      <c r="AN1506">
        <v>0</v>
      </c>
      <c r="AO1506">
        <f t="shared" si="750"/>
        <v>0</v>
      </c>
      <c r="AP1506">
        <f t="shared" si="759"/>
        <v>0</v>
      </c>
      <c r="AQ1506" t="e">
        <f t="shared" ca="1" si="751"/>
        <v>#VALUE!</v>
      </c>
      <c r="AR1506" t="e">
        <f t="shared" ca="1" si="752"/>
        <v>#VALUE!</v>
      </c>
      <c r="AS1506" t="e">
        <f t="shared" ca="1" si="753"/>
        <v>#VALUE!</v>
      </c>
    </row>
    <row r="1507" spans="1:45" x14ac:dyDescent="0.35">
      <c r="A1507">
        <v>1358</v>
      </c>
      <c r="B1507">
        <v>1356.8889999999999</v>
      </c>
      <c r="C1507">
        <v>616066.07999999996</v>
      </c>
      <c r="D1507">
        <v>3096647.3679999998</v>
      </c>
      <c r="E1507">
        <v>631.88350000000003</v>
      </c>
      <c r="F1507">
        <v>5.2</v>
      </c>
      <c r="G1507">
        <v>0</v>
      </c>
      <c r="H1507" t="s">
        <v>191</v>
      </c>
      <c r="I1507">
        <v>5.7000000000000002E-2</v>
      </c>
      <c r="J1507">
        <f t="shared" si="754"/>
        <v>1</v>
      </c>
      <c r="K1507">
        <f t="shared" si="755"/>
        <v>51</v>
      </c>
      <c r="L1507" t="e">
        <f t="shared" ca="1" si="756"/>
        <v>#VALUE!</v>
      </c>
      <c r="M1507" t="e">
        <f t="shared" ca="1" si="729"/>
        <v>#VALUE!</v>
      </c>
      <c r="N1507" t="e">
        <f t="shared" ca="1" si="730"/>
        <v>#VALUE!</v>
      </c>
      <c r="O1507" t="e">
        <f t="shared" ca="1" si="731"/>
        <v>#VALUE!</v>
      </c>
      <c r="P1507" t="e">
        <f t="shared" ca="1" si="732"/>
        <v>#VALUE!</v>
      </c>
      <c r="Q1507" t="e">
        <f t="shared" ca="1" si="733"/>
        <v>#VALUE!</v>
      </c>
      <c r="R1507" t="e">
        <f t="shared" ca="1" si="734"/>
        <v>#VALUE!</v>
      </c>
      <c r="S1507" t="e">
        <f t="shared" ca="1" si="735"/>
        <v>#VALUE!</v>
      </c>
      <c r="T1507" t="e">
        <f t="shared" ca="1" si="736"/>
        <v>#VALUE!</v>
      </c>
      <c r="U1507" t="e">
        <f t="shared" ca="1" si="757"/>
        <v>#VALUE!</v>
      </c>
      <c r="V1507" t="e">
        <f t="shared" ca="1" si="758"/>
        <v>#VALUE!</v>
      </c>
      <c r="W1507" t="e">
        <f t="shared" ca="1" si="737"/>
        <v>#VALUE!</v>
      </c>
      <c r="X1507" t="e">
        <f t="shared" ca="1" si="738"/>
        <v>#VALUE!</v>
      </c>
      <c r="Y1507" t="e">
        <f t="shared" ca="1" si="739"/>
        <v>#VALUE!</v>
      </c>
      <c r="Z1507" t="e">
        <f t="shared" ca="1" si="740"/>
        <v>#VALUE!</v>
      </c>
      <c r="AA1507" t="e">
        <f t="shared" ca="1" si="741"/>
        <v>#VALUE!</v>
      </c>
      <c r="AB1507" t="e">
        <f t="shared" ca="1" si="742"/>
        <v>#VALUE!</v>
      </c>
      <c r="AC1507" t="e">
        <f t="shared" ca="1" si="743"/>
        <v>#VALUE!</v>
      </c>
      <c r="AD1507" t="e">
        <f t="shared" ca="1" si="744"/>
        <v>#VALUE!</v>
      </c>
      <c r="AE1507" t="e">
        <f t="shared" ca="1" si="745"/>
        <v>#VALUE!</v>
      </c>
      <c r="AF1507" t="e">
        <f t="shared" ca="1" si="746"/>
        <v>#VALUE!</v>
      </c>
      <c r="AG1507" t="e">
        <f t="shared" ca="1" si="747"/>
        <v>#VALUE!</v>
      </c>
      <c r="AH1507" t="e">
        <f ca="1">IF(V32="Supercritical",L1507,IF(V32="Subcritical",W1507,IF(AND(V1507=1,AG1507=1),IF(T1507&gt;=AE1507,L1507,W1507),IF(V1507=1,L1507,IF(AG1507=1,W1507,MAX($D$16,POWER((ABS(K1507)^2)/($I$5*MAX(F1507,0.1)^2),1/3)))))))</f>
        <v>#VALUE!</v>
      </c>
      <c r="AI1507" t="e">
        <f t="shared" ca="1" si="748"/>
        <v>#VALUE!</v>
      </c>
      <c r="AJ1507" t="e">
        <f t="shared" ca="1" si="749"/>
        <v>#VALUE!</v>
      </c>
      <c r="AM1507">
        <v>0</v>
      </c>
      <c r="AN1507">
        <v>0</v>
      </c>
      <c r="AO1507">
        <f t="shared" si="750"/>
        <v>0</v>
      </c>
      <c r="AP1507">
        <f t="shared" si="759"/>
        <v>0</v>
      </c>
      <c r="AQ1507" t="e">
        <f t="shared" ca="1" si="751"/>
        <v>#VALUE!</v>
      </c>
      <c r="AR1507" t="e">
        <f t="shared" ca="1" si="752"/>
        <v>#VALUE!</v>
      </c>
      <c r="AS1507" t="e">
        <f t="shared" ca="1" si="753"/>
        <v>#VALUE!</v>
      </c>
    </row>
    <row r="1508" spans="1:45" x14ac:dyDescent="0.35">
      <c r="A1508">
        <v>1359</v>
      </c>
      <c r="B1508">
        <v>1357.8889999999999</v>
      </c>
      <c r="C1508">
        <v>616066.03700000001</v>
      </c>
      <c r="D1508">
        <v>3096646.3689999999</v>
      </c>
      <c r="E1508">
        <v>631.88300000000004</v>
      </c>
      <c r="F1508">
        <v>5.2</v>
      </c>
      <c r="G1508">
        <v>0</v>
      </c>
      <c r="H1508" t="s">
        <v>191</v>
      </c>
      <c r="I1508">
        <v>0.06</v>
      </c>
      <c r="J1508">
        <f t="shared" si="754"/>
        <v>1</v>
      </c>
      <c r="K1508">
        <f t="shared" si="755"/>
        <v>51</v>
      </c>
      <c r="L1508" t="e">
        <f t="shared" ca="1" si="756"/>
        <v>#VALUE!</v>
      </c>
      <c r="M1508" t="e">
        <f t="shared" ca="1" si="729"/>
        <v>#VALUE!</v>
      </c>
      <c r="N1508" t="e">
        <f t="shared" ca="1" si="730"/>
        <v>#VALUE!</v>
      </c>
      <c r="O1508" t="e">
        <f t="shared" ca="1" si="731"/>
        <v>#VALUE!</v>
      </c>
      <c r="P1508" t="e">
        <f t="shared" ca="1" si="732"/>
        <v>#VALUE!</v>
      </c>
      <c r="Q1508" t="e">
        <f t="shared" ca="1" si="733"/>
        <v>#VALUE!</v>
      </c>
      <c r="R1508" t="e">
        <f t="shared" ca="1" si="734"/>
        <v>#VALUE!</v>
      </c>
      <c r="S1508" t="e">
        <f t="shared" ca="1" si="735"/>
        <v>#VALUE!</v>
      </c>
      <c r="T1508" t="e">
        <f t="shared" ca="1" si="736"/>
        <v>#VALUE!</v>
      </c>
      <c r="U1508" t="e">
        <f t="shared" ca="1" si="757"/>
        <v>#VALUE!</v>
      </c>
      <c r="V1508" t="e">
        <f t="shared" ca="1" si="758"/>
        <v>#VALUE!</v>
      </c>
      <c r="W1508" t="e">
        <f t="shared" ca="1" si="737"/>
        <v>#VALUE!</v>
      </c>
      <c r="X1508" t="e">
        <f t="shared" ca="1" si="738"/>
        <v>#VALUE!</v>
      </c>
      <c r="Y1508" t="e">
        <f t="shared" ca="1" si="739"/>
        <v>#VALUE!</v>
      </c>
      <c r="Z1508" t="e">
        <f t="shared" ca="1" si="740"/>
        <v>#VALUE!</v>
      </c>
      <c r="AA1508" t="e">
        <f t="shared" ca="1" si="741"/>
        <v>#VALUE!</v>
      </c>
      <c r="AB1508" t="e">
        <f t="shared" ca="1" si="742"/>
        <v>#VALUE!</v>
      </c>
      <c r="AC1508" t="e">
        <f t="shared" ca="1" si="743"/>
        <v>#VALUE!</v>
      </c>
      <c r="AD1508" t="e">
        <f t="shared" ca="1" si="744"/>
        <v>#VALUE!</v>
      </c>
      <c r="AE1508" t="e">
        <f t="shared" ca="1" si="745"/>
        <v>#VALUE!</v>
      </c>
      <c r="AF1508" t="e">
        <f t="shared" ca="1" si="746"/>
        <v>#VALUE!</v>
      </c>
      <c r="AG1508" t="e">
        <f t="shared" ca="1" si="747"/>
        <v>#VALUE!</v>
      </c>
      <c r="AH1508" t="e">
        <f ca="1">IF(V32="Supercritical",L1508,IF(V32="Subcritical",W1508,IF(AND(V1508=1,AG1508=1),IF(T1508&gt;=AE1508,L1508,W1508),IF(V1508=1,L1508,IF(AG1508=1,W1508,MAX($D$16,POWER((ABS(K1508)^2)/($I$5*MAX(F1508,0.1)^2),1/3)))))))</f>
        <v>#VALUE!</v>
      </c>
      <c r="AI1508" t="e">
        <f t="shared" ca="1" si="748"/>
        <v>#VALUE!</v>
      </c>
      <c r="AJ1508" t="e">
        <f t="shared" ca="1" si="749"/>
        <v>#VALUE!</v>
      </c>
      <c r="AM1508">
        <v>0</v>
      </c>
      <c r="AN1508">
        <v>0</v>
      </c>
      <c r="AO1508">
        <f t="shared" si="750"/>
        <v>0</v>
      </c>
      <c r="AP1508">
        <f t="shared" si="759"/>
        <v>0</v>
      </c>
      <c r="AQ1508" t="e">
        <f t="shared" ca="1" si="751"/>
        <v>#VALUE!</v>
      </c>
      <c r="AR1508" t="e">
        <f t="shared" ca="1" si="752"/>
        <v>#VALUE!</v>
      </c>
      <c r="AS1508" t="e">
        <f t="shared" ca="1" si="753"/>
        <v>#VALUE!</v>
      </c>
    </row>
    <row r="1509" spans="1:45" x14ac:dyDescent="0.35">
      <c r="A1509">
        <v>1360</v>
      </c>
      <c r="B1509">
        <v>1358.89</v>
      </c>
      <c r="C1509">
        <v>616065.995</v>
      </c>
      <c r="D1509">
        <v>3096645.3689999999</v>
      </c>
      <c r="E1509">
        <v>631.88250000000005</v>
      </c>
      <c r="F1509">
        <v>5.2</v>
      </c>
      <c r="G1509">
        <v>0</v>
      </c>
      <c r="H1509" t="s">
        <v>191</v>
      </c>
      <c r="I1509">
        <v>2E-3</v>
      </c>
      <c r="J1509">
        <f t="shared" si="754"/>
        <v>1.0010000000002037</v>
      </c>
      <c r="K1509">
        <f t="shared" si="755"/>
        <v>51</v>
      </c>
      <c r="L1509" t="e">
        <f t="shared" ca="1" si="756"/>
        <v>#VALUE!</v>
      </c>
      <c r="M1509" t="e">
        <f t="shared" ca="1" si="729"/>
        <v>#VALUE!</v>
      </c>
      <c r="N1509" t="e">
        <f t="shared" ca="1" si="730"/>
        <v>#VALUE!</v>
      </c>
      <c r="O1509" t="e">
        <f t="shared" ca="1" si="731"/>
        <v>#VALUE!</v>
      </c>
      <c r="P1509" t="e">
        <f t="shared" ca="1" si="732"/>
        <v>#VALUE!</v>
      </c>
      <c r="Q1509" t="e">
        <f t="shared" ca="1" si="733"/>
        <v>#VALUE!</v>
      </c>
      <c r="R1509" t="e">
        <f t="shared" ca="1" si="734"/>
        <v>#VALUE!</v>
      </c>
      <c r="S1509" t="e">
        <f t="shared" ca="1" si="735"/>
        <v>#VALUE!</v>
      </c>
      <c r="T1509" t="e">
        <f t="shared" ca="1" si="736"/>
        <v>#VALUE!</v>
      </c>
      <c r="U1509" t="e">
        <f t="shared" ca="1" si="757"/>
        <v>#VALUE!</v>
      </c>
      <c r="V1509" t="e">
        <f t="shared" ca="1" si="758"/>
        <v>#VALUE!</v>
      </c>
      <c r="W1509" t="e">
        <f t="shared" ca="1" si="737"/>
        <v>#VALUE!</v>
      </c>
      <c r="X1509" t="e">
        <f t="shared" ca="1" si="738"/>
        <v>#VALUE!</v>
      </c>
      <c r="Y1509" t="e">
        <f t="shared" ca="1" si="739"/>
        <v>#VALUE!</v>
      </c>
      <c r="Z1509" t="e">
        <f t="shared" ca="1" si="740"/>
        <v>#VALUE!</v>
      </c>
      <c r="AA1509" t="e">
        <f t="shared" ca="1" si="741"/>
        <v>#VALUE!</v>
      </c>
      <c r="AB1509" t="e">
        <f t="shared" ca="1" si="742"/>
        <v>#VALUE!</v>
      </c>
      <c r="AC1509" t="e">
        <f t="shared" ca="1" si="743"/>
        <v>#VALUE!</v>
      </c>
      <c r="AD1509" t="e">
        <f t="shared" ca="1" si="744"/>
        <v>#VALUE!</v>
      </c>
      <c r="AE1509" t="e">
        <f t="shared" ca="1" si="745"/>
        <v>#VALUE!</v>
      </c>
      <c r="AF1509" t="e">
        <f t="shared" ca="1" si="746"/>
        <v>#VALUE!</v>
      </c>
      <c r="AG1509" t="e">
        <f t="shared" ca="1" si="747"/>
        <v>#VALUE!</v>
      </c>
      <c r="AH1509" t="e">
        <f ca="1">IF(V32="Supercritical",L1509,IF(V32="Subcritical",W1509,IF(AND(V1509=1,AG1509=1),IF(T1509&gt;=AE1509,L1509,W1509),IF(V1509=1,L1509,IF(AG1509=1,W1509,MAX($D$16,POWER((ABS(K1509)^2)/($I$5*MAX(F1509,0.1)^2),1/3)))))))</f>
        <v>#VALUE!</v>
      </c>
      <c r="AI1509" t="e">
        <f t="shared" ca="1" si="748"/>
        <v>#VALUE!</v>
      </c>
      <c r="AJ1509" t="e">
        <f t="shared" ca="1" si="749"/>
        <v>#VALUE!</v>
      </c>
      <c r="AM1509">
        <v>0</v>
      </c>
      <c r="AN1509">
        <v>0</v>
      </c>
      <c r="AO1509">
        <f t="shared" si="750"/>
        <v>0</v>
      </c>
      <c r="AP1509">
        <f t="shared" si="759"/>
        <v>0</v>
      </c>
      <c r="AQ1509" t="e">
        <f t="shared" ca="1" si="751"/>
        <v>#VALUE!</v>
      </c>
      <c r="AR1509" t="e">
        <f t="shared" ca="1" si="752"/>
        <v>#VALUE!</v>
      </c>
      <c r="AS1509" t="e">
        <f t="shared" ca="1" si="753"/>
        <v>#VALUE!</v>
      </c>
    </row>
    <row r="1510" spans="1:45" x14ac:dyDescent="0.35">
      <c r="A1510">
        <v>1361</v>
      </c>
      <c r="B1510">
        <v>1359.89</v>
      </c>
      <c r="C1510">
        <v>616065.95299999998</v>
      </c>
      <c r="D1510">
        <v>3096644.37</v>
      </c>
      <c r="E1510">
        <v>631.88199999999995</v>
      </c>
      <c r="F1510">
        <v>5.2</v>
      </c>
      <c r="G1510">
        <v>0</v>
      </c>
      <c r="H1510" t="s">
        <v>191</v>
      </c>
      <c r="I1510">
        <v>0</v>
      </c>
      <c r="J1510">
        <f t="shared" si="754"/>
        <v>1</v>
      </c>
      <c r="K1510">
        <f t="shared" si="755"/>
        <v>51</v>
      </c>
      <c r="L1510" t="e">
        <f t="shared" ca="1" si="756"/>
        <v>#VALUE!</v>
      </c>
      <c r="M1510" t="e">
        <f t="shared" ca="1" si="729"/>
        <v>#VALUE!</v>
      </c>
      <c r="N1510" t="e">
        <f t="shared" ca="1" si="730"/>
        <v>#VALUE!</v>
      </c>
      <c r="O1510" t="e">
        <f t="shared" ca="1" si="731"/>
        <v>#VALUE!</v>
      </c>
      <c r="P1510" t="e">
        <f t="shared" ca="1" si="732"/>
        <v>#VALUE!</v>
      </c>
      <c r="Q1510" t="e">
        <f t="shared" ca="1" si="733"/>
        <v>#VALUE!</v>
      </c>
      <c r="R1510" t="e">
        <f t="shared" ca="1" si="734"/>
        <v>#VALUE!</v>
      </c>
      <c r="S1510" t="e">
        <f t="shared" ca="1" si="735"/>
        <v>#VALUE!</v>
      </c>
      <c r="T1510" t="e">
        <f t="shared" ca="1" si="736"/>
        <v>#VALUE!</v>
      </c>
      <c r="U1510" t="e">
        <f t="shared" ca="1" si="757"/>
        <v>#VALUE!</v>
      </c>
      <c r="V1510" t="e">
        <f t="shared" ca="1" si="758"/>
        <v>#VALUE!</v>
      </c>
      <c r="W1510" t="e">
        <f t="shared" ca="1" si="737"/>
        <v>#VALUE!</v>
      </c>
      <c r="X1510" t="e">
        <f t="shared" ca="1" si="738"/>
        <v>#VALUE!</v>
      </c>
      <c r="Y1510" t="e">
        <f t="shared" ca="1" si="739"/>
        <v>#VALUE!</v>
      </c>
      <c r="Z1510" t="e">
        <f t="shared" ca="1" si="740"/>
        <v>#VALUE!</v>
      </c>
      <c r="AA1510" t="e">
        <f t="shared" ca="1" si="741"/>
        <v>#VALUE!</v>
      </c>
      <c r="AB1510" t="e">
        <f t="shared" ca="1" si="742"/>
        <v>#VALUE!</v>
      </c>
      <c r="AC1510" t="e">
        <f t="shared" ca="1" si="743"/>
        <v>#VALUE!</v>
      </c>
      <c r="AD1510" t="e">
        <f t="shared" ca="1" si="744"/>
        <v>#VALUE!</v>
      </c>
      <c r="AE1510" t="e">
        <f t="shared" ca="1" si="745"/>
        <v>#VALUE!</v>
      </c>
      <c r="AF1510" t="e">
        <f t="shared" ca="1" si="746"/>
        <v>#VALUE!</v>
      </c>
      <c r="AG1510" t="e">
        <f t="shared" ca="1" si="747"/>
        <v>#VALUE!</v>
      </c>
      <c r="AH1510" t="e">
        <f ca="1">IF(V32="Supercritical",L1510,IF(V32="Subcritical",W1510,IF(AND(V1510=1,AG1510=1),IF(T1510&gt;=AE1510,L1510,W1510),IF(V1510=1,L1510,IF(AG1510=1,W1510,MAX($D$16,POWER((ABS(K1510)^2)/($I$5*MAX(F1510,0.1)^2),1/3)))))))</f>
        <v>#VALUE!</v>
      </c>
      <c r="AI1510" t="e">
        <f t="shared" ca="1" si="748"/>
        <v>#VALUE!</v>
      </c>
      <c r="AJ1510" t="e">
        <f t="shared" ca="1" si="749"/>
        <v>#VALUE!</v>
      </c>
      <c r="AM1510">
        <v>0</v>
      </c>
      <c r="AN1510">
        <v>0</v>
      </c>
      <c r="AO1510">
        <f t="shared" si="750"/>
        <v>0</v>
      </c>
      <c r="AP1510">
        <f t="shared" si="759"/>
        <v>0</v>
      </c>
      <c r="AQ1510" t="e">
        <f t="shared" ca="1" si="751"/>
        <v>#VALUE!</v>
      </c>
      <c r="AR1510" t="e">
        <f t="shared" ca="1" si="752"/>
        <v>#VALUE!</v>
      </c>
      <c r="AS1510" t="e">
        <f t="shared" ca="1" si="753"/>
        <v>#VALUE!</v>
      </c>
    </row>
    <row r="1511" spans="1:45" x14ac:dyDescent="0.35">
      <c r="A1511">
        <v>1362</v>
      </c>
      <c r="B1511">
        <v>1360.89</v>
      </c>
      <c r="C1511">
        <v>616065.91099999996</v>
      </c>
      <c r="D1511">
        <v>3096643.3709999998</v>
      </c>
      <c r="E1511">
        <v>631.88149999999996</v>
      </c>
      <c r="F1511">
        <v>5.2</v>
      </c>
      <c r="G1511">
        <v>0</v>
      </c>
      <c r="H1511" t="s">
        <v>191</v>
      </c>
      <c r="I1511">
        <v>5.7000000000000002E-2</v>
      </c>
      <c r="J1511">
        <f t="shared" si="754"/>
        <v>1</v>
      </c>
      <c r="K1511">
        <f t="shared" si="755"/>
        <v>51</v>
      </c>
      <c r="L1511" t="e">
        <f t="shared" ca="1" si="756"/>
        <v>#VALUE!</v>
      </c>
      <c r="M1511" t="e">
        <f t="shared" ca="1" si="729"/>
        <v>#VALUE!</v>
      </c>
      <c r="N1511" t="e">
        <f t="shared" ca="1" si="730"/>
        <v>#VALUE!</v>
      </c>
      <c r="O1511" t="e">
        <f t="shared" ca="1" si="731"/>
        <v>#VALUE!</v>
      </c>
      <c r="P1511" t="e">
        <f t="shared" ca="1" si="732"/>
        <v>#VALUE!</v>
      </c>
      <c r="Q1511" t="e">
        <f t="shared" ca="1" si="733"/>
        <v>#VALUE!</v>
      </c>
      <c r="R1511" t="e">
        <f t="shared" ca="1" si="734"/>
        <v>#VALUE!</v>
      </c>
      <c r="S1511" t="e">
        <f t="shared" ca="1" si="735"/>
        <v>#VALUE!</v>
      </c>
      <c r="T1511" t="e">
        <f t="shared" ca="1" si="736"/>
        <v>#VALUE!</v>
      </c>
      <c r="U1511" t="e">
        <f t="shared" ca="1" si="757"/>
        <v>#VALUE!</v>
      </c>
      <c r="V1511" t="e">
        <f t="shared" ca="1" si="758"/>
        <v>#VALUE!</v>
      </c>
      <c r="W1511" t="e">
        <f t="shared" ca="1" si="737"/>
        <v>#VALUE!</v>
      </c>
      <c r="X1511" t="e">
        <f t="shared" ca="1" si="738"/>
        <v>#VALUE!</v>
      </c>
      <c r="Y1511" t="e">
        <f t="shared" ca="1" si="739"/>
        <v>#VALUE!</v>
      </c>
      <c r="Z1511" t="e">
        <f t="shared" ca="1" si="740"/>
        <v>#VALUE!</v>
      </c>
      <c r="AA1511" t="e">
        <f t="shared" ca="1" si="741"/>
        <v>#VALUE!</v>
      </c>
      <c r="AB1511" t="e">
        <f t="shared" ca="1" si="742"/>
        <v>#VALUE!</v>
      </c>
      <c r="AC1511" t="e">
        <f t="shared" ca="1" si="743"/>
        <v>#VALUE!</v>
      </c>
      <c r="AD1511" t="e">
        <f t="shared" ca="1" si="744"/>
        <v>#VALUE!</v>
      </c>
      <c r="AE1511" t="e">
        <f t="shared" ca="1" si="745"/>
        <v>#VALUE!</v>
      </c>
      <c r="AF1511" t="e">
        <f t="shared" ca="1" si="746"/>
        <v>#VALUE!</v>
      </c>
      <c r="AG1511" t="e">
        <f t="shared" ca="1" si="747"/>
        <v>#VALUE!</v>
      </c>
      <c r="AH1511" t="e">
        <f ca="1">IF(V32="Supercritical",L1511,IF(V32="Subcritical",W1511,IF(AND(V1511=1,AG1511=1),IF(T1511&gt;=AE1511,L1511,W1511),IF(V1511=1,L1511,IF(AG1511=1,W1511,MAX($D$16,POWER((ABS(K1511)^2)/($I$5*MAX(F1511,0.1)^2),1/3)))))))</f>
        <v>#VALUE!</v>
      </c>
      <c r="AI1511" t="e">
        <f t="shared" ca="1" si="748"/>
        <v>#VALUE!</v>
      </c>
      <c r="AJ1511" t="e">
        <f t="shared" ca="1" si="749"/>
        <v>#VALUE!</v>
      </c>
      <c r="AM1511">
        <v>0</v>
      </c>
      <c r="AN1511">
        <v>0</v>
      </c>
      <c r="AO1511">
        <f t="shared" si="750"/>
        <v>0</v>
      </c>
      <c r="AP1511">
        <f t="shared" si="759"/>
        <v>0</v>
      </c>
      <c r="AQ1511" t="e">
        <f t="shared" ca="1" si="751"/>
        <v>#VALUE!</v>
      </c>
      <c r="AR1511" t="e">
        <f t="shared" ca="1" si="752"/>
        <v>#VALUE!</v>
      </c>
      <c r="AS1511" t="e">
        <f t="shared" ca="1" si="753"/>
        <v>#VALUE!</v>
      </c>
    </row>
    <row r="1512" spans="1:45" x14ac:dyDescent="0.35">
      <c r="A1512">
        <v>1363</v>
      </c>
      <c r="B1512">
        <v>1361.8889999999999</v>
      </c>
      <c r="C1512">
        <v>616065.86800000002</v>
      </c>
      <c r="D1512">
        <v>3096642.372</v>
      </c>
      <c r="E1512">
        <v>631.88099999999997</v>
      </c>
      <c r="F1512">
        <v>5.2</v>
      </c>
      <c r="G1512">
        <v>0</v>
      </c>
      <c r="H1512" t="s">
        <v>191</v>
      </c>
      <c r="I1512">
        <v>5.7000000000000002E-2</v>
      </c>
      <c r="J1512">
        <f t="shared" si="754"/>
        <v>0.99899999999979627</v>
      </c>
      <c r="K1512">
        <f t="shared" si="755"/>
        <v>51</v>
      </c>
      <c r="L1512" t="e">
        <f t="shared" ca="1" si="756"/>
        <v>#VALUE!</v>
      </c>
      <c r="M1512" t="e">
        <f t="shared" ca="1" si="729"/>
        <v>#VALUE!</v>
      </c>
      <c r="N1512" t="e">
        <f t="shared" ca="1" si="730"/>
        <v>#VALUE!</v>
      </c>
      <c r="O1512" t="e">
        <f t="shared" ca="1" si="731"/>
        <v>#VALUE!</v>
      </c>
      <c r="P1512" t="e">
        <f t="shared" ca="1" si="732"/>
        <v>#VALUE!</v>
      </c>
      <c r="Q1512" t="e">
        <f t="shared" ca="1" si="733"/>
        <v>#VALUE!</v>
      </c>
      <c r="R1512" t="e">
        <f t="shared" ca="1" si="734"/>
        <v>#VALUE!</v>
      </c>
      <c r="S1512" t="e">
        <f t="shared" ca="1" si="735"/>
        <v>#VALUE!</v>
      </c>
      <c r="T1512" t="e">
        <f t="shared" ca="1" si="736"/>
        <v>#VALUE!</v>
      </c>
      <c r="U1512" t="e">
        <f t="shared" ca="1" si="757"/>
        <v>#VALUE!</v>
      </c>
      <c r="V1512" t="e">
        <f t="shared" ca="1" si="758"/>
        <v>#VALUE!</v>
      </c>
      <c r="W1512" t="e">
        <f t="shared" ca="1" si="737"/>
        <v>#VALUE!</v>
      </c>
      <c r="X1512" t="e">
        <f t="shared" ca="1" si="738"/>
        <v>#VALUE!</v>
      </c>
      <c r="Y1512" t="e">
        <f t="shared" ca="1" si="739"/>
        <v>#VALUE!</v>
      </c>
      <c r="Z1512" t="e">
        <f t="shared" ca="1" si="740"/>
        <v>#VALUE!</v>
      </c>
      <c r="AA1512" t="e">
        <f t="shared" ca="1" si="741"/>
        <v>#VALUE!</v>
      </c>
      <c r="AB1512" t="e">
        <f t="shared" ca="1" si="742"/>
        <v>#VALUE!</v>
      </c>
      <c r="AC1512" t="e">
        <f t="shared" ca="1" si="743"/>
        <v>#VALUE!</v>
      </c>
      <c r="AD1512" t="e">
        <f t="shared" ca="1" si="744"/>
        <v>#VALUE!</v>
      </c>
      <c r="AE1512" t="e">
        <f t="shared" ca="1" si="745"/>
        <v>#VALUE!</v>
      </c>
      <c r="AF1512" t="e">
        <f t="shared" ca="1" si="746"/>
        <v>#VALUE!</v>
      </c>
      <c r="AG1512" t="e">
        <f t="shared" ca="1" si="747"/>
        <v>#VALUE!</v>
      </c>
      <c r="AH1512" t="e">
        <f ca="1">IF(V32="Supercritical",L1512,IF(V32="Subcritical",W1512,IF(AND(V1512=1,AG1512=1),IF(T1512&gt;=AE1512,L1512,W1512),IF(V1512=1,L1512,IF(AG1512=1,W1512,MAX($D$16,POWER((ABS(K1512)^2)/($I$5*MAX(F1512,0.1)^2),1/3)))))))</f>
        <v>#VALUE!</v>
      </c>
      <c r="AI1512" t="e">
        <f t="shared" ca="1" si="748"/>
        <v>#VALUE!</v>
      </c>
      <c r="AJ1512" t="e">
        <f t="shared" ca="1" si="749"/>
        <v>#VALUE!</v>
      </c>
      <c r="AM1512">
        <v>0</v>
      </c>
      <c r="AN1512">
        <v>0</v>
      </c>
      <c r="AO1512">
        <f t="shared" si="750"/>
        <v>0</v>
      </c>
      <c r="AP1512">
        <f t="shared" si="759"/>
        <v>0</v>
      </c>
      <c r="AQ1512" t="e">
        <f t="shared" ca="1" si="751"/>
        <v>#VALUE!</v>
      </c>
      <c r="AR1512" t="e">
        <f t="shared" ca="1" si="752"/>
        <v>#VALUE!</v>
      </c>
      <c r="AS1512" t="e">
        <f t="shared" ca="1" si="753"/>
        <v>#VALUE!</v>
      </c>
    </row>
    <row r="1513" spans="1:45" x14ac:dyDescent="0.35">
      <c r="A1513">
        <v>1364</v>
      </c>
      <c r="B1513">
        <v>1362.8889999999999</v>
      </c>
      <c r="C1513">
        <v>616065.826</v>
      </c>
      <c r="D1513">
        <v>3096641.3730000001</v>
      </c>
      <c r="E1513">
        <v>631.88049999999998</v>
      </c>
      <c r="F1513">
        <v>5.2</v>
      </c>
      <c r="G1513">
        <v>0</v>
      </c>
      <c r="H1513" t="s">
        <v>191</v>
      </c>
      <c r="I1513">
        <v>0</v>
      </c>
      <c r="J1513">
        <f t="shared" si="754"/>
        <v>1</v>
      </c>
      <c r="K1513">
        <f t="shared" si="755"/>
        <v>51</v>
      </c>
      <c r="L1513" t="e">
        <f t="shared" ca="1" si="756"/>
        <v>#VALUE!</v>
      </c>
      <c r="M1513" t="e">
        <f t="shared" ca="1" si="729"/>
        <v>#VALUE!</v>
      </c>
      <c r="N1513" t="e">
        <f t="shared" ca="1" si="730"/>
        <v>#VALUE!</v>
      </c>
      <c r="O1513" t="e">
        <f t="shared" ca="1" si="731"/>
        <v>#VALUE!</v>
      </c>
      <c r="P1513" t="e">
        <f t="shared" ca="1" si="732"/>
        <v>#VALUE!</v>
      </c>
      <c r="Q1513" t="e">
        <f t="shared" ca="1" si="733"/>
        <v>#VALUE!</v>
      </c>
      <c r="R1513" t="e">
        <f t="shared" ca="1" si="734"/>
        <v>#VALUE!</v>
      </c>
      <c r="S1513" t="e">
        <f t="shared" ca="1" si="735"/>
        <v>#VALUE!</v>
      </c>
      <c r="T1513" t="e">
        <f t="shared" ca="1" si="736"/>
        <v>#VALUE!</v>
      </c>
      <c r="U1513" t="e">
        <f t="shared" ca="1" si="757"/>
        <v>#VALUE!</v>
      </c>
      <c r="V1513" t="e">
        <f t="shared" ca="1" si="758"/>
        <v>#VALUE!</v>
      </c>
      <c r="W1513" t="e">
        <f t="shared" ca="1" si="737"/>
        <v>#VALUE!</v>
      </c>
      <c r="X1513" t="e">
        <f t="shared" ca="1" si="738"/>
        <v>#VALUE!</v>
      </c>
      <c r="Y1513" t="e">
        <f t="shared" ca="1" si="739"/>
        <v>#VALUE!</v>
      </c>
      <c r="Z1513" t="e">
        <f t="shared" ca="1" si="740"/>
        <v>#VALUE!</v>
      </c>
      <c r="AA1513" t="e">
        <f t="shared" ca="1" si="741"/>
        <v>#VALUE!</v>
      </c>
      <c r="AB1513" t="e">
        <f t="shared" ca="1" si="742"/>
        <v>#VALUE!</v>
      </c>
      <c r="AC1513" t="e">
        <f t="shared" ca="1" si="743"/>
        <v>#VALUE!</v>
      </c>
      <c r="AD1513" t="e">
        <f t="shared" ca="1" si="744"/>
        <v>#VALUE!</v>
      </c>
      <c r="AE1513" t="e">
        <f t="shared" ca="1" si="745"/>
        <v>#VALUE!</v>
      </c>
      <c r="AF1513" t="e">
        <f t="shared" ca="1" si="746"/>
        <v>#VALUE!</v>
      </c>
      <c r="AG1513" t="e">
        <f t="shared" ca="1" si="747"/>
        <v>#VALUE!</v>
      </c>
      <c r="AH1513" t="e">
        <f ca="1">IF(V32="Supercritical",L1513,IF(V32="Subcritical",W1513,IF(AND(V1513=1,AG1513=1),IF(T1513&gt;=AE1513,L1513,W1513),IF(V1513=1,L1513,IF(AG1513=1,W1513,MAX($D$16,POWER((ABS(K1513)^2)/($I$5*MAX(F1513,0.1)^2),1/3)))))))</f>
        <v>#VALUE!</v>
      </c>
      <c r="AI1513" t="e">
        <f t="shared" ca="1" si="748"/>
        <v>#VALUE!</v>
      </c>
      <c r="AJ1513" t="e">
        <f t="shared" ca="1" si="749"/>
        <v>#VALUE!</v>
      </c>
      <c r="AM1513">
        <v>0</v>
      </c>
      <c r="AN1513">
        <v>0</v>
      </c>
      <c r="AO1513">
        <f t="shared" si="750"/>
        <v>0</v>
      </c>
      <c r="AP1513">
        <f t="shared" si="759"/>
        <v>0</v>
      </c>
      <c r="AQ1513" t="e">
        <f t="shared" ca="1" si="751"/>
        <v>#VALUE!</v>
      </c>
      <c r="AR1513" t="e">
        <f t="shared" ca="1" si="752"/>
        <v>#VALUE!</v>
      </c>
      <c r="AS1513" t="e">
        <f t="shared" ca="1" si="753"/>
        <v>#VALUE!</v>
      </c>
    </row>
    <row r="1514" spans="1:45" x14ac:dyDescent="0.35">
      <c r="A1514">
        <v>1365</v>
      </c>
      <c r="B1514">
        <v>1363.8889999999999</v>
      </c>
      <c r="C1514">
        <v>616065.78399999999</v>
      </c>
      <c r="D1514">
        <v>3096640.3739999998</v>
      </c>
      <c r="E1514">
        <v>631.88</v>
      </c>
      <c r="F1514">
        <v>5.2</v>
      </c>
      <c r="G1514">
        <v>0</v>
      </c>
      <c r="H1514" t="s">
        <v>191</v>
      </c>
      <c r="I1514">
        <v>5.7000000000000002E-2</v>
      </c>
      <c r="J1514">
        <f t="shared" si="754"/>
        <v>1</v>
      </c>
      <c r="K1514">
        <f t="shared" si="755"/>
        <v>51</v>
      </c>
      <c r="L1514" t="e">
        <f t="shared" ca="1" si="756"/>
        <v>#VALUE!</v>
      </c>
      <c r="M1514" t="e">
        <f t="shared" ca="1" si="729"/>
        <v>#VALUE!</v>
      </c>
      <c r="N1514" t="e">
        <f t="shared" ca="1" si="730"/>
        <v>#VALUE!</v>
      </c>
      <c r="O1514" t="e">
        <f t="shared" ca="1" si="731"/>
        <v>#VALUE!</v>
      </c>
      <c r="P1514" t="e">
        <f t="shared" ca="1" si="732"/>
        <v>#VALUE!</v>
      </c>
      <c r="Q1514" t="e">
        <f t="shared" ca="1" si="733"/>
        <v>#VALUE!</v>
      </c>
      <c r="R1514" t="e">
        <f t="shared" ca="1" si="734"/>
        <v>#VALUE!</v>
      </c>
      <c r="S1514" t="e">
        <f t="shared" ca="1" si="735"/>
        <v>#VALUE!</v>
      </c>
      <c r="T1514" t="e">
        <f t="shared" ca="1" si="736"/>
        <v>#VALUE!</v>
      </c>
      <c r="U1514" t="e">
        <f t="shared" ca="1" si="757"/>
        <v>#VALUE!</v>
      </c>
      <c r="V1514" t="e">
        <f t="shared" ca="1" si="758"/>
        <v>#VALUE!</v>
      </c>
      <c r="W1514" t="e">
        <f t="shared" ca="1" si="737"/>
        <v>#VALUE!</v>
      </c>
      <c r="X1514" t="e">
        <f t="shared" ca="1" si="738"/>
        <v>#VALUE!</v>
      </c>
      <c r="Y1514" t="e">
        <f t="shared" ca="1" si="739"/>
        <v>#VALUE!</v>
      </c>
      <c r="Z1514" t="e">
        <f t="shared" ca="1" si="740"/>
        <v>#VALUE!</v>
      </c>
      <c r="AA1514" t="e">
        <f t="shared" ca="1" si="741"/>
        <v>#VALUE!</v>
      </c>
      <c r="AB1514" t="e">
        <f t="shared" ca="1" si="742"/>
        <v>#VALUE!</v>
      </c>
      <c r="AC1514" t="e">
        <f t="shared" ca="1" si="743"/>
        <v>#VALUE!</v>
      </c>
      <c r="AD1514" t="e">
        <f t="shared" ca="1" si="744"/>
        <v>#VALUE!</v>
      </c>
      <c r="AE1514" t="e">
        <f t="shared" ca="1" si="745"/>
        <v>#VALUE!</v>
      </c>
      <c r="AF1514" t="e">
        <f t="shared" ca="1" si="746"/>
        <v>#VALUE!</v>
      </c>
      <c r="AG1514" t="e">
        <f t="shared" ca="1" si="747"/>
        <v>#VALUE!</v>
      </c>
      <c r="AH1514" t="e">
        <f ca="1">IF(V32="Supercritical",L1514,IF(V32="Subcritical",W1514,IF(AND(V1514=1,AG1514=1),IF(T1514&gt;=AE1514,L1514,W1514),IF(V1514=1,L1514,IF(AG1514=1,W1514,MAX($D$16,POWER((ABS(K1514)^2)/($I$5*MAX(F1514,0.1)^2),1/3)))))))</f>
        <v>#VALUE!</v>
      </c>
      <c r="AI1514" t="e">
        <f t="shared" ca="1" si="748"/>
        <v>#VALUE!</v>
      </c>
      <c r="AJ1514" t="e">
        <f t="shared" ca="1" si="749"/>
        <v>#VALUE!</v>
      </c>
      <c r="AM1514">
        <v>0</v>
      </c>
      <c r="AN1514">
        <v>0</v>
      </c>
      <c r="AO1514">
        <f t="shared" si="750"/>
        <v>0</v>
      </c>
      <c r="AP1514">
        <f t="shared" si="759"/>
        <v>0</v>
      </c>
      <c r="AQ1514" t="e">
        <f t="shared" ca="1" si="751"/>
        <v>#VALUE!</v>
      </c>
      <c r="AR1514" t="e">
        <f t="shared" ca="1" si="752"/>
        <v>#VALUE!</v>
      </c>
      <c r="AS1514" t="e">
        <f t="shared" ca="1" si="753"/>
        <v>#VALUE!</v>
      </c>
    </row>
    <row r="1515" spans="1:45" x14ac:dyDescent="0.35">
      <c r="A1515">
        <v>1366</v>
      </c>
      <c r="B1515">
        <v>1364.8889999999999</v>
      </c>
      <c r="C1515">
        <v>616065.74100000004</v>
      </c>
      <c r="D1515">
        <v>3096639.375</v>
      </c>
      <c r="E1515">
        <v>631.87950000000001</v>
      </c>
      <c r="F1515">
        <v>5.2</v>
      </c>
      <c r="G1515">
        <v>0</v>
      </c>
      <c r="H1515" t="s">
        <v>191</v>
      </c>
      <c r="I1515">
        <v>5.7000000000000002E-2</v>
      </c>
      <c r="J1515">
        <f t="shared" si="754"/>
        <v>1</v>
      </c>
      <c r="K1515">
        <f t="shared" si="755"/>
        <v>51</v>
      </c>
      <c r="L1515" t="e">
        <f t="shared" ca="1" si="756"/>
        <v>#VALUE!</v>
      </c>
      <c r="M1515" t="e">
        <f t="shared" ca="1" si="729"/>
        <v>#VALUE!</v>
      </c>
      <c r="N1515" t="e">
        <f t="shared" ca="1" si="730"/>
        <v>#VALUE!</v>
      </c>
      <c r="O1515" t="e">
        <f t="shared" ca="1" si="731"/>
        <v>#VALUE!</v>
      </c>
      <c r="P1515" t="e">
        <f t="shared" ca="1" si="732"/>
        <v>#VALUE!</v>
      </c>
      <c r="Q1515" t="e">
        <f t="shared" ca="1" si="733"/>
        <v>#VALUE!</v>
      </c>
      <c r="R1515" t="e">
        <f t="shared" ca="1" si="734"/>
        <v>#VALUE!</v>
      </c>
      <c r="S1515" t="e">
        <f t="shared" ca="1" si="735"/>
        <v>#VALUE!</v>
      </c>
      <c r="T1515" t="e">
        <f t="shared" ca="1" si="736"/>
        <v>#VALUE!</v>
      </c>
      <c r="U1515" t="e">
        <f t="shared" ca="1" si="757"/>
        <v>#VALUE!</v>
      </c>
      <c r="V1515" t="e">
        <f t="shared" ca="1" si="758"/>
        <v>#VALUE!</v>
      </c>
      <c r="W1515" t="e">
        <f t="shared" ca="1" si="737"/>
        <v>#VALUE!</v>
      </c>
      <c r="X1515" t="e">
        <f t="shared" ca="1" si="738"/>
        <v>#VALUE!</v>
      </c>
      <c r="Y1515" t="e">
        <f t="shared" ca="1" si="739"/>
        <v>#VALUE!</v>
      </c>
      <c r="Z1515" t="e">
        <f t="shared" ca="1" si="740"/>
        <v>#VALUE!</v>
      </c>
      <c r="AA1515" t="e">
        <f t="shared" ca="1" si="741"/>
        <v>#VALUE!</v>
      </c>
      <c r="AB1515" t="e">
        <f t="shared" ca="1" si="742"/>
        <v>#VALUE!</v>
      </c>
      <c r="AC1515" t="e">
        <f t="shared" ca="1" si="743"/>
        <v>#VALUE!</v>
      </c>
      <c r="AD1515" t="e">
        <f t="shared" ca="1" si="744"/>
        <v>#VALUE!</v>
      </c>
      <c r="AE1515" t="e">
        <f t="shared" ca="1" si="745"/>
        <v>#VALUE!</v>
      </c>
      <c r="AF1515" t="e">
        <f t="shared" ca="1" si="746"/>
        <v>#VALUE!</v>
      </c>
      <c r="AG1515" t="e">
        <f t="shared" ca="1" si="747"/>
        <v>#VALUE!</v>
      </c>
      <c r="AH1515" t="e">
        <f ca="1">IF(V32="Supercritical",L1515,IF(V32="Subcritical",W1515,IF(AND(V1515=1,AG1515=1),IF(T1515&gt;=AE1515,L1515,W1515),IF(V1515=1,L1515,IF(AG1515=1,W1515,MAX($D$16,POWER((ABS(K1515)^2)/($I$5*MAX(F1515,0.1)^2),1/3)))))))</f>
        <v>#VALUE!</v>
      </c>
      <c r="AI1515" t="e">
        <f t="shared" ca="1" si="748"/>
        <v>#VALUE!</v>
      </c>
      <c r="AJ1515" t="e">
        <f t="shared" ca="1" si="749"/>
        <v>#VALUE!</v>
      </c>
      <c r="AM1515">
        <v>0</v>
      </c>
      <c r="AN1515">
        <v>0</v>
      </c>
      <c r="AO1515">
        <f t="shared" si="750"/>
        <v>0</v>
      </c>
      <c r="AP1515">
        <f t="shared" si="759"/>
        <v>0</v>
      </c>
      <c r="AQ1515" t="e">
        <f t="shared" ca="1" si="751"/>
        <v>#VALUE!</v>
      </c>
      <c r="AR1515" t="e">
        <f t="shared" ca="1" si="752"/>
        <v>#VALUE!</v>
      </c>
      <c r="AS1515" t="e">
        <f t="shared" ca="1" si="753"/>
        <v>#VALUE!</v>
      </c>
    </row>
    <row r="1516" spans="1:45" x14ac:dyDescent="0.35">
      <c r="A1516">
        <v>1367</v>
      </c>
      <c r="B1516">
        <v>1365.8889999999999</v>
      </c>
      <c r="C1516">
        <v>616065.69900000002</v>
      </c>
      <c r="D1516">
        <v>3096638.3760000002</v>
      </c>
      <c r="E1516">
        <v>631.87900000000002</v>
      </c>
      <c r="F1516">
        <v>5.2</v>
      </c>
      <c r="G1516">
        <v>0</v>
      </c>
      <c r="H1516" t="s">
        <v>191</v>
      </c>
      <c r="I1516">
        <v>0.57499999999999996</v>
      </c>
      <c r="J1516">
        <f t="shared" si="754"/>
        <v>1</v>
      </c>
      <c r="K1516">
        <f t="shared" si="755"/>
        <v>51</v>
      </c>
      <c r="L1516" t="e">
        <f t="shared" ca="1" si="756"/>
        <v>#VALUE!</v>
      </c>
      <c r="M1516" t="e">
        <f t="shared" ca="1" si="729"/>
        <v>#VALUE!</v>
      </c>
      <c r="N1516" t="e">
        <f t="shared" ca="1" si="730"/>
        <v>#VALUE!</v>
      </c>
      <c r="O1516" t="e">
        <f t="shared" ca="1" si="731"/>
        <v>#VALUE!</v>
      </c>
      <c r="P1516" t="e">
        <f t="shared" ca="1" si="732"/>
        <v>#VALUE!</v>
      </c>
      <c r="Q1516" t="e">
        <f t="shared" ca="1" si="733"/>
        <v>#VALUE!</v>
      </c>
      <c r="R1516" t="e">
        <f t="shared" ca="1" si="734"/>
        <v>#VALUE!</v>
      </c>
      <c r="S1516" t="e">
        <f t="shared" ca="1" si="735"/>
        <v>#VALUE!</v>
      </c>
      <c r="T1516" t="e">
        <f t="shared" ca="1" si="736"/>
        <v>#VALUE!</v>
      </c>
      <c r="U1516" t="e">
        <f t="shared" ca="1" si="757"/>
        <v>#VALUE!</v>
      </c>
      <c r="V1516" t="e">
        <f t="shared" ca="1" si="758"/>
        <v>#VALUE!</v>
      </c>
      <c r="W1516" t="e">
        <f t="shared" ca="1" si="737"/>
        <v>#VALUE!</v>
      </c>
      <c r="X1516" t="e">
        <f t="shared" ca="1" si="738"/>
        <v>#VALUE!</v>
      </c>
      <c r="Y1516" t="e">
        <f t="shared" ca="1" si="739"/>
        <v>#VALUE!</v>
      </c>
      <c r="Z1516" t="e">
        <f t="shared" ca="1" si="740"/>
        <v>#VALUE!</v>
      </c>
      <c r="AA1516" t="e">
        <f t="shared" ca="1" si="741"/>
        <v>#VALUE!</v>
      </c>
      <c r="AB1516" t="e">
        <f t="shared" ca="1" si="742"/>
        <v>#VALUE!</v>
      </c>
      <c r="AC1516" t="e">
        <f t="shared" ca="1" si="743"/>
        <v>#VALUE!</v>
      </c>
      <c r="AD1516" t="e">
        <f t="shared" ca="1" si="744"/>
        <v>#VALUE!</v>
      </c>
      <c r="AE1516" t="e">
        <f t="shared" ca="1" si="745"/>
        <v>#VALUE!</v>
      </c>
      <c r="AF1516" t="e">
        <f t="shared" ca="1" si="746"/>
        <v>#VALUE!</v>
      </c>
      <c r="AG1516" t="e">
        <f t="shared" ca="1" si="747"/>
        <v>#VALUE!</v>
      </c>
      <c r="AH1516" t="e">
        <f ca="1">IF(V32="Supercritical",L1516,IF(V32="Subcritical",W1516,IF(AND(V1516=1,AG1516=1),IF(T1516&gt;=AE1516,L1516,W1516),IF(V1516=1,L1516,IF(AG1516=1,W1516,MAX($D$16,POWER((ABS(K1516)^2)/($I$5*MAX(F1516,0.1)^2),1/3)))))))</f>
        <v>#VALUE!</v>
      </c>
      <c r="AI1516" t="e">
        <f t="shared" ca="1" si="748"/>
        <v>#VALUE!</v>
      </c>
      <c r="AJ1516" t="e">
        <f t="shared" ca="1" si="749"/>
        <v>#VALUE!</v>
      </c>
      <c r="AM1516">
        <v>0</v>
      </c>
      <c r="AN1516">
        <v>0</v>
      </c>
      <c r="AO1516">
        <f t="shared" si="750"/>
        <v>0</v>
      </c>
      <c r="AP1516">
        <f t="shared" si="759"/>
        <v>0</v>
      </c>
      <c r="AQ1516" t="e">
        <f t="shared" ca="1" si="751"/>
        <v>#VALUE!</v>
      </c>
      <c r="AR1516" t="e">
        <f t="shared" ca="1" si="752"/>
        <v>#VALUE!</v>
      </c>
      <c r="AS1516" t="e">
        <f t="shared" ca="1" si="753"/>
        <v>#VALUE!</v>
      </c>
    </row>
    <row r="1517" spans="1:45" x14ac:dyDescent="0.35">
      <c r="A1517">
        <v>1368</v>
      </c>
      <c r="B1517">
        <v>1366.89</v>
      </c>
      <c r="C1517">
        <v>616065.66700000002</v>
      </c>
      <c r="D1517">
        <v>3096637.3760000002</v>
      </c>
      <c r="E1517">
        <v>631.87850000000003</v>
      </c>
      <c r="F1517">
        <v>5.1989999999999998</v>
      </c>
      <c r="G1517">
        <v>0</v>
      </c>
      <c r="H1517" t="s">
        <v>191</v>
      </c>
      <c r="I1517">
        <v>2.177</v>
      </c>
      <c r="J1517">
        <f t="shared" si="754"/>
        <v>1.0010000000002037</v>
      </c>
      <c r="K1517">
        <f t="shared" si="755"/>
        <v>51</v>
      </c>
      <c r="L1517" t="e">
        <f t="shared" ca="1" si="756"/>
        <v>#VALUE!</v>
      </c>
      <c r="M1517" t="e">
        <f t="shared" ca="1" si="729"/>
        <v>#VALUE!</v>
      </c>
      <c r="N1517" t="e">
        <f t="shared" ca="1" si="730"/>
        <v>#VALUE!</v>
      </c>
      <c r="O1517" t="e">
        <f t="shared" ca="1" si="731"/>
        <v>#VALUE!</v>
      </c>
      <c r="P1517" t="e">
        <f t="shared" ca="1" si="732"/>
        <v>#VALUE!</v>
      </c>
      <c r="Q1517" t="e">
        <f t="shared" ca="1" si="733"/>
        <v>#VALUE!</v>
      </c>
      <c r="R1517" t="e">
        <f t="shared" ca="1" si="734"/>
        <v>#VALUE!</v>
      </c>
      <c r="S1517" t="e">
        <f t="shared" ca="1" si="735"/>
        <v>#VALUE!</v>
      </c>
      <c r="T1517" t="e">
        <f t="shared" ca="1" si="736"/>
        <v>#VALUE!</v>
      </c>
      <c r="U1517" t="e">
        <f t="shared" ca="1" si="757"/>
        <v>#VALUE!</v>
      </c>
      <c r="V1517" t="e">
        <f t="shared" ca="1" si="758"/>
        <v>#VALUE!</v>
      </c>
      <c r="W1517" t="e">
        <f t="shared" ca="1" si="737"/>
        <v>#VALUE!</v>
      </c>
      <c r="X1517" t="e">
        <f t="shared" ca="1" si="738"/>
        <v>#VALUE!</v>
      </c>
      <c r="Y1517" t="e">
        <f t="shared" ca="1" si="739"/>
        <v>#VALUE!</v>
      </c>
      <c r="Z1517" t="e">
        <f t="shared" ca="1" si="740"/>
        <v>#VALUE!</v>
      </c>
      <c r="AA1517" t="e">
        <f t="shared" ca="1" si="741"/>
        <v>#VALUE!</v>
      </c>
      <c r="AB1517" t="e">
        <f t="shared" ca="1" si="742"/>
        <v>#VALUE!</v>
      </c>
      <c r="AC1517" t="e">
        <f t="shared" ca="1" si="743"/>
        <v>#VALUE!</v>
      </c>
      <c r="AD1517" t="e">
        <f t="shared" ca="1" si="744"/>
        <v>#VALUE!</v>
      </c>
      <c r="AE1517" t="e">
        <f t="shared" ca="1" si="745"/>
        <v>#VALUE!</v>
      </c>
      <c r="AF1517" t="e">
        <f t="shared" ca="1" si="746"/>
        <v>#VALUE!</v>
      </c>
      <c r="AG1517" t="e">
        <f t="shared" ca="1" si="747"/>
        <v>#VALUE!</v>
      </c>
      <c r="AH1517" t="e">
        <f ca="1">IF(V32="Supercritical",L1517,IF(V32="Subcritical",W1517,IF(AND(V1517=1,AG1517=1),IF(T1517&gt;=AE1517,L1517,W1517),IF(V1517=1,L1517,IF(AG1517=1,W1517,MAX($D$16,POWER((ABS(K1517)^2)/($I$5*MAX(F1517,0.1)^2),1/3)))))))</f>
        <v>#VALUE!</v>
      </c>
      <c r="AI1517" t="e">
        <f t="shared" ca="1" si="748"/>
        <v>#VALUE!</v>
      </c>
      <c r="AJ1517" t="e">
        <f t="shared" ca="1" si="749"/>
        <v>#VALUE!</v>
      </c>
      <c r="AM1517">
        <v>0</v>
      </c>
      <c r="AN1517">
        <v>0</v>
      </c>
      <c r="AO1517">
        <f t="shared" si="750"/>
        <v>0</v>
      </c>
      <c r="AP1517">
        <f t="shared" si="759"/>
        <v>0</v>
      </c>
      <c r="AQ1517" t="e">
        <f t="shared" ca="1" si="751"/>
        <v>#VALUE!</v>
      </c>
      <c r="AR1517" t="e">
        <f t="shared" ca="1" si="752"/>
        <v>#VALUE!</v>
      </c>
      <c r="AS1517" t="e">
        <f t="shared" ca="1" si="753"/>
        <v>#VALUE!</v>
      </c>
    </row>
    <row r="1518" spans="1:45" x14ac:dyDescent="0.35">
      <c r="A1518">
        <v>1369</v>
      </c>
      <c r="B1518">
        <v>1367.89</v>
      </c>
      <c r="C1518">
        <v>616065.67299999995</v>
      </c>
      <c r="D1518">
        <v>3096636.3760000002</v>
      </c>
      <c r="E1518">
        <v>631.87800000000004</v>
      </c>
      <c r="F1518">
        <v>5.1989999999999998</v>
      </c>
      <c r="G1518">
        <v>0</v>
      </c>
      <c r="H1518" t="s">
        <v>191</v>
      </c>
      <c r="I1518">
        <v>5.7000000000000002E-2</v>
      </c>
      <c r="J1518">
        <f t="shared" si="754"/>
        <v>1</v>
      </c>
      <c r="K1518">
        <f t="shared" si="755"/>
        <v>51</v>
      </c>
      <c r="L1518" t="e">
        <f t="shared" ca="1" si="756"/>
        <v>#VALUE!</v>
      </c>
      <c r="M1518" t="e">
        <f t="shared" ca="1" si="729"/>
        <v>#VALUE!</v>
      </c>
      <c r="N1518" t="e">
        <f t="shared" ca="1" si="730"/>
        <v>#VALUE!</v>
      </c>
      <c r="O1518" t="e">
        <f t="shared" ca="1" si="731"/>
        <v>#VALUE!</v>
      </c>
      <c r="P1518" t="e">
        <f t="shared" ca="1" si="732"/>
        <v>#VALUE!</v>
      </c>
      <c r="Q1518" t="e">
        <f t="shared" ca="1" si="733"/>
        <v>#VALUE!</v>
      </c>
      <c r="R1518" t="e">
        <f t="shared" ca="1" si="734"/>
        <v>#VALUE!</v>
      </c>
      <c r="S1518" t="e">
        <f t="shared" ca="1" si="735"/>
        <v>#VALUE!</v>
      </c>
      <c r="T1518" t="e">
        <f t="shared" ca="1" si="736"/>
        <v>#VALUE!</v>
      </c>
      <c r="U1518" t="e">
        <f t="shared" ca="1" si="757"/>
        <v>#VALUE!</v>
      </c>
      <c r="V1518" t="e">
        <f t="shared" ca="1" si="758"/>
        <v>#VALUE!</v>
      </c>
      <c r="W1518" t="e">
        <f t="shared" ca="1" si="737"/>
        <v>#VALUE!</v>
      </c>
      <c r="X1518" t="e">
        <f t="shared" ca="1" si="738"/>
        <v>#VALUE!</v>
      </c>
      <c r="Y1518" t="e">
        <f t="shared" ca="1" si="739"/>
        <v>#VALUE!</v>
      </c>
      <c r="Z1518" t="e">
        <f t="shared" ca="1" si="740"/>
        <v>#VALUE!</v>
      </c>
      <c r="AA1518" t="e">
        <f t="shared" ca="1" si="741"/>
        <v>#VALUE!</v>
      </c>
      <c r="AB1518" t="e">
        <f t="shared" ca="1" si="742"/>
        <v>#VALUE!</v>
      </c>
      <c r="AC1518" t="e">
        <f t="shared" ca="1" si="743"/>
        <v>#VALUE!</v>
      </c>
      <c r="AD1518" t="e">
        <f t="shared" ca="1" si="744"/>
        <v>#VALUE!</v>
      </c>
      <c r="AE1518" t="e">
        <f t="shared" ca="1" si="745"/>
        <v>#VALUE!</v>
      </c>
      <c r="AF1518" t="e">
        <f t="shared" ca="1" si="746"/>
        <v>#VALUE!</v>
      </c>
      <c r="AG1518" t="e">
        <f t="shared" ca="1" si="747"/>
        <v>#VALUE!</v>
      </c>
      <c r="AH1518" t="e">
        <f ca="1">IF(V32="Supercritical",L1518,IF(V32="Subcritical",W1518,IF(AND(V1518=1,AG1518=1),IF(T1518&gt;=AE1518,L1518,W1518),IF(V1518=1,L1518,IF(AG1518=1,W1518,MAX($D$16,POWER((ABS(K1518)^2)/($I$5*MAX(F1518,0.1)^2),1/3)))))))</f>
        <v>#VALUE!</v>
      </c>
      <c r="AI1518" t="e">
        <f t="shared" ca="1" si="748"/>
        <v>#VALUE!</v>
      </c>
      <c r="AJ1518" t="e">
        <f t="shared" ca="1" si="749"/>
        <v>#VALUE!</v>
      </c>
      <c r="AM1518">
        <v>0</v>
      </c>
      <c r="AN1518">
        <v>0</v>
      </c>
      <c r="AO1518">
        <f t="shared" si="750"/>
        <v>0</v>
      </c>
      <c r="AP1518">
        <f t="shared" si="759"/>
        <v>0</v>
      </c>
      <c r="AQ1518" t="e">
        <f t="shared" ca="1" si="751"/>
        <v>#VALUE!</v>
      </c>
      <c r="AR1518" t="e">
        <f t="shared" ca="1" si="752"/>
        <v>#VALUE!</v>
      </c>
      <c r="AS1518" t="e">
        <f t="shared" ca="1" si="753"/>
        <v>#VALUE!</v>
      </c>
    </row>
    <row r="1519" spans="1:45" x14ac:dyDescent="0.35">
      <c r="A1519">
        <v>1370</v>
      </c>
      <c r="B1519">
        <v>1368.89</v>
      </c>
      <c r="C1519">
        <v>616065.68000000005</v>
      </c>
      <c r="D1519">
        <v>3096635.3760000002</v>
      </c>
      <c r="E1519">
        <v>631.87779999999998</v>
      </c>
      <c r="F1519">
        <v>5.1989999999999998</v>
      </c>
      <c r="G1519">
        <v>0</v>
      </c>
      <c r="H1519" t="s">
        <v>191</v>
      </c>
      <c r="I1519">
        <v>5.7000000000000002E-2</v>
      </c>
      <c r="J1519">
        <f t="shared" si="754"/>
        <v>1</v>
      </c>
      <c r="K1519">
        <f t="shared" si="755"/>
        <v>51</v>
      </c>
      <c r="L1519" t="e">
        <f t="shared" ca="1" si="756"/>
        <v>#VALUE!</v>
      </c>
      <c r="M1519" t="e">
        <f t="shared" ca="1" si="729"/>
        <v>#VALUE!</v>
      </c>
      <c r="N1519" t="e">
        <f t="shared" ca="1" si="730"/>
        <v>#VALUE!</v>
      </c>
      <c r="O1519" t="e">
        <f t="shared" ca="1" si="731"/>
        <v>#VALUE!</v>
      </c>
      <c r="P1519" t="e">
        <f t="shared" ca="1" si="732"/>
        <v>#VALUE!</v>
      </c>
      <c r="Q1519" t="e">
        <f t="shared" ca="1" si="733"/>
        <v>#VALUE!</v>
      </c>
      <c r="R1519" t="e">
        <f t="shared" ca="1" si="734"/>
        <v>#VALUE!</v>
      </c>
      <c r="S1519" t="e">
        <f t="shared" ca="1" si="735"/>
        <v>#VALUE!</v>
      </c>
      <c r="T1519" t="e">
        <f t="shared" ca="1" si="736"/>
        <v>#VALUE!</v>
      </c>
      <c r="U1519" t="e">
        <f t="shared" ca="1" si="757"/>
        <v>#VALUE!</v>
      </c>
      <c r="V1519" t="e">
        <f t="shared" ca="1" si="758"/>
        <v>#VALUE!</v>
      </c>
      <c r="W1519" t="e">
        <f t="shared" ca="1" si="737"/>
        <v>#VALUE!</v>
      </c>
      <c r="X1519" t="e">
        <f t="shared" ca="1" si="738"/>
        <v>#VALUE!</v>
      </c>
      <c r="Y1519" t="e">
        <f t="shared" ca="1" si="739"/>
        <v>#VALUE!</v>
      </c>
      <c r="Z1519" t="e">
        <f t="shared" ca="1" si="740"/>
        <v>#VALUE!</v>
      </c>
      <c r="AA1519" t="e">
        <f t="shared" ca="1" si="741"/>
        <v>#VALUE!</v>
      </c>
      <c r="AB1519" t="e">
        <f t="shared" ca="1" si="742"/>
        <v>#VALUE!</v>
      </c>
      <c r="AC1519" t="e">
        <f t="shared" ca="1" si="743"/>
        <v>#VALUE!</v>
      </c>
      <c r="AD1519" t="e">
        <f t="shared" ca="1" si="744"/>
        <v>#VALUE!</v>
      </c>
      <c r="AE1519" t="e">
        <f t="shared" ca="1" si="745"/>
        <v>#VALUE!</v>
      </c>
      <c r="AF1519" t="e">
        <f t="shared" ca="1" si="746"/>
        <v>#VALUE!</v>
      </c>
      <c r="AG1519" t="e">
        <f t="shared" ca="1" si="747"/>
        <v>#VALUE!</v>
      </c>
      <c r="AH1519" t="e">
        <f ca="1">IF(V32="Supercritical",L1519,IF(V32="Subcritical",W1519,IF(AND(V1519=1,AG1519=1),IF(T1519&gt;=AE1519,L1519,W1519),IF(V1519=1,L1519,IF(AG1519=1,W1519,MAX($D$16,POWER((ABS(K1519)^2)/($I$5*MAX(F1519,0.1)^2),1/3)))))))</f>
        <v>#VALUE!</v>
      </c>
      <c r="AI1519" t="e">
        <f t="shared" ca="1" si="748"/>
        <v>#VALUE!</v>
      </c>
      <c r="AJ1519" t="e">
        <f t="shared" ca="1" si="749"/>
        <v>#VALUE!</v>
      </c>
      <c r="AM1519">
        <v>0</v>
      </c>
      <c r="AN1519">
        <v>0</v>
      </c>
      <c r="AO1519">
        <f t="shared" si="750"/>
        <v>0</v>
      </c>
      <c r="AP1519">
        <f t="shared" si="759"/>
        <v>0</v>
      </c>
      <c r="AQ1519" t="e">
        <f t="shared" ca="1" si="751"/>
        <v>#VALUE!</v>
      </c>
      <c r="AR1519" t="e">
        <f t="shared" ca="1" si="752"/>
        <v>#VALUE!</v>
      </c>
      <c r="AS1519" t="e">
        <f t="shared" ca="1" si="753"/>
        <v>#VALUE!</v>
      </c>
    </row>
    <row r="1520" spans="1:45" x14ac:dyDescent="0.35">
      <c r="A1520">
        <v>1371</v>
      </c>
      <c r="B1520">
        <v>1369.89</v>
      </c>
      <c r="C1520">
        <v>616065.68599999999</v>
      </c>
      <c r="D1520">
        <v>3096634.3760000002</v>
      </c>
      <c r="E1520">
        <v>631.87760000000003</v>
      </c>
      <c r="F1520">
        <v>5.1989999999999998</v>
      </c>
      <c r="G1520">
        <v>0</v>
      </c>
      <c r="H1520" t="s">
        <v>191</v>
      </c>
      <c r="I1520">
        <v>0</v>
      </c>
      <c r="J1520">
        <f t="shared" si="754"/>
        <v>1</v>
      </c>
      <c r="K1520">
        <f t="shared" si="755"/>
        <v>51</v>
      </c>
      <c r="L1520" t="e">
        <f t="shared" ca="1" si="756"/>
        <v>#VALUE!</v>
      </c>
      <c r="M1520" t="e">
        <f t="shared" ca="1" si="729"/>
        <v>#VALUE!</v>
      </c>
      <c r="N1520" t="e">
        <f t="shared" ca="1" si="730"/>
        <v>#VALUE!</v>
      </c>
      <c r="O1520" t="e">
        <f t="shared" ca="1" si="731"/>
        <v>#VALUE!</v>
      </c>
      <c r="P1520" t="e">
        <f t="shared" ca="1" si="732"/>
        <v>#VALUE!</v>
      </c>
      <c r="Q1520" t="e">
        <f t="shared" ca="1" si="733"/>
        <v>#VALUE!</v>
      </c>
      <c r="R1520" t="e">
        <f t="shared" ca="1" si="734"/>
        <v>#VALUE!</v>
      </c>
      <c r="S1520" t="e">
        <f t="shared" ca="1" si="735"/>
        <v>#VALUE!</v>
      </c>
      <c r="T1520" t="e">
        <f t="shared" ca="1" si="736"/>
        <v>#VALUE!</v>
      </c>
      <c r="U1520" t="e">
        <f t="shared" ca="1" si="757"/>
        <v>#VALUE!</v>
      </c>
      <c r="V1520" t="e">
        <f t="shared" ca="1" si="758"/>
        <v>#VALUE!</v>
      </c>
      <c r="W1520" t="e">
        <f t="shared" ca="1" si="737"/>
        <v>#VALUE!</v>
      </c>
      <c r="X1520" t="e">
        <f t="shared" ca="1" si="738"/>
        <v>#VALUE!</v>
      </c>
      <c r="Y1520" t="e">
        <f t="shared" ca="1" si="739"/>
        <v>#VALUE!</v>
      </c>
      <c r="Z1520" t="e">
        <f t="shared" ca="1" si="740"/>
        <v>#VALUE!</v>
      </c>
      <c r="AA1520" t="e">
        <f t="shared" ca="1" si="741"/>
        <v>#VALUE!</v>
      </c>
      <c r="AB1520" t="e">
        <f t="shared" ca="1" si="742"/>
        <v>#VALUE!</v>
      </c>
      <c r="AC1520" t="e">
        <f t="shared" ca="1" si="743"/>
        <v>#VALUE!</v>
      </c>
      <c r="AD1520" t="e">
        <f t="shared" ca="1" si="744"/>
        <v>#VALUE!</v>
      </c>
      <c r="AE1520" t="e">
        <f t="shared" ca="1" si="745"/>
        <v>#VALUE!</v>
      </c>
      <c r="AF1520" t="e">
        <f t="shared" ca="1" si="746"/>
        <v>#VALUE!</v>
      </c>
      <c r="AG1520" t="e">
        <f t="shared" ca="1" si="747"/>
        <v>#VALUE!</v>
      </c>
      <c r="AH1520" t="e">
        <f ca="1">IF(V32="Supercritical",L1520,IF(V32="Subcritical",W1520,IF(AND(V1520=1,AG1520=1),IF(T1520&gt;=AE1520,L1520,W1520),IF(V1520=1,L1520,IF(AG1520=1,W1520,MAX($D$16,POWER((ABS(K1520)^2)/($I$5*MAX(F1520,0.1)^2),1/3)))))))</f>
        <v>#VALUE!</v>
      </c>
      <c r="AI1520" t="e">
        <f t="shared" ca="1" si="748"/>
        <v>#VALUE!</v>
      </c>
      <c r="AJ1520" t="e">
        <f t="shared" ca="1" si="749"/>
        <v>#VALUE!</v>
      </c>
      <c r="AM1520">
        <v>0</v>
      </c>
      <c r="AN1520">
        <v>0</v>
      </c>
      <c r="AO1520">
        <f t="shared" si="750"/>
        <v>0</v>
      </c>
      <c r="AP1520">
        <f t="shared" si="759"/>
        <v>0</v>
      </c>
      <c r="AQ1520" t="e">
        <f t="shared" ca="1" si="751"/>
        <v>#VALUE!</v>
      </c>
      <c r="AR1520" t="e">
        <f t="shared" ca="1" si="752"/>
        <v>#VALUE!</v>
      </c>
      <c r="AS1520" t="e">
        <f t="shared" ca="1" si="753"/>
        <v>#VALUE!</v>
      </c>
    </row>
    <row r="1521" spans="1:45" x14ac:dyDescent="0.35">
      <c r="A1521">
        <v>1372</v>
      </c>
      <c r="B1521">
        <v>1370.89</v>
      </c>
      <c r="C1521">
        <v>616065.69200000004</v>
      </c>
      <c r="D1521">
        <v>3096633.3760000002</v>
      </c>
      <c r="E1521">
        <v>631.87739999999997</v>
      </c>
      <c r="F1521">
        <v>5.1989999999999998</v>
      </c>
      <c r="G1521">
        <v>0</v>
      </c>
      <c r="H1521" t="s">
        <v>191</v>
      </c>
      <c r="I1521">
        <v>0</v>
      </c>
      <c r="J1521">
        <f t="shared" si="754"/>
        <v>1</v>
      </c>
      <c r="K1521">
        <f t="shared" si="755"/>
        <v>51</v>
      </c>
      <c r="L1521" t="e">
        <f t="shared" ca="1" si="756"/>
        <v>#VALUE!</v>
      </c>
      <c r="M1521" t="e">
        <f t="shared" ca="1" si="729"/>
        <v>#VALUE!</v>
      </c>
      <c r="N1521" t="e">
        <f t="shared" ca="1" si="730"/>
        <v>#VALUE!</v>
      </c>
      <c r="O1521" t="e">
        <f t="shared" ca="1" si="731"/>
        <v>#VALUE!</v>
      </c>
      <c r="P1521" t="e">
        <f t="shared" ca="1" si="732"/>
        <v>#VALUE!</v>
      </c>
      <c r="Q1521" t="e">
        <f t="shared" ca="1" si="733"/>
        <v>#VALUE!</v>
      </c>
      <c r="R1521" t="e">
        <f t="shared" ca="1" si="734"/>
        <v>#VALUE!</v>
      </c>
      <c r="S1521" t="e">
        <f t="shared" ca="1" si="735"/>
        <v>#VALUE!</v>
      </c>
      <c r="T1521" t="e">
        <f t="shared" ca="1" si="736"/>
        <v>#VALUE!</v>
      </c>
      <c r="U1521" t="e">
        <f t="shared" ca="1" si="757"/>
        <v>#VALUE!</v>
      </c>
      <c r="V1521" t="e">
        <f t="shared" ca="1" si="758"/>
        <v>#VALUE!</v>
      </c>
      <c r="W1521" t="e">
        <f t="shared" ca="1" si="737"/>
        <v>#VALUE!</v>
      </c>
      <c r="X1521" t="e">
        <f t="shared" ca="1" si="738"/>
        <v>#VALUE!</v>
      </c>
      <c r="Y1521" t="e">
        <f t="shared" ca="1" si="739"/>
        <v>#VALUE!</v>
      </c>
      <c r="Z1521" t="e">
        <f t="shared" ca="1" si="740"/>
        <v>#VALUE!</v>
      </c>
      <c r="AA1521" t="e">
        <f t="shared" ca="1" si="741"/>
        <v>#VALUE!</v>
      </c>
      <c r="AB1521" t="e">
        <f t="shared" ca="1" si="742"/>
        <v>#VALUE!</v>
      </c>
      <c r="AC1521" t="e">
        <f t="shared" ca="1" si="743"/>
        <v>#VALUE!</v>
      </c>
      <c r="AD1521" t="e">
        <f t="shared" ca="1" si="744"/>
        <v>#VALUE!</v>
      </c>
      <c r="AE1521" t="e">
        <f t="shared" ca="1" si="745"/>
        <v>#VALUE!</v>
      </c>
      <c r="AF1521" t="e">
        <f t="shared" ca="1" si="746"/>
        <v>#VALUE!</v>
      </c>
      <c r="AG1521" t="e">
        <f t="shared" ca="1" si="747"/>
        <v>#VALUE!</v>
      </c>
      <c r="AH1521" t="e">
        <f ca="1">IF(V32="Supercritical",L1521,IF(V32="Subcritical",W1521,IF(AND(V1521=1,AG1521=1),IF(T1521&gt;=AE1521,L1521,W1521),IF(V1521=1,L1521,IF(AG1521=1,W1521,MAX($D$16,POWER((ABS(K1521)^2)/($I$5*MAX(F1521,0.1)^2),1/3)))))))</f>
        <v>#VALUE!</v>
      </c>
      <c r="AI1521" t="e">
        <f t="shared" ca="1" si="748"/>
        <v>#VALUE!</v>
      </c>
      <c r="AJ1521" t="e">
        <f t="shared" ca="1" si="749"/>
        <v>#VALUE!</v>
      </c>
      <c r="AM1521">
        <v>0</v>
      </c>
      <c r="AN1521">
        <v>0</v>
      </c>
      <c r="AO1521">
        <f t="shared" si="750"/>
        <v>0</v>
      </c>
      <c r="AP1521">
        <f t="shared" si="759"/>
        <v>0</v>
      </c>
      <c r="AQ1521" t="e">
        <f t="shared" ca="1" si="751"/>
        <v>#VALUE!</v>
      </c>
      <c r="AR1521" t="e">
        <f t="shared" ca="1" si="752"/>
        <v>#VALUE!</v>
      </c>
      <c r="AS1521" t="e">
        <f t="shared" ca="1" si="753"/>
        <v>#VALUE!</v>
      </c>
    </row>
    <row r="1522" spans="1:45" x14ac:dyDescent="0.35">
      <c r="A1522">
        <v>1373</v>
      </c>
      <c r="B1522">
        <v>1371.8889999999999</v>
      </c>
      <c r="C1522">
        <v>616065.69799999997</v>
      </c>
      <c r="D1522">
        <v>3096632.3769999999</v>
      </c>
      <c r="E1522">
        <v>631.87720000000002</v>
      </c>
      <c r="F1522">
        <v>5.2</v>
      </c>
      <c r="G1522">
        <v>0</v>
      </c>
      <c r="H1522" t="s">
        <v>191</v>
      </c>
      <c r="I1522">
        <v>5.7000000000000002E-2</v>
      </c>
      <c r="J1522">
        <f t="shared" si="754"/>
        <v>0.99899999999979627</v>
      </c>
      <c r="K1522">
        <f t="shared" si="755"/>
        <v>51</v>
      </c>
      <c r="L1522" t="e">
        <f t="shared" ca="1" si="756"/>
        <v>#VALUE!</v>
      </c>
      <c r="M1522" t="e">
        <f t="shared" ca="1" si="729"/>
        <v>#VALUE!</v>
      </c>
      <c r="N1522" t="e">
        <f t="shared" ca="1" si="730"/>
        <v>#VALUE!</v>
      </c>
      <c r="O1522" t="e">
        <f t="shared" ca="1" si="731"/>
        <v>#VALUE!</v>
      </c>
      <c r="P1522" t="e">
        <f t="shared" ca="1" si="732"/>
        <v>#VALUE!</v>
      </c>
      <c r="Q1522" t="e">
        <f t="shared" ca="1" si="733"/>
        <v>#VALUE!</v>
      </c>
      <c r="R1522" t="e">
        <f t="shared" ca="1" si="734"/>
        <v>#VALUE!</v>
      </c>
      <c r="S1522" t="e">
        <f t="shared" ca="1" si="735"/>
        <v>#VALUE!</v>
      </c>
      <c r="T1522" t="e">
        <f t="shared" ca="1" si="736"/>
        <v>#VALUE!</v>
      </c>
      <c r="U1522" t="e">
        <f t="shared" ca="1" si="757"/>
        <v>#VALUE!</v>
      </c>
      <c r="V1522" t="e">
        <f t="shared" ca="1" si="758"/>
        <v>#VALUE!</v>
      </c>
      <c r="W1522" t="e">
        <f t="shared" ca="1" si="737"/>
        <v>#VALUE!</v>
      </c>
      <c r="X1522" t="e">
        <f t="shared" ca="1" si="738"/>
        <v>#VALUE!</v>
      </c>
      <c r="Y1522" t="e">
        <f t="shared" ca="1" si="739"/>
        <v>#VALUE!</v>
      </c>
      <c r="Z1522" t="e">
        <f t="shared" ca="1" si="740"/>
        <v>#VALUE!</v>
      </c>
      <c r="AA1522" t="e">
        <f t="shared" ca="1" si="741"/>
        <v>#VALUE!</v>
      </c>
      <c r="AB1522" t="e">
        <f t="shared" ca="1" si="742"/>
        <v>#VALUE!</v>
      </c>
      <c r="AC1522" t="e">
        <f t="shared" ca="1" si="743"/>
        <v>#VALUE!</v>
      </c>
      <c r="AD1522" t="e">
        <f t="shared" ca="1" si="744"/>
        <v>#VALUE!</v>
      </c>
      <c r="AE1522" t="e">
        <f t="shared" ca="1" si="745"/>
        <v>#VALUE!</v>
      </c>
      <c r="AF1522" t="e">
        <f t="shared" ca="1" si="746"/>
        <v>#VALUE!</v>
      </c>
      <c r="AG1522" t="e">
        <f t="shared" ca="1" si="747"/>
        <v>#VALUE!</v>
      </c>
      <c r="AH1522" t="e">
        <f ca="1">IF(V32="Supercritical",L1522,IF(V32="Subcritical",W1522,IF(AND(V1522=1,AG1522=1),IF(T1522&gt;=AE1522,L1522,W1522),IF(V1522=1,L1522,IF(AG1522=1,W1522,MAX($D$16,POWER((ABS(K1522)^2)/($I$5*MAX(F1522,0.1)^2),1/3)))))))</f>
        <v>#VALUE!</v>
      </c>
      <c r="AI1522" t="e">
        <f t="shared" ca="1" si="748"/>
        <v>#VALUE!</v>
      </c>
      <c r="AJ1522" t="e">
        <f t="shared" ca="1" si="749"/>
        <v>#VALUE!</v>
      </c>
      <c r="AM1522">
        <v>0</v>
      </c>
      <c r="AN1522">
        <v>0</v>
      </c>
      <c r="AO1522">
        <f t="shared" si="750"/>
        <v>0</v>
      </c>
      <c r="AP1522">
        <f t="shared" si="759"/>
        <v>0</v>
      </c>
      <c r="AQ1522" t="e">
        <f t="shared" ca="1" si="751"/>
        <v>#VALUE!</v>
      </c>
      <c r="AR1522" t="e">
        <f t="shared" ca="1" si="752"/>
        <v>#VALUE!</v>
      </c>
      <c r="AS1522" t="e">
        <f t="shared" ca="1" si="753"/>
        <v>#VALUE!</v>
      </c>
    </row>
    <row r="1523" spans="1:45" x14ac:dyDescent="0.35">
      <c r="A1523">
        <v>1374</v>
      </c>
      <c r="B1523">
        <v>1372.8889999999999</v>
      </c>
      <c r="C1523">
        <v>616065.70499999996</v>
      </c>
      <c r="D1523">
        <v>3096631.3769999999</v>
      </c>
      <c r="E1523">
        <v>631.87699999999995</v>
      </c>
      <c r="F1523">
        <v>5.2</v>
      </c>
      <c r="G1523">
        <v>0</v>
      </c>
      <c r="H1523" t="s">
        <v>191</v>
      </c>
      <c r="I1523">
        <v>5.7000000000000002E-2</v>
      </c>
      <c r="J1523">
        <f t="shared" si="754"/>
        <v>1</v>
      </c>
      <c r="K1523">
        <f t="shared" si="755"/>
        <v>51</v>
      </c>
      <c r="L1523" t="e">
        <f t="shared" ca="1" si="756"/>
        <v>#VALUE!</v>
      </c>
      <c r="M1523" t="e">
        <f t="shared" ca="1" si="729"/>
        <v>#VALUE!</v>
      </c>
      <c r="N1523" t="e">
        <f t="shared" ca="1" si="730"/>
        <v>#VALUE!</v>
      </c>
      <c r="O1523" t="e">
        <f t="shared" ca="1" si="731"/>
        <v>#VALUE!</v>
      </c>
      <c r="P1523" t="e">
        <f t="shared" ca="1" si="732"/>
        <v>#VALUE!</v>
      </c>
      <c r="Q1523" t="e">
        <f t="shared" ca="1" si="733"/>
        <v>#VALUE!</v>
      </c>
      <c r="R1523" t="e">
        <f t="shared" ca="1" si="734"/>
        <v>#VALUE!</v>
      </c>
      <c r="S1523" t="e">
        <f t="shared" ca="1" si="735"/>
        <v>#VALUE!</v>
      </c>
      <c r="T1523" t="e">
        <f t="shared" ca="1" si="736"/>
        <v>#VALUE!</v>
      </c>
      <c r="U1523" t="e">
        <f t="shared" ca="1" si="757"/>
        <v>#VALUE!</v>
      </c>
      <c r="V1523" t="e">
        <f t="shared" ca="1" si="758"/>
        <v>#VALUE!</v>
      </c>
      <c r="W1523" t="e">
        <f t="shared" ca="1" si="737"/>
        <v>#VALUE!</v>
      </c>
      <c r="X1523" t="e">
        <f t="shared" ca="1" si="738"/>
        <v>#VALUE!</v>
      </c>
      <c r="Y1523" t="e">
        <f t="shared" ca="1" si="739"/>
        <v>#VALUE!</v>
      </c>
      <c r="Z1523" t="e">
        <f t="shared" ca="1" si="740"/>
        <v>#VALUE!</v>
      </c>
      <c r="AA1523" t="e">
        <f t="shared" ca="1" si="741"/>
        <v>#VALUE!</v>
      </c>
      <c r="AB1523" t="e">
        <f t="shared" ca="1" si="742"/>
        <v>#VALUE!</v>
      </c>
      <c r="AC1523" t="e">
        <f t="shared" ca="1" si="743"/>
        <v>#VALUE!</v>
      </c>
      <c r="AD1523" t="e">
        <f t="shared" ca="1" si="744"/>
        <v>#VALUE!</v>
      </c>
      <c r="AE1523" t="e">
        <f t="shared" ca="1" si="745"/>
        <v>#VALUE!</v>
      </c>
      <c r="AF1523" t="e">
        <f t="shared" ca="1" si="746"/>
        <v>#VALUE!</v>
      </c>
      <c r="AG1523" t="e">
        <f t="shared" ca="1" si="747"/>
        <v>#VALUE!</v>
      </c>
      <c r="AH1523" t="e">
        <f ca="1">IF(V32="Supercritical",L1523,IF(V32="Subcritical",W1523,IF(AND(V1523=1,AG1523=1),IF(T1523&gt;=AE1523,L1523,W1523),IF(V1523=1,L1523,IF(AG1523=1,W1523,MAX($D$16,POWER((ABS(K1523)^2)/($I$5*MAX(F1523,0.1)^2),1/3)))))))</f>
        <v>#VALUE!</v>
      </c>
      <c r="AI1523" t="e">
        <f t="shared" ca="1" si="748"/>
        <v>#VALUE!</v>
      </c>
      <c r="AJ1523" t="e">
        <f t="shared" ca="1" si="749"/>
        <v>#VALUE!</v>
      </c>
      <c r="AM1523">
        <v>0</v>
      </c>
      <c r="AN1523">
        <v>0</v>
      </c>
      <c r="AO1523">
        <f t="shared" si="750"/>
        <v>0</v>
      </c>
      <c r="AP1523">
        <f t="shared" si="759"/>
        <v>0</v>
      </c>
      <c r="AQ1523" t="e">
        <f t="shared" ca="1" si="751"/>
        <v>#VALUE!</v>
      </c>
      <c r="AR1523" t="e">
        <f t="shared" ca="1" si="752"/>
        <v>#VALUE!</v>
      </c>
      <c r="AS1523" t="e">
        <f t="shared" ca="1" si="753"/>
        <v>#VALUE!</v>
      </c>
    </row>
    <row r="1524" spans="1:45" x14ac:dyDescent="0.35">
      <c r="A1524">
        <v>1375</v>
      </c>
      <c r="B1524">
        <v>1373.8889999999999</v>
      </c>
      <c r="C1524">
        <v>616065.71100000001</v>
      </c>
      <c r="D1524">
        <v>3096630.3769999999</v>
      </c>
      <c r="E1524">
        <v>631.8768</v>
      </c>
      <c r="F1524">
        <v>5.2</v>
      </c>
      <c r="G1524">
        <v>0</v>
      </c>
      <c r="H1524" t="s">
        <v>191</v>
      </c>
      <c r="I1524">
        <v>0</v>
      </c>
      <c r="J1524">
        <f t="shared" si="754"/>
        <v>1</v>
      </c>
      <c r="K1524">
        <f t="shared" si="755"/>
        <v>51</v>
      </c>
      <c r="L1524" t="e">
        <f t="shared" ca="1" si="756"/>
        <v>#VALUE!</v>
      </c>
      <c r="M1524" t="e">
        <f t="shared" ca="1" si="729"/>
        <v>#VALUE!</v>
      </c>
      <c r="N1524" t="e">
        <f t="shared" ca="1" si="730"/>
        <v>#VALUE!</v>
      </c>
      <c r="O1524" t="e">
        <f t="shared" ca="1" si="731"/>
        <v>#VALUE!</v>
      </c>
      <c r="P1524" t="e">
        <f t="shared" ca="1" si="732"/>
        <v>#VALUE!</v>
      </c>
      <c r="Q1524" t="e">
        <f t="shared" ca="1" si="733"/>
        <v>#VALUE!</v>
      </c>
      <c r="R1524" t="e">
        <f t="shared" ca="1" si="734"/>
        <v>#VALUE!</v>
      </c>
      <c r="S1524" t="e">
        <f t="shared" ca="1" si="735"/>
        <v>#VALUE!</v>
      </c>
      <c r="T1524" t="e">
        <f t="shared" ca="1" si="736"/>
        <v>#VALUE!</v>
      </c>
      <c r="U1524" t="e">
        <f t="shared" ca="1" si="757"/>
        <v>#VALUE!</v>
      </c>
      <c r="V1524" t="e">
        <f t="shared" ca="1" si="758"/>
        <v>#VALUE!</v>
      </c>
      <c r="W1524" t="e">
        <f t="shared" ca="1" si="737"/>
        <v>#VALUE!</v>
      </c>
      <c r="X1524" t="e">
        <f t="shared" ca="1" si="738"/>
        <v>#VALUE!</v>
      </c>
      <c r="Y1524" t="e">
        <f t="shared" ca="1" si="739"/>
        <v>#VALUE!</v>
      </c>
      <c r="Z1524" t="e">
        <f t="shared" ca="1" si="740"/>
        <v>#VALUE!</v>
      </c>
      <c r="AA1524" t="e">
        <f t="shared" ca="1" si="741"/>
        <v>#VALUE!</v>
      </c>
      <c r="AB1524" t="e">
        <f t="shared" ca="1" si="742"/>
        <v>#VALUE!</v>
      </c>
      <c r="AC1524" t="e">
        <f t="shared" ca="1" si="743"/>
        <v>#VALUE!</v>
      </c>
      <c r="AD1524" t="e">
        <f t="shared" ca="1" si="744"/>
        <v>#VALUE!</v>
      </c>
      <c r="AE1524" t="e">
        <f t="shared" ca="1" si="745"/>
        <v>#VALUE!</v>
      </c>
      <c r="AF1524" t="e">
        <f t="shared" ca="1" si="746"/>
        <v>#VALUE!</v>
      </c>
      <c r="AG1524" t="e">
        <f t="shared" ca="1" si="747"/>
        <v>#VALUE!</v>
      </c>
      <c r="AH1524" t="e">
        <f ca="1">IF(V32="Supercritical",L1524,IF(V32="Subcritical",W1524,IF(AND(V1524=1,AG1524=1),IF(T1524&gt;=AE1524,L1524,W1524),IF(V1524=1,L1524,IF(AG1524=1,W1524,MAX($D$16,POWER((ABS(K1524)^2)/($I$5*MAX(F1524,0.1)^2),1/3)))))))</f>
        <v>#VALUE!</v>
      </c>
      <c r="AI1524" t="e">
        <f t="shared" ca="1" si="748"/>
        <v>#VALUE!</v>
      </c>
      <c r="AJ1524" t="e">
        <f t="shared" ca="1" si="749"/>
        <v>#VALUE!</v>
      </c>
      <c r="AM1524">
        <v>0</v>
      </c>
      <c r="AN1524">
        <v>0</v>
      </c>
      <c r="AO1524">
        <f t="shared" si="750"/>
        <v>0</v>
      </c>
      <c r="AP1524">
        <f t="shared" si="759"/>
        <v>0</v>
      </c>
      <c r="AQ1524" t="e">
        <f t="shared" ca="1" si="751"/>
        <v>#VALUE!</v>
      </c>
      <c r="AR1524" t="e">
        <f t="shared" ca="1" si="752"/>
        <v>#VALUE!</v>
      </c>
      <c r="AS1524" t="e">
        <f t="shared" ca="1" si="753"/>
        <v>#VALUE!</v>
      </c>
    </row>
    <row r="1525" spans="1:45" x14ac:dyDescent="0.35">
      <c r="A1525">
        <v>1376</v>
      </c>
      <c r="B1525">
        <v>1374.8889999999999</v>
      </c>
      <c r="C1525">
        <v>616065.71699999995</v>
      </c>
      <c r="D1525">
        <v>3096629.3769999999</v>
      </c>
      <c r="E1525">
        <v>631.87660000000005</v>
      </c>
      <c r="F1525">
        <v>5.2</v>
      </c>
      <c r="G1525">
        <v>0</v>
      </c>
      <c r="H1525" t="s">
        <v>191</v>
      </c>
      <c r="I1525">
        <v>0</v>
      </c>
      <c r="J1525">
        <f t="shared" si="754"/>
        <v>1</v>
      </c>
      <c r="K1525">
        <f t="shared" si="755"/>
        <v>51</v>
      </c>
      <c r="L1525" t="e">
        <f t="shared" ca="1" si="756"/>
        <v>#VALUE!</v>
      </c>
      <c r="M1525" t="e">
        <f t="shared" ca="1" si="729"/>
        <v>#VALUE!</v>
      </c>
      <c r="N1525" t="e">
        <f t="shared" ca="1" si="730"/>
        <v>#VALUE!</v>
      </c>
      <c r="O1525" t="e">
        <f t="shared" ca="1" si="731"/>
        <v>#VALUE!</v>
      </c>
      <c r="P1525" t="e">
        <f t="shared" ca="1" si="732"/>
        <v>#VALUE!</v>
      </c>
      <c r="Q1525" t="e">
        <f t="shared" ca="1" si="733"/>
        <v>#VALUE!</v>
      </c>
      <c r="R1525" t="e">
        <f t="shared" ca="1" si="734"/>
        <v>#VALUE!</v>
      </c>
      <c r="S1525" t="e">
        <f t="shared" ca="1" si="735"/>
        <v>#VALUE!</v>
      </c>
      <c r="T1525" t="e">
        <f t="shared" ca="1" si="736"/>
        <v>#VALUE!</v>
      </c>
      <c r="U1525" t="e">
        <f t="shared" ca="1" si="757"/>
        <v>#VALUE!</v>
      </c>
      <c r="V1525" t="e">
        <f t="shared" ca="1" si="758"/>
        <v>#VALUE!</v>
      </c>
      <c r="W1525" t="e">
        <f t="shared" ca="1" si="737"/>
        <v>#VALUE!</v>
      </c>
      <c r="X1525" t="e">
        <f t="shared" ca="1" si="738"/>
        <v>#VALUE!</v>
      </c>
      <c r="Y1525" t="e">
        <f t="shared" ca="1" si="739"/>
        <v>#VALUE!</v>
      </c>
      <c r="Z1525" t="e">
        <f t="shared" ca="1" si="740"/>
        <v>#VALUE!</v>
      </c>
      <c r="AA1525" t="e">
        <f t="shared" ca="1" si="741"/>
        <v>#VALUE!</v>
      </c>
      <c r="AB1525" t="e">
        <f t="shared" ca="1" si="742"/>
        <v>#VALUE!</v>
      </c>
      <c r="AC1525" t="e">
        <f t="shared" ca="1" si="743"/>
        <v>#VALUE!</v>
      </c>
      <c r="AD1525" t="e">
        <f t="shared" ca="1" si="744"/>
        <v>#VALUE!</v>
      </c>
      <c r="AE1525" t="e">
        <f t="shared" ca="1" si="745"/>
        <v>#VALUE!</v>
      </c>
      <c r="AF1525" t="e">
        <f t="shared" ca="1" si="746"/>
        <v>#VALUE!</v>
      </c>
      <c r="AG1525" t="e">
        <f t="shared" ca="1" si="747"/>
        <v>#VALUE!</v>
      </c>
      <c r="AH1525" t="e">
        <f ca="1">IF(V32="Supercritical",L1525,IF(V32="Subcritical",W1525,IF(AND(V1525=1,AG1525=1),IF(T1525&gt;=AE1525,L1525,W1525),IF(V1525=1,L1525,IF(AG1525=1,W1525,MAX($D$16,POWER((ABS(K1525)^2)/($I$5*MAX(F1525,0.1)^2),1/3)))))))</f>
        <v>#VALUE!</v>
      </c>
      <c r="AI1525" t="e">
        <f t="shared" ca="1" si="748"/>
        <v>#VALUE!</v>
      </c>
      <c r="AJ1525" t="e">
        <f t="shared" ca="1" si="749"/>
        <v>#VALUE!</v>
      </c>
      <c r="AM1525">
        <v>0</v>
      </c>
      <c r="AN1525">
        <v>0</v>
      </c>
      <c r="AO1525">
        <f t="shared" si="750"/>
        <v>0</v>
      </c>
      <c r="AP1525">
        <f t="shared" si="759"/>
        <v>0</v>
      </c>
      <c r="AQ1525" t="e">
        <f t="shared" ca="1" si="751"/>
        <v>#VALUE!</v>
      </c>
      <c r="AR1525" t="e">
        <f t="shared" ca="1" si="752"/>
        <v>#VALUE!</v>
      </c>
      <c r="AS1525" t="e">
        <f t="shared" ca="1" si="753"/>
        <v>#VALUE!</v>
      </c>
    </row>
    <row r="1526" spans="1:45" x14ac:dyDescent="0.35">
      <c r="A1526">
        <v>1377</v>
      </c>
      <c r="B1526">
        <v>1375.8889999999999</v>
      </c>
      <c r="C1526">
        <v>616065.723</v>
      </c>
      <c r="D1526">
        <v>3096628.3769999999</v>
      </c>
      <c r="E1526">
        <v>631.87639999999999</v>
      </c>
      <c r="F1526">
        <v>5.2</v>
      </c>
      <c r="G1526">
        <v>0</v>
      </c>
      <c r="H1526" t="s">
        <v>191</v>
      </c>
      <c r="I1526">
        <v>5.7000000000000002E-2</v>
      </c>
      <c r="J1526">
        <f t="shared" si="754"/>
        <v>1</v>
      </c>
      <c r="K1526">
        <f t="shared" si="755"/>
        <v>51</v>
      </c>
      <c r="L1526" t="e">
        <f t="shared" ca="1" si="756"/>
        <v>#VALUE!</v>
      </c>
      <c r="M1526" t="e">
        <f t="shared" ca="1" si="729"/>
        <v>#VALUE!</v>
      </c>
      <c r="N1526" t="e">
        <f t="shared" ca="1" si="730"/>
        <v>#VALUE!</v>
      </c>
      <c r="O1526" t="e">
        <f t="shared" ca="1" si="731"/>
        <v>#VALUE!</v>
      </c>
      <c r="P1526" t="e">
        <f t="shared" ca="1" si="732"/>
        <v>#VALUE!</v>
      </c>
      <c r="Q1526" t="e">
        <f t="shared" ca="1" si="733"/>
        <v>#VALUE!</v>
      </c>
      <c r="R1526" t="e">
        <f t="shared" ca="1" si="734"/>
        <v>#VALUE!</v>
      </c>
      <c r="S1526" t="e">
        <f t="shared" ca="1" si="735"/>
        <v>#VALUE!</v>
      </c>
      <c r="T1526" t="e">
        <f t="shared" ca="1" si="736"/>
        <v>#VALUE!</v>
      </c>
      <c r="U1526" t="e">
        <f t="shared" ca="1" si="757"/>
        <v>#VALUE!</v>
      </c>
      <c r="V1526" t="e">
        <f t="shared" ca="1" si="758"/>
        <v>#VALUE!</v>
      </c>
      <c r="W1526" t="e">
        <f t="shared" ca="1" si="737"/>
        <v>#VALUE!</v>
      </c>
      <c r="X1526" t="e">
        <f t="shared" ca="1" si="738"/>
        <v>#VALUE!</v>
      </c>
      <c r="Y1526" t="e">
        <f t="shared" ca="1" si="739"/>
        <v>#VALUE!</v>
      </c>
      <c r="Z1526" t="e">
        <f t="shared" ca="1" si="740"/>
        <v>#VALUE!</v>
      </c>
      <c r="AA1526" t="e">
        <f t="shared" ca="1" si="741"/>
        <v>#VALUE!</v>
      </c>
      <c r="AB1526" t="e">
        <f t="shared" ca="1" si="742"/>
        <v>#VALUE!</v>
      </c>
      <c r="AC1526" t="e">
        <f t="shared" ca="1" si="743"/>
        <v>#VALUE!</v>
      </c>
      <c r="AD1526" t="e">
        <f t="shared" ca="1" si="744"/>
        <v>#VALUE!</v>
      </c>
      <c r="AE1526" t="e">
        <f t="shared" ca="1" si="745"/>
        <v>#VALUE!</v>
      </c>
      <c r="AF1526" t="e">
        <f t="shared" ca="1" si="746"/>
        <v>#VALUE!</v>
      </c>
      <c r="AG1526" t="e">
        <f t="shared" ca="1" si="747"/>
        <v>#VALUE!</v>
      </c>
      <c r="AH1526" t="e">
        <f ca="1">IF(V32="Supercritical",L1526,IF(V32="Subcritical",W1526,IF(AND(V1526=1,AG1526=1),IF(T1526&gt;=AE1526,L1526,W1526),IF(V1526=1,L1526,IF(AG1526=1,W1526,MAX($D$16,POWER((ABS(K1526)^2)/($I$5*MAX(F1526,0.1)^2),1/3)))))))</f>
        <v>#VALUE!</v>
      </c>
      <c r="AI1526" t="e">
        <f t="shared" ca="1" si="748"/>
        <v>#VALUE!</v>
      </c>
      <c r="AJ1526" t="e">
        <f t="shared" ca="1" si="749"/>
        <v>#VALUE!</v>
      </c>
      <c r="AM1526">
        <v>0</v>
      </c>
      <c r="AN1526">
        <v>0</v>
      </c>
      <c r="AO1526">
        <f t="shared" si="750"/>
        <v>0</v>
      </c>
      <c r="AP1526">
        <f t="shared" si="759"/>
        <v>0</v>
      </c>
      <c r="AQ1526" t="e">
        <f t="shared" ca="1" si="751"/>
        <v>#VALUE!</v>
      </c>
      <c r="AR1526" t="e">
        <f t="shared" ca="1" si="752"/>
        <v>#VALUE!</v>
      </c>
      <c r="AS1526" t="e">
        <f t="shared" ca="1" si="753"/>
        <v>#VALUE!</v>
      </c>
    </row>
    <row r="1527" spans="1:45" x14ac:dyDescent="0.35">
      <c r="A1527">
        <v>1378</v>
      </c>
      <c r="B1527">
        <v>1376.8889999999999</v>
      </c>
      <c r="C1527">
        <v>616065.73</v>
      </c>
      <c r="D1527">
        <v>3096627.3769999999</v>
      </c>
      <c r="E1527">
        <v>631.87620000000004</v>
      </c>
      <c r="F1527">
        <v>5.2</v>
      </c>
      <c r="G1527">
        <v>0</v>
      </c>
      <c r="H1527" t="s">
        <v>191</v>
      </c>
      <c r="I1527">
        <v>0.40100000000000002</v>
      </c>
      <c r="J1527">
        <f t="shared" si="754"/>
        <v>1</v>
      </c>
      <c r="K1527">
        <f t="shared" si="755"/>
        <v>51</v>
      </c>
      <c r="L1527" t="e">
        <f t="shared" ca="1" si="756"/>
        <v>#VALUE!</v>
      </c>
      <c r="M1527" t="e">
        <f t="shared" ca="1" si="729"/>
        <v>#VALUE!</v>
      </c>
      <c r="N1527" t="e">
        <f t="shared" ca="1" si="730"/>
        <v>#VALUE!</v>
      </c>
      <c r="O1527" t="e">
        <f t="shared" ca="1" si="731"/>
        <v>#VALUE!</v>
      </c>
      <c r="P1527" t="e">
        <f t="shared" ca="1" si="732"/>
        <v>#VALUE!</v>
      </c>
      <c r="Q1527" t="e">
        <f t="shared" ca="1" si="733"/>
        <v>#VALUE!</v>
      </c>
      <c r="R1527" t="e">
        <f t="shared" ca="1" si="734"/>
        <v>#VALUE!</v>
      </c>
      <c r="S1527" t="e">
        <f t="shared" ca="1" si="735"/>
        <v>#VALUE!</v>
      </c>
      <c r="T1527" t="e">
        <f t="shared" ca="1" si="736"/>
        <v>#VALUE!</v>
      </c>
      <c r="U1527" t="e">
        <f t="shared" ca="1" si="757"/>
        <v>#VALUE!</v>
      </c>
      <c r="V1527" t="e">
        <f t="shared" ca="1" si="758"/>
        <v>#VALUE!</v>
      </c>
      <c r="W1527" t="e">
        <f t="shared" ca="1" si="737"/>
        <v>#VALUE!</v>
      </c>
      <c r="X1527" t="e">
        <f t="shared" ca="1" si="738"/>
        <v>#VALUE!</v>
      </c>
      <c r="Y1527" t="e">
        <f t="shared" ca="1" si="739"/>
        <v>#VALUE!</v>
      </c>
      <c r="Z1527" t="e">
        <f t="shared" ca="1" si="740"/>
        <v>#VALUE!</v>
      </c>
      <c r="AA1527" t="e">
        <f t="shared" ca="1" si="741"/>
        <v>#VALUE!</v>
      </c>
      <c r="AB1527" t="e">
        <f t="shared" ca="1" si="742"/>
        <v>#VALUE!</v>
      </c>
      <c r="AC1527" t="e">
        <f t="shared" ca="1" si="743"/>
        <v>#VALUE!</v>
      </c>
      <c r="AD1527" t="e">
        <f t="shared" ca="1" si="744"/>
        <v>#VALUE!</v>
      </c>
      <c r="AE1527" t="e">
        <f t="shared" ca="1" si="745"/>
        <v>#VALUE!</v>
      </c>
      <c r="AF1527" t="e">
        <f t="shared" ca="1" si="746"/>
        <v>#VALUE!</v>
      </c>
      <c r="AG1527" t="e">
        <f t="shared" ca="1" si="747"/>
        <v>#VALUE!</v>
      </c>
      <c r="AH1527" t="e">
        <f ca="1">IF(V32="Supercritical",L1527,IF(V32="Subcritical",W1527,IF(AND(V1527=1,AG1527=1),IF(T1527&gt;=AE1527,L1527,W1527),IF(V1527=1,L1527,IF(AG1527=1,W1527,MAX($D$16,POWER((ABS(K1527)^2)/($I$5*MAX(F1527,0.1)^2),1/3)))))))</f>
        <v>#VALUE!</v>
      </c>
      <c r="AI1527" t="e">
        <f t="shared" ca="1" si="748"/>
        <v>#VALUE!</v>
      </c>
      <c r="AJ1527" t="e">
        <f t="shared" ca="1" si="749"/>
        <v>#VALUE!</v>
      </c>
      <c r="AM1527">
        <v>0</v>
      </c>
      <c r="AN1527">
        <v>0</v>
      </c>
      <c r="AO1527">
        <f t="shared" si="750"/>
        <v>0</v>
      </c>
      <c r="AP1527">
        <f t="shared" si="759"/>
        <v>0</v>
      </c>
      <c r="AQ1527" t="e">
        <f t="shared" ca="1" si="751"/>
        <v>#VALUE!</v>
      </c>
      <c r="AR1527" t="e">
        <f t="shared" ca="1" si="752"/>
        <v>#VALUE!</v>
      </c>
      <c r="AS1527" t="e">
        <f t="shared" ca="1" si="753"/>
        <v>#VALUE!</v>
      </c>
    </row>
    <row r="1528" spans="1:45" x14ac:dyDescent="0.35">
      <c r="A1528">
        <v>1379</v>
      </c>
      <c r="B1528">
        <v>1377.8889999999999</v>
      </c>
      <c r="C1528">
        <v>616065.73</v>
      </c>
      <c r="D1528">
        <v>3096626.3769999999</v>
      </c>
      <c r="E1528">
        <v>631.87599999999998</v>
      </c>
      <c r="F1528">
        <v>5.2</v>
      </c>
      <c r="G1528">
        <v>0</v>
      </c>
      <c r="H1528" t="s">
        <v>191</v>
      </c>
      <c r="I1528">
        <v>0</v>
      </c>
      <c r="J1528">
        <f t="shared" si="754"/>
        <v>1</v>
      </c>
      <c r="K1528">
        <f t="shared" si="755"/>
        <v>51</v>
      </c>
      <c r="L1528" t="e">
        <f t="shared" ca="1" si="756"/>
        <v>#VALUE!</v>
      </c>
      <c r="M1528" t="e">
        <f t="shared" ca="1" si="729"/>
        <v>#VALUE!</v>
      </c>
      <c r="N1528" t="e">
        <f t="shared" ca="1" si="730"/>
        <v>#VALUE!</v>
      </c>
      <c r="O1528" t="e">
        <f t="shared" ca="1" si="731"/>
        <v>#VALUE!</v>
      </c>
      <c r="P1528" t="e">
        <f t="shared" ca="1" si="732"/>
        <v>#VALUE!</v>
      </c>
      <c r="Q1528" t="e">
        <f t="shared" ca="1" si="733"/>
        <v>#VALUE!</v>
      </c>
      <c r="R1528" t="e">
        <f t="shared" ca="1" si="734"/>
        <v>#VALUE!</v>
      </c>
      <c r="S1528" t="e">
        <f t="shared" ca="1" si="735"/>
        <v>#VALUE!</v>
      </c>
      <c r="T1528" t="e">
        <f t="shared" ca="1" si="736"/>
        <v>#VALUE!</v>
      </c>
      <c r="U1528" t="e">
        <f t="shared" ca="1" si="757"/>
        <v>#VALUE!</v>
      </c>
      <c r="V1528" t="e">
        <f t="shared" ca="1" si="758"/>
        <v>#VALUE!</v>
      </c>
      <c r="W1528" t="e">
        <f t="shared" ca="1" si="737"/>
        <v>#VALUE!</v>
      </c>
      <c r="X1528" t="e">
        <f t="shared" ca="1" si="738"/>
        <v>#VALUE!</v>
      </c>
      <c r="Y1528" t="e">
        <f t="shared" ca="1" si="739"/>
        <v>#VALUE!</v>
      </c>
      <c r="Z1528" t="e">
        <f t="shared" ca="1" si="740"/>
        <v>#VALUE!</v>
      </c>
      <c r="AA1528" t="e">
        <f t="shared" ca="1" si="741"/>
        <v>#VALUE!</v>
      </c>
      <c r="AB1528" t="e">
        <f t="shared" ca="1" si="742"/>
        <v>#VALUE!</v>
      </c>
      <c r="AC1528" t="e">
        <f t="shared" ca="1" si="743"/>
        <v>#VALUE!</v>
      </c>
      <c r="AD1528" t="e">
        <f t="shared" ca="1" si="744"/>
        <v>#VALUE!</v>
      </c>
      <c r="AE1528" t="e">
        <f t="shared" ca="1" si="745"/>
        <v>#VALUE!</v>
      </c>
      <c r="AF1528" t="e">
        <f t="shared" ca="1" si="746"/>
        <v>#VALUE!</v>
      </c>
      <c r="AG1528" t="e">
        <f t="shared" ca="1" si="747"/>
        <v>#VALUE!</v>
      </c>
      <c r="AH1528" t="e">
        <f ca="1">IF(V32="Supercritical",L1528,IF(V32="Subcritical",W1528,IF(AND(V1528=1,AG1528=1),IF(T1528&gt;=AE1528,L1528,W1528),IF(V1528=1,L1528,IF(AG1528=1,W1528,MAX($D$16,POWER((ABS(K1528)^2)/($I$5*MAX(F1528,0.1)^2),1/3)))))))</f>
        <v>#VALUE!</v>
      </c>
      <c r="AI1528" t="e">
        <f t="shared" ca="1" si="748"/>
        <v>#VALUE!</v>
      </c>
      <c r="AJ1528" t="e">
        <f t="shared" ca="1" si="749"/>
        <v>#VALUE!</v>
      </c>
      <c r="AM1528">
        <v>0</v>
      </c>
      <c r="AN1528">
        <v>0</v>
      </c>
      <c r="AO1528">
        <f t="shared" si="750"/>
        <v>0</v>
      </c>
      <c r="AP1528">
        <f t="shared" si="759"/>
        <v>0</v>
      </c>
      <c r="AQ1528" t="e">
        <f t="shared" ca="1" si="751"/>
        <v>#VALUE!</v>
      </c>
      <c r="AR1528" t="e">
        <f t="shared" ca="1" si="752"/>
        <v>#VALUE!</v>
      </c>
      <c r="AS1528" t="e">
        <f t="shared" ca="1" si="753"/>
        <v>#VALUE!</v>
      </c>
    </row>
    <row r="1529" spans="1:45" x14ac:dyDescent="0.35">
      <c r="A1529">
        <v>1380</v>
      </c>
      <c r="B1529">
        <v>1378.8889999999999</v>
      </c>
      <c r="C1529">
        <v>616065.73</v>
      </c>
      <c r="D1529">
        <v>3096625.3769999999</v>
      </c>
      <c r="E1529">
        <v>631.87580000000003</v>
      </c>
      <c r="F1529">
        <v>5.2</v>
      </c>
      <c r="G1529">
        <v>0</v>
      </c>
      <c r="H1529" t="s">
        <v>191</v>
      </c>
      <c r="I1529">
        <v>0</v>
      </c>
      <c r="J1529">
        <f t="shared" si="754"/>
        <v>1</v>
      </c>
      <c r="K1529">
        <f t="shared" si="755"/>
        <v>51</v>
      </c>
      <c r="L1529" t="e">
        <f t="shared" ca="1" si="756"/>
        <v>#VALUE!</v>
      </c>
      <c r="M1529" t="e">
        <f t="shared" ca="1" si="729"/>
        <v>#VALUE!</v>
      </c>
      <c r="N1529" t="e">
        <f t="shared" ca="1" si="730"/>
        <v>#VALUE!</v>
      </c>
      <c r="O1529" t="e">
        <f t="shared" ca="1" si="731"/>
        <v>#VALUE!</v>
      </c>
      <c r="P1529" t="e">
        <f t="shared" ca="1" si="732"/>
        <v>#VALUE!</v>
      </c>
      <c r="Q1529" t="e">
        <f t="shared" ca="1" si="733"/>
        <v>#VALUE!</v>
      </c>
      <c r="R1529" t="e">
        <f t="shared" ca="1" si="734"/>
        <v>#VALUE!</v>
      </c>
      <c r="S1529" t="e">
        <f t="shared" ca="1" si="735"/>
        <v>#VALUE!</v>
      </c>
      <c r="T1529" t="e">
        <f t="shared" ca="1" si="736"/>
        <v>#VALUE!</v>
      </c>
      <c r="U1529" t="e">
        <f t="shared" ca="1" si="757"/>
        <v>#VALUE!</v>
      </c>
      <c r="V1529" t="e">
        <f t="shared" ca="1" si="758"/>
        <v>#VALUE!</v>
      </c>
      <c r="W1529" t="e">
        <f t="shared" ca="1" si="737"/>
        <v>#VALUE!</v>
      </c>
      <c r="X1529" t="e">
        <f t="shared" ca="1" si="738"/>
        <v>#VALUE!</v>
      </c>
      <c r="Y1529" t="e">
        <f t="shared" ca="1" si="739"/>
        <v>#VALUE!</v>
      </c>
      <c r="Z1529" t="e">
        <f t="shared" ca="1" si="740"/>
        <v>#VALUE!</v>
      </c>
      <c r="AA1529" t="e">
        <f t="shared" ca="1" si="741"/>
        <v>#VALUE!</v>
      </c>
      <c r="AB1529" t="e">
        <f t="shared" ca="1" si="742"/>
        <v>#VALUE!</v>
      </c>
      <c r="AC1529" t="e">
        <f t="shared" ca="1" si="743"/>
        <v>#VALUE!</v>
      </c>
      <c r="AD1529" t="e">
        <f t="shared" ca="1" si="744"/>
        <v>#VALUE!</v>
      </c>
      <c r="AE1529" t="e">
        <f t="shared" ca="1" si="745"/>
        <v>#VALUE!</v>
      </c>
      <c r="AF1529" t="e">
        <f t="shared" ca="1" si="746"/>
        <v>#VALUE!</v>
      </c>
      <c r="AG1529" t="e">
        <f t="shared" ca="1" si="747"/>
        <v>#VALUE!</v>
      </c>
      <c r="AH1529" t="e">
        <f ca="1">IF(V32="Supercritical",L1529,IF(V32="Subcritical",W1529,IF(AND(V1529=1,AG1529=1),IF(T1529&gt;=AE1529,L1529,W1529),IF(V1529=1,L1529,IF(AG1529=1,W1529,MAX($D$16,POWER((ABS(K1529)^2)/($I$5*MAX(F1529,0.1)^2),1/3)))))))</f>
        <v>#VALUE!</v>
      </c>
      <c r="AI1529" t="e">
        <f t="shared" ca="1" si="748"/>
        <v>#VALUE!</v>
      </c>
      <c r="AJ1529" t="e">
        <f t="shared" ca="1" si="749"/>
        <v>#VALUE!</v>
      </c>
      <c r="AM1529">
        <v>0</v>
      </c>
      <c r="AN1529">
        <v>0</v>
      </c>
      <c r="AO1529">
        <f t="shared" si="750"/>
        <v>0</v>
      </c>
      <c r="AP1529">
        <f t="shared" si="759"/>
        <v>0</v>
      </c>
      <c r="AQ1529" t="e">
        <f t="shared" ca="1" si="751"/>
        <v>#VALUE!</v>
      </c>
      <c r="AR1529" t="e">
        <f t="shared" ca="1" si="752"/>
        <v>#VALUE!</v>
      </c>
      <c r="AS1529" t="e">
        <f t="shared" ca="1" si="753"/>
        <v>#VALUE!</v>
      </c>
    </row>
    <row r="1530" spans="1:45" x14ac:dyDescent="0.35">
      <c r="A1530">
        <v>1381</v>
      </c>
      <c r="B1530">
        <v>1379.8889999999999</v>
      </c>
      <c r="C1530">
        <v>616065.73</v>
      </c>
      <c r="D1530">
        <v>3096624.3769999999</v>
      </c>
      <c r="E1530">
        <v>631.87559999999996</v>
      </c>
      <c r="F1530">
        <v>7.42</v>
      </c>
      <c r="G1530">
        <v>0</v>
      </c>
      <c r="H1530" t="s">
        <v>191</v>
      </c>
      <c r="I1530">
        <v>0</v>
      </c>
      <c r="J1530">
        <f t="shared" si="754"/>
        <v>1</v>
      </c>
      <c r="K1530">
        <f t="shared" si="755"/>
        <v>51</v>
      </c>
      <c r="L1530" t="e">
        <f t="shared" ca="1" si="756"/>
        <v>#VALUE!</v>
      </c>
      <c r="M1530" t="e">
        <f t="shared" ca="1" si="729"/>
        <v>#VALUE!</v>
      </c>
      <c r="N1530" t="e">
        <f t="shared" ca="1" si="730"/>
        <v>#VALUE!</v>
      </c>
      <c r="O1530" t="e">
        <f t="shared" ca="1" si="731"/>
        <v>#VALUE!</v>
      </c>
      <c r="P1530" t="e">
        <f t="shared" ca="1" si="732"/>
        <v>#VALUE!</v>
      </c>
      <c r="Q1530" t="e">
        <f t="shared" ca="1" si="733"/>
        <v>#VALUE!</v>
      </c>
      <c r="R1530" t="e">
        <f t="shared" ca="1" si="734"/>
        <v>#VALUE!</v>
      </c>
      <c r="S1530" t="e">
        <f t="shared" ca="1" si="735"/>
        <v>#VALUE!</v>
      </c>
      <c r="T1530" t="e">
        <f t="shared" ca="1" si="736"/>
        <v>#VALUE!</v>
      </c>
      <c r="U1530" t="e">
        <f t="shared" ca="1" si="757"/>
        <v>#VALUE!</v>
      </c>
      <c r="V1530" t="e">
        <f t="shared" ca="1" si="758"/>
        <v>#VALUE!</v>
      </c>
      <c r="W1530" t="e">
        <f t="shared" ca="1" si="737"/>
        <v>#VALUE!</v>
      </c>
      <c r="X1530" t="e">
        <f t="shared" ca="1" si="738"/>
        <v>#VALUE!</v>
      </c>
      <c r="Y1530" t="e">
        <f t="shared" ca="1" si="739"/>
        <v>#VALUE!</v>
      </c>
      <c r="Z1530" t="e">
        <f t="shared" ca="1" si="740"/>
        <v>#VALUE!</v>
      </c>
      <c r="AA1530" t="e">
        <f t="shared" ca="1" si="741"/>
        <v>#VALUE!</v>
      </c>
      <c r="AB1530" t="e">
        <f t="shared" ca="1" si="742"/>
        <v>#VALUE!</v>
      </c>
      <c r="AC1530" t="e">
        <f t="shared" ca="1" si="743"/>
        <v>#VALUE!</v>
      </c>
      <c r="AD1530" t="e">
        <f t="shared" ca="1" si="744"/>
        <v>#VALUE!</v>
      </c>
      <c r="AE1530" t="e">
        <f t="shared" ca="1" si="745"/>
        <v>#VALUE!</v>
      </c>
      <c r="AF1530" t="e">
        <f t="shared" ca="1" si="746"/>
        <v>#VALUE!</v>
      </c>
      <c r="AG1530" t="e">
        <f t="shared" ca="1" si="747"/>
        <v>#VALUE!</v>
      </c>
      <c r="AH1530" t="e">
        <f ca="1">IF(V32="Supercritical",L1530,IF(V32="Subcritical",W1530,IF(AND(V1530=1,AG1530=1),IF(T1530&gt;=AE1530,L1530,W1530),IF(V1530=1,L1530,IF(AG1530=1,W1530,MAX($D$16,POWER((ABS(K1530)^2)/($I$5*MAX(F1530,0.1)^2),1/3)))))))</f>
        <v>#VALUE!</v>
      </c>
      <c r="AI1530" t="e">
        <f t="shared" ca="1" si="748"/>
        <v>#VALUE!</v>
      </c>
      <c r="AJ1530" t="e">
        <f t="shared" ca="1" si="749"/>
        <v>#VALUE!</v>
      </c>
      <c r="AM1530">
        <v>0</v>
      </c>
      <c r="AN1530">
        <v>0</v>
      </c>
      <c r="AO1530">
        <f t="shared" si="750"/>
        <v>0</v>
      </c>
      <c r="AP1530">
        <f t="shared" si="759"/>
        <v>0</v>
      </c>
      <c r="AQ1530" t="e">
        <f t="shared" ca="1" si="751"/>
        <v>#VALUE!</v>
      </c>
      <c r="AR1530" t="e">
        <f t="shared" ca="1" si="752"/>
        <v>#VALUE!</v>
      </c>
      <c r="AS1530" t="e">
        <f t="shared" ca="1" si="753"/>
        <v>#VALUE!</v>
      </c>
    </row>
    <row r="1531" spans="1:45" x14ac:dyDescent="0.35">
      <c r="A1531">
        <v>1382</v>
      </c>
      <c r="B1531">
        <v>1380.8889999999999</v>
      </c>
      <c r="C1531">
        <v>616065.73</v>
      </c>
      <c r="D1531">
        <v>3096623.3769999999</v>
      </c>
      <c r="E1531">
        <v>631.87540000000001</v>
      </c>
      <c r="F1531">
        <v>9.8469999999999995</v>
      </c>
      <c r="G1531">
        <v>0</v>
      </c>
      <c r="H1531" t="s">
        <v>191</v>
      </c>
      <c r="I1531">
        <v>0</v>
      </c>
      <c r="J1531">
        <f t="shared" si="754"/>
        <v>1</v>
      </c>
      <c r="K1531">
        <f t="shared" si="755"/>
        <v>51</v>
      </c>
      <c r="L1531" t="e">
        <f t="shared" ca="1" si="756"/>
        <v>#VALUE!</v>
      </c>
      <c r="M1531" t="e">
        <f t="shared" ca="1" si="729"/>
        <v>#VALUE!</v>
      </c>
      <c r="N1531" t="e">
        <f t="shared" ca="1" si="730"/>
        <v>#VALUE!</v>
      </c>
      <c r="O1531" t="e">
        <f t="shared" ca="1" si="731"/>
        <v>#VALUE!</v>
      </c>
      <c r="P1531" t="e">
        <f t="shared" ca="1" si="732"/>
        <v>#VALUE!</v>
      </c>
      <c r="Q1531" t="e">
        <f t="shared" ca="1" si="733"/>
        <v>#VALUE!</v>
      </c>
      <c r="R1531" t="e">
        <f t="shared" ca="1" si="734"/>
        <v>#VALUE!</v>
      </c>
      <c r="S1531" t="e">
        <f t="shared" ca="1" si="735"/>
        <v>#VALUE!</v>
      </c>
      <c r="T1531" t="e">
        <f t="shared" ca="1" si="736"/>
        <v>#VALUE!</v>
      </c>
      <c r="U1531" t="e">
        <f t="shared" ca="1" si="757"/>
        <v>#VALUE!</v>
      </c>
      <c r="V1531" t="e">
        <f t="shared" ca="1" si="758"/>
        <v>#VALUE!</v>
      </c>
      <c r="W1531" t="e">
        <f t="shared" ca="1" si="737"/>
        <v>#VALUE!</v>
      </c>
      <c r="X1531" t="e">
        <f t="shared" ca="1" si="738"/>
        <v>#VALUE!</v>
      </c>
      <c r="Y1531" t="e">
        <f t="shared" ca="1" si="739"/>
        <v>#VALUE!</v>
      </c>
      <c r="Z1531" t="e">
        <f t="shared" ca="1" si="740"/>
        <v>#VALUE!</v>
      </c>
      <c r="AA1531" t="e">
        <f t="shared" ca="1" si="741"/>
        <v>#VALUE!</v>
      </c>
      <c r="AB1531" t="e">
        <f t="shared" ca="1" si="742"/>
        <v>#VALUE!</v>
      </c>
      <c r="AC1531" t="e">
        <f t="shared" ca="1" si="743"/>
        <v>#VALUE!</v>
      </c>
      <c r="AD1531" t="e">
        <f t="shared" ca="1" si="744"/>
        <v>#VALUE!</v>
      </c>
      <c r="AE1531" t="e">
        <f t="shared" ca="1" si="745"/>
        <v>#VALUE!</v>
      </c>
      <c r="AF1531" t="e">
        <f t="shared" ca="1" si="746"/>
        <v>#VALUE!</v>
      </c>
      <c r="AG1531" t="e">
        <f t="shared" ca="1" si="747"/>
        <v>#VALUE!</v>
      </c>
      <c r="AH1531" t="e">
        <f ca="1">IF(V32="Supercritical",L1531,IF(V32="Subcritical",W1531,IF(AND(V1531=1,AG1531=1),IF(T1531&gt;=AE1531,L1531,W1531),IF(V1531=1,L1531,IF(AG1531=1,W1531,MAX($D$16,POWER((ABS(K1531)^2)/($I$5*MAX(F1531,0.1)^2),1/3)))))))</f>
        <v>#VALUE!</v>
      </c>
      <c r="AI1531" t="e">
        <f t="shared" ca="1" si="748"/>
        <v>#VALUE!</v>
      </c>
      <c r="AJ1531" t="e">
        <f t="shared" ca="1" si="749"/>
        <v>#VALUE!</v>
      </c>
      <c r="AM1531">
        <v>0</v>
      </c>
      <c r="AN1531">
        <v>0</v>
      </c>
      <c r="AO1531">
        <f t="shared" si="750"/>
        <v>0</v>
      </c>
      <c r="AP1531">
        <f t="shared" si="759"/>
        <v>0</v>
      </c>
      <c r="AQ1531" t="e">
        <f t="shared" ca="1" si="751"/>
        <v>#VALUE!</v>
      </c>
      <c r="AR1531" t="e">
        <f t="shared" ca="1" si="752"/>
        <v>#VALUE!</v>
      </c>
      <c r="AS1531" t="e">
        <f t="shared" ca="1" si="753"/>
        <v>#VALUE!</v>
      </c>
    </row>
    <row r="1532" spans="1:45" x14ac:dyDescent="0.35">
      <c r="A1532">
        <v>1383</v>
      </c>
      <c r="B1532">
        <v>1381.8889999999999</v>
      </c>
      <c r="C1532">
        <v>616065.73</v>
      </c>
      <c r="D1532">
        <v>3096622.3769999999</v>
      </c>
      <c r="E1532">
        <v>631.87519999999995</v>
      </c>
      <c r="F1532">
        <v>10.1</v>
      </c>
      <c r="G1532">
        <v>0</v>
      </c>
      <c r="H1532" t="s">
        <v>191</v>
      </c>
      <c r="I1532">
        <v>0</v>
      </c>
      <c r="J1532">
        <f t="shared" si="754"/>
        <v>1</v>
      </c>
      <c r="K1532">
        <f t="shared" si="755"/>
        <v>51</v>
      </c>
      <c r="L1532" t="e">
        <f t="shared" ca="1" si="756"/>
        <v>#VALUE!</v>
      </c>
      <c r="M1532" t="e">
        <f t="shared" ca="1" si="729"/>
        <v>#VALUE!</v>
      </c>
      <c r="N1532" t="e">
        <f t="shared" ca="1" si="730"/>
        <v>#VALUE!</v>
      </c>
      <c r="O1532" t="e">
        <f t="shared" ca="1" si="731"/>
        <v>#VALUE!</v>
      </c>
      <c r="P1532" t="e">
        <f t="shared" ca="1" si="732"/>
        <v>#VALUE!</v>
      </c>
      <c r="Q1532" t="e">
        <f t="shared" ca="1" si="733"/>
        <v>#VALUE!</v>
      </c>
      <c r="R1532" t="e">
        <f t="shared" ca="1" si="734"/>
        <v>#VALUE!</v>
      </c>
      <c r="S1532" t="e">
        <f t="shared" ca="1" si="735"/>
        <v>#VALUE!</v>
      </c>
      <c r="T1532" t="e">
        <f t="shared" ca="1" si="736"/>
        <v>#VALUE!</v>
      </c>
      <c r="U1532" t="e">
        <f t="shared" ca="1" si="757"/>
        <v>#VALUE!</v>
      </c>
      <c r="V1532" t="e">
        <f t="shared" ca="1" si="758"/>
        <v>#VALUE!</v>
      </c>
      <c r="W1532" t="e">
        <f t="shared" ca="1" si="737"/>
        <v>#VALUE!</v>
      </c>
      <c r="X1532" t="e">
        <f t="shared" ca="1" si="738"/>
        <v>#VALUE!</v>
      </c>
      <c r="Y1532" t="e">
        <f t="shared" ca="1" si="739"/>
        <v>#VALUE!</v>
      </c>
      <c r="Z1532" t="e">
        <f t="shared" ca="1" si="740"/>
        <v>#VALUE!</v>
      </c>
      <c r="AA1532" t="e">
        <f t="shared" ca="1" si="741"/>
        <v>#VALUE!</v>
      </c>
      <c r="AB1532" t="e">
        <f t="shared" ca="1" si="742"/>
        <v>#VALUE!</v>
      </c>
      <c r="AC1532" t="e">
        <f t="shared" ca="1" si="743"/>
        <v>#VALUE!</v>
      </c>
      <c r="AD1532" t="e">
        <f t="shared" ca="1" si="744"/>
        <v>#VALUE!</v>
      </c>
      <c r="AE1532" t="e">
        <f t="shared" ca="1" si="745"/>
        <v>#VALUE!</v>
      </c>
      <c r="AF1532" t="e">
        <f t="shared" ca="1" si="746"/>
        <v>#VALUE!</v>
      </c>
      <c r="AG1532" t="e">
        <f t="shared" ca="1" si="747"/>
        <v>#VALUE!</v>
      </c>
      <c r="AH1532" t="e">
        <f ca="1">IF(V32="Supercritical",L1532,IF(V32="Subcritical",W1532,IF(AND(V1532=1,AG1532=1),IF(T1532&gt;=AE1532,L1532,W1532),IF(V1532=1,L1532,IF(AG1532=1,W1532,MAX($D$16,POWER((ABS(K1532)^2)/($I$5*MAX(F1532,0.1)^2),1/3)))))))</f>
        <v>#VALUE!</v>
      </c>
      <c r="AI1532" t="e">
        <f t="shared" ca="1" si="748"/>
        <v>#VALUE!</v>
      </c>
      <c r="AJ1532" t="e">
        <f t="shared" ca="1" si="749"/>
        <v>#VALUE!</v>
      </c>
      <c r="AM1532">
        <v>0</v>
      </c>
      <c r="AN1532">
        <v>0</v>
      </c>
      <c r="AO1532">
        <f t="shared" si="750"/>
        <v>0</v>
      </c>
      <c r="AP1532">
        <f t="shared" si="759"/>
        <v>0</v>
      </c>
      <c r="AQ1532" t="e">
        <f t="shared" ca="1" si="751"/>
        <v>#VALUE!</v>
      </c>
      <c r="AR1532" t="e">
        <f t="shared" ca="1" si="752"/>
        <v>#VALUE!</v>
      </c>
      <c r="AS1532" t="e">
        <f t="shared" ca="1" si="753"/>
        <v>#VALUE!</v>
      </c>
    </row>
    <row r="1533" spans="1:45" x14ac:dyDescent="0.35">
      <c r="A1533">
        <v>1384</v>
      </c>
      <c r="B1533">
        <v>1382.3979999999999</v>
      </c>
      <c r="C1533">
        <v>616065.73</v>
      </c>
      <c r="D1533">
        <v>3096621.8679999998</v>
      </c>
      <c r="E1533">
        <v>631.875</v>
      </c>
      <c r="F1533">
        <v>10.206</v>
      </c>
      <c r="G1533">
        <v>0</v>
      </c>
      <c r="H1533" t="s">
        <v>192</v>
      </c>
      <c r="I1533">
        <v>0</v>
      </c>
      <c r="J1533">
        <f t="shared" si="754"/>
        <v>0.50900000000001455</v>
      </c>
      <c r="K1533">
        <f t="shared" si="755"/>
        <v>51</v>
      </c>
      <c r="L1533" t="e">
        <f t="shared" ca="1" si="756"/>
        <v>#VALUE!</v>
      </c>
      <c r="M1533" t="e">
        <f t="shared" ca="1" si="729"/>
        <v>#VALUE!</v>
      </c>
      <c r="N1533" t="e">
        <f t="shared" ca="1" si="730"/>
        <v>#VALUE!</v>
      </c>
      <c r="O1533" t="e">
        <f t="shared" ca="1" si="731"/>
        <v>#VALUE!</v>
      </c>
      <c r="P1533" t="e">
        <f t="shared" ca="1" si="732"/>
        <v>#VALUE!</v>
      </c>
      <c r="Q1533" t="e">
        <f t="shared" ca="1" si="733"/>
        <v>#VALUE!</v>
      </c>
      <c r="R1533" t="e">
        <f t="shared" ca="1" si="734"/>
        <v>#VALUE!</v>
      </c>
      <c r="S1533" t="e">
        <f t="shared" ca="1" si="735"/>
        <v>#VALUE!</v>
      </c>
      <c r="T1533" t="e">
        <f t="shared" ca="1" si="736"/>
        <v>#VALUE!</v>
      </c>
      <c r="U1533" t="e">
        <f t="shared" ca="1" si="757"/>
        <v>#VALUE!</v>
      </c>
      <c r="V1533" t="e">
        <f t="shared" ca="1" si="758"/>
        <v>#VALUE!</v>
      </c>
      <c r="W1533">
        <f>MAX($D$16,($I$14)-E1533)</f>
        <v>51800.26683766341</v>
      </c>
      <c r="X1533">
        <f t="shared" si="738"/>
        <v>528673.52334519278</v>
      </c>
      <c r="Y1533">
        <f t="shared" si="739"/>
        <v>5.1024973376489422</v>
      </c>
      <c r="Z1533">
        <f t="shared" si="740"/>
        <v>9.6467853501148375E-5</v>
      </c>
      <c r="AA1533">
        <f t="shared" si="741"/>
        <v>52432.14183766341</v>
      </c>
      <c r="AB1533">
        <f t="shared" si="742"/>
        <v>52432.141837663883</v>
      </c>
      <c r="AC1533">
        <f t="shared" si="743"/>
        <v>2.3836218953389774E-13</v>
      </c>
      <c r="AD1533">
        <f t="shared" si="744"/>
        <v>1.3532627047041521E-7</v>
      </c>
      <c r="AE1533">
        <f t="shared" si="745"/>
        <v>13692714789.644833</v>
      </c>
      <c r="AF1533">
        <v>0</v>
      </c>
      <c r="AG1533">
        <v>1</v>
      </c>
      <c r="AH1533" t="e">
        <f ca="1">IF(V32="Supercritical",L1533,IF(V32="Subcritical",W1533,IF(AND(V1533=1,AG1533=1),IF(T1533&gt;=AE1533,L1533,W1533),IF(V1533=1,L1533,IF(AG1533=1,W1533,MAX($D$16,POWER((ABS(K1533)^2)/($I$5*MAX(F1533,0.1)^2),1/3)))))))</f>
        <v>#VALUE!</v>
      </c>
      <c r="AI1533" t="e">
        <f t="shared" ca="1" si="748"/>
        <v>#VALUE!</v>
      </c>
      <c r="AJ1533" t="e">
        <f t="shared" ca="1" si="749"/>
        <v>#VALUE!</v>
      </c>
      <c r="AM1533">
        <v>0</v>
      </c>
      <c r="AN1533">
        <v>0</v>
      </c>
      <c r="AO1533">
        <f t="shared" si="750"/>
        <v>0</v>
      </c>
      <c r="AP1533">
        <f t="shared" si="759"/>
        <v>0</v>
      </c>
      <c r="AQ1533" t="e">
        <f t="shared" ca="1" si="751"/>
        <v>#VALUE!</v>
      </c>
      <c r="AR1533" t="e">
        <f t="shared" ca="1" si="752"/>
        <v>#VALUE!</v>
      </c>
      <c r="AS1533" t="e">
        <f t="shared" ca="1" si="753"/>
        <v>#VALUE!</v>
      </c>
    </row>
    <row r="1536" spans="1:45" x14ac:dyDescent="0.35">
      <c r="A1536" t="s">
        <v>194</v>
      </c>
      <c r="E1536">
        <f>E33</f>
        <v>17.254999999999999</v>
      </c>
      <c r="F1536" t="s">
        <v>141</v>
      </c>
      <c r="H1536">
        <f>N33</f>
        <v>0</v>
      </c>
      <c r="I1536" t="s">
        <v>13</v>
      </c>
      <c r="K1536" t="str">
        <f>V33</f>
        <v>Mixed</v>
      </c>
      <c r="L1536" t="s">
        <v>142</v>
      </c>
    </row>
    <row r="1537" spans="1:45" x14ac:dyDescent="0.35">
      <c r="A1537" t="s">
        <v>143</v>
      </c>
      <c r="B1537" t="s">
        <v>144</v>
      </c>
      <c r="C1537" t="s">
        <v>145</v>
      </c>
      <c r="D1537" t="s">
        <v>146</v>
      </c>
      <c r="E1537" t="s">
        <v>147</v>
      </c>
      <c r="F1537" t="s">
        <v>148</v>
      </c>
      <c r="G1537" t="s">
        <v>149</v>
      </c>
      <c r="H1537" t="s">
        <v>9</v>
      </c>
      <c r="I1537" t="s">
        <v>150</v>
      </c>
      <c r="J1537" t="s">
        <v>151</v>
      </c>
      <c r="K1537" t="s">
        <v>152</v>
      </c>
      <c r="L1537" t="s">
        <v>153</v>
      </c>
      <c r="M1537" t="s">
        <v>154</v>
      </c>
      <c r="N1537" t="s">
        <v>155</v>
      </c>
      <c r="O1537" t="s">
        <v>156</v>
      </c>
      <c r="P1537" t="s">
        <v>157</v>
      </c>
      <c r="Q1537" t="s">
        <v>158</v>
      </c>
      <c r="R1537" t="s">
        <v>159</v>
      </c>
      <c r="S1537" t="s">
        <v>160</v>
      </c>
      <c r="T1537" t="s">
        <v>161</v>
      </c>
      <c r="U1537" t="s">
        <v>162</v>
      </c>
      <c r="V1537" t="s">
        <v>163</v>
      </c>
      <c r="W1537" t="s">
        <v>164</v>
      </c>
      <c r="X1537" t="s">
        <v>165</v>
      </c>
      <c r="Y1537" t="s">
        <v>166</v>
      </c>
      <c r="Z1537" t="s">
        <v>167</v>
      </c>
      <c r="AA1537" t="s">
        <v>168</v>
      </c>
      <c r="AB1537" t="s">
        <v>169</v>
      </c>
      <c r="AC1537" t="s">
        <v>170</v>
      </c>
      <c r="AD1537" t="s">
        <v>171</v>
      </c>
      <c r="AE1537" t="s">
        <v>172</v>
      </c>
      <c r="AF1537" t="s">
        <v>173</v>
      </c>
      <c r="AG1537" t="s">
        <v>174</v>
      </c>
      <c r="AH1537" t="s">
        <v>175</v>
      </c>
      <c r="AI1537" t="s">
        <v>176</v>
      </c>
      <c r="AJ1537" t="s">
        <v>177</v>
      </c>
      <c r="AK1537" t="s">
        <v>178</v>
      </c>
      <c r="AL1537" t="s">
        <v>179</v>
      </c>
      <c r="AM1537" t="s">
        <v>180</v>
      </c>
      <c r="AN1537" t="s">
        <v>181</v>
      </c>
      <c r="AO1537" t="s">
        <v>182</v>
      </c>
      <c r="AP1537" t="s">
        <v>183</v>
      </c>
      <c r="AQ1537" t="s">
        <v>184</v>
      </c>
      <c r="AR1537" t="s">
        <v>185</v>
      </c>
      <c r="AS1537" t="s">
        <v>186</v>
      </c>
    </row>
    <row r="1538" spans="1:45" x14ac:dyDescent="0.35">
      <c r="A1538" t="s">
        <v>22</v>
      </c>
      <c r="B1538" t="s">
        <v>52</v>
      </c>
      <c r="C1538" t="s">
        <v>52</v>
      </c>
      <c r="D1538" t="s">
        <v>52</v>
      </c>
      <c r="E1538" t="s">
        <v>52</v>
      </c>
      <c r="F1538" t="s">
        <v>52</v>
      </c>
      <c r="G1538" t="s">
        <v>22</v>
      </c>
      <c r="H1538" t="s">
        <v>22</v>
      </c>
      <c r="I1538" t="s">
        <v>187</v>
      </c>
      <c r="J1538" t="s">
        <v>52</v>
      </c>
      <c r="K1538" t="s">
        <v>13</v>
      </c>
      <c r="L1538" t="s">
        <v>52</v>
      </c>
      <c r="M1538" t="s">
        <v>188</v>
      </c>
      <c r="N1538" t="s">
        <v>52</v>
      </c>
      <c r="O1538" t="s">
        <v>189</v>
      </c>
      <c r="P1538" t="s">
        <v>52</v>
      </c>
      <c r="Q1538" t="s">
        <v>52</v>
      </c>
      <c r="R1538" t="s">
        <v>22</v>
      </c>
      <c r="S1538" t="s">
        <v>22</v>
      </c>
      <c r="T1538" t="s">
        <v>190</v>
      </c>
      <c r="U1538" t="s">
        <v>52</v>
      </c>
      <c r="V1538" t="s">
        <v>22</v>
      </c>
      <c r="W1538" t="s">
        <v>52</v>
      </c>
      <c r="X1538" t="s">
        <v>188</v>
      </c>
      <c r="Y1538" t="s">
        <v>52</v>
      </c>
      <c r="Z1538" t="s">
        <v>189</v>
      </c>
      <c r="AA1538" t="s">
        <v>52</v>
      </c>
      <c r="AB1538" t="s">
        <v>52</v>
      </c>
      <c r="AC1538" t="s">
        <v>22</v>
      </c>
      <c r="AD1538" t="s">
        <v>22</v>
      </c>
      <c r="AE1538" t="s">
        <v>190</v>
      </c>
      <c r="AF1538" t="s">
        <v>52</v>
      </c>
      <c r="AG1538" t="s">
        <v>22</v>
      </c>
      <c r="AH1538" t="s">
        <v>52</v>
      </c>
      <c r="AI1538" t="s">
        <v>52</v>
      </c>
      <c r="AJ1538" t="s">
        <v>52</v>
      </c>
      <c r="AK1538" t="s">
        <v>52</v>
      </c>
      <c r="AL1538" t="s">
        <v>52</v>
      </c>
      <c r="AM1538" t="s">
        <v>13</v>
      </c>
      <c r="AN1538" t="s">
        <v>13</v>
      </c>
      <c r="AO1538" t="s">
        <v>13</v>
      </c>
      <c r="AP1538" t="s">
        <v>13</v>
      </c>
      <c r="AQ1538" t="s">
        <v>22</v>
      </c>
      <c r="AR1538" t="s">
        <v>22</v>
      </c>
      <c r="AS1538" t="s">
        <v>22</v>
      </c>
    </row>
    <row r="1539" spans="1:45" x14ac:dyDescent="0.35">
      <c r="A1539">
        <v>1</v>
      </c>
      <c r="B1539">
        <v>0</v>
      </c>
      <c r="C1539">
        <v>616556.01300000004</v>
      </c>
      <c r="D1539">
        <v>3097760.4479999999</v>
      </c>
      <c r="E1539">
        <v>634.298</v>
      </c>
      <c r="F1539">
        <v>6.5579999999999998</v>
      </c>
      <c r="G1539">
        <v>0</v>
      </c>
      <c r="H1539" t="s">
        <v>192</v>
      </c>
      <c r="I1539">
        <v>0</v>
      </c>
      <c r="J1539">
        <v>0</v>
      </c>
      <c r="K1539">
        <f>N33</f>
        <v>0</v>
      </c>
      <c r="L1539">
        <f>MAX($D$16,($I$13)-E1539)</f>
        <v>51797.843837663619</v>
      </c>
      <c r="M1539">
        <f t="shared" ref="M1539:M1557" si="760">((F1539)+(G1539)*(L1539))*(L1539)</f>
        <v>339690.25988739799</v>
      </c>
      <c r="N1539">
        <f t="shared" ref="N1539:N1557" si="761">(((F1539)+(G1539)*(L1539))*(L1539))/MAX((F1539)+2*(L1539)*SQRT(1+(G1539)^2),0.000001)</f>
        <v>3.2787924400010842</v>
      </c>
      <c r="O1539">
        <f t="shared" ref="O1539:O1557" si="762">ABS(K1539)/MAX(((F1539)+(G1539)*(L1539))*(L1539),0.000001)</f>
        <v>0</v>
      </c>
      <c r="P1539">
        <f t="shared" ref="P1539:P1557" si="763">E1539+L1539</f>
        <v>52432.141837663621</v>
      </c>
      <c r="Q1539">
        <f t="shared" ref="Q1539:Q1557" si="764">P1539+((ABS(K1539)/MAX(((F1539)+(G1539)*(L1539))*(L1539),0.000001))^2)/(2*$I$5)</f>
        <v>52432.141837663621</v>
      </c>
      <c r="R1539">
        <f t="shared" ref="R1539:R1557" si="765">((ABS(K1539)*$D$6)/(MAX(((F1539)+(G1539)*(L1539))*(L1539),0.000001)*MAX(((((F1539)+(G1539)*(L1539))*(L1539))/MAX((F1539)+2*(L1539)*SQRT(1+(G1539)^2),0.000001))^(2/3),0.000001)))^2</f>
        <v>0</v>
      </c>
      <c r="S1539">
        <f t="shared" ref="S1539:S1557" si="766">ABS(ABS(K1539)/MAX(((F1539)+(G1539)*(L1539))*(L1539),0.000001))/SQRT($I$5*MAX((((F1539)+(G1539)*(L1539))*(L1539))/MAX((F1539)+2*(G1539)*(L1539),0.000001),0.000001))</f>
        <v>0</v>
      </c>
      <c r="T1539">
        <f t="shared" ref="T1539:T1557" si="767">((F1539)*(L1539)^2)/2+(G1539)*(L1539)^3/3+(ABS(K1539)^2)/($I$5*MAX(((F1539)+(G1539)*(L1539))*(L1539),0.000001))</f>
        <v>8797611517.4114056</v>
      </c>
      <c r="U1539">
        <v>0</v>
      </c>
      <c r="V1539">
        <v>1</v>
      </c>
      <c r="W1539" t="e">
        <f t="shared" ref="W1539:W1556" ca="1" si="768">IF($D$20=0,W1540,IF(AG1540=0,W1540,IF(W1539=0,W1540,IF(ABS(AF1539)&gt;$D$19,MAX($D$16,W1539+((AF1539)*$D$18*IF((AD1539)&lt;1,1,-1))),W1539))))</f>
        <v>#VALUE!</v>
      </c>
      <c r="X1539" t="e">
        <f t="shared" ref="X1539:X1557" ca="1" si="769">((F1539)+(G1539)*(W1539))*(W1539)</f>
        <v>#VALUE!</v>
      </c>
      <c r="Y1539" t="e">
        <f t="shared" ref="Y1539:Y1557" ca="1" si="770">(((F1539)+(G1539)*(W1539))*(W1539))/MAX((F1539)+2*(W1539)*SQRT(1+(G1539)^2),0.000001)</f>
        <v>#VALUE!</v>
      </c>
      <c r="Z1539" t="e">
        <f t="shared" ref="Z1539:Z1557" ca="1" si="771">ABS(K1539)/MAX(((F1539)+(G1539)*(W1539))*(W1539),0.000001)</f>
        <v>#VALUE!</v>
      </c>
      <c r="AA1539" t="e">
        <f t="shared" ref="AA1539:AA1557" ca="1" si="772">E1539+W1539</f>
        <v>#VALUE!</v>
      </c>
      <c r="AB1539" t="e">
        <f t="shared" ref="AB1539:AB1557" ca="1" si="773">AA1539+((ABS(K1539)/MAX(((F1539)+(G1539)*(W1539))*(W1539),0.000001))^2)/(2*$I$5)</f>
        <v>#VALUE!</v>
      </c>
      <c r="AC1539" t="e">
        <f t="shared" ref="AC1539:AC1557" ca="1" si="774">((ABS(K1539)*$D$6)/(MAX(((F1539)+(G1539)*(W1539))*(W1539),0.000001)*MAX(((((F1539)+(G1539)*(W1539))*(W1539))/MAX((F1539)+2*(W1539)*SQRT(1+(G1539)^2),0.000001))^(2/3),0.000001)))^2</f>
        <v>#VALUE!</v>
      </c>
      <c r="AD1539" t="e">
        <f t="shared" ref="AD1539:AD1557" ca="1" si="775">ABS(ABS(K1539)/MAX(((F1539)+(G1539)*(W1539))*(W1539),0.000001))/SQRT($I$5*MAX((((F1539)+(G1539)*(W1539))*(W1539))/MAX((F1539)+2*(G1539)*(W1539),0.000001),0.000001))</f>
        <v>#VALUE!</v>
      </c>
      <c r="AE1539" t="e">
        <f t="shared" ref="AE1539:AE1557" ca="1" si="776">((F1539)*(W1539)^2)/2+(G1539)*(W1539)^3/3+(ABS(K1539)^2)/($I$5*MAX(((F1539)+(G1539)*(W1539))*(W1539),0.000001))</f>
        <v>#VALUE!</v>
      </c>
      <c r="AF1539" t="e">
        <f t="shared" ref="AF1539:AF1556" ca="1" si="777">AB1540+(((AC1539+AC1540)/2)*J1540)+(IF(Z1539&gt;Z1540,$D$8*((Z1539^2-Z1540^2)/(2*$I$5)),$D$9*((Z1540^2-Z1539^2)/(2*$I$5)))+($D$10*(ABS(I1540)/90)*(MAX(Z1539^2,Z1540^2)/(2*$I$5))))-AB1539</f>
        <v>#VALUE!</v>
      </c>
      <c r="AG1539" t="e">
        <f t="shared" ref="AG1539:AG1556" ca="1" si="778">IF(ABS(AF1539)&lt;$D$19,1,0)</f>
        <v>#VALUE!</v>
      </c>
      <c r="AH1539" t="e">
        <f ca="1">IF(V33="Supercritical",L1539,IF(V33="Subcritical",W1539,IF(AND(V1539=1,AG1539=1),IF(T1539&gt;=AE1539,L1539,W1539),IF(V1539=1,L1539,IF(AG1539=1,W1539,MAX($D$16,POWER((ABS(K1539)^2)/($I$5*MAX(F1539,0.1)^2),1/3)))))))</f>
        <v>#VALUE!</v>
      </c>
      <c r="AI1539" t="e">
        <f t="shared" ref="AI1539:AI1557" ca="1" si="779">E1539+AH1539</f>
        <v>#VALUE!</v>
      </c>
      <c r="AJ1539" t="e">
        <f t="shared" ref="AJ1539:AJ1557" ca="1" si="780">AI1539+((ABS(K1539)/MAX(((F1539)+(G1539)*(AH1539))*(AH1539),0.000001))^2)/(2*$I$5)</f>
        <v>#VALUE!</v>
      </c>
      <c r="AM1539">
        <v>0</v>
      </c>
      <c r="AN1539">
        <v>0</v>
      </c>
      <c r="AO1539">
        <f t="shared" ref="AO1539:AO1557" si="781">AM1539+AN1539</f>
        <v>0</v>
      </c>
      <c r="AP1539">
        <f>AO1539</f>
        <v>0</v>
      </c>
      <c r="AQ1539" t="e">
        <f t="shared" ref="AQ1539:AQ1557" ca="1" si="782">ABS(ABS(K1539)/MAX(((F1539)+(G1539)*(AH1539))*(AH1539),0.000001))/SQRT($I$5*MAX((((F1539)+(G1539)*(AH1539))*(AH1539))/MAX((F1539)+2*(G1539)*(AH1539),0.000001),0.000001))</f>
        <v>#VALUE!</v>
      </c>
      <c r="AR1539" t="e">
        <f t="shared" ref="AR1539:AR1557" ca="1" si="783">IF(AQ1539&lt;1,"Subcritical","Supercritical")</f>
        <v>#VALUE!</v>
      </c>
      <c r="AS1539" t="e">
        <f t="shared" ref="AS1539:AS1557" ca="1" si="784">((ABS(K1539)*$D$6)/(MAX(((F1539)+(G1539)*(AH1539))*(AH1539),0.000001)*MAX(((((F1539)+(G1539)*(AH1539))*(AH1539))/MAX((F1539)+2*(AH1539)*SQRT(1+(G1539)^2),0.000001))^(2/3),0.000001)))^2</f>
        <v>#VALUE!</v>
      </c>
    </row>
    <row r="1540" spans="1:45" x14ac:dyDescent="0.35">
      <c r="A1540">
        <v>2</v>
      </c>
      <c r="B1540">
        <v>1</v>
      </c>
      <c r="C1540">
        <v>616555.54299999995</v>
      </c>
      <c r="D1540">
        <v>3097759.5649999999</v>
      </c>
      <c r="E1540">
        <v>634.29600000000005</v>
      </c>
      <c r="F1540">
        <v>7.1909999999999998</v>
      </c>
      <c r="G1540">
        <v>0</v>
      </c>
      <c r="H1540" t="s">
        <v>192</v>
      </c>
      <c r="I1540">
        <v>2.7E-2</v>
      </c>
      <c r="J1540">
        <f t="shared" ref="J1540:J1557" si="785">B1540-B1539</f>
        <v>1</v>
      </c>
      <c r="K1540">
        <f t="shared" ref="K1540:K1557" si="786">MAX(0,K1539-AO1539)</f>
        <v>0</v>
      </c>
      <c r="L1540" t="e">
        <f t="shared" ref="L1540:L1557" ca="1" si="787">IF($D$20=0,L1539,IF(V1539=0,L1539,IF(L1540=0,L1539,IF(ABS(U1540)&gt;$D$19,MAX($D$16,L1540+((U1540)*$D$18*IF((S1540)&lt;1,1,-1))),L1540))))</f>
        <v>#VALUE!</v>
      </c>
      <c r="M1540" t="e">
        <f t="shared" ca="1" si="760"/>
        <v>#VALUE!</v>
      </c>
      <c r="N1540" t="e">
        <f t="shared" ca="1" si="761"/>
        <v>#VALUE!</v>
      </c>
      <c r="O1540" t="e">
        <f t="shared" ca="1" si="762"/>
        <v>#VALUE!</v>
      </c>
      <c r="P1540" t="e">
        <f t="shared" ca="1" si="763"/>
        <v>#VALUE!</v>
      </c>
      <c r="Q1540" t="e">
        <f t="shared" ca="1" si="764"/>
        <v>#VALUE!</v>
      </c>
      <c r="R1540" t="e">
        <f t="shared" ca="1" si="765"/>
        <v>#VALUE!</v>
      </c>
      <c r="S1540" t="e">
        <f t="shared" ca="1" si="766"/>
        <v>#VALUE!</v>
      </c>
      <c r="T1540" t="e">
        <f t="shared" ca="1" si="767"/>
        <v>#VALUE!</v>
      </c>
      <c r="U1540" t="e">
        <f t="shared" ref="U1540:U1557" ca="1" si="788">Q1539-(((R1539+R1540)/2)*J1540)-(IF(O1539&gt;O1540,$D$8*((O1539^2-O1540^2)/(2*$I$5)),$D$9*((O1540^2-O1539^2)/(2*$I$5)))+($D$10*(ABS(I1540)/90)*(MAX(O1539^2,O1540^2)/(2*$I$5))))-Q1540</f>
        <v>#VALUE!</v>
      </c>
      <c r="V1540" t="e">
        <f t="shared" ref="V1540:V1557" ca="1" si="789">IF(ABS(U1540)&lt;$D$19,1,0)</f>
        <v>#VALUE!</v>
      </c>
      <c r="W1540" t="e">
        <f t="shared" ca="1" si="768"/>
        <v>#VALUE!</v>
      </c>
      <c r="X1540" t="e">
        <f t="shared" ca="1" si="769"/>
        <v>#VALUE!</v>
      </c>
      <c r="Y1540" t="e">
        <f t="shared" ca="1" si="770"/>
        <v>#VALUE!</v>
      </c>
      <c r="Z1540" t="e">
        <f t="shared" ca="1" si="771"/>
        <v>#VALUE!</v>
      </c>
      <c r="AA1540" t="e">
        <f t="shared" ca="1" si="772"/>
        <v>#VALUE!</v>
      </c>
      <c r="AB1540" t="e">
        <f t="shared" ca="1" si="773"/>
        <v>#VALUE!</v>
      </c>
      <c r="AC1540" t="e">
        <f t="shared" ca="1" si="774"/>
        <v>#VALUE!</v>
      </c>
      <c r="AD1540" t="e">
        <f t="shared" ca="1" si="775"/>
        <v>#VALUE!</v>
      </c>
      <c r="AE1540" t="e">
        <f t="shared" ca="1" si="776"/>
        <v>#VALUE!</v>
      </c>
      <c r="AF1540" t="e">
        <f t="shared" ca="1" si="777"/>
        <v>#VALUE!</v>
      </c>
      <c r="AG1540" t="e">
        <f t="shared" ca="1" si="778"/>
        <v>#VALUE!</v>
      </c>
      <c r="AH1540" t="e">
        <f ca="1">IF(V33="Supercritical",L1540,IF(V33="Subcritical",W1540,IF(AND(V1540=1,AG1540=1),IF(T1540&gt;=AE1540,L1540,W1540),IF(V1540=1,L1540,IF(AG1540=1,W1540,MAX($D$16,POWER((ABS(K1540)^2)/($I$5*MAX(F1540,0.1)^2),1/3)))))))</f>
        <v>#VALUE!</v>
      </c>
      <c r="AI1540" t="e">
        <f t="shared" ca="1" si="779"/>
        <v>#VALUE!</v>
      </c>
      <c r="AJ1540" t="e">
        <f t="shared" ca="1" si="780"/>
        <v>#VALUE!</v>
      </c>
      <c r="AM1540">
        <v>0</v>
      </c>
      <c r="AN1540">
        <v>0</v>
      </c>
      <c r="AO1540">
        <f t="shared" si="781"/>
        <v>0</v>
      </c>
      <c r="AP1540">
        <f t="shared" ref="AP1540:AP1557" si="790">AP1539+AO1540</f>
        <v>0</v>
      </c>
      <c r="AQ1540" t="e">
        <f t="shared" ca="1" si="782"/>
        <v>#VALUE!</v>
      </c>
      <c r="AR1540" t="e">
        <f t="shared" ca="1" si="783"/>
        <v>#VALUE!</v>
      </c>
      <c r="AS1540" t="e">
        <f t="shared" ca="1" si="784"/>
        <v>#VALUE!</v>
      </c>
    </row>
    <row r="1541" spans="1:45" x14ac:dyDescent="0.35">
      <c r="A1541">
        <v>3</v>
      </c>
      <c r="B1541">
        <v>2</v>
      </c>
      <c r="C1541">
        <v>616555.07299999997</v>
      </c>
      <c r="D1541">
        <v>3097758.6830000002</v>
      </c>
      <c r="E1541">
        <v>634.29399999999998</v>
      </c>
      <c r="F1541">
        <v>7.9269999999999996</v>
      </c>
      <c r="G1541">
        <v>0</v>
      </c>
      <c r="H1541" t="s">
        <v>192</v>
      </c>
      <c r="I1541">
        <v>2.7E-2</v>
      </c>
      <c r="J1541">
        <f t="shared" si="785"/>
        <v>1</v>
      </c>
      <c r="K1541">
        <f t="shared" si="786"/>
        <v>0</v>
      </c>
      <c r="L1541" t="e">
        <f t="shared" ca="1" si="787"/>
        <v>#VALUE!</v>
      </c>
      <c r="M1541" t="e">
        <f t="shared" ca="1" si="760"/>
        <v>#VALUE!</v>
      </c>
      <c r="N1541" t="e">
        <f t="shared" ca="1" si="761"/>
        <v>#VALUE!</v>
      </c>
      <c r="O1541" t="e">
        <f t="shared" ca="1" si="762"/>
        <v>#VALUE!</v>
      </c>
      <c r="P1541" t="e">
        <f t="shared" ca="1" si="763"/>
        <v>#VALUE!</v>
      </c>
      <c r="Q1541" t="e">
        <f t="shared" ca="1" si="764"/>
        <v>#VALUE!</v>
      </c>
      <c r="R1541" t="e">
        <f t="shared" ca="1" si="765"/>
        <v>#VALUE!</v>
      </c>
      <c r="S1541" t="e">
        <f t="shared" ca="1" si="766"/>
        <v>#VALUE!</v>
      </c>
      <c r="T1541" t="e">
        <f t="shared" ca="1" si="767"/>
        <v>#VALUE!</v>
      </c>
      <c r="U1541" t="e">
        <f t="shared" ca="1" si="788"/>
        <v>#VALUE!</v>
      </c>
      <c r="V1541" t="e">
        <f t="shared" ca="1" si="789"/>
        <v>#VALUE!</v>
      </c>
      <c r="W1541" t="e">
        <f t="shared" ca="1" si="768"/>
        <v>#VALUE!</v>
      </c>
      <c r="X1541" t="e">
        <f t="shared" ca="1" si="769"/>
        <v>#VALUE!</v>
      </c>
      <c r="Y1541" t="e">
        <f t="shared" ca="1" si="770"/>
        <v>#VALUE!</v>
      </c>
      <c r="Z1541" t="e">
        <f t="shared" ca="1" si="771"/>
        <v>#VALUE!</v>
      </c>
      <c r="AA1541" t="e">
        <f t="shared" ca="1" si="772"/>
        <v>#VALUE!</v>
      </c>
      <c r="AB1541" t="e">
        <f t="shared" ca="1" si="773"/>
        <v>#VALUE!</v>
      </c>
      <c r="AC1541" t="e">
        <f t="shared" ca="1" si="774"/>
        <v>#VALUE!</v>
      </c>
      <c r="AD1541" t="e">
        <f t="shared" ca="1" si="775"/>
        <v>#VALUE!</v>
      </c>
      <c r="AE1541" t="e">
        <f t="shared" ca="1" si="776"/>
        <v>#VALUE!</v>
      </c>
      <c r="AF1541" t="e">
        <f t="shared" ca="1" si="777"/>
        <v>#VALUE!</v>
      </c>
      <c r="AG1541" t="e">
        <f t="shared" ca="1" si="778"/>
        <v>#VALUE!</v>
      </c>
      <c r="AH1541" t="e">
        <f ca="1">IF(V33="Supercritical",L1541,IF(V33="Subcritical",W1541,IF(AND(V1541=1,AG1541=1),IF(T1541&gt;=AE1541,L1541,W1541),IF(V1541=1,L1541,IF(AG1541=1,W1541,MAX($D$16,POWER((ABS(K1541)^2)/($I$5*MAX(F1541,0.1)^2),1/3)))))))</f>
        <v>#VALUE!</v>
      </c>
      <c r="AI1541" t="e">
        <f t="shared" ca="1" si="779"/>
        <v>#VALUE!</v>
      </c>
      <c r="AJ1541" t="e">
        <f t="shared" ca="1" si="780"/>
        <v>#VALUE!</v>
      </c>
      <c r="AM1541">
        <v>0</v>
      </c>
      <c r="AN1541">
        <v>0</v>
      </c>
      <c r="AO1541">
        <f t="shared" si="781"/>
        <v>0</v>
      </c>
      <c r="AP1541">
        <f t="shared" si="790"/>
        <v>0</v>
      </c>
      <c r="AQ1541" t="e">
        <f t="shared" ca="1" si="782"/>
        <v>#VALUE!</v>
      </c>
      <c r="AR1541" t="e">
        <f t="shared" ca="1" si="783"/>
        <v>#VALUE!</v>
      </c>
      <c r="AS1541" t="e">
        <f t="shared" ca="1" si="784"/>
        <v>#VALUE!</v>
      </c>
    </row>
    <row r="1542" spans="1:45" x14ac:dyDescent="0.35">
      <c r="A1542">
        <v>4</v>
      </c>
      <c r="B1542">
        <v>3</v>
      </c>
      <c r="C1542">
        <v>616554.603</v>
      </c>
      <c r="D1542">
        <v>3097757.8</v>
      </c>
      <c r="E1542">
        <v>634.29200000000003</v>
      </c>
      <c r="F1542">
        <v>8.6639999999999997</v>
      </c>
      <c r="G1542">
        <v>0</v>
      </c>
      <c r="H1542" t="s">
        <v>192</v>
      </c>
      <c r="I1542">
        <v>0</v>
      </c>
      <c r="J1542">
        <f t="shared" si="785"/>
        <v>1</v>
      </c>
      <c r="K1542">
        <f t="shared" si="786"/>
        <v>0</v>
      </c>
      <c r="L1542" t="e">
        <f t="shared" ca="1" si="787"/>
        <v>#VALUE!</v>
      </c>
      <c r="M1542" t="e">
        <f t="shared" ca="1" si="760"/>
        <v>#VALUE!</v>
      </c>
      <c r="N1542" t="e">
        <f t="shared" ca="1" si="761"/>
        <v>#VALUE!</v>
      </c>
      <c r="O1542" t="e">
        <f t="shared" ca="1" si="762"/>
        <v>#VALUE!</v>
      </c>
      <c r="P1542" t="e">
        <f t="shared" ca="1" si="763"/>
        <v>#VALUE!</v>
      </c>
      <c r="Q1542" t="e">
        <f t="shared" ca="1" si="764"/>
        <v>#VALUE!</v>
      </c>
      <c r="R1542" t="e">
        <f t="shared" ca="1" si="765"/>
        <v>#VALUE!</v>
      </c>
      <c r="S1542" t="e">
        <f t="shared" ca="1" si="766"/>
        <v>#VALUE!</v>
      </c>
      <c r="T1542" t="e">
        <f t="shared" ca="1" si="767"/>
        <v>#VALUE!</v>
      </c>
      <c r="U1542" t="e">
        <f t="shared" ca="1" si="788"/>
        <v>#VALUE!</v>
      </c>
      <c r="V1542" t="e">
        <f t="shared" ca="1" si="789"/>
        <v>#VALUE!</v>
      </c>
      <c r="W1542" t="e">
        <f t="shared" ca="1" si="768"/>
        <v>#VALUE!</v>
      </c>
      <c r="X1542" t="e">
        <f t="shared" ca="1" si="769"/>
        <v>#VALUE!</v>
      </c>
      <c r="Y1542" t="e">
        <f t="shared" ca="1" si="770"/>
        <v>#VALUE!</v>
      </c>
      <c r="Z1542" t="e">
        <f t="shared" ca="1" si="771"/>
        <v>#VALUE!</v>
      </c>
      <c r="AA1542" t="e">
        <f t="shared" ca="1" si="772"/>
        <v>#VALUE!</v>
      </c>
      <c r="AB1542" t="e">
        <f t="shared" ca="1" si="773"/>
        <v>#VALUE!</v>
      </c>
      <c r="AC1542" t="e">
        <f t="shared" ca="1" si="774"/>
        <v>#VALUE!</v>
      </c>
      <c r="AD1542" t="e">
        <f t="shared" ca="1" si="775"/>
        <v>#VALUE!</v>
      </c>
      <c r="AE1542" t="e">
        <f t="shared" ca="1" si="776"/>
        <v>#VALUE!</v>
      </c>
      <c r="AF1542" t="e">
        <f t="shared" ca="1" si="777"/>
        <v>#VALUE!</v>
      </c>
      <c r="AG1542" t="e">
        <f t="shared" ca="1" si="778"/>
        <v>#VALUE!</v>
      </c>
      <c r="AH1542" t="e">
        <f ca="1">IF(V33="Supercritical",L1542,IF(V33="Subcritical",W1542,IF(AND(V1542=1,AG1542=1),IF(T1542&gt;=AE1542,L1542,W1542),IF(V1542=1,L1542,IF(AG1542=1,W1542,MAX($D$16,POWER((ABS(K1542)^2)/($I$5*MAX(F1542,0.1)^2),1/3)))))))</f>
        <v>#VALUE!</v>
      </c>
      <c r="AI1542" t="e">
        <f t="shared" ca="1" si="779"/>
        <v>#VALUE!</v>
      </c>
      <c r="AJ1542" t="e">
        <f t="shared" ca="1" si="780"/>
        <v>#VALUE!</v>
      </c>
      <c r="AM1542">
        <v>0</v>
      </c>
      <c r="AN1542">
        <v>0</v>
      </c>
      <c r="AO1542">
        <f t="shared" si="781"/>
        <v>0</v>
      </c>
      <c r="AP1542">
        <f t="shared" si="790"/>
        <v>0</v>
      </c>
      <c r="AQ1542" t="e">
        <f t="shared" ca="1" si="782"/>
        <v>#VALUE!</v>
      </c>
      <c r="AR1542" t="e">
        <f t="shared" ca="1" si="783"/>
        <v>#VALUE!</v>
      </c>
      <c r="AS1542" t="e">
        <f t="shared" ca="1" si="784"/>
        <v>#VALUE!</v>
      </c>
    </row>
    <row r="1543" spans="1:45" x14ac:dyDescent="0.35">
      <c r="A1543">
        <v>5</v>
      </c>
      <c r="B1543">
        <v>4</v>
      </c>
      <c r="C1543">
        <v>616554.13300000003</v>
      </c>
      <c r="D1543">
        <v>3097756.9169999999</v>
      </c>
      <c r="E1543">
        <v>634.29</v>
      </c>
      <c r="F1543">
        <v>9.4009999999999998</v>
      </c>
      <c r="G1543">
        <v>0</v>
      </c>
      <c r="H1543" t="s">
        <v>192</v>
      </c>
      <c r="I1543">
        <v>0</v>
      </c>
      <c r="J1543">
        <f t="shared" si="785"/>
        <v>1</v>
      </c>
      <c r="K1543">
        <f t="shared" si="786"/>
        <v>0</v>
      </c>
      <c r="L1543" t="e">
        <f t="shared" ca="1" si="787"/>
        <v>#VALUE!</v>
      </c>
      <c r="M1543" t="e">
        <f t="shared" ca="1" si="760"/>
        <v>#VALUE!</v>
      </c>
      <c r="N1543" t="e">
        <f t="shared" ca="1" si="761"/>
        <v>#VALUE!</v>
      </c>
      <c r="O1543" t="e">
        <f t="shared" ca="1" si="762"/>
        <v>#VALUE!</v>
      </c>
      <c r="P1543" t="e">
        <f t="shared" ca="1" si="763"/>
        <v>#VALUE!</v>
      </c>
      <c r="Q1543" t="e">
        <f t="shared" ca="1" si="764"/>
        <v>#VALUE!</v>
      </c>
      <c r="R1543" t="e">
        <f t="shared" ca="1" si="765"/>
        <v>#VALUE!</v>
      </c>
      <c r="S1543" t="e">
        <f t="shared" ca="1" si="766"/>
        <v>#VALUE!</v>
      </c>
      <c r="T1543" t="e">
        <f t="shared" ca="1" si="767"/>
        <v>#VALUE!</v>
      </c>
      <c r="U1543" t="e">
        <f t="shared" ca="1" si="788"/>
        <v>#VALUE!</v>
      </c>
      <c r="V1543" t="e">
        <f t="shared" ca="1" si="789"/>
        <v>#VALUE!</v>
      </c>
      <c r="W1543" t="e">
        <f t="shared" ca="1" si="768"/>
        <v>#VALUE!</v>
      </c>
      <c r="X1543" t="e">
        <f t="shared" ca="1" si="769"/>
        <v>#VALUE!</v>
      </c>
      <c r="Y1543" t="e">
        <f t="shared" ca="1" si="770"/>
        <v>#VALUE!</v>
      </c>
      <c r="Z1543" t="e">
        <f t="shared" ca="1" si="771"/>
        <v>#VALUE!</v>
      </c>
      <c r="AA1543" t="e">
        <f t="shared" ca="1" si="772"/>
        <v>#VALUE!</v>
      </c>
      <c r="AB1543" t="e">
        <f t="shared" ca="1" si="773"/>
        <v>#VALUE!</v>
      </c>
      <c r="AC1543" t="e">
        <f t="shared" ca="1" si="774"/>
        <v>#VALUE!</v>
      </c>
      <c r="AD1543" t="e">
        <f t="shared" ca="1" si="775"/>
        <v>#VALUE!</v>
      </c>
      <c r="AE1543" t="e">
        <f t="shared" ca="1" si="776"/>
        <v>#VALUE!</v>
      </c>
      <c r="AF1543" t="e">
        <f t="shared" ca="1" si="777"/>
        <v>#VALUE!</v>
      </c>
      <c r="AG1543" t="e">
        <f t="shared" ca="1" si="778"/>
        <v>#VALUE!</v>
      </c>
      <c r="AH1543" t="e">
        <f ca="1">IF(V33="Supercritical",L1543,IF(V33="Subcritical",W1543,IF(AND(V1543=1,AG1543=1),IF(T1543&gt;=AE1543,L1543,W1543),IF(V1543=1,L1543,IF(AG1543=1,W1543,MAX($D$16,POWER((ABS(K1543)^2)/($I$5*MAX(F1543,0.1)^2),1/3)))))))</f>
        <v>#VALUE!</v>
      </c>
      <c r="AI1543" t="e">
        <f t="shared" ca="1" si="779"/>
        <v>#VALUE!</v>
      </c>
      <c r="AJ1543" t="e">
        <f t="shared" ca="1" si="780"/>
        <v>#VALUE!</v>
      </c>
      <c r="AM1543">
        <v>0</v>
      </c>
      <c r="AN1543">
        <v>0</v>
      </c>
      <c r="AO1543">
        <f t="shared" si="781"/>
        <v>0</v>
      </c>
      <c r="AP1543">
        <f t="shared" si="790"/>
        <v>0</v>
      </c>
      <c r="AQ1543" t="e">
        <f t="shared" ca="1" si="782"/>
        <v>#VALUE!</v>
      </c>
      <c r="AR1543" t="e">
        <f t="shared" ca="1" si="783"/>
        <v>#VALUE!</v>
      </c>
      <c r="AS1543" t="e">
        <f t="shared" ca="1" si="784"/>
        <v>#VALUE!</v>
      </c>
    </row>
    <row r="1544" spans="1:45" x14ac:dyDescent="0.35">
      <c r="A1544">
        <v>6</v>
      </c>
      <c r="B1544">
        <v>5.0010000000000003</v>
      </c>
      <c r="C1544">
        <v>616553.66299999994</v>
      </c>
      <c r="D1544">
        <v>3097756.034</v>
      </c>
      <c r="E1544">
        <v>634.28800000000001</v>
      </c>
      <c r="F1544">
        <v>10.138</v>
      </c>
      <c r="G1544">
        <v>0</v>
      </c>
      <c r="H1544" t="s">
        <v>192</v>
      </c>
      <c r="I1544">
        <v>2.7E-2</v>
      </c>
      <c r="J1544">
        <f t="shared" si="785"/>
        <v>1.0010000000000003</v>
      </c>
      <c r="K1544">
        <f t="shared" si="786"/>
        <v>0</v>
      </c>
      <c r="L1544" t="e">
        <f t="shared" ca="1" si="787"/>
        <v>#VALUE!</v>
      </c>
      <c r="M1544" t="e">
        <f t="shared" ca="1" si="760"/>
        <v>#VALUE!</v>
      </c>
      <c r="N1544" t="e">
        <f t="shared" ca="1" si="761"/>
        <v>#VALUE!</v>
      </c>
      <c r="O1544" t="e">
        <f t="shared" ca="1" si="762"/>
        <v>#VALUE!</v>
      </c>
      <c r="P1544" t="e">
        <f t="shared" ca="1" si="763"/>
        <v>#VALUE!</v>
      </c>
      <c r="Q1544" t="e">
        <f t="shared" ca="1" si="764"/>
        <v>#VALUE!</v>
      </c>
      <c r="R1544" t="e">
        <f t="shared" ca="1" si="765"/>
        <v>#VALUE!</v>
      </c>
      <c r="S1544" t="e">
        <f t="shared" ca="1" si="766"/>
        <v>#VALUE!</v>
      </c>
      <c r="T1544" t="e">
        <f t="shared" ca="1" si="767"/>
        <v>#VALUE!</v>
      </c>
      <c r="U1544" t="e">
        <f t="shared" ca="1" si="788"/>
        <v>#VALUE!</v>
      </c>
      <c r="V1544" t="e">
        <f t="shared" ca="1" si="789"/>
        <v>#VALUE!</v>
      </c>
      <c r="W1544" t="e">
        <f t="shared" ca="1" si="768"/>
        <v>#VALUE!</v>
      </c>
      <c r="X1544" t="e">
        <f t="shared" ca="1" si="769"/>
        <v>#VALUE!</v>
      </c>
      <c r="Y1544" t="e">
        <f t="shared" ca="1" si="770"/>
        <v>#VALUE!</v>
      </c>
      <c r="Z1544" t="e">
        <f t="shared" ca="1" si="771"/>
        <v>#VALUE!</v>
      </c>
      <c r="AA1544" t="e">
        <f t="shared" ca="1" si="772"/>
        <v>#VALUE!</v>
      </c>
      <c r="AB1544" t="e">
        <f t="shared" ca="1" si="773"/>
        <v>#VALUE!</v>
      </c>
      <c r="AC1544" t="e">
        <f t="shared" ca="1" si="774"/>
        <v>#VALUE!</v>
      </c>
      <c r="AD1544" t="e">
        <f t="shared" ca="1" si="775"/>
        <v>#VALUE!</v>
      </c>
      <c r="AE1544" t="e">
        <f t="shared" ca="1" si="776"/>
        <v>#VALUE!</v>
      </c>
      <c r="AF1544" t="e">
        <f t="shared" ca="1" si="777"/>
        <v>#VALUE!</v>
      </c>
      <c r="AG1544" t="e">
        <f t="shared" ca="1" si="778"/>
        <v>#VALUE!</v>
      </c>
      <c r="AH1544" t="e">
        <f ca="1">IF(V33="Supercritical",L1544,IF(V33="Subcritical",W1544,IF(AND(V1544=1,AG1544=1),IF(T1544&gt;=AE1544,L1544,W1544),IF(V1544=1,L1544,IF(AG1544=1,W1544,MAX($D$16,POWER((ABS(K1544)^2)/($I$5*MAX(F1544,0.1)^2),1/3)))))))</f>
        <v>#VALUE!</v>
      </c>
      <c r="AI1544" t="e">
        <f t="shared" ca="1" si="779"/>
        <v>#VALUE!</v>
      </c>
      <c r="AJ1544" t="e">
        <f t="shared" ca="1" si="780"/>
        <v>#VALUE!</v>
      </c>
      <c r="AM1544">
        <v>0</v>
      </c>
      <c r="AN1544">
        <v>0</v>
      </c>
      <c r="AO1544">
        <f t="shared" si="781"/>
        <v>0</v>
      </c>
      <c r="AP1544">
        <f t="shared" si="790"/>
        <v>0</v>
      </c>
      <c r="AQ1544" t="e">
        <f t="shared" ca="1" si="782"/>
        <v>#VALUE!</v>
      </c>
      <c r="AR1544" t="e">
        <f t="shared" ca="1" si="783"/>
        <v>#VALUE!</v>
      </c>
      <c r="AS1544" t="e">
        <f t="shared" ca="1" si="784"/>
        <v>#VALUE!</v>
      </c>
    </row>
    <row r="1545" spans="1:45" x14ac:dyDescent="0.35">
      <c r="A1545">
        <v>7</v>
      </c>
      <c r="B1545">
        <v>6</v>
      </c>
      <c r="C1545">
        <v>616553.19299999997</v>
      </c>
      <c r="D1545">
        <v>3097755.1519999998</v>
      </c>
      <c r="E1545">
        <v>634.28599999999994</v>
      </c>
      <c r="F1545">
        <v>10.874000000000001</v>
      </c>
      <c r="G1545">
        <v>0</v>
      </c>
      <c r="H1545" t="s">
        <v>192</v>
      </c>
      <c r="I1545">
        <v>2.7E-2</v>
      </c>
      <c r="J1545">
        <f t="shared" si="785"/>
        <v>0.99899999999999967</v>
      </c>
      <c r="K1545">
        <f t="shared" si="786"/>
        <v>0</v>
      </c>
      <c r="L1545" t="e">
        <f t="shared" ca="1" si="787"/>
        <v>#VALUE!</v>
      </c>
      <c r="M1545" t="e">
        <f t="shared" ca="1" si="760"/>
        <v>#VALUE!</v>
      </c>
      <c r="N1545" t="e">
        <f t="shared" ca="1" si="761"/>
        <v>#VALUE!</v>
      </c>
      <c r="O1545" t="e">
        <f t="shared" ca="1" si="762"/>
        <v>#VALUE!</v>
      </c>
      <c r="P1545" t="e">
        <f t="shared" ca="1" si="763"/>
        <v>#VALUE!</v>
      </c>
      <c r="Q1545" t="e">
        <f t="shared" ca="1" si="764"/>
        <v>#VALUE!</v>
      </c>
      <c r="R1545" t="e">
        <f t="shared" ca="1" si="765"/>
        <v>#VALUE!</v>
      </c>
      <c r="S1545" t="e">
        <f t="shared" ca="1" si="766"/>
        <v>#VALUE!</v>
      </c>
      <c r="T1545" t="e">
        <f t="shared" ca="1" si="767"/>
        <v>#VALUE!</v>
      </c>
      <c r="U1545" t="e">
        <f t="shared" ca="1" si="788"/>
        <v>#VALUE!</v>
      </c>
      <c r="V1545" t="e">
        <f t="shared" ca="1" si="789"/>
        <v>#VALUE!</v>
      </c>
      <c r="W1545" t="e">
        <f t="shared" ca="1" si="768"/>
        <v>#VALUE!</v>
      </c>
      <c r="X1545" t="e">
        <f t="shared" ca="1" si="769"/>
        <v>#VALUE!</v>
      </c>
      <c r="Y1545" t="e">
        <f t="shared" ca="1" si="770"/>
        <v>#VALUE!</v>
      </c>
      <c r="Z1545" t="e">
        <f t="shared" ca="1" si="771"/>
        <v>#VALUE!</v>
      </c>
      <c r="AA1545" t="e">
        <f t="shared" ca="1" si="772"/>
        <v>#VALUE!</v>
      </c>
      <c r="AB1545" t="e">
        <f t="shared" ca="1" si="773"/>
        <v>#VALUE!</v>
      </c>
      <c r="AC1545" t="e">
        <f t="shared" ca="1" si="774"/>
        <v>#VALUE!</v>
      </c>
      <c r="AD1545" t="e">
        <f t="shared" ca="1" si="775"/>
        <v>#VALUE!</v>
      </c>
      <c r="AE1545" t="e">
        <f t="shared" ca="1" si="776"/>
        <v>#VALUE!</v>
      </c>
      <c r="AF1545" t="e">
        <f t="shared" ca="1" si="777"/>
        <v>#VALUE!</v>
      </c>
      <c r="AG1545" t="e">
        <f t="shared" ca="1" si="778"/>
        <v>#VALUE!</v>
      </c>
      <c r="AH1545" t="e">
        <f ca="1">IF(V33="Supercritical",L1545,IF(V33="Subcritical",W1545,IF(AND(V1545=1,AG1545=1),IF(T1545&gt;=AE1545,L1545,W1545),IF(V1545=1,L1545,IF(AG1545=1,W1545,MAX($D$16,POWER((ABS(K1545)^2)/($I$5*MAX(F1545,0.1)^2),1/3)))))))</f>
        <v>#VALUE!</v>
      </c>
      <c r="AI1545" t="e">
        <f t="shared" ca="1" si="779"/>
        <v>#VALUE!</v>
      </c>
      <c r="AJ1545" t="e">
        <f t="shared" ca="1" si="780"/>
        <v>#VALUE!</v>
      </c>
      <c r="AM1545">
        <v>0</v>
      </c>
      <c r="AN1545">
        <v>0</v>
      </c>
      <c r="AO1545">
        <f t="shared" si="781"/>
        <v>0</v>
      </c>
      <c r="AP1545">
        <f t="shared" si="790"/>
        <v>0</v>
      </c>
      <c r="AQ1545" t="e">
        <f t="shared" ca="1" si="782"/>
        <v>#VALUE!</v>
      </c>
      <c r="AR1545" t="e">
        <f t="shared" ca="1" si="783"/>
        <v>#VALUE!</v>
      </c>
      <c r="AS1545" t="e">
        <f t="shared" ca="1" si="784"/>
        <v>#VALUE!</v>
      </c>
    </row>
    <row r="1546" spans="1:45" x14ac:dyDescent="0.35">
      <c r="A1546">
        <v>8</v>
      </c>
      <c r="B1546">
        <v>7</v>
      </c>
      <c r="C1546">
        <v>616552.723</v>
      </c>
      <c r="D1546">
        <v>3097754.2689999999</v>
      </c>
      <c r="E1546">
        <v>634.28399999999999</v>
      </c>
      <c r="F1546">
        <v>11.611000000000001</v>
      </c>
      <c r="G1546">
        <v>0</v>
      </c>
      <c r="H1546" t="s">
        <v>192</v>
      </c>
      <c r="I1546">
        <v>0</v>
      </c>
      <c r="J1546">
        <f t="shared" si="785"/>
        <v>1</v>
      </c>
      <c r="K1546">
        <f t="shared" si="786"/>
        <v>0</v>
      </c>
      <c r="L1546" t="e">
        <f t="shared" ca="1" si="787"/>
        <v>#VALUE!</v>
      </c>
      <c r="M1546" t="e">
        <f t="shared" ca="1" si="760"/>
        <v>#VALUE!</v>
      </c>
      <c r="N1546" t="e">
        <f t="shared" ca="1" si="761"/>
        <v>#VALUE!</v>
      </c>
      <c r="O1546" t="e">
        <f t="shared" ca="1" si="762"/>
        <v>#VALUE!</v>
      </c>
      <c r="P1546" t="e">
        <f t="shared" ca="1" si="763"/>
        <v>#VALUE!</v>
      </c>
      <c r="Q1546" t="e">
        <f t="shared" ca="1" si="764"/>
        <v>#VALUE!</v>
      </c>
      <c r="R1546" t="e">
        <f t="shared" ca="1" si="765"/>
        <v>#VALUE!</v>
      </c>
      <c r="S1546" t="e">
        <f t="shared" ca="1" si="766"/>
        <v>#VALUE!</v>
      </c>
      <c r="T1546" t="e">
        <f t="shared" ca="1" si="767"/>
        <v>#VALUE!</v>
      </c>
      <c r="U1546" t="e">
        <f t="shared" ca="1" si="788"/>
        <v>#VALUE!</v>
      </c>
      <c r="V1546" t="e">
        <f t="shared" ca="1" si="789"/>
        <v>#VALUE!</v>
      </c>
      <c r="W1546" t="e">
        <f t="shared" ca="1" si="768"/>
        <v>#VALUE!</v>
      </c>
      <c r="X1546" t="e">
        <f t="shared" ca="1" si="769"/>
        <v>#VALUE!</v>
      </c>
      <c r="Y1546" t="e">
        <f t="shared" ca="1" si="770"/>
        <v>#VALUE!</v>
      </c>
      <c r="Z1546" t="e">
        <f t="shared" ca="1" si="771"/>
        <v>#VALUE!</v>
      </c>
      <c r="AA1546" t="e">
        <f t="shared" ca="1" si="772"/>
        <v>#VALUE!</v>
      </c>
      <c r="AB1546" t="e">
        <f t="shared" ca="1" si="773"/>
        <v>#VALUE!</v>
      </c>
      <c r="AC1546" t="e">
        <f t="shared" ca="1" si="774"/>
        <v>#VALUE!</v>
      </c>
      <c r="AD1546" t="e">
        <f t="shared" ca="1" si="775"/>
        <v>#VALUE!</v>
      </c>
      <c r="AE1546" t="e">
        <f t="shared" ca="1" si="776"/>
        <v>#VALUE!</v>
      </c>
      <c r="AF1546" t="e">
        <f t="shared" ca="1" si="777"/>
        <v>#VALUE!</v>
      </c>
      <c r="AG1546" t="e">
        <f t="shared" ca="1" si="778"/>
        <v>#VALUE!</v>
      </c>
      <c r="AH1546" t="e">
        <f ca="1">IF(V33="Supercritical",L1546,IF(V33="Subcritical",W1546,IF(AND(V1546=1,AG1546=1),IF(T1546&gt;=AE1546,L1546,W1546),IF(V1546=1,L1546,IF(AG1546=1,W1546,MAX($D$16,POWER((ABS(K1546)^2)/($I$5*MAX(F1546,0.1)^2),1/3)))))))</f>
        <v>#VALUE!</v>
      </c>
      <c r="AI1546" t="e">
        <f t="shared" ca="1" si="779"/>
        <v>#VALUE!</v>
      </c>
      <c r="AJ1546" t="e">
        <f t="shared" ca="1" si="780"/>
        <v>#VALUE!</v>
      </c>
      <c r="AM1546">
        <v>0</v>
      </c>
      <c r="AN1546">
        <v>0</v>
      </c>
      <c r="AO1546">
        <f t="shared" si="781"/>
        <v>0</v>
      </c>
      <c r="AP1546">
        <f t="shared" si="790"/>
        <v>0</v>
      </c>
      <c r="AQ1546" t="e">
        <f t="shared" ca="1" si="782"/>
        <v>#VALUE!</v>
      </c>
      <c r="AR1546" t="e">
        <f t="shared" ca="1" si="783"/>
        <v>#VALUE!</v>
      </c>
      <c r="AS1546" t="e">
        <f t="shared" ca="1" si="784"/>
        <v>#VALUE!</v>
      </c>
    </row>
    <row r="1547" spans="1:45" x14ac:dyDescent="0.35">
      <c r="A1547">
        <v>9</v>
      </c>
      <c r="B1547">
        <v>8.0009999999999994</v>
      </c>
      <c r="C1547">
        <v>616552.25300000003</v>
      </c>
      <c r="D1547">
        <v>3097753.3859999999</v>
      </c>
      <c r="E1547">
        <v>634.28200000000004</v>
      </c>
      <c r="F1547">
        <v>12.348000000000001</v>
      </c>
      <c r="G1547">
        <v>0</v>
      </c>
      <c r="H1547" t="s">
        <v>192</v>
      </c>
      <c r="I1547">
        <v>2.7E-2</v>
      </c>
      <c r="J1547">
        <f t="shared" si="785"/>
        <v>1.0009999999999994</v>
      </c>
      <c r="K1547">
        <f t="shared" si="786"/>
        <v>0</v>
      </c>
      <c r="L1547" t="e">
        <f t="shared" ca="1" si="787"/>
        <v>#VALUE!</v>
      </c>
      <c r="M1547" t="e">
        <f t="shared" ca="1" si="760"/>
        <v>#VALUE!</v>
      </c>
      <c r="N1547" t="e">
        <f t="shared" ca="1" si="761"/>
        <v>#VALUE!</v>
      </c>
      <c r="O1547" t="e">
        <f t="shared" ca="1" si="762"/>
        <v>#VALUE!</v>
      </c>
      <c r="P1547" t="e">
        <f t="shared" ca="1" si="763"/>
        <v>#VALUE!</v>
      </c>
      <c r="Q1547" t="e">
        <f t="shared" ca="1" si="764"/>
        <v>#VALUE!</v>
      </c>
      <c r="R1547" t="e">
        <f t="shared" ca="1" si="765"/>
        <v>#VALUE!</v>
      </c>
      <c r="S1547" t="e">
        <f t="shared" ca="1" si="766"/>
        <v>#VALUE!</v>
      </c>
      <c r="T1547" t="e">
        <f t="shared" ca="1" si="767"/>
        <v>#VALUE!</v>
      </c>
      <c r="U1547" t="e">
        <f t="shared" ca="1" si="788"/>
        <v>#VALUE!</v>
      </c>
      <c r="V1547" t="e">
        <f t="shared" ca="1" si="789"/>
        <v>#VALUE!</v>
      </c>
      <c r="W1547" t="e">
        <f t="shared" ca="1" si="768"/>
        <v>#VALUE!</v>
      </c>
      <c r="X1547" t="e">
        <f t="shared" ca="1" si="769"/>
        <v>#VALUE!</v>
      </c>
      <c r="Y1547" t="e">
        <f t="shared" ca="1" si="770"/>
        <v>#VALUE!</v>
      </c>
      <c r="Z1547" t="e">
        <f t="shared" ca="1" si="771"/>
        <v>#VALUE!</v>
      </c>
      <c r="AA1547" t="e">
        <f t="shared" ca="1" si="772"/>
        <v>#VALUE!</v>
      </c>
      <c r="AB1547" t="e">
        <f t="shared" ca="1" si="773"/>
        <v>#VALUE!</v>
      </c>
      <c r="AC1547" t="e">
        <f t="shared" ca="1" si="774"/>
        <v>#VALUE!</v>
      </c>
      <c r="AD1547" t="e">
        <f t="shared" ca="1" si="775"/>
        <v>#VALUE!</v>
      </c>
      <c r="AE1547" t="e">
        <f t="shared" ca="1" si="776"/>
        <v>#VALUE!</v>
      </c>
      <c r="AF1547" t="e">
        <f t="shared" ca="1" si="777"/>
        <v>#VALUE!</v>
      </c>
      <c r="AG1547" t="e">
        <f t="shared" ca="1" si="778"/>
        <v>#VALUE!</v>
      </c>
      <c r="AH1547" t="e">
        <f ca="1">IF(V33="Supercritical",L1547,IF(V33="Subcritical",W1547,IF(AND(V1547=1,AG1547=1),IF(T1547&gt;=AE1547,L1547,W1547),IF(V1547=1,L1547,IF(AG1547=1,W1547,MAX($D$16,POWER((ABS(K1547)^2)/($I$5*MAX(F1547,0.1)^2),1/3)))))))</f>
        <v>#VALUE!</v>
      </c>
      <c r="AI1547" t="e">
        <f t="shared" ca="1" si="779"/>
        <v>#VALUE!</v>
      </c>
      <c r="AJ1547" t="e">
        <f t="shared" ca="1" si="780"/>
        <v>#VALUE!</v>
      </c>
      <c r="AM1547">
        <v>0</v>
      </c>
      <c r="AN1547">
        <v>0</v>
      </c>
      <c r="AO1547">
        <f t="shared" si="781"/>
        <v>0</v>
      </c>
      <c r="AP1547">
        <f t="shared" si="790"/>
        <v>0</v>
      </c>
      <c r="AQ1547" t="e">
        <f t="shared" ca="1" si="782"/>
        <v>#VALUE!</v>
      </c>
      <c r="AR1547" t="e">
        <f t="shared" ca="1" si="783"/>
        <v>#VALUE!</v>
      </c>
      <c r="AS1547" t="e">
        <f t="shared" ca="1" si="784"/>
        <v>#VALUE!</v>
      </c>
    </row>
    <row r="1548" spans="1:45" x14ac:dyDescent="0.35">
      <c r="A1548">
        <v>10</v>
      </c>
      <c r="B1548">
        <v>9</v>
      </c>
      <c r="C1548">
        <v>616551.78300000005</v>
      </c>
      <c r="D1548">
        <v>3097752.5040000002</v>
      </c>
      <c r="E1548">
        <v>634.28</v>
      </c>
      <c r="F1548">
        <v>6.2240000000000002</v>
      </c>
      <c r="G1548">
        <v>0</v>
      </c>
      <c r="H1548" t="s">
        <v>191</v>
      </c>
      <c r="I1548">
        <v>2.7E-2</v>
      </c>
      <c r="J1548">
        <f t="shared" si="785"/>
        <v>0.99900000000000055</v>
      </c>
      <c r="K1548">
        <f t="shared" si="786"/>
        <v>0</v>
      </c>
      <c r="L1548" t="e">
        <f t="shared" ca="1" si="787"/>
        <v>#VALUE!</v>
      </c>
      <c r="M1548" t="e">
        <f t="shared" ca="1" si="760"/>
        <v>#VALUE!</v>
      </c>
      <c r="N1548" t="e">
        <f t="shared" ca="1" si="761"/>
        <v>#VALUE!</v>
      </c>
      <c r="O1548" t="e">
        <f t="shared" ca="1" si="762"/>
        <v>#VALUE!</v>
      </c>
      <c r="P1548" t="e">
        <f t="shared" ca="1" si="763"/>
        <v>#VALUE!</v>
      </c>
      <c r="Q1548" t="e">
        <f t="shared" ca="1" si="764"/>
        <v>#VALUE!</v>
      </c>
      <c r="R1548" t="e">
        <f t="shared" ca="1" si="765"/>
        <v>#VALUE!</v>
      </c>
      <c r="S1548" t="e">
        <f t="shared" ca="1" si="766"/>
        <v>#VALUE!</v>
      </c>
      <c r="T1548" t="e">
        <f t="shared" ca="1" si="767"/>
        <v>#VALUE!</v>
      </c>
      <c r="U1548" t="e">
        <f t="shared" ca="1" si="788"/>
        <v>#VALUE!</v>
      </c>
      <c r="V1548" t="e">
        <f t="shared" ca="1" si="789"/>
        <v>#VALUE!</v>
      </c>
      <c r="W1548" t="e">
        <f t="shared" ca="1" si="768"/>
        <v>#VALUE!</v>
      </c>
      <c r="X1548" t="e">
        <f t="shared" ca="1" si="769"/>
        <v>#VALUE!</v>
      </c>
      <c r="Y1548" t="e">
        <f t="shared" ca="1" si="770"/>
        <v>#VALUE!</v>
      </c>
      <c r="Z1548" t="e">
        <f t="shared" ca="1" si="771"/>
        <v>#VALUE!</v>
      </c>
      <c r="AA1548" t="e">
        <f t="shared" ca="1" si="772"/>
        <v>#VALUE!</v>
      </c>
      <c r="AB1548" t="e">
        <f t="shared" ca="1" si="773"/>
        <v>#VALUE!</v>
      </c>
      <c r="AC1548" t="e">
        <f t="shared" ca="1" si="774"/>
        <v>#VALUE!</v>
      </c>
      <c r="AD1548" t="e">
        <f t="shared" ca="1" si="775"/>
        <v>#VALUE!</v>
      </c>
      <c r="AE1548" t="e">
        <f t="shared" ca="1" si="776"/>
        <v>#VALUE!</v>
      </c>
      <c r="AF1548" t="e">
        <f t="shared" ca="1" si="777"/>
        <v>#VALUE!</v>
      </c>
      <c r="AG1548" t="e">
        <f t="shared" ca="1" si="778"/>
        <v>#VALUE!</v>
      </c>
      <c r="AH1548" t="e">
        <f ca="1">IF(V33="Supercritical",L1548,IF(V33="Subcritical",W1548,IF(AND(V1548=1,AG1548=1),IF(T1548&gt;=AE1548,L1548,W1548),IF(V1548=1,L1548,IF(AG1548=1,W1548,MAX($D$16,POWER((ABS(K1548)^2)/($I$5*MAX(F1548,0.1)^2),1/3)))))))</f>
        <v>#VALUE!</v>
      </c>
      <c r="AI1548" t="e">
        <f t="shared" ca="1" si="779"/>
        <v>#VALUE!</v>
      </c>
      <c r="AJ1548" t="e">
        <f t="shared" ca="1" si="780"/>
        <v>#VALUE!</v>
      </c>
      <c r="AM1548">
        <v>0</v>
      </c>
      <c r="AN1548">
        <v>0</v>
      </c>
      <c r="AO1548">
        <f t="shared" si="781"/>
        <v>0</v>
      </c>
      <c r="AP1548">
        <f t="shared" si="790"/>
        <v>0</v>
      </c>
      <c r="AQ1548" t="e">
        <f t="shared" ca="1" si="782"/>
        <v>#VALUE!</v>
      </c>
      <c r="AR1548" t="e">
        <f t="shared" ca="1" si="783"/>
        <v>#VALUE!</v>
      </c>
      <c r="AS1548" t="e">
        <f t="shared" ca="1" si="784"/>
        <v>#VALUE!</v>
      </c>
    </row>
    <row r="1549" spans="1:45" x14ac:dyDescent="0.35">
      <c r="A1549">
        <v>11</v>
      </c>
      <c r="B1549">
        <v>10</v>
      </c>
      <c r="C1549">
        <v>616551.31299999997</v>
      </c>
      <c r="D1549">
        <v>3097751.6209999998</v>
      </c>
      <c r="E1549">
        <v>634.27800000000002</v>
      </c>
      <c r="F1549">
        <v>6.2240000000000002</v>
      </c>
      <c r="G1549">
        <v>0</v>
      </c>
      <c r="H1549" t="s">
        <v>191</v>
      </c>
      <c r="I1549">
        <v>0</v>
      </c>
      <c r="J1549">
        <f t="shared" si="785"/>
        <v>1</v>
      </c>
      <c r="K1549">
        <f t="shared" si="786"/>
        <v>0</v>
      </c>
      <c r="L1549" t="e">
        <f t="shared" ca="1" si="787"/>
        <v>#VALUE!</v>
      </c>
      <c r="M1549" t="e">
        <f t="shared" ca="1" si="760"/>
        <v>#VALUE!</v>
      </c>
      <c r="N1549" t="e">
        <f t="shared" ca="1" si="761"/>
        <v>#VALUE!</v>
      </c>
      <c r="O1549" t="e">
        <f t="shared" ca="1" si="762"/>
        <v>#VALUE!</v>
      </c>
      <c r="P1549" t="e">
        <f t="shared" ca="1" si="763"/>
        <v>#VALUE!</v>
      </c>
      <c r="Q1549" t="e">
        <f t="shared" ca="1" si="764"/>
        <v>#VALUE!</v>
      </c>
      <c r="R1549" t="e">
        <f t="shared" ca="1" si="765"/>
        <v>#VALUE!</v>
      </c>
      <c r="S1549" t="e">
        <f t="shared" ca="1" si="766"/>
        <v>#VALUE!</v>
      </c>
      <c r="T1549" t="e">
        <f t="shared" ca="1" si="767"/>
        <v>#VALUE!</v>
      </c>
      <c r="U1549" t="e">
        <f t="shared" ca="1" si="788"/>
        <v>#VALUE!</v>
      </c>
      <c r="V1549" t="e">
        <f t="shared" ca="1" si="789"/>
        <v>#VALUE!</v>
      </c>
      <c r="W1549" t="e">
        <f t="shared" ca="1" si="768"/>
        <v>#VALUE!</v>
      </c>
      <c r="X1549" t="e">
        <f t="shared" ca="1" si="769"/>
        <v>#VALUE!</v>
      </c>
      <c r="Y1549" t="e">
        <f t="shared" ca="1" si="770"/>
        <v>#VALUE!</v>
      </c>
      <c r="Z1549" t="e">
        <f t="shared" ca="1" si="771"/>
        <v>#VALUE!</v>
      </c>
      <c r="AA1549" t="e">
        <f t="shared" ca="1" si="772"/>
        <v>#VALUE!</v>
      </c>
      <c r="AB1549" t="e">
        <f t="shared" ca="1" si="773"/>
        <v>#VALUE!</v>
      </c>
      <c r="AC1549" t="e">
        <f t="shared" ca="1" si="774"/>
        <v>#VALUE!</v>
      </c>
      <c r="AD1549" t="e">
        <f t="shared" ca="1" si="775"/>
        <v>#VALUE!</v>
      </c>
      <c r="AE1549" t="e">
        <f t="shared" ca="1" si="776"/>
        <v>#VALUE!</v>
      </c>
      <c r="AF1549" t="e">
        <f t="shared" ca="1" si="777"/>
        <v>#VALUE!</v>
      </c>
      <c r="AG1549" t="e">
        <f t="shared" ca="1" si="778"/>
        <v>#VALUE!</v>
      </c>
      <c r="AH1549" t="e">
        <f ca="1">IF(V33="Supercritical",L1549,IF(V33="Subcritical",W1549,IF(AND(V1549=1,AG1549=1),IF(T1549&gt;=AE1549,L1549,W1549),IF(V1549=1,L1549,IF(AG1549=1,W1549,MAX($D$16,POWER((ABS(K1549)^2)/($I$5*MAX(F1549,0.1)^2),1/3)))))))</f>
        <v>#VALUE!</v>
      </c>
      <c r="AI1549" t="e">
        <f t="shared" ca="1" si="779"/>
        <v>#VALUE!</v>
      </c>
      <c r="AJ1549" t="e">
        <f t="shared" ca="1" si="780"/>
        <v>#VALUE!</v>
      </c>
      <c r="AM1549">
        <v>0</v>
      </c>
      <c r="AN1549">
        <v>0</v>
      </c>
      <c r="AO1549">
        <f t="shared" si="781"/>
        <v>0</v>
      </c>
      <c r="AP1549">
        <f t="shared" si="790"/>
        <v>0</v>
      </c>
      <c r="AQ1549" t="e">
        <f t="shared" ca="1" si="782"/>
        <v>#VALUE!</v>
      </c>
      <c r="AR1549" t="e">
        <f t="shared" ca="1" si="783"/>
        <v>#VALUE!</v>
      </c>
      <c r="AS1549" t="e">
        <f t="shared" ca="1" si="784"/>
        <v>#VALUE!</v>
      </c>
    </row>
    <row r="1550" spans="1:45" x14ac:dyDescent="0.35">
      <c r="A1550">
        <v>12</v>
      </c>
      <c r="B1550">
        <v>11.000999999999999</v>
      </c>
      <c r="C1550">
        <v>616550.84299999999</v>
      </c>
      <c r="D1550">
        <v>3097750.7379999999</v>
      </c>
      <c r="E1550">
        <v>634.27599999999995</v>
      </c>
      <c r="F1550">
        <v>5.9950000000000001</v>
      </c>
      <c r="G1550">
        <v>0</v>
      </c>
      <c r="H1550" t="s">
        <v>191</v>
      </c>
      <c r="I1550">
        <v>2.7E-2</v>
      </c>
      <c r="J1550">
        <f t="shared" si="785"/>
        <v>1.0009999999999994</v>
      </c>
      <c r="K1550">
        <f t="shared" si="786"/>
        <v>0</v>
      </c>
      <c r="L1550" t="e">
        <f t="shared" ca="1" si="787"/>
        <v>#VALUE!</v>
      </c>
      <c r="M1550" t="e">
        <f t="shared" ca="1" si="760"/>
        <v>#VALUE!</v>
      </c>
      <c r="N1550" t="e">
        <f t="shared" ca="1" si="761"/>
        <v>#VALUE!</v>
      </c>
      <c r="O1550" t="e">
        <f t="shared" ca="1" si="762"/>
        <v>#VALUE!</v>
      </c>
      <c r="P1550" t="e">
        <f t="shared" ca="1" si="763"/>
        <v>#VALUE!</v>
      </c>
      <c r="Q1550" t="e">
        <f t="shared" ca="1" si="764"/>
        <v>#VALUE!</v>
      </c>
      <c r="R1550" t="e">
        <f t="shared" ca="1" si="765"/>
        <v>#VALUE!</v>
      </c>
      <c r="S1550" t="e">
        <f t="shared" ca="1" si="766"/>
        <v>#VALUE!</v>
      </c>
      <c r="T1550" t="e">
        <f t="shared" ca="1" si="767"/>
        <v>#VALUE!</v>
      </c>
      <c r="U1550" t="e">
        <f t="shared" ca="1" si="788"/>
        <v>#VALUE!</v>
      </c>
      <c r="V1550" t="e">
        <f t="shared" ca="1" si="789"/>
        <v>#VALUE!</v>
      </c>
      <c r="W1550" t="e">
        <f t="shared" ca="1" si="768"/>
        <v>#VALUE!</v>
      </c>
      <c r="X1550" t="e">
        <f t="shared" ca="1" si="769"/>
        <v>#VALUE!</v>
      </c>
      <c r="Y1550" t="e">
        <f t="shared" ca="1" si="770"/>
        <v>#VALUE!</v>
      </c>
      <c r="Z1550" t="e">
        <f t="shared" ca="1" si="771"/>
        <v>#VALUE!</v>
      </c>
      <c r="AA1550" t="e">
        <f t="shared" ca="1" si="772"/>
        <v>#VALUE!</v>
      </c>
      <c r="AB1550" t="e">
        <f t="shared" ca="1" si="773"/>
        <v>#VALUE!</v>
      </c>
      <c r="AC1550" t="e">
        <f t="shared" ca="1" si="774"/>
        <v>#VALUE!</v>
      </c>
      <c r="AD1550" t="e">
        <f t="shared" ca="1" si="775"/>
        <v>#VALUE!</v>
      </c>
      <c r="AE1550" t="e">
        <f t="shared" ca="1" si="776"/>
        <v>#VALUE!</v>
      </c>
      <c r="AF1550" t="e">
        <f t="shared" ca="1" si="777"/>
        <v>#VALUE!</v>
      </c>
      <c r="AG1550" t="e">
        <f t="shared" ca="1" si="778"/>
        <v>#VALUE!</v>
      </c>
      <c r="AH1550" t="e">
        <f ca="1">IF(V33="Supercritical",L1550,IF(V33="Subcritical",W1550,IF(AND(V1550=1,AG1550=1),IF(T1550&gt;=AE1550,L1550,W1550),IF(V1550=1,L1550,IF(AG1550=1,W1550,MAX($D$16,POWER((ABS(K1550)^2)/($I$5*MAX(F1550,0.1)^2),1/3)))))))</f>
        <v>#VALUE!</v>
      </c>
      <c r="AI1550" t="e">
        <f t="shared" ca="1" si="779"/>
        <v>#VALUE!</v>
      </c>
      <c r="AJ1550" t="e">
        <f t="shared" ca="1" si="780"/>
        <v>#VALUE!</v>
      </c>
      <c r="AM1550">
        <v>0</v>
      </c>
      <c r="AN1550">
        <v>0</v>
      </c>
      <c r="AO1550">
        <f t="shared" si="781"/>
        <v>0</v>
      </c>
      <c r="AP1550">
        <f t="shared" si="790"/>
        <v>0</v>
      </c>
      <c r="AQ1550" t="e">
        <f t="shared" ca="1" si="782"/>
        <v>#VALUE!</v>
      </c>
      <c r="AR1550" t="e">
        <f t="shared" ca="1" si="783"/>
        <v>#VALUE!</v>
      </c>
      <c r="AS1550" t="e">
        <f t="shared" ca="1" si="784"/>
        <v>#VALUE!</v>
      </c>
    </row>
    <row r="1551" spans="1:45" x14ac:dyDescent="0.35">
      <c r="A1551">
        <v>13</v>
      </c>
      <c r="B1551">
        <v>12</v>
      </c>
      <c r="C1551">
        <v>616550.37300000002</v>
      </c>
      <c r="D1551">
        <v>3097749.8560000001</v>
      </c>
      <c r="E1551">
        <v>634.274</v>
      </c>
      <c r="F1551">
        <v>5.9950000000000001</v>
      </c>
      <c r="G1551">
        <v>0</v>
      </c>
      <c r="H1551" t="s">
        <v>191</v>
      </c>
      <c r="I1551">
        <v>2.7E-2</v>
      </c>
      <c r="J1551">
        <f t="shared" si="785"/>
        <v>0.99900000000000055</v>
      </c>
      <c r="K1551">
        <f t="shared" si="786"/>
        <v>0</v>
      </c>
      <c r="L1551" t="e">
        <f t="shared" ca="1" si="787"/>
        <v>#VALUE!</v>
      </c>
      <c r="M1551" t="e">
        <f t="shared" ca="1" si="760"/>
        <v>#VALUE!</v>
      </c>
      <c r="N1551" t="e">
        <f t="shared" ca="1" si="761"/>
        <v>#VALUE!</v>
      </c>
      <c r="O1551" t="e">
        <f t="shared" ca="1" si="762"/>
        <v>#VALUE!</v>
      </c>
      <c r="P1551" t="e">
        <f t="shared" ca="1" si="763"/>
        <v>#VALUE!</v>
      </c>
      <c r="Q1551" t="e">
        <f t="shared" ca="1" si="764"/>
        <v>#VALUE!</v>
      </c>
      <c r="R1551" t="e">
        <f t="shared" ca="1" si="765"/>
        <v>#VALUE!</v>
      </c>
      <c r="S1551" t="e">
        <f t="shared" ca="1" si="766"/>
        <v>#VALUE!</v>
      </c>
      <c r="T1551" t="e">
        <f t="shared" ca="1" si="767"/>
        <v>#VALUE!</v>
      </c>
      <c r="U1551" t="e">
        <f t="shared" ca="1" si="788"/>
        <v>#VALUE!</v>
      </c>
      <c r="V1551" t="e">
        <f t="shared" ca="1" si="789"/>
        <v>#VALUE!</v>
      </c>
      <c r="W1551" t="e">
        <f t="shared" ca="1" si="768"/>
        <v>#VALUE!</v>
      </c>
      <c r="X1551" t="e">
        <f t="shared" ca="1" si="769"/>
        <v>#VALUE!</v>
      </c>
      <c r="Y1551" t="e">
        <f t="shared" ca="1" si="770"/>
        <v>#VALUE!</v>
      </c>
      <c r="Z1551" t="e">
        <f t="shared" ca="1" si="771"/>
        <v>#VALUE!</v>
      </c>
      <c r="AA1551" t="e">
        <f t="shared" ca="1" si="772"/>
        <v>#VALUE!</v>
      </c>
      <c r="AB1551" t="e">
        <f t="shared" ca="1" si="773"/>
        <v>#VALUE!</v>
      </c>
      <c r="AC1551" t="e">
        <f t="shared" ca="1" si="774"/>
        <v>#VALUE!</v>
      </c>
      <c r="AD1551" t="e">
        <f t="shared" ca="1" si="775"/>
        <v>#VALUE!</v>
      </c>
      <c r="AE1551" t="e">
        <f t="shared" ca="1" si="776"/>
        <v>#VALUE!</v>
      </c>
      <c r="AF1551" t="e">
        <f t="shared" ca="1" si="777"/>
        <v>#VALUE!</v>
      </c>
      <c r="AG1551" t="e">
        <f t="shared" ca="1" si="778"/>
        <v>#VALUE!</v>
      </c>
      <c r="AH1551" t="e">
        <f ca="1">IF(V33="Supercritical",L1551,IF(V33="Subcritical",W1551,IF(AND(V1551=1,AG1551=1),IF(T1551&gt;=AE1551,L1551,W1551),IF(V1551=1,L1551,IF(AG1551=1,W1551,MAX($D$16,POWER((ABS(K1551)^2)/($I$5*MAX(F1551,0.1)^2),1/3)))))))</f>
        <v>#VALUE!</v>
      </c>
      <c r="AI1551" t="e">
        <f t="shared" ca="1" si="779"/>
        <v>#VALUE!</v>
      </c>
      <c r="AJ1551" t="e">
        <f t="shared" ca="1" si="780"/>
        <v>#VALUE!</v>
      </c>
      <c r="AM1551">
        <v>0</v>
      </c>
      <c r="AN1551">
        <v>0</v>
      </c>
      <c r="AO1551">
        <f t="shared" si="781"/>
        <v>0</v>
      </c>
      <c r="AP1551">
        <f t="shared" si="790"/>
        <v>0</v>
      </c>
      <c r="AQ1551" t="e">
        <f t="shared" ca="1" si="782"/>
        <v>#VALUE!</v>
      </c>
      <c r="AR1551" t="e">
        <f t="shared" ca="1" si="783"/>
        <v>#VALUE!</v>
      </c>
      <c r="AS1551" t="e">
        <f t="shared" ca="1" si="784"/>
        <v>#VALUE!</v>
      </c>
    </row>
    <row r="1552" spans="1:45" x14ac:dyDescent="0.35">
      <c r="A1552">
        <v>14</v>
      </c>
      <c r="B1552">
        <v>13</v>
      </c>
      <c r="C1552">
        <v>616549.90300000005</v>
      </c>
      <c r="D1552">
        <v>3097748.9730000002</v>
      </c>
      <c r="E1552">
        <v>634.27200000000005</v>
      </c>
      <c r="F1552">
        <v>5.9950000000000001</v>
      </c>
      <c r="G1552">
        <v>0</v>
      </c>
      <c r="H1552" t="s">
        <v>191</v>
      </c>
      <c r="I1552">
        <v>0</v>
      </c>
      <c r="J1552">
        <f t="shared" si="785"/>
        <v>1</v>
      </c>
      <c r="K1552">
        <f t="shared" si="786"/>
        <v>0</v>
      </c>
      <c r="L1552" t="e">
        <f t="shared" ca="1" si="787"/>
        <v>#VALUE!</v>
      </c>
      <c r="M1552" t="e">
        <f t="shared" ca="1" si="760"/>
        <v>#VALUE!</v>
      </c>
      <c r="N1552" t="e">
        <f t="shared" ca="1" si="761"/>
        <v>#VALUE!</v>
      </c>
      <c r="O1552" t="e">
        <f t="shared" ca="1" si="762"/>
        <v>#VALUE!</v>
      </c>
      <c r="P1552" t="e">
        <f t="shared" ca="1" si="763"/>
        <v>#VALUE!</v>
      </c>
      <c r="Q1552" t="e">
        <f t="shared" ca="1" si="764"/>
        <v>#VALUE!</v>
      </c>
      <c r="R1552" t="e">
        <f t="shared" ca="1" si="765"/>
        <v>#VALUE!</v>
      </c>
      <c r="S1552" t="e">
        <f t="shared" ca="1" si="766"/>
        <v>#VALUE!</v>
      </c>
      <c r="T1552" t="e">
        <f t="shared" ca="1" si="767"/>
        <v>#VALUE!</v>
      </c>
      <c r="U1552" t="e">
        <f t="shared" ca="1" si="788"/>
        <v>#VALUE!</v>
      </c>
      <c r="V1552" t="e">
        <f t="shared" ca="1" si="789"/>
        <v>#VALUE!</v>
      </c>
      <c r="W1552" t="e">
        <f t="shared" ca="1" si="768"/>
        <v>#VALUE!</v>
      </c>
      <c r="X1552" t="e">
        <f t="shared" ca="1" si="769"/>
        <v>#VALUE!</v>
      </c>
      <c r="Y1552" t="e">
        <f t="shared" ca="1" si="770"/>
        <v>#VALUE!</v>
      </c>
      <c r="Z1552" t="e">
        <f t="shared" ca="1" si="771"/>
        <v>#VALUE!</v>
      </c>
      <c r="AA1552" t="e">
        <f t="shared" ca="1" si="772"/>
        <v>#VALUE!</v>
      </c>
      <c r="AB1552" t="e">
        <f t="shared" ca="1" si="773"/>
        <v>#VALUE!</v>
      </c>
      <c r="AC1552" t="e">
        <f t="shared" ca="1" si="774"/>
        <v>#VALUE!</v>
      </c>
      <c r="AD1552" t="e">
        <f t="shared" ca="1" si="775"/>
        <v>#VALUE!</v>
      </c>
      <c r="AE1552" t="e">
        <f t="shared" ca="1" si="776"/>
        <v>#VALUE!</v>
      </c>
      <c r="AF1552" t="e">
        <f t="shared" ca="1" si="777"/>
        <v>#VALUE!</v>
      </c>
      <c r="AG1552" t="e">
        <f t="shared" ca="1" si="778"/>
        <v>#VALUE!</v>
      </c>
      <c r="AH1552" t="e">
        <f ca="1">IF(V33="Supercritical",L1552,IF(V33="Subcritical",W1552,IF(AND(V1552=1,AG1552=1),IF(T1552&gt;=AE1552,L1552,W1552),IF(V1552=1,L1552,IF(AG1552=1,W1552,MAX($D$16,POWER((ABS(K1552)^2)/($I$5*MAX(F1552,0.1)^2),1/3)))))))</f>
        <v>#VALUE!</v>
      </c>
      <c r="AI1552" t="e">
        <f t="shared" ca="1" si="779"/>
        <v>#VALUE!</v>
      </c>
      <c r="AJ1552" t="e">
        <f t="shared" ca="1" si="780"/>
        <v>#VALUE!</v>
      </c>
      <c r="AM1552">
        <v>0</v>
      </c>
      <c r="AN1552">
        <v>0</v>
      </c>
      <c r="AO1552">
        <f t="shared" si="781"/>
        <v>0</v>
      </c>
      <c r="AP1552">
        <f t="shared" si="790"/>
        <v>0</v>
      </c>
      <c r="AQ1552" t="e">
        <f t="shared" ca="1" si="782"/>
        <v>#VALUE!</v>
      </c>
      <c r="AR1552" t="e">
        <f t="shared" ca="1" si="783"/>
        <v>#VALUE!</v>
      </c>
      <c r="AS1552" t="e">
        <f t="shared" ca="1" si="784"/>
        <v>#VALUE!</v>
      </c>
    </row>
    <row r="1553" spans="1:45" x14ac:dyDescent="0.35">
      <c r="A1553">
        <v>15</v>
      </c>
      <c r="B1553">
        <v>14.000999999999999</v>
      </c>
      <c r="C1553">
        <v>616549.43299999996</v>
      </c>
      <c r="D1553">
        <v>3097748.09</v>
      </c>
      <c r="E1553">
        <v>634.27</v>
      </c>
      <c r="F1553">
        <v>5.9939999999999998</v>
      </c>
      <c r="G1553">
        <v>0</v>
      </c>
      <c r="H1553" t="s">
        <v>191</v>
      </c>
      <c r="I1553">
        <v>2.7E-2</v>
      </c>
      <c r="J1553">
        <f t="shared" si="785"/>
        <v>1.0009999999999994</v>
      </c>
      <c r="K1553">
        <f t="shared" si="786"/>
        <v>0</v>
      </c>
      <c r="L1553" t="e">
        <f t="shared" ca="1" si="787"/>
        <v>#VALUE!</v>
      </c>
      <c r="M1553" t="e">
        <f t="shared" ca="1" si="760"/>
        <v>#VALUE!</v>
      </c>
      <c r="N1553" t="e">
        <f t="shared" ca="1" si="761"/>
        <v>#VALUE!</v>
      </c>
      <c r="O1553" t="e">
        <f t="shared" ca="1" si="762"/>
        <v>#VALUE!</v>
      </c>
      <c r="P1553" t="e">
        <f t="shared" ca="1" si="763"/>
        <v>#VALUE!</v>
      </c>
      <c r="Q1553" t="e">
        <f t="shared" ca="1" si="764"/>
        <v>#VALUE!</v>
      </c>
      <c r="R1553" t="e">
        <f t="shared" ca="1" si="765"/>
        <v>#VALUE!</v>
      </c>
      <c r="S1553" t="e">
        <f t="shared" ca="1" si="766"/>
        <v>#VALUE!</v>
      </c>
      <c r="T1553" t="e">
        <f t="shared" ca="1" si="767"/>
        <v>#VALUE!</v>
      </c>
      <c r="U1553" t="e">
        <f t="shared" ca="1" si="788"/>
        <v>#VALUE!</v>
      </c>
      <c r="V1553" t="e">
        <f t="shared" ca="1" si="789"/>
        <v>#VALUE!</v>
      </c>
      <c r="W1553" t="e">
        <f t="shared" ca="1" si="768"/>
        <v>#VALUE!</v>
      </c>
      <c r="X1553" t="e">
        <f t="shared" ca="1" si="769"/>
        <v>#VALUE!</v>
      </c>
      <c r="Y1553" t="e">
        <f t="shared" ca="1" si="770"/>
        <v>#VALUE!</v>
      </c>
      <c r="Z1553" t="e">
        <f t="shared" ca="1" si="771"/>
        <v>#VALUE!</v>
      </c>
      <c r="AA1553" t="e">
        <f t="shared" ca="1" si="772"/>
        <v>#VALUE!</v>
      </c>
      <c r="AB1553" t="e">
        <f t="shared" ca="1" si="773"/>
        <v>#VALUE!</v>
      </c>
      <c r="AC1553" t="e">
        <f t="shared" ca="1" si="774"/>
        <v>#VALUE!</v>
      </c>
      <c r="AD1553" t="e">
        <f t="shared" ca="1" si="775"/>
        <v>#VALUE!</v>
      </c>
      <c r="AE1553" t="e">
        <f t="shared" ca="1" si="776"/>
        <v>#VALUE!</v>
      </c>
      <c r="AF1553" t="e">
        <f t="shared" ca="1" si="777"/>
        <v>#VALUE!</v>
      </c>
      <c r="AG1553" t="e">
        <f t="shared" ca="1" si="778"/>
        <v>#VALUE!</v>
      </c>
      <c r="AH1553" t="e">
        <f ca="1">IF(V33="Supercritical",L1553,IF(V33="Subcritical",W1553,IF(AND(V1553=1,AG1553=1),IF(T1553&gt;=AE1553,L1553,W1553),IF(V1553=1,L1553,IF(AG1553=1,W1553,MAX($D$16,POWER((ABS(K1553)^2)/($I$5*MAX(F1553,0.1)^2),1/3)))))))</f>
        <v>#VALUE!</v>
      </c>
      <c r="AI1553" t="e">
        <f t="shared" ca="1" si="779"/>
        <v>#VALUE!</v>
      </c>
      <c r="AJ1553" t="e">
        <f t="shared" ca="1" si="780"/>
        <v>#VALUE!</v>
      </c>
      <c r="AM1553">
        <v>0</v>
      </c>
      <c r="AN1553">
        <v>0</v>
      </c>
      <c r="AO1553">
        <f t="shared" si="781"/>
        <v>0</v>
      </c>
      <c r="AP1553">
        <f t="shared" si="790"/>
        <v>0</v>
      </c>
      <c r="AQ1553" t="e">
        <f t="shared" ca="1" si="782"/>
        <v>#VALUE!</v>
      </c>
      <c r="AR1553" t="e">
        <f t="shared" ca="1" si="783"/>
        <v>#VALUE!</v>
      </c>
      <c r="AS1553" t="e">
        <f t="shared" ca="1" si="784"/>
        <v>#VALUE!</v>
      </c>
    </row>
    <row r="1554" spans="1:45" x14ac:dyDescent="0.35">
      <c r="A1554">
        <v>16</v>
      </c>
      <c r="B1554">
        <v>15</v>
      </c>
      <c r="C1554">
        <v>616548.96299999999</v>
      </c>
      <c r="D1554">
        <v>3097747.2080000001</v>
      </c>
      <c r="E1554">
        <v>634.26800000000003</v>
      </c>
      <c r="F1554">
        <v>5.9939999999999998</v>
      </c>
      <c r="G1554">
        <v>0</v>
      </c>
      <c r="H1554" t="s">
        <v>191</v>
      </c>
      <c r="I1554">
        <v>2.7E-2</v>
      </c>
      <c r="J1554">
        <f t="shared" si="785"/>
        <v>0.99900000000000055</v>
      </c>
      <c r="K1554">
        <f t="shared" si="786"/>
        <v>0</v>
      </c>
      <c r="L1554" t="e">
        <f t="shared" ca="1" si="787"/>
        <v>#VALUE!</v>
      </c>
      <c r="M1554" t="e">
        <f t="shared" ca="1" si="760"/>
        <v>#VALUE!</v>
      </c>
      <c r="N1554" t="e">
        <f t="shared" ca="1" si="761"/>
        <v>#VALUE!</v>
      </c>
      <c r="O1554" t="e">
        <f t="shared" ca="1" si="762"/>
        <v>#VALUE!</v>
      </c>
      <c r="P1554" t="e">
        <f t="shared" ca="1" si="763"/>
        <v>#VALUE!</v>
      </c>
      <c r="Q1554" t="e">
        <f t="shared" ca="1" si="764"/>
        <v>#VALUE!</v>
      </c>
      <c r="R1554" t="e">
        <f t="shared" ca="1" si="765"/>
        <v>#VALUE!</v>
      </c>
      <c r="S1554" t="e">
        <f t="shared" ca="1" si="766"/>
        <v>#VALUE!</v>
      </c>
      <c r="T1554" t="e">
        <f t="shared" ca="1" si="767"/>
        <v>#VALUE!</v>
      </c>
      <c r="U1554" t="e">
        <f t="shared" ca="1" si="788"/>
        <v>#VALUE!</v>
      </c>
      <c r="V1554" t="e">
        <f t="shared" ca="1" si="789"/>
        <v>#VALUE!</v>
      </c>
      <c r="W1554" t="e">
        <f t="shared" ca="1" si="768"/>
        <v>#VALUE!</v>
      </c>
      <c r="X1554" t="e">
        <f t="shared" ca="1" si="769"/>
        <v>#VALUE!</v>
      </c>
      <c r="Y1554" t="e">
        <f t="shared" ca="1" si="770"/>
        <v>#VALUE!</v>
      </c>
      <c r="Z1554" t="e">
        <f t="shared" ca="1" si="771"/>
        <v>#VALUE!</v>
      </c>
      <c r="AA1554" t="e">
        <f t="shared" ca="1" si="772"/>
        <v>#VALUE!</v>
      </c>
      <c r="AB1554" t="e">
        <f t="shared" ca="1" si="773"/>
        <v>#VALUE!</v>
      </c>
      <c r="AC1554" t="e">
        <f t="shared" ca="1" si="774"/>
        <v>#VALUE!</v>
      </c>
      <c r="AD1554" t="e">
        <f t="shared" ca="1" si="775"/>
        <v>#VALUE!</v>
      </c>
      <c r="AE1554" t="e">
        <f t="shared" ca="1" si="776"/>
        <v>#VALUE!</v>
      </c>
      <c r="AF1554" t="e">
        <f t="shared" ca="1" si="777"/>
        <v>#VALUE!</v>
      </c>
      <c r="AG1554" t="e">
        <f t="shared" ca="1" si="778"/>
        <v>#VALUE!</v>
      </c>
      <c r="AH1554" t="e">
        <f ca="1">IF(V33="Supercritical",L1554,IF(V33="Subcritical",W1554,IF(AND(V1554=1,AG1554=1),IF(T1554&gt;=AE1554,L1554,W1554),IF(V1554=1,L1554,IF(AG1554=1,W1554,MAX($D$16,POWER((ABS(K1554)^2)/($I$5*MAX(F1554,0.1)^2),1/3)))))))</f>
        <v>#VALUE!</v>
      </c>
      <c r="AI1554" t="e">
        <f t="shared" ca="1" si="779"/>
        <v>#VALUE!</v>
      </c>
      <c r="AJ1554" t="e">
        <f t="shared" ca="1" si="780"/>
        <v>#VALUE!</v>
      </c>
      <c r="AM1554">
        <v>0</v>
      </c>
      <c r="AN1554">
        <v>0</v>
      </c>
      <c r="AO1554">
        <f t="shared" si="781"/>
        <v>0</v>
      </c>
      <c r="AP1554">
        <f t="shared" si="790"/>
        <v>0</v>
      </c>
      <c r="AQ1554" t="e">
        <f t="shared" ca="1" si="782"/>
        <v>#VALUE!</v>
      </c>
      <c r="AR1554" t="e">
        <f t="shared" ca="1" si="783"/>
        <v>#VALUE!</v>
      </c>
      <c r="AS1554" t="e">
        <f t="shared" ca="1" si="784"/>
        <v>#VALUE!</v>
      </c>
    </row>
    <row r="1555" spans="1:45" x14ac:dyDescent="0.35">
      <c r="A1555">
        <v>17</v>
      </c>
      <c r="B1555">
        <v>16</v>
      </c>
      <c r="C1555">
        <v>616548.49300000002</v>
      </c>
      <c r="D1555">
        <v>3097746.3250000002</v>
      </c>
      <c r="E1555">
        <v>634.26599999999996</v>
      </c>
      <c r="F1555">
        <v>5.9939999999999998</v>
      </c>
      <c r="G1555">
        <v>0</v>
      </c>
      <c r="H1555" t="s">
        <v>191</v>
      </c>
      <c r="I1555">
        <v>0</v>
      </c>
      <c r="J1555">
        <f t="shared" si="785"/>
        <v>1</v>
      </c>
      <c r="K1555">
        <f t="shared" si="786"/>
        <v>0</v>
      </c>
      <c r="L1555" t="e">
        <f t="shared" ca="1" si="787"/>
        <v>#VALUE!</v>
      </c>
      <c r="M1555" t="e">
        <f t="shared" ca="1" si="760"/>
        <v>#VALUE!</v>
      </c>
      <c r="N1555" t="e">
        <f t="shared" ca="1" si="761"/>
        <v>#VALUE!</v>
      </c>
      <c r="O1555" t="e">
        <f t="shared" ca="1" si="762"/>
        <v>#VALUE!</v>
      </c>
      <c r="P1555" t="e">
        <f t="shared" ca="1" si="763"/>
        <v>#VALUE!</v>
      </c>
      <c r="Q1555" t="e">
        <f t="shared" ca="1" si="764"/>
        <v>#VALUE!</v>
      </c>
      <c r="R1555" t="e">
        <f t="shared" ca="1" si="765"/>
        <v>#VALUE!</v>
      </c>
      <c r="S1555" t="e">
        <f t="shared" ca="1" si="766"/>
        <v>#VALUE!</v>
      </c>
      <c r="T1555" t="e">
        <f t="shared" ca="1" si="767"/>
        <v>#VALUE!</v>
      </c>
      <c r="U1555" t="e">
        <f t="shared" ca="1" si="788"/>
        <v>#VALUE!</v>
      </c>
      <c r="V1555" t="e">
        <f t="shared" ca="1" si="789"/>
        <v>#VALUE!</v>
      </c>
      <c r="W1555" t="e">
        <f t="shared" ca="1" si="768"/>
        <v>#VALUE!</v>
      </c>
      <c r="X1555" t="e">
        <f t="shared" ca="1" si="769"/>
        <v>#VALUE!</v>
      </c>
      <c r="Y1555" t="e">
        <f t="shared" ca="1" si="770"/>
        <v>#VALUE!</v>
      </c>
      <c r="Z1555" t="e">
        <f t="shared" ca="1" si="771"/>
        <v>#VALUE!</v>
      </c>
      <c r="AA1555" t="e">
        <f t="shared" ca="1" si="772"/>
        <v>#VALUE!</v>
      </c>
      <c r="AB1555" t="e">
        <f t="shared" ca="1" si="773"/>
        <v>#VALUE!</v>
      </c>
      <c r="AC1555" t="e">
        <f t="shared" ca="1" si="774"/>
        <v>#VALUE!</v>
      </c>
      <c r="AD1555" t="e">
        <f t="shared" ca="1" si="775"/>
        <v>#VALUE!</v>
      </c>
      <c r="AE1555" t="e">
        <f t="shared" ca="1" si="776"/>
        <v>#VALUE!</v>
      </c>
      <c r="AF1555" t="e">
        <f t="shared" ca="1" si="777"/>
        <v>#VALUE!</v>
      </c>
      <c r="AG1555" t="e">
        <f t="shared" ca="1" si="778"/>
        <v>#VALUE!</v>
      </c>
      <c r="AH1555" t="e">
        <f ca="1">IF(V33="Supercritical",L1555,IF(V33="Subcritical",W1555,IF(AND(V1555=1,AG1555=1),IF(T1555&gt;=AE1555,L1555,W1555),IF(V1555=1,L1555,IF(AG1555=1,W1555,MAX($D$16,POWER((ABS(K1555)^2)/($I$5*MAX(F1555,0.1)^2),1/3)))))))</f>
        <v>#VALUE!</v>
      </c>
      <c r="AI1555" t="e">
        <f t="shared" ca="1" si="779"/>
        <v>#VALUE!</v>
      </c>
      <c r="AJ1555" t="e">
        <f t="shared" ca="1" si="780"/>
        <v>#VALUE!</v>
      </c>
      <c r="AM1555">
        <v>0</v>
      </c>
      <c r="AN1555">
        <v>0</v>
      </c>
      <c r="AO1555">
        <f t="shared" si="781"/>
        <v>0</v>
      </c>
      <c r="AP1555">
        <f t="shared" si="790"/>
        <v>0</v>
      </c>
      <c r="AQ1555" t="e">
        <f t="shared" ca="1" si="782"/>
        <v>#VALUE!</v>
      </c>
      <c r="AR1555" t="e">
        <f t="shared" ca="1" si="783"/>
        <v>#VALUE!</v>
      </c>
      <c r="AS1555" t="e">
        <f t="shared" ca="1" si="784"/>
        <v>#VALUE!</v>
      </c>
    </row>
    <row r="1556" spans="1:45" x14ac:dyDescent="0.35">
      <c r="A1556">
        <v>18</v>
      </c>
      <c r="B1556">
        <v>17.001000000000001</v>
      </c>
      <c r="C1556">
        <v>616548.02300000004</v>
      </c>
      <c r="D1556">
        <v>3097745.4419999998</v>
      </c>
      <c r="E1556">
        <v>634.26400000000001</v>
      </c>
      <c r="F1556">
        <v>5.9939999999999998</v>
      </c>
      <c r="G1556">
        <v>0</v>
      </c>
      <c r="H1556" t="s">
        <v>191</v>
      </c>
      <c r="I1556">
        <v>0.151</v>
      </c>
      <c r="J1556">
        <f t="shared" si="785"/>
        <v>1.0010000000000012</v>
      </c>
      <c r="K1556">
        <f t="shared" si="786"/>
        <v>0</v>
      </c>
      <c r="L1556" t="e">
        <f t="shared" ca="1" si="787"/>
        <v>#VALUE!</v>
      </c>
      <c r="M1556" t="e">
        <f t="shared" ca="1" si="760"/>
        <v>#VALUE!</v>
      </c>
      <c r="N1556" t="e">
        <f t="shared" ca="1" si="761"/>
        <v>#VALUE!</v>
      </c>
      <c r="O1556" t="e">
        <f t="shared" ca="1" si="762"/>
        <v>#VALUE!</v>
      </c>
      <c r="P1556" t="e">
        <f t="shared" ca="1" si="763"/>
        <v>#VALUE!</v>
      </c>
      <c r="Q1556" t="e">
        <f t="shared" ca="1" si="764"/>
        <v>#VALUE!</v>
      </c>
      <c r="R1556" t="e">
        <f t="shared" ca="1" si="765"/>
        <v>#VALUE!</v>
      </c>
      <c r="S1556" t="e">
        <f t="shared" ca="1" si="766"/>
        <v>#VALUE!</v>
      </c>
      <c r="T1556" t="e">
        <f t="shared" ca="1" si="767"/>
        <v>#VALUE!</v>
      </c>
      <c r="U1556" t="e">
        <f t="shared" ca="1" si="788"/>
        <v>#VALUE!</v>
      </c>
      <c r="V1556" t="e">
        <f t="shared" ca="1" si="789"/>
        <v>#VALUE!</v>
      </c>
      <c r="W1556" t="e">
        <f t="shared" ca="1" si="768"/>
        <v>#VALUE!</v>
      </c>
      <c r="X1556" t="e">
        <f t="shared" ca="1" si="769"/>
        <v>#VALUE!</v>
      </c>
      <c r="Y1556" t="e">
        <f t="shared" ca="1" si="770"/>
        <v>#VALUE!</v>
      </c>
      <c r="Z1556" t="e">
        <f t="shared" ca="1" si="771"/>
        <v>#VALUE!</v>
      </c>
      <c r="AA1556" t="e">
        <f t="shared" ca="1" si="772"/>
        <v>#VALUE!</v>
      </c>
      <c r="AB1556" t="e">
        <f t="shared" ca="1" si="773"/>
        <v>#VALUE!</v>
      </c>
      <c r="AC1556" t="e">
        <f t="shared" ca="1" si="774"/>
        <v>#VALUE!</v>
      </c>
      <c r="AD1556" t="e">
        <f t="shared" ca="1" si="775"/>
        <v>#VALUE!</v>
      </c>
      <c r="AE1556" t="e">
        <f t="shared" ca="1" si="776"/>
        <v>#VALUE!</v>
      </c>
      <c r="AF1556" t="e">
        <f t="shared" ca="1" si="777"/>
        <v>#VALUE!</v>
      </c>
      <c r="AG1556" t="e">
        <f t="shared" ca="1" si="778"/>
        <v>#VALUE!</v>
      </c>
      <c r="AH1556" t="e">
        <f ca="1">IF(V33="Supercritical",L1556,IF(V33="Subcritical",W1556,IF(AND(V1556=1,AG1556=1),IF(T1556&gt;=AE1556,L1556,W1556),IF(V1556=1,L1556,IF(AG1556=1,W1556,MAX($D$16,POWER((ABS(K1556)^2)/($I$5*MAX(F1556,0.1)^2),1/3)))))))</f>
        <v>#VALUE!</v>
      </c>
      <c r="AI1556" t="e">
        <f t="shared" ca="1" si="779"/>
        <v>#VALUE!</v>
      </c>
      <c r="AJ1556" t="e">
        <f t="shared" ca="1" si="780"/>
        <v>#VALUE!</v>
      </c>
      <c r="AM1556">
        <v>0</v>
      </c>
      <c r="AN1556">
        <v>0</v>
      </c>
      <c r="AO1556">
        <f t="shared" si="781"/>
        <v>0</v>
      </c>
      <c r="AP1556">
        <f t="shared" si="790"/>
        <v>0</v>
      </c>
      <c r="AQ1556" t="e">
        <f t="shared" ca="1" si="782"/>
        <v>#VALUE!</v>
      </c>
      <c r="AR1556" t="e">
        <f t="shared" ca="1" si="783"/>
        <v>#VALUE!</v>
      </c>
      <c r="AS1556" t="e">
        <f t="shared" ca="1" si="784"/>
        <v>#VALUE!</v>
      </c>
    </row>
    <row r="1557" spans="1:45" x14ac:dyDescent="0.35">
      <c r="A1557">
        <v>19</v>
      </c>
      <c r="B1557">
        <v>17.254999999999999</v>
      </c>
      <c r="C1557">
        <v>616547.90399999998</v>
      </c>
      <c r="D1557">
        <v>3097745.2170000002</v>
      </c>
      <c r="E1557">
        <v>634.26199999999994</v>
      </c>
      <c r="F1557">
        <v>5.9939999999999998</v>
      </c>
      <c r="G1557">
        <v>0</v>
      </c>
      <c r="H1557" t="s">
        <v>191</v>
      </c>
      <c r="I1557">
        <v>0</v>
      </c>
      <c r="J1557">
        <f t="shared" si="785"/>
        <v>0.25399999999999778</v>
      </c>
      <c r="K1557">
        <f t="shared" si="786"/>
        <v>0</v>
      </c>
      <c r="L1557" t="e">
        <f t="shared" ca="1" si="787"/>
        <v>#VALUE!</v>
      </c>
      <c r="M1557" t="e">
        <f t="shared" ca="1" si="760"/>
        <v>#VALUE!</v>
      </c>
      <c r="N1557" t="e">
        <f t="shared" ca="1" si="761"/>
        <v>#VALUE!</v>
      </c>
      <c r="O1557" t="e">
        <f t="shared" ca="1" si="762"/>
        <v>#VALUE!</v>
      </c>
      <c r="P1557" t="e">
        <f t="shared" ca="1" si="763"/>
        <v>#VALUE!</v>
      </c>
      <c r="Q1557" t="e">
        <f t="shared" ca="1" si="764"/>
        <v>#VALUE!</v>
      </c>
      <c r="R1557" t="e">
        <f t="shared" ca="1" si="765"/>
        <v>#VALUE!</v>
      </c>
      <c r="S1557" t="e">
        <f t="shared" ca="1" si="766"/>
        <v>#VALUE!</v>
      </c>
      <c r="T1557" t="e">
        <f t="shared" ca="1" si="767"/>
        <v>#VALUE!</v>
      </c>
      <c r="U1557" t="e">
        <f t="shared" ca="1" si="788"/>
        <v>#VALUE!</v>
      </c>
      <c r="V1557" t="e">
        <f t="shared" ca="1" si="789"/>
        <v>#VALUE!</v>
      </c>
      <c r="W1557">
        <f>MAX($D$16,(P6)-E1557)</f>
        <v>0.05</v>
      </c>
      <c r="X1557">
        <f t="shared" si="769"/>
        <v>0.29970000000000002</v>
      </c>
      <c r="Y1557">
        <f t="shared" si="770"/>
        <v>4.9179520840170667E-2</v>
      </c>
      <c r="Z1557">
        <f t="shared" si="771"/>
        <v>0</v>
      </c>
      <c r="AA1557">
        <f t="shared" si="772"/>
        <v>634.3119999999999</v>
      </c>
      <c r="AB1557">
        <f t="shared" si="773"/>
        <v>634.3119999999999</v>
      </c>
      <c r="AC1557">
        <f t="shared" si="774"/>
        <v>0</v>
      </c>
      <c r="AD1557">
        <f t="shared" si="775"/>
        <v>0</v>
      </c>
      <c r="AE1557">
        <f t="shared" si="776"/>
        <v>7.4925000000000009E-3</v>
      </c>
      <c r="AF1557">
        <v>0</v>
      </c>
      <c r="AG1557">
        <v>1</v>
      </c>
      <c r="AH1557" t="e">
        <f ca="1">IF(V33="Supercritical",L1557,IF(V33="Subcritical",W1557,IF(AND(V1557=1,AG1557=1),IF(T1557&gt;=AE1557,L1557,W1557),IF(V1557=1,L1557,IF(AG1557=1,W1557,MAX($D$16,POWER((ABS(K1557)^2)/($I$5*MAX(F1557,0.1)^2),1/3)))))))</f>
        <v>#VALUE!</v>
      </c>
      <c r="AI1557" t="e">
        <f t="shared" ca="1" si="779"/>
        <v>#VALUE!</v>
      </c>
      <c r="AJ1557" t="e">
        <f t="shared" ca="1" si="780"/>
        <v>#VALUE!</v>
      </c>
      <c r="AM1557">
        <v>0</v>
      </c>
      <c r="AN1557">
        <v>0</v>
      </c>
      <c r="AO1557">
        <f t="shared" si="781"/>
        <v>0</v>
      </c>
      <c r="AP1557">
        <f t="shared" si="790"/>
        <v>0</v>
      </c>
      <c r="AQ1557" t="e">
        <f t="shared" ca="1" si="782"/>
        <v>#VALUE!</v>
      </c>
      <c r="AR1557" t="e">
        <f t="shared" ca="1" si="783"/>
        <v>#VALUE!</v>
      </c>
      <c r="AS1557" t="e">
        <f t="shared" ca="1" si="784"/>
        <v>#VALUE!</v>
      </c>
    </row>
    <row r="1560" spans="1:45" x14ac:dyDescent="0.35">
      <c r="A1560" t="s">
        <v>195</v>
      </c>
      <c r="E1560">
        <f>E34</f>
        <v>38</v>
      </c>
      <c r="F1560" t="s">
        <v>141</v>
      </c>
      <c r="H1560">
        <f>N34</f>
        <v>0</v>
      </c>
      <c r="I1560" t="s">
        <v>13</v>
      </c>
      <c r="K1560" t="str">
        <f>V34</f>
        <v>Mixed</v>
      </c>
      <c r="L1560" t="s">
        <v>142</v>
      </c>
    </row>
    <row r="1561" spans="1:45" x14ac:dyDescent="0.35">
      <c r="A1561" t="s">
        <v>143</v>
      </c>
      <c r="B1561" t="s">
        <v>144</v>
      </c>
      <c r="C1561" t="s">
        <v>145</v>
      </c>
      <c r="D1561" t="s">
        <v>146</v>
      </c>
      <c r="E1561" t="s">
        <v>147</v>
      </c>
      <c r="F1561" t="s">
        <v>148</v>
      </c>
      <c r="G1561" t="s">
        <v>149</v>
      </c>
      <c r="H1561" t="s">
        <v>9</v>
      </c>
      <c r="I1561" t="s">
        <v>150</v>
      </c>
      <c r="J1561" t="s">
        <v>151</v>
      </c>
      <c r="K1561" t="s">
        <v>152</v>
      </c>
      <c r="L1561" t="s">
        <v>153</v>
      </c>
      <c r="M1561" t="s">
        <v>154</v>
      </c>
      <c r="N1561" t="s">
        <v>155</v>
      </c>
      <c r="O1561" t="s">
        <v>156</v>
      </c>
      <c r="P1561" t="s">
        <v>157</v>
      </c>
      <c r="Q1561" t="s">
        <v>158</v>
      </c>
      <c r="R1561" t="s">
        <v>159</v>
      </c>
      <c r="S1561" t="s">
        <v>160</v>
      </c>
      <c r="T1561" t="s">
        <v>161</v>
      </c>
      <c r="U1561" t="s">
        <v>162</v>
      </c>
      <c r="V1561" t="s">
        <v>163</v>
      </c>
      <c r="W1561" t="s">
        <v>164</v>
      </c>
      <c r="X1561" t="s">
        <v>165</v>
      </c>
      <c r="Y1561" t="s">
        <v>166</v>
      </c>
      <c r="Z1561" t="s">
        <v>167</v>
      </c>
      <c r="AA1561" t="s">
        <v>168</v>
      </c>
      <c r="AB1561" t="s">
        <v>169</v>
      </c>
      <c r="AC1561" t="s">
        <v>170</v>
      </c>
      <c r="AD1561" t="s">
        <v>171</v>
      </c>
      <c r="AE1561" t="s">
        <v>172</v>
      </c>
      <c r="AF1561" t="s">
        <v>173</v>
      </c>
      <c r="AG1561" t="s">
        <v>174</v>
      </c>
      <c r="AH1561" t="s">
        <v>175</v>
      </c>
      <c r="AI1561" t="s">
        <v>176</v>
      </c>
      <c r="AJ1561" t="s">
        <v>177</v>
      </c>
      <c r="AK1561" t="s">
        <v>178</v>
      </c>
      <c r="AL1561" t="s">
        <v>179</v>
      </c>
      <c r="AM1561" t="s">
        <v>180</v>
      </c>
      <c r="AN1561" t="s">
        <v>181</v>
      </c>
      <c r="AO1561" t="s">
        <v>182</v>
      </c>
      <c r="AP1561" t="s">
        <v>183</v>
      </c>
      <c r="AQ1561" t="s">
        <v>184</v>
      </c>
      <c r="AR1561" t="s">
        <v>185</v>
      </c>
      <c r="AS1561" t="s">
        <v>186</v>
      </c>
    </row>
    <row r="1562" spans="1:45" x14ac:dyDescent="0.35">
      <c r="A1562" t="s">
        <v>22</v>
      </c>
      <c r="B1562" t="s">
        <v>52</v>
      </c>
      <c r="C1562" t="s">
        <v>52</v>
      </c>
      <c r="D1562" t="s">
        <v>52</v>
      </c>
      <c r="E1562" t="s">
        <v>52</v>
      </c>
      <c r="F1562" t="s">
        <v>52</v>
      </c>
      <c r="G1562" t="s">
        <v>22</v>
      </c>
      <c r="H1562" t="s">
        <v>22</v>
      </c>
      <c r="I1562" t="s">
        <v>187</v>
      </c>
      <c r="J1562" t="s">
        <v>52</v>
      </c>
      <c r="K1562" t="s">
        <v>13</v>
      </c>
      <c r="L1562" t="s">
        <v>52</v>
      </c>
      <c r="M1562" t="s">
        <v>188</v>
      </c>
      <c r="N1562" t="s">
        <v>52</v>
      </c>
      <c r="O1562" t="s">
        <v>189</v>
      </c>
      <c r="P1562" t="s">
        <v>52</v>
      </c>
      <c r="Q1562" t="s">
        <v>52</v>
      </c>
      <c r="R1562" t="s">
        <v>22</v>
      </c>
      <c r="S1562" t="s">
        <v>22</v>
      </c>
      <c r="T1562" t="s">
        <v>190</v>
      </c>
      <c r="U1562" t="s">
        <v>52</v>
      </c>
      <c r="V1562" t="s">
        <v>22</v>
      </c>
      <c r="W1562" t="s">
        <v>52</v>
      </c>
      <c r="X1562" t="s">
        <v>188</v>
      </c>
      <c r="Y1562" t="s">
        <v>52</v>
      </c>
      <c r="Z1562" t="s">
        <v>189</v>
      </c>
      <c r="AA1562" t="s">
        <v>52</v>
      </c>
      <c r="AB1562" t="s">
        <v>52</v>
      </c>
      <c r="AC1562" t="s">
        <v>22</v>
      </c>
      <c r="AD1562" t="s">
        <v>22</v>
      </c>
      <c r="AE1562" t="s">
        <v>190</v>
      </c>
      <c r="AF1562" t="s">
        <v>52</v>
      </c>
      <c r="AG1562" t="s">
        <v>22</v>
      </c>
      <c r="AH1562" t="s">
        <v>52</v>
      </c>
      <c r="AI1562" t="s">
        <v>52</v>
      </c>
      <c r="AJ1562" t="s">
        <v>52</v>
      </c>
      <c r="AK1562" t="s">
        <v>52</v>
      </c>
      <c r="AL1562" t="s">
        <v>52</v>
      </c>
      <c r="AM1562" t="s">
        <v>13</v>
      </c>
      <c r="AN1562" t="s">
        <v>13</v>
      </c>
      <c r="AO1562" t="s">
        <v>13</v>
      </c>
      <c r="AP1562" t="s">
        <v>13</v>
      </c>
      <c r="AQ1562" t="s">
        <v>22</v>
      </c>
      <c r="AR1562" t="s">
        <v>22</v>
      </c>
      <c r="AS1562" t="s">
        <v>22</v>
      </c>
    </row>
    <row r="1563" spans="1:45" x14ac:dyDescent="0.35">
      <c r="A1563">
        <v>1</v>
      </c>
      <c r="B1563">
        <v>0</v>
      </c>
      <c r="C1563">
        <v>616065.73</v>
      </c>
      <c r="D1563">
        <v>3096621.8679999998</v>
      </c>
      <c r="E1563">
        <v>631.875</v>
      </c>
      <c r="F1563">
        <v>10.206</v>
      </c>
      <c r="G1563">
        <v>0</v>
      </c>
      <c r="H1563" t="s">
        <v>192</v>
      </c>
      <c r="I1563">
        <v>0</v>
      </c>
      <c r="J1563">
        <v>0</v>
      </c>
      <c r="K1563">
        <f>N34</f>
        <v>0</v>
      </c>
      <c r="L1563">
        <f>MAX($D$16,($I$14)-E1563)</f>
        <v>51800.26683766341</v>
      </c>
      <c r="M1563">
        <f t="shared" ref="M1563:M1601" si="791">((F1563)+(G1563)*(L1563))*(L1563)</f>
        <v>528673.52334519278</v>
      </c>
      <c r="N1563">
        <f t="shared" ref="N1563:N1601" si="792">(((F1563)+(G1563)*(L1563))*(L1563))/MAX((F1563)+2*(L1563)*SQRT(1+(G1563)^2),0.000001)</f>
        <v>5.1024973376489422</v>
      </c>
      <c r="O1563">
        <f t="shared" ref="O1563:O1601" si="793">ABS(K1563)/MAX(((F1563)+(G1563)*(L1563))*(L1563),0.000001)</f>
        <v>0</v>
      </c>
      <c r="P1563">
        <f t="shared" ref="P1563:P1601" si="794">E1563+L1563</f>
        <v>52432.14183766341</v>
      </c>
      <c r="Q1563">
        <f t="shared" ref="Q1563:Q1601" si="795">P1563+((ABS(K1563)/MAX(((F1563)+(G1563)*(L1563))*(L1563),0.000001))^2)/(2*$I$5)</f>
        <v>52432.14183766341</v>
      </c>
      <c r="R1563">
        <f t="shared" ref="R1563:R1601" si="796">((ABS(K1563)*$D$6)/(MAX(((F1563)+(G1563)*(L1563))*(L1563),0.000001)*MAX(((((F1563)+(G1563)*(L1563))*(L1563))/MAX((F1563)+2*(L1563)*SQRT(1+(G1563)^2),0.000001))^(2/3),0.000001)))^2</f>
        <v>0</v>
      </c>
      <c r="S1563">
        <f t="shared" ref="S1563:S1601" si="797">ABS(ABS(K1563)/MAX(((F1563)+(G1563)*(L1563))*(L1563),0.000001))/SQRT($I$5*MAX((((F1563)+(G1563)*(L1563))*(L1563))/MAX((F1563)+2*(G1563)*(L1563),0.000001),0.000001))</f>
        <v>0</v>
      </c>
      <c r="T1563">
        <f t="shared" ref="T1563:T1601" si="798">((F1563)*(L1563)^2)/2+(G1563)*(L1563)^3/3+(ABS(K1563)^2)/($I$5*MAX(((F1563)+(G1563)*(L1563))*(L1563),0.000001))</f>
        <v>13692714789.644331</v>
      </c>
      <c r="U1563">
        <v>0</v>
      </c>
      <c r="V1563">
        <v>1</v>
      </c>
      <c r="W1563" t="e">
        <f t="shared" ref="W1563:W1600" ca="1" si="799">IF($D$20=0,W1564,IF(AG1564=0,W1564,IF(W1563=0,W1564,IF(ABS(AF1563)&gt;$D$19,MAX($D$16,W1563+((AF1563)*$D$18*IF((AD1563)&lt;1,1,-1))),W1563))))</f>
        <v>#VALUE!</v>
      </c>
      <c r="X1563" t="e">
        <f t="shared" ref="X1563:X1601" ca="1" si="800">((F1563)+(G1563)*(W1563))*(W1563)</f>
        <v>#VALUE!</v>
      </c>
      <c r="Y1563" t="e">
        <f t="shared" ref="Y1563:Y1601" ca="1" si="801">(((F1563)+(G1563)*(W1563))*(W1563))/MAX((F1563)+2*(W1563)*SQRT(1+(G1563)^2),0.000001)</f>
        <v>#VALUE!</v>
      </c>
      <c r="Z1563" t="e">
        <f t="shared" ref="Z1563:Z1601" ca="1" si="802">ABS(K1563)/MAX(((F1563)+(G1563)*(W1563))*(W1563),0.000001)</f>
        <v>#VALUE!</v>
      </c>
      <c r="AA1563" t="e">
        <f t="shared" ref="AA1563:AA1601" ca="1" si="803">E1563+W1563</f>
        <v>#VALUE!</v>
      </c>
      <c r="AB1563" t="e">
        <f t="shared" ref="AB1563:AB1601" ca="1" si="804">AA1563+((ABS(K1563)/MAX(((F1563)+(G1563)*(W1563))*(W1563),0.000001))^2)/(2*$I$5)</f>
        <v>#VALUE!</v>
      </c>
      <c r="AC1563" t="e">
        <f t="shared" ref="AC1563:AC1601" ca="1" si="805">((ABS(K1563)*$D$6)/(MAX(((F1563)+(G1563)*(W1563))*(W1563),0.000001)*MAX(((((F1563)+(G1563)*(W1563))*(W1563))/MAX((F1563)+2*(W1563)*SQRT(1+(G1563)^2),0.000001))^(2/3),0.000001)))^2</f>
        <v>#VALUE!</v>
      </c>
      <c r="AD1563" t="e">
        <f t="shared" ref="AD1563:AD1601" ca="1" si="806">ABS(ABS(K1563)/MAX(((F1563)+(G1563)*(W1563))*(W1563),0.000001))/SQRT($I$5*MAX((((F1563)+(G1563)*(W1563))*(W1563))/MAX((F1563)+2*(G1563)*(W1563),0.000001),0.000001))</f>
        <v>#VALUE!</v>
      </c>
      <c r="AE1563" t="e">
        <f t="shared" ref="AE1563:AE1601" ca="1" si="807">((F1563)*(W1563)^2)/2+(G1563)*(W1563)^3/3+(ABS(K1563)^2)/($I$5*MAX(((F1563)+(G1563)*(W1563))*(W1563),0.000001))</f>
        <v>#VALUE!</v>
      </c>
      <c r="AF1563" t="e">
        <f t="shared" ref="AF1563:AF1600" ca="1" si="808">AB1564+(((AC1563+AC1564)/2)*J1564)+(IF(Z1563&gt;Z1564,$D$8*((Z1563^2-Z1564^2)/(2*$I$5)),$D$9*((Z1564^2-Z1563^2)/(2*$I$5)))+($D$10*(ABS(I1564)/90)*(MAX(Z1563^2,Z1564^2)/(2*$I$5))))-AB1563</f>
        <v>#VALUE!</v>
      </c>
      <c r="AG1563" t="e">
        <f t="shared" ref="AG1563:AG1600" ca="1" si="809">IF(ABS(AF1563)&lt;$D$19,1,0)</f>
        <v>#VALUE!</v>
      </c>
      <c r="AH1563" t="e">
        <f ca="1">IF(V34="Supercritical",L1563,IF(V34="Subcritical",W1563,IF(AND(V1563=1,AG1563=1),IF(T1563&gt;=AE1563,L1563,W1563),IF(V1563=1,L1563,IF(AG1563=1,W1563,MAX($D$16,POWER((ABS(K1563)^2)/($I$5*MAX(F1563,0.1)^2),1/3)))))))</f>
        <v>#VALUE!</v>
      </c>
      <c r="AI1563" t="e">
        <f t="shared" ref="AI1563:AI1601" ca="1" si="810">E1563+AH1563</f>
        <v>#VALUE!</v>
      </c>
      <c r="AJ1563" t="e">
        <f t="shared" ref="AJ1563:AJ1601" ca="1" si="811">AI1563+((ABS(K1563)/MAX(((F1563)+(G1563)*(AH1563))*(AH1563),0.000001))^2)/(2*$I$5)</f>
        <v>#VALUE!</v>
      </c>
      <c r="AM1563">
        <v>0</v>
      </c>
      <c r="AN1563">
        <v>0</v>
      </c>
      <c r="AO1563">
        <f t="shared" ref="AO1563:AO1601" si="812">AM1563+AN1563</f>
        <v>0</v>
      </c>
      <c r="AP1563">
        <f>AO1563</f>
        <v>0</v>
      </c>
      <c r="AQ1563" t="e">
        <f t="shared" ref="AQ1563:AQ1601" ca="1" si="813">ABS(ABS(K1563)/MAX(((F1563)+(G1563)*(AH1563))*(AH1563),0.000001))/SQRT($I$5*MAX((((F1563)+(G1563)*(AH1563))*(AH1563))/MAX((F1563)+2*(G1563)*(AH1563),0.000001),0.000001))</f>
        <v>#VALUE!</v>
      </c>
      <c r="AR1563" t="e">
        <f t="shared" ref="AR1563:AR1601" ca="1" si="814">IF(AQ1563&lt;1,"Subcritical","Supercritical")</f>
        <v>#VALUE!</v>
      </c>
      <c r="AS1563" t="e">
        <f t="shared" ref="AS1563:AS1601" ca="1" si="815">((ABS(K1563)*$D$6)/(MAX(((F1563)+(G1563)*(AH1563))*(AH1563),0.000001)*MAX(((((F1563)+(G1563)*(AH1563))*(AH1563))/MAX((F1563)+2*(AH1563)*SQRT(1+(G1563)^2),0.000001))^(2/3),0.000001)))^2</f>
        <v>#VALUE!</v>
      </c>
    </row>
    <row r="1564" spans="1:45" x14ac:dyDescent="0.35">
      <c r="A1564">
        <v>2</v>
      </c>
      <c r="B1564">
        <v>1</v>
      </c>
      <c r="C1564">
        <v>616065.73</v>
      </c>
      <c r="D1564">
        <v>3096620.8679999998</v>
      </c>
      <c r="E1564">
        <v>631.65219999999999</v>
      </c>
      <c r="F1564">
        <v>12.125999999999999</v>
      </c>
      <c r="G1564">
        <v>0</v>
      </c>
      <c r="H1564" t="s">
        <v>192</v>
      </c>
      <c r="I1564">
        <v>0</v>
      </c>
      <c r="J1564">
        <f t="shared" ref="J1564:J1601" si="816">B1564-B1563</f>
        <v>1</v>
      </c>
      <c r="K1564">
        <f t="shared" ref="K1564:K1601" si="817">MAX(0,K1563-AO1563)</f>
        <v>0</v>
      </c>
      <c r="L1564" t="e">
        <f t="shared" ref="L1564:L1601" ca="1" si="818">IF($D$20=0,L1563,IF(V1563=0,L1563,IF(L1564=0,L1563,IF(ABS(U1564)&gt;$D$19,MAX($D$16,L1564+((U1564)*$D$18*IF((S1564)&lt;1,1,-1))),L1564))))</f>
        <v>#VALUE!</v>
      </c>
      <c r="M1564" t="e">
        <f t="shared" ca="1" si="791"/>
        <v>#VALUE!</v>
      </c>
      <c r="N1564" t="e">
        <f t="shared" ca="1" si="792"/>
        <v>#VALUE!</v>
      </c>
      <c r="O1564" t="e">
        <f t="shared" ca="1" si="793"/>
        <v>#VALUE!</v>
      </c>
      <c r="P1564" t="e">
        <f t="shared" ca="1" si="794"/>
        <v>#VALUE!</v>
      </c>
      <c r="Q1564" t="e">
        <f t="shared" ca="1" si="795"/>
        <v>#VALUE!</v>
      </c>
      <c r="R1564" t="e">
        <f t="shared" ca="1" si="796"/>
        <v>#VALUE!</v>
      </c>
      <c r="S1564" t="e">
        <f t="shared" ca="1" si="797"/>
        <v>#VALUE!</v>
      </c>
      <c r="T1564" t="e">
        <f t="shared" ca="1" si="798"/>
        <v>#VALUE!</v>
      </c>
      <c r="U1564" t="e">
        <f t="shared" ref="U1564:U1601" ca="1" si="819">Q1563-(((R1563+R1564)/2)*J1564)-(IF(O1563&gt;O1564,$D$8*((O1563^2-O1564^2)/(2*$I$5)),$D$9*((O1564^2-O1563^2)/(2*$I$5)))+($D$10*(ABS(I1564)/90)*(MAX(O1563^2,O1564^2)/(2*$I$5))))-Q1564</f>
        <v>#VALUE!</v>
      </c>
      <c r="V1564" t="e">
        <f t="shared" ref="V1564:V1601" ca="1" si="820">IF(ABS(U1564)&lt;$D$19,1,0)</f>
        <v>#VALUE!</v>
      </c>
      <c r="W1564" t="e">
        <f t="shared" ca="1" si="799"/>
        <v>#VALUE!</v>
      </c>
      <c r="X1564" t="e">
        <f t="shared" ca="1" si="800"/>
        <v>#VALUE!</v>
      </c>
      <c r="Y1564" t="e">
        <f t="shared" ca="1" si="801"/>
        <v>#VALUE!</v>
      </c>
      <c r="Z1564" t="e">
        <f t="shared" ca="1" si="802"/>
        <v>#VALUE!</v>
      </c>
      <c r="AA1564" t="e">
        <f t="shared" ca="1" si="803"/>
        <v>#VALUE!</v>
      </c>
      <c r="AB1564" t="e">
        <f t="shared" ca="1" si="804"/>
        <v>#VALUE!</v>
      </c>
      <c r="AC1564" t="e">
        <f t="shared" ca="1" si="805"/>
        <v>#VALUE!</v>
      </c>
      <c r="AD1564" t="e">
        <f t="shared" ca="1" si="806"/>
        <v>#VALUE!</v>
      </c>
      <c r="AE1564" t="e">
        <f t="shared" ca="1" si="807"/>
        <v>#VALUE!</v>
      </c>
      <c r="AF1564" t="e">
        <f t="shared" ca="1" si="808"/>
        <v>#VALUE!</v>
      </c>
      <c r="AG1564" t="e">
        <f t="shared" ca="1" si="809"/>
        <v>#VALUE!</v>
      </c>
      <c r="AH1564" t="e">
        <f ca="1">IF(V34="Supercritical",L1564,IF(V34="Subcritical",W1564,IF(AND(V1564=1,AG1564=1),IF(T1564&gt;=AE1564,L1564,W1564),IF(V1564=1,L1564,IF(AG1564=1,W1564,MAX($D$16,POWER((ABS(K1564)^2)/($I$5*MAX(F1564,0.1)^2),1/3)))))))</f>
        <v>#VALUE!</v>
      </c>
      <c r="AI1564" t="e">
        <f t="shared" ca="1" si="810"/>
        <v>#VALUE!</v>
      </c>
      <c r="AJ1564" t="e">
        <f t="shared" ca="1" si="811"/>
        <v>#VALUE!</v>
      </c>
      <c r="AM1564">
        <v>0</v>
      </c>
      <c r="AN1564">
        <v>0</v>
      </c>
      <c r="AO1564">
        <f t="shared" si="812"/>
        <v>0</v>
      </c>
      <c r="AP1564">
        <f t="shared" ref="AP1564:AP1601" si="821">AP1563+AO1564</f>
        <v>0</v>
      </c>
      <c r="AQ1564" t="e">
        <f t="shared" ca="1" si="813"/>
        <v>#VALUE!</v>
      </c>
      <c r="AR1564" t="e">
        <f t="shared" ca="1" si="814"/>
        <v>#VALUE!</v>
      </c>
      <c r="AS1564" t="e">
        <f t="shared" ca="1" si="815"/>
        <v>#VALUE!</v>
      </c>
    </row>
    <row r="1565" spans="1:45" x14ac:dyDescent="0.35">
      <c r="A1565">
        <v>3</v>
      </c>
      <c r="B1565">
        <v>2</v>
      </c>
      <c r="C1565">
        <v>616065.73</v>
      </c>
      <c r="D1565">
        <v>3096619.8679999998</v>
      </c>
      <c r="E1565">
        <v>631.42930000000001</v>
      </c>
      <c r="F1565">
        <v>13.644</v>
      </c>
      <c r="G1565">
        <v>0</v>
      </c>
      <c r="H1565" t="s">
        <v>192</v>
      </c>
      <c r="I1565">
        <v>0</v>
      </c>
      <c r="J1565">
        <f t="shared" si="816"/>
        <v>1</v>
      </c>
      <c r="K1565">
        <f t="shared" si="817"/>
        <v>0</v>
      </c>
      <c r="L1565" t="e">
        <f t="shared" ca="1" si="818"/>
        <v>#VALUE!</v>
      </c>
      <c r="M1565" t="e">
        <f t="shared" ca="1" si="791"/>
        <v>#VALUE!</v>
      </c>
      <c r="N1565" t="e">
        <f t="shared" ca="1" si="792"/>
        <v>#VALUE!</v>
      </c>
      <c r="O1565" t="e">
        <f t="shared" ca="1" si="793"/>
        <v>#VALUE!</v>
      </c>
      <c r="P1565" t="e">
        <f t="shared" ca="1" si="794"/>
        <v>#VALUE!</v>
      </c>
      <c r="Q1565" t="e">
        <f t="shared" ca="1" si="795"/>
        <v>#VALUE!</v>
      </c>
      <c r="R1565" t="e">
        <f t="shared" ca="1" si="796"/>
        <v>#VALUE!</v>
      </c>
      <c r="S1565" t="e">
        <f t="shared" ca="1" si="797"/>
        <v>#VALUE!</v>
      </c>
      <c r="T1565" t="e">
        <f t="shared" ca="1" si="798"/>
        <v>#VALUE!</v>
      </c>
      <c r="U1565" t="e">
        <f t="shared" ca="1" si="819"/>
        <v>#VALUE!</v>
      </c>
      <c r="V1565" t="e">
        <f t="shared" ca="1" si="820"/>
        <v>#VALUE!</v>
      </c>
      <c r="W1565" t="e">
        <f t="shared" ca="1" si="799"/>
        <v>#VALUE!</v>
      </c>
      <c r="X1565" t="e">
        <f t="shared" ca="1" si="800"/>
        <v>#VALUE!</v>
      </c>
      <c r="Y1565" t="e">
        <f t="shared" ca="1" si="801"/>
        <v>#VALUE!</v>
      </c>
      <c r="Z1565" t="e">
        <f t="shared" ca="1" si="802"/>
        <v>#VALUE!</v>
      </c>
      <c r="AA1565" t="e">
        <f t="shared" ca="1" si="803"/>
        <v>#VALUE!</v>
      </c>
      <c r="AB1565" t="e">
        <f t="shared" ca="1" si="804"/>
        <v>#VALUE!</v>
      </c>
      <c r="AC1565" t="e">
        <f t="shared" ca="1" si="805"/>
        <v>#VALUE!</v>
      </c>
      <c r="AD1565" t="e">
        <f t="shared" ca="1" si="806"/>
        <v>#VALUE!</v>
      </c>
      <c r="AE1565" t="e">
        <f t="shared" ca="1" si="807"/>
        <v>#VALUE!</v>
      </c>
      <c r="AF1565" t="e">
        <f t="shared" ca="1" si="808"/>
        <v>#VALUE!</v>
      </c>
      <c r="AG1565" t="e">
        <f t="shared" ca="1" si="809"/>
        <v>#VALUE!</v>
      </c>
      <c r="AH1565" t="e">
        <f ca="1">IF(V34="Supercritical",L1565,IF(V34="Subcritical",W1565,IF(AND(V1565=1,AG1565=1),IF(T1565&gt;=AE1565,L1565,W1565),IF(V1565=1,L1565,IF(AG1565=1,W1565,MAX($D$16,POWER((ABS(K1565)^2)/($I$5*MAX(F1565,0.1)^2),1/3)))))))</f>
        <v>#VALUE!</v>
      </c>
      <c r="AI1565" t="e">
        <f t="shared" ca="1" si="810"/>
        <v>#VALUE!</v>
      </c>
      <c r="AJ1565" t="e">
        <f t="shared" ca="1" si="811"/>
        <v>#VALUE!</v>
      </c>
      <c r="AM1565">
        <v>0</v>
      </c>
      <c r="AN1565">
        <v>0</v>
      </c>
      <c r="AO1565">
        <f t="shared" si="812"/>
        <v>0</v>
      </c>
      <c r="AP1565">
        <f t="shared" si="821"/>
        <v>0</v>
      </c>
      <c r="AQ1565" t="e">
        <f t="shared" ca="1" si="813"/>
        <v>#VALUE!</v>
      </c>
      <c r="AR1565" t="e">
        <f t="shared" ca="1" si="814"/>
        <v>#VALUE!</v>
      </c>
      <c r="AS1565" t="e">
        <f t="shared" ca="1" si="815"/>
        <v>#VALUE!</v>
      </c>
    </row>
    <row r="1566" spans="1:45" x14ac:dyDescent="0.35">
      <c r="A1566">
        <v>4</v>
      </c>
      <c r="B1566">
        <v>3</v>
      </c>
      <c r="C1566">
        <v>616065.73</v>
      </c>
      <c r="D1566">
        <v>3096618.8679999998</v>
      </c>
      <c r="E1566">
        <v>631.20650000000001</v>
      </c>
      <c r="F1566">
        <v>15</v>
      </c>
      <c r="G1566">
        <v>0</v>
      </c>
      <c r="H1566" t="s">
        <v>192</v>
      </c>
      <c r="I1566">
        <v>0</v>
      </c>
      <c r="J1566">
        <f t="shared" si="816"/>
        <v>1</v>
      </c>
      <c r="K1566">
        <f t="shared" si="817"/>
        <v>0</v>
      </c>
      <c r="L1566" t="e">
        <f t="shared" ca="1" si="818"/>
        <v>#VALUE!</v>
      </c>
      <c r="M1566" t="e">
        <f t="shared" ca="1" si="791"/>
        <v>#VALUE!</v>
      </c>
      <c r="N1566" t="e">
        <f t="shared" ca="1" si="792"/>
        <v>#VALUE!</v>
      </c>
      <c r="O1566" t="e">
        <f t="shared" ca="1" si="793"/>
        <v>#VALUE!</v>
      </c>
      <c r="P1566" t="e">
        <f t="shared" ca="1" si="794"/>
        <v>#VALUE!</v>
      </c>
      <c r="Q1566" t="e">
        <f t="shared" ca="1" si="795"/>
        <v>#VALUE!</v>
      </c>
      <c r="R1566" t="e">
        <f t="shared" ca="1" si="796"/>
        <v>#VALUE!</v>
      </c>
      <c r="S1566" t="e">
        <f t="shared" ca="1" si="797"/>
        <v>#VALUE!</v>
      </c>
      <c r="T1566" t="e">
        <f t="shared" ca="1" si="798"/>
        <v>#VALUE!</v>
      </c>
      <c r="U1566" t="e">
        <f t="shared" ca="1" si="819"/>
        <v>#VALUE!</v>
      </c>
      <c r="V1566" t="e">
        <f t="shared" ca="1" si="820"/>
        <v>#VALUE!</v>
      </c>
      <c r="W1566" t="e">
        <f t="shared" ca="1" si="799"/>
        <v>#VALUE!</v>
      </c>
      <c r="X1566" t="e">
        <f t="shared" ca="1" si="800"/>
        <v>#VALUE!</v>
      </c>
      <c r="Y1566" t="e">
        <f t="shared" ca="1" si="801"/>
        <v>#VALUE!</v>
      </c>
      <c r="Z1566" t="e">
        <f t="shared" ca="1" si="802"/>
        <v>#VALUE!</v>
      </c>
      <c r="AA1566" t="e">
        <f t="shared" ca="1" si="803"/>
        <v>#VALUE!</v>
      </c>
      <c r="AB1566" t="e">
        <f t="shared" ca="1" si="804"/>
        <v>#VALUE!</v>
      </c>
      <c r="AC1566" t="e">
        <f t="shared" ca="1" si="805"/>
        <v>#VALUE!</v>
      </c>
      <c r="AD1566" t="e">
        <f t="shared" ca="1" si="806"/>
        <v>#VALUE!</v>
      </c>
      <c r="AE1566" t="e">
        <f t="shared" ca="1" si="807"/>
        <v>#VALUE!</v>
      </c>
      <c r="AF1566" t="e">
        <f t="shared" ca="1" si="808"/>
        <v>#VALUE!</v>
      </c>
      <c r="AG1566" t="e">
        <f t="shared" ca="1" si="809"/>
        <v>#VALUE!</v>
      </c>
      <c r="AH1566" t="e">
        <f ca="1">IF(V34="Supercritical",L1566,IF(V34="Subcritical",W1566,IF(AND(V1566=1,AG1566=1),IF(T1566&gt;=AE1566,L1566,W1566),IF(V1566=1,L1566,IF(AG1566=1,W1566,MAX($D$16,POWER((ABS(K1566)^2)/($I$5*MAX(F1566,0.1)^2),1/3)))))))</f>
        <v>#VALUE!</v>
      </c>
      <c r="AI1566" t="e">
        <f t="shared" ca="1" si="810"/>
        <v>#VALUE!</v>
      </c>
      <c r="AJ1566" t="e">
        <f t="shared" ca="1" si="811"/>
        <v>#VALUE!</v>
      </c>
      <c r="AM1566">
        <v>0</v>
      </c>
      <c r="AN1566">
        <v>0</v>
      </c>
      <c r="AO1566">
        <f t="shared" si="812"/>
        <v>0</v>
      </c>
      <c r="AP1566">
        <f t="shared" si="821"/>
        <v>0</v>
      </c>
      <c r="AQ1566" t="e">
        <f t="shared" ca="1" si="813"/>
        <v>#VALUE!</v>
      </c>
      <c r="AR1566" t="e">
        <f t="shared" ca="1" si="814"/>
        <v>#VALUE!</v>
      </c>
      <c r="AS1566" t="e">
        <f t="shared" ca="1" si="815"/>
        <v>#VALUE!</v>
      </c>
    </row>
    <row r="1567" spans="1:45" x14ac:dyDescent="0.35">
      <c r="A1567">
        <v>5</v>
      </c>
      <c r="B1567">
        <v>4</v>
      </c>
      <c r="C1567">
        <v>616065.73</v>
      </c>
      <c r="D1567">
        <v>3096617.8679999998</v>
      </c>
      <c r="E1567">
        <v>630.98360000000002</v>
      </c>
      <c r="F1567">
        <v>17</v>
      </c>
      <c r="G1567">
        <v>0</v>
      </c>
      <c r="H1567" t="s">
        <v>192</v>
      </c>
      <c r="I1567">
        <v>0</v>
      </c>
      <c r="J1567">
        <f t="shared" si="816"/>
        <v>1</v>
      </c>
      <c r="K1567">
        <f t="shared" si="817"/>
        <v>0</v>
      </c>
      <c r="L1567" t="e">
        <f t="shared" ca="1" si="818"/>
        <v>#VALUE!</v>
      </c>
      <c r="M1567" t="e">
        <f t="shared" ca="1" si="791"/>
        <v>#VALUE!</v>
      </c>
      <c r="N1567" t="e">
        <f t="shared" ca="1" si="792"/>
        <v>#VALUE!</v>
      </c>
      <c r="O1567" t="e">
        <f t="shared" ca="1" si="793"/>
        <v>#VALUE!</v>
      </c>
      <c r="P1567" t="e">
        <f t="shared" ca="1" si="794"/>
        <v>#VALUE!</v>
      </c>
      <c r="Q1567" t="e">
        <f t="shared" ca="1" si="795"/>
        <v>#VALUE!</v>
      </c>
      <c r="R1567" t="e">
        <f t="shared" ca="1" si="796"/>
        <v>#VALUE!</v>
      </c>
      <c r="S1567" t="e">
        <f t="shared" ca="1" si="797"/>
        <v>#VALUE!</v>
      </c>
      <c r="T1567" t="e">
        <f t="shared" ca="1" si="798"/>
        <v>#VALUE!</v>
      </c>
      <c r="U1567" t="e">
        <f t="shared" ca="1" si="819"/>
        <v>#VALUE!</v>
      </c>
      <c r="V1567" t="e">
        <f t="shared" ca="1" si="820"/>
        <v>#VALUE!</v>
      </c>
      <c r="W1567" t="e">
        <f t="shared" ca="1" si="799"/>
        <v>#VALUE!</v>
      </c>
      <c r="X1567" t="e">
        <f t="shared" ca="1" si="800"/>
        <v>#VALUE!</v>
      </c>
      <c r="Y1567" t="e">
        <f t="shared" ca="1" si="801"/>
        <v>#VALUE!</v>
      </c>
      <c r="Z1567" t="e">
        <f t="shared" ca="1" si="802"/>
        <v>#VALUE!</v>
      </c>
      <c r="AA1567" t="e">
        <f t="shared" ca="1" si="803"/>
        <v>#VALUE!</v>
      </c>
      <c r="AB1567" t="e">
        <f t="shared" ca="1" si="804"/>
        <v>#VALUE!</v>
      </c>
      <c r="AC1567" t="e">
        <f t="shared" ca="1" si="805"/>
        <v>#VALUE!</v>
      </c>
      <c r="AD1567" t="e">
        <f t="shared" ca="1" si="806"/>
        <v>#VALUE!</v>
      </c>
      <c r="AE1567" t="e">
        <f t="shared" ca="1" si="807"/>
        <v>#VALUE!</v>
      </c>
      <c r="AF1567" t="e">
        <f t="shared" ca="1" si="808"/>
        <v>#VALUE!</v>
      </c>
      <c r="AG1567" t="e">
        <f t="shared" ca="1" si="809"/>
        <v>#VALUE!</v>
      </c>
      <c r="AH1567" t="e">
        <f ca="1">IF(V34="Supercritical",L1567,IF(V34="Subcritical",W1567,IF(AND(V1567=1,AG1567=1),IF(T1567&gt;=AE1567,L1567,W1567),IF(V1567=1,L1567,IF(AG1567=1,W1567,MAX($D$16,POWER((ABS(K1567)^2)/($I$5*MAX(F1567,0.1)^2),1/3)))))))</f>
        <v>#VALUE!</v>
      </c>
      <c r="AI1567" t="e">
        <f t="shared" ca="1" si="810"/>
        <v>#VALUE!</v>
      </c>
      <c r="AJ1567" t="e">
        <f t="shared" ca="1" si="811"/>
        <v>#VALUE!</v>
      </c>
      <c r="AM1567">
        <v>0</v>
      </c>
      <c r="AN1567">
        <v>0</v>
      </c>
      <c r="AO1567">
        <f t="shared" si="812"/>
        <v>0</v>
      </c>
      <c r="AP1567">
        <f t="shared" si="821"/>
        <v>0</v>
      </c>
      <c r="AQ1567" t="e">
        <f t="shared" ca="1" si="813"/>
        <v>#VALUE!</v>
      </c>
      <c r="AR1567" t="e">
        <f t="shared" ca="1" si="814"/>
        <v>#VALUE!</v>
      </c>
      <c r="AS1567" t="e">
        <f t="shared" ca="1" si="815"/>
        <v>#VALUE!</v>
      </c>
    </row>
    <row r="1568" spans="1:45" x14ac:dyDescent="0.35">
      <c r="A1568">
        <v>6</v>
      </c>
      <c r="B1568">
        <v>5</v>
      </c>
      <c r="C1568">
        <v>616065.73</v>
      </c>
      <c r="D1568">
        <v>3096616.8679999998</v>
      </c>
      <c r="E1568">
        <v>630.76080000000002</v>
      </c>
      <c r="F1568">
        <v>19</v>
      </c>
      <c r="G1568">
        <v>0</v>
      </c>
      <c r="H1568" t="s">
        <v>192</v>
      </c>
      <c r="I1568">
        <v>0</v>
      </c>
      <c r="J1568">
        <f t="shared" si="816"/>
        <v>1</v>
      </c>
      <c r="K1568">
        <f t="shared" si="817"/>
        <v>0</v>
      </c>
      <c r="L1568" t="e">
        <f t="shared" ca="1" si="818"/>
        <v>#VALUE!</v>
      </c>
      <c r="M1568" t="e">
        <f t="shared" ca="1" si="791"/>
        <v>#VALUE!</v>
      </c>
      <c r="N1568" t="e">
        <f t="shared" ca="1" si="792"/>
        <v>#VALUE!</v>
      </c>
      <c r="O1568" t="e">
        <f t="shared" ca="1" si="793"/>
        <v>#VALUE!</v>
      </c>
      <c r="P1568" t="e">
        <f t="shared" ca="1" si="794"/>
        <v>#VALUE!</v>
      </c>
      <c r="Q1568" t="e">
        <f t="shared" ca="1" si="795"/>
        <v>#VALUE!</v>
      </c>
      <c r="R1568" t="e">
        <f t="shared" ca="1" si="796"/>
        <v>#VALUE!</v>
      </c>
      <c r="S1568" t="e">
        <f t="shared" ca="1" si="797"/>
        <v>#VALUE!</v>
      </c>
      <c r="T1568" t="e">
        <f t="shared" ca="1" si="798"/>
        <v>#VALUE!</v>
      </c>
      <c r="U1568" t="e">
        <f t="shared" ca="1" si="819"/>
        <v>#VALUE!</v>
      </c>
      <c r="V1568" t="e">
        <f t="shared" ca="1" si="820"/>
        <v>#VALUE!</v>
      </c>
      <c r="W1568" t="e">
        <f t="shared" ca="1" si="799"/>
        <v>#VALUE!</v>
      </c>
      <c r="X1568" t="e">
        <f t="shared" ca="1" si="800"/>
        <v>#VALUE!</v>
      </c>
      <c r="Y1568" t="e">
        <f t="shared" ca="1" si="801"/>
        <v>#VALUE!</v>
      </c>
      <c r="Z1568" t="e">
        <f t="shared" ca="1" si="802"/>
        <v>#VALUE!</v>
      </c>
      <c r="AA1568" t="e">
        <f t="shared" ca="1" si="803"/>
        <v>#VALUE!</v>
      </c>
      <c r="AB1568" t="e">
        <f t="shared" ca="1" si="804"/>
        <v>#VALUE!</v>
      </c>
      <c r="AC1568" t="e">
        <f t="shared" ca="1" si="805"/>
        <v>#VALUE!</v>
      </c>
      <c r="AD1568" t="e">
        <f t="shared" ca="1" si="806"/>
        <v>#VALUE!</v>
      </c>
      <c r="AE1568" t="e">
        <f t="shared" ca="1" si="807"/>
        <v>#VALUE!</v>
      </c>
      <c r="AF1568" t="e">
        <f t="shared" ca="1" si="808"/>
        <v>#VALUE!</v>
      </c>
      <c r="AG1568" t="e">
        <f t="shared" ca="1" si="809"/>
        <v>#VALUE!</v>
      </c>
      <c r="AH1568" t="e">
        <f ca="1">IF(V34="Supercritical",L1568,IF(V34="Subcritical",W1568,IF(AND(V1568=1,AG1568=1),IF(T1568&gt;=AE1568,L1568,W1568),IF(V1568=1,L1568,IF(AG1568=1,W1568,MAX($D$16,POWER((ABS(K1568)^2)/($I$5*MAX(F1568,0.1)^2),1/3)))))))</f>
        <v>#VALUE!</v>
      </c>
      <c r="AI1568" t="e">
        <f t="shared" ca="1" si="810"/>
        <v>#VALUE!</v>
      </c>
      <c r="AJ1568" t="e">
        <f t="shared" ca="1" si="811"/>
        <v>#VALUE!</v>
      </c>
      <c r="AM1568">
        <v>0</v>
      </c>
      <c r="AN1568">
        <v>0</v>
      </c>
      <c r="AO1568">
        <f t="shared" si="812"/>
        <v>0</v>
      </c>
      <c r="AP1568">
        <f t="shared" si="821"/>
        <v>0</v>
      </c>
      <c r="AQ1568" t="e">
        <f t="shared" ca="1" si="813"/>
        <v>#VALUE!</v>
      </c>
      <c r="AR1568" t="e">
        <f t="shared" ca="1" si="814"/>
        <v>#VALUE!</v>
      </c>
      <c r="AS1568" t="e">
        <f t="shared" ca="1" si="815"/>
        <v>#VALUE!</v>
      </c>
    </row>
    <row r="1569" spans="1:45" x14ac:dyDescent="0.35">
      <c r="A1569">
        <v>7</v>
      </c>
      <c r="B1569">
        <v>6</v>
      </c>
      <c r="C1569">
        <v>616065.73</v>
      </c>
      <c r="D1569">
        <v>3096615.8679999998</v>
      </c>
      <c r="E1569">
        <v>630.53790000000004</v>
      </c>
      <c r="F1569">
        <v>11.881</v>
      </c>
      <c r="G1569">
        <v>0</v>
      </c>
      <c r="H1569" t="s">
        <v>191</v>
      </c>
      <c r="I1569">
        <v>0</v>
      </c>
      <c r="J1569">
        <f t="shared" si="816"/>
        <v>1</v>
      </c>
      <c r="K1569">
        <f t="shared" si="817"/>
        <v>0</v>
      </c>
      <c r="L1569" t="e">
        <f t="shared" ca="1" si="818"/>
        <v>#VALUE!</v>
      </c>
      <c r="M1569" t="e">
        <f t="shared" ca="1" si="791"/>
        <v>#VALUE!</v>
      </c>
      <c r="N1569" t="e">
        <f t="shared" ca="1" si="792"/>
        <v>#VALUE!</v>
      </c>
      <c r="O1569" t="e">
        <f t="shared" ca="1" si="793"/>
        <v>#VALUE!</v>
      </c>
      <c r="P1569" t="e">
        <f t="shared" ca="1" si="794"/>
        <v>#VALUE!</v>
      </c>
      <c r="Q1569" t="e">
        <f t="shared" ca="1" si="795"/>
        <v>#VALUE!</v>
      </c>
      <c r="R1569" t="e">
        <f t="shared" ca="1" si="796"/>
        <v>#VALUE!</v>
      </c>
      <c r="S1569" t="e">
        <f t="shared" ca="1" si="797"/>
        <v>#VALUE!</v>
      </c>
      <c r="T1569" t="e">
        <f t="shared" ca="1" si="798"/>
        <v>#VALUE!</v>
      </c>
      <c r="U1569" t="e">
        <f t="shared" ca="1" si="819"/>
        <v>#VALUE!</v>
      </c>
      <c r="V1569" t="e">
        <f t="shared" ca="1" si="820"/>
        <v>#VALUE!</v>
      </c>
      <c r="W1569" t="e">
        <f t="shared" ca="1" si="799"/>
        <v>#VALUE!</v>
      </c>
      <c r="X1569" t="e">
        <f t="shared" ca="1" si="800"/>
        <v>#VALUE!</v>
      </c>
      <c r="Y1569" t="e">
        <f t="shared" ca="1" si="801"/>
        <v>#VALUE!</v>
      </c>
      <c r="Z1569" t="e">
        <f t="shared" ca="1" si="802"/>
        <v>#VALUE!</v>
      </c>
      <c r="AA1569" t="e">
        <f t="shared" ca="1" si="803"/>
        <v>#VALUE!</v>
      </c>
      <c r="AB1569" t="e">
        <f t="shared" ca="1" si="804"/>
        <v>#VALUE!</v>
      </c>
      <c r="AC1569" t="e">
        <f t="shared" ca="1" si="805"/>
        <v>#VALUE!</v>
      </c>
      <c r="AD1569" t="e">
        <f t="shared" ca="1" si="806"/>
        <v>#VALUE!</v>
      </c>
      <c r="AE1569" t="e">
        <f t="shared" ca="1" si="807"/>
        <v>#VALUE!</v>
      </c>
      <c r="AF1569" t="e">
        <f t="shared" ca="1" si="808"/>
        <v>#VALUE!</v>
      </c>
      <c r="AG1569" t="e">
        <f t="shared" ca="1" si="809"/>
        <v>#VALUE!</v>
      </c>
      <c r="AH1569" t="e">
        <f ca="1">IF(V34="Supercritical",L1569,IF(V34="Subcritical",W1569,IF(AND(V1569=1,AG1569=1),IF(T1569&gt;=AE1569,L1569,W1569),IF(V1569=1,L1569,IF(AG1569=1,W1569,MAX($D$16,POWER((ABS(K1569)^2)/($I$5*MAX(F1569,0.1)^2),1/3)))))))</f>
        <v>#VALUE!</v>
      </c>
      <c r="AI1569" t="e">
        <f t="shared" ca="1" si="810"/>
        <v>#VALUE!</v>
      </c>
      <c r="AJ1569" t="e">
        <f t="shared" ca="1" si="811"/>
        <v>#VALUE!</v>
      </c>
      <c r="AM1569">
        <v>0</v>
      </c>
      <c r="AN1569">
        <v>0</v>
      </c>
      <c r="AO1569">
        <f t="shared" si="812"/>
        <v>0</v>
      </c>
      <c r="AP1569">
        <f t="shared" si="821"/>
        <v>0</v>
      </c>
      <c r="AQ1569" t="e">
        <f t="shared" ca="1" si="813"/>
        <v>#VALUE!</v>
      </c>
      <c r="AR1569" t="e">
        <f t="shared" ca="1" si="814"/>
        <v>#VALUE!</v>
      </c>
      <c r="AS1569" t="e">
        <f t="shared" ca="1" si="815"/>
        <v>#VALUE!</v>
      </c>
    </row>
    <row r="1570" spans="1:45" x14ac:dyDescent="0.35">
      <c r="A1570">
        <v>8</v>
      </c>
      <c r="B1570">
        <v>7</v>
      </c>
      <c r="C1570">
        <v>616065.73</v>
      </c>
      <c r="D1570">
        <v>3096614.8679999998</v>
      </c>
      <c r="E1570">
        <v>630.31510000000003</v>
      </c>
      <c r="F1570">
        <v>12</v>
      </c>
      <c r="G1570">
        <v>0</v>
      </c>
      <c r="H1570" t="s">
        <v>191</v>
      </c>
      <c r="I1570">
        <v>0</v>
      </c>
      <c r="J1570">
        <f t="shared" si="816"/>
        <v>1</v>
      </c>
      <c r="K1570">
        <f t="shared" si="817"/>
        <v>0</v>
      </c>
      <c r="L1570" t="e">
        <f t="shared" ca="1" si="818"/>
        <v>#VALUE!</v>
      </c>
      <c r="M1570" t="e">
        <f t="shared" ca="1" si="791"/>
        <v>#VALUE!</v>
      </c>
      <c r="N1570" t="e">
        <f t="shared" ca="1" si="792"/>
        <v>#VALUE!</v>
      </c>
      <c r="O1570" t="e">
        <f t="shared" ca="1" si="793"/>
        <v>#VALUE!</v>
      </c>
      <c r="P1570" t="e">
        <f t="shared" ca="1" si="794"/>
        <v>#VALUE!</v>
      </c>
      <c r="Q1570" t="e">
        <f t="shared" ca="1" si="795"/>
        <v>#VALUE!</v>
      </c>
      <c r="R1570" t="e">
        <f t="shared" ca="1" si="796"/>
        <v>#VALUE!</v>
      </c>
      <c r="S1570" t="e">
        <f t="shared" ca="1" si="797"/>
        <v>#VALUE!</v>
      </c>
      <c r="T1570" t="e">
        <f t="shared" ca="1" si="798"/>
        <v>#VALUE!</v>
      </c>
      <c r="U1570" t="e">
        <f t="shared" ca="1" si="819"/>
        <v>#VALUE!</v>
      </c>
      <c r="V1570" t="e">
        <f t="shared" ca="1" si="820"/>
        <v>#VALUE!</v>
      </c>
      <c r="W1570" t="e">
        <f t="shared" ca="1" si="799"/>
        <v>#VALUE!</v>
      </c>
      <c r="X1570" t="e">
        <f t="shared" ca="1" si="800"/>
        <v>#VALUE!</v>
      </c>
      <c r="Y1570" t="e">
        <f t="shared" ca="1" si="801"/>
        <v>#VALUE!</v>
      </c>
      <c r="Z1570" t="e">
        <f t="shared" ca="1" si="802"/>
        <v>#VALUE!</v>
      </c>
      <c r="AA1570" t="e">
        <f t="shared" ca="1" si="803"/>
        <v>#VALUE!</v>
      </c>
      <c r="AB1570" t="e">
        <f t="shared" ca="1" si="804"/>
        <v>#VALUE!</v>
      </c>
      <c r="AC1570" t="e">
        <f t="shared" ca="1" si="805"/>
        <v>#VALUE!</v>
      </c>
      <c r="AD1570" t="e">
        <f t="shared" ca="1" si="806"/>
        <v>#VALUE!</v>
      </c>
      <c r="AE1570" t="e">
        <f t="shared" ca="1" si="807"/>
        <v>#VALUE!</v>
      </c>
      <c r="AF1570" t="e">
        <f t="shared" ca="1" si="808"/>
        <v>#VALUE!</v>
      </c>
      <c r="AG1570" t="e">
        <f t="shared" ca="1" si="809"/>
        <v>#VALUE!</v>
      </c>
      <c r="AH1570" t="e">
        <f ca="1">IF(V34="Supercritical",L1570,IF(V34="Subcritical",W1570,IF(AND(V1570=1,AG1570=1),IF(T1570&gt;=AE1570,L1570,W1570),IF(V1570=1,L1570,IF(AG1570=1,W1570,MAX($D$16,POWER((ABS(K1570)^2)/($I$5*MAX(F1570,0.1)^2),1/3)))))))</f>
        <v>#VALUE!</v>
      </c>
      <c r="AI1570" t="e">
        <f t="shared" ca="1" si="810"/>
        <v>#VALUE!</v>
      </c>
      <c r="AJ1570" t="e">
        <f t="shared" ca="1" si="811"/>
        <v>#VALUE!</v>
      </c>
      <c r="AK1570">
        <v>635.5</v>
      </c>
      <c r="AM1570" t="e">
        <f t="shared" ref="AM1570:AM1595" ca="1" si="822">$D$12*MAX(J1570,0.1)*POWER(MAX(0,AI1570-AK1570),1.5)</f>
        <v>#VALUE!</v>
      </c>
      <c r="AN1570">
        <v>0</v>
      </c>
      <c r="AO1570" t="e">
        <f t="shared" ca="1" si="812"/>
        <v>#VALUE!</v>
      </c>
      <c r="AP1570" t="e">
        <f t="shared" ca="1" si="821"/>
        <v>#VALUE!</v>
      </c>
      <c r="AQ1570" t="e">
        <f t="shared" ca="1" si="813"/>
        <v>#VALUE!</v>
      </c>
      <c r="AR1570" t="e">
        <f t="shared" ca="1" si="814"/>
        <v>#VALUE!</v>
      </c>
      <c r="AS1570" t="e">
        <f t="shared" ca="1" si="815"/>
        <v>#VALUE!</v>
      </c>
    </row>
    <row r="1571" spans="1:45" x14ac:dyDescent="0.35">
      <c r="A1571">
        <v>9</v>
      </c>
      <c r="B1571">
        <v>8</v>
      </c>
      <c r="C1571">
        <v>616065.73</v>
      </c>
      <c r="D1571">
        <v>3096613.8679999998</v>
      </c>
      <c r="E1571">
        <v>630.09220000000005</v>
      </c>
      <c r="F1571">
        <v>12.196999999999999</v>
      </c>
      <c r="G1571">
        <v>0</v>
      </c>
      <c r="H1571" t="s">
        <v>191</v>
      </c>
      <c r="I1571">
        <v>0</v>
      </c>
      <c r="J1571">
        <f t="shared" si="816"/>
        <v>1</v>
      </c>
      <c r="K1571" t="e">
        <f t="shared" ca="1" si="817"/>
        <v>#VALUE!</v>
      </c>
      <c r="L1571" t="e">
        <f t="shared" ca="1" si="818"/>
        <v>#VALUE!</v>
      </c>
      <c r="M1571" t="e">
        <f t="shared" ca="1" si="791"/>
        <v>#VALUE!</v>
      </c>
      <c r="N1571" t="e">
        <f t="shared" ca="1" si="792"/>
        <v>#VALUE!</v>
      </c>
      <c r="O1571" t="e">
        <f t="shared" ca="1" si="793"/>
        <v>#VALUE!</v>
      </c>
      <c r="P1571" t="e">
        <f t="shared" ca="1" si="794"/>
        <v>#VALUE!</v>
      </c>
      <c r="Q1571" t="e">
        <f t="shared" ca="1" si="795"/>
        <v>#VALUE!</v>
      </c>
      <c r="R1571" t="e">
        <f t="shared" ca="1" si="796"/>
        <v>#VALUE!</v>
      </c>
      <c r="S1571" t="e">
        <f t="shared" ca="1" si="797"/>
        <v>#VALUE!</v>
      </c>
      <c r="T1571" t="e">
        <f t="shared" ca="1" si="798"/>
        <v>#VALUE!</v>
      </c>
      <c r="U1571" t="e">
        <f t="shared" ca="1" si="819"/>
        <v>#VALUE!</v>
      </c>
      <c r="V1571" t="e">
        <f t="shared" ca="1" si="820"/>
        <v>#VALUE!</v>
      </c>
      <c r="W1571" t="e">
        <f t="shared" ca="1" si="799"/>
        <v>#VALUE!</v>
      </c>
      <c r="X1571" t="e">
        <f t="shared" ca="1" si="800"/>
        <v>#VALUE!</v>
      </c>
      <c r="Y1571" t="e">
        <f t="shared" ca="1" si="801"/>
        <v>#VALUE!</v>
      </c>
      <c r="Z1571" t="e">
        <f t="shared" ca="1" si="802"/>
        <v>#VALUE!</v>
      </c>
      <c r="AA1571" t="e">
        <f t="shared" ca="1" si="803"/>
        <v>#VALUE!</v>
      </c>
      <c r="AB1571" t="e">
        <f t="shared" ca="1" si="804"/>
        <v>#VALUE!</v>
      </c>
      <c r="AC1571" t="e">
        <f t="shared" ca="1" si="805"/>
        <v>#VALUE!</v>
      </c>
      <c r="AD1571" t="e">
        <f t="shared" ca="1" si="806"/>
        <v>#VALUE!</v>
      </c>
      <c r="AE1571" t="e">
        <f t="shared" ca="1" si="807"/>
        <v>#VALUE!</v>
      </c>
      <c r="AF1571" t="e">
        <f t="shared" ca="1" si="808"/>
        <v>#VALUE!</v>
      </c>
      <c r="AG1571" t="e">
        <f t="shared" ca="1" si="809"/>
        <v>#VALUE!</v>
      </c>
      <c r="AH1571" t="e">
        <f ca="1">IF(V34="Supercritical",L1571,IF(V34="Subcritical",W1571,IF(AND(V1571=1,AG1571=1),IF(T1571&gt;=AE1571,L1571,W1571),IF(V1571=1,L1571,IF(AG1571=1,W1571,MAX($D$16,POWER((ABS(K1571)^2)/($I$5*MAX(F1571,0.1)^2),1/3)))))))</f>
        <v>#VALUE!</v>
      </c>
      <c r="AI1571" t="e">
        <f t="shared" ca="1" si="810"/>
        <v>#VALUE!</v>
      </c>
      <c r="AJ1571" t="e">
        <f t="shared" ca="1" si="811"/>
        <v>#VALUE!</v>
      </c>
      <c r="AK1571">
        <v>635.5</v>
      </c>
      <c r="AM1571" t="e">
        <f t="shared" ca="1" si="822"/>
        <v>#VALUE!</v>
      </c>
      <c r="AN1571">
        <v>0</v>
      </c>
      <c r="AO1571" t="e">
        <f t="shared" ca="1" si="812"/>
        <v>#VALUE!</v>
      </c>
      <c r="AP1571" t="e">
        <f t="shared" ca="1" si="821"/>
        <v>#VALUE!</v>
      </c>
      <c r="AQ1571" t="e">
        <f t="shared" ca="1" si="813"/>
        <v>#VALUE!</v>
      </c>
      <c r="AR1571" t="e">
        <f t="shared" ca="1" si="814"/>
        <v>#VALUE!</v>
      </c>
      <c r="AS1571" t="e">
        <f t="shared" ca="1" si="815"/>
        <v>#VALUE!</v>
      </c>
    </row>
    <row r="1572" spans="1:45" x14ac:dyDescent="0.35">
      <c r="A1572">
        <v>10</v>
      </c>
      <c r="B1572">
        <v>9</v>
      </c>
      <c r="C1572">
        <v>616065.73</v>
      </c>
      <c r="D1572">
        <v>3096612.8679999998</v>
      </c>
      <c r="E1572">
        <v>629.86940000000004</v>
      </c>
      <c r="F1572">
        <v>12.81</v>
      </c>
      <c r="G1572">
        <v>0</v>
      </c>
      <c r="H1572" t="s">
        <v>191</v>
      </c>
      <c r="I1572">
        <v>0</v>
      </c>
      <c r="J1572">
        <f t="shared" si="816"/>
        <v>1</v>
      </c>
      <c r="K1572" t="e">
        <f t="shared" ca="1" si="817"/>
        <v>#VALUE!</v>
      </c>
      <c r="L1572" t="e">
        <f t="shared" ca="1" si="818"/>
        <v>#VALUE!</v>
      </c>
      <c r="M1572" t="e">
        <f t="shared" ca="1" si="791"/>
        <v>#VALUE!</v>
      </c>
      <c r="N1572" t="e">
        <f t="shared" ca="1" si="792"/>
        <v>#VALUE!</v>
      </c>
      <c r="O1572" t="e">
        <f t="shared" ca="1" si="793"/>
        <v>#VALUE!</v>
      </c>
      <c r="P1572" t="e">
        <f t="shared" ca="1" si="794"/>
        <v>#VALUE!</v>
      </c>
      <c r="Q1572" t="e">
        <f t="shared" ca="1" si="795"/>
        <v>#VALUE!</v>
      </c>
      <c r="R1572" t="e">
        <f t="shared" ca="1" si="796"/>
        <v>#VALUE!</v>
      </c>
      <c r="S1572" t="e">
        <f t="shared" ca="1" si="797"/>
        <v>#VALUE!</v>
      </c>
      <c r="T1572" t="e">
        <f t="shared" ca="1" si="798"/>
        <v>#VALUE!</v>
      </c>
      <c r="U1572" t="e">
        <f t="shared" ca="1" si="819"/>
        <v>#VALUE!</v>
      </c>
      <c r="V1572" t="e">
        <f t="shared" ca="1" si="820"/>
        <v>#VALUE!</v>
      </c>
      <c r="W1572" t="e">
        <f t="shared" ca="1" si="799"/>
        <v>#VALUE!</v>
      </c>
      <c r="X1572" t="e">
        <f t="shared" ca="1" si="800"/>
        <v>#VALUE!</v>
      </c>
      <c r="Y1572" t="e">
        <f t="shared" ca="1" si="801"/>
        <v>#VALUE!</v>
      </c>
      <c r="Z1572" t="e">
        <f t="shared" ca="1" si="802"/>
        <v>#VALUE!</v>
      </c>
      <c r="AA1572" t="e">
        <f t="shared" ca="1" si="803"/>
        <v>#VALUE!</v>
      </c>
      <c r="AB1572" t="e">
        <f t="shared" ca="1" si="804"/>
        <v>#VALUE!</v>
      </c>
      <c r="AC1572" t="e">
        <f t="shared" ca="1" si="805"/>
        <v>#VALUE!</v>
      </c>
      <c r="AD1572" t="e">
        <f t="shared" ca="1" si="806"/>
        <v>#VALUE!</v>
      </c>
      <c r="AE1572" t="e">
        <f t="shared" ca="1" si="807"/>
        <v>#VALUE!</v>
      </c>
      <c r="AF1572" t="e">
        <f t="shared" ca="1" si="808"/>
        <v>#VALUE!</v>
      </c>
      <c r="AG1572" t="e">
        <f t="shared" ca="1" si="809"/>
        <v>#VALUE!</v>
      </c>
      <c r="AH1572" t="e">
        <f ca="1">IF(V34="Supercritical",L1572,IF(V34="Subcritical",W1572,IF(AND(V1572=1,AG1572=1),IF(T1572&gt;=AE1572,L1572,W1572),IF(V1572=1,L1572,IF(AG1572=1,W1572,MAX($D$16,POWER((ABS(K1572)^2)/($I$5*MAX(F1572,0.1)^2),1/3)))))))</f>
        <v>#VALUE!</v>
      </c>
      <c r="AI1572" t="e">
        <f t="shared" ca="1" si="810"/>
        <v>#VALUE!</v>
      </c>
      <c r="AJ1572" t="e">
        <f t="shared" ca="1" si="811"/>
        <v>#VALUE!</v>
      </c>
      <c r="AK1572">
        <v>635.5</v>
      </c>
      <c r="AM1572" t="e">
        <f t="shared" ca="1" si="822"/>
        <v>#VALUE!</v>
      </c>
      <c r="AN1572">
        <v>0</v>
      </c>
      <c r="AO1572" t="e">
        <f t="shared" ca="1" si="812"/>
        <v>#VALUE!</v>
      </c>
      <c r="AP1572" t="e">
        <f t="shared" ca="1" si="821"/>
        <v>#VALUE!</v>
      </c>
      <c r="AQ1572" t="e">
        <f t="shared" ca="1" si="813"/>
        <v>#VALUE!</v>
      </c>
      <c r="AR1572" t="e">
        <f t="shared" ca="1" si="814"/>
        <v>#VALUE!</v>
      </c>
      <c r="AS1572" t="e">
        <f t="shared" ca="1" si="815"/>
        <v>#VALUE!</v>
      </c>
    </row>
    <row r="1573" spans="1:45" x14ac:dyDescent="0.35">
      <c r="A1573">
        <v>11</v>
      </c>
      <c r="B1573">
        <v>10</v>
      </c>
      <c r="C1573">
        <v>616065.73</v>
      </c>
      <c r="D1573">
        <v>3096611.8679999998</v>
      </c>
      <c r="E1573">
        <v>629.64649999999995</v>
      </c>
      <c r="F1573">
        <v>13.422000000000001</v>
      </c>
      <c r="G1573">
        <v>0</v>
      </c>
      <c r="H1573" t="s">
        <v>191</v>
      </c>
      <c r="I1573">
        <v>0</v>
      </c>
      <c r="J1573">
        <f t="shared" si="816"/>
        <v>1</v>
      </c>
      <c r="K1573" t="e">
        <f t="shared" ca="1" si="817"/>
        <v>#VALUE!</v>
      </c>
      <c r="L1573" t="e">
        <f t="shared" ca="1" si="818"/>
        <v>#VALUE!</v>
      </c>
      <c r="M1573" t="e">
        <f t="shared" ca="1" si="791"/>
        <v>#VALUE!</v>
      </c>
      <c r="N1573" t="e">
        <f t="shared" ca="1" si="792"/>
        <v>#VALUE!</v>
      </c>
      <c r="O1573" t="e">
        <f t="shared" ca="1" si="793"/>
        <v>#VALUE!</v>
      </c>
      <c r="P1573" t="e">
        <f t="shared" ca="1" si="794"/>
        <v>#VALUE!</v>
      </c>
      <c r="Q1573" t="e">
        <f t="shared" ca="1" si="795"/>
        <v>#VALUE!</v>
      </c>
      <c r="R1573" t="e">
        <f t="shared" ca="1" si="796"/>
        <v>#VALUE!</v>
      </c>
      <c r="S1573" t="e">
        <f t="shared" ca="1" si="797"/>
        <v>#VALUE!</v>
      </c>
      <c r="T1573" t="e">
        <f t="shared" ca="1" si="798"/>
        <v>#VALUE!</v>
      </c>
      <c r="U1573" t="e">
        <f t="shared" ca="1" si="819"/>
        <v>#VALUE!</v>
      </c>
      <c r="V1573" t="e">
        <f t="shared" ca="1" si="820"/>
        <v>#VALUE!</v>
      </c>
      <c r="W1573" t="e">
        <f t="shared" ca="1" si="799"/>
        <v>#VALUE!</v>
      </c>
      <c r="X1573" t="e">
        <f t="shared" ca="1" si="800"/>
        <v>#VALUE!</v>
      </c>
      <c r="Y1573" t="e">
        <f t="shared" ca="1" si="801"/>
        <v>#VALUE!</v>
      </c>
      <c r="Z1573" t="e">
        <f t="shared" ca="1" si="802"/>
        <v>#VALUE!</v>
      </c>
      <c r="AA1573" t="e">
        <f t="shared" ca="1" si="803"/>
        <v>#VALUE!</v>
      </c>
      <c r="AB1573" t="e">
        <f t="shared" ca="1" si="804"/>
        <v>#VALUE!</v>
      </c>
      <c r="AC1573" t="e">
        <f t="shared" ca="1" si="805"/>
        <v>#VALUE!</v>
      </c>
      <c r="AD1573" t="e">
        <f t="shared" ca="1" si="806"/>
        <v>#VALUE!</v>
      </c>
      <c r="AE1573" t="e">
        <f t="shared" ca="1" si="807"/>
        <v>#VALUE!</v>
      </c>
      <c r="AF1573" t="e">
        <f t="shared" ca="1" si="808"/>
        <v>#VALUE!</v>
      </c>
      <c r="AG1573" t="e">
        <f t="shared" ca="1" si="809"/>
        <v>#VALUE!</v>
      </c>
      <c r="AH1573" t="e">
        <f ca="1">IF(V34="Supercritical",L1573,IF(V34="Subcritical",W1573,IF(AND(V1573=1,AG1573=1),IF(T1573&gt;=AE1573,L1573,W1573),IF(V1573=1,L1573,IF(AG1573=1,W1573,MAX($D$16,POWER((ABS(K1573)^2)/($I$5*MAX(F1573,0.1)^2),1/3)))))))</f>
        <v>#VALUE!</v>
      </c>
      <c r="AI1573" t="e">
        <f t="shared" ca="1" si="810"/>
        <v>#VALUE!</v>
      </c>
      <c r="AJ1573" t="e">
        <f t="shared" ca="1" si="811"/>
        <v>#VALUE!</v>
      </c>
      <c r="AK1573">
        <v>635.5</v>
      </c>
      <c r="AM1573" t="e">
        <f t="shared" ca="1" si="822"/>
        <v>#VALUE!</v>
      </c>
      <c r="AN1573">
        <v>0</v>
      </c>
      <c r="AO1573" t="e">
        <f t="shared" ca="1" si="812"/>
        <v>#VALUE!</v>
      </c>
      <c r="AP1573" t="e">
        <f t="shared" ca="1" si="821"/>
        <v>#VALUE!</v>
      </c>
      <c r="AQ1573" t="e">
        <f t="shared" ca="1" si="813"/>
        <v>#VALUE!</v>
      </c>
      <c r="AR1573" t="e">
        <f t="shared" ca="1" si="814"/>
        <v>#VALUE!</v>
      </c>
      <c r="AS1573" t="e">
        <f t="shared" ca="1" si="815"/>
        <v>#VALUE!</v>
      </c>
    </row>
    <row r="1574" spans="1:45" x14ac:dyDescent="0.35">
      <c r="A1574">
        <v>12</v>
      </c>
      <c r="B1574">
        <v>11</v>
      </c>
      <c r="C1574">
        <v>616065.73</v>
      </c>
      <c r="D1574">
        <v>3096610.8679999998</v>
      </c>
      <c r="E1574">
        <v>629.42370000000005</v>
      </c>
      <c r="F1574">
        <v>14.035</v>
      </c>
      <c r="G1574">
        <v>0</v>
      </c>
      <c r="H1574" t="s">
        <v>191</v>
      </c>
      <c r="I1574">
        <v>0</v>
      </c>
      <c r="J1574">
        <f t="shared" si="816"/>
        <v>1</v>
      </c>
      <c r="K1574" t="e">
        <f t="shared" ca="1" si="817"/>
        <v>#VALUE!</v>
      </c>
      <c r="L1574" t="e">
        <f t="shared" ca="1" si="818"/>
        <v>#VALUE!</v>
      </c>
      <c r="M1574" t="e">
        <f t="shared" ca="1" si="791"/>
        <v>#VALUE!</v>
      </c>
      <c r="N1574" t="e">
        <f t="shared" ca="1" si="792"/>
        <v>#VALUE!</v>
      </c>
      <c r="O1574" t="e">
        <f t="shared" ca="1" si="793"/>
        <v>#VALUE!</v>
      </c>
      <c r="P1574" t="e">
        <f t="shared" ca="1" si="794"/>
        <v>#VALUE!</v>
      </c>
      <c r="Q1574" t="e">
        <f t="shared" ca="1" si="795"/>
        <v>#VALUE!</v>
      </c>
      <c r="R1574" t="e">
        <f t="shared" ca="1" si="796"/>
        <v>#VALUE!</v>
      </c>
      <c r="S1574" t="e">
        <f t="shared" ca="1" si="797"/>
        <v>#VALUE!</v>
      </c>
      <c r="T1574" t="e">
        <f t="shared" ca="1" si="798"/>
        <v>#VALUE!</v>
      </c>
      <c r="U1574" t="e">
        <f t="shared" ca="1" si="819"/>
        <v>#VALUE!</v>
      </c>
      <c r="V1574" t="e">
        <f t="shared" ca="1" si="820"/>
        <v>#VALUE!</v>
      </c>
      <c r="W1574" t="e">
        <f t="shared" ca="1" si="799"/>
        <v>#VALUE!</v>
      </c>
      <c r="X1574" t="e">
        <f t="shared" ca="1" si="800"/>
        <v>#VALUE!</v>
      </c>
      <c r="Y1574" t="e">
        <f t="shared" ca="1" si="801"/>
        <v>#VALUE!</v>
      </c>
      <c r="Z1574" t="e">
        <f t="shared" ca="1" si="802"/>
        <v>#VALUE!</v>
      </c>
      <c r="AA1574" t="e">
        <f t="shared" ca="1" si="803"/>
        <v>#VALUE!</v>
      </c>
      <c r="AB1574" t="e">
        <f t="shared" ca="1" si="804"/>
        <v>#VALUE!</v>
      </c>
      <c r="AC1574" t="e">
        <f t="shared" ca="1" si="805"/>
        <v>#VALUE!</v>
      </c>
      <c r="AD1574" t="e">
        <f t="shared" ca="1" si="806"/>
        <v>#VALUE!</v>
      </c>
      <c r="AE1574" t="e">
        <f t="shared" ca="1" si="807"/>
        <v>#VALUE!</v>
      </c>
      <c r="AF1574" t="e">
        <f t="shared" ca="1" si="808"/>
        <v>#VALUE!</v>
      </c>
      <c r="AG1574" t="e">
        <f t="shared" ca="1" si="809"/>
        <v>#VALUE!</v>
      </c>
      <c r="AH1574" t="e">
        <f ca="1">IF(V34="Supercritical",L1574,IF(V34="Subcritical",W1574,IF(AND(V1574=1,AG1574=1),IF(T1574&gt;=AE1574,L1574,W1574),IF(V1574=1,L1574,IF(AG1574=1,W1574,MAX($D$16,POWER((ABS(K1574)^2)/($I$5*MAX(F1574,0.1)^2),1/3)))))))</f>
        <v>#VALUE!</v>
      </c>
      <c r="AI1574" t="e">
        <f t="shared" ca="1" si="810"/>
        <v>#VALUE!</v>
      </c>
      <c r="AJ1574" t="e">
        <f t="shared" ca="1" si="811"/>
        <v>#VALUE!</v>
      </c>
      <c r="AK1574">
        <v>635.5</v>
      </c>
      <c r="AM1574" t="e">
        <f t="shared" ca="1" si="822"/>
        <v>#VALUE!</v>
      </c>
      <c r="AN1574">
        <v>0</v>
      </c>
      <c r="AO1574" t="e">
        <f t="shared" ca="1" si="812"/>
        <v>#VALUE!</v>
      </c>
      <c r="AP1574" t="e">
        <f t="shared" ca="1" si="821"/>
        <v>#VALUE!</v>
      </c>
      <c r="AQ1574" t="e">
        <f t="shared" ca="1" si="813"/>
        <v>#VALUE!</v>
      </c>
      <c r="AR1574" t="e">
        <f t="shared" ca="1" si="814"/>
        <v>#VALUE!</v>
      </c>
      <c r="AS1574" t="e">
        <f t="shared" ca="1" si="815"/>
        <v>#VALUE!</v>
      </c>
    </row>
    <row r="1575" spans="1:45" x14ac:dyDescent="0.35">
      <c r="A1575">
        <v>13</v>
      </c>
      <c r="B1575">
        <v>12</v>
      </c>
      <c r="C1575">
        <v>616065.73</v>
      </c>
      <c r="D1575">
        <v>3096609.8679999998</v>
      </c>
      <c r="E1575">
        <v>629.20079999999996</v>
      </c>
      <c r="F1575">
        <v>14.647</v>
      </c>
      <c r="G1575">
        <v>0</v>
      </c>
      <c r="H1575" t="s">
        <v>191</v>
      </c>
      <c r="I1575">
        <v>0</v>
      </c>
      <c r="J1575">
        <f t="shared" si="816"/>
        <v>1</v>
      </c>
      <c r="K1575" t="e">
        <f t="shared" ca="1" si="817"/>
        <v>#VALUE!</v>
      </c>
      <c r="L1575" t="e">
        <f t="shared" ca="1" si="818"/>
        <v>#VALUE!</v>
      </c>
      <c r="M1575" t="e">
        <f t="shared" ca="1" si="791"/>
        <v>#VALUE!</v>
      </c>
      <c r="N1575" t="e">
        <f t="shared" ca="1" si="792"/>
        <v>#VALUE!</v>
      </c>
      <c r="O1575" t="e">
        <f t="shared" ca="1" si="793"/>
        <v>#VALUE!</v>
      </c>
      <c r="P1575" t="e">
        <f t="shared" ca="1" si="794"/>
        <v>#VALUE!</v>
      </c>
      <c r="Q1575" t="e">
        <f t="shared" ca="1" si="795"/>
        <v>#VALUE!</v>
      </c>
      <c r="R1575" t="e">
        <f t="shared" ca="1" si="796"/>
        <v>#VALUE!</v>
      </c>
      <c r="S1575" t="e">
        <f t="shared" ca="1" si="797"/>
        <v>#VALUE!</v>
      </c>
      <c r="T1575" t="e">
        <f t="shared" ca="1" si="798"/>
        <v>#VALUE!</v>
      </c>
      <c r="U1575" t="e">
        <f t="shared" ca="1" si="819"/>
        <v>#VALUE!</v>
      </c>
      <c r="V1575" t="e">
        <f t="shared" ca="1" si="820"/>
        <v>#VALUE!</v>
      </c>
      <c r="W1575" t="e">
        <f t="shared" ca="1" si="799"/>
        <v>#VALUE!</v>
      </c>
      <c r="X1575" t="e">
        <f t="shared" ca="1" si="800"/>
        <v>#VALUE!</v>
      </c>
      <c r="Y1575" t="e">
        <f t="shared" ca="1" si="801"/>
        <v>#VALUE!</v>
      </c>
      <c r="Z1575" t="e">
        <f t="shared" ca="1" si="802"/>
        <v>#VALUE!</v>
      </c>
      <c r="AA1575" t="e">
        <f t="shared" ca="1" si="803"/>
        <v>#VALUE!</v>
      </c>
      <c r="AB1575" t="e">
        <f t="shared" ca="1" si="804"/>
        <v>#VALUE!</v>
      </c>
      <c r="AC1575" t="e">
        <f t="shared" ca="1" si="805"/>
        <v>#VALUE!</v>
      </c>
      <c r="AD1575" t="e">
        <f t="shared" ca="1" si="806"/>
        <v>#VALUE!</v>
      </c>
      <c r="AE1575" t="e">
        <f t="shared" ca="1" si="807"/>
        <v>#VALUE!</v>
      </c>
      <c r="AF1575" t="e">
        <f t="shared" ca="1" si="808"/>
        <v>#VALUE!</v>
      </c>
      <c r="AG1575" t="e">
        <f t="shared" ca="1" si="809"/>
        <v>#VALUE!</v>
      </c>
      <c r="AH1575" t="e">
        <f ca="1">IF(V34="Supercritical",L1575,IF(V34="Subcritical",W1575,IF(AND(V1575=1,AG1575=1),IF(T1575&gt;=AE1575,L1575,W1575),IF(V1575=1,L1575,IF(AG1575=1,W1575,MAX($D$16,POWER((ABS(K1575)^2)/($I$5*MAX(F1575,0.1)^2),1/3)))))))</f>
        <v>#VALUE!</v>
      </c>
      <c r="AI1575" t="e">
        <f t="shared" ca="1" si="810"/>
        <v>#VALUE!</v>
      </c>
      <c r="AJ1575" t="e">
        <f t="shared" ca="1" si="811"/>
        <v>#VALUE!</v>
      </c>
      <c r="AK1575">
        <v>635.5</v>
      </c>
      <c r="AM1575" t="e">
        <f t="shared" ca="1" si="822"/>
        <v>#VALUE!</v>
      </c>
      <c r="AN1575">
        <v>0</v>
      </c>
      <c r="AO1575" t="e">
        <f t="shared" ca="1" si="812"/>
        <v>#VALUE!</v>
      </c>
      <c r="AP1575" t="e">
        <f t="shared" ca="1" si="821"/>
        <v>#VALUE!</v>
      </c>
      <c r="AQ1575" t="e">
        <f t="shared" ca="1" si="813"/>
        <v>#VALUE!</v>
      </c>
      <c r="AR1575" t="e">
        <f t="shared" ca="1" si="814"/>
        <v>#VALUE!</v>
      </c>
      <c r="AS1575" t="e">
        <f t="shared" ca="1" si="815"/>
        <v>#VALUE!</v>
      </c>
    </row>
    <row r="1576" spans="1:45" x14ac:dyDescent="0.35">
      <c r="A1576">
        <v>14</v>
      </c>
      <c r="B1576">
        <v>13</v>
      </c>
      <c r="C1576">
        <v>616065.73</v>
      </c>
      <c r="D1576">
        <v>3096608.8679999998</v>
      </c>
      <c r="E1576">
        <v>628.97799999999995</v>
      </c>
      <c r="F1576">
        <v>15</v>
      </c>
      <c r="G1576">
        <v>0</v>
      </c>
      <c r="H1576" t="s">
        <v>191</v>
      </c>
      <c r="I1576">
        <v>0</v>
      </c>
      <c r="J1576">
        <f t="shared" si="816"/>
        <v>1</v>
      </c>
      <c r="K1576" t="e">
        <f t="shared" ca="1" si="817"/>
        <v>#VALUE!</v>
      </c>
      <c r="L1576" t="e">
        <f t="shared" ca="1" si="818"/>
        <v>#VALUE!</v>
      </c>
      <c r="M1576" t="e">
        <f t="shared" ca="1" si="791"/>
        <v>#VALUE!</v>
      </c>
      <c r="N1576" t="e">
        <f t="shared" ca="1" si="792"/>
        <v>#VALUE!</v>
      </c>
      <c r="O1576" t="e">
        <f t="shared" ca="1" si="793"/>
        <v>#VALUE!</v>
      </c>
      <c r="P1576" t="e">
        <f t="shared" ca="1" si="794"/>
        <v>#VALUE!</v>
      </c>
      <c r="Q1576" t="e">
        <f t="shared" ca="1" si="795"/>
        <v>#VALUE!</v>
      </c>
      <c r="R1576" t="e">
        <f t="shared" ca="1" si="796"/>
        <v>#VALUE!</v>
      </c>
      <c r="S1576" t="e">
        <f t="shared" ca="1" si="797"/>
        <v>#VALUE!</v>
      </c>
      <c r="T1576" t="e">
        <f t="shared" ca="1" si="798"/>
        <v>#VALUE!</v>
      </c>
      <c r="U1576" t="e">
        <f t="shared" ca="1" si="819"/>
        <v>#VALUE!</v>
      </c>
      <c r="V1576" t="e">
        <f t="shared" ca="1" si="820"/>
        <v>#VALUE!</v>
      </c>
      <c r="W1576" t="e">
        <f t="shared" ca="1" si="799"/>
        <v>#VALUE!</v>
      </c>
      <c r="X1576" t="e">
        <f t="shared" ca="1" si="800"/>
        <v>#VALUE!</v>
      </c>
      <c r="Y1576" t="e">
        <f t="shared" ca="1" si="801"/>
        <v>#VALUE!</v>
      </c>
      <c r="Z1576" t="e">
        <f t="shared" ca="1" si="802"/>
        <v>#VALUE!</v>
      </c>
      <c r="AA1576" t="e">
        <f t="shared" ca="1" si="803"/>
        <v>#VALUE!</v>
      </c>
      <c r="AB1576" t="e">
        <f t="shared" ca="1" si="804"/>
        <v>#VALUE!</v>
      </c>
      <c r="AC1576" t="e">
        <f t="shared" ca="1" si="805"/>
        <v>#VALUE!</v>
      </c>
      <c r="AD1576" t="e">
        <f t="shared" ca="1" si="806"/>
        <v>#VALUE!</v>
      </c>
      <c r="AE1576" t="e">
        <f t="shared" ca="1" si="807"/>
        <v>#VALUE!</v>
      </c>
      <c r="AF1576" t="e">
        <f t="shared" ca="1" si="808"/>
        <v>#VALUE!</v>
      </c>
      <c r="AG1576" t="e">
        <f t="shared" ca="1" si="809"/>
        <v>#VALUE!</v>
      </c>
      <c r="AH1576" t="e">
        <f ca="1">IF(V34="Supercritical",L1576,IF(V34="Subcritical",W1576,IF(AND(V1576=1,AG1576=1),IF(T1576&gt;=AE1576,L1576,W1576),IF(V1576=1,L1576,IF(AG1576=1,W1576,MAX($D$16,POWER((ABS(K1576)^2)/($I$5*MAX(F1576,0.1)^2),1/3)))))))</f>
        <v>#VALUE!</v>
      </c>
      <c r="AI1576" t="e">
        <f t="shared" ca="1" si="810"/>
        <v>#VALUE!</v>
      </c>
      <c r="AJ1576" t="e">
        <f t="shared" ca="1" si="811"/>
        <v>#VALUE!</v>
      </c>
      <c r="AK1576">
        <v>635.5</v>
      </c>
      <c r="AM1576" t="e">
        <f t="shared" ca="1" si="822"/>
        <v>#VALUE!</v>
      </c>
      <c r="AN1576">
        <v>0</v>
      </c>
      <c r="AO1576" t="e">
        <f t="shared" ca="1" si="812"/>
        <v>#VALUE!</v>
      </c>
      <c r="AP1576" t="e">
        <f t="shared" ca="1" si="821"/>
        <v>#VALUE!</v>
      </c>
      <c r="AQ1576" t="e">
        <f t="shared" ca="1" si="813"/>
        <v>#VALUE!</v>
      </c>
      <c r="AR1576" t="e">
        <f t="shared" ca="1" si="814"/>
        <v>#VALUE!</v>
      </c>
      <c r="AS1576" t="e">
        <f t="shared" ca="1" si="815"/>
        <v>#VALUE!</v>
      </c>
    </row>
    <row r="1577" spans="1:45" x14ac:dyDescent="0.35">
      <c r="A1577">
        <v>15</v>
      </c>
      <c r="B1577">
        <v>14</v>
      </c>
      <c r="C1577">
        <v>616065.73</v>
      </c>
      <c r="D1577">
        <v>3096607.8679999998</v>
      </c>
      <c r="E1577">
        <v>628.97799999999995</v>
      </c>
      <c r="F1577">
        <v>15</v>
      </c>
      <c r="G1577">
        <v>0</v>
      </c>
      <c r="H1577" t="s">
        <v>191</v>
      </c>
      <c r="I1577">
        <v>0</v>
      </c>
      <c r="J1577">
        <f t="shared" si="816"/>
        <v>1</v>
      </c>
      <c r="K1577" t="e">
        <f t="shared" ca="1" si="817"/>
        <v>#VALUE!</v>
      </c>
      <c r="L1577" t="e">
        <f t="shared" ca="1" si="818"/>
        <v>#VALUE!</v>
      </c>
      <c r="M1577" t="e">
        <f t="shared" ca="1" si="791"/>
        <v>#VALUE!</v>
      </c>
      <c r="N1577" t="e">
        <f t="shared" ca="1" si="792"/>
        <v>#VALUE!</v>
      </c>
      <c r="O1577" t="e">
        <f t="shared" ca="1" si="793"/>
        <v>#VALUE!</v>
      </c>
      <c r="P1577" t="e">
        <f t="shared" ca="1" si="794"/>
        <v>#VALUE!</v>
      </c>
      <c r="Q1577" t="e">
        <f t="shared" ca="1" si="795"/>
        <v>#VALUE!</v>
      </c>
      <c r="R1577" t="e">
        <f t="shared" ca="1" si="796"/>
        <v>#VALUE!</v>
      </c>
      <c r="S1577" t="e">
        <f t="shared" ca="1" si="797"/>
        <v>#VALUE!</v>
      </c>
      <c r="T1577" t="e">
        <f t="shared" ca="1" si="798"/>
        <v>#VALUE!</v>
      </c>
      <c r="U1577" t="e">
        <f t="shared" ca="1" si="819"/>
        <v>#VALUE!</v>
      </c>
      <c r="V1577" t="e">
        <f t="shared" ca="1" si="820"/>
        <v>#VALUE!</v>
      </c>
      <c r="W1577" t="e">
        <f t="shared" ca="1" si="799"/>
        <v>#VALUE!</v>
      </c>
      <c r="X1577" t="e">
        <f t="shared" ca="1" si="800"/>
        <v>#VALUE!</v>
      </c>
      <c r="Y1577" t="e">
        <f t="shared" ca="1" si="801"/>
        <v>#VALUE!</v>
      </c>
      <c r="Z1577" t="e">
        <f t="shared" ca="1" si="802"/>
        <v>#VALUE!</v>
      </c>
      <c r="AA1577" t="e">
        <f t="shared" ca="1" si="803"/>
        <v>#VALUE!</v>
      </c>
      <c r="AB1577" t="e">
        <f t="shared" ca="1" si="804"/>
        <v>#VALUE!</v>
      </c>
      <c r="AC1577" t="e">
        <f t="shared" ca="1" si="805"/>
        <v>#VALUE!</v>
      </c>
      <c r="AD1577" t="e">
        <f t="shared" ca="1" si="806"/>
        <v>#VALUE!</v>
      </c>
      <c r="AE1577" t="e">
        <f t="shared" ca="1" si="807"/>
        <v>#VALUE!</v>
      </c>
      <c r="AF1577" t="e">
        <f t="shared" ca="1" si="808"/>
        <v>#VALUE!</v>
      </c>
      <c r="AG1577" t="e">
        <f t="shared" ca="1" si="809"/>
        <v>#VALUE!</v>
      </c>
      <c r="AH1577" t="e">
        <f ca="1">IF(V34="Supercritical",L1577,IF(V34="Subcritical",W1577,IF(AND(V1577=1,AG1577=1),IF(T1577&gt;=AE1577,L1577,W1577),IF(V1577=1,L1577,IF(AG1577=1,W1577,MAX($D$16,POWER((ABS(K1577)^2)/($I$5*MAX(F1577,0.1)^2),1/3)))))))</f>
        <v>#VALUE!</v>
      </c>
      <c r="AI1577" t="e">
        <f t="shared" ca="1" si="810"/>
        <v>#VALUE!</v>
      </c>
      <c r="AJ1577" t="e">
        <f t="shared" ca="1" si="811"/>
        <v>#VALUE!</v>
      </c>
      <c r="AK1577">
        <v>635.5</v>
      </c>
      <c r="AM1577" t="e">
        <f t="shared" ca="1" si="822"/>
        <v>#VALUE!</v>
      </c>
      <c r="AN1577">
        <v>0</v>
      </c>
      <c r="AO1577" t="e">
        <f t="shared" ca="1" si="812"/>
        <v>#VALUE!</v>
      </c>
      <c r="AP1577" t="e">
        <f t="shared" ca="1" si="821"/>
        <v>#VALUE!</v>
      </c>
      <c r="AQ1577" t="e">
        <f t="shared" ca="1" si="813"/>
        <v>#VALUE!</v>
      </c>
      <c r="AR1577" t="e">
        <f t="shared" ca="1" si="814"/>
        <v>#VALUE!</v>
      </c>
      <c r="AS1577" t="e">
        <f t="shared" ca="1" si="815"/>
        <v>#VALUE!</v>
      </c>
    </row>
    <row r="1578" spans="1:45" x14ac:dyDescent="0.35">
      <c r="A1578">
        <v>16</v>
      </c>
      <c r="B1578">
        <v>15</v>
      </c>
      <c r="C1578">
        <v>616065.73</v>
      </c>
      <c r="D1578">
        <v>3096606.8679999998</v>
      </c>
      <c r="E1578">
        <v>628.97799999999995</v>
      </c>
      <c r="F1578">
        <v>15</v>
      </c>
      <c r="G1578">
        <v>0</v>
      </c>
      <c r="H1578" t="s">
        <v>191</v>
      </c>
      <c r="I1578">
        <v>0</v>
      </c>
      <c r="J1578">
        <f t="shared" si="816"/>
        <v>1</v>
      </c>
      <c r="K1578" t="e">
        <f t="shared" ca="1" si="817"/>
        <v>#VALUE!</v>
      </c>
      <c r="L1578" t="e">
        <f t="shared" ca="1" si="818"/>
        <v>#VALUE!</v>
      </c>
      <c r="M1578" t="e">
        <f t="shared" ca="1" si="791"/>
        <v>#VALUE!</v>
      </c>
      <c r="N1578" t="e">
        <f t="shared" ca="1" si="792"/>
        <v>#VALUE!</v>
      </c>
      <c r="O1578" t="e">
        <f t="shared" ca="1" si="793"/>
        <v>#VALUE!</v>
      </c>
      <c r="P1578" t="e">
        <f t="shared" ca="1" si="794"/>
        <v>#VALUE!</v>
      </c>
      <c r="Q1578" t="e">
        <f t="shared" ca="1" si="795"/>
        <v>#VALUE!</v>
      </c>
      <c r="R1578" t="e">
        <f t="shared" ca="1" si="796"/>
        <v>#VALUE!</v>
      </c>
      <c r="S1578" t="e">
        <f t="shared" ca="1" si="797"/>
        <v>#VALUE!</v>
      </c>
      <c r="T1578" t="e">
        <f t="shared" ca="1" si="798"/>
        <v>#VALUE!</v>
      </c>
      <c r="U1578" t="e">
        <f t="shared" ca="1" si="819"/>
        <v>#VALUE!</v>
      </c>
      <c r="V1578" t="e">
        <f t="shared" ca="1" si="820"/>
        <v>#VALUE!</v>
      </c>
      <c r="W1578" t="e">
        <f t="shared" ca="1" si="799"/>
        <v>#VALUE!</v>
      </c>
      <c r="X1578" t="e">
        <f t="shared" ca="1" si="800"/>
        <v>#VALUE!</v>
      </c>
      <c r="Y1578" t="e">
        <f t="shared" ca="1" si="801"/>
        <v>#VALUE!</v>
      </c>
      <c r="Z1578" t="e">
        <f t="shared" ca="1" si="802"/>
        <v>#VALUE!</v>
      </c>
      <c r="AA1578" t="e">
        <f t="shared" ca="1" si="803"/>
        <v>#VALUE!</v>
      </c>
      <c r="AB1578" t="e">
        <f t="shared" ca="1" si="804"/>
        <v>#VALUE!</v>
      </c>
      <c r="AC1578" t="e">
        <f t="shared" ca="1" si="805"/>
        <v>#VALUE!</v>
      </c>
      <c r="AD1578" t="e">
        <f t="shared" ca="1" si="806"/>
        <v>#VALUE!</v>
      </c>
      <c r="AE1578" t="e">
        <f t="shared" ca="1" si="807"/>
        <v>#VALUE!</v>
      </c>
      <c r="AF1578" t="e">
        <f t="shared" ca="1" si="808"/>
        <v>#VALUE!</v>
      </c>
      <c r="AG1578" t="e">
        <f t="shared" ca="1" si="809"/>
        <v>#VALUE!</v>
      </c>
      <c r="AH1578" t="e">
        <f ca="1">IF(V34="Supercritical",L1578,IF(V34="Subcritical",W1578,IF(AND(V1578=1,AG1578=1),IF(T1578&gt;=AE1578,L1578,W1578),IF(V1578=1,L1578,IF(AG1578=1,W1578,MAX($D$16,POWER((ABS(K1578)^2)/($I$5*MAX(F1578,0.1)^2),1/3)))))))</f>
        <v>#VALUE!</v>
      </c>
      <c r="AI1578" t="e">
        <f t="shared" ca="1" si="810"/>
        <v>#VALUE!</v>
      </c>
      <c r="AJ1578" t="e">
        <f t="shared" ca="1" si="811"/>
        <v>#VALUE!</v>
      </c>
      <c r="AK1578">
        <v>635.5</v>
      </c>
      <c r="AM1578" t="e">
        <f t="shared" ca="1" si="822"/>
        <v>#VALUE!</v>
      </c>
      <c r="AN1578">
        <v>0</v>
      </c>
      <c r="AO1578" t="e">
        <f t="shared" ca="1" si="812"/>
        <v>#VALUE!</v>
      </c>
      <c r="AP1578" t="e">
        <f t="shared" ca="1" si="821"/>
        <v>#VALUE!</v>
      </c>
      <c r="AQ1578" t="e">
        <f t="shared" ca="1" si="813"/>
        <v>#VALUE!</v>
      </c>
      <c r="AR1578" t="e">
        <f t="shared" ca="1" si="814"/>
        <v>#VALUE!</v>
      </c>
      <c r="AS1578" t="e">
        <f t="shared" ca="1" si="815"/>
        <v>#VALUE!</v>
      </c>
    </row>
    <row r="1579" spans="1:45" x14ac:dyDescent="0.35">
      <c r="A1579">
        <v>17</v>
      </c>
      <c r="B1579">
        <v>16</v>
      </c>
      <c r="C1579">
        <v>616065.73</v>
      </c>
      <c r="D1579">
        <v>3096605.8679999998</v>
      </c>
      <c r="E1579">
        <v>628.97799999999995</v>
      </c>
      <c r="F1579">
        <v>15</v>
      </c>
      <c r="G1579">
        <v>0</v>
      </c>
      <c r="H1579" t="s">
        <v>191</v>
      </c>
      <c r="I1579">
        <v>0</v>
      </c>
      <c r="J1579">
        <f t="shared" si="816"/>
        <v>1</v>
      </c>
      <c r="K1579" t="e">
        <f t="shared" ca="1" si="817"/>
        <v>#VALUE!</v>
      </c>
      <c r="L1579" t="e">
        <f t="shared" ca="1" si="818"/>
        <v>#VALUE!</v>
      </c>
      <c r="M1579" t="e">
        <f t="shared" ca="1" si="791"/>
        <v>#VALUE!</v>
      </c>
      <c r="N1579" t="e">
        <f t="shared" ca="1" si="792"/>
        <v>#VALUE!</v>
      </c>
      <c r="O1579" t="e">
        <f t="shared" ca="1" si="793"/>
        <v>#VALUE!</v>
      </c>
      <c r="P1579" t="e">
        <f t="shared" ca="1" si="794"/>
        <v>#VALUE!</v>
      </c>
      <c r="Q1579" t="e">
        <f t="shared" ca="1" si="795"/>
        <v>#VALUE!</v>
      </c>
      <c r="R1579" t="e">
        <f t="shared" ca="1" si="796"/>
        <v>#VALUE!</v>
      </c>
      <c r="S1579" t="e">
        <f t="shared" ca="1" si="797"/>
        <v>#VALUE!</v>
      </c>
      <c r="T1579" t="e">
        <f t="shared" ca="1" si="798"/>
        <v>#VALUE!</v>
      </c>
      <c r="U1579" t="e">
        <f t="shared" ca="1" si="819"/>
        <v>#VALUE!</v>
      </c>
      <c r="V1579" t="e">
        <f t="shared" ca="1" si="820"/>
        <v>#VALUE!</v>
      </c>
      <c r="W1579" t="e">
        <f t="shared" ca="1" si="799"/>
        <v>#VALUE!</v>
      </c>
      <c r="X1579" t="e">
        <f t="shared" ca="1" si="800"/>
        <v>#VALUE!</v>
      </c>
      <c r="Y1579" t="e">
        <f t="shared" ca="1" si="801"/>
        <v>#VALUE!</v>
      </c>
      <c r="Z1579" t="e">
        <f t="shared" ca="1" si="802"/>
        <v>#VALUE!</v>
      </c>
      <c r="AA1579" t="e">
        <f t="shared" ca="1" si="803"/>
        <v>#VALUE!</v>
      </c>
      <c r="AB1579" t="e">
        <f t="shared" ca="1" si="804"/>
        <v>#VALUE!</v>
      </c>
      <c r="AC1579" t="e">
        <f t="shared" ca="1" si="805"/>
        <v>#VALUE!</v>
      </c>
      <c r="AD1579" t="e">
        <f t="shared" ca="1" si="806"/>
        <v>#VALUE!</v>
      </c>
      <c r="AE1579" t="e">
        <f t="shared" ca="1" si="807"/>
        <v>#VALUE!</v>
      </c>
      <c r="AF1579" t="e">
        <f t="shared" ca="1" si="808"/>
        <v>#VALUE!</v>
      </c>
      <c r="AG1579" t="e">
        <f t="shared" ca="1" si="809"/>
        <v>#VALUE!</v>
      </c>
      <c r="AH1579" t="e">
        <f ca="1">IF(V34="Supercritical",L1579,IF(V34="Subcritical",W1579,IF(AND(V1579=1,AG1579=1),IF(T1579&gt;=AE1579,L1579,W1579),IF(V1579=1,L1579,IF(AG1579=1,W1579,MAX($D$16,POWER((ABS(K1579)^2)/($I$5*MAX(F1579,0.1)^2),1/3)))))))</f>
        <v>#VALUE!</v>
      </c>
      <c r="AI1579" t="e">
        <f t="shared" ca="1" si="810"/>
        <v>#VALUE!</v>
      </c>
      <c r="AJ1579" t="e">
        <f t="shared" ca="1" si="811"/>
        <v>#VALUE!</v>
      </c>
      <c r="AK1579">
        <v>635.5</v>
      </c>
      <c r="AM1579" t="e">
        <f t="shared" ca="1" si="822"/>
        <v>#VALUE!</v>
      </c>
      <c r="AN1579">
        <v>0</v>
      </c>
      <c r="AO1579" t="e">
        <f t="shared" ca="1" si="812"/>
        <v>#VALUE!</v>
      </c>
      <c r="AP1579" t="e">
        <f t="shared" ca="1" si="821"/>
        <v>#VALUE!</v>
      </c>
      <c r="AQ1579" t="e">
        <f t="shared" ca="1" si="813"/>
        <v>#VALUE!</v>
      </c>
      <c r="AR1579" t="e">
        <f t="shared" ca="1" si="814"/>
        <v>#VALUE!</v>
      </c>
      <c r="AS1579" t="e">
        <f t="shared" ca="1" si="815"/>
        <v>#VALUE!</v>
      </c>
    </row>
    <row r="1580" spans="1:45" x14ac:dyDescent="0.35">
      <c r="A1580">
        <v>18</v>
      </c>
      <c r="B1580">
        <v>17</v>
      </c>
      <c r="C1580">
        <v>616065.73</v>
      </c>
      <c r="D1580">
        <v>3096604.8679999998</v>
      </c>
      <c r="E1580">
        <v>628.97799999999995</v>
      </c>
      <c r="F1580">
        <v>15</v>
      </c>
      <c r="G1580">
        <v>0</v>
      </c>
      <c r="H1580" t="s">
        <v>191</v>
      </c>
      <c r="I1580">
        <v>0</v>
      </c>
      <c r="J1580">
        <f t="shared" si="816"/>
        <v>1</v>
      </c>
      <c r="K1580" t="e">
        <f t="shared" ca="1" si="817"/>
        <v>#VALUE!</v>
      </c>
      <c r="L1580" t="e">
        <f t="shared" ca="1" si="818"/>
        <v>#VALUE!</v>
      </c>
      <c r="M1580" t="e">
        <f t="shared" ca="1" si="791"/>
        <v>#VALUE!</v>
      </c>
      <c r="N1580" t="e">
        <f t="shared" ca="1" si="792"/>
        <v>#VALUE!</v>
      </c>
      <c r="O1580" t="e">
        <f t="shared" ca="1" si="793"/>
        <v>#VALUE!</v>
      </c>
      <c r="P1580" t="e">
        <f t="shared" ca="1" si="794"/>
        <v>#VALUE!</v>
      </c>
      <c r="Q1580" t="e">
        <f t="shared" ca="1" si="795"/>
        <v>#VALUE!</v>
      </c>
      <c r="R1580" t="e">
        <f t="shared" ca="1" si="796"/>
        <v>#VALUE!</v>
      </c>
      <c r="S1580" t="e">
        <f t="shared" ca="1" si="797"/>
        <v>#VALUE!</v>
      </c>
      <c r="T1580" t="e">
        <f t="shared" ca="1" si="798"/>
        <v>#VALUE!</v>
      </c>
      <c r="U1580" t="e">
        <f t="shared" ca="1" si="819"/>
        <v>#VALUE!</v>
      </c>
      <c r="V1580" t="e">
        <f t="shared" ca="1" si="820"/>
        <v>#VALUE!</v>
      </c>
      <c r="W1580" t="e">
        <f t="shared" ca="1" si="799"/>
        <v>#VALUE!</v>
      </c>
      <c r="X1580" t="e">
        <f t="shared" ca="1" si="800"/>
        <v>#VALUE!</v>
      </c>
      <c r="Y1580" t="e">
        <f t="shared" ca="1" si="801"/>
        <v>#VALUE!</v>
      </c>
      <c r="Z1580" t="e">
        <f t="shared" ca="1" si="802"/>
        <v>#VALUE!</v>
      </c>
      <c r="AA1580" t="e">
        <f t="shared" ca="1" si="803"/>
        <v>#VALUE!</v>
      </c>
      <c r="AB1580" t="e">
        <f t="shared" ca="1" si="804"/>
        <v>#VALUE!</v>
      </c>
      <c r="AC1580" t="e">
        <f t="shared" ca="1" si="805"/>
        <v>#VALUE!</v>
      </c>
      <c r="AD1580" t="e">
        <f t="shared" ca="1" si="806"/>
        <v>#VALUE!</v>
      </c>
      <c r="AE1580" t="e">
        <f t="shared" ca="1" si="807"/>
        <v>#VALUE!</v>
      </c>
      <c r="AF1580" t="e">
        <f t="shared" ca="1" si="808"/>
        <v>#VALUE!</v>
      </c>
      <c r="AG1580" t="e">
        <f t="shared" ca="1" si="809"/>
        <v>#VALUE!</v>
      </c>
      <c r="AH1580" t="e">
        <f ca="1">IF(V34="Supercritical",L1580,IF(V34="Subcritical",W1580,IF(AND(V1580=1,AG1580=1),IF(T1580&gt;=AE1580,L1580,W1580),IF(V1580=1,L1580,IF(AG1580=1,W1580,MAX($D$16,POWER((ABS(K1580)^2)/($I$5*MAX(F1580,0.1)^2),1/3)))))))</f>
        <v>#VALUE!</v>
      </c>
      <c r="AI1580" t="e">
        <f t="shared" ca="1" si="810"/>
        <v>#VALUE!</v>
      </c>
      <c r="AJ1580" t="e">
        <f t="shared" ca="1" si="811"/>
        <v>#VALUE!</v>
      </c>
      <c r="AK1580">
        <v>635.5</v>
      </c>
      <c r="AM1580" t="e">
        <f t="shared" ca="1" si="822"/>
        <v>#VALUE!</v>
      </c>
      <c r="AN1580">
        <v>0</v>
      </c>
      <c r="AO1580" t="e">
        <f t="shared" ca="1" si="812"/>
        <v>#VALUE!</v>
      </c>
      <c r="AP1580" t="e">
        <f t="shared" ca="1" si="821"/>
        <v>#VALUE!</v>
      </c>
      <c r="AQ1580" t="e">
        <f t="shared" ca="1" si="813"/>
        <v>#VALUE!</v>
      </c>
      <c r="AR1580" t="e">
        <f t="shared" ca="1" si="814"/>
        <v>#VALUE!</v>
      </c>
      <c r="AS1580" t="e">
        <f t="shared" ca="1" si="815"/>
        <v>#VALUE!</v>
      </c>
    </row>
    <row r="1581" spans="1:45" x14ac:dyDescent="0.35">
      <c r="A1581">
        <v>19</v>
      </c>
      <c r="B1581">
        <v>18</v>
      </c>
      <c r="C1581">
        <v>616065.73</v>
      </c>
      <c r="D1581">
        <v>3096603.8679999998</v>
      </c>
      <c r="E1581">
        <v>628.97799999999995</v>
      </c>
      <c r="F1581">
        <v>15</v>
      </c>
      <c r="G1581">
        <v>0</v>
      </c>
      <c r="H1581" t="s">
        <v>191</v>
      </c>
      <c r="I1581">
        <v>0</v>
      </c>
      <c r="J1581">
        <f t="shared" si="816"/>
        <v>1</v>
      </c>
      <c r="K1581" t="e">
        <f t="shared" ca="1" si="817"/>
        <v>#VALUE!</v>
      </c>
      <c r="L1581" t="e">
        <f t="shared" ca="1" si="818"/>
        <v>#VALUE!</v>
      </c>
      <c r="M1581" t="e">
        <f t="shared" ca="1" si="791"/>
        <v>#VALUE!</v>
      </c>
      <c r="N1581" t="e">
        <f t="shared" ca="1" si="792"/>
        <v>#VALUE!</v>
      </c>
      <c r="O1581" t="e">
        <f t="shared" ca="1" si="793"/>
        <v>#VALUE!</v>
      </c>
      <c r="P1581" t="e">
        <f t="shared" ca="1" si="794"/>
        <v>#VALUE!</v>
      </c>
      <c r="Q1581" t="e">
        <f t="shared" ca="1" si="795"/>
        <v>#VALUE!</v>
      </c>
      <c r="R1581" t="e">
        <f t="shared" ca="1" si="796"/>
        <v>#VALUE!</v>
      </c>
      <c r="S1581" t="e">
        <f t="shared" ca="1" si="797"/>
        <v>#VALUE!</v>
      </c>
      <c r="T1581" t="e">
        <f t="shared" ca="1" si="798"/>
        <v>#VALUE!</v>
      </c>
      <c r="U1581" t="e">
        <f t="shared" ca="1" si="819"/>
        <v>#VALUE!</v>
      </c>
      <c r="V1581" t="e">
        <f t="shared" ca="1" si="820"/>
        <v>#VALUE!</v>
      </c>
      <c r="W1581" t="e">
        <f t="shared" ca="1" si="799"/>
        <v>#VALUE!</v>
      </c>
      <c r="X1581" t="e">
        <f t="shared" ca="1" si="800"/>
        <v>#VALUE!</v>
      </c>
      <c r="Y1581" t="e">
        <f t="shared" ca="1" si="801"/>
        <v>#VALUE!</v>
      </c>
      <c r="Z1581" t="e">
        <f t="shared" ca="1" si="802"/>
        <v>#VALUE!</v>
      </c>
      <c r="AA1581" t="e">
        <f t="shared" ca="1" si="803"/>
        <v>#VALUE!</v>
      </c>
      <c r="AB1581" t="e">
        <f t="shared" ca="1" si="804"/>
        <v>#VALUE!</v>
      </c>
      <c r="AC1581" t="e">
        <f t="shared" ca="1" si="805"/>
        <v>#VALUE!</v>
      </c>
      <c r="AD1581" t="e">
        <f t="shared" ca="1" si="806"/>
        <v>#VALUE!</v>
      </c>
      <c r="AE1581" t="e">
        <f t="shared" ca="1" si="807"/>
        <v>#VALUE!</v>
      </c>
      <c r="AF1581" t="e">
        <f t="shared" ca="1" si="808"/>
        <v>#VALUE!</v>
      </c>
      <c r="AG1581" t="e">
        <f t="shared" ca="1" si="809"/>
        <v>#VALUE!</v>
      </c>
      <c r="AH1581" t="e">
        <f ca="1">IF(V34="Supercritical",L1581,IF(V34="Subcritical",W1581,IF(AND(V1581=1,AG1581=1),IF(T1581&gt;=AE1581,L1581,W1581),IF(V1581=1,L1581,IF(AG1581=1,W1581,MAX($D$16,POWER((ABS(K1581)^2)/($I$5*MAX(F1581,0.1)^2),1/3)))))))</f>
        <v>#VALUE!</v>
      </c>
      <c r="AI1581" t="e">
        <f t="shared" ca="1" si="810"/>
        <v>#VALUE!</v>
      </c>
      <c r="AJ1581" t="e">
        <f t="shared" ca="1" si="811"/>
        <v>#VALUE!</v>
      </c>
      <c r="AK1581">
        <v>635.5</v>
      </c>
      <c r="AM1581" t="e">
        <f t="shared" ca="1" si="822"/>
        <v>#VALUE!</v>
      </c>
      <c r="AN1581">
        <v>0</v>
      </c>
      <c r="AO1581" t="e">
        <f t="shared" ca="1" si="812"/>
        <v>#VALUE!</v>
      </c>
      <c r="AP1581" t="e">
        <f t="shared" ca="1" si="821"/>
        <v>#VALUE!</v>
      </c>
      <c r="AQ1581" t="e">
        <f t="shared" ca="1" si="813"/>
        <v>#VALUE!</v>
      </c>
      <c r="AR1581" t="e">
        <f t="shared" ca="1" si="814"/>
        <v>#VALUE!</v>
      </c>
      <c r="AS1581" t="e">
        <f t="shared" ca="1" si="815"/>
        <v>#VALUE!</v>
      </c>
    </row>
    <row r="1582" spans="1:45" x14ac:dyDescent="0.35">
      <c r="A1582">
        <v>20</v>
      </c>
      <c r="B1582">
        <v>19</v>
      </c>
      <c r="C1582">
        <v>616065.73</v>
      </c>
      <c r="D1582">
        <v>3096602.8679999998</v>
      </c>
      <c r="E1582">
        <v>628.97799999999995</v>
      </c>
      <c r="F1582">
        <v>15</v>
      </c>
      <c r="G1582">
        <v>0</v>
      </c>
      <c r="H1582" t="s">
        <v>191</v>
      </c>
      <c r="I1582">
        <v>0</v>
      </c>
      <c r="J1582">
        <f t="shared" si="816"/>
        <v>1</v>
      </c>
      <c r="K1582" t="e">
        <f t="shared" ca="1" si="817"/>
        <v>#VALUE!</v>
      </c>
      <c r="L1582" t="e">
        <f t="shared" ca="1" si="818"/>
        <v>#VALUE!</v>
      </c>
      <c r="M1582" t="e">
        <f t="shared" ca="1" si="791"/>
        <v>#VALUE!</v>
      </c>
      <c r="N1582" t="e">
        <f t="shared" ca="1" si="792"/>
        <v>#VALUE!</v>
      </c>
      <c r="O1582" t="e">
        <f t="shared" ca="1" si="793"/>
        <v>#VALUE!</v>
      </c>
      <c r="P1582" t="e">
        <f t="shared" ca="1" si="794"/>
        <v>#VALUE!</v>
      </c>
      <c r="Q1582" t="e">
        <f t="shared" ca="1" si="795"/>
        <v>#VALUE!</v>
      </c>
      <c r="R1582" t="e">
        <f t="shared" ca="1" si="796"/>
        <v>#VALUE!</v>
      </c>
      <c r="S1582" t="e">
        <f t="shared" ca="1" si="797"/>
        <v>#VALUE!</v>
      </c>
      <c r="T1582" t="e">
        <f t="shared" ca="1" si="798"/>
        <v>#VALUE!</v>
      </c>
      <c r="U1582" t="e">
        <f t="shared" ca="1" si="819"/>
        <v>#VALUE!</v>
      </c>
      <c r="V1582" t="e">
        <f t="shared" ca="1" si="820"/>
        <v>#VALUE!</v>
      </c>
      <c r="W1582" t="e">
        <f t="shared" ca="1" si="799"/>
        <v>#VALUE!</v>
      </c>
      <c r="X1582" t="e">
        <f t="shared" ca="1" si="800"/>
        <v>#VALUE!</v>
      </c>
      <c r="Y1582" t="e">
        <f t="shared" ca="1" si="801"/>
        <v>#VALUE!</v>
      </c>
      <c r="Z1582" t="e">
        <f t="shared" ca="1" si="802"/>
        <v>#VALUE!</v>
      </c>
      <c r="AA1582" t="e">
        <f t="shared" ca="1" si="803"/>
        <v>#VALUE!</v>
      </c>
      <c r="AB1582" t="e">
        <f t="shared" ca="1" si="804"/>
        <v>#VALUE!</v>
      </c>
      <c r="AC1582" t="e">
        <f t="shared" ca="1" si="805"/>
        <v>#VALUE!</v>
      </c>
      <c r="AD1582" t="e">
        <f t="shared" ca="1" si="806"/>
        <v>#VALUE!</v>
      </c>
      <c r="AE1582" t="e">
        <f t="shared" ca="1" si="807"/>
        <v>#VALUE!</v>
      </c>
      <c r="AF1582" t="e">
        <f t="shared" ca="1" si="808"/>
        <v>#VALUE!</v>
      </c>
      <c r="AG1582" t="e">
        <f t="shared" ca="1" si="809"/>
        <v>#VALUE!</v>
      </c>
      <c r="AH1582" t="e">
        <f ca="1">IF(V34="Supercritical",L1582,IF(V34="Subcritical",W1582,IF(AND(V1582=1,AG1582=1),IF(T1582&gt;=AE1582,L1582,W1582),IF(V1582=1,L1582,IF(AG1582=1,W1582,MAX($D$16,POWER((ABS(K1582)^2)/($I$5*MAX(F1582,0.1)^2),1/3)))))))</f>
        <v>#VALUE!</v>
      </c>
      <c r="AI1582" t="e">
        <f t="shared" ca="1" si="810"/>
        <v>#VALUE!</v>
      </c>
      <c r="AJ1582" t="e">
        <f t="shared" ca="1" si="811"/>
        <v>#VALUE!</v>
      </c>
      <c r="AK1582">
        <v>635.5</v>
      </c>
      <c r="AM1582" t="e">
        <f t="shared" ca="1" si="822"/>
        <v>#VALUE!</v>
      </c>
      <c r="AN1582">
        <v>0</v>
      </c>
      <c r="AO1582" t="e">
        <f t="shared" ca="1" si="812"/>
        <v>#VALUE!</v>
      </c>
      <c r="AP1582" t="e">
        <f t="shared" ca="1" si="821"/>
        <v>#VALUE!</v>
      </c>
      <c r="AQ1582" t="e">
        <f t="shared" ca="1" si="813"/>
        <v>#VALUE!</v>
      </c>
      <c r="AR1582" t="e">
        <f t="shared" ca="1" si="814"/>
        <v>#VALUE!</v>
      </c>
      <c r="AS1582" t="e">
        <f t="shared" ca="1" si="815"/>
        <v>#VALUE!</v>
      </c>
    </row>
    <row r="1583" spans="1:45" x14ac:dyDescent="0.35">
      <c r="A1583">
        <v>21</v>
      </c>
      <c r="B1583">
        <v>20</v>
      </c>
      <c r="C1583">
        <v>616065.73</v>
      </c>
      <c r="D1583">
        <v>3096601.8679999998</v>
      </c>
      <c r="E1583">
        <v>628.97799999999995</v>
      </c>
      <c r="F1583">
        <v>15</v>
      </c>
      <c r="G1583">
        <v>0</v>
      </c>
      <c r="H1583" t="s">
        <v>191</v>
      </c>
      <c r="I1583">
        <v>0</v>
      </c>
      <c r="J1583">
        <f t="shared" si="816"/>
        <v>1</v>
      </c>
      <c r="K1583" t="e">
        <f t="shared" ca="1" si="817"/>
        <v>#VALUE!</v>
      </c>
      <c r="L1583" t="e">
        <f t="shared" ca="1" si="818"/>
        <v>#VALUE!</v>
      </c>
      <c r="M1583" t="e">
        <f t="shared" ca="1" si="791"/>
        <v>#VALUE!</v>
      </c>
      <c r="N1583" t="e">
        <f t="shared" ca="1" si="792"/>
        <v>#VALUE!</v>
      </c>
      <c r="O1583" t="e">
        <f t="shared" ca="1" si="793"/>
        <v>#VALUE!</v>
      </c>
      <c r="P1583" t="e">
        <f t="shared" ca="1" si="794"/>
        <v>#VALUE!</v>
      </c>
      <c r="Q1583" t="e">
        <f t="shared" ca="1" si="795"/>
        <v>#VALUE!</v>
      </c>
      <c r="R1583" t="e">
        <f t="shared" ca="1" si="796"/>
        <v>#VALUE!</v>
      </c>
      <c r="S1583" t="e">
        <f t="shared" ca="1" si="797"/>
        <v>#VALUE!</v>
      </c>
      <c r="T1583" t="e">
        <f t="shared" ca="1" si="798"/>
        <v>#VALUE!</v>
      </c>
      <c r="U1583" t="e">
        <f t="shared" ca="1" si="819"/>
        <v>#VALUE!</v>
      </c>
      <c r="V1583" t="e">
        <f t="shared" ca="1" si="820"/>
        <v>#VALUE!</v>
      </c>
      <c r="W1583" t="e">
        <f t="shared" ca="1" si="799"/>
        <v>#VALUE!</v>
      </c>
      <c r="X1583" t="e">
        <f t="shared" ca="1" si="800"/>
        <v>#VALUE!</v>
      </c>
      <c r="Y1583" t="e">
        <f t="shared" ca="1" si="801"/>
        <v>#VALUE!</v>
      </c>
      <c r="Z1583" t="e">
        <f t="shared" ca="1" si="802"/>
        <v>#VALUE!</v>
      </c>
      <c r="AA1583" t="e">
        <f t="shared" ca="1" si="803"/>
        <v>#VALUE!</v>
      </c>
      <c r="AB1583" t="e">
        <f t="shared" ca="1" si="804"/>
        <v>#VALUE!</v>
      </c>
      <c r="AC1583" t="e">
        <f t="shared" ca="1" si="805"/>
        <v>#VALUE!</v>
      </c>
      <c r="AD1583" t="e">
        <f t="shared" ca="1" si="806"/>
        <v>#VALUE!</v>
      </c>
      <c r="AE1583" t="e">
        <f t="shared" ca="1" si="807"/>
        <v>#VALUE!</v>
      </c>
      <c r="AF1583" t="e">
        <f t="shared" ca="1" si="808"/>
        <v>#VALUE!</v>
      </c>
      <c r="AG1583" t="e">
        <f t="shared" ca="1" si="809"/>
        <v>#VALUE!</v>
      </c>
      <c r="AH1583" t="e">
        <f ca="1">IF(V34="Supercritical",L1583,IF(V34="Subcritical",W1583,IF(AND(V1583=1,AG1583=1),IF(T1583&gt;=AE1583,L1583,W1583),IF(V1583=1,L1583,IF(AG1583=1,W1583,MAX($D$16,POWER((ABS(K1583)^2)/($I$5*MAX(F1583,0.1)^2),1/3)))))))</f>
        <v>#VALUE!</v>
      </c>
      <c r="AI1583" t="e">
        <f t="shared" ca="1" si="810"/>
        <v>#VALUE!</v>
      </c>
      <c r="AJ1583" t="e">
        <f t="shared" ca="1" si="811"/>
        <v>#VALUE!</v>
      </c>
      <c r="AK1583">
        <v>635.5</v>
      </c>
      <c r="AM1583" t="e">
        <f t="shared" ca="1" si="822"/>
        <v>#VALUE!</v>
      </c>
      <c r="AN1583">
        <v>0</v>
      </c>
      <c r="AO1583" t="e">
        <f t="shared" ca="1" si="812"/>
        <v>#VALUE!</v>
      </c>
      <c r="AP1583" t="e">
        <f t="shared" ca="1" si="821"/>
        <v>#VALUE!</v>
      </c>
      <c r="AQ1583" t="e">
        <f t="shared" ca="1" si="813"/>
        <v>#VALUE!</v>
      </c>
      <c r="AR1583" t="e">
        <f t="shared" ca="1" si="814"/>
        <v>#VALUE!</v>
      </c>
      <c r="AS1583" t="e">
        <f t="shared" ca="1" si="815"/>
        <v>#VALUE!</v>
      </c>
    </row>
    <row r="1584" spans="1:45" x14ac:dyDescent="0.35">
      <c r="A1584">
        <v>22</v>
      </c>
      <c r="B1584">
        <v>21</v>
      </c>
      <c r="C1584">
        <v>616065.73</v>
      </c>
      <c r="D1584">
        <v>3096600.8679999998</v>
      </c>
      <c r="E1584">
        <v>628.97799999999995</v>
      </c>
      <c r="F1584">
        <v>15</v>
      </c>
      <c r="G1584">
        <v>0</v>
      </c>
      <c r="H1584" t="s">
        <v>191</v>
      </c>
      <c r="I1584">
        <v>0</v>
      </c>
      <c r="J1584">
        <f t="shared" si="816"/>
        <v>1</v>
      </c>
      <c r="K1584" t="e">
        <f t="shared" ca="1" si="817"/>
        <v>#VALUE!</v>
      </c>
      <c r="L1584" t="e">
        <f t="shared" ca="1" si="818"/>
        <v>#VALUE!</v>
      </c>
      <c r="M1584" t="e">
        <f t="shared" ca="1" si="791"/>
        <v>#VALUE!</v>
      </c>
      <c r="N1584" t="e">
        <f t="shared" ca="1" si="792"/>
        <v>#VALUE!</v>
      </c>
      <c r="O1584" t="e">
        <f t="shared" ca="1" si="793"/>
        <v>#VALUE!</v>
      </c>
      <c r="P1584" t="e">
        <f t="shared" ca="1" si="794"/>
        <v>#VALUE!</v>
      </c>
      <c r="Q1584" t="e">
        <f t="shared" ca="1" si="795"/>
        <v>#VALUE!</v>
      </c>
      <c r="R1584" t="e">
        <f t="shared" ca="1" si="796"/>
        <v>#VALUE!</v>
      </c>
      <c r="S1584" t="e">
        <f t="shared" ca="1" si="797"/>
        <v>#VALUE!</v>
      </c>
      <c r="T1584" t="e">
        <f t="shared" ca="1" si="798"/>
        <v>#VALUE!</v>
      </c>
      <c r="U1584" t="e">
        <f t="shared" ca="1" si="819"/>
        <v>#VALUE!</v>
      </c>
      <c r="V1584" t="e">
        <f t="shared" ca="1" si="820"/>
        <v>#VALUE!</v>
      </c>
      <c r="W1584" t="e">
        <f t="shared" ca="1" si="799"/>
        <v>#VALUE!</v>
      </c>
      <c r="X1584" t="e">
        <f t="shared" ca="1" si="800"/>
        <v>#VALUE!</v>
      </c>
      <c r="Y1584" t="e">
        <f t="shared" ca="1" si="801"/>
        <v>#VALUE!</v>
      </c>
      <c r="Z1584" t="e">
        <f t="shared" ca="1" si="802"/>
        <v>#VALUE!</v>
      </c>
      <c r="AA1584" t="e">
        <f t="shared" ca="1" si="803"/>
        <v>#VALUE!</v>
      </c>
      <c r="AB1584" t="e">
        <f t="shared" ca="1" si="804"/>
        <v>#VALUE!</v>
      </c>
      <c r="AC1584" t="e">
        <f t="shared" ca="1" si="805"/>
        <v>#VALUE!</v>
      </c>
      <c r="AD1584" t="e">
        <f t="shared" ca="1" si="806"/>
        <v>#VALUE!</v>
      </c>
      <c r="AE1584" t="e">
        <f t="shared" ca="1" si="807"/>
        <v>#VALUE!</v>
      </c>
      <c r="AF1584" t="e">
        <f t="shared" ca="1" si="808"/>
        <v>#VALUE!</v>
      </c>
      <c r="AG1584" t="e">
        <f t="shared" ca="1" si="809"/>
        <v>#VALUE!</v>
      </c>
      <c r="AH1584" t="e">
        <f ca="1">IF(V34="Supercritical",L1584,IF(V34="Subcritical",W1584,IF(AND(V1584=1,AG1584=1),IF(T1584&gt;=AE1584,L1584,W1584),IF(V1584=1,L1584,IF(AG1584=1,W1584,MAX($D$16,POWER((ABS(K1584)^2)/($I$5*MAX(F1584,0.1)^2),1/3)))))))</f>
        <v>#VALUE!</v>
      </c>
      <c r="AI1584" t="e">
        <f t="shared" ca="1" si="810"/>
        <v>#VALUE!</v>
      </c>
      <c r="AJ1584" t="e">
        <f t="shared" ca="1" si="811"/>
        <v>#VALUE!</v>
      </c>
      <c r="AK1584">
        <v>635.5</v>
      </c>
      <c r="AM1584" t="e">
        <f t="shared" ca="1" si="822"/>
        <v>#VALUE!</v>
      </c>
      <c r="AN1584">
        <v>0</v>
      </c>
      <c r="AO1584" t="e">
        <f t="shared" ca="1" si="812"/>
        <v>#VALUE!</v>
      </c>
      <c r="AP1584" t="e">
        <f t="shared" ca="1" si="821"/>
        <v>#VALUE!</v>
      </c>
      <c r="AQ1584" t="e">
        <f t="shared" ca="1" si="813"/>
        <v>#VALUE!</v>
      </c>
      <c r="AR1584" t="e">
        <f t="shared" ca="1" si="814"/>
        <v>#VALUE!</v>
      </c>
      <c r="AS1584" t="e">
        <f t="shared" ca="1" si="815"/>
        <v>#VALUE!</v>
      </c>
    </row>
    <row r="1585" spans="1:45" x14ac:dyDescent="0.35">
      <c r="A1585">
        <v>23</v>
      </c>
      <c r="B1585">
        <v>22</v>
      </c>
      <c r="C1585">
        <v>616065.73</v>
      </c>
      <c r="D1585">
        <v>3096599.8679999998</v>
      </c>
      <c r="E1585">
        <v>628.97799999999995</v>
      </c>
      <c r="F1585">
        <v>15</v>
      </c>
      <c r="G1585">
        <v>0</v>
      </c>
      <c r="H1585" t="s">
        <v>191</v>
      </c>
      <c r="I1585">
        <v>0</v>
      </c>
      <c r="J1585">
        <f t="shared" si="816"/>
        <v>1</v>
      </c>
      <c r="K1585" t="e">
        <f t="shared" ca="1" si="817"/>
        <v>#VALUE!</v>
      </c>
      <c r="L1585" t="e">
        <f t="shared" ca="1" si="818"/>
        <v>#VALUE!</v>
      </c>
      <c r="M1585" t="e">
        <f t="shared" ca="1" si="791"/>
        <v>#VALUE!</v>
      </c>
      <c r="N1585" t="e">
        <f t="shared" ca="1" si="792"/>
        <v>#VALUE!</v>
      </c>
      <c r="O1585" t="e">
        <f t="shared" ca="1" si="793"/>
        <v>#VALUE!</v>
      </c>
      <c r="P1585" t="e">
        <f t="shared" ca="1" si="794"/>
        <v>#VALUE!</v>
      </c>
      <c r="Q1585" t="e">
        <f t="shared" ca="1" si="795"/>
        <v>#VALUE!</v>
      </c>
      <c r="R1585" t="e">
        <f t="shared" ca="1" si="796"/>
        <v>#VALUE!</v>
      </c>
      <c r="S1585" t="e">
        <f t="shared" ca="1" si="797"/>
        <v>#VALUE!</v>
      </c>
      <c r="T1585" t="e">
        <f t="shared" ca="1" si="798"/>
        <v>#VALUE!</v>
      </c>
      <c r="U1585" t="e">
        <f t="shared" ca="1" si="819"/>
        <v>#VALUE!</v>
      </c>
      <c r="V1585" t="e">
        <f t="shared" ca="1" si="820"/>
        <v>#VALUE!</v>
      </c>
      <c r="W1585" t="e">
        <f t="shared" ca="1" si="799"/>
        <v>#VALUE!</v>
      </c>
      <c r="X1585" t="e">
        <f t="shared" ca="1" si="800"/>
        <v>#VALUE!</v>
      </c>
      <c r="Y1585" t="e">
        <f t="shared" ca="1" si="801"/>
        <v>#VALUE!</v>
      </c>
      <c r="Z1585" t="e">
        <f t="shared" ca="1" si="802"/>
        <v>#VALUE!</v>
      </c>
      <c r="AA1585" t="e">
        <f t="shared" ca="1" si="803"/>
        <v>#VALUE!</v>
      </c>
      <c r="AB1585" t="e">
        <f t="shared" ca="1" si="804"/>
        <v>#VALUE!</v>
      </c>
      <c r="AC1585" t="e">
        <f t="shared" ca="1" si="805"/>
        <v>#VALUE!</v>
      </c>
      <c r="AD1585" t="e">
        <f t="shared" ca="1" si="806"/>
        <v>#VALUE!</v>
      </c>
      <c r="AE1585" t="e">
        <f t="shared" ca="1" si="807"/>
        <v>#VALUE!</v>
      </c>
      <c r="AF1585" t="e">
        <f t="shared" ca="1" si="808"/>
        <v>#VALUE!</v>
      </c>
      <c r="AG1585" t="e">
        <f t="shared" ca="1" si="809"/>
        <v>#VALUE!</v>
      </c>
      <c r="AH1585" t="e">
        <f ca="1">IF(V34="Supercritical",L1585,IF(V34="Subcritical",W1585,IF(AND(V1585=1,AG1585=1),IF(T1585&gt;=AE1585,L1585,W1585),IF(V1585=1,L1585,IF(AG1585=1,W1585,MAX($D$16,POWER((ABS(K1585)^2)/($I$5*MAX(F1585,0.1)^2),1/3)))))))</f>
        <v>#VALUE!</v>
      </c>
      <c r="AI1585" t="e">
        <f t="shared" ca="1" si="810"/>
        <v>#VALUE!</v>
      </c>
      <c r="AJ1585" t="e">
        <f t="shared" ca="1" si="811"/>
        <v>#VALUE!</v>
      </c>
      <c r="AK1585">
        <v>635.5</v>
      </c>
      <c r="AM1585" t="e">
        <f t="shared" ca="1" si="822"/>
        <v>#VALUE!</v>
      </c>
      <c r="AN1585">
        <v>0</v>
      </c>
      <c r="AO1585" t="e">
        <f t="shared" ca="1" si="812"/>
        <v>#VALUE!</v>
      </c>
      <c r="AP1585" t="e">
        <f t="shared" ca="1" si="821"/>
        <v>#VALUE!</v>
      </c>
      <c r="AQ1585" t="e">
        <f t="shared" ca="1" si="813"/>
        <v>#VALUE!</v>
      </c>
      <c r="AR1585" t="e">
        <f t="shared" ca="1" si="814"/>
        <v>#VALUE!</v>
      </c>
      <c r="AS1585" t="e">
        <f t="shared" ca="1" si="815"/>
        <v>#VALUE!</v>
      </c>
    </row>
    <row r="1586" spans="1:45" x14ac:dyDescent="0.35">
      <c r="A1586">
        <v>24</v>
      </c>
      <c r="B1586">
        <v>23</v>
      </c>
      <c r="C1586">
        <v>616065.73</v>
      </c>
      <c r="D1586">
        <v>3096598.8679999998</v>
      </c>
      <c r="E1586">
        <v>628.97799999999995</v>
      </c>
      <c r="F1586">
        <v>15</v>
      </c>
      <c r="G1586">
        <v>0</v>
      </c>
      <c r="H1586" t="s">
        <v>191</v>
      </c>
      <c r="I1586">
        <v>0</v>
      </c>
      <c r="J1586">
        <f t="shared" si="816"/>
        <v>1</v>
      </c>
      <c r="K1586" t="e">
        <f t="shared" ca="1" si="817"/>
        <v>#VALUE!</v>
      </c>
      <c r="L1586" t="e">
        <f t="shared" ca="1" si="818"/>
        <v>#VALUE!</v>
      </c>
      <c r="M1586" t="e">
        <f t="shared" ca="1" si="791"/>
        <v>#VALUE!</v>
      </c>
      <c r="N1586" t="e">
        <f t="shared" ca="1" si="792"/>
        <v>#VALUE!</v>
      </c>
      <c r="O1586" t="e">
        <f t="shared" ca="1" si="793"/>
        <v>#VALUE!</v>
      </c>
      <c r="P1586" t="e">
        <f t="shared" ca="1" si="794"/>
        <v>#VALUE!</v>
      </c>
      <c r="Q1586" t="e">
        <f t="shared" ca="1" si="795"/>
        <v>#VALUE!</v>
      </c>
      <c r="R1586" t="e">
        <f t="shared" ca="1" si="796"/>
        <v>#VALUE!</v>
      </c>
      <c r="S1586" t="e">
        <f t="shared" ca="1" si="797"/>
        <v>#VALUE!</v>
      </c>
      <c r="T1586" t="e">
        <f t="shared" ca="1" si="798"/>
        <v>#VALUE!</v>
      </c>
      <c r="U1586" t="e">
        <f t="shared" ca="1" si="819"/>
        <v>#VALUE!</v>
      </c>
      <c r="V1586" t="e">
        <f t="shared" ca="1" si="820"/>
        <v>#VALUE!</v>
      </c>
      <c r="W1586" t="e">
        <f t="shared" ca="1" si="799"/>
        <v>#VALUE!</v>
      </c>
      <c r="X1586" t="e">
        <f t="shared" ca="1" si="800"/>
        <v>#VALUE!</v>
      </c>
      <c r="Y1586" t="e">
        <f t="shared" ca="1" si="801"/>
        <v>#VALUE!</v>
      </c>
      <c r="Z1586" t="e">
        <f t="shared" ca="1" si="802"/>
        <v>#VALUE!</v>
      </c>
      <c r="AA1586" t="e">
        <f t="shared" ca="1" si="803"/>
        <v>#VALUE!</v>
      </c>
      <c r="AB1586" t="e">
        <f t="shared" ca="1" si="804"/>
        <v>#VALUE!</v>
      </c>
      <c r="AC1586" t="e">
        <f t="shared" ca="1" si="805"/>
        <v>#VALUE!</v>
      </c>
      <c r="AD1586" t="e">
        <f t="shared" ca="1" si="806"/>
        <v>#VALUE!</v>
      </c>
      <c r="AE1586" t="e">
        <f t="shared" ca="1" si="807"/>
        <v>#VALUE!</v>
      </c>
      <c r="AF1586" t="e">
        <f t="shared" ca="1" si="808"/>
        <v>#VALUE!</v>
      </c>
      <c r="AG1586" t="e">
        <f t="shared" ca="1" si="809"/>
        <v>#VALUE!</v>
      </c>
      <c r="AH1586" t="e">
        <f ca="1">IF(V34="Supercritical",L1586,IF(V34="Subcritical",W1586,IF(AND(V1586=1,AG1586=1),IF(T1586&gt;=AE1586,L1586,W1586),IF(V1586=1,L1586,IF(AG1586=1,W1586,MAX($D$16,POWER((ABS(K1586)^2)/($I$5*MAX(F1586,0.1)^2),1/3)))))))</f>
        <v>#VALUE!</v>
      </c>
      <c r="AI1586" t="e">
        <f t="shared" ca="1" si="810"/>
        <v>#VALUE!</v>
      </c>
      <c r="AJ1586" t="e">
        <f t="shared" ca="1" si="811"/>
        <v>#VALUE!</v>
      </c>
      <c r="AK1586">
        <v>635.5</v>
      </c>
      <c r="AM1586" t="e">
        <f t="shared" ca="1" si="822"/>
        <v>#VALUE!</v>
      </c>
      <c r="AN1586">
        <v>0</v>
      </c>
      <c r="AO1586" t="e">
        <f t="shared" ca="1" si="812"/>
        <v>#VALUE!</v>
      </c>
      <c r="AP1586" t="e">
        <f t="shared" ca="1" si="821"/>
        <v>#VALUE!</v>
      </c>
      <c r="AQ1586" t="e">
        <f t="shared" ca="1" si="813"/>
        <v>#VALUE!</v>
      </c>
      <c r="AR1586" t="e">
        <f t="shared" ca="1" si="814"/>
        <v>#VALUE!</v>
      </c>
      <c r="AS1586" t="e">
        <f t="shared" ca="1" si="815"/>
        <v>#VALUE!</v>
      </c>
    </row>
    <row r="1587" spans="1:45" x14ac:dyDescent="0.35">
      <c r="A1587">
        <v>25</v>
      </c>
      <c r="B1587">
        <v>24</v>
      </c>
      <c r="C1587">
        <v>616065.73</v>
      </c>
      <c r="D1587">
        <v>3096597.8679999998</v>
      </c>
      <c r="E1587">
        <v>628.97799999999995</v>
      </c>
      <c r="F1587">
        <v>15</v>
      </c>
      <c r="G1587">
        <v>0</v>
      </c>
      <c r="H1587" t="s">
        <v>191</v>
      </c>
      <c r="I1587">
        <v>0</v>
      </c>
      <c r="J1587">
        <f t="shared" si="816"/>
        <v>1</v>
      </c>
      <c r="K1587" t="e">
        <f t="shared" ca="1" si="817"/>
        <v>#VALUE!</v>
      </c>
      <c r="L1587" t="e">
        <f t="shared" ca="1" si="818"/>
        <v>#VALUE!</v>
      </c>
      <c r="M1587" t="e">
        <f t="shared" ca="1" si="791"/>
        <v>#VALUE!</v>
      </c>
      <c r="N1587" t="e">
        <f t="shared" ca="1" si="792"/>
        <v>#VALUE!</v>
      </c>
      <c r="O1587" t="e">
        <f t="shared" ca="1" si="793"/>
        <v>#VALUE!</v>
      </c>
      <c r="P1587" t="e">
        <f t="shared" ca="1" si="794"/>
        <v>#VALUE!</v>
      </c>
      <c r="Q1587" t="e">
        <f t="shared" ca="1" si="795"/>
        <v>#VALUE!</v>
      </c>
      <c r="R1587" t="e">
        <f t="shared" ca="1" si="796"/>
        <v>#VALUE!</v>
      </c>
      <c r="S1587" t="e">
        <f t="shared" ca="1" si="797"/>
        <v>#VALUE!</v>
      </c>
      <c r="T1587" t="e">
        <f t="shared" ca="1" si="798"/>
        <v>#VALUE!</v>
      </c>
      <c r="U1587" t="e">
        <f t="shared" ca="1" si="819"/>
        <v>#VALUE!</v>
      </c>
      <c r="V1587" t="e">
        <f t="shared" ca="1" si="820"/>
        <v>#VALUE!</v>
      </c>
      <c r="W1587" t="e">
        <f t="shared" ca="1" si="799"/>
        <v>#VALUE!</v>
      </c>
      <c r="X1587" t="e">
        <f t="shared" ca="1" si="800"/>
        <v>#VALUE!</v>
      </c>
      <c r="Y1587" t="e">
        <f t="shared" ca="1" si="801"/>
        <v>#VALUE!</v>
      </c>
      <c r="Z1587" t="e">
        <f t="shared" ca="1" si="802"/>
        <v>#VALUE!</v>
      </c>
      <c r="AA1587" t="e">
        <f t="shared" ca="1" si="803"/>
        <v>#VALUE!</v>
      </c>
      <c r="AB1587" t="e">
        <f t="shared" ca="1" si="804"/>
        <v>#VALUE!</v>
      </c>
      <c r="AC1587" t="e">
        <f t="shared" ca="1" si="805"/>
        <v>#VALUE!</v>
      </c>
      <c r="AD1587" t="e">
        <f t="shared" ca="1" si="806"/>
        <v>#VALUE!</v>
      </c>
      <c r="AE1587" t="e">
        <f t="shared" ca="1" si="807"/>
        <v>#VALUE!</v>
      </c>
      <c r="AF1587" t="e">
        <f t="shared" ca="1" si="808"/>
        <v>#VALUE!</v>
      </c>
      <c r="AG1587" t="e">
        <f t="shared" ca="1" si="809"/>
        <v>#VALUE!</v>
      </c>
      <c r="AH1587" t="e">
        <f ca="1">IF(V34="Supercritical",L1587,IF(V34="Subcritical",W1587,IF(AND(V1587=1,AG1587=1),IF(T1587&gt;=AE1587,L1587,W1587),IF(V1587=1,L1587,IF(AG1587=1,W1587,MAX($D$16,POWER((ABS(K1587)^2)/($I$5*MAX(F1587,0.1)^2),1/3)))))))</f>
        <v>#VALUE!</v>
      </c>
      <c r="AI1587" t="e">
        <f t="shared" ca="1" si="810"/>
        <v>#VALUE!</v>
      </c>
      <c r="AJ1587" t="e">
        <f t="shared" ca="1" si="811"/>
        <v>#VALUE!</v>
      </c>
      <c r="AK1587">
        <v>635.5</v>
      </c>
      <c r="AM1587" t="e">
        <f t="shared" ca="1" si="822"/>
        <v>#VALUE!</v>
      </c>
      <c r="AN1587">
        <v>0</v>
      </c>
      <c r="AO1587" t="e">
        <f t="shared" ca="1" si="812"/>
        <v>#VALUE!</v>
      </c>
      <c r="AP1587" t="e">
        <f t="shared" ca="1" si="821"/>
        <v>#VALUE!</v>
      </c>
      <c r="AQ1587" t="e">
        <f t="shared" ca="1" si="813"/>
        <v>#VALUE!</v>
      </c>
      <c r="AR1587" t="e">
        <f t="shared" ca="1" si="814"/>
        <v>#VALUE!</v>
      </c>
      <c r="AS1587" t="e">
        <f t="shared" ca="1" si="815"/>
        <v>#VALUE!</v>
      </c>
    </row>
    <row r="1588" spans="1:45" x14ac:dyDescent="0.35">
      <c r="A1588">
        <v>26</v>
      </c>
      <c r="B1588">
        <v>25</v>
      </c>
      <c r="C1588">
        <v>616065.73</v>
      </c>
      <c r="D1588">
        <v>3096596.8679999998</v>
      </c>
      <c r="E1588">
        <v>628.97799999999995</v>
      </c>
      <c r="F1588">
        <v>15</v>
      </c>
      <c r="G1588">
        <v>0</v>
      </c>
      <c r="H1588" t="s">
        <v>191</v>
      </c>
      <c r="I1588">
        <v>0</v>
      </c>
      <c r="J1588">
        <f t="shared" si="816"/>
        <v>1</v>
      </c>
      <c r="K1588" t="e">
        <f t="shared" ca="1" si="817"/>
        <v>#VALUE!</v>
      </c>
      <c r="L1588" t="e">
        <f t="shared" ca="1" si="818"/>
        <v>#VALUE!</v>
      </c>
      <c r="M1588" t="e">
        <f t="shared" ca="1" si="791"/>
        <v>#VALUE!</v>
      </c>
      <c r="N1588" t="e">
        <f t="shared" ca="1" si="792"/>
        <v>#VALUE!</v>
      </c>
      <c r="O1588" t="e">
        <f t="shared" ca="1" si="793"/>
        <v>#VALUE!</v>
      </c>
      <c r="P1588" t="e">
        <f t="shared" ca="1" si="794"/>
        <v>#VALUE!</v>
      </c>
      <c r="Q1588" t="e">
        <f t="shared" ca="1" si="795"/>
        <v>#VALUE!</v>
      </c>
      <c r="R1588" t="e">
        <f t="shared" ca="1" si="796"/>
        <v>#VALUE!</v>
      </c>
      <c r="S1588" t="e">
        <f t="shared" ca="1" si="797"/>
        <v>#VALUE!</v>
      </c>
      <c r="T1588" t="e">
        <f t="shared" ca="1" si="798"/>
        <v>#VALUE!</v>
      </c>
      <c r="U1588" t="e">
        <f t="shared" ca="1" si="819"/>
        <v>#VALUE!</v>
      </c>
      <c r="V1588" t="e">
        <f t="shared" ca="1" si="820"/>
        <v>#VALUE!</v>
      </c>
      <c r="W1588" t="e">
        <f t="shared" ca="1" si="799"/>
        <v>#VALUE!</v>
      </c>
      <c r="X1588" t="e">
        <f t="shared" ca="1" si="800"/>
        <v>#VALUE!</v>
      </c>
      <c r="Y1588" t="e">
        <f t="shared" ca="1" si="801"/>
        <v>#VALUE!</v>
      </c>
      <c r="Z1588" t="e">
        <f t="shared" ca="1" si="802"/>
        <v>#VALUE!</v>
      </c>
      <c r="AA1588" t="e">
        <f t="shared" ca="1" si="803"/>
        <v>#VALUE!</v>
      </c>
      <c r="AB1588" t="e">
        <f t="shared" ca="1" si="804"/>
        <v>#VALUE!</v>
      </c>
      <c r="AC1588" t="e">
        <f t="shared" ca="1" si="805"/>
        <v>#VALUE!</v>
      </c>
      <c r="AD1588" t="e">
        <f t="shared" ca="1" si="806"/>
        <v>#VALUE!</v>
      </c>
      <c r="AE1588" t="e">
        <f t="shared" ca="1" si="807"/>
        <v>#VALUE!</v>
      </c>
      <c r="AF1588" t="e">
        <f t="shared" ca="1" si="808"/>
        <v>#VALUE!</v>
      </c>
      <c r="AG1588" t="e">
        <f t="shared" ca="1" si="809"/>
        <v>#VALUE!</v>
      </c>
      <c r="AH1588" t="e">
        <f ca="1">IF(V34="Supercritical",L1588,IF(V34="Subcritical",W1588,IF(AND(V1588=1,AG1588=1),IF(T1588&gt;=AE1588,L1588,W1588),IF(V1588=1,L1588,IF(AG1588=1,W1588,MAX($D$16,POWER((ABS(K1588)^2)/($I$5*MAX(F1588,0.1)^2),1/3)))))))</f>
        <v>#VALUE!</v>
      </c>
      <c r="AI1588" t="e">
        <f t="shared" ca="1" si="810"/>
        <v>#VALUE!</v>
      </c>
      <c r="AJ1588" t="e">
        <f t="shared" ca="1" si="811"/>
        <v>#VALUE!</v>
      </c>
      <c r="AK1588">
        <v>635.5</v>
      </c>
      <c r="AM1588" t="e">
        <f t="shared" ca="1" si="822"/>
        <v>#VALUE!</v>
      </c>
      <c r="AN1588">
        <v>0</v>
      </c>
      <c r="AO1588" t="e">
        <f t="shared" ca="1" si="812"/>
        <v>#VALUE!</v>
      </c>
      <c r="AP1588" t="e">
        <f t="shared" ca="1" si="821"/>
        <v>#VALUE!</v>
      </c>
      <c r="AQ1588" t="e">
        <f t="shared" ca="1" si="813"/>
        <v>#VALUE!</v>
      </c>
      <c r="AR1588" t="e">
        <f t="shared" ca="1" si="814"/>
        <v>#VALUE!</v>
      </c>
      <c r="AS1588" t="e">
        <f t="shared" ca="1" si="815"/>
        <v>#VALUE!</v>
      </c>
    </row>
    <row r="1589" spans="1:45" x14ac:dyDescent="0.35">
      <c r="A1589">
        <v>27</v>
      </c>
      <c r="B1589">
        <v>26</v>
      </c>
      <c r="C1589">
        <v>616065.73</v>
      </c>
      <c r="D1589">
        <v>3096595.8679999998</v>
      </c>
      <c r="E1589">
        <v>628.97799999999995</v>
      </c>
      <c r="F1589">
        <v>15</v>
      </c>
      <c r="G1589">
        <v>0</v>
      </c>
      <c r="H1589" t="s">
        <v>191</v>
      </c>
      <c r="I1589">
        <v>0</v>
      </c>
      <c r="J1589">
        <f t="shared" si="816"/>
        <v>1</v>
      </c>
      <c r="K1589" t="e">
        <f t="shared" ca="1" si="817"/>
        <v>#VALUE!</v>
      </c>
      <c r="L1589" t="e">
        <f t="shared" ca="1" si="818"/>
        <v>#VALUE!</v>
      </c>
      <c r="M1589" t="e">
        <f t="shared" ca="1" si="791"/>
        <v>#VALUE!</v>
      </c>
      <c r="N1589" t="e">
        <f t="shared" ca="1" si="792"/>
        <v>#VALUE!</v>
      </c>
      <c r="O1589" t="e">
        <f t="shared" ca="1" si="793"/>
        <v>#VALUE!</v>
      </c>
      <c r="P1589" t="e">
        <f t="shared" ca="1" si="794"/>
        <v>#VALUE!</v>
      </c>
      <c r="Q1589" t="e">
        <f t="shared" ca="1" si="795"/>
        <v>#VALUE!</v>
      </c>
      <c r="R1589" t="e">
        <f t="shared" ca="1" si="796"/>
        <v>#VALUE!</v>
      </c>
      <c r="S1589" t="e">
        <f t="shared" ca="1" si="797"/>
        <v>#VALUE!</v>
      </c>
      <c r="T1589" t="e">
        <f t="shared" ca="1" si="798"/>
        <v>#VALUE!</v>
      </c>
      <c r="U1589" t="e">
        <f t="shared" ca="1" si="819"/>
        <v>#VALUE!</v>
      </c>
      <c r="V1589" t="e">
        <f t="shared" ca="1" si="820"/>
        <v>#VALUE!</v>
      </c>
      <c r="W1589" t="e">
        <f t="shared" ca="1" si="799"/>
        <v>#VALUE!</v>
      </c>
      <c r="X1589" t="e">
        <f t="shared" ca="1" si="800"/>
        <v>#VALUE!</v>
      </c>
      <c r="Y1589" t="e">
        <f t="shared" ca="1" si="801"/>
        <v>#VALUE!</v>
      </c>
      <c r="Z1589" t="e">
        <f t="shared" ca="1" si="802"/>
        <v>#VALUE!</v>
      </c>
      <c r="AA1589" t="e">
        <f t="shared" ca="1" si="803"/>
        <v>#VALUE!</v>
      </c>
      <c r="AB1589" t="e">
        <f t="shared" ca="1" si="804"/>
        <v>#VALUE!</v>
      </c>
      <c r="AC1589" t="e">
        <f t="shared" ca="1" si="805"/>
        <v>#VALUE!</v>
      </c>
      <c r="AD1589" t="e">
        <f t="shared" ca="1" si="806"/>
        <v>#VALUE!</v>
      </c>
      <c r="AE1589" t="e">
        <f t="shared" ca="1" si="807"/>
        <v>#VALUE!</v>
      </c>
      <c r="AF1589" t="e">
        <f t="shared" ca="1" si="808"/>
        <v>#VALUE!</v>
      </c>
      <c r="AG1589" t="e">
        <f t="shared" ca="1" si="809"/>
        <v>#VALUE!</v>
      </c>
      <c r="AH1589" t="e">
        <f ca="1">IF(V34="Supercritical",L1589,IF(V34="Subcritical",W1589,IF(AND(V1589=1,AG1589=1),IF(T1589&gt;=AE1589,L1589,W1589),IF(V1589=1,L1589,IF(AG1589=1,W1589,MAX($D$16,POWER((ABS(K1589)^2)/($I$5*MAX(F1589,0.1)^2),1/3)))))))</f>
        <v>#VALUE!</v>
      </c>
      <c r="AI1589" t="e">
        <f t="shared" ca="1" si="810"/>
        <v>#VALUE!</v>
      </c>
      <c r="AJ1589" t="e">
        <f t="shared" ca="1" si="811"/>
        <v>#VALUE!</v>
      </c>
      <c r="AK1589">
        <v>635.5</v>
      </c>
      <c r="AM1589" t="e">
        <f t="shared" ca="1" si="822"/>
        <v>#VALUE!</v>
      </c>
      <c r="AN1589">
        <v>0</v>
      </c>
      <c r="AO1589" t="e">
        <f t="shared" ca="1" si="812"/>
        <v>#VALUE!</v>
      </c>
      <c r="AP1589" t="e">
        <f t="shared" ca="1" si="821"/>
        <v>#VALUE!</v>
      </c>
      <c r="AQ1589" t="e">
        <f t="shared" ca="1" si="813"/>
        <v>#VALUE!</v>
      </c>
      <c r="AR1589" t="e">
        <f t="shared" ca="1" si="814"/>
        <v>#VALUE!</v>
      </c>
      <c r="AS1589" t="e">
        <f t="shared" ca="1" si="815"/>
        <v>#VALUE!</v>
      </c>
    </row>
    <row r="1590" spans="1:45" x14ac:dyDescent="0.35">
      <c r="A1590">
        <v>28</v>
      </c>
      <c r="B1590">
        <v>27</v>
      </c>
      <c r="C1590">
        <v>616065.73</v>
      </c>
      <c r="D1590">
        <v>3096594.8679999998</v>
      </c>
      <c r="E1590">
        <v>628.39469999999994</v>
      </c>
      <c r="F1590">
        <v>14.576000000000001</v>
      </c>
      <c r="G1590">
        <v>0</v>
      </c>
      <c r="H1590" t="s">
        <v>191</v>
      </c>
      <c r="I1590">
        <v>0</v>
      </c>
      <c r="J1590">
        <f t="shared" si="816"/>
        <v>1</v>
      </c>
      <c r="K1590" t="e">
        <f t="shared" ca="1" si="817"/>
        <v>#VALUE!</v>
      </c>
      <c r="L1590" t="e">
        <f t="shared" ca="1" si="818"/>
        <v>#VALUE!</v>
      </c>
      <c r="M1590" t="e">
        <f t="shared" ca="1" si="791"/>
        <v>#VALUE!</v>
      </c>
      <c r="N1590" t="e">
        <f t="shared" ca="1" si="792"/>
        <v>#VALUE!</v>
      </c>
      <c r="O1590" t="e">
        <f t="shared" ca="1" si="793"/>
        <v>#VALUE!</v>
      </c>
      <c r="P1590" t="e">
        <f t="shared" ca="1" si="794"/>
        <v>#VALUE!</v>
      </c>
      <c r="Q1590" t="e">
        <f t="shared" ca="1" si="795"/>
        <v>#VALUE!</v>
      </c>
      <c r="R1590" t="e">
        <f t="shared" ca="1" si="796"/>
        <v>#VALUE!</v>
      </c>
      <c r="S1590" t="e">
        <f t="shared" ca="1" si="797"/>
        <v>#VALUE!</v>
      </c>
      <c r="T1590" t="e">
        <f t="shared" ca="1" si="798"/>
        <v>#VALUE!</v>
      </c>
      <c r="U1590" t="e">
        <f t="shared" ca="1" si="819"/>
        <v>#VALUE!</v>
      </c>
      <c r="V1590" t="e">
        <f t="shared" ca="1" si="820"/>
        <v>#VALUE!</v>
      </c>
      <c r="W1590" t="e">
        <f t="shared" ca="1" si="799"/>
        <v>#VALUE!</v>
      </c>
      <c r="X1590" t="e">
        <f t="shared" ca="1" si="800"/>
        <v>#VALUE!</v>
      </c>
      <c r="Y1590" t="e">
        <f t="shared" ca="1" si="801"/>
        <v>#VALUE!</v>
      </c>
      <c r="Z1590" t="e">
        <f t="shared" ca="1" si="802"/>
        <v>#VALUE!</v>
      </c>
      <c r="AA1590" t="e">
        <f t="shared" ca="1" si="803"/>
        <v>#VALUE!</v>
      </c>
      <c r="AB1590" t="e">
        <f t="shared" ca="1" si="804"/>
        <v>#VALUE!</v>
      </c>
      <c r="AC1590" t="e">
        <f t="shared" ca="1" si="805"/>
        <v>#VALUE!</v>
      </c>
      <c r="AD1590" t="e">
        <f t="shared" ca="1" si="806"/>
        <v>#VALUE!</v>
      </c>
      <c r="AE1590" t="e">
        <f t="shared" ca="1" si="807"/>
        <v>#VALUE!</v>
      </c>
      <c r="AF1590" t="e">
        <f t="shared" ca="1" si="808"/>
        <v>#VALUE!</v>
      </c>
      <c r="AG1590" t="e">
        <f t="shared" ca="1" si="809"/>
        <v>#VALUE!</v>
      </c>
      <c r="AH1590" t="e">
        <f ca="1">IF(V34="Supercritical",L1590,IF(V34="Subcritical",W1590,IF(AND(V1590=1,AG1590=1),IF(T1590&gt;=AE1590,L1590,W1590),IF(V1590=1,L1590,IF(AG1590=1,W1590,MAX($D$16,POWER((ABS(K1590)^2)/($I$5*MAX(F1590,0.1)^2),1/3)))))))</f>
        <v>#VALUE!</v>
      </c>
      <c r="AI1590" t="e">
        <f t="shared" ca="1" si="810"/>
        <v>#VALUE!</v>
      </c>
      <c r="AJ1590" t="e">
        <f t="shared" ca="1" si="811"/>
        <v>#VALUE!</v>
      </c>
      <c r="AK1590">
        <v>635.5</v>
      </c>
      <c r="AM1590" t="e">
        <f t="shared" ca="1" si="822"/>
        <v>#VALUE!</v>
      </c>
      <c r="AN1590">
        <v>0</v>
      </c>
      <c r="AO1590" t="e">
        <f t="shared" ca="1" si="812"/>
        <v>#VALUE!</v>
      </c>
      <c r="AP1590" t="e">
        <f t="shared" ca="1" si="821"/>
        <v>#VALUE!</v>
      </c>
      <c r="AQ1590" t="e">
        <f t="shared" ca="1" si="813"/>
        <v>#VALUE!</v>
      </c>
      <c r="AR1590" t="e">
        <f t="shared" ca="1" si="814"/>
        <v>#VALUE!</v>
      </c>
      <c r="AS1590" t="e">
        <f t="shared" ca="1" si="815"/>
        <v>#VALUE!</v>
      </c>
    </row>
    <row r="1591" spans="1:45" x14ac:dyDescent="0.35">
      <c r="A1591">
        <v>29</v>
      </c>
      <c r="B1591">
        <v>28</v>
      </c>
      <c r="C1591">
        <v>616065.73</v>
      </c>
      <c r="D1591">
        <v>3096593.8679999998</v>
      </c>
      <c r="E1591">
        <v>627.81129999999996</v>
      </c>
      <c r="F1591">
        <v>13.576000000000001</v>
      </c>
      <c r="G1591">
        <v>0</v>
      </c>
      <c r="H1591" t="s">
        <v>191</v>
      </c>
      <c r="I1591">
        <v>0</v>
      </c>
      <c r="J1591">
        <f t="shared" si="816"/>
        <v>1</v>
      </c>
      <c r="K1591" t="e">
        <f t="shared" ca="1" si="817"/>
        <v>#VALUE!</v>
      </c>
      <c r="L1591" t="e">
        <f t="shared" ca="1" si="818"/>
        <v>#VALUE!</v>
      </c>
      <c r="M1591" t="e">
        <f t="shared" ca="1" si="791"/>
        <v>#VALUE!</v>
      </c>
      <c r="N1591" t="e">
        <f t="shared" ca="1" si="792"/>
        <v>#VALUE!</v>
      </c>
      <c r="O1591" t="e">
        <f t="shared" ca="1" si="793"/>
        <v>#VALUE!</v>
      </c>
      <c r="P1591" t="e">
        <f t="shared" ca="1" si="794"/>
        <v>#VALUE!</v>
      </c>
      <c r="Q1591" t="e">
        <f t="shared" ca="1" si="795"/>
        <v>#VALUE!</v>
      </c>
      <c r="R1591" t="e">
        <f t="shared" ca="1" si="796"/>
        <v>#VALUE!</v>
      </c>
      <c r="S1591" t="e">
        <f t="shared" ca="1" si="797"/>
        <v>#VALUE!</v>
      </c>
      <c r="T1591" t="e">
        <f t="shared" ca="1" si="798"/>
        <v>#VALUE!</v>
      </c>
      <c r="U1591" t="e">
        <f t="shared" ca="1" si="819"/>
        <v>#VALUE!</v>
      </c>
      <c r="V1591" t="e">
        <f t="shared" ca="1" si="820"/>
        <v>#VALUE!</v>
      </c>
      <c r="W1591" t="e">
        <f t="shared" ca="1" si="799"/>
        <v>#VALUE!</v>
      </c>
      <c r="X1591" t="e">
        <f t="shared" ca="1" si="800"/>
        <v>#VALUE!</v>
      </c>
      <c r="Y1591" t="e">
        <f t="shared" ca="1" si="801"/>
        <v>#VALUE!</v>
      </c>
      <c r="Z1591" t="e">
        <f t="shared" ca="1" si="802"/>
        <v>#VALUE!</v>
      </c>
      <c r="AA1591" t="e">
        <f t="shared" ca="1" si="803"/>
        <v>#VALUE!</v>
      </c>
      <c r="AB1591" t="e">
        <f t="shared" ca="1" si="804"/>
        <v>#VALUE!</v>
      </c>
      <c r="AC1591" t="e">
        <f t="shared" ca="1" si="805"/>
        <v>#VALUE!</v>
      </c>
      <c r="AD1591" t="e">
        <f t="shared" ca="1" si="806"/>
        <v>#VALUE!</v>
      </c>
      <c r="AE1591" t="e">
        <f t="shared" ca="1" si="807"/>
        <v>#VALUE!</v>
      </c>
      <c r="AF1591" t="e">
        <f t="shared" ca="1" si="808"/>
        <v>#VALUE!</v>
      </c>
      <c r="AG1591" t="e">
        <f t="shared" ca="1" si="809"/>
        <v>#VALUE!</v>
      </c>
      <c r="AH1591" t="e">
        <f ca="1">IF(V34="Supercritical",L1591,IF(V34="Subcritical",W1591,IF(AND(V1591=1,AG1591=1),IF(T1591&gt;=AE1591,L1591,W1591),IF(V1591=1,L1591,IF(AG1591=1,W1591,MAX($D$16,POWER((ABS(K1591)^2)/($I$5*MAX(F1591,0.1)^2),1/3)))))))</f>
        <v>#VALUE!</v>
      </c>
      <c r="AI1591" t="e">
        <f t="shared" ca="1" si="810"/>
        <v>#VALUE!</v>
      </c>
      <c r="AJ1591" t="e">
        <f t="shared" ca="1" si="811"/>
        <v>#VALUE!</v>
      </c>
      <c r="AK1591">
        <v>635.5</v>
      </c>
      <c r="AM1591" t="e">
        <f t="shared" ca="1" si="822"/>
        <v>#VALUE!</v>
      </c>
      <c r="AN1591">
        <v>0</v>
      </c>
      <c r="AO1591" t="e">
        <f t="shared" ca="1" si="812"/>
        <v>#VALUE!</v>
      </c>
      <c r="AP1591" t="e">
        <f t="shared" ca="1" si="821"/>
        <v>#VALUE!</v>
      </c>
      <c r="AQ1591" t="e">
        <f t="shared" ca="1" si="813"/>
        <v>#VALUE!</v>
      </c>
      <c r="AR1591" t="e">
        <f t="shared" ca="1" si="814"/>
        <v>#VALUE!</v>
      </c>
      <c r="AS1591" t="e">
        <f t="shared" ca="1" si="815"/>
        <v>#VALUE!</v>
      </c>
    </row>
    <row r="1592" spans="1:45" x14ac:dyDescent="0.35">
      <c r="A1592">
        <v>30</v>
      </c>
      <c r="B1592">
        <v>29</v>
      </c>
      <c r="C1592">
        <v>616065.73</v>
      </c>
      <c r="D1592">
        <v>3096592.8679999998</v>
      </c>
      <c r="E1592">
        <v>627.22799999999995</v>
      </c>
      <c r="F1592">
        <v>12.576000000000001</v>
      </c>
      <c r="G1592">
        <v>0</v>
      </c>
      <c r="H1592" t="s">
        <v>191</v>
      </c>
      <c r="I1592">
        <v>0</v>
      </c>
      <c r="J1592">
        <f t="shared" si="816"/>
        <v>1</v>
      </c>
      <c r="K1592" t="e">
        <f t="shared" ca="1" si="817"/>
        <v>#VALUE!</v>
      </c>
      <c r="L1592" t="e">
        <f t="shared" ca="1" si="818"/>
        <v>#VALUE!</v>
      </c>
      <c r="M1592" t="e">
        <f t="shared" ca="1" si="791"/>
        <v>#VALUE!</v>
      </c>
      <c r="N1592" t="e">
        <f t="shared" ca="1" si="792"/>
        <v>#VALUE!</v>
      </c>
      <c r="O1592" t="e">
        <f t="shared" ca="1" si="793"/>
        <v>#VALUE!</v>
      </c>
      <c r="P1592" t="e">
        <f t="shared" ca="1" si="794"/>
        <v>#VALUE!</v>
      </c>
      <c r="Q1592" t="e">
        <f t="shared" ca="1" si="795"/>
        <v>#VALUE!</v>
      </c>
      <c r="R1592" t="e">
        <f t="shared" ca="1" si="796"/>
        <v>#VALUE!</v>
      </c>
      <c r="S1592" t="e">
        <f t="shared" ca="1" si="797"/>
        <v>#VALUE!</v>
      </c>
      <c r="T1592" t="e">
        <f t="shared" ca="1" si="798"/>
        <v>#VALUE!</v>
      </c>
      <c r="U1592" t="e">
        <f t="shared" ca="1" si="819"/>
        <v>#VALUE!</v>
      </c>
      <c r="V1592" t="e">
        <f t="shared" ca="1" si="820"/>
        <v>#VALUE!</v>
      </c>
      <c r="W1592" t="e">
        <f t="shared" ca="1" si="799"/>
        <v>#VALUE!</v>
      </c>
      <c r="X1592" t="e">
        <f t="shared" ca="1" si="800"/>
        <v>#VALUE!</v>
      </c>
      <c r="Y1592" t="e">
        <f t="shared" ca="1" si="801"/>
        <v>#VALUE!</v>
      </c>
      <c r="Z1592" t="e">
        <f t="shared" ca="1" si="802"/>
        <v>#VALUE!</v>
      </c>
      <c r="AA1592" t="e">
        <f t="shared" ca="1" si="803"/>
        <v>#VALUE!</v>
      </c>
      <c r="AB1592" t="e">
        <f t="shared" ca="1" si="804"/>
        <v>#VALUE!</v>
      </c>
      <c r="AC1592" t="e">
        <f t="shared" ca="1" si="805"/>
        <v>#VALUE!</v>
      </c>
      <c r="AD1592" t="e">
        <f t="shared" ca="1" si="806"/>
        <v>#VALUE!</v>
      </c>
      <c r="AE1592" t="e">
        <f t="shared" ca="1" si="807"/>
        <v>#VALUE!</v>
      </c>
      <c r="AF1592" t="e">
        <f t="shared" ca="1" si="808"/>
        <v>#VALUE!</v>
      </c>
      <c r="AG1592" t="e">
        <f t="shared" ca="1" si="809"/>
        <v>#VALUE!</v>
      </c>
      <c r="AH1592" t="e">
        <f ca="1">IF(V34="Supercritical",L1592,IF(V34="Subcritical",W1592,IF(AND(V1592=1,AG1592=1),IF(T1592&gt;=AE1592,L1592,W1592),IF(V1592=1,L1592,IF(AG1592=1,W1592,MAX($D$16,POWER((ABS(K1592)^2)/($I$5*MAX(F1592,0.1)^2),1/3)))))))</f>
        <v>#VALUE!</v>
      </c>
      <c r="AI1592" t="e">
        <f t="shared" ca="1" si="810"/>
        <v>#VALUE!</v>
      </c>
      <c r="AJ1592" t="e">
        <f t="shared" ca="1" si="811"/>
        <v>#VALUE!</v>
      </c>
      <c r="AK1592">
        <v>635.5</v>
      </c>
      <c r="AM1592" t="e">
        <f t="shared" ca="1" si="822"/>
        <v>#VALUE!</v>
      </c>
      <c r="AN1592">
        <v>0</v>
      </c>
      <c r="AO1592" t="e">
        <f t="shared" ca="1" si="812"/>
        <v>#VALUE!</v>
      </c>
      <c r="AP1592" t="e">
        <f t="shared" ca="1" si="821"/>
        <v>#VALUE!</v>
      </c>
      <c r="AQ1592" t="e">
        <f t="shared" ca="1" si="813"/>
        <v>#VALUE!</v>
      </c>
      <c r="AR1592" t="e">
        <f t="shared" ca="1" si="814"/>
        <v>#VALUE!</v>
      </c>
      <c r="AS1592" t="e">
        <f t="shared" ca="1" si="815"/>
        <v>#VALUE!</v>
      </c>
    </row>
    <row r="1593" spans="1:45" x14ac:dyDescent="0.35">
      <c r="A1593">
        <v>31</v>
      </c>
      <c r="B1593">
        <v>30</v>
      </c>
      <c r="C1593">
        <v>616065.73</v>
      </c>
      <c r="D1593">
        <v>3096591.8679999998</v>
      </c>
      <c r="E1593">
        <v>626.64469999999994</v>
      </c>
      <c r="F1593">
        <v>11.576000000000001</v>
      </c>
      <c r="G1593">
        <v>0</v>
      </c>
      <c r="H1593" t="s">
        <v>191</v>
      </c>
      <c r="I1593">
        <v>0</v>
      </c>
      <c r="J1593">
        <f t="shared" si="816"/>
        <v>1</v>
      </c>
      <c r="K1593" t="e">
        <f t="shared" ca="1" si="817"/>
        <v>#VALUE!</v>
      </c>
      <c r="L1593" t="e">
        <f t="shared" ca="1" si="818"/>
        <v>#VALUE!</v>
      </c>
      <c r="M1593" t="e">
        <f t="shared" ca="1" si="791"/>
        <v>#VALUE!</v>
      </c>
      <c r="N1593" t="e">
        <f t="shared" ca="1" si="792"/>
        <v>#VALUE!</v>
      </c>
      <c r="O1593" t="e">
        <f t="shared" ca="1" si="793"/>
        <v>#VALUE!</v>
      </c>
      <c r="P1593" t="e">
        <f t="shared" ca="1" si="794"/>
        <v>#VALUE!</v>
      </c>
      <c r="Q1593" t="e">
        <f t="shared" ca="1" si="795"/>
        <v>#VALUE!</v>
      </c>
      <c r="R1593" t="e">
        <f t="shared" ca="1" si="796"/>
        <v>#VALUE!</v>
      </c>
      <c r="S1593" t="e">
        <f t="shared" ca="1" si="797"/>
        <v>#VALUE!</v>
      </c>
      <c r="T1593" t="e">
        <f t="shared" ca="1" si="798"/>
        <v>#VALUE!</v>
      </c>
      <c r="U1593" t="e">
        <f t="shared" ca="1" si="819"/>
        <v>#VALUE!</v>
      </c>
      <c r="V1593" t="e">
        <f t="shared" ca="1" si="820"/>
        <v>#VALUE!</v>
      </c>
      <c r="W1593" t="e">
        <f t="shared" ca="1" si="799"/>
        <v>#VALUE!</v>
      </c>
      <c r="X1593" t="e">
        <f t="shared" ca="1" si="800"/>
        <v>#VALUE!</v>
      </c>
      <c r="Y1593" t="e">
        <f t="shared" ca="1" si="801"/>
        <v>#VALUE!</v>
      </c>
      <c r="Z1593" t="e">
        <f t="shared" ca="1" si="802"/>
        <v>#VALUE!</v>
      </c>
      <c r="AA1593" t="e">
        <f t="shared" ca="1" si="803"/>
        <v>#VALUE!</v>
      </c>
      <c r="AB1593" t="e">
        <f t="shared" ca="1" si="804"/>
        <v>#VALUE!</v>
      </c>
      <c r="AC1593" t="e">
        <f t="shared" ca="1" si="805"/>
        <v>#VALUE!</v>
      </c>
      <c r="AD1593" t="e">
        <f t="shared" ca="1" si="806"/>
        <v>#VALUE!</v>
      </c>
      <c r="AE1593" t="e">
        <f t="shared" ca="1" si="807"/>
        <v>#VALUE!</v>
      </c>
      <c r="AF1593" t="e">
        <f t="shared" ca="1" si="808"/>
        <v>#VALUE!</v>
      </c>
      <c r="AG1593" t="e">
        <f t="shared" ca="1" si="809"/>
        <v>#VALUE!</v>
      </c>
      <c r="AH1593" t="e">
        <f ca="1">IF(V34="Supercritical",L1593,IF(V34="Subcritical",W1593,IF(AND(V1593=1,AG1593=1),IF(T1593&gt;=AE1593,L1593,W1593),IF(V1593=1,L1593,IF(AG1593=1,W1593,MAX($D$16,POWER((ABS(K1593)^2)/($I$5*MAX(F1593,0.1)^2),1/3)))))))</f>
        <v>#VALUE!</v>
      </c>
      <c r="AI1593" t="e">
        <f t="shared" ca="1" si="810"/>
        <v>#VALUE!</v>
      </c>
      <c r="AJ1593" t="e">
        <f t="shared" ca="1" si="811"/>
        <v>#VALUE!</v>
      </c>
      <c r="AK1593">
        <v>635.5</v>
      </c>
      <c r="AM1593" t="e">
        <f t="shared" ca="1" si="822"/>
        <v>#VALUE!</v>
      </c>
      <c r="AN1593">
        <v>0</v>
      </c>
      <c r="AO1593" t="e">
        <f t="shared" ca="1" si="812"/>
        <v>#VALUE!</v>
      </c>
      <c r="AP1593" t="e">
        <f t="shared" ca="1" si="821"/>
        <v>#VALUE!</v>
      </c>
      <c r="AQ1593" t="e">
        <f t="shared" ca="1" si="813"/>
        <v>#VALUE!</v>
      </c>
      <c r="AR1593" t="e">
        <f t="shared" ca="1" si="814"/>
        <v>#VALUE!</v>
      </c>
      <c r="AS1593" t="e">
        <f t="shared" ca="1" si="815"/>
        <v>#VALUE!</v>
      </c>
    </row>
    <row r="1594" spans="1:45" x14ac:dyDescent="0.35">
      <c r="A1594">
        <v>32</v>
      </c>
      <c r="B1594">
        <v>31</v>
      </c>
      <c r="C1594">
        <v>616065.73</v>
      </c>
      <c r="D1594">
        <v>3096590.8679999998</v>
      </c>
      <c r="E1594">
        <v>626.06129999999996</v>
      </c>
      <c r="F1594">
        <v>10.576000000000001</v>
      </c>
      <c r="G1594">
        <v>0</v>
      </c>
      <c r="H1594" t="s">
        <v>191</v>
      </c>
      <c r="I1594">
        <v>0</v>
      </c>
      <c r="J1594">
        <f t="shared" si="816"/>
        <v>1</v>
      </c>
      <c r="K1594" t="e">
        <f t="shared" ca="1" si="817"/>
        <v>#VALUE!</v>
      </c>
      <c r="L1594" t="e">
        <f t="shared" ca="1" si="818"/>
        <v>#VALUE!</v>
      </c>
      <c r="M1594" t="e">
        <f t="shared" ca="1" si="791"/>
        <v>#VALUE!</v>
      </c>
      <c r="N1594" t="e">
        <f t="shared" ca="1" si="792"/>
        <v>#VALUE!</v>
      </c>
      <c r="O1594" t="e">
        <f t="shared" ca="1" si="793"/>
        <v>#VALUE!</v>
      </c>
      <c r="P1594" t="e">
        <f t="shared" ca="1" si="794"/>
        <v>#VALUE!</v>
      </c>
      <c r="Q1594" t="e">
        <f t="shared" ca="1" si="795"/>
        <v>#VALUE!</v>
      </c>
      <c r="R1594" t="e">
        <f t="shared" ca="1" si="796"/>
        <v>#VALUE!</v>
      </c>
      <c r="S1594" t="e">
        <f t="shared" ca="1" si="797"/>
        <v>#VALUE!</v>
      </c>
      <c r="T1594" t="e">
        <f t="shared" ca="1" si="798"/>
        <v>#VALUE!</v>
      </c>
      <c r="U1594" t="e">
        <f t="shared" ca="1" si="819"/>
        <v>#VALUE!</v>
      </c>
      <c r="V1594" t="e">
        <f t="shared" ca="1" si="820"/>
        <v>#VALUE!</v>
      </c>
      <c r="W1594" t="e">
        <f t="shared" ca="1" si="799"/>
        <v>#VALUE!</v>
      </c>
      <c r="X1594" t="e">
        <f t="shared" ca="1" si="800"/>
        <v>#VALUE!</v>
      </c>
      <c r="Y1594" t="e">
        <f t="shared" ca="1" si="801"/>
        <v>#VALUE!</v>
      </c>
      <c r="Z1594" t="e">
        <f t="shared" ca="1" si="802"/>
        <v>#VALUE!</v>
      </c>
      <c r="AA1594" t="e">
        <f t="shared" ca="1" si="803"/>
        <v>#VALUE!</v>
      </c>
      <c r="AB1594" t="e">
        <f t="shared" ca="1" si="804"/>
        <v>#VALUE!</v>
      </c>
      <c r="AC1594" t="e">
        <f t="shared" ca="1" si="805"/>
        <v>#VALUE!</v>
      </c>
      <c r="AD1594" t="e">
        <f t="shared" ca="1" si="806"/>
        <v>#VALUE!</v>
      </c>
      <c r="AE1594" t="e">
        <f t="shared" ca="1" si="807"/>
        <v>#VALUE!</v>
      </c>
      <c r="AF1594" t="e">
        <f t="shared" ca="1" si="808"/>
        <v>#VALUE!</v>
      </c>
      <c r="AG1594" t="e">
        <f t="shared" ca="1" si="809"/>
        <v>#VALUE!</v>
      </c>
      <c r="AH1594" t="e">
        <f ca="1">IF(V34="Supercritical",L1594,IF(V34="Subcritical",W1594,IF(AND(V1594=1,AG1594=1),IF(T1594&gt;=AE1594,L1594,W1594),IF(V1594=1,L1594,IF(AG1594=1,W1594,MAX($D$16,POWER((ABS(K1594)^2)/($I$5*MAX(F1594,0.1)^2),1/3)))))))</f>
        <v>#VALUE!</v>
      </c>
      <c r="AI1594" t="e">
        <f t="shared" ca="1" si="810"/>
        <v>#VALUE!</v>
      </c>
      <c r="AJ1594" t="e">
        <f t="shared" ca="1" si="811"/>
        <v>#VALUE!</v>
      </c>
      <c r="AK1594">
        <v>635.5</v>
      </c>
      <c r="AM1594" t="e">
        <f t="shared" ca="1" si="822"/>
        <v>#VALUE!</v>
      </c>
      <c r="AN1594">
        <v>0</v>
      </c>
      <c r="AO1594" t="e">
        <f t="shared" ca="1" si="812"/>
        <v>#VALUE!</v>
      </c>
      <c r="AP1594" t="e">
        <f t="shared" ca="1" si="821"/>
        <v>#VALUE!</v>
      </c>
      <c r="AQ1594" t="e">
        <f t="shared" ca="1" si="813"/>
        <v>#VALUE!</v>
      </c>
      <c r="AR1594" t="e">
        <f t="shared" ca="1" si="814"/>
        <v>#VALUE!</v>
      </c>
      <c r="AS1594" t="e">
        <f t="shared" ca="1" si="815"/>
        <v>#VALUE!</v>
      </c>
    </row>
    <row r="1595" spans="1:45" x14ac:dyDescent="0.35">
      <c r="A1595">
        <v>33</v>
      </c>
      <c r="B1595">
        <v>32</v>
      </c>
      <c r="C1595">
        <v>616065.73</v>
      </c>
      <c r="D1595">
        <v>3096589.8679999998</v>
      </c>
      <c r="E1595">
        <v>625.47799999999995</v>
      </c>
      <c r="F1595">
        <v>10.151999999999999</v>
      </c>
      <c r="G1595">
        <v>0</v>
      </c>
      <c r="H1595" t="s">
        <v>191</v>
      </c>
      <c r="I1595">
        <v>0</v>
      </c>
      <c r="J1595">
        <f t="shared" si="816"/>
        <v>1</v>
      </c>
      <c r="K1595" t="e">
        <f t="shared" ca="1" si="817"/>
        <v>#VALUE!</v>
      </c>
      <c r="L1595" t="e">
        <f t="shared" ca="1" si="818"/>
        <v>#VALUE!</v>
      </c>
      <c r="M1595" t="e">
        <f t="shared" ca="1" si="791"/>
        <v>#VALUE!</v>
      </c>
      <c r="N1595" t="e">
        <f t="shared" ca="1" si="792"/>
        <v>#VALUE!</v>
      </c>
      <c r="O1595" t="e">
        <f t="shared" ca="1" si="793"/>
        <v>#VALUE!</v>
      </c>
      <c r="P1595" t="e">
        <f t="shared" ca="1" si="794"/>
        <v>#VALUE!</v>
      </c>
      <c r="Q1595" t="e">
        <f t="shared" ca="1" si="795"/>
        <v>#VALUE!</v>
      </c>
      <c r="R1595" t="e">
        <f t="shared" ca="1" si="796"/>
        <v>#VALUE!</v>
      </c>
      <c r="S1595" t="e">
        <f t="shared" ca="1" si="797"/>
        <v>#VALUE!</v>
      </c>
      <c r="T1595" t="e">
        <f t="shared" ca="1" si="798"/>
        <v>#VALUE!</v>
      </c>
      <c r="U1595" t="e">
        <f t="shared" ca="1" si="819"/>
        <v>#VALUE!</v>
      </c>
      <c r="V1595" t="e">
        <f t="shared" ca="1" si="820"/>
        <v>#VALUE!</v>
      </c>
      <c r="W1595" t="e">
        <f t="shared" ca="1" si="799"/>
        <v>#VALUE!</v>
      </c>
      <c r="X1595" t="e">
        <f t="shared" ca="1" si="800"/>
        <v>#VALUE!</v>
      </c>
      <c r="Y1595" t="e">
        <f t="shared" ca="1" si="801"/>
        <v>#VALUE!</v>
      </c>
      <c r="Z1595" t="e">
        <f t="shared" ca="1" si="802"/>
        <v>#VALUE!</v>
      </c>
      <c r="AA1595" t="e">
        <f t="shared" ca="1" si="803"/>
        <v>#VALUE!</v>
      </c>
      <c r="AB1595" t="e">
        <f t="shared" ca="1" si="804"/>
        <v>#VALUE!</v>
      </c>
      <c r="AC1595" t="e">
        <f t="shared" ca="1" si="805"/>
        <v>#VALUE!</v>
      </c>
      <c r="AD1595" t="e">
        <f t="shared" ca="1" si="806"/>
        <v>#VALUE!</v>
      </c>
      <c r="AE1595" t="e">
        <f t="shared" ca="1" si="807"/>
        <v>#VALUE!</v>
      </c>
      <c r="AF1595" t="e">
        <f t="shared" ca="1" si="808"/>
        <v>#VALUE!</v>
      </c>
      <c r="AG1595" t="e">
        <f t="shared" ca="1" si="809"/>
        <v>#VALUE!</v>
      </c>
      <c r="AH1595" t="e">
        <f ca="1">IF(V34="Supercritical",L1595,IF(V34="Subcritical",W1595,IF(AND(V1595=1,AG1595=1),IF(T1595&gt;=AE1595,L1595,W1595),IF(V1595=1,L1595,IF(AG1595=1,W1595,MAX($D$16,POWER((ABS(K1595)^2)/($I$5*MAX(F1595,0.1)^2),1/3)))))))</f>
        <v>#VALUE!</v>
      </c>
      <c r="AI1595" t="e">
        <f t="shared" ca="1" si="810"/>
        <v>#VALUE!</v>
      </c>
      <c r="AJ1595" t="e">
        <f t="shared" ca="1" si="811"/>
        <v>#VALUE!</v>
      </c>
      <c r="AK1595">
        <v>635.5</v>
      </c>
      <c r="AM1595" t="e">
        <f t="shared" ca="1" si="822"/>
        <v>#VALUE!</v>
      </c>
      <c r="AN1595">
        <v>0</v>
      </c>
      <c r="AO1595" t="e">
        <f t="shared" ca="1" si="812"/>
        <v>#VALUE!</v>
      </c>
      <c r="AP1595" t="e">
        <f t="shared" ca="1" si="821"/>
        <v>#VALUE!</v>
      </c>
      <c r="AQ1595" t="e">
        <f t="shared" ca="1" si="813"/>
        <v>#VALUE!</v>
      </c>
      <c r="AR1595" t="e">
        <f t="shared" ca="1" si="814"/>
        <v>#VALUE!</v>
      </c>
      <c r="AS1595" t="e">
        <f t="shared" ca="1" si="815"/>
        <v>#VALUE!</v>
      </c>
    </row>
    <row r="1596" spans="1:45" x14ac:dyDescent="0.35">
      <c r="A1596">
        <v>34</v>
      </c>
      <c r="B1596">
        <v>33</v>
      </c>
      <c r="C1596">
        <v>616065.73</v>
      </c>
      <c r="D1596">
        <v>3096588.8679999998</v>
      </c>
      <c r="E1596">
        <v>624.89469999999994</v>
      </c>
      <c r="F1596">
        <v>9.0920000000000005</v>
      </c>
      <c r="G1596">
        <v>0</v>
      </c>
      <c r="H1596" t="s">
        <v>191</v>
      </c>
      <c r="I1596">
        <v>0</v>
      </c>
      <c r="J1596">
        <f t="shared" si="816"/>
        <v>1</v>
      </c>
      <c r="K1596" t="e">
        <f t="shared" ca="1" si="817"/>
        <v>#VALUE!</v>
      </c>
      <c r="L1596" t="e">
        <f t="shared" ca="1" si="818"/>
        <v>#VALUE!</v>
      </c>
      <c r="M1596" t="e">
        <f t="shared" ca="1" si="791"/>
        <v>#VALUE!</v>
      </c>
      <c r="N1596" t="e">
        <f t="shared" ca="1" si="792"/>
        <v>#VALUE!</v>
      </c>
      <c r="O1596" t="e">
        <f t="shared" ca="1" si="793"/>
        <v>#VALUE!</v>
      </c>
      <c r="P1596" t="e">
        <f t="shared" ca="1" si="794"/>
        <v>#VALUE!</v>
      </c>
      <c r="Q1596" t="e">
        <f t="shared" ca="1" si="795"/>
        <v>#VALUE!</v>
      </c>
      <c r="R1596" t="e">
        <f t="shared" ca="1" si="796"/>
        <v>#VALUE!</v>
      </c>
      <c r="S1596" t="e">
        <f t="shared" ca="1" si="797"/>
        <v>#VALUE!</v>
      </c>
      <c r="T1596" t="e">
        <f t="shared" ca="1" si="798"/>
        <v>#VALUE!</v>
      </c>
      <c r="U1596" t="e">
        <f t="shared" ca="1" si="819"/>
        <v>#VALUE!</v>
      </c>
      <c r="V1596" t="e">
        <f t="shared" ca="1" si="820"/>
        <v>#VALUE!</v>
      </c>
      <c r="W1596" t="e">
        <f t="shared" ca="1" si="799"/>
        <v>#VALUE!</v>
      </c>
      <c r="X1596" t="e">
        <f t="shared" ca="1" si="800"/>
        <v>#VALUE!</v>
      </c>
      <c r="Y1596" t="e">
        <f t="shared" ca="1" si="801"/>
        <v>#VALUE!</v>
      </c>
      <c r="Z1596" t="e">
        <f t="shared" ca="1" si="802"/>
        <v>#VALUE!</v>
      </c>
      <c r="AA1596" t="e">
        <f t="shared" ca="1" si="803"/>
        <v>#VALUE!</v>
      </c>
      <c r="AB1596" t="e">
        <f t="shared" ca="1" si="804"/>
        <v>#VALUE!</v>
      </c>
      <c r="AC1596" t="e">
        <f t="shared" ca="1" si="805"/>
        <v>#VALUE!</v>
      </c>
      <c r="AD1596" t="e">
        <f t="shared" ca="1" si="806"/>
        <v>#VALUE!</v>
      </c>
      <c r="AE1596" t="e">
        <f t="shared" ca="1" si="807"/>
        <v>#VALUE!</v>
      </c>
      <c r="AF1596" t="e">
        <f t="shared" ca="1" si="808"/>
        <v>#VALUE!</v>
      </c>
      <c r="AG1596" t="e">
        <f t="shared" ca="1" si="809"/>
        <v>#VALUE!</v>
      </c>
      <c r="AH1596" t="e">
        <f ca="1">IF(V34="Supercritical",L1596,IF(V34="Subcritical",W1596,IF(AND(V1596=1,AG1596=1),IF(T1596&gt;=AE1596,L1596,W1596),IF(V1596=1,L1596,IF(AG1596=1,W1596,MAX($D$16,POWER((ABS(K1596)^2)/($I$5*MAX(F1596,0.1)^2),1/3)))))))</f>
        <v>#VALUE!</v>
      </c>
      <c r="AI1596" t="e">
        <f t="shared" ca="1" si="810"/>
        <v>#VALUE!</v>
      </c>
      <c r="AJ1596" t="e">
        <f t="shared" ca="1" si="811"/>
        <v>#VALUE!</v>
      </c>
      <c r="AM1596">
        <v>0</v>
      </c>
      <c r="AN1596">
        <v>0</v>
      </c>
      <c r="AO1596">
        <f t="shared" si="812"/>
        <v>0</v>
      </c>
      <c r="AP1596" t="e">
        <f t="shared" ca="1" si="821"/>
        <v>#VALUE!</v>
      </c>
      <c r="AQ1596" t="e">
        <f t="shared" ca="1" si="813"/>
        <v>#VALUE!</v>
      </c>
      <c r="AR1596" t="e">
        <f t="shared" ca="1" si="814"/>
        <v>#VALUE!</v>
      </c>
      <c r="AS1596" t="e">
        <f t="shared" ca="1" si="815"/>
        <v>#VALUE!</v>
      </c>
    </row>
    <row r="1597" spans="1:45" x14ac:dyDescent="0.35">
      <c r="A1597">
        <v>35</v>
      </c>
      <c r="B1597">
        <v>34</v>
      </c>
      <c r="C1597">
        <v>616065.73</v>
      </c>
      <c r="D1597">
        <v>3096587.8679999998</v>
      </c>
      <c r="E1597">
        <v>624.31129999999996</v>
      </c>
      <c r="F1597">
        <v>7.8579999999999997</v>
      </c>
      <c r="G1597">
        <v>0</v>
      </c>
      <c r="H1597" t="s">
        <v>191</v>
      </c>
      <c r="I1597">
        <v>0</v>
      </c>
      <c r="J1597">
        <f t="shared" si="816"/>
        <v>1</v>
      </c>
      <c r="K1597" t="e">
        <f t="shared" ca="1" si="817"/>
        <v>#VALUE!</v>
      </c>
      <c r="L1597" t="e">
        <f t="shared" ca="1" si="818"/>
        <v>#VALUE!</v>
      </c>
      <c r="M1597" t="e">
        <f t="shared" ca="1" si="791"/>
        <v>#VALUE!</v>
      </c>
      <c r="N1597" t="e">
        <f t="shared" ca="1" si="792"/>
        <v>#VALUE!</v>
      </c>
      <c r="O1597" t="e">
        <f t="shared" ca="1" si="793"/>
        <v>#VALUE!</v>
      </c>
      <c r="P1597" t="e">
        <f t="shared" ca="1" si="794"/>
        <v>#VALUE!</v>
      </c>
      <c r="Q1597" t="e">
        <f t="shared" ca="1" si="795"/>
        <v>#VALUE!</v>
      </c>
      <c r="R1597" t="e">
        <f t="shared" ca="1" si="796"/>
        <v>#VALUE!</v>
      </c>
      <c r="S1597" t="e">
        <f t="shared" ca="1" si="797"/>
        <v>#VALUE!</v>
      </c>
      <c r="T1597" t="e">
        <f t="shared" ca="1" si="798"/>
        <v>#VALUE!</v>
      </c>
      <c r="U1597" t="e">
        <f t="shared" ca="1" si="819"/>
        <v>#VALUE!</v>
      </c>
      <c r="V1597" t="e">
        <f t="shared" ca="1" si="820"/>
        <v>#VALUE!</v>
      </c>
      <c r="W1597" t="e">
        <f t="shared" ca="1" si="799"/>
        <v>#VALUE!</v>
      </c>
      <c r="X1597" t="e">
        <f t="shared" ca="1" si="800"/>
        <v>#VALUE!</v>
      </c>
      <c r="Y1597" t="e">
        <f t="shared" ca="1" si="801"/>
        <v>#VALUE!</v>
      </c>
      <c r="Z1597" t="e">
        <f t="shared" ca="1" si="802"/>
        <v>#VALUE!</v>
      </c>
      <c r="AA1597" t="e">
        <f t="shared" ca="1" si="803"/>
        <v>#VALUE!</v>
      </c>
      <c r="AB1597" t="e">
        <f t="shared" ca="1" si="804"/>
        <v>#VALUE!</v>
      </c>
      <c r="AC1597" t="e">
        <f t="shared" ca="1" si="805"/>
        <v>#VALUE!</v>
      </c>
      <c r="AD1597" t="e">
        <f t="shared" ca="1" si="806"/>
        <v>#VALUE!</v>
      </c>
      <c r="AE1597" t="e">
        <f t="shared" ca="1" si="807"/>
        <v>#VALUE!</v>
      </c>
      <c r="AF1597" t="e">
        <f t="shared" ca="1" si="808"/>
        <v>#VALUE!</v>
      </c>
      <c r="AG1597" t="e">
        <f t="shared" ca="1" si="809"/>
        <v>#VALUE!</v>
      </c>
      <c r="AH1597" t="e">
        <f ca="1">IF(V34="Supercritical",L1597,IF(V34="Subcritical",W1597,IF(AND(V1597=1,AG1597=1),IF(T1597&gt;=AE1597,L1597,W1597),IF(V1597=1,L1597,IF(AG1597=1,W1597,MAX($D$16,POWER((ABS(K1597)^2)/($I$5*MAX(F1597,0.1)^2),1/3)))))))</f>
        <v>#VALUE!</v>
      </c>
      <c r="AI1597" t="e">
        <f t="shared" ca="1" si="810"/>
        <v>#VALUE!</v>
      </c>
      <c r="AJ1597" t="e">
        <f t="shared" ca="1" si="811"/>
        <v>#VALUE!</v>
      </c>
      <c r="AM1597">
        <v>0</v>
      </c>
      <c r="AN1597">
        <v>0</v>
      </c>
      <c r="AO1597">
        <f t="shared" si="812"/>
        <v>0</v>
      </c>
      <c r="AP1597" t="e">
        <f t="shared" ca="1" si="821"/>
        <v>#VALUE!</v>
      </c>
      <c r="AQ1597" t="e">
        <f t="shared" ca="1" si="813"/>
        <v>#VALUE!</v>
      </c>
      <c r="AR1597" t="e">
        <f t="shared" ca="1" si="814"/>
        <v>#VALUE!</v>
      </c>
      <c r="AS1597" t="e">
        <f t="shared" ca="1" si="815"/>
        <v>#VALUE!</v>
      </c>
    </row>
    <row r="1598" spans="1:45" x14ac:dyDescent="0.35">
      <c r="A1598">
        <v>36</v>
      </c>
      <c r="B1598">
        <v>35</v>
      </c>
      <c r="C1598">
        <v>616065.73</v>
      </c>
      <c r="D1598">
        <v>3096586.8679999998</v>
      </c>
      <c r="E1598">
        <v>623.72799999999995</v>
      </c>
      <c r="F1598">
        <v>6.8209999999999997</v>
      </c>
      <c r="G1598">
        <v>0</v>
      </c>
      <c r="H1598" t="s">
        <v>191</v>
      </c>
      <c r="I1598">
        <v>0</v>
      </c>
      <c r="J1598">
        <f t="shared" si="816"/>
        <v>1</v>
      </c>
      <c r="K1598" t="e">
        <f t="shared" ca="1" si="817"/>
        <v>#VALUE!</v>
      </c>
      <c r="L1598" t="e">
        <f t="shared" ca="1" si="818"/>
        <v>#VALUE!</v>
      </c>
      <c r="M1598" t="e">
        <f t="shared" ca="1" si="791"/>
        <v>#VALUE!</v>
      </c>
      <c r="N1598" t="e">
        <f t="shared" ca="1" si="792"/>
        <v>#VALUE!</v>
      </c>
      <c r="O1598" t="e">
        <f t="shared" ca="1" si="793"/>
        <v>#VALUE!</v>
      </c>
      <c r="P1598" t="e">
        <f t="shared" ca="1" si="794"/>
        <v>#VALUE!</v>
      </c>
      <c r="Q1598" t="e">
        <f t="shared" ca="1" si="795"/>
        <v>#VALUE!</v>
      </c>
      <c r="R1598" t="e">
        <f t="shared" ca="1" si="796"/>
        <v>#VALUE!</v>
      </c>
      <c r="S1598" t="e">
        <f t="shared" ca="1" si="797"/>
        <v>#VALUE!</v>
      </c>
      <c r="T1598" t="e">
        <f t="shared" ca="1" si="798"/>
        <v>#VALUE!</v>
      </c>
      <c r="U1598" t="e">
        <f t="shared" ca="1" si="819"/>
        <v>#VALUE!</v>
      </c>
      <c r="V1598" t="e">
        <f t="shared" ca="1" si="820"/>
        <v>#VALUE!</v>
      </c>
      <c r="W1598" t="e">
        <f t="shared" ca="1" si="799"/>
        <v>#VALUE!</v>
      </c>
      <c r="X1598" t="e">
        <f t="shared" ca="1" si="800"/>
        <v>#VALUE!</v>
      </c>
      <c r="Y1598" t="e">
        <f t="shared" ca="1" si="801"/>
        <v>#VALUE!</v>
      </c>
      <c r="Z1598" t="e">
        <f t="shared" ca="1" si="802"/>
        <v>#VALUE!</v>
      </c>
      <c r="AA1598" t="e">
        <f t="shared" ca="1" si="803"/>
        <v>#VALUE!</v>
      </c>
      <c r="AB1598" t="e">
        <f t="shared" ca="1" si="804"/>
        <v>#VALUE!</v>
      </c>
      <c r="AC1598" t="e">
        <f t="shared" ca="1" si="805"/>
        <v>#VALUE!</v>
      </c>
      <c r="AD1598" t="e">
        <f t="shared" ca="1" si="806"/>
        <v>#VALUE!</v>
      </c>
      <c r="AE1598" t="e">
        <f t="shared" ca="1" si="807"/>
        <v>#VALUE!</v>
      </c>
      <c r="AF1598" t="e">
        <f t="shared" ca="1" si="808"/>
        <v>#VALUE!</v>
      </c>
      <c r="AG1598" t="e">
        <f t="shared" ca="1" si="809"/>
        <v>#VALUE!</v>
      </c>
      <c r="AH1598" t="e">
        <f ca="1">IF(V34="Supercritical",L1598,IF(V34="Subcritical",W1598,IF(AND(V1598=1,AG1598=1),IF(T1598&gt;=AE1598,L1598,W1598),IF(V1598=1,L1598,IF(AG1598=1,W1598,MAX($D$16,POWER((ABS(K1598)^2)/($I$5*MAX(F1598,0.1)^2),1/3)))))))</f>
        <v>#VALUE!</v>
      </c>
      <c r="AI1598" t="e">
        <f t="shared" ca="1" si="810"/>
        <v>#VALUE!</v>
      </c>
      <c r="AJ1598" t="e">
        <f t="shared" ca="1" si="811"/>
        <v>#VALUE!</v>
      </c>
      <c r="AM1598">
        <v>0</v>
      </c>
      <c r="AN1598">
        <v>0</v>
      </c>
      <c r="AO1598">
        <f t="shared" si="812"/>
        <v>0</v>
      </c>
      <c r="AP1598" t="e">
        <f t="shared" ca="1" si="821"/>
        <v>#VALUE!</v>
      </c>
      <c r="AQ1598" t="e">
        <f t="shared" ca="1" si="813"/>
        <v>#VALUE!</v>
      </c>
      <c r="AR1598" t="e">
        <f t="shared" ca="1" si="814"/>
        <v>#VALUE!</v>
      </c>
      <c r="AS1598" t="e">
        <f t="shared" ca="1" si="815"/>
        <v>#VALUE!</v>
      </c>
    </row>
    <row r="1599" spans="1:45" x14ac:dyDescent="0.35">
      <c r="A1599">
        <v>37</v>
      </c>
      <c r="B1599">
        <v>36</v>
      </c>
      <c r="C1599">
        <v>616065.73</v>
      </c>
      <c r="D1599">
        <v>3096585.8679999998</v>
      </c>
      <c r="E1599">
        <v>623.14469999999994</v>
      </c>
      <c r="F1599">
        <v>5.7830000000000004</v>
      </c>
      <c r="G1599">
        <v>0</v>
      </c>
      <c r="H1599" t="s">
        <v>191</v>
      </c>
      <c r="I1599">
        <v>0</v>
      </c>
      <c r="J1599">
        <f t="shared" si="816"/>
        <v>1</v>
      </c>
      <c r="K1599" t="e">
        <f t="shared" ca="1" si="817"/>
        <v>#VALUE!</v>
      </c>
      <c r="L1599" t="e">
        <f t="shared" ca="1" si="818"/>
        <v>#VALUE!</v>
      </c>
      <c r="M1599" t="e">
        <f t="shared" ca="1" si="791"/>
        <v>#VALUE!</v>
      </c>
      <c r="N1599" t="e">
        <f t="shared" ca="1" si="792"/>
        <v>#VALUE!</v>
      </c>
      <c r="O1599" t="e">
        <f t="shared" ca="1" si="793"/>
        <v>#VALUE!</v>
      </c>
      <c r="P1599" t="e">
        <f t="shared" ca="1" si="794"/>
        <v>#VALUE!</v>
      </c>
      <c r="Q1599" t="e">
        <f t="shared" ca="1" si="795"/>
        <v>#VALUE!</v>
      </c>
      <c r="R1599" t="e">
        <f t="shared" ca="1" si="796"/>
        <v>#VALUE!</v>
      </c>
      <c r="S1599" t="e">
        <f t="shared" ca="1" si="797"/>
        <v>#VALUE!</v>
      </c>
      <c r="T1599" t="e">
        <f t="shared" ca="1" si="798"/>
        <v>#VALUE!</v>
      </c>
      <c r="U1599" t="e">
        <f t="shared" ca="1" si="819"/>
        <v>#VALUE!</v>
      </c>
      <c r="V1599" t="e">
        <f t="shared" ca="1" si="820"/>
        <v>#VALUE!</v>
      </c>
      <c r="W1599" t="e">
        <f t="shared" ca="1" si="799"/>
        <v>#VALUE!</v>
      </c>
      <c r="X1599" t="e">
        <f t="shared" ca="1" si="800"/>
        <v>#VALUE!</v>
      </c>
      <c r="Y1599" t="e">
        <f t="shared" ca="1" si="801"/>
        <v>#VALUE!</v>
      </c>
      <c r="Z1599" t="e">
        <f t="shared" ca="1" si="802"/>
        <v>#VALUE!</v>
      </c>
      <c r="AA1599" t="e">
        <f t="shared" ca="1" si="803"/>
        <v>#VALUE!</v>
      </c>
      <c r="AB1599" t="e">
        <f t="shared" ca="1" si="804"/>
        <v>#VALUE!</v>
      </c>
      <c r="AC1599" t="e">
        <f t="shared" ca="1" si="805"/>
        <v>#VALUE!</v>
      </c>
      <c r="AD1599" t="e">
        <f t="shared" ca="1" si="806"/>
        <v>#VALUE!</v>
      </c>
      <c r="AE1599" t="e">
        <f t="shared" ca="1" si="807"/>
        <v>#VALUE!</v>
      </c>
      <c r="AF1599" t="e">
        <f t="shared" ca="1" si="808"/>
        <v>#VALUE!</v>
      </c>
      <c r="AG1599" t="e">
        <f t="shared" ca="1" si="809"/>
        <v>#VALUE!</v>
      </c>
      <c r="AH1599" t="e">
        <f ca="1">IF(V34="Supercritical",L1599,IF(V34="Subcritical",W1599,IF(AND(V1599=1,AG1599=1),IF(T1599&gt;=AE1599,L1599,W1599),IF(V1599=1,L1599,IF(AG1599=1,W1599,MAX($D$16,POWER((ABS(K1599)^2)/($I$5*MAX(F1599,0.1)^2),1/3)))))))</f>
        <v>#VALUE!</v>
      </c>
      <c r="AI1599" t="e">
        <f t="shared" ca="1" si="810"/>
        <v>#VALUE!</v>
      </c>
      <c r="AJ1599" t="e">
        <f t="shared" ca="1" si="811"/>
        <v>#VALUE!</v>
      </c>
      <c r="AM1599">
        <v>0</v>
      </c>
      <c r="AN1599">
        <v>0</v>
      </c>
      <c r="AO1599">
        <f t="shared" si="812"/>
        <v>0</v>
      </c>
      <c r="AP1599" t="e">
        <f t="shared" ca="1" si="821"/>
        <v>#VALUE!</v>
      </c>
      <c r="AQ1599" t="e">
        <f t="shared" ca="1" si="813"/>
        <v>#VALUE!</v>
      </c>
      <c r="AR1599" t="e">
        <f t="shared" ca="1" si="814"/>
        <v>#VALUE!</v>
      </c>
      <c r="AS1599" t="e">
        <f t="shared" ca="1" si="815"/>
        <v>#VALUE!</v>
      </c>
    </row>
    <row r="1600" spans="1:45" x14ac:dyDescent="0.35">
      <c r="A1600">
        <v>38</v>
      </c>
      <c r="B1600">
        <v>37</v>
      </c>
      <c r="C1600">
        <v>616065.73</v>
      </c>
      <c r="D1600">
        <v>3096584.8679999998</v>
      </c>
      <c r="E1600">
        <v>622.56129999999996</v>
      </c>
      <c r="F1600">
        <v>5.0049999999999999</v>
      </c>
      <c r="G1600">
        <v>0</v>
      </c>
      <c r="H1600" t="s">
        <v>191</v>
      </c>
      <c r="I1600">
        <v>0</v>
      </c>
      <c r="J1600">
        <f t="shared" si="816"/>
        <v>1</v>
      </c>
      <c r="K1600" t="e">
        <f t="shared" ca="1" si="817"/>
        <v>#VALUE!</v>
      </c>
      <c r="L1600" t="e">
        <f t="shared" ca="1" si="818"/>
        <v>#VALUE!</v>
      </c>
      <c r="M1600" t="e">
        <f t="shared" ca="1" si="791"/>
        <v>#VALUE!</v>
      </c>
      <c r="N1600" t="e">
        <f t="shared" ca="1" si="792"/>
        <v>#VALUE!</v>
      </c>
      <c r="O1600" t="e">
        <f t="shared" ca="1" si="793"/>
        <v>#VALUE!</v>
      </c>
      <c r="P1600" t="e">
        <f t="shared" ca="1" si="794"/>
        <v>#VALUE!</v>
      </c>
      <c r="Q1600" t="e">
        <f t="shared" ca="1" si="795"/>
        <v>#VALUE!</v>
      </c>
      <c r="R1600" t="e">
        <f t="shared" ca="1" si="796"/>
        <v>#VALUE!</v>
      </c>
      <c r="S1600" t="e">
        <f t="shared" ca="1" si="797"/>
        <v>#VALUE!</v>
      </c>
      <c r="T1600" t="e">
        <f t="shared" ca="1" si="798"/>
        <v>#VALUE!</v>
      </c>
      <c r="U1600" t="e">
        <f t="shared" ca="1" si="819"/>
        <v>#VALUE!</v>
      </c>
      <c r="V1600" t="e">
        <f t="shared" ca="1" si="820"/>
        <v>#VALUE!</v>
      </c>
      <c r="W1600" t="e">
        <f t="shared" ca="1" si="799"/>
        <v>#VALUE!</v>
      </c>
      <c r="X1600" t="e">
        <f t="shared" ca="1" si="800"/>
        <v>#VALUE!</v>
      </c>
      <c r="Y1600" t="e">
        <f t="shared" ca="1" si="801"/>
        <v>#VALUE!</v>
      </c>
      <c r="Z1600" t="e">
        <f t="shared" ca="1" si="802"/>
        <v>#VALUE!</v>
      </c>
      <c r="AA1600" t="e">
        <f t="shared" ca="1" si="803"/>
        <v>#VALUE!</v>
      </c>
      <c r="AB1600" t="e">
        <f t="shared" ca="1" si="804"/>
        <v>#VALUE!</v>
      </c>
      <c r="AC1600" t="e">
        <f t="shared" ca="1" si="805"/>
        <v>#VALUE!</v>
      </c>
      <c r="AD1600" t="e">
        <f t="shared" ca="1" si="806"/>
        <v>#VALUE!</v>
      </c>
      <c r="AE1600" t="e">
        <f t="shared" ca="1" si="807"/>
        <v>#VALUE!</v>
      </c>
      <c r="AF1600" t="e">
        <f t="shared" ca="1" si="808"/>
        <v>#VALUE!</v>
      </c>
      <c r="AG1600" t="e">
        <f t="shared" ca="1" si="809"/>
        <v>#VALUE!</v>
      </c>
      <c r="AH1600" t="e">
        <f ca="1">IF(V34="Supercritical",L1600,IF(V34="Subcritical",W1600,IF(AND(V1600=1,AG1600=1),IF(T1600&gt;=AE1600,L1600,W1600),IF(V1600=1,L1600,IF(AG1600=1,W1600,MAX($D$16,POWER((ABS(K1600)^2)/($I$5*MAX(F1600,0.1)^2),1/3)))))))</f>
        <v>#VALUE!</v>
      </c>
      <c r="AI1600" t="e">
        <f t="shared" ca="1" si="810"/>
        <v>#VALUE!</v>
      </c>
      <c r="AJ1600" t="e">
        <f t="shared" ca="1" si="811"/>
        <v>#VALUE!</v>
      </c>
      <c r="AM1600">
        <v>0</v>
      </c>
      <c r="AN1600">
        <v>0</v>
      </c>
      <c r="AO1600">
        <f t="shared" si="812"/>
        <v>0</v>
      </c>
      <c r="AP1600" t="e">
        <f t="shared" ca="1" si="821"/>
        <v>#VALUE!</v>
      </c>
      <c r="AQ1600" t="e">
        <f t="shared" ca="1" si="813"/>
        <v>#VALUE!</v>
      </c>
      <c r="AR1600" t="e">
        <f t="shared" ca="1" si="814"/>
        <v>#VALUE!</v>
      </c>
      <c r="AS1600" t="e">
        <f t="shared" ca="1" si="815"/>
        <v>#VALUE!</v>
      </c>
    </row>
    <row r="1601" spans="1:45" x14ac:dyDescent="0.35">
      <c r="A1601">
        <v>39</v>
      </c>
      <c r="B1601">
        <v>38</v>
      </c>
      <c r="C1601">
        <v>616065.73</v>
      </c>
      <c r="D1601">
        <v>3096583.8679999998</v>
      </c>
      <c r="E1601">
        <v>621.97799999999995</v>
      </c>
      <c r="F1601">
        <v>5.0049999999999999</v>
      </c>
      <c r="G1601">
        <v>0</v>
      </c>
      <c r="H1601" t="s">
        <v>191</v>
      </c>
      <c r="I1601">
        <v>0</v>
      </c>
      <c r="J1601">
        <f t="shared" si="816"/>
        <v>1</v>
      </c>
      <c r="K1601" t="e">
        <f t="shared" ca="1" si="817"/>
        <v>#VALUE!</v>
      </c>
      <c r="L1601" t="e">
        <f t="shared" ca="1" si="818"/>
        <v>#VALUE!</v>
      </c>
      <c r="M1601" t="e">
        <f t="shared" ca="1" si="791"/>
        <v>#VALUE!</v>
      </c>
      <c r="N1601" t="e">
        <f t="shared" ca="1" si="792"/>
        <v>#VALUE!</v>
      </c>
      <c r="O1601" t="e">
        <f t="shared" ca="1" si="793"/>
        <v>#VALUE!</v>
      </c>
      <c r="P1601" t="e">
        <f t="shared" ca="1" si="794"/>
        <v>#VALUE!</v>
      </c>
      <c r="Q1601" t="e">
        <f t="shared" ca="1" si="795"/>
        <v>#VALUE!</v>
      </c>
      <c r="R1601" t="e">
        <f t="shared" ca="1" si="796"/>
        <v>#VALUE!</v>
      </c>
      <c r="S1601" t="e">
        <f t="shared" ca="1" si="797"/>
        <v>#VALUE!</v>
      </c>
      <c r="T1601" t="e">
        <f t="shared" ca="1" si="798"/>
        <v>#VALUE!</v>
      </c>
      <c r="U1601" t="e">
        <f t="shared" ca="1" si="819"/>
        <v>#VALUE!</v>
      </c>
      <c r="V1601" t="e">
        <f t="shared" ca="1" si="820"/>
        <v>#VALUE!</v>
      </c>
      <c r="W1601">
        <f>MAX($D$16,(P7)-E1601)</f>
        <v>13.522000000000048</v>
      </c>
      <c r="X1601">
        <f t="shared" si="800"/>
        <v>67.677610000000243</v>
      </c>
      <c r="Y1601">
        <f t="shared" si="801"/>
        <v>2.1116917844550542</v>
      </c>
      <c r="Z1601" t="e">
        <f t="shared" ca="1" si="802"/>
        <v>#VALUE!</v>
      </c>
      <c r="AA1601">
        <f t="shared" si="803"/>
        <v>635.5</v>
      </c>
      <c r="AB1601" t="e">
        <f t="shared" ca="1" si="804"/>
        <v>#VALUE!</v>
      </c>
      <c r="AC1601" t="e">
        <f t="shared" ca="1" si="805"/>
        <v>#VALUE!</v>
      </c>
      <c r="AD1601" t="e">
        <f t="shared" ca="1" si="806"/>
        <v>#VALUE!</v>
      </c>
      <c r="AE1601" t="e">
        <f t="shared" ca="1" si="807"/>
        <v>#VALUE!</v>
      </c>
      <c r="AF1601">
        <v>0</v>
      </c>
      <c r="AG1601">
        <v>1</v>
      </c>
      <c r="AH1601" t="e">
        <f ca="1">IF(V34="Supercritical",L1601,IF(V34="Subcritical",W1601,IF(AND(V1601=1,AG1601=1),IF(T1601&gt;=AE1601,L1601,W1601),IF(V1601=1,L1601,IF(AG1601=1,W1601,MAX($D$16,POWER((ABS(K1601)^2)/($I$5*MAX(F1601,0.1)^2),1/3)))))))</f>
        <v>#VALUE!</v>
      </c>
      <c r="AI1601" t="e">
        <f t="shared" ca="1" si="810"/>
        <v>#VALUE!</v>
      </c>
      <c r="AJ1601" t="e">
        <f t="shared" ca="1" si="811"/>
        <v>#VALUE!</v>
      </c>
      <c r="AM1601">
        <v>0</v>
      </c>
      <c r="AN1601">
        <v>0</v>
      </c>
      <c r="AO1601">
        <f t="shared" si="812"/>
        <v>0</v>
      </c>
      <c r="AP1601" t="e">
        <f t="shared" ca="1" si="821"/>
        <v>#VALUE!</v>
      </c>
      <c r="AQ1601" t="e">
        <f t="shared" ca="1" si="813"/>
        <v>#VALUE!</v>
      </c>
      <c r="AR1601" t="e">
        <f t="shared" ca="1" si="814"/>
        <v>#VALUE!</v>
      </c>
      <c r="AS1601" t="e">
        <f t="shared" ca="1" si="815"/>
        <v>#VALUE!</v>
      </c>
    </row>
    <row r="1604" spans="1:45" x14ac:dyDescent="0.35">
      <c r="A1604" t="s">
        <v>196</v>
      </c>
      <c r="E1604">
        <f>E35</f>
        <v>34.930999999999997</v>
      </c>
      <c r="F1604" t="s">
        <v>141</v>
      </c>
      <c r="H1604">
        <f>N35</f>
        <v>51</v>
      </c>
      <c r="I1604" t="s">
        <v>13</v>
      </c>
      <c r="K1604" t="str">
        <f>V35</f>
        <v>Mixed</v>
      </c>
      <c r="L1604" t="s">
        <v>142</v>
      </c>
    </row>
    <row r="1605" spans="1:45" x14ac:dyDescent="0.35">
      <c r="A1605" t="s">
        <v>143</v>
      </c>
      <c r="B1605" t="s">
        <v>144</v>
      </c>
      <c r="C1605" t="s">
        <v>145</v>
      </c>
      <c r="D1605" t="s">
        <v>146</v>
      </c>
      <c r="E1605" t="s">
        <v>147</v>
      </c>
      <c r="F1605" t="s">
        <v>148</v>
      </c>
      <c r="G1605" t="s">
        <v>149</v>
      </c>
      <c r="H1605" t="s">
        <v>9</v>
      </c>
      <c r="I1605" t="s">
        <v>150</v>
      </c>
      <c r="J1605" t="s">
        <v>151</v>
      </c>
      <c r="K1605" t="s">
        <v>152</v>
      </c>
      <c r="L1605" t="s">
        <v>153</v>
      </c>
      <c r="M1605" t="s">
        <v>154</v>
      </c>
      <c r="N1605" t="s">
        <v>155</v>
      </c>
      <c r="O1605" t="s">
        <v>156</v>
      </c>
      <c r="P1605" t="s">
        <v>157</v>
      </c>
      <c r="Q1605" t="s">
        <v>158</v>
      </c>
      <c r="R1605" t="s">
        <v>159</v>
      </c>
      <c r="S1605" t="s">
        <v>160</v>
      </c>
      <c r="T1605" t="s">
        <v>161</v>
      </c>
      <c r="U1605" t="s">
        <v>162</v>
      </c>
      <c r="V1605" t="s">
        <v>163</v>
      </c>
      <c r="W1605" t="s">
        <v>164</v>
      </c>
      <c r="X1605" t="s">
        <v>165</v>
      </c>
      <c r="Y1605" t="s">
        <v>166</v>
      </c>
      <c r="Z1605" t="s">
        <v>167</v>
      </c>
      <c r="AA1605" t="s">
        <v>168</v>
      </c>
      <c r="AB1605" t="s">
        <v>169</v>
      </c>
      <c r="AC1605" t="s">
        <v>170</v>
      </c>
      <c r="AD1605" t="s">
        <v>171</v>
      </c>
      <c r="AE1605" t="s">
        <v>172</v>
      </c>
      <c r="AF1605" t="s">
        <v>173</v>
      </c>
      <c r="AG1605" t="s">
        <v>174</v>
      </c>
      <c r="AH1605" t="s">
        <v>175</v>
      </c>
      <c r="AI1605" t="s">
        <v>176</v>
      </c>
      <c r="AJ1605" t="s">
        <v>177</v>
      </c>
      <c r="AK1605" t="s">
        <v>178</v>
      </c>
      <c r="AL1605" t="s">
        <v>179</v>
      </c>
      <c r="AM1605" t="s">
        <v>180</v>
      </c>
      <c r="AN1605" t="s">
        <v>181</v>
      </c>
      <c r="AO1605" t="s">
        <v>182</v>
      </c>
      <c r="AP1605" t="s">
        <v>183</v>
      </c>
      <c r="AQ1605" t="s">
        <v>184</v>
      </c>
      <c r="AR1605" t="s">
        <v>185</v>
      </c>
      <c r="AS1605" t="s">
        <v>186</v>
      </c>
    </row>
    <row r="1606" spans="1:45" x14ac:dyDescent="0.35">
      <c r="A1606" t="s">
        <v>22</v>
      </c>
      <c r="B1606" t="s">
        <v>52</v>
      </c>
      <c r="C1606" t="s">
        <v>52</v>
      </c>
      <c r="D1606" t="s">
        <v>52</v>
      </c>
      <c r="E1606" t="s">
        <v>52</v>
      </c>
      <c r="F1606" t="s">
        <v>52</v>
      </c>
      <c r="G1606" t="s">
        <v>22</v>
      </c>
      <c r="H1606" t="s">
        <v>22</v>
      </c>
      <c r="I1606" t="s">
        <v>187</v>
      </c>
      <c r="J1606" t="s">
        <v>52</v>
      </c>
      <c r="K1606" t="s">
        <v>13</v>
      </c>
      <c r="L1606" t="s">
        <v>52</v>
      </c>
      <c r="M1606" t="s">
        <v>188</v>
      </c>
      <c r="N1606" t="s">
        <v>52</v>
      </c>
      <c r="O1606" t="s">
        <v>189</v>
      </c>
      <c r="P1606" t="s">
        <v>52</v>
      </c>
      <c r="Q1606" t="s">
        <v>52</v>
      </c>
      <c r="R1606" t="s">
        <v>22</v>
      </c>
      <c r="S1606" t="s">
        <v>22</v>
      </c>
      <c r="T1606" t="s">
        <v>190</v>
      </c>
      <c r="U1606" t="s">
        <v>52</v>
      </c>
      <c r="V1606" t="s">
        <v>22</v>
      </c>
      <c r="W1606" t="s">
        <v>52</v>
      </c>
      <c r="X1606" t="s">
        <v>188</v>
      </c>
      <c r="Y1606" t="s">
        <v>52</v>
      </c>
      <c r="Z1606" t="s">
        <v>189</v>
      </c>
      <c r="AA1606" t="s">
        <v>52</v>
      </c>
      <c r="AB1606" t="s">
        <v>52</v>
      </c>
      <c r="AC1606" t="s">
        <v>22</v>
      </c>
      <c r="AD1606" t="s">
        <v>22</v>
      </c>
      <c r="AE1606" t="s">
        <v>190</v>
      </c>
      <c r="AF1606" t="s">
        <v>52</v>
      </c>
      <c r="AG1606" t="s">
        <v>22</v>
      </c>
      <c r="AH1606" t="s">
        <v>52</v>
      </c>
      <c r="AI1606" t="s">
        <v>52</v>
      </c>
      <c r="AJ1606" t="s">
        <v>52</v>
      </c>
      <c r="AK1606" t="s">
        <v>52</v>
      </c>
      <c r="AL1606" t="s">
        <v>52</v>
      </c>
      <c r="AM1606" t="s">
        <v>13</v>
      </c>
      <c r="AN1606" t="s">
        <v>13</v>
      </c>
      <c r="AO1606" t="s">
        <v>13</v>
      </c>
      <c r="AP1606" t="s">
        <v>13</v>
      </c>
      <c r="AQ1606" t="s">
        <v>22</v>
      </c>
      <c r="AR1606" t="s">
        <v>22</v>
      </c>
      <c r="AS1606" t="s">
        <v>22</v>
      </c>
    </row>
    <row r="1607" spans="1:45" x14ac:dyDescent="0.35">
      <c r="A1607">
        <v>1</v>
      </c>
      <c r="B1607">
        <v>0</v>
      </c>
      <c r="C1607">
        <v>616065.73</v>
      </c>
      <c r="D1607">
        <v>3096621.8679999998</v>
      </c>
      <c r="E1607">
        <v>631.5</v>
      </c>
      <c r="F1607">
        <v>10.206</v>
      </c>
      <c r="G1607">
        <v>0</v>
      </c>
      <c r="H1607" t="s">
        <v>192</v>
      </c>
      <c r="I1607">
        <v>0</v>
      </c>
      <c r="J1607">
        <v>0</v>
      </c>
      <c r="K1607">
        <f>N35</f>
        <v>51</v>
      </c>
      <c r="L1607">
        <f>MAX($D$16,($I$14)-E1607)</f>
        <v>51800.64183766341</v>
      </c>
      <c r="M1607">
        <f t="shared" ref="M1607:M1642" si="823">((F1607)+(G1607)*(L1607))*(L1607)</f>
        <v>528677.35059519275</v>
      </c>
      <c r="N1607">
        <f t="shared" ref="N1607:N1642" si="824">(((F1607)+(G1607)*(L1607))*(L1607))/MAX((F1607)+2*(L1607)*SQRT(1+(G1607)^2),0.000001)</f>
        <v>5.1024973412875037</v>
      </c>
      <c r="O1607">
        <f t="shared" ref="O1607:O1642" si="825">ABS(K1607)/MAX(((F1607)+(G1607)*(L1607))*(L1607),0.000001)</f>
        <v>9.6467155142136222E-5</v>
      </c>
      <c r="P1607">
        <f t="shared" ref="P1607:P1642" si="826">E1607+L1607</f>
        <v>52432.14183766341</v>
      </c>
      <c r="Q1607">
        <f t="shared" ref="Q1607:Q1642" si="827">P1607+((ABS(K1607)/MAX(((F1607)+(G1607)*(L1607))*(L1607),0.000001))^2)/(2*$I$5)</f>
        <v>52432.141837663883</v>
      </c>
      <c r="R1607">
        <f t="shared" ref="R1607:R1642" si="828">((ABS(K1607)*$D$6)/(MAX(((F1607)+(G1607)*(L1607))*(L1607),0.000001)*MAX(((((F1607)+(G1607)*(L1607))*(L1607))/MAX((F1607)+2*(L1607)*SQRT(1+(G1607)^2),0.000001))^(2/3),0.000001)))^2</f>
        <v>2.3835873817251918E-13</v>
      </c>
      <c r="S1607">
        <f t="shared" ref="S1607:S1642" si="829">ABS(ABS(K1607)/MAX(((F1607)+(G1607)*(L1607))*(L1607),0.000001))/SQRT($I$5*MAX((((F1607)+(G1607)*(L1607))*(L1607))/MAX((F1607)+2*(G1607)*(L1607),0.000001),0.000001))</f>
        <v>1.3532480097338445E-7</v>
      </c>
      <c r="T1607">
        <f t="shared" ref="T1607:T1642" si="830">((F1607)*(L1607)^2)/2+(G1607)*(L1607)^3/3+(ABS(K1607)^2)/($I$5*MAX(((F1607)+(G1607)*(L1607))*(L1607),0.000001))</f>
        <v>13692913042.933695</v>
      </c>
      <c r="U1607">
        <v>0</v>
      </c>
      <c r="V1607">
        <v>1</v>
      </c>
      <c r="W1607" t="e">
        <f t="shared" ref="W1607:W1641" ca="1" si="831">IF($D$20=0,W1608,IF(AG1608=0,W1608,IF(W1607=0,W1608,IF(ABS(AF1607)&gt;$D$19,MAX($D$16,W1607+((AF1607)*$D$18*IF((AD1607)&lt;1,1,-1))),W1607))))</f>
        <v>#VALUE!</v>
      </c>
      <c r="X1607" t="e">
        <f t="shared" ref="X1607:X1642" ca="1" si="832">((F1607)+(G1607)*(W1607))*(W1607)</f>
        <v>#VALUE!</v>
      </c>
      <c r="Y1607" t="e">
        <f t="shared" ref="Y1607:Y1642" ca="1" si="833">(((F1607)+(G1607)*(W1607))*(W1607))/MAX((F1607)+2*(W1607)*SQRT(1+(G1607)^2),0.000001)</f>
        <v>#VALUE!</v>
      </c>
      <c r="Z1607" t="e">
        <f t="shared" ref="Z1607:Z1642" ca="1" si="834">ABS(K1607)/MAX(((F1607)+(G1607)*(W1607))*(W1607),0.000001)</f>
        <v>#VALUE!</v>
      </c>
      <c r="AA1607" t="e">
        <f t="shared" ref="AA1607:AA1642" ca="1" si="835">E1607+W1607</f>
        <v>#VALUE!</v>
      </c>
      <c r="AB1607" t="e">
        <f t="shared" ref="AB1607:AB1642" ca="1" si="836">AA1607+((ABS(K1607)/MAX(((F1607)+(G1607)*(W1607))*(W1607),0.000001))^2)/(2*$I$5)</f>
        <v>#VALUE!</v>
      </c>
      <c r="AC1607" t="e">
        <f t="shared" ref="AC1607:AC1642" ca="1" si="837">((ABS(K1607)*$D$6)/(MAX(((F1607)+(G1607)*(W1607))*(W1607),0.000001)*MAX(((((F1607)+(G1607)*(W1607))*(W1607))/MAX((F1607)+2*(W1607)*SQRT(1+(G1607)^2),0.000001))^(2/3),0.000001)))^2</f>
        <v>#VALUE!</v>
      </c>
      <c r="AD1607" t="e">
        <f t="shared" ref="AD1607:AD1642" ca="1" si="838">ABS(ABS(K1607)/MAX(((F1607)+(G1607)*(W1607))*(W1607),0.000001))/SQRT($I$5*MAX((((F1607)+(G1607)*(W1607))*(W1607))/MAX((F1607)+2*(G1607)*(W1607),0.000001),0.000001))</f>
        <v>#VALUE!</v>
      </c>
      <c r="AE1607" t="e">
        <f t="shared" ref="AE1607:AE1642" ca="1" si="839">((F1607)*(W1607)^2)/2+(G1607)*(W1607)^3/3+(ABS(K1607)^2)/($I$5*MAX(((F1607)+(G1607)*(W1607))*(W1607),0.000001))</f>
        <v>#VALUE!</v>
      </c>
      <c r="AF1607" t="e">
        <f t="shared" ref="AF1607:AF1641" ca="1" si="840">AB1608+(((AC1607+AC1608)/2)*J1608)+(IF(Z1607&gt;Z1608,$D$8*((Z1607^2-Z1608^2)/(2*$I$5)),$D$9*((Z1608^2-Z1607^2)/(2*$I$5)))+($D$10*(ABS(I1608)/90)*(MAX(Z1607^2,Z1608^2)/(2*$I$5))))-AB1607</f>
        <v>#VALUE!</v>
      </c>
      <c r="AG1607" t="e">
        <f t="shared" ref="AG1607:AG1641" ca="1" si="841">IF(ABS(AF1607)&lt;$D$19,1,0)</f>
        <v>#VALUE!</v>
      </c>
      <c r="AH1607" t="e">
        <f ca="1">IF(V35="Supercritical",L1607,IF(V35="Subcritical",W1607,IF(AND(V1607=1,AG1607=1),IF(T1607&gt;=AE1607,L1607,W1607),IF(V1607=1,L1607,IF(AG1607=1,W1607,MAX($D$16,POWER((ABS(K1607)^2)/($I$5*MAX(F1607,0.1)^2),1/3)))))))</f>
        <v>#VALUE!</v>
      </c>
      <c r="AI1607" t="e">
        <f t="shared" ref="AI1607:AI1642" ca="1" si="842">E1607+AH1607</f>
        <v>#VALUE!</v>
      </c>
      <c r="AJ1607" t="e">
        <f t="shared" ref="AJ1607:AJ1642" ca="1" si="843">AI1607+((ABS(K1607)/MAX(((F1607)+(G1607)*(AH1607))*(AH1607),0.000001))^2)/(2*$I$5)</f>
        <v>#VALUE!</v>
      </c>
      <c r="AM1607">
        <v>0</v>
      </c>
      <c r="AN1607">
        <v>0</v>
      </c>
      <c r="AO1607">
        <f t="shared" ref="AO1607:AO1641" si="844">AM1607+AN1607</f>
        <v>0</v>
      </c>
      <c r="AP1607">
        <f>AO1607</f>
        <v>0</v>
      </c>
      <c r="AQ1607" t="e">
        <f t="shared" ref="AQ1607:AQ1642" ca="1" si="845">ABS(ABS(K1607)/MAX(((F1607)+(G1607)*(AH1607))*(AH1607),0.000001))/SQRT($I$5*MAX((((F1607)+(G1607)*(AH1607))*(AH1607))/MAX((F1607)+2*(G1607)*(AH1607),0.000001),0.000001))</f>
        <v>#VALUE!</v>
      </c>
      <c r="AR1607" t="e">
        <f t="shared" ref="AR1607:AR1642" ca="1" si="846">IF(AQ1607&lt;1,"Subcritical","Supercritical")</f>
        <v>#VALUE!</v>
      </c>
      <c r="AS1607" t="e">
        <f t="shared" ref="AS1607:AS1642" ca="1" si="847">((ABS(K1607)*$D$6)/(MAX(((F1607)+(G1607)*(AH1607))*(AH1607),0.000001)*MAX(((((F1607)+(G1607)*(AH1607))*(AH1607))/MAX((F1607)+2*(AH1607)*SQRT(1+(G1607)^2),0.000001))^(2/3),0.000001)))^2</f>
        <v>#VALUE!</v>
      </c>
    </row>
    <row r="1608" spans="1:45" x14ac:dyDescent="0.35">
      <c r="A1608">
        <v>2</v>
      </c>
      <c r="B1608">
        <v>1</v>
      </c>
      <c r="C1608">
        <v>616066.68200000003</v>
      </c>
      <c r="D1608">
        <v>3096621.5619999999</v>
      </c>
      <c r="E1608">
        <v>631.5</v>
      </c>
      <c r="F1608">
        <v>12.125999999999999</v>
      </c>
      <c r="G1608">
        <v>0</v>
      </c>
      <c r="H1608" t="s">
        <v>192</v>
      </c>
      <c r="I1608">
        <v>7.1999999999999995E-2</v>
      </c>
      <c r="J1608">
        <f t="shared" ref="J1608:J1642" si="848">B1608-B1607</f>
        <v>1</v>
      </c>
      <c r="K1608">
        <f t="shared" ref="K1608:K1642" si="849">MAX(0,K1607-AO1607)</f>
        <v>51</v>
      </c>
      <c r="L1608" t="e">
        <f t="shared" ref="L1608:L1642" ca="1" si="850">IF($D$20=0,L1607,IF(V1607=0,L1607,IF(L1608=0,L1607,IF(ABS(U1608)&gt;$D$19,MAX($D$16,L1608+((U1608)*$D$18*IF((S1608)&lt;1,1,-1))),L1608))))</f>
        <v>#VALUE!</v>
      </c>
      <c r="M1608" t="e">
        <f t="shared" ca="1" si="823"/>
        <v>#VALUE!</v>
      </c>
      <c r="N1608" t="e">
        <f t="shared" ca="1" si="824"/>
        <v>#VALUE!</v>
      </c>
      <c r="O1608" t="e">
        <f t="shared" ca="1" si="825"/>
        <v>#VALUE!</v>
      </c>
      <c r="P1608" t="e">
        <f t="shared" ca="1" si="826"/>
        <v>#VALUE!</v>
      </c>
      <c r="Q1608" t="e">
        <f t="shared" ca="1" si="827"/>
        <v>#VALUE!</v>
      </c>
      <c r="R1608" t="e">
        <f t="shared" ca="1" si="828"/>
        <v>#VALUE!</v>
      </c>
      <c r="S1608" t="e">
        <f t="shared" ca="1" si="829"/>
        <v>#VALUE!</v>
      </c>
      <c r="T1608" t="e">
        <f t="shared" ca="1" si="830"/>
        <v>#VALUE!</v>
      </c>
      <c r="U1608" t="e">
        <f t="shared" ref="U1608:U1642" ca="1" si="851">Q1607-(((R1607+R1608)/2)*J1608)-(IF(O1607&gt;O1608,$D$8*((O1607^2-O1608^2)/(2*$I$5)),$D$9*((O1608^2-O1607^2)/(2*$I$5)))+($D$10*(ABS(I1608)/90)*(MAX(O1607^2,O1608^2)/(2*$I$5))))-Q1608</f>
        <v>#VALUE!</v>
      </c>
      <c r="V1608" t="e">
        <f t="shared" ref="V1608:V1642" ca="1" si="852">IF(ABS(U1608)&lt;$D$19,1,0)</f>
        <v>#VALUE!</v>
      </c>
      <c r="W1608" t="e">
        <f t="shared" ca="1" si="831"/>
        <v>#VALUE!</v>
      </c>
      <c r="X1608" t="e">
        <f t="shared" ca="1" si="832"/>
        <v>#VALUE!</v>
      </c>
      <c r="Y1608" t="e">
        <f t="shared" ca="1" si="833"/>
        <v>#VALUE!</v>
      </c>
      <c r="Z1608" t="e">
        <f t="shared" ca="1" si="834"/>
        <v>#VALUE!</v>
      </c>
      <c r="AA1608" t="e">
        <f t="shared" ca="1" si="835"/>
        <v>#VALUE!</v>
      </c>
      <c r="AB1608" t="e">
        <f t="shared" ca="1" si="836"/>
        <v>#VALUE!</v>
      </c>
      <c r="AC1608" t="e">
        <f t="shared" ca="1" si="837"/>
        <v>#VALUE!</v>
      </c>
      <c r="AD1608" t="e">
        <f t="shared" ca="1" si="838"/>
        <v>#VALUE!</v>
      </c>
      <c r="AE1608" t="e">
        <f t="shared" ca="1" si="839"/>
        <v>#VALUE!</v>
      </c>
      <c r="AF1608" t="e">
        <f t="shared" ca="1" si="840"/>
        <v>#VALUE!</v>
      </c>
      <c r="AG1608" t="e">
        <f t="shared" ca="1" si="841"/>
        <v>#VALUE!</v>
      </c>
      <c r="AH1608" t="e">
        <f ca="1">IF(V35="Supercritical",L1608,IF(V35="Subcritical",W1608,IF(AND(V1608=1,AG1608=1),IF(T1608&gt;=AE1608,L1608,W1608),IF(V1608=1,L1608,IF(AG1608=1,W1608,MAX($D$16,POWER((ABS(K1608)^2)/($I$5*MAX(F1608,0.1)^2),1/3)))))))</f>
        <v>#VALUE!</v>
      </c>
      <c r="AI1608" t="e">
        <f t="shared" ca="1" si="842"/>
        <v>#VALUE!</v>
      </c>
      <c r="AJ1608" t="e">
        <f t="shared" ca="1" si="843"/>
        <v>#VALUE!</v>
      </c>
      <c r="AM1608">
        <v>0</v>
      </c>
      <c r="AN1608">
        <v>0</v>
      </c>
      <c r="AO1608">
        <f t="shared" si="844"/>
        <v>0</v>
      </c>
      <c r="AP1608">
        <f t="shared" ref="AP1608:AP1642" si="853">AP1607+AO1608</f>
        <v>0</v>
      </c>
      <c r="AQ1608" t="e">
        <f t="shared" ca="1" si="845"/>
        <v>#VALUE!</v>
      </c>
      <c r="AR1608" t="e">
        <f t="shared" ca="1" si="846"/>
        <v>#VALUE!</v>
      </c>
      <c r="AS1608" t="e">
        <f t="shared" ca="1" si="847"/>
        <v>#VALUE!</v>
      </c>
    </row>
    <row r="1609" spans="1:45" x14ac:dyDescent="0.35">
      <c r="A1609">
        <v>3</v>
      </c>
      <c r="B1609">
        <v>2.0009999999999999</v>
      </c>
      <c r="C1609">
        <v>616067.63500000001</v>
      </c>
      <c r="D1609">
        <v>3096621.2570000002</v>
      </c>
      <c r="E1609">
        <v>631.5</v>
      </c>
      <c r="F1609">
        <v>13.644</v>
      </c>
      <c r="G1609">
        <v>0</v>
      </c>
      <c r="H1609" t="s">
        <v>192</v>
      </c>
      <c r="I1609">
        <v>7.1999999999999995E-2</v>
      </c>
      <c r="J1609">
        <f t="shared" si="848"/>
        <v>1.0009999999999999</v>
      </c>
      <c r="K1609">
        <f t="shared" si="849"/>
        <v>51</v>
      </c>
      <c r="L1609" t="e">
        <f t="shared" ca="1" si="850"/>
        <v>#VALUE!</v>
      </c>
      <c r="M1609" t="e">
        <f t="shared" ca="1" si="823"/>
        <v>#VALUE!</v>
      </c>
      <c r="N1609" t="e">
        <f t="shared" ca="1" si="824"/>
        <v>#VALUE!</v>
      </c>
      <c r="O1609" t="e">
        <f t="shared" ca="1" si="825"/>
        <v>#VALUE!</v>
      </c>
      <c r="P1609" t="e">
        <f t="shared" ca="1" si="826"/>
        <v>#VALUE!</v>
      </c>
      <c r="Q1609" t="e">
        <f t="shared" ca="1" si="827"/>
        <v>#VALUE!</v>
      </c>
      <c r="R1609" t="e">
        <f t="shared" ca="1" si="828"/>
        <v>#VALUE!</v>
      </c>
      <c r="S1609" t="e">
        <f t="shared" ca="1" si="829"/>
        <v>#VALUE!</v>
      </c>
      <c r="T1609" t="e">
        <f t="shared" ca="1" si="830"/>
        <v>#VALUE!</v>
      </c>
      <c r="U1609" t="e">
        <f t="shared" ca="1" si="851"/>
        <v>#VALUE!</v>
      </c>
      <c r="V1609" t="e">
        <f t="shared" ca="1" si="852"/>
        <v>#VALUE!</v>
      </c>
      <c r="W1609" t="e">
        <f t="shared" ca="1" si="831"/>
        <v>#VALUE!</v>
      </c>
      <c r="X1609" t="e">
        <f t="shared" ca="1" si="832"/>
        <v>#VALUE!</v>
      </c>
      <c r="Y1609" t="e">
        <f t="shared" ca="1" si="833"/>
        <v>#VALUE!</v>
      </c>
      <c r="Z1609" t="e">
        <f t="shared" ca="1" si="834"/>
        <v>#VALUE!</v>
      </c>
      <c r="AA1609" t="e">
        <f t="shared" ca="1" si="835"/>
        <v>#VALUE!</v>
      </c>
      <c r="AB1609" t="e">
        <f t="shared" ca="1" si="836"/>
        <v>#VALUE!</v>
      </c>
      <c r="AC1609" t="e">
        <f t="shared" ca="1" si="837"/>
        <v>#VALUE!</v>
      </c>
      <c r="AD1609" t="e">
        <f t="shared" ca="1" si="838"/>
        <v>#VALUE!</v>
      </c>
      <c r="AE1609" t="e">
        <f t="shared" ca="1" si="839"/>
        <v>#VALUE!</v>
      </c>
      <c r="AF1609" t="e">
        <f t="shared" ca="1" si="840"/>
        <v>#VALUE!</v>
      </c>
      <c r="AG1609" t="e">
        <f t="shared" ca="1" si="841"/>
        <v>#VALUE!</v>
      </c>
      <c r="AH1609" t="e">
        <f ca="1">IF(V35="Supercritical",L1609,IF(V35="Subcritical",W1609,IF(AND(V1609=1,AG1609=1),IF(T1609&gt;=AE1609,L1609,W1609),IF(V1609=1,L1609,IF(AG1609=1,W1609,MAX($D$16,POWER((ABS(K1609)^2)/($I$5*MAX(F1609,0.1)^2),1/3)))))))</f>
        <v>#VALUE!</v>
      </c>
      <c r="AI1609" t="e">
        <f t="shared" ca="1" si="842"/>
        <v>#VALUE!</v>
      </c>
      <c r="AJ1609" t="e">
        <f t="shared" ca="1" si="843"/>
        <v>#VALUE!</v>
      </c>
      <c r="AM1609">
        <v>0</v>
      </c>
      <c r="AN1609">
        <v>0</v>
      </c>
      <c r="AO1609">
        <f t="shared" si="844"/>
        <v>0</v>
      </c>
      <c r="AP1609">
        <f t="shared" si="853"/>
        <v>0</v>
      </c>
      <c r="AQ1609" t="e">
        <f t="shared" ca="1" si="845"/>
        <v>#VALUE!</v>
      </c>
      <c r="AR1609" t="e">
        <f t="shared" ca="1" si="846"/>
        <v>#VALUE!</v>
      </c>
      <c r="AS1609" t="e">
        <f t="shared" ca="1" si="847"/>
        <v>#VALUE!</v>
      </c>
    </row>
    <row r="1610" spans="1:45" x14ac:dyDescent="0.35">
      <c r="A1610">
        <v>4</v>
      </c>
      <c r="B1610">
        <v>3.0009999999999999</v>
      </c>
      <c r="C1610">
        <v>616068.58700000006</v>
      </c>
      <c r="D1610">
        <v>3096620.9509999999</v>
      </c>
      <c r="E1610">
        <v>631.5</v>
      </c>
      <c r="F1610">
        <v>15</v>
      </c>
      <c r="G1610">
        <v>0</v>
      </c>
      <c r="H1610" t="s">
        <v>192</v>
      </c>
      <c r="I1610">
        <v>5.5E-2</v>
      </c>
      <c r="J1610">
        <f t="shared" si="848"/>
        <v>1</v>
      </c>
      <c r="K1610">
        <f t="shared" si="849"/>
        <v>51</v>
      </c>
      <c r="L1610" t="e">
        <f t="shared" ca="1" si="850"/>
        <v>#VALUE!</v>
      </c>
      <c r="M1610" t="e">
        <f t="shared" ca="1" si="823"/>
        <v>#VALUE!</v>
      </c>
      <c r="N1610" t="e">
        <f t="shared" ca="1" si="824"/>
        <v>#VALUE!</v>
      </c>
      <c r="O1610" t="e">
        <f t="shared" ca="1" si="825"/>
        <v>#VALUE!</v>
      </c>
      <c r="P1610" t="e">
        <f t="shared" ca="1" si="826"/>
        <v>#VALUE!</v>
      </c>
      <c r="Q1610" t="e">
        <f t="shared" ca="1" si="827"/>
        <v>#VALUE!</v>
      </c>
      <c r="R1610" t="e">
        <f t="shared" ca="1" si="828"/>
        <v>#VALUE!</v>
      </c>
      <c r="S1610" t="e">
        <f t="shared" ca="1" si="829"/>
        <v>#VALUE!</v>
      </c>
      <c r="T1610" t="e">
        <f t="shared" ca="1" si="830"/>
        <v>#VALUE!</v>
      </c>
      <c r="U1610" t="e">
        <f t="shared" ca="1" si="851"/>
        <v>#VALUE!</v>
      </c>
      <c r="V1610" t="e">
        <f t="shared" ca="1" si="852"/>
        <v>#VALUE!</v>
      </c>
      <c r="W1610" t="e">
        <f t="shared" ca="1" si="831"/>
        <v>#VALUE!</v>
      </c>
      <c r="X1610" t="e">
        <f t="shared" ca="1" si="832"/>
        <v>#VALUE!</v>
      </c>
      <c r="Y1610" t="e">
        <f t="shared" ca="1" si="833"/>
        <v>#VALUE!</v>
      </c>
      <c r="Z1610" t="e">
        <f t="shared" ca="1" si="834"/>
        <v>#VALUE!</v>
      </c>
      <c r="AA1610" t="e">
        <f t="shared" ca="1" si="835"/>
        <v>#VALUE!</v>
      </c>
      <c r="AB1610" t="e">
        <f t="shared" ca="1" si="836"/>
        <v>#VALUE!</v>
      </c>
      <c r="AC1610" t="e">
        <f t="shared" ca="1" si="837"/>
        <v>#VALUE!</v>
      </c>
      <c r="AD1610" t="e">
        <f t="shared" ca="1" si="838"/>
        <v>#VALUE!</v>
      </c>
      <c r="AE1610" t="e">
        <f t="shared" ca="1" si="839"/>
        <v>#VALUE!</v>
      </c>
      <c r="AF1610" t="e">
        <f t="shared" ca="1" si="840"/>
        <v>#VALUE!</v>
      </c>
      <c r="AG1610" t="e">
        <f t="shared" ca="1" si="841"/>
        <v>#VALUE!</v>
      </c>
      <c r="AH1610" t="e">
        <f ca="1">IF(V35="Supercritical",L1610,IF(V35="Subcritical",W1610,IF(AND(V1610=1,AG1610=1),IF(T1610&gt;=AE1610,L1610,W1610),IF(V1610=1,L1610,IF(AG1610=1,W1610,MAX($D$16,POWER((ABS(K1610)^2)/($I$5*MAX(F1610,0.1)^2),1/3)))))))</f>
        <v>#VALUE!</v>
      </c>
      <c r="AI1610" t="e">
        <f t="shared" ca="1" si="842"/>
        <v>#VALUE!</v>
      </c>
      <c r="AJ1610" t="e">
        <f t="shared" ca="1" si="843"/>
        <v>#VALUE!</v>
      </c>
      <c r="AM1610">
        <v>0</v>
      </c>
      <c r="AN1610">
        <v>0</v>
      </c>
      <c r="AO1610">
        <f t="shared" si="844"/>
        <v>0</v>
      </c>
      <c r="AP1610">
        <f t="shared" si="853"/>
        <v>0</v>
      </c>
      <c r="AQ1610" t="e">
        <f t="shared" ca="1" si="845"/>
        <v>#VALUE!</v>
      </c>
      <c r="AR1610" t="e">
        <f t="shared" ca="1" si="846"/>
        <v>#VALUE!</v>
      </c>
      <c r="AS1610" t="e">
        <f t="shared" ca="1" si="847"/>
        <v>#VALUE!</v>
      </c>
    </row>
    <row r="1611" spans="1:45" x14ac:dyDescent="0.35">
      <c r="A1611">
        <v>5</v>
      </c>
      <c r="B1611">
        <v>4</v>
      </c>
      <c r="C1611">
        <v>616069.53899999999</v>
      </c>
      <c r="D1611">
        <v>3096620.6460000002</v>
      </c>
      <c r="E1611">
        <v>631.5</v>
      </c>
      <c r="F1611">
        <v>16</v>
      </c>
      <c r="G1611">
        <v>0</v>
      </c>
      <c r="H1611" t="s">
        <v>192</v>
      </c>
      <c r="I1611">
        <v>5.5E-2</v>
      </c>
      <c r="J1611">
        <f t="shared" si="848"/>
        <v>0.99900000000000011</v>
      </c>
      <c r="K1611">
        <f t="shared" si="849"/>
        <v>51</v>
      </c>
      <c r="L1611" t="e">
        <f t="shared" ca="1" si="850"/>
        <v>#VALUE!</v>
      </c>
      <c r="M1611" t="e">
        <f t="shared" ca="1" si="823"/>
        <v>#VALUE!</v>
      </c>
      <c r="N1611" t="e">
        <f t="shared" ca="1" si="824"/>
        <v>#VALUE!</v>
      </c>
      <c r="O1611" t="e">
        <f t="shared" ca="1" si="825"/>
        <v>#VALUE!</v>
      </c>
      <c r="P1611" t="e">
        <f t="shared" ca="1" si="826"/>
        <v>#VALUE!</v>
      </c>
      <c r="Q1611" t="e">
        <f t="shared" ca="1" si="827"/>
        <v>#VALUE!</v>
      </c>
      <c r="R1611" t="e">
        <f t="shared" ca="1" si="828"/>
        <v>#VALUE!</v>
      </c>
      <c r="S1611" t="e">
        <f t="shared" ca="1" si="829"/>
        <v>#VALUE!</v>
      </c>
      <c r="T1611" t="e">
        <f t="shared" ca="1" si="830"/>
        <v>#VALUE!</v>
      </c>
      <c r="U1611" t="e">
        <f t="shared" ca="1" si="851"/>
        <v>#VALUE!</v>
      </c>
      <c r="V1611" t="e">
        <f t="shared" ca="1" si="852"/>
        <v>#VALUE!</v>
      </c>
      <c r="W1611" t="e">
        <f t="shared" ca="1" si="831"/>
        <v>#VALUE!</v>
      </c>
      <c r="X1611" t="e">
        <f t="shared" ca="1" si="832"/>
        <v>#VALUE!</v>
      </c>
      <c r="Y1611" t="e">
        <f t="shared" ca="1" si="833"/>
        <v>#VALUE!</v>
      </c>
      <c r="Z1611" t="e">
        <f t="shared" ca="1" si="834"/>
        <v>#VALUE!</v>
      </c>
      <c r="AA1611" t="e">
        <f t="shared" ca="1" si="835"/>
        <v>#VALUE!</v>
      </c>
      <c r="AB1611" t="e">
        <f t="shared" ca="1" si="836"/>
        <v>#VALUE!</v>
      </c>
      <c r="AC1611" t="e">
        <f t="shared" ca="1" si="837"/>
        <v>#VALUE!</v>
      </c>
      <c r="AD1611" t="e">
        <f t="shared" ca="1" si="838"/>
        <v>#VALUE!</v>
      </c>
      <c r="AE1611" t="e">
        <f t="shared" ca="1" si="839"/>
        <v>#VALUE!</v>
      </c>
      <c r="AF1611" t="e">
        <f t="shared" ca="1" si="840"/>
        <v>#VALUE!</v>
      </c>
      <c r="AG1611" t="e">
        <f t="shared" ca="1" si="841"/>
        <v>#VALUE!</v>
      </c>
      <c r="AH1611" t="e">
        <f ca="1">IF(V35="Supercritical",L1611,IF(V35="Subcritical",W1611,IF(AND(V1611=1,AG1611=1),IF(T1611&gt;=AE1611,L1611,W1611),IF(V1611=1,L1611,IF(AG1611=1,W1611,MAX($D$16,POWER((ABS(K1611)^2)/($I$5*MAX(F1611,0.1)^2),1/3)))))))</f>
        <v>#VALUE!</v>
      </c>
      <c r="AI1611" t="e">
        <f t="shared" ca="1" si="842"/>
        <v>#VALUE!</v>
      </c>
      <c r="AJ1611" t="e">
        <f t="shared" ca="1" si="843"/>
        <v>#VALUE!</v>
      </c>
      <c r="AM1611">
        <v>0</v>
      </c>
      <c r="AN1611">
        <v>0</v>
      </c>
      <c r="AO1611">
        <f t="shared" si="844"/>
        <v>0</v>
      </c>
      <c r="AP1611">
        <f t="shared" si="853"/>
        <v>0</v>
      </c>
      <c r="AQ1611" t="e">
        <f t="shared" ca="1" si="845"/>
        <v>#VALUE!</v>
      </c>
      <c r="AR1611" t="e">
        <f t="shared" ca="1" si="846"/>
        <v>#VALUE!</v>
      </c>
      <c r="AS1611" t="e">
        <f t="shared" ca="1" si="847"/>
        <v>#VALUE!</v>
      </c>
    </row>
    <row r="1612" spans="1:45" x14ac:dyDescent="0.35">
      <c r="A1612">
        <v>6</v>
      </c>
      <c r="B1612">
        <v>5</v>
      </c>
      <c r="C1612">
        <v>616070.49100000004</v>
      </c>
      <c r="D1612">
        <v>3096620.34</v>
      </c>
      <c r="E1612">
        <v>631.5</v>
      </c>
      <c r="F1612">
        <v>17</v>
      </c>
      <c r="G1612">
        <v>0</v>
      </c>
      <c r="H1612" t="s">
        <v>192</v>
      </c>
      <c r="I1612">
        <v>5.5E-2</v>
      </c>
      <c r="J1612">
        <f t="shared" si="848"/>
        <v>1</v>
      </c>
      <c r="K1612">
        <f t="shared" si="849"/>
        <v>51</v>
      </c>
      <c r="L1612" t="e">
        <f t="shared" ca="1" si="850"/>
        <v>#VALUE!</v>
      </c>
      <c r="M1612" t="e">
        <f t="shared" ca="1" si="823"/>
        <v>#VALUE!</v>
      </c>
      <c r="N1612" t="e">
        <f t="shared" ca="1" si="824"/>
        <v>#VALUE!</v>
      </c>
      <c r="O1612" t="e">
        <f t="shared" ca="1" si="825"/>
        <v>#VALUE!</v>
      </c>
      <c r="P1612" t="e">
        <f t="shared" ca="1" si="826"/>
        <v>#VALUE!</v>
      </c>
      <c r="Q1612" t="e">
        <f t="shared" ca="1" si="827"/>
        <v>#VALUE!</v>
      </c>
      <c r="R1612" t="e">
        <f t="shared" ca="1" si="828"/>
        <v>#VALUE!</v>
      </c>
      <c r="S1612" t="e">
        <f t="shared" ca="1" si="829"/>
        <v>#VALUE!</v>
      </c>
      <c r="T1612" t="e">
        <f t="shared" ca="1" si="830"/>
        <v>#VALUE!</v>
      </c>
      <c r="U1612" t="e">
        <f t="shared" ca="1" si="851"/>
        <v>#VALUE!</v>
      </c>
      <c r="V1612" t="e">
        <f t="shared" ca="1" si="852"/>
        <v>#VALUE!</v>
      </c>
      <c r="W1612" t="e">
        <f t="shared" ca="1" si="831"/>
        <v>#VALUE!</v>
      </c>
      <c r="X1612" t="e">
        <f t="shared" ca="1" si="832"/>
        <v>#VALUE!</v>
      </c>
      <c r="Y1612" t="e">
        <f t="shared" ca="1" si="833"/>
        <v>#VALUE!</v>
      </c>
      <c r="Z1612" t="e">
        <f t="shared" ca="1" si="834"/>
        <v>#VALUE!</v>
      </c>
      <c r="AA1612" t="e">
        <f t="shared" ca="1" si="835"/>
        <v>#VALUE!</v>
      </c>
      <c r="AB1612" t="e">
        <f t="shared" ca="1" si="836"/>
        <v>#VALUE!</v>
      </c>
      <c r="AC1612" t="e">
        <f t="shared" ca="1" si="837"/>
        <v>#VALUE!</v>
      </c>
      <c r="AD1612" t="e">
        <f t="shared" ca="1" si="838"/>
        <v>#VALUE!</v>
      </c>
      <c r="AE1612" t="e">
        <f t="shared" ca="1" si="839"/>
        <v>#VALUE!</v>
      </c>
      <c r="AF1612" t="e">
        <f t="shared" ca="1" si="840"/>
        <v>#VALUE!</v>
      </c>
      <c r="AG1612" t="e">
        <f t="shared" ca="1" si="841"/>
        <v>#VALUE!</v>
      </c>
      <c r="AH1612" t="e">
        <f ca="1">IF(V35="Supercritical",L1612,IF(V35="Subcritical",W1612,IF(AND(V1612=1,AG1612=1),IF(T1612&gt;=AE1612,L1612,W1612),IF(V1612=1,L1612,IF(AG1612=1,W1612,MAX($D$16,POWER((ABS(K1612)^2)/($I$5*MAX(F1612,0.1)^2),1/3)))))))</f>
        <v>#VALUE!</v>
      </c>
      <c r="AI1612" t="e">
        <f t="shared" ca="1" si="842"/>
        <v>#VALUE!</v>
      </c>
      <c r="AJ1612" t="e">
        <f t="shared" ca="1" si="843"/>
        <v>#VALUE!</v>
      </c>
      <c r="AM1612">
        <v>0</v>
      </c>
      <c r="AN1612">
        <v>0</v>
      </c>
      <c r="AO1612">
        <f t="shared" si="844"/>
        <v>0</v>
      </c>
      <c r="AP1612">
        <f t="shared" si="853"/>
        <v>0</v>
      </c>
      <c r="AQ1612" t="e">
        <f t="shared" ca="1" si="845"/>
        <v>#VALUE!</v>
      </c>
      <c r="AR1612" t="e">
        <f t="shared" ca="1" si="846"/>
        <v>#VALUE!</v>
      </c>
      <c r="AS1612" t="e">
        <f t="shared" ca="1" si="847"/>
        <v>#VALUE!</v>
      </c>
    </row>
    <row r="1613" spans="1:45" x14ac:dyDescent="0.35">
      <c r="A1613">
        <v>7</v>
      </c>
      <c r="B1613">
        <v>6</v>
      </c>
      <c r="C1613">
        <v>616071.44299999997</v>
      </c>
      <c r="D1613">
        <v>3096620.0350000001</v>
      </c>
      <c r="E1613">
        <v>631.5</v>
      </c>
      <c r="F1613">
        <v>18</v>
      </c>
      <c r="G1613">
        <v>0</v>
      </c>
      <c r="H1613" t="s">
        <v>192</v>
      </c>
      <c r="I1613">
        <v>3.6999999999999998E-2</v>
      </c>
      <c r="J1613">
        <f t="shared" si="848"/>
        <v>1</v>
      </c>
      <c r="K1613">
        <f t="shared" si="849"/>
        <v>51</v>
      </c>
      <c r="L1613" t="e">
        <f t="shared" ca="1" si="850"/>
        <v>#VALUE!</v>
      </c>
      <c r="M1613" t="e">
        <f t="shared" ca="1" si="823"/>
        <v>#VALUE!</v>
      </c>
      <c r="N1613" t="e">
        <f t="shared" ca="1" si="824"/>
        <v>#VALUE!</v>
      </c>
      <c r="O1613" t="e">
        <f t="shared" ca="1" si="825"/>
        <v>#VALUE!</v>
      </c>
      <c r="P1613" t="e">
        <f t="shared" ca="1" si="826"/>
        <v>#VALUE!</v>
      </c>
      <c r="Q1613" t="e">
        <f t="shared" ca="1" si="827"/>
        <v>#VALUE!</v>
      </c>
      <c r="R1613" t="e">
        <f t="shared" ca="1" si="828"/>
        <v>#VALUE!</v>
      </c>
      <c r="S1613" t="e">
        <f t="shared" ca="1" si="829"/>
        <v>#VALUE!</v>
      </c>
      <c r="T1613" t="e">
        <f t="shared" ca="1" si="830"/>
        <v>#VALUE!</v>
      </c>
      <c r="U1613" t="e">
        <f t="shared" ca="1" si="851"/>
        <v>#VALUE!</v>
      </c>
      <c r="V1613" t="e">
        <f t="shared" ca="1" si="852"/>
        <v>#VALUE!</v>
      </c>
      <c r="W1613" t="e">
        <f t="shared" ca="1" si="831"/>
        <v>#VALUE!</v>
      </c>
      <c r="X1613" t="e">
        <f t="shared" ca="1" si="832"/>
        <v>#VALUE!</v>
      </c>
      <c r="Y1613" t="e">
        <f t="shared" ca="1" si="833"/>
        <v>#VALUE!</v>
      </c>
      <c r="Z1613" t="e">
        <f t="shared" ca="1" si="834"/>
        <v>#VALUE!</v>
      </c>
      <c r="AA1613" t="e">
        <f t="shared" ca="1" si="835"/>
        <v>#VALUE!</v>
      </c>
      <c r="AB1613" t="e">
        <f t="shared" ca="1" si="836"/>
        <v>#VALUE!</v>
      </c>
      <c r="AC1613" t="e">
        <f t="shared" ca="1" si="837"/>
        <v>#VALUE!</v>
      </c>
      <c r="AD1613" t="e">
        <f t="shared" ca="1" si="838"/>
        <v>#VALUE!</v>
      </c>
      <c r="AE1613" t="e">
        <f t="shared" ca="1" si="839"/>
        <v>#VALUE!</v>
      </c>
      <c r="AF1613" t="e">
        <f t="shared" ca="1" si="840"/>
        <v>#VALUE!</v>
      </c>
      <c r="AG1613" t="e">
        <f t="shared" ca="1" si="841"/>
        <v>#VALUE!</v>
      </c>
      <c r="AH1613" t="e">
        <f ca="1">IF(V35="Supercritical",L1613,IF(V35="Subcritical",W1613,IF(AND(V1613=1,AG1613=1),IF(T1613&gt;=AE1613,L1613,W1613),IF(V1613=1,L1613,IF(AG1613=1,W1613,MAX($D$16,POWER((ABS(K1613)^2)/($I$5*MAX(F1613,0.1)^2),1/3)))))))</f>
        <v>#VALUE!</v>
      </c>
      <c r="AI1613" t="e">
        <f t="shared" ca="1" si="842"/>
        <v>#VALUE!</v>
      </c>
      <c r="AJ1613" t="e">
        <f t="shared" ca="1" si="843"/>
        <v>#VALUE!</v>
      </c>
      <c r="AM1613">
        <v>0</v>
      </c>
      <c r="AN1613">
        <v>0</v>
      </c>
      <c r="AO1613">
        <f t="shared" si="844"/>
        <v>0</v>
      </c>
      <c r="AP1613">
        <f t="shared" si="853"/>
        <v>0</v>
      </c>
      <c r="AQ1613" t="e">
        <f t="shared" ca="1" si="845"/>
        <v>#VALUE!</v>
      </c>
      <c r="AR1613" t="e">
        <f t="shared" ca="1" si="846"/>
        <v>#VALUE!</v>
      </c>
      <c r="AS1613" t="e">
        <f t="shared" ca="1" si="847"/>
        <v>#VALUE!</v>
      </c>
    </row>
    <row r="1614" spans="1:45" x14ac:dyDescent="0.35">
      <c r="A1614">
        <v>8</v>
      </c>
      <c r="B1614">
        <v>7.0010000000000003</v>
      </c>
      <c r="C1614">
        <v>616072.39599999995</v>
      </c>
      <c r="D1614">
        <v>3096619.7289999998</v>
      </c>
      <c r="E1614">
        <v>631.5</v>
      </c>
      <c r="F1614">
        <v>19</v>
      </c>
      <c r="G1614">
        <v>0</v>
      </c>
      <c r="H1614" t="s">
        <v>192</v>
      </c>
      <c r="I1614">
        <v>3.6999999999999998E-2</v>
      </c>
      <c r="J1614">
        <f t="shared" si="848"/>
        <v>1.0010000000000003</v>
      </c>
      <c r="K1614">
        <f t="shared" si="849"/>
        <v>51</v>
      </c>
      <c r="L1614" t="e">
        <f t="shared" ca="1" si="850"/>
        <v>#VALUE!</v>
      </c>
      <c r="M1614" t="e">
        <f t="shared" ca="1" si="823"/>
        <v>#VALUE!</v>
      </c>
      <c r="N1614" t="e">
        <f t="shared" ca="1" si="824"/>
        <v>#VALUE!</v>
      </c>
      <c r="O1614" t="e">
        <f t="shared" ca="1" si="825"/>
        <v>#VALUE!</v>
      </c>
      <c r="P1614" t="e">
        <f t="shared" ca="1" si="826"/>
        <v>#VALUE!</v>
      </c>
      <c r="Q1614" t="e">
        <f t="shared" ca="1" si="827"/>
        <v>#VALUE!</v>
      </c>
      <c r="R1614" t="e">
        <f t="shared" ca="1" si="828"/>
        <v>#VALUE!</v>
      </c>
      <c r="S1614" t="e">
        <f t="shared" ca="1" si="829"/>
        <v>#VALUE!</v>
      </c>
      <c r="T1614" t="e">
        <f t="shared" ca="1" si="830"/>
        <v>#VALUE!</v>
      </c>
      <c r="U1614" t="e">
        <f t="shared" ca="1" si="851"/>
        <v>#VALUE!</v>
      </c>
      <c r="V1614" t="e">
        <f t="shared" ca="1" si="852"/>
        <v>#VALUE!</v>
      </c>
      <c r="W1614" t="e">
        <f t="shared" ca="1" si="831"/>
        <v>#VALUE!</v>
      </c>
      <c r="X1614" t="e">
        <f t="shared" ca="1" si="832"/>
        <v>#VALUE!</v>
      </c>
      <c r="Y1614" t="e">
        <f t="shared" ca="1" si="833"/>
        <v>#VALUE!</v>
      </c>
      <c r="Z1614" t="e">
        <f t="shared" ca="1" si="834"/>
        <v>#VALUE!</v>
      </c>
      <c r="AA1614" t="e">
        <f t="shared" ca="1" si="835"/>
        <v>#VALUE!</v>
      </c>
      <c r="AB1614" t="e">
        <f t="shared" ca="1" si="836"/>
        <v>#VALUE!</v>
      </c>
      <c r="AC1614" t="e">
        <f t="shared" ca="1" si="837"/>
        <v>#VALUE!</v>
      </c>
      <c r="AD1614" t="e">
        <f t="shared" ca="1" si="838"/>
        <v>#VALUE!</v>
      </c>
      <c r="AE1614" t="e">
        <f t="shared" ca="1" si="839"/>
        <v>#VALUE!</v>
      </c>
      <c r="AF1614" t="e">
        <f t="shared" ca="1" si="840"/>
        <v>#VALUE!</v>
      </c>
      <c r="AG1614" t="e">
        <f t="shared" ca="1" si="841"/>
        <v>#VALUE!</v>
      </c>
      <c r="AH1614" t="e">
        <f ca="1">IF(V35="Supercritical",L1614,IF(V35="Subcritical",W1614,IF(AND(V1614=1,AG1614=1),IF(T1614&gt;=AE1614,L1614,W1614),IF(V1614=1,L1614,IF(AG1614=1,W1614,MAX($D$16,POWER((ABS(K1614)^2)/($I$5*MAX(F1614,0.1)^2),1/3)))))))</f>
        <v>#VALUE!</v>
      </c>
      <c r="AI1614" t="e">
        <f t="shared" ca="1" si="842"/>
        <v>#VALUE!</v>
      </c>
      <c r="AJ1614" t="e">
        <f t="shared" ca="1" si="843"/>
        <v>#VALUE!</v>
      </c>
      <c r="AM1614">
        <v>0</v>
      </c>
      <c r="AN1614">
        <v>0</v>
      </c>
      <c r="AO1614">
        <f t="shared" si="844"/>
        <v>0</v>
      </c>
      <c r="AP1614">
        <f t="shared" si="853"/>
        <v>0</v>
      </c>
      <c r="AQ1614" t="e">
        <f t="shared" ca="1" si="845"/>
        <v>#VALUE!</v>
      </c>
      <c r="AR1614" t="e">
        <f t="shared" ca="1" si="846"/>
        <v>#VALUE!</v>
      </c>
      <c r="AS1614" t="e">
        <f t="shared" ca="1" si="847"/>
        <v>#VALUE!</v>
      </c>
    </row>
    <row r="1615" spans="1:45" x14ac:dyDescent="0.35">
      <c r="A1615">
        <v>9</v>
      </c>
      <c r="B1615">
        <v>8</v>
      </c>
      <c r="C1615">
        <v>616073.348</v>
      </c>
      <c r="D1615">
        <v>3096619.4240000001</v>
      </c>
      <c r="E1615">
        <v>631.5</v>
      </c>
      <c r="F1615">
        <v>6.7240000000000002</v>
      </c>
      <c r="G1615">
        <v>0</v>
      </c>
      <c r="H1615" t="s">
        <v>191</v>
      </c>
      <c r="I1615">
        <v>5.5E-2</v>
      </c>
      <c r="J1615">
        <f t="shared" si="848"/>
        <v>0.99899999999999967</v>
      </c>
      <c r="K1615">
        <f t="shared" si="849"/>
        <v>51</v>
      </c>
      <c r="L1615" t="e">
        <f t="shared" ca="1" si="850"/>
        <v>#VALUE!</v>
      </c>
      <c r="M1615" t="e">
        <f t="shared" ca="1" si="823"/>
        <v>#VALUE!</v>
      </c>
      <c r="N1615" t="e">
        <f t="shared" ca="1" si="824"/>
        <v>#VALUE!</v>
      </c>
      <c r="O1615" t="e">
        <f t="shared" ca="1" si="825"/>
        <v>#VALUE!</v>
      </c>
      <c r="P1615" t="e">
        <f t="shared" ca="1" si="826"/>
        <v>#VALUE!</v>
      </c>
      <c r="Q1615" t="e">
        <f t="shared" ca="1" si="827"/>
        <v>#VALUE!</v>
      </c>
      <c r="R1615" t="e">
        <f t="shared" ca="1" si="828"/>
        <v>#VALUE!</v>
      </c>
      <c r="S1615" t="e">
        <f t="shared" ca="1" si="829"/>
        <v>#VALUE!</v>
      </c>
      <c r="T1615" t="e">
        <f t="shared" ca="1" si="830"/>
        <v>#VALUE!</v>
      </c>
      <c r="U1615" t="e">
        <f t="shared" ca="1" si="851"/>
        <v>#VALUE!</v>
      </c>
      <c r="V1615" t="e">
        <f t="shared" ca="1" si="852"/>
        <v>#VALUE!</v>
      </c>
      <c r="W1615" t="e">
        <f t="shared" ca="1" si="831"/>
        <v>#VALUE!</v>
      </c>
      <c r="X1615" t="e">
        <f t="shared" ca="1" si="832"/>
        <v>#VALUE!</v>
      </c>
      <c r="Y1615" t="e">
        <f t="shared" ca="1" si="833"/>
        <v>#VALUE!</v>
      </c>
      <c r="Z1615" t="e">
        <f t="shared" ca="1" si="834"/>
        <v>#VALUE!</v>
      </c>
      <c r="AA1615" t="e">
        <f t="shared" ca="1" si="835"/>
        <v>#VALUE!</v>
      </c>
      <c r="AB1615" t="e">
        <f t="shared" ca="1" si="836"/>
        <v>#VALUE!</v>
      </c>
      <c r="AC1615" t="e">
        <f t="shared" ca="1" si="837"/>
        <v>#VALUE!</v>
      </c>
      <c r="AD1615" t="e">
        <f t="shared" ca="1" si="838"/>
        <v>#VALUE!</v>
      </c>
      <c r="AE1615" t="e">
        <f t="shared" ca="1" si="839"/>
        <v>#VALUE!</v>
      </c>
      <c r="AF1615" t="e">
        <f t="shared" ca="1" si="840"/>
        <v>#VALUE!</v>
      </c>
      <c r="AG1615" t="e">
        <f t="shared" ca="1" si="841"/>
        <v>#VALUE!</v>
      </c>
      <c r="AH1615" t="e">
        <f ca="1">IF(V35="Supercritical",L1615,IF(V35="Subcritical",W1615,IF(AND(V1615=1,AG1615=1),IF(T1615&gt;=AE1615,L1615,W1615),IF(V1615=1,L1615,IF(AG1615=1,W1615,MAX($D$16,POWER((ABS(K1615)^2)/($I$5*MAX(F1615,0.1)^2),1/3)))))))</f>
        <v>#VALUE!</v>
      </c>
      <c r="AI1615" t="e">
        <f t="shared" ca="1" si="842"/>
        <v>#VALUE!</v>
      </c>
      <c r="AJ1615" t="e">
        <f t="shared" ca="1" si="843"/>
        <v>#VALUE!</v>
      </c>
      <c r="AM1615">
        <v>0</v>
      </c>
      <c r="AN1615">
        <v>0</v>
      </c>
      <c r="AO1615">
        <f t="shared" si="844"/>
        <v>0</v>
      </c>
      <c r="AP1615">
        <f t="shared" si="853"/>
        <v>0</v>
      </c>
      <c r="AQ1615" t="e">
        <f t="shared" ca="1" si="845"/>
        <v>#VALUE!</v>
      </c>
      <c r="AR1615" t="e">
        <f t="shared" ca="1" si="846"/>
        <v>#VALUE!</v>
      </c>
      <c r="AS1615" t="e">
        <f t="shared" ca="1" si="847"/>
        <v>#VALUE!</v>
      </c>
    </row>
    <row r="1616" spans="1:45" x14ac:dyDescent="0.35">
      <c r="A1616">
        <v>10</v>
      </c>
      <c r="B1616">
        <v>9</v>
      </c>
      <c r="C1616">
        <v>616074.30000000005</v>
      </c>
      <c r="D1616">
        <v>3096619.1179999998</v>
      </c>
      <c r="E1616">
        <v>631.5</v>
      </c>
      <c r="F1616">
        <v>6.032</v>
      </c>
      <c r="G1616">
        <v>0</v>
      </c>
      <c r="H1616" t="s">
        <v>191</v>
      </c>
      <c r="I1616">
        <v>5.5E-2</v>
      </c>
      <c r="J1616">
        <f t="shared" si="848"/>
        <v>1</v>
      </c>
      <c r="K1616">
        <f t="shared" si="849"/>
        <v>51</v>
      </c>
      <c r="L1616" t="e">
        <f t="shared" ca="1" si="850"/>
        <v>#VALUE!</v>
      </c>
      <c r="M1616" t="e">
        <f t="shared" ca="1" si="823"/>
        <v>#VALUE!</v>
      </c>
      <c r="N1616" t="e">
        <f t="shared" ca="1" si="824"/>
        <v>#VALUE!</v>
      </c>
      <c r="O1616" t="e">
        <f t="shared" ca="1" si="825"/>
        <v>#VALUE!</v>
      </c>
      <c r="P1616" t="e">
        <f t="shared" ca="1" si="826"/>
        <v>#VALUE!</v>
      </c>
      <c r="Q1616" t="e">
        <f t="shared" ca="1" si="827"/>
        <v>#VALUE!</v>
      </c>
      <c r="R1616" t="e">
        <f t="shared" ca="1" si="828"/>
        <v>#VALUE!</v>
      </c>
      <c r="S1616" t="e">
        <f t="shared" ca="1" si="829"/>
        <v>#VALUE!</v>
      </c>
      <c r="T1616" t="e">
        <f t="shared" ca="1" si="830"/>
        <v>#VALUE!</v>
      </c>
      <c r="U1616" t="e">
        <f t="shared" ca="1" si="851"/>
        <v>#VALUE!</v>
      </c>
      <c r="V1616" t="e">
        <f t="shared" ca="1" si="852"/>
        <v>#VALUE!</v>
      </c>
      <c r="W1616" t="e">
        <f t="shared" ca="1" si="831"/>
        <v>#VALUE!</v>
      </c>
      <c r="X1616" t="e">
        <f t="shared" ca="1" si="832"/>
        <v>#VALUE!</v>
      </c>
      <c r="Y1616" t="e">
        <f t="shared" ca="1" si="833"/>
        <v>#VALUE!</v>
      </c>
      <c r="Z1616" t="e">
        <f t="shared" ca="1" si="834"/>
        <v>#VALUE!</v>
      </c>
      <c r="AA1616" t="e">
        <f t="shared" ca="1" si="835"/>
        <v>#VALUE!</v>
      </c>
      <c r="AB1616" t="e">
        <f t="shared" ca="1" si="836"/>
        <v>#VALUE!</v>
      </c>
      <c r="AC1616" t="e">
        <f t="shared" ca="1" si="837"/>
        <v>#VALUE!</v>
      </c>
      <c r="AD1616" t="e">
        <f t="shared" ca="1" si="838"/>
        <v>#VALUE!</v>
      </c>
      <c r="AE1616" t="e">
        <f t="shared" ca="1" si="839"/>
        <v>#VALUE!</v>
      </c>
      <c r="AF1616" t="e">
        <f t="shared" ca="1" si="840"/>
        <v>#VALUE!</v>
      </c>
      <c r="AG1616" t="e">
        <f t="shared" ca="1" si="841"/>
        <v>#VALUE!</v>
      </c>
      <c r="AH1616" t="e">
        <f ca="1">IF(V35="Supercritical",L1616,IF(V35="Subcritical",W1616,IF(AND(V1616=1,AG1616=1),IF(T1616&gt;=AE1616,L1616,W1616),IF(V1616=1,L1616,IF(AG1616=1,W1616,MAX($D$16,POWER((ABS(K1616)^2)/($I$5*MAX(F1616,0.1)^2),1/3)))))))</f>
        <v>#VALUE!</v>
      </c>
      <c r="AI1616" t="e">
        <f t="shared" ca="1" si="842"/>
        <v>#VALUE!</v>
      </c>
      <c r="AJ1616" t="e">
        <f t="shared" ca="1" si="843"/>
        <v>#VALUE!</v>
      </c>
      <c r="AL1616">
        <v>635.5</v>
      </c>
      <c r="AM1616">
        <v>0</v>
      </c>
      <c r="AN1616" t="e">
        <f t="shared" ref="AN1616:AN1642" ca="1" si="854">$D$12*MAX(J1616,0.1)*POWER(MAX(0,AI1616-AL1616),1.5)</f>
        <v>#VALUE!</v>
      </c>
      <c r="AO1616" t="e">
        <f t="shared" ca="1" si="844"/>
        <v>#VALUE!</v>
      </c>
      <c r="AP1616" t="e">
        <f t="shared" ca="1" si="853"/>
        <v>#VALUE!</v>
      </c>
      <c r="AQ1616" t="e">
        <f t="shared" ca="1" si="845"/>
        <v>#VALUE!</v>
      </c>
      <c r="AR1616" t="e">
        <f t="shared" ca="1" si="846"/>
        <v>#VALUE!</v>
      </c>
      <c r="AS1616" t="e">
        <f t="shared" ca="1" si="847"/>
        <v>#VALUE!</v>
      </c>
    </row>
    <row r="1617" spans="1:45" x14ac:dyDescent="0.35">
      <c r="A1617">
        <v>11</v>
      </c>
      <c r="B1617">
        <v>10</v>
      </c>
      <c r="C1617">
        <v>616075.25199999998</v>
      </c>
      <c r="D1617">
        <v>3096618.8130000001</v>
      </c>
      <c r="E1617">
        <v>631.5</v>
      </c>
      <c r="F1617">
        <v>6.391</v>
      </c>
      <c r="G1617">
        <v>0</v>
      </c>
      <c r="H1617" t="s">
        <v>191</v>
      </c>
      <c r="I1617">
        <v>12.169</v>
      </c>
      <c r="J1617">
        <f t="shared" si="848"/>
        <v>1</v>
      </c>
      <c r="K1617" t="e">
        <f t="shared" ca="1" si="849"/>
        <v>#VALUE!</v>
      </c>
      <c r="L1617" t="e">
        <f t="shared" ca="1" si="850"/>
        <v>#VALUE!</v>
      </c>
      <c r="M1617" t="e">
        <f t="shared" ca="1" si="823"/>
        <v>#VALUE!</v>
      </c>
      <c r="N1617" t="e">
        <f t="shared" ca="1" si="824"/>
        <v>#VALUE!</v>
      </c>
      <c r="O1617" t="e">
        <f t="shared" ca="1" si="825"/>
        <v>#VALUE!</v>
      </c>
      <c r="P1617" t="e">
        <f t="shared" ca="1" si="826"/>
        <v>#VALUE!</v>
      </c>
      <c r="Q1617" t="e">
        <f t="shared" ca="1" si="827"/>
        <v>#VALUE!</v>
      </c>
      <c r="R1617" t="e">
        <f t="shared" ca="1" si="828"/>
        <v>#VALUE!</v>
      </c>
      <c r="S1617" t="e">
        <f t="shared" ca="1" si="829"/>
        <v>#VALUE!</v>
      </c>
      <c r="T1617" t="e">
        <f t="shared" ca="1" si="830"/>
        <v>#VALUE!</v>
      </c>
      <c r="U1617" t="e">
        <f t="shared" ca="1" si="851"/>
        <v>#VALUE!</v>
      </c>
      <c r="V1617" t="e">
        <f t="shared" ca="1" si="852"/>
        <v>#VALUE!</v>
      </c>
      <c r="W1617" t="e">
        <f t="shared" ca="1" si="831"/>
        <v>#VALUE!</v>
      </c>
      <c r="X1617" t="e">
        <f t="shared" ca="1" si="832"/>
        <v>#VALUE!</v>
      </c>
      <c r="Y1617" t="e">
        <f t="shared" ca="1" si="833"/>
        <v>#VALUE!</v>
      </c>
      <c r="Z1617" t="e">
        <f t="shared" ca="1" si="834"/>
        <v>#VALUE!</v>
      </c>
      <c r="AA1617" t="e">
        <f t="shared" ca="1" si="835"/>
        <v>#VALUE!</v>
      </c>
      <c r="AB1617" t="e">
        <f t="shared" ca="1" si="836"/>
        <v>#VALUE!</v>
      </c>
      <c r="AC1617" t="e">
        <f t="shared" ca="1" si="837"/>
        <v>#VALUE!</v>
      </c>
      <c r="AD1617" t="e">
        <f t="shared" ca="1" si="838"/>
        <v>#VALUE!</v>
      </c>
      <c r="AE1617" t="e">
        <f t="shared" ca="1" si="839"/>
        <v>#VALUE!</v>
      </c>
      <c r="AF1617" t="e">
        <f t="shared" ca="1" si="840"/>
        <v>#VALUE!</v>
      </c>
      <c r="AG1617" t="e">
        <f t="shared" ca="1" si="841"/>
        <v>#VALUE!</v>
      </c>
      <c r="AH1617" t="e">
        <f ca="1">IF(V35="Supercritical",L1617,IF(V35="Subcritical",W1617,IF(AND(V1617=1,AG1617=1),IF(T1617&gt;=AE1617,L1617,W1617),IF(V1617=1,L1617,IF(AG1617=1,W1617,MAX($D$16,POWER((ABS(K1617)^2)/($I$5*MAX(F1617,0.1)^2),1/3)))))))</f>
        <v>#VALUE!</v>
      </c>
      <c r="AI1617" t="e">
        <f t="shared" ca="1" si="842"/>
        <v>#VALUE!</v>
      </c>
      <c r="AJ1617" t="e">
        <f t="shared" ca="1" si="843"/>
        <v>#VALUE!</v>
      </c>
      <c r="AL1617">
        <v>635.5</v>
      </c>
      <c r="AM1617">
        <v>0</v>
      </c>
      <c r="AN1617" t="e">
        <f t="shared" ca="1" si="854"/>
        <v>#VALUE!</v>
      </c>
      <c r="AO1617" t="e">
        <f t="shared" ca="1" si="844"/>
        <v>#VALUE!</v>
      </c>
      <c r="AP1617" t="e">
        <f t="shared" ca="1" si="853"/>
        <v>#VALUE!</v>
      </c>
      <c r="AQ1617" t="e">
        <f t="shared" ca="1" si="845"/>
        <v>#VALUE!</v>
      </c>
      <c r="AR1617" t="e">
        <f t="shared" ca="1" si="846"/>
        <v>#VALUE!</v>
      </c>
      <c r="AS1617" t="e">
        <f t="shared" ca="1" si="847"/>
        <v>#VALUE!</v>
      </c>
    </row>
    <row r="1618" spans="1:45" x14ac:dyDescent="0.35">
      <c r="A1618">
        <v>12</v>
      </c>
      <c r="B1618">
        <v>10.944000000000001</v>
      </c>
      <c r="C1618">
        <v>616076.06999999995</v>
      </c>
      <c r="D1618">
        <v>3096618.3420000002</v>
      </c>
      <c r="E1618">
        <v>631.5</v>
      </c>
      <c r="F1618">
        <v>5.8860000000000001</v>
      </c>
      <c r="G1618">
        <v>0</v>
      </c>
      <c r="H1618" t="s">
        <v>191</v>
      </c>
      <c r="I1618">
        <v>30.655999999999999</v>
      </c>
      <c r="J1618">
        <f t="shared" si="848"/>
        <v>0.94400000000000084</v>
      </c>
      <c r="K1618" t="e">
        <f t="shared" ca="1" si="849"/>
        <v>#VALUE!</v>
      </c>
      <c r="L1618" t="e">
        <f t="shared" ca="1" si="850"/>
        <v>#VALUE!</v>
      </c>
      <c r="M1618" t="e">
        <f t="shared" ca="1" si="823"/>
        <v>#VALUE!</v>
      </c>
      <c r="N1618" t="e">
        <f t="shared" ca="1" si="824"/>
        <v>#VALUE!</v>
      </c>
      <c r="O1618" t="e">
        <f t="shared" ca="1" si="825"/>
        <v>#VALUE!</v>
      </c>
      <c r="P1618" t="e">
        <f t="shared" ca="1" si="826"/>
        <v>#VALUE!</v>
      </c>
      <c r="Q1618" t="e">
        <f t="shared" ca="1" si="827"/>
        <v>#VALUE!</v>
      </c>
      <c r="R1618" t="e">
        <f t="shared" ca="1" si="828"/>
        <v>#VALUE!</v>
      </c>
      <c r="S1618" t="e">
        <f t="shared" ca="1" si="829"/>
        <v>#VALUE!</v>
      </c>
      <c r="T1618" t="e">
        <f t="shared" ca="1" si="830"/>
        <v>#VALUE!</v>
      </c>
      <c r="U1618" t="e">
        <f t="shared" ca="1" si="851"/>
        <v>#VALUE!</v>
      </c>
      <c r="V1618" t="e">
        <f t="shared" ca="1" si="852"/>
        <v>#VALUE!</v>
      </c>
      <c r="W1618" t="e">
        <f t="shared" ca="1" si="831"/>
        <v>#VALUE!</v>
      </c>
      <c r="X1618" t="e">
        <f t="shared" ca="1" si="832"/>
        <v>#VALUE!</v>
      </c>
      <c r="Y1618" t="e">
        <f t="shared" ca="1" si="833"/>
        <v>#VALUE!</v>
      </c>
      <c r="Z1618" t="e">
        <f t="shared" ca="1" si="834"/>
        <v>#VALUE!</v>
      </c>
      <c r="AA1618" t="e">
        <f t="shared" ca="1" si="835"/>
        <v>#VALUE!</v>
      </c>
      <c r="AB1618" t="e">
        <f t="shared" ca="1" si="836"/>
        <v>#VALUE!</v>
      </c>
      <c r="AC1618" t="e">
        <f t="shared" ca="1" si="837"/>
        <v>#VALUE!</v>
      </c>
      <c r="AD1618" t="e">
        <f t="shared" ca="1" si="838"/>
        <v>#VALUE!</v>
      </c>
      <c r="AE1618" t="e">
        <f t="shared" ca="1" si="839"/>
        <v>#VALUE!</v>
      </c>
      <c r="AF1618" t="e">
        <f t="shared" ca="1" si="840"/>
        <v>#VALUE!</v>
      </c>
      <c r="AG1618" t="e">
        <f t="shared" ca="1" si="841"/>
        <v>#VALUE!</v>
      </c>
      <c r="AH1618" t="e">
        <f ca="1">IF(V35="Supercritical",L1618,IF(V35="Subcritical",W1618,IF(AND(V1618=1,AG1618=1),IF(T1618&gt;=AE1618,L1618,W1618),IF(V1618=1,L1618,IF(AG1618=1,W1618,MAX($D$16,POWER((ABS(K1618)^2)/($I$5*MAX(F1618,0.1)^2),1/3)))))))</f>
        <v>#VALUE!</v>
      </c>
      <c r="AI1618" t="e">
        <f t="shared" ca="1" si="842"/>
        <v>#VALUE!</v>
      </c>
      <c r="AJ1618" t="e">
        <f t="shared" ca="1" si="843"/>
        <v>#VALUE!</v>
      </c>
      <c r="AL1618">
        <v>635.5</v>
      </c>
      <c r="AM1618">
        <v>0</v>
      </c>
      <c r="AN1618" t="e">
        <f t="shared" ca="1" si="854"/>
        <v>#VALUE!</v>
      </c>
      <c r="AO1618" t="e">
        <f t="shared" ca="1" si="844"/>
        <v>#VALUE!</v>
      </c>
      <c r="AP1618" t="e">
        <f t="shared" ca="1" si="853"/>
        <v>#VALUE!</v>
      </c>
      <c r="AQ1618" t="e">
        <f t="shared" ca="1" si="845"/>
        <v>#VALUE!</v>
      </c>
      <c r="AR1618" t="e">
        <f t="shared" ca="1" si="846"/>
        <v>#VALUE!</v>
      </c>
      <c r="AS1618" t="e">
        <f t="shared" ca="1" si="847"/>
        <v>#VALUE!</v>
      </c>
    </row>
    <row r="1619" spans="1:45" x14ac:dyDescent="0.35">
      <c r="A1619">
        <v>13</v>
      </c>
      <c r="B1619">
        <v>11.944000000000001</v>
      </c>
      <c r="C1619">
        <v>616076.56099999999</v>
      </c>
      <c r="D1619">
        <v>3096617.4709999999</v>
      </c>
      <c r="E1619">
        <v>631.5</v>
      </c>
      <c r="F1619">
        <v>5.38</v>
      </c>
      <c r="G1619">
        <v>0</v>
      </c>
      <c r="H1619" t="s">
        <v>191</v>
      </c>
      <c r="I1619">
        <v>7.8E-2</v>
      </c>
      <c r="J1619">
        <f t="shared" si="848"/>
        <v>1</v>
      </c>
      <c r="K1619" t="e">
        <f t="shared" ca="1" si="849"/>
        <v>#VALUE!</v>
      </c>
      <c r="L1619" t="e">
        <f t="shared" ca="1" si="850"/>
        <v>#VALUE!</v>
      </c>
      <c r="M1619" t="e">
        <f t="shared" ca="1" si="823"/>
        <v>#VALUE!</v>
      </c>
      <c r="N1619" t="e">
        <f t="shared" ca="1" si="824"/>
        <v>#VALUE!</v>
      </c>
      <c r="O1619" t="e">
        <f t="shared" ca="1" si="825"/>
        <v>#VALUE!</v>
      </c>
      <c r="P1619" t="e">
        <f t="shared" ca="1" si="826"/>
        <v>#VALUE!</v>
      </c>
      <c r="Q1619" t="e">
        <f t="shared" ca="1" si="827"/>
        <v>#VALUE!</v>
      </c>
      <c r="R1619" t="e">
        <f t="shared" ca="1" si="828"/>
        <v>#VALUE!</v>
      </c>
      <c r="S1619" t="e">
        <f t="shared" ca="1" si="829"/>
        <v>#VALUE!</v>
      </c>
      <c r="T1619" t="e">
        <f t="shared" ca="1" si="830"/>
        <v>#VALUE!</v>
      </c>
      <c r="U1619" t="e">
        <f t="shared" ca="1" si="851"/>
        <v>#VALUE!</v>
      </c>
      <c r="V1619" t="e">
        <f t="shared" ca="1" si="852"/>
        <v>#VALUE!</v>
      </c>
      <c r="W1619" t="e">
        <f t="shared" ca="1" si="831"/>
        <v>#VALUE!</v>
      </c>
      <c r="X1619" t="e">
        <f t="shared" ca="1" si="832"/>
        <v>#VALUE!</v>
      </c>
      <c r="Y1619" t="e">
        <f t="shared" ca="1" si="833"/>
        <v>#VALUE!</v>
      </c>
      <c r="Z1619" t="e">
        <f t="shared" ca="1" si="834"/>
        <v>#VALUE!</v>
      </c>
      <c r="AA1619" t="e">
        <f t="shared" ca="1" si="835"/>
        <v>#VALUE!</v>
      </c>
      <c r="AB1619" t="e">
        <f t="shared" ca="1" si="836"/>
        <v>#VALUE!</v>
      </c>
      <c r="AC1619" t="e">
        <f t="shared" ca="1" si="837"/>
        <v>#VALUE!</v>
      </c>
      <c r="AD1619" t="e">
        <f t="shared" ca="1" si="838"/>
        <v>#VALUE!</v>
      </c>
      <c r="AE1619" t="e">
        <f t="shared" ca="1" si="839"/>
        <v>#VALUE!</v>
      </c>
      <c r="AF1619" t="e">
        <f t="shared" ca="1" si="840"/>
        <v>#VALUE!</v>
      </c>
      <c r="AG1619" t="e">
        <f t="shared" ca="1" si="841"/>
        <v>#VALUE!</v>
      </c>
      <c r="AH1619" t="e">
        <f ca="1">IF(V35="Supercritical",L1619,IF(V35="Subcritical",W1619,IF(AND(V1619=1,AG1619=1),IF(T1619&gt;=AE1619,L1619,W1619),IF(V1619=1,L1619,IF(AG1619=1,W1619,MAX($D$16,POWER((ABS(K1619)^2)/($I$5*MAX(F1619,0.1)^2),1/3)))))))</f>
        <v>#VALUE!</v>
      </c>
      <c r="AI1619" t="e">
        <f t="shared" ca="1" si="842"/>
        <v>#VALUE!</v>
      </c>
      <c r="AJ1619" t="e">
        <f t="shared" ca="1" si="843"/>
        <v>#VALUE!</v>
      </c>
      <c r="AL1619">
        <v>635.5</v>
      </c>
      <c r="AM1619">
        <v>0</v>
      </c>
      <c r="AN1619" t="e">
        <f t="shared" ca="1" si="854"/>
        <v>#VALUE!</v>
      </c>
      <c r="AO1619" t="e">
        <f t="shared" ca="1" si="844"/>
        <v>#VALUE!</v>
      </c>
      <c r="AP1619" t="e">
        <f t="shared" ca="1" si="853"/>
        <v>#VALUE!</v>
      </c>
      <c r="AQ1619" t="e">
        <f t="shared" ca="1" si="845"/>
        <v>#VALUE!</v>
      </c>
      <c r="AR1619" t="e">
        <f t="shared" ca="1" si="846"/>
        <v>#VALUE!</v>
      </c>
      <c r="AS1619" t="e">
        <f t="shared" ca="1" si="847"/>
        <v>#VALUE!</v>
      </c>
    </row>
    <row r="1620" spans="1:45" x14ac:dyDescent="0.35">
      <c r="A1620">
        <v>14</v>
      </c>
      <c r="B1620">
        <v>12.943</v>
      </c>
      <c r="C1620">
        <v>616077.05299999996</v>
      </c>
      <c r="D1620">
        <v>3096616.6009999998</v>
      </c>
      <c r="E1620">
        <v>631.5</v>
      </c>
      <c r="F1620">
        <v>5.2</v>
      </c>
      <c r="G1620">
        <v>0</v>
      </c>
      <c r="H1620" t="s">
        <v>191</v>
      </c>
      <c r="I1620">
        <v>2.8000000000000001E-2</v>
      </c>
      <c r="J1620">
        <f t="shared" si="848"/>
        <v>0.99899999999999878</v>
      </c>
      <c r="K1620" t="e">
        <f t="shared" ca="1" si="849"/>
        <v>#VALUE!</v>
      </c>
      <c r="L1620" t="e">
        <f t="shared" ca="1" si="850"/>
        <v>#VALUE!</v>
      </c>
      <c r="M1620" t="e">
        <f t="shared" ca="1" si="823"/>
        <v>#VALUE!</v>
      </c>
      <c r="N1620" t="e">
        <f t="shared" ca="1" si="824"/>
        <v>#VALUE!</v>
      </c>
      <c r="O1620" t="e">
        <f t="shared" ca="1" si="825"/>
        <v>#VALUE!</v>
      </c>
      <c r="P1620" t="e">
        <f t="shared" ca="1" si="826"/>
        <v>#VALUE!</v>
      </c>
      <c r="Q1620" t="e">
        <f t="shared" ca="1" si="827"/>
        <v>#VALUE!</v>
      </c>
      <c r="R1620" t="e">
        <f t="shared" ca="1" si="828"/>
        <v>#VALUE!</v>
      </c>
      <c r="S1620" t="e">
        <f t="shared" ca="1" si="829"/>
        <v>#VALUE!</v>
      </c>
      <c r="T1620" t="e">
        <f t="shared" ca="1" si="830"/>
        <v>#VALUE!</v>
      </c>
      <c r="U1620" t="e">
        <f t="shared" ca="1" si="851"/>
        <v>#VALUE!</v>
      </c>
      <c r="V1620" t="e">
        <f t="shared" ca="1" si="852"/>
        <v>#VALUE!</v>
      </c>
      <c r="W1620" t="e">
        <f t="shared" ca="1" si="831"/>
        <v>#VALUE!</v>
      </c>
      <c r="X1620" t="e">
        <f t="shared" ca="1" si="832"/>
        <v>#VALUE!</v>
      </c>
      <c r="Y1620" t="e">
        <f t="shared" ca="1" si="833"/>
        <v>#VALUE!</v>
      </c>
      <c r="Z1620" t="e">
        <f t="shared" ca="1" si="834"/>
        <v>#VALUE!</v>
      </c>
      <c r="AA1620" t="e">
        <f t="shared" ca="1" si="835"/>
        <v>#VALUE!</v>
      </c>
      <c r="AB1620" t="e">
        <f t="shared" ca="1" si="836"/>
        <v>#VALUE!</v>
      </c>
      <c r="AC1620" t="e">
        <f t="shared" ca="1" si="837"/>
        <v>#VALUE!</v>
      </c>
      <c r="AD1620" t="e">
        <f t="shared" ca="1" si="838"/>
        <v>#VALUE!</v>
      </c>
      <c r="AE1620" t="e">
        <f t="shared" ca="1" si="839"/>
        <v>#VALUE!</v>
      </c>
      <c r="AF1620" t="e">
        <f t="shared" ca="1" si="840"/>
        <v>#VALUE!</v>
      </c>
      <c r="AG1620" t="e">
        <f t="shared" ca="1" si="841"/>
        <v>#VALUE!</v>
      </c>
      <c r="AH1620" t="e">
        <f ca="1">IF(V35="Supercritical",L1620,IF(V35="Subcritical",W1620,IF(AND(V1620=1,AG1620=1),IF(T1620&gt;=AE1620,L1620,W1620),IF(V1620=1,L1620,IF(AG1620=1,W1620,MAX($D$16,POWER((ABS(K1620)^2)/($I$5*MAX(F1620,0.1)^2),1/3)))))))</f>
        <v>#VALUE!</v>
      </c>
      <c r="AI1620" t="e">
        <f t="shared" ca="1" si="842"/>
        <v>#VALUE!</v>
      </c>
      <c r="AJ1620" t="e">
        <f t="shared" ca="1" si="843"/>
        <v>#VALUE!</v>
      </c>
      <c r="AL1620">
        <v>635.5</v>
      </c>
      <c r="AM1620">
        <v>0</v>
      </c>
      <c r="AN1620" t="e">
        <f t="shared" ca="1" si="854"/>
        <v>#VALUE!</v>
      </c>
      <c r="AO1620" t="e">
        <f t="shared" ca="1" si="844"/>
        <v>#VALUE!</v>
      </c>
      <c r="AP1620" t="e">
        <f t="shared" ca="1" si="853"/>
        <v>#VALUE!</v>
      </c>
      <c r="AQ1620" t="e">
        <f t="shared" ca="1" si="845"/>
        <v>#VALUE!</v>
      </c>
      <c r="AR1620" t="e">
        <f t="shared" ca="1" si="846"/>
        <v>#VALUE!</v>
      </c>
      <c r="AS1620" t="e">
        <f t="shared" ca="1" si="847"/>
        <v>#VALUE!</v>
      </c>
    </row>
    <row r="1621" spans="1:45" x14ac:dyDescent="0.35">
      <c r="A1621">
        <v>15</v>
      </c>
      <c r="B1621">
        <v>13.944000000000001</v>
      </c>
      <c r="C1621">
        <v>616077.54500000004</v>
      </c>
      <c r="D1621">
        <v>3096615.73</v>
      </c>
      <c r="E1621">
        <v>631.5</v>
      </c>
      <c r="F1621">
        <v>5.125</v>
      </c>
      <c r="G1621">
        <v>0</v>
      </c>
      <c r="H1621" t="s">
        <v>191</v>
      </c>
      <c r="I1621">
        <v>0.05</v>
      </c>
      <c r="J1621">
        <f t="shared" si="848"/>
        <v>1.0010000000000012</v>
      </c>
      <c r="K1621" t="e">
        <f t="shared" ca="1" si="849"/>
        <v>#VALUE!</v>
      </c>
      <c r="L1621" t="e">
        <f t="shared" ca="1" si="850"/>
        <v>#VALUE!</v>
      </c>
      <c r="M1621" t="e">
        <f t="shared" ca="1" si="823"/>
        <v>#VALUE!</v>
      </c>
      <c r="N1621" t="e">
        <f t="shared" ca="1" si="824"/>
        <v>#VALUE!</v>
      </c>
      <c r="O1621" t="e">
        <f t="shared" ca="1" si="825"/>
        <v>#VALUE!</v>
      </c>
      <c r="P1621" t="e">
        <f t="shared" ca="1" si="826"/>
        <v>#VALUE!</v>
      </c>
      <c r="Q1621" t="e">
        <f t="shared" ca="1" si="827"/>
        <v>#VALUE!</v>
      </c>
      <c r="R1621" t="e">
        <f t="shared" ca="1" si="828"/>
        <v>#VALUE!</v>
      </c>
      <c r="S1621" t="e">
        <f t="shared" ca="1" si="829"/>
        <v>#VALUE!</v>
      </c>
      <c r="T1621" t="e">
        <f t="shared" ca="1" si="830"/>
        <v>#VALUE!</v>
      </c>
      <c r="U1621" t="e">
        <f t="shared" ca="1" si="851"/>
        <v>#VALUE!</v>
      </c>
      <c r="V1621" t="e">
        <f t="shared" ca="1" si="852"/>
        <v>#VALUE!</v>
      </c>
      <c r="W1621" t="e">
        <f t="shared" ca="1" si="831"/>
        <v>#VALUE!</v>
      </c>
      <c r="X1621" t="e">
        <f t="shared" ca="1" si="832"/>
        <v>#VALUE!</v>
      </c>
      <c r="Y1621" t="e">
        <f t="shared" ca="1" si="833"/>
        <v>#VALUE!</v>
      </c>
      <c r="Z1621" t="e">
        <f t="shared" ca="1" si="834"/>
        <v>#VALUE!</v>
      </c>
      <c r="AA1621" t="e">
        <f t="shared" ca="1" si="835"/>
        <v>#VALUE!</v>
      </c>
      <c r="AB1621" t="e">
        <f t="shared" ca="1" si="836"/>
        <v>#VALUE!</v>
      </c>
      <c r="AC1621" t="e">
        <f t="shared" ca="1" si="837"/>
        <v>#VALUE!</v>
      </c>
      <c r="AD1621" t="e">
        <f t="shared" ca="1" si="838"/>
        <v>#VALUE!</v>
      </c>
      <c r="AE1621" t="e">
        <f t="shared" ca="1" si="839"/>
        <v>#VALUE!</v>
      </c>
      <c r="AF1621" t="e">
        <f t="shared" ca="1" si="840"/>
        <v>#VALUE!</v>
      </c>
      <c r="AG1621" t="e">
        <f t="shared" ca="1" si="841"/>
        <v>#VALUE!</v>
      </c>
      <c r="AH1621" t="e">
        <f ca="1">IF(V35="Supercritical",L1621,IF(V35="Subcritical",W1621,IF(AND(V1621=1,AG1621=1),IF(T1621&gt;=AE1621,L1621,W1621),IF(V1621=1,L1621,IF(AG1621=1,W1621,MAX($D$16,POWER((ABS(K1621)^2)/($I$5*MAX(F1621,0.1)^2),1/3)))))))</f>
        <v>#VALUE!</v>
      </c>
      <c r="AI1621" t="e">
        <f t="shared" ca="1" si="842"/>
        <v>#VALUE!</v>
      </c>
      <c r="AJ1621" t="e">
        <f t="shared" ca="1" si="843"/>
        <v>#VALUE!</v>
      </c>
      <c r="AL1621">
        <v>635.5</v>
      </c>
      <c r="AM1621">
        <v>0</v>
      </c>
      <c r="AN1621" t="e">
        <f t="shared" ca="1" si="854"/>
        <v>#VALUE!</v>
      </c>
      <c r="AO1621" t="e">
        <f t="shared" ca="1" si="844"/>
        <v>#VALUE!</v>
      </c>
      <c r="AP1621" t="e">
        <f t="shared" ca="1" si="853"/>
        <v>#VALUE!</v>
      </c>
      <c r="AQ1621" t="e">
        <f t="shared" ca="1" si="845"/>
        <v>#VALUE!</v>
      </c>
      <c r="AR1621" t="e">
        <f t="shared" ca="1" si="846"/>
        <v>#VALUE!</v>
      </c>
      <c r="AS1621" t="e">
        <f t="shared" ca="1" si="847"/>
        <v>#VALUE!</v>
      </c>
    </row>
    <row r="1622" spans="1:45" x14ac:dyDescent="0.35">
      <c r="A1622">
        <v>16</v>
      </c>
      <c r="B1622">
        <v>14.944000000000001</v>
      </c>
      <c r="C1622">
        <v>616078.03599999996</v>
      </c>
      <c r="D1622">
        <v>3096614.8590000002</v>
      </c>
      <c r="E1622">
        <v>631.5</v>
      </c>
      <c r="F1622">
        <v>5.0510000000000002</v>
      </c>
      <c r="G1622">
        <v>0</v>
      </c>
      <c r="H1622" t="s">
        <v>191</v>
      </c>
      <c r="I1622">
        <v>0.05</v>
      </c>
      <c r="J1622">
        <f t="shared" si="848"/>
        <v>1</v>
      </c>
      <c r="K1622" t="e">
        <f t="shared" ca="1" si="849"/>
        <v>#VALUE!</v>
      </c>
      <c r="L1622" t="e">
        <f t="shared" ca="1" si="850"/>
        <v>#VALUE!</v>
      </c>
      <c r="M1622" t="e">
        <f t="shared" ca="1" si="823"/>
        <v>#VALUE!</v>
      </c>
      <c r="N1622" t="e">
        <f t="shared" ca="1" si="824"/>
        <v>#VALUE!</v>
      </c>
      <c r="O1622" t="e">
        <f t="shared" ca="1" si="825"/>
        <v>#VALUE!</v>
      </c>
      <c r="P1622" t="e">
        <f t="shared" ca="1" si="826"/>
        <v>#VALUE!</v>
      </c>
      <c r="Q1622" t="e">
        <f t="shared" ca="1" si="827"/>
        <v>#VALUE!</v>
      </c>
      <c r="R1622" t="e">
        <f t="shared" ca="1" si="828"/>
        <v>#VALUE!</v>
      </c>
      <c r="S1622" t="e">
        <f t="shared" ca="1" si="829"/>
        <v>#VALUE!</v>
      </c>
      <c r="T1622" t="e">
        <f t="shared" ca="1" si="830"/>
        <v>#VALUE!</v>
      </c>
      <c r="U1622" t="e">
        <f t="shared" ca="1" si="851"/>
        <v>#VALUE!</v>
      </c>
      <c r="V1622" t="e">
        <f t="shared" ca="1" si="852"/>
        <v>#VALUE!</v>
      </c>
      <c r="W1622" t="e">
        <f t="shared" ca="1" si="831"/>
        <v>#VALUE!</v>
      </c>
      <c r="X1622" t="e">
        <f t="shared" ca="1" si="832"/>
        <v>#VALUE!</v>
      </c>
      <c r="Y1622" t="e">
        <f t="shared" ca="1" si="833"/>
        <v>#VALUE!</v>
      </c>
      <c r="Z1622" t="e">
        <f t="shared" ca="1" si="834"/>
        <v>#VALUE!</v>
      </c>
      <c r="AA1622" t="e">
        <f t="shared" ca="1" si="835"/>
        <v>#VALUE!</v>
      </c>
      <c r="AB1622" t="e">
        <f t="shared" ca="1" si="836"/>
        <v>#VALUE!</v>
      </c>
      <c r="AC1622" t="e">
        <f t="shared" ca="1" si="837"/>
        <v>#VALUE!</v>
      </c>
      <c r="AD1622" t="e">
        <f t="shared" ca="1" si="838"/>
        <v>#VALUE!</v>
      </c>
      <c r="AE1622" t="e">
        <f t="shared" ca="1" si="839"/>
        <v>#VALUE!</v>
      </c>
      <c r="AF1622" t="e">
        <f t="shared" ca="1" si="840"/>
        <v>#VALUE!</v>
      </c>
      <c r="AG1622" t="e">
        <f t="shared" ca="1" si="841"/>
        <v>#VALUE!</v>
      </c>
      <c r="AH1622" t="e">
        <f ca="1">IF(V35="Supercritical",L1622,IF(V35="Subcritical",W1622,IF(AND(V1622=1,AG1622=1),IF(T1622&gt;=AE1622,L1622,W1622),IF(V1622=1,L1622,IF(AG1622=1,W1622,MAX($D$16,POWER((ABS(K1622)^2)/($I$5*MAX(F1622,0.1)^2),1/3)))))))</f>
        <v>#VALUE!</v>
      </c>
      <c r="AI1622" t="e">
        <f t="shared" ca="1" si="842"/>
        <v>#VALUE!</v>
      </c>
      <c r="AJ1622" t="e">
        <f t="shared" ca="1" si="843"/>
        <v>#VALUE!</v>
      </c>
      <c r="AL1622">
        <v>635.5</v>
      </c>
      <c r="AM1622">
        <v>0</v>
      </c>
      <c r="AN1622" t="e">
        <f t="shared" ca="1" si="854"/>
        <v>#VALUE!</v>
      </c>
      <c r="AO1622" t="e">
        <f t="shared" ca="1" si="844"/>
        <v>#VALUE!</v>
      </c>
      <c r="AP1622" t="e">
        <f t="shared" ca="1" si="853"/>
        <v>#VALUE!</v>
      </c>
      <c r="AQ1622" t="e">
        <f t="shared" ca="1" si="845"/>
        <v>#VALUE!</v>
      </c>
      <c r="AR1622" t="e">
        <f t="shared" ca="1" si="846"/>
        <v>#VALUE!</v>
      </c>
      <c r="AS1622" t="e">
        <f t="shared" ca="1" si="847"/>
        <v>#VALUE!</v>
      </c>
    </row>
    <row r="1623" spans="1:45" x14ac:dyDescent="0.35">
      <c r="A1623">
        <v>17</v>
      </c>
      <c r="B1623">
        <v>15.944000000000001</v>
      </c>
      <c r="C1623">
        <v>616078.52800000005</v>
      </c>
      <c r="D1623">
        <v>3096613.9879999999</v>
      </c>
      <c r="E1623">
        <v>631.5</v>
      </c>
      <c r="F1623">
        <v>4.976</v>
      </c>
      <c r="G1623">
        <v>0</v>
      </c>
      <c r="H1623" t="s">
        <v>191</v>
      </c>
      <c r="I1623">
        <v>0.05</v>
      </c>
      <c r="J1623">
        <f t="shared" si="848"/>
        <v>1</v>
      </c>
      <c r="K1623" t="e">
        <f t="shared" ca="1" si="849"/>
        <v>#VALUE!</v>
      </c>
      <c r="L1623" t="e">
        <f t="shared" ca="1" si="850"/>
        <v>#VALUE!</v>
      </c>
      <c r="M1623" t="e">
        <f t="shared" ca="1" si="823"/>
        <v>#VALUE!</v>
      </c>
      <c r="N1623" t="e">
        <f t="shared" ca="1" si="824"/>
        <v>#VALUE!</v>
      </c>
      <c r="O1623" t="e">
        <f t="shared" ca="1" si="825"/>
        <v>#VALUE!</v>
      </c>
      <c r="P1623" t="e">
        <f t="shared" ca="1" si="826"/>
        <v>#VALUE!</v>
      </c>
      <c r="Q1623" t="e">
        <f t="shared" ca="1" si="827"/>
        <v>#VALUE!</v>
      </c>
      <c r="R1623" t="e">
        <f t="shared" ca="1" si="828"/>
        <v>#VALUE!</v>
      </c>
      <c r="S1623" t="e">
        <f t="shared" ca="1" si="829"/>
        <v>#VALUE!</v>
      </c>
      <c r="T1623" t="e">
        <f t="shared" ca="1" si="830"/>
        <v>#VALUE!</v>
      </c>
      <c r="U1623" t="e">
        <f t="shared" ca="1" si="851"/>
        <v>#VALUE!</v>
      </c>
      <c r="V1623" t="e">
        <f t="shared" ca="1" si="852"/>
        <v>#VALUE!</v>
      </c>
      <c r="W1623" t="e">
        <f t="shared" ca="1" si="831"/>
        <v>#VALUE!</v>
      </c>
      <c r="X1623" t="e">
        <f t="shared" ca="1" si="832"/>
        <v>#VALUE!</v>
      </c>
      <c r="Y1623" t="e">
        <f t="shared" ca="1" si="833"/>
        <v>#VALUE!</v>
      </c>
      <c r="Z1623" t="e">
        <f t="shared" ca="1" si="834"/>
        <v>#VALUE!</v>
      </c>
      <c r="AA1623" t="e">
        <f t="shared" ca="1" si="835"/>
        <v>#VALUE!</v>
      </c>
      <c r="AB1623" t="e">
        <f t="shared" ca="1" si="836"/>
        <v>#VALUE!</v>
      </c>
      <c r="AC1623" t="e">
        <f t="shared" ca="1" si="837"/>
        <v>#VALUE!</v>
      </c>
      <c r="AD1623" t="e">
        <f t="shared" ca="1" si="838"/>
        <v>#VALUE!</v>
      </c>
      <c r="AE1623" t="e">
        <f t="shared" ca="1" si="839"/>
        <v>#VALUE!</v>
      </c>
      <c r="AF1623" t="e">
        <f t="shared" ca="1" si="840"/>
        <v>#VALUE!</v>
      </c>
      <c r="AG1623" t="e">
        <f t="shared" ca="1" si="841"/>
        <v>#VALUE!</v>
      </c>
      <c r="AH1623" t="e">
        <f ca="1">IF(V35="Supercritical",L1623,IF(V35="Subcritical",W1623,IF(AND(V1623=1,AG1623=1),IF(T1623&gt;=AE1623,L1623,W1623),IF(V1623=1,L1623,IF(AG1623=1,W1623,MAX($D$16,POWER((ABS(K1623)^2)/($I$5*MAX(F1623,0.1)^2),1/3)))))))</f>
        <v>#VALUE!</v>
      </c>
      <c r="AI1623" t="e">
        <f t="shared" ca="1" si="842"/>
        <v>#VALUE!</v>
      </c>
      <c r="AJ1623" t="e">
        <f t="shared" ca="1" si="843"/>
        <v>#VALUE!</v>
      </c>
      <c r="AL1623">
        <v>635.5</v>
      </c>
      <c r="AM1623">
        <v>0</v>
      </c>
      <c r="AN1623" t="e">
        <f t="shared" ca="1" si="854"/>
        <v>#VALUE!</v>
      </c>
      <c r="AO1623" t="e">
        <f t="shared" ca="1" si="844"/>
        <v>#VALUE!</v>
      </c>
      <c r="AP1623" t="e">
        <f t="shared" ca="1" si="853"/>
        <v>#VALUE!</v>
      </c>
      <c r="AQ1623" t="e">
        <f t="shared" ca="1" si="845"/>
        <v>#VALUE!</v>
      </c>
      <c r="AR1623" t="e">
        <f t="shared" ca="1" si="846"/>
        <v>#VALUE!</v>
      </c>
      <c r="AS1623" t="e">
        <f t="shared" ca="1" si="847"/>
        <v>#VALUE!</v>
      </c>
    </row>
    <row r="1624" spans="1:45" x14ac:dyDescent="0.35">
      <c r="A1624">
        <v>18</v>
      </c>
      <c r="B1624">
        <v>16.943999999999999</v>
      </c>
      <c r="C1624">
        <v>616079.01899999997</v>
      </c>
      <c r="D1624">
        <v>3096613.1170000001</v>
      </c>
      <c r="E1624">
        <v>631.5</v>
      </c>
      <c r="F1624">
        <v>4.9009999999999998</v>
      </c>
      <c r="G1624">
        <v>0</v>
      </c>
      <c r="H1624" t="s">
        <v>191</v>
      </c>
      <c r="I1624">
        <v>0.05</v>
      </c>
      <c r="J1624">
        <f t="shared" si="848"/>
        <v>0.99999999999999822</v>
      </c>
      <c r="K1624" t="e">
        <f t="shared" ca="1" si="849"/>
        <v>#VALUE!</v>
      </c>
      <c r="L1624" t="e">
        <f t="shared" ca="1" si="850"/>
        <v>#VALUE!</v>
      </c>
      <c r="M1624" t="e">
        <f t="shared" ca="1" si="823"/>
        <v>#VALUE!</v>
      </c>
      <c r="N1624" t="e">
        <f t="shared" ca="1" si="824"/>
        <v>#VALUE!</v>
      </c>
      <c r="O1624" t="e">
        <f t="shared" ca="1" si="825"/>
        <v>#VALUE!</v>
      </c>
      <c r="P1624" t="e">
        <f t="shared" ca="1" si="826"/>
        <v>#VALUE!</v>
      </c>
      <c r="Q1624" t="e">
        <f t="shared" ca="1" si="827"/>
        <v>#VALUE!</v>
      </c>
      <c r="R1624" t="e">
        <f t="shared" ca="1" si="828"/>
        <v>#VALUE!</v>
      </c>
      <c r="S1624" t="e">
        <f t="shared" ca="1" si="829"/>
        <v>#VALUE!</v>
      </c>
      <c r="T1624" t="e">
        <f t="shared" ca="1" si="830"/>
        <v>#VALUE!</v>
      </c>
      <c r="U1624" t="e">
        <f t="shared" ca="1" si="851"/>
        <v>#VALUE!</v>
      </c>
      <c r="V1624" t="e">
        <f t="shared" ca="1" si="852"/>
        <v>#VALUE!</v>
      </c>
      <c r="W1624" t="e">
        <f t="shared" ca="1" si="831"/>
        <v>#VALUE!</v>
      </c>
      <c r="X1624" t="e">
        <f t="shared" ca="1" si="832"/>
        <v>#VALUE!</v>
      </c>
      <c r="Y1624" t="e">
        <f t="shared" ca="1" si="833"/>
        <v>#VALUE!</v>
      </c>
      <c r="Z1624" t="e">
        <f t="shared" ca="1" si="834"/>
        <v>#VALUE!</v>
      </c>
      <c r="AA1624" t="e">
        <f t="shared" ca="1" si="835"/>
        <v>#VALUE!</v>
      </c>
      <c r="AB1624" t="e">
        <f t="shared" ca="1" si="836"/>
        <v>#VALUE!</v>
      </c>
      <c r="AC1624" t="e">
        <f t="shared" ca="1" si="837"/>
        <v>#VALUE!</v>
      </c>
      <c r="AD1624" t="e">
        <f t="shared" ca="1" si="838"/>
        <v>#VALUE!</v>
      </c>
      <c r="AE1624" t="e">
        <f t="shared" ca="1" si="839"/>
        <v>#VALUE!</v>
      </c>
      <c r="AF1624" t="e">
        <f t="shared" ca="1" si="840"/>
        <v>#VALUE!</v>
      </c>
      <c r="AG1624" t="e">
        <f t="shared" ca="1" si="841"/>
        <v>#VALUE!</v>
      </c>
      <c r="AH1624" t="e">
        <f ca="1">IF(V35="Supercritical",L1624,IF(V35="Subcritical",W1624,IF(AND(V1624=1,AG1624=1),IF(T1624&gt;=AE1624,L1624,W1624),IF(V1624=1,L1624,IF(AG1624=1,W1624,MAX($D$16,POWER((ABS(K1624)^2)/($I$5*MAX(F1624,0.1)^2),1/3)))))))</f>
        <v>#VALUE!</v>
      </c>
      <c r="AI1624" t="e">
        <f t="shared" ca="1" si="842"/>
        <v>#VALUE!</v>
      </c>
      <c r="AJ1624" t="e">
        <f t="shared" ca="1" si="843"/>
        <v>#VALUE!</v>
      </c>
      <c r="AL1624">
        <v>635.5</v>
      </c>
      <c r="AM1624">
        <v>0</v>
      </c>
      <c r="AN1624" t="e">
        <f t="shared" ca="1" si="854"/>
        <v>#VALUE!</v>
      </c>
      <c r="AO1624" t="e">
        <f t="shared" ca="1" si="844"/>
        <v>#VALUE!</v>
      </c>
      <c r="AP1624" t="e">
        <f t="shared" ca="1" si="853"/>
        <v>#VALUE!</v>
      </c>
      <c r="AQ1624" t="e">
        <f t="shared" ca="1" si="845"/>
        <v>#VALUE!</v>
      </c>
      <c r="AR1624" t="e">
        <f t="shared" ca="1" si="846"/>
        <v>#VALUE!</v>
      </c>
      <c r="AS1624" t="e">
        <f t="shared" ca="1" si="847"/>
        <v>#VALUE!</v>
      </c>
    </row>
    <row r="1625" spans="1:45" x14ac:dyDescent="0.35">
      <c r="A1625">
        <v>19</v>
      </c>
      <c r="B1625">
        <v>17.943999999999999</v>
      </c>
      <c r="C1625">
        <v>616079.51100000006</v>
      </c>
      <c r="D1625">
        <v>3096612.2459999998</v>
      </c>
      <c r="E1625">
        <v>631.5</v>
      </c>
      <c r="F1625">
        <v>4.8259999999999996</v>
      </c>
      <c r="G1625">
        <v>0</v>
      </c>
      <c r="H1625" t="s">
        <v>191</v>
      </c>
      <c r="I1625">
        <v>0.05</v>
      </c>
      <c r="J1625">
        <f t="shared" si="848"/>
        <v>1</v>
      </c>
      <c r="K1625" t="e">
        <f t="shared" ca="1" si="849"/>
        <v>#VALUE!</v>
      </c>
      <c r="L1625" t="e">
        <f t="shared" ca="1" si="850"/>
        <v>#VALUE!</v>
      </c>
      <c r="M1625" t="e">
        <f t="shared" ca="1" si="823"/>
        <v>#VALUE!</v>
      </c>
      <c r="N1625" t="e">
        <f t="shared" ca="1" si="824"/>
        <v>#VALUE!</v>
      </c>
      <c r="O1625" t="e">
        <f t="shared" ca="1" si="825"/>
        <v>#VALUE!</v>
      </c>
      <c r="P1625" t="e">
        <f t="shared" ca="1" si="826"/>
        <v>#VALUE!</v>
      </c>
      <c r="Q1625" t="e">
        <f t="shared" ca="1" si="827"/>
        <v>#VALUE!</v>
      </c>
      <c r="R1625" t="e">
        <f t="shared" ca="1" si="828"/>
        <v>#VALUE!</v>
      </c>
      <c r="S1625" t="e">
        <f t="shared" ca="1" si="829"/>
        <v>#VALUE!</v>
      </c>
      <c r="T1625" t="e">
        <f t="shared" ca="1" si="830"/>
        <v>#VALUE!</v>
      </c>
      <c r="U1625" t="e">
        <f t="shared" ca="1" si="851"/>
        <v>#VALUE!</v>
      </c>
      <c r="V1625" t="e">
        <f t="shared" ca="1" si="852"/>
        <v>#VALUE!</v>
      </c>
      <c r="W1625" t="e">
        <f t="shared" ca="1" si="831"/>
        <v>#VALUE!</v>
      </c>
      <c r="X1625" t="e">
        <f t="shared" ca="1" si="832"/>
        <v>#VALUE!</v>
      </c>
      <c r="Y1625" t="e">
        <f t="shared" ca="1" si="833"/>
        <v>#VALUE!</v>
      </c>
      <c r="Z1625" t="e">
        <f t="shared" ca="1" si="834"/>
        <v>#VALUE!</v>
      </c>
      <c r="AA1625" t="e">
        <f t="shared" ca="1" si="835"/>
        <v>#VALUE!</v>
      </c>
      <c r="AB1625" t="e">
        <f t="shared" ca="1" si="836"/>
        <v>#VALUE!</v>
      </c>
      <c r="AC1625" t="e">
        <f t="shared" ca="1" si="837"/>
        <v>#VALUE!</v>
      </c>
      <c r="AD1625" t="e">
        <f t="shared" ca="1" si="838"/>
        <v>#VALUE!</v>
      </c>
      <c r="AE1625" t="e">
        <f t="shared" ca="1" si="839"/>
        <v>#VALUE!</v>
      </c>
      <c r="AF1625" t="e">
        <f t="shared" ca="1" si="840"/>
        <v>#VALUE!</v>
      </c>
      <c r="AG1625" t="e">
        <f t="shared" ca="1" si="841"/>
        <v>#VALUE!</v>
      </c>
      <c r="AH1625" t="e">
        <f ca="1">IF(V35="Supercritical",L1625,IF(V35="Subcritical",W1625,IF(AND(V1625=1,AG1625=1),IF(T1625&gt;=AE1625,L1625,W1625),IF(V1625=1,L1625,IF(AG1625=1,W1625,MAX($D$16,POWER((ABS(K1625)^2)/($I$5*MAX(F1625,0.1)^2),1/3)))))))</f>
        <v>#VALUE!</v>
      </c>
      <c r="AI1625" t="e">
        <f t="shared" ca="1" si="842"/>
        <v>#VALUE!</v>
      </c>
      <c r="AJ1625" t="e">
        <f t="shared" ca="1" si="843"/>
        <v>#VALUE!</v>
      </c>
      <c r="AL1625">
        <v>635.5</v>
      </c>
      <c r="AM1625">
        <v>0</v>
      </c>
      <c r="AN1625" t="e">
        <f t="shared" ca="1" si="854"/>
        <v>#VALUE!</v>
      </c>
      <c r="AO1625" t="e">
        <f t="shared" ca="1" si="844"/>
        <v>#VALUE!</v>
      </c>
      <c r="AP1625" t="e">
        <f t="shared" ca="1" si="853"/>
        <v>#VALUE!</v>
      </c>
      <c r="AQ1625" t="e">
        <f t="shared" ca="1" si="845"/>
        <v>#VALUE!</v>
      </c>
      <c r="AR1625" t="e">
        <f t="shared" ca="1" si="846"/>
        <v>#VALUE!</v>
      </c>
      <c r="AS1625" t="e">
        <f t="shared" ca="1" si="847"/>
        <v>#VALUE!</v>
      </c>
    </row>
    <row r="1626" spans="1:45" x14ac:dyDescent="0.35">
      <c r="A1626">
        <v>20</v>
      </c>
      <c r="B1626">
        <v>18.943999999999999</v>
      </c>
      <c r="C1626">
        <v>616080.00199999998</v>
      </c>
      <c r="D1626">
        <v>3096611.375</v>
      </c>
      <c r="E1626">
        <v>631.5</v>
      </c>
      <c r="F1626">
        <v>4.7519999999999998</v>
      </c>
      <c r="G1626">
        <v>0</v>
      </c>
      <c r="H1626" t="s">
        <v>191</v>
      </c>
      <c r="I1626">
        <v>7.8E-2</v>
      </c>
      <c r="J1626">
        <f t="shared" si="848"/>
        <v>1</v>
      </c>
      <c r="K1626" t="e">
        <f t="shared" ca="1" si="849"/>
        <v>#VALUE!</v>
      </c>
      <c r="L1626" t="e">
        <f t="shared" ca="1" si="850"/>
        <v>#VALUE!</v>
      </c>
      <c r="M1626" t="e">
        <f t="shared" ca="1" si="823"/>
        <v>#VALUE!</v>
      </c>
      <c r="N1626" t="e">
        <f t="shared" ca="1" si="824"/>
        <v>#VALUE!</v>
      </c>
      <c r="O1626" t="e">
        <f t="shared" ca="1" si="825"/>
        <v>#VALUE!</v>
      </c>
      <c r="P1626" t="e">
        <f t="shared" ca="1" si="826"/>
        <v>#VALUE!</v>
      </c>
      <c r="Q1626" t="e">
        <f t="shared" ca="1" si="827"/>
        <v>#VALUE!</v>
      </c>
      <c r="R1626" t="e">
        <f t="shared" ca="1" si="828"/>
        <v>#VALUE!</v>
      </c>
      <c r="S1626" t="e">
        <f t="shared" ca="1" si="829"/>
        <v>#VALUE!</v>
      </c>
      <c r="T1626" t="e">
        <f t="shared" ca="1" si="830"/>
        <v>#VALUE!</v>
      </c>
      <c r="U1626" t="e">
        <f t="shared" ca="1" si="851"/>
        <v>#VALUE!</v>
      </c>
      <c r="V1626" t="e">
        <f t="shared" ca="1" si="852"/>
        <v>#VALUE!</v>
      </c>
      <c r="W1626" t="e">
        <f t="shared" ca="1" si="831"/>
        <v>#VALUE!</v>
      </c>
      <c r="X1626" t="e">
        <f t="shared" ca="1" si="832"/>
        <v>#VALUE!</v>
      </c>
      <c r="Y1626" t="e">
        <f t="shared" ca="1" si="833"/>
        <v>#VALUE!</v>
      </c>
      <c r="Z1626" t="e">
        <f t="shared" ca="1" si="834"/>
        <v>#VALUE!</v>
      </c>
      <c r="AA1626" t="e">
        <f t="shared" ca="1" si="835"/>
        <v>#VALUE!</v>
      </c>
      <c r="AB1626" t="e">
        <f t="shared" ca="1" si="836"/>
        <v>#VALUE!</v>
      </c>
      <c r="AC1626" t="e">
        <f t="shared" ca="1" si="837"/>
        <v>#VALUE!</v>
      </c>
      <c r="AD1626" t="e">
        <f t="shared" ca="1" si="838"/>
        <v>#VALUE!</v>
      </c>
      <c r="AE1626" t="e">
        <f t="shared" ca="1" si="839"/>
        <v>#VALUE!</v>
      </c>
      <c r="AF1626" t="e">
        <f t="shared" ca="1" si="840"/>
        <v>#VALUE!</v>
      </c>
      <c r="AG1626" t="e">
        <f t="shared" ca="1" si="841"/>
        <v>#VALUE!</v>
      </c>
      <c r="AH1626" t="e">
        <f ca="1">IF(V35="Supercritical",L1626,IF(V35="Subcritical",W1626,IF(AND(V1626=1,AG1626=1),IF(T1626&gt;=AE1626,L1626,W1626),IF(V1626=1,L1626,IF(AG1626=1,W1626,MAX($D$16,POWER((ABS(K1626)^2)/($I$5*MAX(F1626,0.1)^2),1/3)))))))</f>
        <v>#VALUE!</v>
      </c>
      <c r="AI1626" t="e">
        <f t="shared" ca="1" si="842"/>
        <v>#VALUE!</v>
      </c>
      <c r="AJ1626" t="e">
        <f t="shared" ca="1" si="843"/>
        <v>#VALUE!</v>
      </c>
      <c r="AL1626">
        <v>635.5</v>
      </c>
      <c r="AM1626">
        <v>0</v>
      </c>
      <c r="AN1626" t="e">
        <f t="shared" ca="1" si="854"/>
        <v>#VALUE!</v>
      </c>
      <c r="AO1626" t="e">
        <f t="shared" ca="1" si="844"/>
        <v>#VALUE!</v>
      </c>
      <c r="AP1626" t="e">
        <f t="shared" ca="1" si="853"/>
        <v>#VALUE!</v>
      </c>
      <c r="AQ1626" t="e">
        <f t="shared" ca="1" si="845"/>
        <v>#VALUE!</v>
      </c>
      <c r="AR1626" t="e">
        <f t="shared" ca="1" si="846"/>
        <v>#VALUE!</v>
      </c>
      <c r="AS1626" t="e">
        <f t="shared" ca="1" si="847"/>
        <v>#VALUE!</v>
      </c>
    </row>
    <row r="1627" spans="1:45" x14ac:dyDescent="0.35">
      <c r="A1627">
        <v>21</v>
      </c>
      <c r="B1627">
        <v>19.943000000000001</v>
      </c>
      <c r="C1627">
        <v>616080.49399999995</v>
      </c>
      <c r="D1627">
        <v>3096610.5049999999</v>
      </c>
      <c r="E1627">
        <v>631.5</v>
      </c>
      <c r="F1627">
        <v>4.9290000000000003</v>
      </c>
      <c r="G1627">
        <v>0</v>
      </c>
      <c r="H1627" t="s">
        <v>191</v>
      </c>
      <c r="I1627">
        <v>7.8E-2</v>
      </c>
      <c r="J1627">
        <f t="shared" si="848"/>
        <v>0.99900000000000233</v>
      </c>
      <c r="K1627" t="e">
        <f t="shared" ca="1" si="849"/>
        <v>#VALUE!</v>
      </c>
      <c r="L1627" t="e">
        <f t="shared" ca="1" si="850"/>
        <v>#VALUE!</v>
      </c>
      <c r="M1627" t="e">
        <f t="shared" ca="1" si="823"/>
        <v>#VALUE!</v>
      </c>
      <c r="N1627" t="e">
        <f t="shared" ca="1" si="824"/>
        <v>#VALUE!</v>
      </c>
      <c r="O1627" t="e">
        <f t="shared" ca="1" si="825"/>
        <v>#VALUE!</v>
      </c>
      <c r="P1627" t="e">
        <f t="shared" ca="1" si="826"/>
        <v>#VALUE!</v>
      </c>
      <c r="Q1627" t="e">
        <f t="shared" ca="1" si="827"/>
        <v>#VALUE!</v>
      </c>
      <c r="R1627" t="e">
        <f t="shared" ca="1" si="828"/>
        <v>#VALUE!</v>
      </c>
      <c r="S1627" t="e">
        <f t="shared" ca="1" si="829"/>
        <v>#VALUE!</v>
      </c>
      <c r="T1627" t="e">
        <f t="shared" ca="1" si="830"/>
        <v>#VALUE!</v>
      </c>
      <c r="U1627" t="e">
        <f t="shared" ca="1" si="851"/>
        <v>#VALUE!</v>
      </c>
      <c r="V1627" t="e">
        <f t="shared" ca="1" si="852"/>
        <v>#VALUE!</v>
      </c>
      <c r="W1627" t="e">
        <f t="shared" ca="1" si="831"/>
        <v>#VALUE!</v>
      </c>
      <c r="X1627" t="e">
        <f t="shared" ca="1" si="832"/>
        <v>#VALUE!</v>
      </c>
      <c r="Y1627" t="e">
        <f t="shared" ca="1" si="833"/>
        <v>#VALUE!</v>
      </c>
      <c r="Z1627" t="e">
        <f t="shared" ca="1" si="834"/>
        <v>#VALUE!</v>
      </c>
      <c r="AA1627" t="e">
        <f t="shared" ca="1" si="835"/>
        <v>#VALUE!</v>
      </c>
      <c r="AB1627" t="e">
        <f t="shared" ca="1" si="836"/>
        <v>#VALUE!</v>
      </c>
      <c r="AC1627" t="e">
        <f t="shared" ca="1" si="837"/>
        <v>#VALUE!</v>
      </c>
      <c r="AD1627" t="e">
        <f t="shared" ca="1" si="838"/>
        <v>#VALUE!</v>
      </c>
      <c r="AE1627" t="e">
        <f t="shared" ca="1" si="839"/>
        <v>#VALUE!</v>
      </c>
      <c r="AF1627" t="e">
        <f t="shared" ca="1" si="840"/>
        <v>#VALUE!</v>
      </c>
      <c r="AG1627" t="e">
        <f t="shared" ca="1" si="841"/>
        <v>#VALUE!</v>
      </c>
      <c r="AH1627" t="e">
        <f ca="1">IF(V35="Supercritical",L1627,IF(V35="Subcritical",W1627,IF(AND(V1627=1,AG1627=1),IF(T1627&gt;=AE1627,L1627,W1627),IF(V1627=1,L1627,IF(AG1627=1,W1627,MAX($D$16,POWER((ABS(K1627)^2)/($I$5*MAX(F1627,0.1)^2),1/3)))))))</f>
        <v>#VALUE!</v>
      </c>
      <c r="AI1627" t="e">
        <f t="shared" ca="1" si="842"/>
        <v>#VALUE!</v>
      </c>
      <c r="AJ1627" t="e">
        <f t="shared" ca="1" si="843"/>
        <v>#VALUE!</v>
      </c>
      <c r="AL1627">
        <v>635.5</v>
      </c>
      <c r="AM1627">
        <v>0</v>
      </c>
      <c r="AN1627" t="e">
        <f t="shared" ca="1" si="854"/>
        <v>#VALUE!</v>
      </c>
      <c r="AO1627" t="e">
        <f t="shared" ca="1" si="844"/>
        <v>#VALUE!</v>
      </c>
      <c r="AP1627" t="e">
        <f t="shared" ca="1" si="853"/>
        <v>#VALUE!</v>
      </c>
      <c r="AQ1627" t="e">
        <f t="shared" ca="1" si="845"/>
        <v>#VALUE!</v>
      </c>
      <c r="AR1627" t="e">
        <f t="shared" ca="1" si="846"/>
        <v>#VALUE!</v>
      </c>
      <c r="AS1627" t="e">
        <f t="shared" ca="1" si="847"/>
        <v>#VALUE!</v>
      </c>
    </row>
    <row r="1628" spans="1:45" x14ac:dyDescent="0.35">
      <c r="A1628">
        <v>22</v>
      </c>
      <c r="B1628">
        <v>20.943000000000001</v>
      </c>
      <c r="C1628">
        <v>616080.98499999999</v>
      </c>
      <c r="D1628">
        <v>3096609.6340000001</v>
      </c>
      <c r="E1628">
        <v>631.5</v>
      </c>
      <c r="F1628">
        <v>5.0880000000000001</v>
      </c>
      <c r="G1628">
        <v>0</v>
      </c>
      <c r="H1628" t="s">
        <v>191</v>
      </c>
      <c r="I1628">
        <v>4.04</v>
      </c>
      <c r="J1628">
        <f t="shared" si="848"/>
        <v>1</v>
      </c>
      <c r="K1628" t="e">
        <f t="shared" ca="1" si="849"/>
        <v>#VALUE!</v>
      </c>
      <c r="L1628" t="e">
        <f t="shared" ca="1" si="850"/>
        <v>#VALUE!</v>
      </c>
      <c r="M1628" t="e">
        <f t="shared" ca="1" si="823"/>
        <v>#VALUE!</v>
      </c>
      <c r="N1628" t="e">
        <f t="shared" ca="1" si="824"/>
        <v>#VALUE!</v>
      </c>
      <c r="O1628" t="e">
        <f t="shared" ca="1" si="825"/>
        <v>#VALUE!</v>
      </c>
      <c r="P1628" t="e">
        <f t="shared" ca="1" si="826"/>
        <v>#VALUE!</v>
      </c>
      <c r="Q1628" t="e">
        <f t="shared" ca="1" si="827"/>
        <v>#VALUE!</v>
      </c>
      <c r="R1628" t="e">
        <f t="shared" ca="1" si="828"/>
        <v>#VALUE!</v>
      </c>
      <c r="S1628" t="e">
        <f t="shared" ca="1" si="829"/>
        <v>#VALUE!</v>
      </c>
      <c r="T1628" t="e">
        <f t="shared" ca="1" si="830"/>
        <v>#VALUE!</v>
      </c>
      <c r="U1628" t="e">
        <f t="shared" ca="1" si="851"/>
        <v>#VALUE!</v>
      </c>
      <c r="V1628" t="e">
        <f t="shared" ca="1" si="852"/>
        <v>#VALUE!</v>
      </c>
      <c r="W1628" t="e">
        <f t="shared" ca="1" si="831"/>
        <v>#VALUE!</v>
      </c>
      <c r="X1628" t="e">
        <f t="shared" ca="1" si="832"/>
        <v>#VALUE!</v>
      </c>
      <c r="Y1628" t="e">
        <f t="shared" ca="1" si="833"/>
        <v>#VALUE!</v>
      </c>
      <c r="Z1628" t="e">
        <f t="shared" ca="1" si="834"/>
        <v>#VALUE!</v>
      </c>
      <c r="AA1628" t="e">
        <f t="shared" ca="1" si="835"/>
        <v>#VALUE!</v>
      </c>
      <c r="AB1628" t="e">
        <f t="shared" ca="1" si="836"/>
        <v>#VALUE!</v>
      </c>
      <c r="AC1628" t="e">
        <f t="shared" ca="1" si="837"/>
        <v>#VALUE!</v>
      </c>
      <c r="AD1628" t="e">
        <f t="shared" ca="1" si="838"/>
        <v>#VALUE!</v>
      </c>
      <c r="AE1628" t="e">
        <f t="shared" ca="1" si="839"/>
        <v>#VALUE!</v>
      </c>
      <c r="AF1628" t="e">
        <f t="shared" ca="1" si="840"/>
        <v>#VALUE!</v>
      </c>
      <c r="AG1628" t="e">
        <f t="shared" ca="1" si="841"/>
        <v>#VALUE!</v>
      </c>
      <c r="AH1628" t="e">
        <f ca="1">IF(V35="Supercritical",L1628,IF(V35="Subcritical",W1628,IF(AND(V1628=1,AG1628=1),IF(T1628&gt;=AE1628,L1628,W1628),IF(V1628=1,L1628,IF(AG1628=1,W1628,MAX($D$16,POWER((ABS(K1628)^2)/($I$5*MAX(F1628,0.1)^2),1/3)))))))</f>
        <v>#VALUE!</v>
      </c>
      <c r="AI1628" t="e">
        <f t="shared" ca="1" si="842"/>
        <v>#VALUE!</v>
      </c>
      <c r="AJ1628" t="e">
        <f t="shared" ca="1" si="843"/>
        <v>#VALUE!</v>
      </c>
      <c r="AL1628">
        <v>635.5</v>
      </c>
      <c r="AM1628">
        <v>0</v>
      </c>
      <c r="AN1628" t="e">
        <f t="shared" ca="1" si="854"/>
        <v>#VALUE!</v>
      </c>
      <c r="AO1628" t="e">
        <f t="shared" ca="1" si="844"/>
        <v>#VALUE!</v>
      </c>
      <c r="AP1628" t="e">
        <f t="shared" ca="1" si="853"/>
        <v>#VALUE!</v>
      </c>
      <c r="AQ1628" t="e">
        <f t="shared" ca="1" si="845"/>
        <v>#VALUE!</v>
      </c>
      <c r="AR1628" t="e">
        <f t="shared" ca="1" si="846"/>
        <v>#VALUE!</v>
      </c>
      <c r="AS1628" t="e">
        <f t="shared" ca="1" si="847"/>
        <v>#VALUE!</v>
      </c>
    </row>
    <row r="1629" spans="1:45" x14ac:dyDescent="0.35">
      <c r="A1629">
        <v>23</v>
      </c>
      <c r="B1629">
        <v>21.931000000000001</v>
      </c>
      <c r="C1629">
        <v>616081.40800000005</v>
      </c>
      <c r="D1629">
        <v>3096608.7420000001</v>
      </c>
      <c r="E1629">
        <v>631.5</v>
      </c>
      <c r="F1629">
        <v>5.36</v>
      </c>
      <c r="G1629">
        <v>0</v>
      </c>
      <c r="H1629" t="s">
        <v>191</v>
      </c>
      <c r="I1629">
        <v>21.068999999999999</v>
      </c>
      <c r="J1629">
        <f t="shared" si="848"/>
        <v>0.98799999999999955</v>
      </c>
      <c r="K1629" t="e">
        <f t="shared" ca="1" si="849"/>
        <v>#VALUE!</v>
      </c>
      <c r="L1629" t="e">
        <f t="shared" ca="1" si="850"/>
        <v>#VALUE!</v>
      </c>
      <c r="M1629" t="e">
        <f t="shared" ca="1" si="823"/>
        <v>#VALUE!</v>
      </c>
      <c r="N1629" t="e">
        <f t="shared" ca="1" si="824"/>
        <v>#VALUE!</v>
      </c>
      <c r="O1629" t="e">
        <f t="shared" ca="1" si="825"/>
        <v>#VALUE!</v>
      </c>
      <c r="P1629" t="e">
        <f t="shared" ca="1" si="826"/>
        <v>#VALUE!</v>
      </c>
      <c r="Q1629" t="e">
        <f t="shared" ca="1" si="827"/>
        <v>#VALUE!</v>
      </c>
      <c r="R1629" t="e">
        <f t="shared" ca="1" si="828"/>
        <v>#VALUE!</v>
      </c>
      <c r="S1629" t="e">
        <f t="shared" ca="1" si="829"/>
        <v>#VALUE!</v>
      </c>
      <c r="T1629" t="e">
        <f t="shared" ca="1" si="830"/>
        <v>#VALUE!</v>
      </c>
      <c r="U1629" t="e">
        <f t="shared" ca="1" si="851"/>
        <v>#VALUE!</v>
      </c>
      <c r="V1629" t="e">
        <f t="shared" ca="1" si="852"/>
        <v>#VALUE!</v>
      </c>
      <c r="W1629" t="e">
        <f t="shared" ca="1" si="831"/>
        <v>#VALUE!</v>
      </c>
      <c r="X1629" t="e">
        <f t="shared" ca="1" si="832"/>
        <v>#VALUE!</v>
      </c>
      <c r="Y1629" t="e">
        <f t="shared" ca="1" si="833"/>
        <v>#VALUE!</v>
      </c>
      <c r="Z1629" t="e">
        <f t="shared" ca="1" si="834"/>
        <v>#VALUE!</v>
      </c>
      <c r="AA1629" t="e">
        <f t="shared" ca="1" si="835"/>
        <v>#VALUE!</v>
      </c>
      <c r="AB1629" t="e">
        <f t="shared" ca="1" si="836"/>
        <v>#VALUE!</v>
      </c>
      <c r="AC1629" t="e">
        <f t="shared" ca="1" si="837"/>
        <v>#VALUE!</v>
      </c>
      <c r="AD1629" t="e">
        <f t="shared" ca="1" si="838"/>
        <v>#VALUE!</v>
      </c>
      <c r="AE1629" t="e">
        <f t="shared" ca="1" si="839"/>
        <v>#VALUE!</v>
      </c>
      <c r="AF1629" t="e">
        <f t="shared" ca="1" si="840"/>
        <v>#VALUE!</v>
      </c>
      <c r="AG1629" t="e">
        <f t="shared" ca="1" si="841"/>
        <v>#VALUE!</v>
      </c>
      <c r="AH1629" t="e">
        <f ca="1">IF(V35="Supercritical",L1629,IF(V35="Subcritical",W1629,IF(AND(V1629=1,AG1629=1),IF(T1629&gt;=AE1629,L1629,W1629),IF(V1629=1,L1629,IF(AG1629=1,W1629,MAX($D$16,POWER((ABS(K1629)^2)/($I$5*MAX(F1629,0.1)^2),1/3)))))))</f>
        <v>#VALUE!</v>
      </c>
      <c r="AI1629" t="e">
        <f t="shared" ca="1" si="842"/>
        <v>#VALUE!</v>
      </c>
      <c r="AJ1629" t="e">
        <f t="shared" ca="1" si="843"/>
        <v>#VALUE!</v>
      </c>
      <c r="AL1629">
        <v>635.5</v>
      </c>
      <c r="AM1629">
        <v>0</v>
      </c>
      <c r="AN1629" t="e">
        <f t="shared" ca="1" si="854"/>
        <v>#VALUE!</v>
      </c>
      <c r="AO1629" t="e">
        <f t="shared" ca="1" si="844"/>
        <v>#VALUE!</v>
      </c>
      <c r="AP1629" t="e">
        <f t="shared" ca="1" si="853"/>
        <v>#VALUE!</v>
      </c>
      <c r="AQ1629" t="e">
        <f t="shared" ca="1" si="845"/>
        <v>#VALUE!</v>
      </c>
      <c r="AR1629" t="e">
        <f t="shared" ca="1" si="846"/>
        <v>#VALUE!</v>
      </c>
      <c r="AS1629" t="e">
        <f t="shared" ca="1" si="847"/>
        <v>#VALUE!</v>
      </c>
    </row>
    <row r="1630" spans="1:45" x14ac:dyDescent="0.35">
      <c r="A1630">
        <v>24</v>
      </c>
      <c r="B1630">
        <v>22.93</v>
      </c>
      <c r="C1630">
        <v>616081.48300000001</v>
      </c>
      <c r="D1630">
        <v>3096607.7450000001</v>
      </c>
      <c r="E1630">
        <v>631.5</v>
      </c>
      <c r="F1630">
        <v>5.13</v>
      </c>
      <c r="G1630">
        <v>0</v>
      </c>
      <c r="H1630" t="s">
        <v>191</v>
      </c>
      <c r="I1630">
        <v>5.7000000000000002E-2</v>
      </c>
      <c r="J1630">
        <f t="shared" si="848"/>
        <v>0.99899999999999878</v>
      </c>
      <c r="K1630" t="e">
        <f t="shared" ca="1" si="849"/>
        <v>#VALUE!</v>
      </c>
      <c r="L1630" t="e">
        <f t="shared" ca="1" si="850"/>
        <v>#VALUE!</v>
      </c>
      <c r="M1630" t="e">
        <f t="shared" ca="1" si="823"/>
        <v>#VALUE!</v>
      </c>
      <c r="N1630" t="e">
        <f t="shared" ca="1" si="824"/>
        <v>#VALUE!</v>
      </c>
      <c r="O1630" t="e">
        <f t="shared" ca="1" si="825"/>
        <v>#VALUE!</v>
      </c>
      <c r="P1630" t="e">
        <f t="shared" ca="1" si="826"/>
        <v>#VALUE!</v>
      </c>
      <c r="Q1630" t="e">
        <f t="shared" ca="1" si="827"/>
        <v>#VALUE!</v>
      </c>
      <c r="R1630" t="e">
        <f t="shared" ca="1" si="828"/>
        <v>#VALUE!</v>
      </c>
      <c r="S1630" t="e">
        <f t="shared" ca="1" si="829"/>
        <v>#VALUE!</v>
      </c>
      <c r="T1630" t="e">
        <f t="shared" ca="1" si="830"/>
        <v>#VALUE!</v>
      </c>
      <c r="U1630" t="e">
        <f t="shared" ca="1" si="851"/>
        <v>#VALUE!</v>
      </c>
      <c r="V1630" t="e">
        <f t="shared" ca="1" si="852"/>
        <v>#VALUE!</v>
      </c>
      <c r="W1630" t="e">
        <f t="shared" ca="1" si="831"/>
        <v>#VALUE!</v>
      </c>
      <c r="X1630" t="e">
        <f t="shared" ca="1" si="832"/>
        <v>#VALUE!</v>
      </c>
      <c r="Y1630" t="e">
        <f t="shared" ca="1" si="833"/>
        <v>#VALUE!</v>
      </c>
      <c r="Z1630" t="e">
        <f t="shared" ca="1" si="834"/>
        <v>#VALUE!</v>
      </c>
      <c r="AA1630" t="e">
        <f t="shared" ca="1" si="835"/>
        <v>#VALUE!</v>
      </c>
      <c r="AB1630" t="e">
        <f t="shared" ca="1" si="836"/>
        <v>#VALUE!</v>
      </c>
      <c r="AC1630" t="e">
        <f t="shared" ca="1" si="837"/>
        <v>#VALUE!</v>
      </c>
      <c r="AD1630" t="e">
        <f t="shared" ca="1" si="838"/>
        <v>#VALUE!</v>
      </c>
      <c r="AE1630" t="e">
        <f t="shared" ca="1" si="839"/>
        <v>#VALUE!</v>
      </c>
      <c r="AF1630" t="e">
        <f t="shared" ca="1" si="840"/>
        <v>#VALUE!</v>
      </c>
      <c r="AG1630" t="e">
        <f t="shared" ca="1" si="841"/>
        <v>#VALUE!</v>
      </c>
      <c r="AH1630" t="e">
        <f ca="1">IF(V35="Supercritical",L1630,IF(V35="Subcritical",W1630,IF(AND(V1630=1,AG1630=1),IF(T1630&gt;=AE1630,L1630,W1630),IF(V1630=1,L1630,IF(AG1630=1,W1630,MAX($D$16,POWER((ABS(K1630)^2)/($I$5*MAX(F1630,0.1)^2),1/3)))))))</f>
        <v>#VALUE!</v>
      </c>
      <c r="AI1630" t="e">
        <f t="shared" ca="1" si="842"/>
        <v>#VALUE!</v>
      </c>
      <c r="AJ1630" t="e">
        <f t="shared" ca="1" si="843"/>
        <v>#VALUE!</v>
      </c>
      <c r="AL1630">
        <v>635.5</v>
      </c>
      <c r="AM1630">
        <v>0</v>
      </c>
      <c r="AN1630" t="e">
        <f t="shared" ca="1" si="854"/>
        <v>#VALUE!</v>
      </c>
      <c r="AO1630" t="e">
        <f t="shared" ca="1" si="844"/>
        <v>#VALUE!</v>
      </c>
      <c r="AP1630" t="e">
        <f t="shared" ca="1" si="853"/>
        <v>#VALUE!</v>
      </c>
      <c r="AQ1630" t="e">
        <f t="shared" ca="1" si="845"/>
        <v>#VALUE!</v>
      </c>
      <c r="AR1630" t="e">
        <f t="shared" ca="1" si="846"/>
        <v>#VALUE!</v>
      </c>
      <c r="AS1630" t="e">
        <f t="shared" ca="1" si="847"/>
        <v>#VALUE!</v>
      </c>
    </row>
    <row r="1631" spans="1:45" x14ac:dyDescent="0.35">
      <c r="A1631">
        <v>25</v>
      </c>
      <c r="B1631">
        <v>23.93</v>
      </c>
      <c r="C1631">
        <v>616081.55700000003</v>
      </c>
      <c r="D1631">
        <v>3096606.7480000001</v>
      </c>
      <c r="E1631">
        <v>631.5</v>
      </c>
      <c r="F1631">
        <v>5.0209999999999999</v>
      </c>
      <c r="G1631">
        <v>0</v>
      </c>
      <c r="H1631" t="s">
        <v>191</v>
      </c>
      <c r="I1631">
        <v>5.2999999999999999E-2</v>
      </c>
      <c r="J1631">
        <f t="shared" si="848"/>
        <v>1</v>
      </c>
      <c r="K1631" t="e">
        <f t="shared" ca="1" si="849"/>
        <v>#VALUE!</v>
      </c>
      <c r="L1631" t="e">
        <f t="shared" ca="1" si="850"/>
        <v>#VALUE!</v>
      </c>
      <c r="M1631" t="e">
        <f t="shared" ca="1" si="823"/>
        <v>#VALUE!</v>
      </c>
      <c r="N1631" t="e">
        <f t="shared" ca="1" si="824"/>
        <v>#VALUE!</v>
      </c>
      <c r="O1631" t="e">
        <f t="shared" ca="1" si="825"/>
        <v>#VALUE!</v>
      </c>
      <c r="P1631" t="e">
        <f t="shared" ca="1" si="826"/>
        <v>#VALUE!</v>
      </c>
      <c r="Q1631" t="e">
        <f t="shared" ca="1" si="827"/>
        <v>#VALUE!</v>
      </c>
      <c r="R1631" t="e">
        <f t="shared" ca="1" si="828"/>
        <v>#VALUE!</v>
      </c>
      <c r="S1631" t="e">
        <f t="shared" ca="1" si="829"/>
        <v>#VALUE!</v>
      </c>
      <c r="T1631" t="e">
        <f t="shared" ca="1" si="830"/>
        <v>#VALUE!</v>
      </c>
      <c r="U1631" t="e">
        <f t="shared" ca="1" si="851"/>
        <v>#VALUE!</v>
      </c>
      <c r="V1631" t="e">
        <f t="shared" ca="1" si="852"/>
        <v>#VALUE!</v>
      </c>
      <c r="W1631" t="e">
        <f t="shared" ca="1" si="831"/>
        <v>#VALUE!</v>
      </c>
      <c r="X1631" t="e">
        <f t="shared" ca="1" si="832"/>
        <v>#VALUE!</v>
      </c>
      <c r="Y1631" t="e">
        <f t="shared" ca="1" si="833"/>
        <v>#VALUE!</v>
      </c>
      <c r="Z1631" t="e">
        <f t="shared" ca="1" si="834"/>
        <v>#VALUE!</v>
      </c>
      <c r="AA1631" t="e">
        <f t="shared" ca="1" si="835"/>
        <v>#VALUE!</v>
      </c>
      <c r="AB1631" t="e">
        <f t="shared" ca="1" si="836"/>
        <v>#VALUE!</v>
      </c>
      <c r="AC1631" t="e">
        <f t="shared" ca="1" si="837"/>
        <v>#VALUE!</v>
      </c>
      <c r="AD1631" t="e">
        <f t="shared" ca="1" si="838"/>
        <v>#VALUE!</v>
      </c>
      <c r="AE1631" t="e">
        <f t="shared" ca="1" si="839"/>
        <v>#VALUE!</v>
      </c>
      <c r="AF1631" t="e">
        <f t="shared" ca="1" si="840"/>
        <v>#VALUE!</v>
      </c>
      <c r="AG1631" t="e">
        <f t="shared" ca="1" si="841"/>
        <v>#VALUE!</v>
      </c>
      <c r="AH1631" t="e">
        <f ca="1">IF(V35="Supercritical",L1631,IF(V35="Subcritical",W1631,IF(AND(V1631=1,AG1631=1),IF(T1631&gt;=AE1631,L1631,W1631),IF(V1631=1,L1631,IF(AG1631=1,W1631,MAX($D$16,POWER((ABS(K1631)^2)/($I$5*MAX(F1631,0.1)^2),1/3)))))))</f>
        <v>#VALUE!</v>
      </c>
      <c r="AI1631" t="e">
        <f t="shared" ca="1" si="842"/>
        <v>#VALUE!</v>
      </c>
      <c r="AJ1631" t="e">
        <f t="shared" ca="1" si="843"/>
        <v>#VALUE!</v>
      </c>
      <c r="AL1631">
        <v>635.5</v>
      </c>
      <c r="AM1631">
        <v>0</v>
      </c>
      <c r="AN1631" t="e">
        <f t="shared" ca="1" si="854"/>
        <v>#VALUE!</v>
      </c>
      <c r="AO1631" t="e">
        <f t="shared" ca="1" si="844"/>
        <v>#VALUE!</v>
      </c>
      <c r="AP1631" t="e">
        <f t="shared" ca="1" si="853"/>
        <v>#VALUE!</v>
      </c>
      <c r="AQ1631" t="e">
        <f t="shared" ca="1" si="845"/>
        <v>#VALUE!</v>
      </c>
      <c r="AR1631" t="e">
        <f t="shared" ca="1" si="846"/>
        <v>#VALUE!</v>
      </c>
      <c r="AS1631" t="e">
        <f t="shared" ca="1" si="847"/>
        <v>#VALUE!</v>
      </c>
    </row>
    <row r="1632" spans="1:45" x14ac:dyDescent="0.35">
      <c r="A1632">
        <v>26</v>
      </c>
      <c r="B1632">
        <v>24.931000000000001</v>
      </c>
      <c r="C1632">
        <v>616081.63199999998</v>
      </c>
      <c r="D1632">
        <v>3096605.75</v>
      </c>
      <c r="E1632">
        <v>631.5</v>
      </c>
      <c r="F1632">
        <v>4.9119999999999999</v>
      </c>
      <c r="G1632">
        <v>0</v>
      </c>
      <c r="H1632" t="s">
        <v>191</v>
      </c>
      <c r="I1632">
        <v>5.2999999999999999E-2</v>
      </c>
      <c r="J1632">
        <f t="shared" si="848"/>
        <v>1.0010000000000012</v>
      </c>
      <c r="K1632" t="e">
        <f t="shared" ca="1" si="849"/>
        <v>#VALUE!</v>
      </c>
      <c r="L1632" t="e">
        <f t="shared" ca="1" si="850"/>
        <v>#VALUE!</v>
      </c>
      <c r="M1632" t="e">
        <f t="shared" ca="1" si="823"/>
        <v>#VALUE!</v>
      </c>
      <c r="N1632" t="e">
        <f t="shared" ca="1" si="824"/>
        <v>#VALUE!</v>
      </c>
      <c r="O1632" t="e">
        <f t="shared" ca="1" si="825"/>
        <v>#VALUE!</v>
      </c>
      <c r="P1632" t="e">
        <f t="shared" ca="1" si="826"/>
        <v>#VALUE!</v>
      </c>
      <c r="Q1632" t="e">
        <f t="shared" ca="1" si="827"/>
        <v>#VALUE!</v>
      </c>
      <c r="R1632" t="e">
        <f t="shared" ca="1" si="828"/>
        <v>#VALUE!</v>
      </c>
      <c r="S1632" t="e">
        <f t="shared" ca="1" si="829"/>
        <v>#VALUE!</v>
      </c>
      <c r="T1632" t="e">
        <f t="shared" ca="1" si="830"/>
        <v>#VALUE!</v>
      </c>
      <c r="U1632" t="e">
        <f t="shared" ca="1" si="851"/>
        <v>#VALUE!</v>
      </c>
      <c r="V1632" t="e">
        <f t="shared" ca="1" si="852"/>
        <v>#VALUE!</v>
      </c>
      <c r="W1632" t="e">
        <f t="shared" ca="1" si="831"/>
        <v>#VALUE!</v>
      </c>
      <c r="X1632" t="e">
        <f t="shared" ca="1" si="832"/>
        <v>#VALUE!</v>
      </c>
      <c r="Y1632" t="e">
        <f t="shared" ca="1" si="833"/>
        <v>#VALUE!</v>
      </c>
      <c r="Z1632" t="e">
        <f t="shared" ca="1" si="834"/>
        <v>#VALUE!</v>
      </c>
      <c r="AA1632" t="e">
        <f t="shared" ca="1" si="835"/>
        <v>#VALUE!</v>
      </c>
      <c r="AB1632" t="e">
        <f t="shared" ca="1" si="836"/>
        <v>#VALUE!</v>
      </c>
      <c r="AC1632" t="e">
        <f t="shared" ca="1" si="837"/>
        <v>#VALUE!</v>
      </c>
      <c r="AD1632" t="e">
        <f t="shared" ca="1" si="838"/>
        <v>#VALUE!</v>
      </c>
      <c r="AE1632" t="e">
        <f t="shared" ca="1" si="839"/>
        <v>#VALUE!</v>
      </c>
      <c r="AF1632" t="e">
        <f t="shared" ca="1" si="840"/>
        <v>#VALUE!</v>
      </c>
      <c r="AG1632" t="e">
        <f t="shared" ca="1" si="841"/>
        <v>#VALUE!</v>
      </c>
      <c r="AH1632" t="e">
        <f ca="1">IF(V35="Supercritical",L1632,IF(V35="Subcritical",W1632,IF(AND(V1632=1,AG1632=1),IF(T1632&gt;=AE1632,L1632,W1632),IF(V1632=1,L1632,IF(AG1632=1,W1632,MAX($D$16,POWER((ABS(K1632)^2)/($I$5*MAX(F1632,0.1)^2),1/3)))))))</f>
        <v>#VALUE!</v>
      </c>
      <c r="AI1632" t="e">
        <f t="shared" ca="1" si="842"/>
        <v>#VALUE!</v>
      </c>
      <c r="AJ1632" t="e">
        <f t="shared" ca="1" si="843"/>
        <v>#VALUE!</v>
      </c>
      <c r="AL1632">
        <v>635.5</v>
      </c>
      <c r="AM1632">
        <v>0</v>
      </c>
      <c r="AN1632" t="e">
        <f t="shared" ca="1" si="854"/>
        <v>#VALUE!</v>
      </c>
      <c r="AO1632" t="e">
        <f t="shared" ca="1" si="844"/>
        <v>#VALUE!</v>
      </c>
      <c r="AP1632" t="e">
        <f t="shared" ca="1" si="853"/>
        <v>#VALUE!</v>
      </c>
      <c r="AQ1632" t="e">
        <f t="shared" ca="1" si="845"/>
        <v>#VALUE!</v>
      </c>
      <c r="AR1632" t="e">
        <f t="shared" ca="1" si="846"/>
        <v>#VALUE!</v>
      </c>
      <c r="AS1632" t="e">
        <f t="shared" ca="1" si="847"/>
        <v>#VALUE!</v>
      </c>
    </row>
    <row r="1633" spans="1:45" x14ac:dyDescent="0.35">
      <c r="A1633">
        <v>27</v>
      </c>
      <c r="B1633">
        <v>25.931000000000001</v>
      </c>
      <c r="C1633">
        <v>616081.70600000001</v>
      </c>
      <c r="D1633">
        <v>3096604.753</v>
      </c>
      <c r="E1633">
        <v>631.5</v>
      </c>
      <c r="F1633">
        <v>4.8019999999999996</v>
      </c>
      <c r="G1633">
        <v>0</v>
      </c>
      <c r="H1633" t="s">
        <v>191</v>
      </c>
      <c r="I1633">
        <v>0</v>
      </c>
      <c r="J1633">
        <f t="shared" si="848"/>
        <v>1</v>
      </c>
      <c r="K1633" t="e">
        <f t="shared" ca="1" si="849"/>
        <v>#VALUE!</v>
      </c>
      <c r="L1633" t="e">
        <f t="shared" ca="1" si="850"/>
        <v>#VALUE!</v>
      </c>
      <c r="M1633" t="e">
        <f t="shared" ca="1" si="823"/>
        <v>#VALUE!</v>
      </c>
      <c r="N1633" t="e">
        <f t="shared" ca="1" si="824"/>
        <v>#VALUE!</v>
      </c>
      <c r="O1633" t="e">
        <f t="shared" ca="1" si="825"/>
        <v>#VALUE!</v>
      </c>
      <c r="P1633" t="e">
        <f t="shared" ca="1" si="826"/>
        <v>#VALUE!</v>
      </c>
      <c r="Q1633" t="e">
        <f t="shared" ca="1" si="827"/>
        <v>#VALUE!</v>
      </c>
      <c r="R1633" t="e">
        <f t="shared" ca="1" si="828"/>
        <v>#VALUE!</v>
      </c>
      <c r="S1633" t="e">
        <f t="shared" ca="1" si="829"/>
        <v>#VALUE!</v>
      </c>
      <c r="T1633" t="e">
        <f t="shared" ca="1" si="830"/>
        <v>#VALUE!</v>
      </c>
      <c r="U1633" t="e">
        <f t="shared" ca="1" si="851"/>
        <v>#VALUE!</v>
      </c>
      <c r="V1633" t="e">
        <f t="shared" ca="1" si="852"/>
        <v>#VALUE!</v>
      </c>
      <c r="W1633" t="e">
        <f t="shared" ca="1" si="831"/>
        <v>#VALUE!</v>
      </c>
      <c r="X1633" t="e">
        <f t="shared" ca="1" si="832"/>
        <v>#VALUE!</v>
      </c>
      <c r="Y1633" t="e">
        <f t="shared" ca="1" si="833"/>
        <v>#VALUE!</v>
      </c>
      <c r="Z1633" t="e">
        <f t="shared" ca="1" si="834"/>
        <v>#VALUE!</v>
      </c>
      <c r="AA1633" t="e">
        <f t="shared" ca="1" si="835"/>
        <v>#VALUE!</v>
      </c>
      <c r="AB1633" t="e">
        <f t="shared" ca="1" si="836"/>
        <v>#VALUE!</v>
      </c>
      <c r="AC1633" t="e">
        <f t="shared" ca="1" si="837"/>
        <v>#VALUE!</v>
      </c>
      <c r="AD1633" t="e">
        <f t="shared" ca="1" si="838"/>
        <v>#VALUE!</v>
      </c>
      <c r="AE1633" t="e">
        <f t="shared" ca="1" si="839"/>
        <v>#VALUE!</v>
      </c>
      <c r="AF1633" t="e">
        <f t="shared" ca="1" si="840"/>
        <v>#VALUE!</v>
      </c>
      <c r="AG1633" t="e">
        <f t="shared" ca="1" si="841"/>
        <v>#VALUE!</v>
      </c>
      <c r="AH1633" t="e">
        <f ca="1">IF(V35="Supercritical",L1633,IF(V35="Subcritical",W1633,IF(AND(V1633=1,AG1633=1),IF(T1633&gt;=AE1633,L1633,W1633),IF(V1633=1,L1633,IF(AG1633=1,W1633,MAX($D$16,POWER((ABS(K1633)^2)/($I$5*MAX(F1633,0.1)^2),1/3)))))))</f>
        <v>#VALUE!</v>
      </c>
      <c r="AI1633" t="e">
        <f t="shared" ca="1" si="842"/>
        <v>#VALUE!</v>
      </c>
      <c r="AJ1633" t="e">
        <f t="shared" ca="1" si="843"/>
        <v>#VALUE!</v>
      </c>
      <c r="AL1633">
        <v>635.5</v>
      </c>
      <c r="AM1633">
        <v>0</v>
      </c>
      <c r="AN1633" t="e">
        <f t="shared" ca="1" si="854"/>
        <v>#VALUE!</v>
      </c>
      <c r="AO1633" t="e">
        <f t="shared" ca="1" si="844"/>
        <v>#VALUE!</v>
      </c>
      <c r="AP1633" t="e">
        <f t="shared" ca="1" si="853"/>
        <v>#VALUE!</v>
      </c>
      <c r="AQ1633" t="e">
        <f t="shared" ca="1" si="845"/>
        <v>#VALUE!</v>
      </c>
      <c r="AR1633" t="e">
        <f t="shared" ca="1" si="846"/>
        <v>#VALUE!</v>
      </c>
      <c r="AS1633" t="e">
        <f t="shared" ca="1" si="847"/>
        <v>#VALUE!</v>
      </c>
    </row>
    <row r="1634" spans="1:45" x14ac:dyDescent="0.35">
      <c r="A1634">
        <v>28</v>
      </c>
      <c r="B1634">
        <v>26.93</v>
      </c>
      <c r="C1634">
        <v>616081.78</v>
      </c>
      <c r="D1634">
        <v>3096603.7560000001</v>
      </c>
      <c r="E1634">
        <v>631.5</v>
      </c>
      <c r="F1634">
        <v>4.6929999999999996</v>
      </c>
      <c r="G1634">
        <v>0</v>
      </c>
      <c r="H1634" t="s">
        <v>191</v>
      </c>
      <c r="I1634">
        <v>5.7000000000000002E-2</v>
      </c>
      <c r="J1634">
        <f t="shared" si="848"/>
        <v>0.99899999999999878</v>
      </c>
      <c r="K1634" t="e">
        <f t="shared" ca="1" si="849"/>
        <v>#VALUE!</v>
      </c>
      <c r="L1634" t="e">
        <f t="shared" ca="1" si="850"/>
        <v>#VALUE!</v>
      </c>
      <c r="M1634" t="e">
        <f t="shared" ca="1" si="823"/>
        <v>#VALUE!</v>
      </c>
      <c r="N1634" t="e">
        <f t="shared" ca="1" si="824"/>
        <v>#VALUE!</v>
      </c>
      <c r="O1634" t="e">
        <f t="shared" ca="1" si="825"/>
        <v>#VALUE!</v>
      </c>
      <c r="P1634" t="e">
        <f t="shared" ca="1" si="826"/>
        <v>#VALUE!</v>
      </c>
      <c r="Q1634" t="e">
        <f t="shared" ca="1" si="827"/>
        <v>#VALUE!</v>
      </c>
      <c r="R1634" t="e">
        <f t="shared" ca="1" si="828"/>
        <v>#VALUE!</v>
      </c>
      <c r="S1634" t="e">
        <f t="shared" ca="1" si="829"/>
        <v>#VALUE!</v>
      </c>
      <c r="T1634" t="e">
        <f t="shared" ca="1" si="830"/>
        <v>#VALUE!</v>
      </c>
      <c r="U1634" t="e">
        <f t="shared" ca="1" si="851"/>
        <v>#VALUE!</v>
      </c>
      <c r="V1634" t="e">
        <f t="shared" ca="1" si="852"/>
        <v>#VALUE!</v>
      </c>
      <c r="W1634" t="e">
        <f t="shared" ca="1" si="831"/>
        <v>#VALUE!</v>
      </c>
      <c r="X1634" t="e">
        <f t="shared" ca="1" si="832"/>
        <v>#VALUE!</v>
      </c>
      <c r="Y1634" t="e">
        <f t="shared" ca="1" si="833"/>
        <v>#VALUE!</v>
      </c>
      <c r="Z1634" t="e">
        <f t="shared" ca="1" si="834"/>
        <v>#VALUE!</v>
      </c>
      <c r="AA1634" t="e">
        <f t="shared" ca="1" si="835"/>
        <v>#VALUE!</v>
      </c>
      <c r="AB1634" t="e">
        <f t="shared" ca="1" si="836"/>
        <v>#VALUE!</v>
      </c>
      <c r="AC1634" t="e">
        <f t="shared" ca="1" si="837"/>
        <v>#VALUE!</v>
      </c>
      <c r="AD1634" t="e">
        <f t="shared" ca="1" si="838"/>
        <v>#VALUE!</v>
      </c>
      <c r="AE1634" t="e">
        <f t="shared" ca="1" si="839"/>
        <v>#VALUE!</v>
      </c>
      <c r="AF1634" t="e">
        <f t="shared" ca="1" si="840"/>
        <v>#VALUE!</v>
      </c>
      <c r="AG1634" t="e">
        <f t="shared" ca="1" si="841"/>
        <v>#VALUE!</v>
      </c>
      <c r="AH1634" t="e">
        <f ca="1">IF(V35="Supercritical",L1634,IF(V35="Subcritical",W1634,IF(AND(V1634=1,AG1634=1),IF(T1634&gt;=AE1634,L1634,W1634),IF(V1634=1,L1634,IF(AG1634=1,W1634,MAX($D$16,POWER((ABS(K1634)^2)/($I$5*MAX(F1634,0.1)^2),1/3)))))))</f>
        <v>#VALUE!</v>
      </c>
      <c r="AI1634" t="e">
        <f t="shared" ca="1" si="842"/>
        <v>#VALUE!</v>
      </c>
      <c r="AJ1634" t="e">
        <f t="shared" ca="1" si="843"/>
        <v>#VALUE!</v>
      </c>
      <c r="AL1634">
        <v>635.5</v>
      </c>
      <c r="AM1634">
        <v>0</v>
      </c>
      <c r="AN1634" t="e">
        <f t="shared" ca="1" si="854"/>
        <v>#VALUE!</v>
      </c>
      <c r="AO1634" t="e">
        <f t="shared" ca="1" si="844"/>
        <v>#VALUE!</v>
      </c>
      <c r="AP1634" t="e">
        <f t="shared" ca="1" si="853"/>
        <v>#VALUE!</v>
      </c>
      <c r="AQ1634" t="e">
        <f t="shared" ca="1" si="845"/>
        <v>#VALUE!</v>
      </c>
      <c r="AR1634" t="e">
        <f t="shared" ca="1" si="846"/>
        <v>#VALUE!</v>
      </c>
      <c r="AS1634" t="e">
        <f t="shared" ca="1" si="847"/>
        <v>#VALUE!</v>
      </c>
    </row>
    <row r="1635" spans="1:45" x14ac:dyDescent="0.35">
      <c r="A1635">
        <v>29</v>
      </c>
      <c r="B1635">
        <v>27.93</v>
      </c>
      <c r="C1635">
        <v>616081.85499999998</v>
      </c>
      <c r="D1635">
        <v>3096602.7590000001</v>
      </c>
      <c r="E1635">
        <v>631.5</v>
      </c>
      <c r="F1635">
        <v>4.5839999999999996</v>
      </c>
      <c r="G1635">
        <v>0</v>
      </c>
      <c r="H1635" t="s">
        <v>191</v>
      </c>
      <c r="I1635">
        <v>5.7000000000000002E-2</v>
      </c>
      <c r="J1635">
        <f t="shared" si="848"/>
        <v>1</v>
      </c>
      <c r="K1635" t="e">
        <f t="shared" ca="1" si="849"/>
        <v>#VALUE!</v>
      </c>
      <c r="L1635" t="e">
        <f t="shared" ca="1" si="850"/>
        <v>#VALUE!</v>
      </c>
      <c r="M1635" t="e">
        <f t="shared" ca="1" si="823"/>
        <v>#VALUE!</v>
      </c>
      <c r="N1635" t="e">
        <f t="shared" ca="1" si="824"/>
        <v>#VALUE!</v>
      </c>
      <c r="O1635" t="e">
        <f t="shared" ca="1" si="825"/>
        <v>#VALUE!</v>
      </c>
      <c r="P1635" t="e">
        <f t="shared" ca="1" si="826"/>
        <v>#VALUE!</v>
      </c>
      <c r="Q1635" t="e">
        <f t="shared" ca="1" si="827"/>
        <v>#VALUE!</v>
      </c>
      <c r="R1635" t="e">
        <f t="shared" ca="1" si="828"/>
        <v>#VALUE!</v>
      </c>
      <c r="S1635" t="e">
        <f t="shared" ca="1" si="829"/>
        <v>#VALUE!</v>
      </c>
      <c r="T1635" t="e">
        <f t="shared" ca="1" si="830"/>
        <v>#VALUE!</v>
      </c>
      <c r="U1635" t="e">
        <f t="shared" ca="1" si="851"/>
        <v>#VALUE!</v>
      </c>
      <c r="V1635" t="e">
        <f t="shared" ca="1" si="852"/>
        <v>#VALUE!</v>
      </c>
      <c r="W1635" t="e">
        <f t="shared" ca="1" si="831"/>
        <v>#VALUE!</v>
      </c>
      <c r="X1635" t="e">
        <f t="shared" ca="1" si="832"/>
        <v>#VALUE!</v>
      </c>
      <c r="Y1635" t="e">
        <f t="shared" ca="1" si="833"/>
        <v>#VALUE!</v>
      </c>
      <c r="Z1635" t="e">
        <f t="shared" ca="1" si="834"/>
        <v>#VALUE!</v>
      </c>
      <c r="AA1635" t="e">
        <f t="shared" ca="1" si="835"/>
        <v>#VALUE!</v>
      </c>
      <c r="AB1635" t="e">
        <f t="shared" ca="1" si="836"/>
        <v>#VALUE!</v>
      </c>
      <c r="AC1635" t="e">
        <f t="shared" ca="1" si="837"/>
        <v>#VALUE!</v>
      </c>
      <c r="AD1635" t="e">
        <f t="shared" ca="1" si="838"/>
        <v>#VALUE!</v>
      </c>
      <c r="AE1635" t="e">
        <f t="shared" ca="1" si="839"/>
        <v>#VALUE!</v>
      </c>
      <c r="AF1635" t="e">
        <f t="shared" ca="1" si="840"/>
        <v>#VALUE!</v>
      </c>
      <c r="AG1635" t="e">
        <f t="shared" ca="1" si="841"/>
        <v>#VALUE!</v>
      </c>
      <c r="AH1635" t="e">
        <f ca="1">IF(V35="Supercritical",L1635,IF(V35="Subcritical",W1635,IF(AND(V1635=1,AG1635=1),IF(T1635&gt;=AE1635,L1635,W1635),IF(V1635=1,L1635,IF(AG1635=1,W1635,MAX($D$16,POWER((ABS(K1635)^2)/($I$5*MAX(F1635,0.1)^2),1/3)))))))</f>
        <v>#VALUE!</v>
      </c>
      <c r="AI1635" t="e">
        <f t="shared" ca="1" si="842"/>
        <v>#VALUE!</v>
      </c>
      <c r="AJ1635" t="e">
        <f t="shared" ca="1" si="843"/>
        <v>#VALUE!</v>
      </c>
      <c r="AL1635">
        <v>635.5</v>
      </c>
      <c r="AM1635">
        <v>0</v>
      </c>
      <c r="AN1635" t="e">
        <f t="shared" ca="1" si="854"/>
        <v>#VALUE!</v>
      </c>
      <c r="AO1635" t="e">
        <f t="shared" ca="1" si="844"/>
        <v>#VALUE!</v>
      </c>
      <c r="AP1635" t="e">
        <f t="shared" ca="1" si="853"/>
        <v>#VALUE!</v>
      </c>
      <c r="AQ1635" t="e">
        <f t="shared" ca="1" si="845"/>
        <v>#VALUE!</v>
      </c>
      <c r="AR1635" t="e">
        <f t="shared" ca="1" si="846"/>
        <v>#VALUE!</v>
      </c>
      <c r="AS1635" t="e">
        <f t="shared" ca="1" si="847"/>
        <v>#VALUE!</v>
      </c>
    </row>
    <row r="1636" spans="1:45" x14ac:dyDescent="0.35">
      <c r="A1636">
        <v>30</v>
      </c>
      <c r="B1636">
        <v>28.93</v>
      </c>
      <c r="C1636">
        <v>616081.929</v>
      </c>
      <c r="D1636">
        <v>3096601.7620000001</v>
      </c>
      <c r="E1636">
        <v>631.5</v>
      </c>
      <c r="F1636">
        <v>4.4749999999999996</v>
      </c>
      <c r="G1636">
        <v>0</v>
      </c>
      <c r="H1636" t="s">
        <v>191</v>
      </c>
      <c r="I1636">
        <v>5.2999999999999999E-2</v>
      </c>
      <c r="J1636">
        <f t="shared" si="848"/>
        <v>1</v>
      </c>
      <c r="K1636" t="e">
        <f t="shared" ca="1" si="849"/>
        <v>#VALUE!</v>
      </c>
      <c r="L1636" t="e">
        <f t="shared" ca="1" si="850"/>
        <v>#VALUE!</v>
      </c>
      <c r="M1636" t="e">
        <f t="shared" ca="1" si="823"/>
        <v>#VALUE!</v>
      </c>
      <c r="N1636" t="e">
        <f t="shared" ca="1" si="824"/>
        <v>#VALUE!</v>
      </c>
      <c r="O1636" t="e">
        <f t="shared" ca="1" si="825"/>
        <v>#VALUE!</v>
      </c>
      <c r="P1636" t="e">
        <f t="shared" ca="1" si="826"/>
        <v>#VALUE!</v>
      </c>
      <c r="Q1636" t="e">
        <f t="shared" ca="1" si="827"/>
        <v>#VALUE!</v>
      </c>
      <c r="R1636" t="e">
        <f t="shared" ca="1" si="828"/>
        <v>#VALUE!</v>
      </c>
      <c r="S1636" t="e">
        <f t="shared" ca="1" si="829"/>
        <v>#VALUE!</v>
      </c>
      <c r="T1636" t="e">
        <f t="shared" ca="1" si="830"/>
        <v>#VALUE!</v>
      </c>
      <c r="U1636" t="e">
        <f t="shared" ca="1" si="851"/>
        <v>#VALUE!</v>
      </c>
      <c r="V1636" t="e">
        <f t="shared" ca="1" si="852"/>
        <v>#VALUE!</v>
      </c>
      <c r="W1636" t="e">
        <f t="shared" ca="1" si="831"/>
        <v>#VALUE!</v>
      </c>
      <c r="X1636" t="e">
        <f t="shared" ca="1" si="832"/>
        <v>#VALUE!</v>
      </c>
      <c r="Y1636" t="e">
        <f t="shared" ca="1" si="833"/>
        <v>#VALUE!</v>
      </c>
      <c r="Z1636" t="e">
        <f t="shared" ca="1" si="834"/>
        <v>#VALUE!</v>
      </c>
      <c r="AA1636" t="e">
        <f t="shared" ca="1" si="835"/>
        <v>#VALUE!</v>
      </c>
      <c r="AB1636" t="e">
        <f t="shared" ca="1" si="836"/>
        <v>#VALUE!</v>
      </c>
      <c r="AC1636" t="e">
        <f t="shared" ca="1" si="837"/>
        <v>#VALUE!</v>
      </c>
      <c r="AD1636" t="e">
        <f t="shared" ca="1" si="838"/>
        <v>#VALUE!</v>
      </c>
      <c r="AE1636" t="e">
        <f t="shared" ca="1" si="839"/>
        <v>#VALUE!</v>
      </c>
      <c r="AF1636" t="e">
        <f t="shared" ca="1" si="840"/>
        <v>#VALUE!</v>
      </c>
      <c r="AG1636" t="e">
        <f t="shared" ca="1" si="841"/>
        <v>#VALUE!</v>
      </c>
      <c r="AH1636" t="e">
        <f ca="1">IF(V35="Supercritical",L1636,IF(V35="Subcritical",W1636,IF(AND(V1636=1,AG1636=1),IF(T1636&gt;=AE1636,L1636,W1636),IF(V1636=1,L1636,IF(AG1636=1,W1636,MAX($D$16,POWER((ABS(K1636)^2)/($I$5*MAX(F1636,0.1)^2),1/3)))))))</f>
        <v>#VALUE!</v>
      </c>
      <c r="AI1636" t="e">
        <f t="shared" ca="1" si="842"/>
        <v>#VALUE!</v>
      </c>
      <c r="AJ1636" t="e">
        <f t="shared" ca="1" si="843"/>
        <v>#VALUE!</v>
      </c>
      <c r="AL1636">
        <v>635.5</v>
      </c>
      <c r="AM1636">
        <v>0</v>
      </c>
      <c r="AN1636" t="e">
        <f t="shared" ca="1" si="854"/>
        <v>#VALUE!</v>
      </c>
      <c r="AO1636" t="e">
        <f t="shared" ca="1" si="844"/>
        <v>#VALUE!</v>
      </c>
      <c r="AP1636" t="e">
        <f t="shared" ca="1" si="853"/>
        <v>#VALUE!</v>
      </c>
      <c r="AQ1636" t="e">
        <f t="shared" ca="1" si="845"/>
        <v>#VALUE!</v>
      </c>
      <c r="AR1636" t="e">
        <f t="shared" ca="1" si="846"/>
        <v>#VALUE!</v>
      </c>
      <c r="AS1636" t="e">
        <f t="shared" ca="1" si="847"/>
        <v>#VALUE!</v>
      </c>
    </row>
    <row r="1637" spans="1:45" x14ac:dyDescent="0.35">
      <c r="A1637">
        <v>31</v>
      </c>
      <c r="B1637">
        <v>29.931000000000001</v>
      </c>
      <c r="C1637">
        <v>616082.00399999996</v>
      </c>
      <c r="D1637">
        <v>3096600.764</v>
      </c>
      <c r="E1637">
        <v>631.5</v>
      </c>
      <c r="F1637">
        <v>4.3659999999999997</v>
      </c>
      <c r="G1637">
        <v>0</v>
      </c>
      <c r="H1637" t="s">
        <v>191</v>
      </c>
      <c r="I1637">
        <v>5.2999999999999999E-2</v>
      </c>
      <c r="J1637">
        <f t="shared" si="848"/>
        <v>1.0010000000000012</v>
      </c>
      <c r="K1637" t="e">
        <f t="shared" ca="1" si="849"/>
        <v>#VALUE!</v>
      </c>
      <c r="L1637" t="e">
        <f t="shared" ca="1" si="850"/>
        <v>#VALUE!</v>
      </c>
      <c r="M1637" t="e">
        <f t="shared" ca="1" si="823"/>
        <v>#VALUE!</v>
      </c>
      <c r="N1637" t="e">
        <f t="shared" ca="1" si="824"/>
        <v>#VALUE!</v>
      </c>
      <c r="O1637" t="e">
        <f t="shared" ca="1" si="825"/>
        <v>#VALUE!</v>
      </c>
      <c r="P1637" t="e">
        <f t="shared" ca="1" si="826"/>
        <v>#VALUE!</v>
      </c>
      <c r="Q1637" t="e">
        <f t="shared" ca="1" si="827"/>
        <v>#VALUE!</v>
      </c>
      <c r="R1637" t="e">
        <f t="shared" ca="1" si="828"/>
        <v>#VALUE!</v>
      </c>
      <c r="S1637" t="e">
        <f t="shared" ca="1" si="829"/>
        <v>#VALUE!</v>
      </c>
      <c r="T1637" t="e">
        <f t="shared" ca="1" si="830"/>
        <v>#VALUE!</v>
      </c>
      <c r="U1637" t="e">
        <f t="shared" ca="1" si="851"/>
        <v>#VALUE!</v>
      </c>
      <c r="V1637" t="e">
        <f t="shared" ca="1" si="852"/>
        <v>#VALUE!</v>
      </c>
      <c r="W1637" t="e">
        <f t="shared" ca="1" si="831"/>
        <v>#VALUE!</v>
      </c>
      <c r="X1637" t="e">
        <f t="shared" ca="1" si="832"/>
        <v>#VALUE!</v>
      </c>
      <c r="Y1637" t="e">
        <f t="shared" ca="1" si="833"/>
        <v>#VALUE!</v>
      </c>
      <c r="Z1637" t="e">
        <f t="shared" ca="1" si="834"/>
        <v>#VALUE!</v>
      </c>
      <c r="AA1637" t="e">
        <f t="shared" ca="1" si="835"/>
        <v>#VALUE!</v>
      </c>
      <c r="AB1637" t="e">
        <f t="shared" ca="1" si="836"/>
        <v>#VALUE!</v>
      </c>
      <c r="AC1637" t="e">
        <f t="shared" ca="1" si="837"/>
        <v>#VALUE!</v>
      </c>
      <c r="AD1637" t="e">
        <f t="shared" ca="1" si="838"/>
        <v>#VALUE!</v>
      </c>
      <c r="AE1637" t="e">
        <f t="shared" ca="1" si="839"/>
        <v>#VALUE!</v>
      </c>
      <c r="AF1637" t="e">
        <f t="shared" ca="1" si="840"/>
        <v>#VALUE!</v>
      </c>
      <c r="AG1637" t="e">
        <f t="shared" ca="1" si="841"/>
        <v>#VALUE!</v>
      </c>
      <c r="AH1637" t="e">
        <f ca="1">IF(V35="Supercritical",L1637,IF(V35="Subcritical",W1637,IF(AND(V1637=1,AG1637=1),IF(T1637&gt;=AE1637,L1637,W1637),IF(V1637=1,L1637,IF(AG1637=1,W1637,MAX($D$16,POWER((ABS(K1637)^2)/($I$5*MAX(F1637,0.1)^2),1/3)))))))</f>
        <v>#VALUE!</v>
      </c>
      <c r="AI1637" t="e">
        <f t="shared" ca="1" si="842"/>
        <v>#VALUE!</v>
      </c>
      <c r="AJ1637" t="e">
        <f t="shared" ca="1" si="843"/>
        <v>#VALUE!</v>
      </c>
      <c r="AL1637">
        <v>635.5</v>
      </c>
      <c r="AM1637">
        <v>0</v>
      </c>
      <c r="AN1637" t="e">
        <f t="shared" ca="1" si="854"/>
        <v>#VALUE!</v>
      </c>
      <c r="AO1637" t="e">
        <f t="shared" ca="1" si="844"/>
        <v>#VALUE!</v>
      </c>
      <c r="AP1637" t="e">
        <f t="shared" ca="1" si="853"/>
        <v>#VALUE!</v>
      </c>
      <c r="AQ1637" t="e">
        <f t="shared" ca="1" si="845"/>
        <v>#VALUE!</v>
      </c>
      <c r="AR1637" t="e">
        <f t="shared" ca="1" si="846"/>
        <v>#VALUE!</v>
      </c>
      <c r="AS1637" t="e">
        <f t="shared" ca="1" si="847"/>
        <v>#VALUE!</v>
      </c>
    </row>
    <row r="1638" spans="1:45" x14ac:dyDescent="0.35">
      <c r="A1638">
        <v>32</v>
      </c>
      <c r="B1638">
        <v>30.931000000000001</v>
      </c>
      <c r="C1638">
        <v>616082.07799999998</v>
      </c>
      <c r="D1638">
        <v>3096599.767</v>
      </c>
      <c r="E1638">
        <v>631.5</v>
      </c>
      <c r="F1638">
        <v>4.2569999999999997</v>
      </c>
      <c r="G1638">
        <v>0</v>
      </c>
      <c r="H1638" t="s">
        <v>191</v>
      </c>
      <c r="I1638">
        <v>5.7000000000000002E-2</v>
      </c>
      <c r="J1638">
        <f t="shared" si="848"/>
        <v>1</v>
      </c>
      <c r="K1638" t="e">
        <f t="shared" ca="1" si="849"/>
        <v>#VALUE!</v>
      </c>
      <c r="L1638" t="e">
        <f t="shared" ca="1" si="850"/>
        <v>#VALUE!</v>
      </c>
      <c r="M1638" t="e">
        <f t="shared" ca="1" si="823"/>
        <v>#VALUE!</v>
      </c>
      <c r="N1638" t="e">
        <f t="shared" ca="1" si="824"/>
        <v>#VALUE!</v>
      </c>
      <c r="O1638" t="e">
        <f t="shared" ca="1" si="825"/>
        <v>#VALUE!</v>
      </c>
      <c r="P1638" t="e">
        <f t="shared" ca="1" si="826"/>
        <v>#VALUE!</v>
      </c>
      <c r="Q1638" t="e">
        <f t="shared" ca="1" si="827"/>
        <v>#VALUE!</v>
      </c>
      <c r="R1638" t="e">
        <f t="shared" ca="1" si="828"/>
        <v>#VALUE!</v>
      </c>
      <c r="S1638" t="e">
        <f t="shared" ca="1" si="829"/>
        <v>#VALUE!</v>
      </c>
      <c r="T1638" t="e">
        <f t="shared" ca="1" si="830"/>
        <v>#VALUE!</v>
      </c>
      <c r="U1638" t="e">
        <f t="shared" ca="1" si="851"/>
        <v>#VALUE!</v>
      </c>
      <c r="V1638" t="e">
        <f t="shared" ca="1" si="852"/>
        <v>#VALUE!</v>
      </c>
      <c r="W1638" t="e">
        <f t="shared" ca="1" si="831"/>
        <v>#VALUE!</v>
      </c>
      <c r="X1638" t="e">
        <f t="shared" ca="1" si="832"/>
        <v>#VALUE!</v>
      </c>
      <c r="Y1638" t="e">
        <f t="shared" ca="1" si="833"/>
        <v>#VALUE!</v>
      </c>
      <c r="Z1638" t="e">
        <f t="shared" ca="1" si="834"/>
        <v>#VALUE!</v>
      </c>
      <c r="AA1638" t="e">
        <f t="shared" ca="1" si="835"/>
        <v>#VALUE!</v>
      </c>
      <c r="AB1638" t="e">
        <f t="shared" ca="1" si="836"/>
        <v>#VALUE!</v>
      </c>
      <c r="AC1638" t="e">
        <f t="shared" ca="1" si="837"/>
        <v>#VALUE!</v>
      </c>
      <c r="AD1638" t="e">
        <f t="shared" ca="1" si="838"/>
        <v>#VALUE!</v>
      </c>
      <c r="AE1638" t="e">
        <f t="shared" ca="1" si="839"/>
        <v>#VALUE!</v>
      </c>
      <c r="AF1638" t="e">
        <f t="shared" ca="1" si="840"/>
        <v>#VALUE!</v>
      </c>
      <c r="AG1638" t="e">
        <f t="shared" ca="1" si="841"/>
        <v>#VALUE!</v>
      </c>
      <c r="AH1638" t="e">
        <f ca="1">IF(V35="Supercritical",L1638,IF(V35="Subcritical",W1638,IF(AND(V1638=1,AG1638=1),IF(T1638&gt;=AE1638,L1638,W1638),IF(V1638=1,L1638,IF(AG1638=1,W1638,MAX($D$16,POWER((ABS(K1638)^2)/($I$5*MAX(F1638,0.1)^2),1/3)))))))</f>
        <v>#VALUE!</v>
      </c>
      <c r="AI1638" t="e">
        <f t="shared" ca="1" si="842"/>
        <v>#VALUE!</v>
      </c>
      <c r="AJ1638" t="e">
        <f t="shared" ca="1" si="843"/>
        <v>#VALUE!</v>
      </c>
      <c r="AL1638">
        <v>635.5</v>
      </c>
      <c r="AM1638">
        <v>0</v>
      </c>
      <c r="AN1638" t="e">
        <f t="shared" ca="1" si="854"/>
        <v>#VALUE!</v>
      </c>
      <c r="AO1638" t="e">
        <f t="shared" ca="1" si="844"/>
        <v>#VALUE!</v>
      </c>
      <c r="AP1638" t="e">
        <f t="shared" ca="1" si="853"/>
        <v>#VALUE!</v>
      </c>
      <c r="AQ1638" t="e">
        <f t="shared" ca="1" si="845"/>
        <v>#VALUE!</v>
      </c>
      <c r="AR1638" t="e">
        <f t="shared" ca="1" si="846"/>
        <v>#VALUE!</v>
      </c>
      <c r="AS1638" t="e">
        <f t="shared" ca="1" si="847"/>
        <v>#VALUE!</v>
      </c>
    </row>
    <row r="1639" spans="1:45" x14ac:dyDescent="0.35">
      <c r="A1639">
        <v>33</v>
      </c>
      <c r="B1639">
        <v>31.93</v>
      </c>
      <c r="C1639">
        <v>616082.15300000005</v>
      </c>
      <c r="D1639">
        <v>3096598.77</v>
      </c>
      <c r="E1639">
        <v>631.5</v>
      </c>
      <c r="F1639">
        <v>4.1479999999999997</v>
      </c>
      <c r="G1639">
        <v>0</v>
      </c>
      <c r="H1639" t="s">
        <v>191</v>
      </c>
      <c r="I1639">
        <v>5.7000000000000002E-2</v>
      </c>
      <c r="J1639">
        <f t="shared" si="848"/>
        <v>0.99899999999999878</v>
      </c>
      <c r="K1639" t="e">
        <f t="shared" ca="1" si="849"/>
        <v>#VALUE!</v>
      </c>
      <c r="L1639" t="e">
        <f t="shared" ca="1" si="850"/>
        <v>#VALUE!</v>
      </c>
      <c r="M1639" t="e">
        <f t="shared" ca="1" si="823"/>
        <v>#VALUE!</v>
      </c>
      <c r="N1639" t="e">
        <f t="shared" ca="1" si="824"/>
        <v>#VALUE!</v>
      </c>
      <c r="O1639" t="e">
        <f t="shared" ca="1" si="825"/>
        <v>#VALUE!</v>
      </c>
      <c r="P1639" t="e">
        <f t="shared" ca="1" si="826"/>
        <v>#VALUE!</v>
      </c>
      <c r="Q1639" t="e">
        <f t="shared" ca="1" si="827"/>
        <v>#VALUE!</v>
      </c>
      <c r="R1639" t="e">
        <f t="shared" ca="1" si="828"/>
        <v>#VALUE!</v>
      </c>
      <c r="S1639" t="e">
        <f t="shared" ca="1" si="829"/>
        <v>#VALUE!</v>
      </c>
      <c r="T1639" t="e">
        <f t="shared" ca="1" si="830"/>
        <v>#VALUE!</v>
      </c>
      <c r="U1639" t="e">
        <f t="shared" ca="1" si="851"/>
        <v>#VALUE!</v>
      </c>
      <c r="V1639" t="e">
        <f t="shared" ca="1" si="852"/>
        <v>#VALUE!</v>
      </c>
      <c r="W1639" t="e">
        <f t="shared" ca="1" si="831"/>
        <v>#VALUE!</v>
      </c>
      <c r="X1639" t="e">
        <f t="shared" ca="1" si="832"/>
        <v>#VALUE!</v>
      </c>
      <c r="Y1639" t="e">
        <f t="shared" ca="1" si="833"/>
        <v>#VALUE!</v>
      </c>
      <c r="Z1639" t="e">
        <f t="shared" ca="1" si="834"/>
        <v>#VALUE!</v>
      </c>
      <c r="AA1639" t="e">
        <f t="shared" ca="1" si="835"/>
        <v>#VALUE!</v>
      </c>
      <c r="AB1639" t="e">
        <f t="shared" ca="1" si="836"/>
        <v>#VALUE!</v>
      </c>
      <c r="AC1639" t="e">
        <f t="shared" ca="1" si="837"/>
        <v>#VALUE!</v>
      </c>
      <c r="AD1639" t="e">
        <f t="shared" ca="1" si="838"/>
        <v>#VALUE!</v>
      </c>
      <c r="AE1639" t="e">
        <f t="shared" ca="1" si="839"/>
        <v>#VALUE!</v>
      </c>
      <c r="AF1639" t="e">
        <f t="shared" ca="1" si="840"/>
        <v>#VALUE!</v>
      </c>
      <c r="AG1639" t="e">
        <f t="shared" ca="1" si="841"/>
        <v>#VALUE!</v>
      </c>
      <c r="AH1639" t="e">
        <f ca="1">IF(V35="Supercritical",L1639,IF(V35="Subcritical",W1639,IF(AND(V1639=1,AG1639=1),IF(T1639&gt;=AE1639,L1639,W1639),IF(V1639=1,L1639,IF(AG1639=1,W1639,MAX($D$16,POWER((ABS(K1639)^2)/($I$5*MAX(F1639,0.1)^2),1/3)))))))</f>
        <v>#VALUE!</v>
      </c>
      <c r="AI1639" t="e">
        <f t="shared" ca="1" si="842"/>
        <v>#VALUE!</v>
      </c>
      <c r="AJ1639" t="e">
        <f t="shared" ca="1" si="843"/>
        <v>#VALUE!</v>
      </c>
      <c r="AL1639">
        <v>635.5</v>
      </c>
      <c r="AM1639">
        <v>0</v>
      </c>
      <c r="AN1639" t="e">
        <f t="shared" ca="1" si="854"/>
        <v>#VALUE!</v>
      </c>
      <c r="AO1639" t="e">
        <f t="shared" ca="1" si="844"/>
        <v>#VALUE!</v>
      </c>
      <c r="AP1639" t="e">
        <f t="shared" ca="1" si="853"/>
        <v>#VALUE!</v>
      </c>
      <c r="AQ1639" t="e">
        <f t="shared" ca="1" si="845"/>
        <v>#VALUE!</v>
      </c>
      <c r="AR1639" t="e">
        <f t="shared" ca="1" si="846"/>
        <v>#VALUE!</v>
      </c>
      <c r="AS1639" t="e">
        <f t="shared" ca="1" si="847"/>
        <v>#VALUE!</v>
      </c>
    </row>
    <row r="1640" spans="1:45" x14ac:dyDescent="0.35">
      <c r="A1640">
        <v>34</v>
      </c>
      <c r="B1640">
        <v>32.93</v>
      </c>
      <c r="C1640">
        <v>616082.22699999996</v>
      </c>
      <c r="D1640">
        <v>3096597.773</v>
      </c>
      <c r="E1640">
        <v>631.5</v>
      </c>
      <c r="F1640">
        <v>4.0380000000000003</v>
      </c>
      <c r="G1640">
        <v>0</v>
      </c>
      <c r="H1640" t="s">
        <v>191</v>
      </c>
      <c r="I1640">
        <v>5.2999999999999999E-2</v>
      </c>
      <c r="J1640">
        <f t="shared" si="848"/>
        <v>1</v>
      </c>
      <c r="K1640" t="e">
        <f t="shared" ca="1" si="849"/>
        <v>#VALUE!</v>
      </c>
      <c r="L1640" t="e">
        <f t="shared" ca="1" si="850"/>
        <v>#VALUE!</v>
      </c>
      <c r="M1640" t="e">
        <f t="shared" ca="1" si="823"/>
        <v>#VALUE!</v>
      </c>
      <c r="N1640" t="e">
        <f t="shared" ca="1" si="824"/>
        <v>#VALUE!</v>
      </c>
      <c r="O1640" t="e">
        <f t="shared" ca="1" si="825"/>
        <v>#VALUE!</v>
      </c>
      <c r="P1640" t="e">
        <f t="shared" ca="1" si="826"/>
        <v>#VALUE!</v>
      </c>
      <c r="Q1640" t="e">
        <f t="shared" ca="1" si="827"/>
        <v>#VALUE!</v>
      </c>
      <c r="R1640" t="e">
        <f t="shared" ca="1" si="828"/>
        <v>#VALUE!</v>
      </c>
      <c r="S1640" t="e">
        <f t="shared" ca="1" si="829"/>
        <v>#VALUE!</v>
      </c>
      <c r="T1640" t="e">
        <f t="shared" ca="1" si="830"/>
        <v>#VALUE!</v>
      </c>
      <c r="U1640" t="e">
        <f t="shared" ca="1" si="851"/>
        <v>#VALUE!</v>
      </c>
      <c r="V1640" t="e">
        <f t="shared" ca="1" si="852"/>
        <v>#VALUE!</v>
      </c>
      <c r="W1640" t="e">
        <f t="shared" ca="1" si="831"/>
        <v>#VALUE!</v>
      </c>
      <c r="X1640" t="e">
        <f t="shared" ca="1" si="832"/>
        <v>#VALUE!</v>
      </c>
      <c r="Y1640" t="e">
        <f t="shared" ca="1" si="833"/>
        <v>#VALUE!</v>
      </c>
      <c r="Z1640" t="e">
        <f t="shared" ca="1" si="834"/>
        <v>#VALUE!</v>
      </c>
      <c r="AA1640" t="e">
        <f t="shared" ca="1" si="835"/>
        <v>#VALUE!</v>
      </c>
      <c r="AB1640" t="e">
        <f t="shared" ca="1" si="836"/>
        <v>#VALUE!</v>
      </c>
      <c r="AC1640" t="e">
        <f t="shared" ca="1" si="837"/>
        <v>#VALUE!</v>
      </c>
      <c r="AD1640" t="e">
        <f t="shared" ca="1" si="838"/>
        <v>#VALUE!</v>
      </c>
      <c r="AE1640" t="e">
        <f t="shared" ca="1" si="839"/>
        <v>#VALUE!</v>
      </c>
      <c r="AF1640" t="e">
        <f t="shared" ca="1" si="840"/>
        <v>#VALUE!</v>
      </c>
      <c r="AG1640" t="e">
        <f t="shared" ca="1" si="841"/>
        <v>#VALUE!</v>
      </c>
      <c r="AH1640" t="e">
        <f ca="1">IF(V35="Supercritical",L1640,IF(V35="Subcritical",W1640,IF(AND(V1640=1,AG1640=1),IF(T1640&gt;=AE1640,L1640,W1640),IF(V1640=1,L1640,IF(AG1640=1,W1640,MAX($D$16,POWER((ABS(K1640)^2)/($I$5*MAX(F1640,0.1)^2),1/3)))))))</f>
        <v>#VALUE!</v>
      </c>
      <c r="AI1640" t="e">
        <f t="shared" ca="1" si="842"/>
        <v>#VALUE!</v>
      </c>
      <c r="AJ1640" t="e">
        <f t="shared" ca="1" si="843"/>
        <v>#VALUE!</v>
      </c>
      <c r="AL1640">
        <v>635.5</v>
      </c>
      <c r="AM1640">
        <v>0</v>
      </c>
      <c r="AN1640" t="e">
        <f t="shared" ca="1" si="854"/>
        <v>#VALUE!</v>
      </c>
      <c r="AO1640" t="e">
        <f t="shared" ca="1" si="844"/>
        <v>#VALUE!</v>
      </c>
      <c r="AP1640" t="e">
        <f t="shared" ca="1" si="853"/>
        <v>#VALUE!</v>
      </c>
      <c r="AQ1640" t="e">
        <f t="shared" ca="1" si="845"/>
        <v>#VALUE!</v>
      </c>
      <c r="AR1640" t="e">
        <f t="shared" ca="1" si="846"/>
        <v>#VALUE!</v>
      </c>
      <c r="AS1640" t="e">
        <f t="shared" ca="1" si="847"/>
        <v>#VALUE!</v>
      </c>
    </row>
    <row r="1641" spans="1:45" x14ac:dyDescent="0.35">
      <c r="A1641">
        <v>35</v>
      </c>
      <c r="B1641">
        <v>33.930999999999997</v>
      </c>
      <c r="C1641">
        <v>616082.30200000003</v>
      </c>
      <c r="D1641">
        <v>3096596.7749999999</v>
      </c>
      <c r="E1641">
        <v>631.5</v>
      </c>
      <c r="F1641">
        <v>3.9289999999999998</v>
      </c>
      <c r="G1641">
        <v>0</v>
      </c>
      <c r="H1641" t="s">
        <v>191</v>
      </c>
      <c r="I1641">
        <v>5.2999999999999999E-2</v>
      </c>
      <c r="J1641">
        <f t="shared" si="848"/>
        <v>1.0009999999999977</v>
      </c>
      <c r="K1641" t="e">
        <f t="shared" ca="1" si="849"/>
        <v>#VALUE!</v>
      </c>
      <c r="L1641" t="e">
        <f t="shared" ca="1" si="850"/>
        <v>#VALUE!</v>
      </c>
      <c r="M1641" t="e">
        <f t="shared" ca="1" si="823"/>
        <v>#VALUE!</v>
      </c>
      <c r="N1641" t="e">
        <f t="shared" ca="1" si="824"/>
        <v>#VALUE!</v>
      </c>
      <c r="O1641" t="e">
        <f t="shared" ca="1" si="825"/>
        <v>#VALUE!</v>
      </c>
      <c r="P1641" t="e">
        <f t="shared" ca="1" si="826"/>
        <v>#VALUE!</v>
      </c>
      <c r="Q1641" t="e">
        <f t="shared" ca="1" si="827"/>
        <v>#VALUE!</v>
      </c>
      <c r="R1641" t="e">
        <f t="shared" ca="1" si="828"/>
        <v>#VALUE!</v>
      </c>
      <c r="S1641" t="e">
        <f t="shared" ca="1" si="829"/>
        <v>#VALUE!</v>
      </c>
      <c r="T1641" t="e">
        <f t="shared" ca="1" si="830"/>
        <v>#VALUE!</v>
      </c>
      <c r="U1641" t="e">
        <f t="shared" ca="1" si="851"/>
        <v>#VALUE!</v>
      </c>
      <c r="V1641" t="e">
        <f t="shared" ca="1" si="852"/>
        <v>#VALUE!</v>
      </c>
      <c r="W1641" t="e">
        <f t="shared" ca="1" si="831"/>
        <v>#VALUE!</v>
      </c>
      <c r="X1641" t="e">
        <f t="shared" ca="1" si="832"/>
        <v>#VALUE!</v>
      </c>
      <c r="Y1641" t="e">
        <f t="shared" ca="1" si="833"/>
        <v>#VALUE!</v>
      </c>
      <c r="Z1641" t="e">
        <f t="shared" ca="1" si="834"/>
        <v>#VALUE!</v>
      </c>
      <c r="AA1641" t="e">
        <f t="shared" ca="1" si="835"/>
        <v>#VALUE!</v>
      </c>
      <c r="AB1641" t="e">
        <f t="shared" ca="1" si="836"/>
        <v>#VALUE!</v>
      </c>
      <c r="AC1641" t="e">
        <f t="shared" ca="1" si="837"/>
        <v>#VALUE!</v>
      </c>
      <c r="AD1641" t="e">
        <f t="shared" ca="1" si="838"/>
        <v>#VALUE!</v>
      </c>
      <c r="AE1641" t="e">
        <f t="shared" ca="1" si="839"/>
        <v>#VALUE!</v>
      </c>
      <c r="AF1641" t="e">
        <f t="shared" ca="1" si="840"/>
        <v>#VALUE!</v>
      </c>
      <c r="AG1641" t="e">
        <f t="shared" ca="1" si="841"/>
        <v>#VALUE!</v>
      </c>
      <c r="AH1641" t="e">
        <f ca="1">IF(V35="Supercritical",L1641,IF(V35="Subcritical",W1641,IF(AND(V1641=1,AG1641=1),IF(T1641&gt;=AE1641,L1641,W1641),IF(V1641=1,L1641,IF(AG1641=1,W1641,MAX($D$16,POWER((ABS(K1641)^2)/($I$5*MAX(F1641,0.1)^2),1/3)))))))</f>
        <v>#VALUE!</v>
      </c>
      <c r="AI1641" t="e">
        <f t="shared" ca="1" si="842"/>
        <v>#VALUE!</v>
      </c>
      <c r="AJ1641" t="e">
        <f t="shared" ca="1" si="843"/>
        <v>#VALUE!</v>
      </c>
      <c r="AL1641">
        <v>635.5</v>
      </c>
      <c r="AM1641">
        <v>0</v>
      </c>
      <c r="AN1641" t="e">
        <f t="shared" ca="1" si="854"/>
        <v>#VALUE!</v>
      </c>
      <c r="AO1641" t="e">
        <f t="shared" ca="1" si="844"/>
        <v>#VALUE!</v>
      </c>
      <c r="AP1641" t="e">
        <f t="shared" ca="1" si="853"/>
        <v>#VALUE!</v>
      </c>
      <c r="AQ1641" t="e">
        <f t="shared" ca="1" si="845"/>
        <v>#VALUE!</v>
      </c>
      <c r="AR1641" t="e">
        <f t="shared" ca="1" si="846"/>
        <v>#VALUE!</v>
      </c>
      <c r="AS1641" t="e">
        <f t="shared" ca="1" si="847"/>
        <v>#VALUE!</v>
      </c>
    </row>
    <row r="1642" spans="1:45" x14ac:dyDescent="0.35">
      <c r="A1642">
        <v>36</v>
      </c>
      <c r="B1642">
        <v>34.930999999999997</v>
      </c>
      <c r="C1642">
        <v>616082.37600000005</v>
      </c>
      <c r="D1642">
        <v>3096595.7779999999</v>
      </c>
      <c r="E1642">
        <v>631.5</v>
      </c>
      <c r="F1642">
        <v>3.82</v>
      </c>
      <c r="G1642">
        <v>0</v>
      </c>
      <c r="H1642" t="s">
        <v>191</v>
      </c>
      <c r="I1642">
        <v>0</v>
      </c>
      <c r="J1642">
        <f t="shared" si="848"/>
        <v>1</v>
      </c>
      <c r="K1642" t="e">
        <f t="shared" ca="1" si="849"/>
        <v>#VALUE!</v>
      </c>
      <c r="L1642" t="e">
        <f t="shared" ca="1" si="850"/>
        <v>#VALUE!</v>
      </c>
      <c r="M1642" t="e">
        <f t="shared" ca="1" si="823"/>
        <v>#VALUE!</v>
      </c>
      <c r="N1642" t="e">
        <f t="shared" ca="1" si="824"/>
        <v>#VALUE!</v>
      </c>
      <c r="O1642" t="e">
        <f t="shared" ca="1" si="825"/>
        <v>#VALUE!</v>
      </c>
      <c r="P1642" t="e">
        <f t="shared" ca="1" si="826"/>
        <v>#VALUE!</v>
      </c>
      <c r="Q1642" t="e">
        <f t="shared" ca="1" si="827"/>
        <v>#VALUE!</v>
      </c>
      <c r="R1642" t="e">
        <f t="shared" ca="1" si="828"/>
        <v>#VALUE!</v>
      </c>
      <c r="S1642" t="e">
        <f t="shared" ca="1" si="829"/>
        <v>#VALUE!</v>
      </c>
      <c r="T1642" t="e">
        <f t="shared" ca="1" si="830"/>
        <v>#VALUE!</v>
      </c>
      <c r="U1642" t="e">
        <f t="shared" ca="1" si="851"/>
        <v>#VALUE!</v>
      </c>
      <c r="V1642" t="e">
        <f t="shared" ca="1" si="852"/>
        <v>#VALUE!</v>
      </c>
      <c r="W1642">
        <f>MAX($D$16,(P8)-E1642)</f>
        <v>0.05</v>
      </c>
      <c r="X1642">
        <f t="shared" si="832"/>
        <v>0.191</v>
      </c>
      <c r="Y1642">
        <f t="shared" si="833"/>
        <v>4.8724489795918369E-2</v>
      </c>
      <c r="Z1642" t="e">
        <f t="shared" ca="1" si="834"/>
        <v>#VALUE!</v>
      </c>
      <c r="AA1642">
        <f t="shared" si="835"/>
        <v>631.54999999999995</v>
      </c>
      <c r="AB1642" t="e">
        <f t="shared" ca="1" si="836"/>
        <v>#VALUE!</v>
      </c>
      <c r="AC1642" t="e">
        <f t="shared" ca="1" si="837"/>
        <v>#VALUE!</v>
      </c>
      <c r="AD1642" t="e">
        <f t="shared" ca="1" si="838"/>
        <v>#VALUE!</v>
      </c>
      <c r="AE1642" t="e">
        <f t="shared" ca="1" si="839"/>
        <v>#VALUE!</v>
      </c>
      <c r="AF1642">
        <v>0</v>
      </c>
      <c r="AG1642">
        <v>1</v>
      </c>
      <c r="AH1642" t="e">
        <f ca="1">IF(V35="Supercritical",L1642,IF(V35="Subcritical",W1642,IF(AND(V1642=1,AG1642=1),IF(T1642&gt;=AE1642,L1642,W1642),IF(V1642=1,L1642,IF(AG1642=1,W1642,MAX($D$16,POWER((ABS(K1642)^2)/($I$5*MAX(F1642,0.1)^2),1/3)))))))</f>
        <v>#VALUE!</v>
      </c>
      <c r="AI1642" t="e">
        <f t="shared" ca="1" si="842"/>
        <v>#VALUE!</v>
      </c>
      <c r="AJ1642" t="e">
        <f t="shared" ca="1" si="843"/>
        <v>#VALUE!</v>
      </c>
      <c r="AL1642">
        <v>635.5</v>
      </c>
      <c r="AM1642">
        <v>0</v>
      </c>
      <c r="AN1642" t="e">
        <f t="shared" ca="1" si="854"/>
        <v>#VALUE!</v>
      </c>
      <c r="AO1642" t="e">
        <f ca="1">AM1642+AN1642+MAX(0,K1642-(AM1642+AN1642))</f>
        <v>#VALUE!</v>
      </c>
      <c r="AP1642" t="e">
        <f t="shared" ca="1" si="853"/>
        <v>#VALUE!</v>
      </c>
      <c r="AQ1642" t="e">
        <f t="shared" ca="1" si="845"/>
        <v>#VALUE!</v>
      </c>
      <c r="AR1642" t="e">
        <f t="shared" ca="1" si="846"/>
        <v>#VALUE!</v>
      </c>
      <c r="AS1642" t="e">
        <f t="shared" ca="1" si="847"/>
        <v>#VALUE!</v>
      </c>
    </row>
    <row r="1645" spans="1:45" x14ac:dyDescent="0.35">
      <c r="A1645" t="s">
        <v>197</v>
      </c>
      <c r="E1645">
        <f>E36</f>
        <v>45.363</v>
      </c>
      <c r="F1645" t="s">
        <v>141</v>
      </c>
      <c r="H1645" t="e">
        <f ca="1">N36</f>
        <v>#VALUE!</v>
      </c>
      <c r="I1645" t="s">
        <v>13</v>
      </c>
      <c r="K1645" t="str">
        <f>V36</f>
        <v>Mixed</v>
      </c>
      <c r="L1645" t="s">
        <v>142</v>
      </c>
    </row>
    <row r="1646" spans="1:45" x14ac:dyDescent="0.35">
      <c r="A1646" t="s">
        <v>143</v>
      </c>
      <c r="B1646" t="s">
        <v>144</v>
      </c>
      <c r="C1646" t="s">
        <v>145</v>
      </c>
      <c r="D1646" t="s">
        <v>146</v>
      </c>
      <c r="E1646" t="s">
        <v>147</v>
      </c>
      <c r="F1646" t="s">
        <v>148</v>
      </c>
      <c r="G1646" t="s">
        <v>149</v>
      </c>
      <c r="H1646" t="s">
        <v>9</v>
      </c>
      <c r="I1646" t="s">
        <v>150</v>
      </c>
      <c r="J1646" t="s">
        <v>151</v>
      </c>
      <c r="K1646" t="s">
        <v>152</v>
      </c>
      <c r="L1646" t="s">
        <v>153</v>
      </c>
      <c r="M1646" t="s">
        <v>154</v>
      </c>
      <c r="N1646" t="s">
        <v>155</v>
      </c>
      <c r="O1646" t="s">
        <v>156</v>
      </c>
      <c r="P1646" t="s">
        <v>157</v>
      </c>
      <c r="Q1646" t="s">
        <v>158</v>
      </c>
      <c r="R1646" t="s">
        <v>159</v>
      </c>
      <c r="S1646" t="s">
        <v>160</v>
      </c>
      <c r="T1646" t="s">
        <v>161</v>
      </c>
      <c r="U1646" t="s">
        <v>162</v>
      </c>
      <c r="V1646" t="s">
        <v>163</v>
      </c>
      <c r="W1646" t="s">
        <v>164</v>
      </c>
      <c r="X1646" t="s">
        <v>165</v>
      </c>
      <c r="Y1646" t="s">
        <v>166</v>
      </c>
      <c r="Z1646" t="s">
        <v>167</v>
      </c>
      <c r="AA1646" t="s">
        <v>168</v>
      </c>
      <c r="AB1646" t="s">
        <v>169</v>
      </c>
      <c r="AC1646" t="s">
        <v>170</v>
      </c>
      <c r="AD1646" t="s">
        <v>171</v>
      </c>
      <c r="AE1646" t="s">
        <v>172</v>
      </c>
      <c r="AF1646" t="s">
        <v>173</v>
      </c>
      <c r="AG1646" t="s">
        <v>174</v>
      </c>
      <c r="AH1646" t="s">
        <v>175</v>
      </c>
      <c r="AI1646" t="s">
        <v>176</v>
      </c>
      <c r="AJ1646" t="s">
        <v>177</v>
      </c>
      <c r="AK1646" t="s">
        <v>178</v>
      </c>
      <c r="AL1646" t="s">
        <v>179</v>
      </c>
      <c r="AM1646" t="s">
        <v>180</v>
      </c>
      <c r="AN1646" t="s">
        <v>181</v>
      </c>
      <c r="AO1646" t="s">
        <v>182</v>
      </c>
      <c r="AP1646" t="s">
        <v>183</v>
      </c>
      <c r="AQ1646" t="s">
        <v>184</v>
      </c>
      <c r="AR1646" t="s">
        <v>185</v>
      </c>
      <c r="AS1646" t="s">
        <v>186</v>
      </c>
    </row>
    <row r="1647" spans="1:45" x14ac:dyDescent="0.35">
      <c r="A1647" t="s">
        <v>22</v>
      </c>
      <c r="B1647" t="s">
        <v>52</v>
      </c>
      <c r="C1647" t="s">
        <v>52</v>
      </c>
      <c r="D1647" t="s">
        <v>52</v>
      </c>
      <c r="E1647" t="s">
        <v>52</v>
      </c>
      <c r="F1647" t="s">
        <v>52</v>
      </c>
      <c r="G1647" t="s">
        <v>22</v>
      </c>
      <c r="H1647" t="s">
        <v>22</v>
      </c>
      <c r="I1647" t="s">
        <v>187</v>
      </c>
      <c r="J1647" t="s">
        <v>52</v>
      </c>
      <c r="K1647" t="s">
        <v>13</v>
      </c>
      <c r="L1647" t="s">
        <v>52</v>
      </c>
      <c r="M1647" t="s">
        <v>188</v>
      </c>
      <c r="N1647" t="s">
        <v>52</v>
      </c>
      <c r="O1647" t="s">
        <v>189</v>
      </c>
      <c r="P1647" t="s">
        <v>52</v>
      </c>
      <c r="Q1647" t="s">
        <v>52</v>
      </c>
      <c r="R1647" t="s">
        <v>22</v>
      </c>
      <c r="S1647" t="s">
        <v>22</v>
      </c>
      <c r="T1647" t="s">
        <v>190</v>
      </c>
      <c r="U1647" t="s">
        <v>52</v>
      </c>
      <c r="V1647" t="s">
        <v>22</v>
      </c>
      <c r="W1647" t="s">
        <v>52</v>
      </c>
      <c r="X1647" t="s">
        <v>188</v>
      </c>
      <c r="Y1647" t="s">
        <v>52</v>
      </c>
      <c r="Z1647" t="s">
        <v>189</v>
      </c>
      <c r="AA1647" t="s">
        <v>52</v>
      </c>
      <c r="AB1647" t="s">
        <v>52</v>
      </c>
      <c r="AC1647" t="s">
        <v>22</v>
      </c>
      <c r="AD1647" t="s">
        <v>22</v>
      </c>
      <c r="AE1647" t="s">
        <v>190</v>
      </c>
      <c r="AF1647" t="s">
        <v>52</v>
      </c>
      <c r="AG1647" t="s">
        <v>22</v>
      </c>
      <c r="AH1647" t="s">
        <v>52</v>
      </c>
      <c r="AI1647" t="s">
        <v>52</v>
      </c>
      <c r="AJ1647" t="s">
        <v>52</v>
      </c>
      <c r="AK1647" t="s">
        <v>52</v>
      </c>
      <c r="AL1647" t="s">
        <v>52</v>
      </c>
      <c r="AM1647" t="s">
        <v>13</v>
      </c>
      <c r="AN1647" t="s">
        <v>13</v>
      </c>
      <c r="AO1647" t="s">
        <v>13</v>
      </c>
      <c r="AP1647" t="s">
        <v>13</v>
      </c>
      <c r="AQ1647" t="s">
        <v>22</v>
      </c>
      <c r="AR1647" t="s">
        <v>22</v>
      </c>
      <c r="AS1647" t="s">
        <v>22</v>
      </c>
    </row>
    <row r="1648" spans="1:45" x14ac:dyDescent="0.35">
      <c r="A1648">
        <v>1</v>
      </c>
      <c r="B1648">
        <v>0</v>
      </c>
      <c r="C1648">
        <v>616073.13500000001</v>
      </c>
      <c r="D1648">
        <v>3096615.2420000001</v>
      </c>
      <c r="E1648">
        <v>631.5</v>
      </c>
      <c r="F1648">
        <v>2.0499999999999998</v>
      </c>
      <c r="G1648">
        <v>0</v>
      </c>
      <c r="H1648" t="s">
        <v>191</v>
      </c>
      <c r="I1648">
        <v>0</v>
      </c>
      <c r="J1648">
        <v>0</v>
      </c>
      <c r="K1648">
        <v>0</v>
      </c>
      <c r="L1648">
        <f>MAX($D$16,(P9)-E1648)</f>
        <v>0.05</v>
      </c>
      <c r="M1648">
        <f t="shared" ref="M1648:M1694" si="855">((F1648)+(G1648)*(L1648))*(L1648)</f>
        <v>0.10249999999999999</v>
      </c>
      <c r="N1648">
        <f t="shared" ref="N1648:N1694" si="856">(((F1648)+(G1648)*(L1648))*(L1648))/MAX((F1648)+2*(L1648)*SQRT(1+(G1648)^2),0.000001)</f>
        <v>4.7674418604651159E-2</v>
      </c>
      <c r="O1648">
        <f t="shared" ref="O1648:O1694" si="857">ABS(K1648)/MAX(((F1648)+(G1648)*(L1648))*(L1648),0.000001)</f>
        <v>0</v>
      </c>
      <c r="P1648">
        <f t="shared" ref="P1648:P1694" si="858">E1648+L1648</f>
        <v>631.54999999999995</v>
      </c>
      <c r="Q1648">
        <f t="shared" ref="Q1648:Q1694" si="859">P1648+((ABS(K1648)/MAX(((F1648)+(G1648)*(L1648))*(L1648),0.000001))^2)/(2*$I$5)</f>
        <v>631.54999999999995</v>
      </c>
      <c r="R1648">
        <f t="shared" ref="R1648:R1694" si="860">((ABS(K1648)*$D$6)/(MAX(((F1648)+(G1648)*(L1648))*(L1648),0.000001)*MAX(((((F1648)+(G1648)*(L1648))*(L1648))/MAX((F1648)+2*(L1648)*SQRT(1+(G1648)^2),0.000001))^(2/3),0.000001)))^2</f>
        <v>0</v>
      </c>
      <c r="S1648">
        <f t="shared" ref="S1648:S1694" si="861">ABS(ABS(K1648)/MAX(((F1648)+(G1648)*(L1648))*(L1648),0.000001))/SQRT($I$5*MAX((((F1648)+(G1648)*(L1648))*(L1648))/MAX((F1648)+2*(G1648)*(L1648),0.000001),0.000001))</f>
        <v>0</v>
      </c>
      <c r="T1648">
        <f t="shared" ref="T1648:T1694" si="862">((F1648)*(L1648)^2)/2+(G1648)*(L1648)^3/3+(ABS(K1648)^2)/($I$5*MAX(((F1648)+(G1648)*(L1648))*(L1648),0.000001))</f>
        <v>2.5625000000000001E-3</v>
      </c>
      <c r="U1648">
        <v>0</v>
      </c>
      <c r="V1648">
        <v>1</v>
      </c>
      <c r="W1648" t="e">
        <f t="shared" ref="W1648:W1693" ca="1" si="863">IF($D$20=0,W1649,IF(AG1649=0,W1649,IF(W1648=0,W1649,IF(ABS(AF1648)&gt;$D$19,MAX($D$16,W1648+((AF1648)*$D$18*IF((AD1648)&lt;1,1,-1))),W1648))))</f>
        <v>#VALUE!</v>
      </c>
      <c r="X1648" t="e">
        <f t="shared" ref="X1648:X1694" ca="1" si="864">((F1648)+(G1648)*(W1648))*(W1648)</f>
        <v>#VALUE!</v>
      </c>
      <c r="Y1648" t="e">
        <f t="shared" ref="Y1648:Y1694" ca="1" si="865">(((F1648)+(G1648)*(W1648))*(W1648))/MAX((F1648)+2*(W1648)*SQRT(1+(G1648)^2),0.000001)</f>
        <v>#VALUE!</v>
      </c>
      <c r="Z1648" t="e">
        <f t="shared" ref="Z1648:Z1694" ca="1" si="866">ABS(K1648)/MAX(((F1648)+(G1648)*(W1648))*(W1648),0.000001)</f>
        <v>#VALUE!</v>
      </c>
      <c r="AA1648" t="e">
        <f t="shared" ref="AA1648:AA1694" ca="1" si="867">E1648+W1648</f>
        <v>#VALUE!</v>
      </c>
      <c r="AB1648" t="e">
        <f t="shared" ref="AB1648:AB1694" ca="1" si="868">AA1648+((ABS(K1648)/MAX(((F1648)+(G1648)*(W1648))*(W1648),0.000001))^2)/(2*$I$5)</f>
        <v>#VALUE!</v>
      </c>
      <c r="AC1648" t="e">
        <f t="shared" ref="AC1648:AC1694" ca="1" si="869">((ABS(K1648)*$D$6)/(MAX(((F1648)+(G1648)*(W1648))*(W1648),0.000001)*MAX(((((F1648)+(G1648)*(W1648))*(W1648))/MAX((F1648)+2*(W1648)*SQRT(1+(G1648)^2),0.000001))^(2/3),0.000001)))^2</f>
        <v>#VALUE!</v>
      </c>
      <c r="AD1648" t="e">
        <f t="shared" ref="AD1648:AD1694" ca="1" si="870">ABS(ABS(K1648)/MAX(((F1648)+(G1648)*(W1648))*(W1648),0.000001))/SQRT($I$5*MAX((((F1648)+(G1648)*(W1648))*(W1648))/MAX((F1648)+2*(G1648)*(W1648),0.000001),0.000001))</f>
        <v>#VALUE!</v>
      </c>
      <c r="AE1648" t="e">
        <f t="shared" ref="AE1648:AE1694" ca="1" si="871">((F1648)*(W1648)^2)/2+(G1648)*(W1648)^3/3+(ABS(K1648)^2)/($I$5*MAX(((F1648)+(G1648)*(W1648))*(W1648),0.000001))</f>
        <v>#VALUE!</v>
      </c>
      <c r="AF1648" t="e">
        <f t="shared" ref="AF1648:AF1693" ca="1" si="872">AB1649+(((AC1648+AC1649)/2)*J1649)+(IF(Z1648&gt;Z1649,$D$8*((Z1648^2-Z1649^2)/(2*$I$5)),$D$9*((Z1649^2-Z1648^2)/(2*$I$5)))+($D$10*(ABS(I1649)/90)*(MAX(Z1648^2,Z1649^2)/(2*$I$5))))-AB1648</f>
        <v>#VALUE!</v>
      </c>
      <c r="AG1648" t="e">
        <f t="shared" ref="AG1648:AG1693" ca="1" si="873">IF(ABS(AF1648)&lt;$D$19,1,0)</f>
        <v>#VALUE!</v>
      </c>
      <c r="AH1648" t="e">
        <f ca="1">IF(V36="Supercritical",L1648,IF(V36="Subcritical",W1648,IF(AND(V1648=1,AG1648=1),IF(T1648&gt;=AE1648,L1648,W1648),IF(V1648=1,L1648,IF(AG1648=1,W1648,MAX($D$16,POWER((ABS(K1648)^2)/($I$5*MAX(F1648,0.1)^2),1/3)))))))</f>
        <v>#VALUE!</v>
      </c>
      <c r="AI1648" t="e">
        <f t="shared" ref="AI1648:AI1694" ca="1" si="874">E1648+AH1648</f>
        <v>#VALUE!</v>
      </c>
      <c r="AJ1648" t="e">
        <f t="shared" ref="AJ1648:AJ1694" ca="1" si="875">AI1648+((ABS(K1648)/MAX(((F1648)+(G1648)*(AH1648))*(AH1648),0.000001))^2)/(2*$I$5)</f>
        <v>#VALUE!</v>
      </c>
      <c r="AM1648">
        <v>0</v>
      </c>
      <c r="AN1648">
        <v>0</v>
      </c>
      <c r="AO1648">
        <f t="shared" ref="AO1648:AO1694" si="876">AM1648+AN1648</f>
        <v>0</v>
      </c>
      <c r="AP1648">
        <f>AO1648</f>
        <v>0</v>
      </c>
      <c r="AQ1648" t="e">
        <f t="shared" ref="AQ1648:AQ1694" ca="1" si="877">ABS(ABS(K1648)/MAX(((F1648)+(G1648)*(AH1648))*(AH1648),0.000001))/SQRT($I$5*MAX((((F1648)+(G1648)*(AH1648))*(AH1648))/MAX((F1648)+2*(G1648)*(AH1648),0.000001),0.000001))</f>
        <v>#VALUE!</v>
      </c>
      <c r="AR1648" t="e">
        <f t="shared" ref="AR1648:AR1694" ca="1" si="878">IF(AQ1648&lt;1,"Subcritical","Supercritical")</f>
        <v>#VALUE!</v>
      </c>
      <c r="AS1648" t="e">
        <f t="shared" ref="AS1648:AS1694" ca="1" si="879">((ABS(K1648)*$D$6)/(MAX(((F1648)+(G1648)*(AH1648))*(AH1648),0.000001)*MAX(((((F1648)+(G1648)*(AH1648))*(AH1648))/MAX((F1648)+2*(AH1648)*SQRT(1+(G1648)^2),0.000001))^(2/3),0.000001)))^2</f>
        <v>#VALUE!</v>
      </c>
    </row>
    <row r="1649" spans="1:45" x14ac:dyDescent="0.35">
      <c r="A1649">
        <v>2</v>
      </c>
      <c r="B1649">
        <v>1</v>
      </c>
      <c r="C1649">
        <v>616073.55599999998</v>
      </c>
      <c r="D1649">
        <v>3096614.335</v>
      </c>
      <c r="E1649">
        <v>631.5</v>
      </c>
      <c r="F1649">
        <v>2.3319999999999999</v>
      </c>
      <c r="G1649">
        <v>0</v>
      </c>
      <c r="H1649" t="s">
        <v>191</v>
      </c>
      <c r="I1649">
        <v>0</v>
      </c>
      <c r="J1649">
        <f t="shared" ref="J1649:J1694" si="880">B1649-B1648</f>
        <v>1</v>
      </c>
      <c r="K1649">
        <v>0</v>
      </c>
      <c r="L1649" t="e">
        <f t="shared" ref="L1649:L1694" ca="1" si="881">IF($D$20=0,L1648,IF(V1648=0,L1648,IF(L1649=0,L1648,IF(ABS(U1649)&gt;$D$19,MAX($D$16,L1649+((U1649)*$D$18*IF((S1649)&lt;1,1,-1))),L1649))))</f>
        <v>#VALUE!</v>
      </c>
      <c r="M1649" t="e">
        <f t="shared" ca="1" si="855"/>
        <v>#VALUE!</v>
      </c>
      <c r="N1649" t="e">
        <f t="shared" ca="1" si="856"/>
        <v>#VALUE!</v>
      </c>
      <c r="O1649" t="e">
        <f t="shared" ca="1" si="857"/>
        <v>#VALUE!</v>
      </c>
      <c r="P1649" t="e">
        <f t="shared" ca="1" si="858"/>
        <v>#VALUE!</v>
      </c>
      <c r="Q1649" t="e">
        <f t="shared" ca="1" si="859"/>
        <v>#VALUE!</v>
      </c>
      <c r="R1649" t="e">
        <f t="shared" ca="1" si="860"/>
        <v>#VALUE!</v>
      </c>
      <c r="S1649" t="e">
        <f t="shared" ca="1" si="861"/>
        <v>#VALUE!</v>
      </c>
      <c r="T1649" t="e">
        <f t="shared" ca="1" si="862"/>
        <v>#VALUE!</v>
      </c>
      <c r="U1649" t="e">
        <f t="shared" ref="U1649:U1694" ca="1" si="882">Q1648-(((R1648+R1649)/2)*J1649)-(IF(O1648&gt;O1649,$D$8*((O1648^2-O1649^2)/(2*$I$5)),$D$9*((O1649^2-O1648^2)/(2*$I$5)))+($D$10*(ABS(I1649)/90)*(MAX(O1648^2,O1649^2)/(2*$I$5))))-Q1649</f>
        <v>#VALUE!</v>
      </c>
      <c r="V1649" t="e">
        <f t="shared" ref="V1649:V1694" ca="1" si="883">IF(ABS(U1649)&lt;$D$19,1,0)</f>
        <v>#VALUE!</v>
      </c>
      <c r="W1649" t="e">
        <f t="shared" ca="1" si="863"/>
        <v>#VALUE!</v>
      </c>
      <c r="X1649" t="e">
        <f t="shared" ca="1" si="864"/>
        <v>#VALUE!</v>
      </c>
      <c r="Y1649" t="e">
        <f t="shared" ca="1" si="865"/>
        <v>#VALUE!</v>
      </c>
      <c r="Z1649" t="e">
        <f t="shared" ca="1" si="866"/>
        <v>#VALUE!</v>
      </c>
      <c r="AA1649" t="e">
        <f t="shared" ca="1" si="867"/>
        <v>#VALUE!</v>
      </c>
      <c r="AB1649" t="e">
        <f t="shared" ca="1" si="868"/>
        <v>#VALUE!</v>
      </c>
      <c r="AC1649" t="e">
        <f t="shared" ca="1" si="869"/>
        <v>#VALUE!</v>
      </c>
      <c r="AD1649" t="e">
        <f t="shared" ca="1" si="870"/>
        <v>#VALUE!</v>
      </c>
      <c r="AE1649" t="e">
        <f t="shared" ca="1" si="871"/>
        <v>#VALUE!</v>
      </c>
      <c r="AF1649" t="e">
        <f t="shared" ca="1" si="872"/>
        <v>#VALUE!</v>
      </c>
      <c r="AG1649" t="e">
        <f t="shared" ca="1" si="873"/>
        <v>#VALUE!</v>
      </c>
      <c r="AH1649" t="e">
        <f ca="1">IF(V36="Supercritical",L1649,IF(V36="Subcritical",W1649,IF(AND(V1649=1,AG1649=1),IF(T1649&gt;=AE1649,L1649,W1649),IF(V1649=1,L1649,IF(AG1649=1,W1649,MAX($D$16,POWER((ABS(K1649)^2)/($I$5*MAX(F1649,0.1)^2),1/3)))))))</f>
        <v>#VALUE!</v>
      </c>
      <c r="AI1649" t="e">
        <f t="shared" ca="1" si="874"/>
        <v>#VALUE!</v>
      </c>
      <c r="AJ1649" t="e">
        <f t="shared" ca="1" si="875"/>
        <v>#VALUE!</v>
      </c>
      <c r="AM1649">
        <v>0</v>
      </c>
      <c r="AN1649">
        <v>0</v>
      </c>
      <c r="AO1649">
        <f t="shared" si="876"/>
        <v>0</v>
      </c>
      <c r="AP1649">
        <f t="shared" ref="AP1649:AP1694" si="884">AP1648+AO1649</f>
        <v>0</v>
      </c>
      <c r="AQ1649" t="e">
        <f t="shared" ca="1" si="877"/>
        <v>#VALUE!</v>
      </c>
      <c r="AR1649" t="e">
        <f t="shared" ca="1" si="878"/>
        <v>#VALUE!</v>
      </c>
      <c r="AS1649" t="e">
        <f t="shared" ca="1" si="879"/>
        <v>#VALUE!</v>
      </c>
    </row>
    <row r="1650" spans="1:45" x14ac:dyDescent="0.35">
      <c r="A1650">
        <v>3</v>
      </c>
      <c r="B1650">
        <v>2</v>
      </c>
      <c r="C1650">
        <v>616073.97699999996</v>
      </c>
      <c r="D1650">
        <v>3096613.4279999998</v>
      </c>
      <c r="E1650">
        <v>631.5</v>
      </c>
      <c r="F1650">
        <v>2.6139999999999999</v>
      </c>
      <c r="G1650">
        <v>0</v>
      </c>
      <c r="H1650" t="s">
        <v>191</v>
      </c>
      <c r="I1650">
        <v>5.1999999999999998E-2</v>
      </c>
      <c r="J1650">
        <f t="shared" si="880"/>
        <v>1</v>
      </c>
      <c r="K1650" t="e">
        <f t="shared" ref="K1650:K1675" ca="1" si="885">K1649+(AO1570 + AO1616)</f>
        <v>#VALUE!</v>
      </c>
      <c r="L1650" t="e">
        <f t="shared" ca="1" si="881"/>
        <v>#VALUE!</v>
      </c>
      <c r="M1650" t="e">
        <f t="shared" ca="1" si="855"/>
        <v>#VALUE!</v>
      </c>
      <c r="N1650" t="e">
        <f t="shared" ca="1" si="856"/>
        <v>#VALUE!</v>
      </c>
      <c r="O1650" t="e">
        <f t="shared" ca="1" si="857"/>
        <v>#VALUE!</v>
      </c>
      <c r="P1650" t="e">
        <f t="shared" ca="1" si="858"/>
        <v>#VALUE!</v>
      </c>
      <c r="Q1650" t="e">
        <f t="shared" ca="1" si="859"/>
        <v>#VALUE!</v>
      </c>
      <c r="R1650" t="e">
        <f t="shared" ca="1" si="860"/>
        <v>#VALUE!</v>
      </c>
      <c r="S1650" t="e">
        <f t="shared" ca="1" si="861"/>
        <v>#VALUE!</v>
      </c>
      <c r="T1650" t="e">
        <f t="shared" ca="1" si="862"/>
        <v>#VALUE!</v>
      </c>
      <c r="U1650" t="e">
        <f t="shared" ca="1" si="882"/>
        <v>#VALUE!</v>
      </c>
      <c r="V1650" t="e">
        <f t="shared" ca="1" si="883"/>
        <v>#VALUE!</v>
      </c>
      <c r="W1650" t="e">
        <f t="shared" ca="1" si="863"/>
        <v>#VALUE!</v>
      </c>
      <c r="X1650" t="e">
        <f t="shared" ca="1" si="864"/>
        <v>#VALUE!</v>
      </c>
      <c r="Y1650" t="e">
        <f t="shared" ca="1" si="865"/>
        <v>#VALUE!</v>
      </c>
      <c r="Z1650" t="e">
        <f t="shared" ca="1" si="866"/>
        <v>#VALUE!</v>
      </c>
      <c r="AA1650" t="e">
        <f t="shared" ca="1" si="867"/>
        <v>#VALUE!</v>
      </c>
      <c r="AB1650" t="e">
        <f t="shared" ca="1" si="868"/>
        <v>#VALUE!</v>
      </c>
      <c r="AC1650" t="e">
        <f t="shared" ca="1" si="869"/>
        <v>#VALUE!</v>
      </c>
      <c r="AD1650" t="e">
        <f t="shared" ca="1" si="870"/>
        <v>#VALUE!</v>
      </c>
      <c r="AE1650" t="e">
        <f t="shared" ca="1" si="871"/>
        <v>#VALUE!</v>
      </c>
      <c r="AF1650" t="e">
        <f t="shared" ca="1" si="872"/>
        <v>#VALUE!</v>
      </c>
      <c r="AG1650" t="e">
        <f t="shared" ca="1" si="873"/>
        <v>#VALUE!</v>
      </c>
      <c r="AH1650" t="e">
        <f ca="1">IF(V36="Supercritical",L1650,IF(V36="Subcritical",W1650,IF(AND(V1650=1,AG1650=1),IF(T1650&gt;=AE1650,L1650,W1650),IF(V1650=1,L1650,IF(AG1650=1,W1650,MAX($D$16,POWER((ABS(K1650)^2)/($I$5*MAX(F1650,0.1)^2),1/3)))))))</f>
        <v>#VALUE!</v>
      </c>
      <c r="AI1650" t="e">
        <f t="shared" ca="1" si="874"/>
        <v>#VALUE!</v>
      </c>
      <c r="AJ1650" t="e">
        <f t="shared" ca="1" si="875"/>
        <v>#VALUE!</v>
      </c>
      <c r="AM1650">
        <v>0</v>
      </c>
      <c r="AN1650">
        <v>0</v>
      </c>
      <c r="AO1650">
        <f t="shared" si="876"/>
        <v>0</v>
      </c>
      <c r="AP1650">
        <f t="shared" si="884"/>
        <v>0</v>
      </c>
      <c r="AQ1650" t="e">
        <f t="shared" ca="1" si="877"/>
        <v>#VALUE!</v>
      </c>
      <c r="AR1650" t="e">
        <f t="shared" ca="1" si="878"/>
        <v>#VALUE!</v>
      </c>
      <c r="AS1650" t="e">
        <f t="shared" ca="1" si="879"/>
        <v>#VALUE!</v>
      </c>
    </row>
    <row r="1651" spans="1:45" x14ac:dyDescent="0.35">
      <c r="A1651">
        <v>4</v>
      </c>
      <c r="B1651">
        <v>3</v>
      </c>
      <c r="C1651">
        <v>616074.39899999998</v>
      </c>
      <c r="D1651">
        <v>3096612.5210000002</v>
      </c>
      <c r="E1651">
        <v>631.5</v>
      </c>
      <c r="F1651">
        <v>2.8969999999999998</v>
      </c>
      <c r="G1651">
        <v>0</v>
      </c>
      <c r="H1651" t="s">
        <v>191</v>
      </c>
      <c r="I1651">
        <v>5.1999999999999998E-2</v>
      </c>
      <c r="J1651">
        <f t="shared" si="880"/>
        <v>1</v>
      </c>
      <c r="K1651" t="e">
        <f t="shared" ca="1" si="885"/>
        <v>#VALUE!</v>
      </c>
      <c r="L1651" t="e">
        <f t="shared" ca="1" si="881"/>
        <v>#VALUE!</v>
      </c>
      <c r="M1651" t="e">
        <f t="shared" ca="1" si="855"/>
        <v>#VALUE!</v>
      </c>
      <c r="N1651" t="e">
        <f t="shared" ca="1" si="856"/>
        <v>#VALUE!</v>
      </c>
      <c r="O1651" t="e">
        <f t="shared" ca="1" si="857"/>
        <v>#VALUE!</v>
      </c>
      <c r="P1651" t="e">
        <f t="shared" ca="1" si="858"/>
        <v>#VALUE!</v>
      </c>
      <c r="Q1651" t="e">
        <f t="shared" ca="1" si="859"/>
        <v>#VALUE!</v>
      </c>
      <c r="R1651" t="e">
        <f t="shared" ca="1" si="860"/>
        <v>#VALUE!</v>
      </c>
      <c r="S1651" t="e">
        <f t="shared" ca="1" si="861"/>
        <v>#VALUE!</v>
      </c>
      <c r="T1651" t="e">
        <f t="shared" ca="1" si="862"/>
        <v>#VALUE!</v>
      </c>
      <c r="U1651" t="e">
        <f t="shared" ca="1" si="882"/>
        <v>#VALUE!</v>
      </c>
      <c r="V1651" t="e">
        <f t="shared" ca="1" si="883"/>
        <v>#VALUE!</v>
      </c>
      <c r="W1651" t="e">
        <f t="shared" ca="1" si="863"/>
        <v>#VALUE!</v>
      </c>
      <c r="X1651" t="e">
        <f t="shared" ca="1" si="864"/>
        <v>#VALUE!</v>
      </c>
      <c r="Y1651" t="e">
        <f t="shared" ca="1" si="865"/>
        <v>#VALUE!</v>
      </c>
      <c r="Z1651" t="e">
        <f t="shared" ca="1" si="866"/>
        <v>#VALUE!</v>
      </c>
      <c r="AA1651" t="e">
        <f t="shared" ca="1" si="867"/>
        <v>#VALUE!</v>
      </c>
      <c r="AB1651" t="e">
        <f t="shared" ca="1" si="868"/>
        <v>#VALUE!</v>
      </c>
      <c r="AC1651" t="e">
        <f t="shared" ca="1" si="869"/>
        <v>#VALUE!</v>
      </c>
      <c r="AD1651" t="e">
        <f t="shared" ca="1" si="870"/>
        <v>#VALUE!</v>
      </c>
      <c r="AE1651" t="e">
        <f t="shared" ca="1" si="871"/>
        <v>#VALUE!</v>
      </c>
      <c r="AF1651" t="e">
        <f t="shared" ca="1" si="872"/>
        <v>#VALUE!</v>
      </c>
      <c r="AG1651" t="e">
        <f t="shared" ca="1" si="873"/>
        <v>#VALUE!</v>
      </c>
      <c r="AH1651" t="e">
        <f ca="1">IF(V36="Supercritical",L1651,IF(V36="Subcritical",W1651,IF(AND(V1651=1,AG1651=1),IF(T1651&gt;=AE1651,L1651,W1651),IF(V1651=1,L1651,IF(AG1651=1,W1651,MAX($D$16,POWER((ABS(K1651)^2)/($I$5*MAX(F1651,0.1)^2),1/3)))))))</f>
        <v>#VALUE!</v>
      </c>
      <c r="AI1651" t="e">
        <f t="shared" ca="1" si="874"/>
        <v>#VALUE!</v>
      </c>
      <c r="AJ1651" t="e">
        <f t="shared" ca="1" si="875"/>
        <v>#VALUE!</v>
      </c>
      <c r="AM1651">
        <v>0</v>
      </c>
      <c r="AN1651">
        <v>0</v>
      </c>
      <c r="AO1651">
        <f t="shared" si="876"/>
        <v>0</v>
      </c>
      <c r="AP1651">
        <f t="shared" si="884"/>
        <v>0</v>
      </c>
      <c r="AQ1651" t="e">
        <f t="shared" ca="1" si="877"/>
        <v>#VALUE!</v>
      </c>
      <c r="AR1651" t="e">
        <f t="shared" ca="1" si="878"/>
        <v>#VALUE!</v>
      </c>
      <c r="AS1651" t="e">
        <f t="shared" ca="1" si="879"/>
        <v>#VALUE!</v>
      </c>
    </row>
    <row r="1652" spans="1:45" x14ac:dyDescent="0.35">
      <c r="A1652">
        <v>5</v>
      </c>
      <c r="B1652">
        <v>4</v>
      </c>
      <c r="C1652">
        <v>616074.81999999995</v>
      </c>
      <c r="D1652">
        <v>3096611.6140000001</v>
      </c>
      <c r="E1652">
        <v>631.5</v>
      </c>
      <c r="F1652">
        <v>3.1789999999999998</v>
      </c>
      <c r="G1652">
        <v>0</v>
      </c>
      <c r="H1652" t="s">
        <v>191</v>
      </c>
      <c r="I1652">
        <v>0</v>
      </c>
      <c r="J1652">
        <f t="shared" si="880"/>
        <v>1</v>
      </c>
      <c r="K1652" t="e">
        <f t="shared" ca="1" si="885"/>
        <v>#VALUE!</v>
      </c>
      <c r="L1652" t="e">
        <f t="shared" ca="1" si="881"/>
        <v>#VALUE!</v>
      </c>
      <c r="M1652" t="e">
        <f t="shared" ca="1" si="855"/>
        <v>#VALUE!</v>
      </c>
      <c r="N1652" t="e">
        <f t="shared" ca="1" si="856"/>
        <v>#VALUE!</v>
      </c>
      <c r="O1652" t="e">
        <f t="shared" ca="1" si="857"/>
        <v>#VALUE!</v>
      </c>
      <c r="P1652" t="e">
        <f t="shared" ca="1" si="858"/>
        <v>#VALUE!</v>
      </c>
      <c r="Q1652" t="e">
        <f t="shared" ca="1" si="859"/>
        <v>#VALUE!</v>
      </c>
      <c r="R1652" t="e">
        <f t="shared" ca="1" si="860"/>
        <v>#VALUE!</v>
      </c>
      <c r="S1652" t="e">
        <f t="shared" ca="1" si="861"/>
        <v>#VALUE!</v>
      </c>
      <c r="T1652" t="e">
        <f t="shared" ca="1" si="862"/>
        <v>#VALUE!</v>
      </c>
      <c r="U1652" t="e">
        <f t="shared" ca="1" si="882"/>
        <v>#VALUE!</v>
      </c>
      <c r="V1652" t="e">
        <f t="shared" ca="1" si="883"/>
        <v>#VALUE!</v>
      </c>
      <c r="W1652" t="e">
        <f t="shared" ca="1" si="863"/>
        <v>#VALUE!</v>
      </c>
      <c r="X1652" t="e">
        <f t="shared" ca="1" si="864"/>
        <v>#VALUE!</v>
      </c>
      <c r="Y1652" t="e">
        <f t="shared" ca="1" si="865"/>
        <v>#VALUE!</v>
      </c>
      <c r="Z1652" t="e">
        <f t="shared" ca="1" si="866"/>
        <v>#VALUE!</v>
      </c>
      <c r="AA1652" t="e">
        <f t="shared" ca="1" si="867"/>
        <v>#VALUE!</v>
      </c>
      <c r="AB1652" t="e">
        <f t="shared" ca="1" si="868"/>
        <v>#VALUE!</v>
      </c>
      <c r="AC1652" t="e">
        <f t="shared" ca="1" si="869"/>
        <v>#VALUE!</v>
      </c>
      <c r="AD1652" t="e">
        <f t="shared" ca="1" si="870"/>
        <v>#VALUE!</v>
      </c>
      <c r="AE1652" t="e">
        <f t="shared" ca="1" si="871"/>
        <v>#VALUE!</v>
      </c>
      <c r="AF1652" t="e">
        <f t="shared" ca="1" si="872"/>
        <v>#VALUE!</v>
      </c>
      <c r="AG1652" t="e">
        <f t="shared" ca="1" si="873"/>
        <v>#VALUE!</v>
      </c>
      <c r="AH1652" t="e">
        <f ca="1">IF(V36="Supercritical",L1652,IF(V36="Subcritical",W1652,IF(AND(V1652=1,AG1652=1),IF(T1652&gt;=AE1652,L1652,W1652),IF(V1652=1,L1652,IF(AG1652=1,W1652,MAX($D$16,POWER((ABS(K1652)^2)/($I$5*MAX(F1652,0.1)^2),1/3)))))))</f>
        <v>#VALUE!</v>
      </c>
      <c r="AI1652" t="e">
        <f t="shared" ca="1" si="874"/>
        <v>#VALUE!</v>
      </c>
      <c r="AJ1652" t="e">
        <f t="shared" ca="1" si="875"/>
        <v>#VALUE!</v>
      </c>
      <c r="AM1652">
        <v>0</v>
      </c>
      <c r="AN1652">
        <v>0</v>
      </c>
      <c r="AO1652">
        <f t="shared" si="876"/>
        <v>0</v>
      </c>
      <c r="AP1652">
        <f t="shared" si="884"/>
        <v>0</v>
      </c>
      <c r="AQ1652" t="e">
        <f t="shared" ca="1" si="877"/>
        <v>#VALUE!</v>
      </c>
      <c r="AR1652" t="e">
        <f t="shared" ca="1" si="878"/>
        <v>#VALUE!</v>
      </c>
      <c r="AS1652" t="e">
        <f t="shared" ca="1" si="879"/>
        <v>#VALUE!</v>
      </c>
    </row>
    <row r="1653" spans="1:45" x14ac:dyDescent="0.35">
      <c r="A1653">
        <v>6</v>
      </c>
      <c r="B1653">
        <v>5</v>
      </c>
      <c r="C1653">
        <v>616075.24100000004</v>
      </c>
      <c r="D1653">
        <v>3096610.7069999999</v>
      </c>
      <c r="E1653">
        <v>631.5</v>
      </c>
      <c r="F1653">
        <v>3.4609999999999999</v>
      </c>
      <c r="G1653">
        <v>0</v>
      </c>
      <c r="H1653" t="s">
        <v>191</v>
      </c>
      <c r="I1653">
        <v>5.1999999999999998E-2</v>
      </c>
      <c r="J1653">
        <f t="shared" si="880"/>
        <v>1</v>
      </c>
      <c r="K1653" t="e">
        <f t="shared" ca="1" si="885"/>
        <v>#VALUE!</v>
      </c>
      <c r="L1653" t="e">
        <f t="shared" ca="1" si="881"/>
        <v>#VALUE!</v>
      </c>
      <c r="M1653" t="e">
        <f t="shared" ca="1" si="855"/>
        <v>#VALUE!</v>
      </c>
      <c r="N1653" t="e">
        <f t="shared" ca="1" si="856"/>
        <v>#VALUE!</v>
      </c>
      <c r="O1653" t="e">
        <f t="shared" ca="1" si="857"/>
        <v>#VALUE!</v>
      </c>
      <c r="P1653" t="e">
        <f t="shared" ca="1" si="858"/>
        <v>#VALUE!</v>
      </c>
      <c r="Q1653" t="e">
        <f t="shared" ca="1" si="859"/>
        <v>#VALUE!</v>
      </c>
      <c r="R1653" t="e">
        <f t="shared" ca="1" si="860"/>
        <v>#VALUE!</v>
      </c>
      <c r="S1653" t="e">
        <f t="shared" ca="1" si="861"/>
        <v>#VALUE!</v>
      </c>
      <c r="T1653" t="e">
        <f t="shared" ca="1" si="862"/>
        <v>#VALUE!</v>
      </c>
      <c r="U1653" t="e">
        <f t="shared" ca="1" si="882"/>
        <v>#VALUE!</v>
      </c>
      <c r="V1653" t="e">
        <f t="shared" ca="1" si="883"/>
        <v>#VALUE!</v>
      </c>
      <c r="W1653" t="e">
        <f t="shared" ca="1" si="863"/>
        <v>#VALUE!</v>
      </c>
      <c r="X1653" t="e">
        <f t="shared" ca="1" si="864"/>
        <v>#VALUE!</v>
      </c>
      <c r="Y1653" t="e">
        <f t="shared" ca="1" si="865"/>
        <v>#VALUE!</v>
      </c>
      <c r="Z1653" t="e">
        <f t="shared" ca="1" si="866"/>
        <v>#VALUE!</v>
      </c>
      <c r="AA1653" t="e">
        <f t="shared" ca="1" si="867"/>
        <v>#VALUE!</v>
      </c>
      <c r="AB1653" t="e">
        <f t="shared" ca="1" si="868"/>
        <v>#VALUE!</v>
      </c>
      <c r="AC1653" t="e">
        <f t="shared" ca="1" si="869"/>
        <v>#VALUE!</v>
      </c>
      <c r="AD1653" t="e">
        <f t="shared" ca="1" si="870"/>
        <v>#VALUE!</v>
      </c>
      <c r="AE1653" t="e">
        <f t="shared" ca="1" si="871"/>
        <v>#VALUE!</v>
      </c>
      <c r="AF1653" t="e">
        <f t="shared" ca="1" si="872"/>
        <v>#VALUE!</v>
      </c>
      <c r="AG1653" t="e">
        <f t="shared" ca="1" si="873"/>
        <v>#VALUE!</v>
      </c>
      <c r="AH1653" t="e">
        <f ca="1">IF(V36="Supercritical",L1653,IF(V36="Subcritical",W1653,IF(AND(V1653=1,AG1653=1),IF(T1653&gt;=AE1653,L1653,W1653),IF(V1653=1,L1653,IF(AG1653=1,W1653,MAX($D$16,POWER((ABS(K1653)^2)/($I$5*MAX(F1653,0.1)^2),1/3)))))))</f>
        <v>#VALUE!</v>
      </c>
      <c r="AI1653" t="e">
        <f t="shared" ca="1" si="874"/>
        <v>#VALUE!</v>
      </c>
      <c r="AJ1653" t="e">
        <f t="shared" ca="1" si="875"/>
        <v>#VALUE!</v>
      </c>
      <c r="AM1653">
        <v>0</v>
      </c>
      <c r="AN1653">
        <v>0</v>
      </c>
      <c r="AO1653">
        <f t="shared" si="876"/>
        <v>0</v>
      </c>
      <c r="AP1653">
        <f t="shared" si="884"/>
        <v>0</v>
      </c>
      <c r="AQ1653" t="e">
        <f t="shared" ca="1" si="877"/>
        <v>#VALUE!</v>
      </c>
      <c r="AR1653" t="e">
        <f t="shared" ca="1" si="878"/>
        <v>#VALUE!</v>
      </c>
      <c r="AS1653" t="e">
        <f t="shared" ca="1" si="879"/>
        <v>#VALUE!</v>
      </c>
    </row>
    <row r="1654" spans="1:45" x14ac:dyDescent="0.35">
      <c r="A1654">
        <v>7</v>
      </c>
      <c r="B1654">
        <v>6.0010000000000003</v>
      </c>
      <c r="C1654">
        <v>616075.66299999994</v>
      </c>
      <c r="D1654">
        <v>3096609.8</v>
      </c>
      <c r="E1654">
        <v>631.5</v>
      </c>
      <c r="F1654">
        <v>3.8980000000000001</v>
      </c>
      <c r="G1654">
        <v>0</v>
      </c>
      <c r="H1654" t="s">
        <v>191</v>
      </c>
      <c r="I1654">
        <v>5.266</v>
      </c>
      <c r="J1654">
        <f t="shared" si="880"/>
        <v>1.0010000000000003</v>
      </c>
      <c r="K1654" t="e">
        <f t="shared" ca="1" si="885"/>
        <v>#VALUE!</v>
      </c>
      <c r="L1654" t="e">
        <f t="shared" ca="1" si="881"/>
        <v>#VALUE!</v>
      </c>
      <c r="M1654" t="e">
        <f t="shared" ca="1" si="855"/>
        <v>#VALUE!</v>
      </c>
      <c r="N1654" t="e">
        <f t="shared" ca="1" si="856"/>
        <v>#VALUE!</v>
      </c>
      <c r="O1654" t="e">
        <f t="shared" ca="1" si="857"/>
        <v>#VALUE!</v>
      </c>
      <c r="P1654" t="e">
        <f t="shared" ca="1" si="858"/>
        <v>#VALUE!</v>
      </c>
      <c r="Q1654" t="e">
        <f t="shared" ca="1" si="859"/>
        <v>#VALUE!</v>
      </c>
      <c r="R1654" t="e">
        <f t="shared" ca="1" si="860"/>
        <v>#VALUE!</v>
      </c>
      <c r="S1654" t="e">
        <f t="shared" ca="1" si="861"/>
        <v>#VALUE!</v>
      </c>
      <c r="T1654" t="e">
        <f t="shared" ca="1" si="862"/>
        <v>#VALUE!</v>
      </c>
      <c r="U1654" t="e">
        <f t="shared" ca="1" si="882"/>
        <v>#VALUE!</v>
      </c>
      <c r="V1654" t="e">
        <f t="shared" ca="1" si="883"/>
        <v>#VALUE!</v>
      </c>
      <c r="W1654" t="e">
        <f t="shared" ca="1" si="863"/>
        <v>#VALUE!</v>
      </c>
      <c r="X1654" t="e">
        <f t="shared" ca="1" si="864"/>
        <v>#VALUE!</v>
      </c>
      <c r="Y1654" t="e">
        <f t="shared" ca="1" si="865"/>
        <v>#VALUE!</v>
      </c>
      <c r="Z1654" t="e">
        <f t="shared" ca="1" si="866"/>
        <v>#VALUE!</v>
      </c>
      <c r="AA1654" t="e">
        <f t="shared" ca="1" si="867"/>
        <v>#VALUE!</v>
      </c>
      <c r="AB1654" t="e">
        <f t="shared" ca="1" si="868"/>
        <v>#VALUE!</v>
      </c>
      <c r="AC1654" t="e">
        <f t="shared" ca="1" si="869"/>
        <v>#VALUE!</v>
      </c>
      <c r="AD1654" t="e">
        <f t="shared" ca="1" si="870"/>
        <v>#VALUE!</v>
      </c>
      <c r="AE1654" t="e">
        <f t="shared" ca="1" si="871"/>
        <v>#VALUE!</v>
      </c>
      <c r="AF1654" t="e">
        <f t="shared" ca="1" si="872"/>
        <v>#VALUE!</v>
      </c>
      <c r="AG1654" t="e">
        <f t="shared" ca="1" si="873"/>
        <v>#VALUE!</v>
      </c>
      <c r="AH1654" t="e">
        <f ca="1">IF(V36="Supercritical",L1654,IF(V36="Subcritical",W1654,IF(AND(V1654=1,AG1654=1),IF(T1654&gt;=AE1654,L1654,W1654),IF(V1654=1,L1654,IF(AG1654=1,W1654,MAX($D$16,POWER((ABS(K1654)^2)/($I$5*MAX(F1654,0.1)^2),1/3)))))))</f>
        <v>#VALUE!</v>
      </c>
      <c r="AI1654" t="e">
        <f t="shared" ca="1" si="874"/>
        <v>#VALUE!</v>
      </c>
      <c r="AJ1654" t="e">
        <f t="shared" ca="1" si="875"/>
        <v>#VALUE!</v>
      </c>
      <c r="AM1654">
        <v>0</v>
      </c>
      <c r="AN1654">
        <v>0</v>
      </c>
      <c r="AO1654">
        <f t="shared" si="876"/>
        <v>0</v>
      </c>
      <c r="AP1654">
        <f t="shared" si="884"/>
        <v>0</v>
      </c>
      <c r="AQ1654" t="e">
        <f t="shared" ca="1" si="877"/>
        <v>#VALUE!</v>
      </c>
      <c r="AR1654" t="e">
        <f t="shared" ca="1" si="878"/>
        <v>#VALUE!</v>
      </c>
      <c r="AS1654" t="e">
        <f t="shared" ca="1" si="879"/>
        <v>#VALUE!</v>
      </c>
    </row>
    <row r="1655" spans="1:45" x14ac:dyDescent="0.35">
      <c r="A1655">
        <v>8</v>
      </c>
      <c r="B1655">
        <v>6.9859999999999998</v>
      </c>
      <c r="C1655">
        <v>616075.995</v>
      </c>
      <c r="D1655">
        <v>3096608.872</v>
      </c>
      <c r="E1655">
        <v>631.5</v>
      </c>
      <c r="F1655">
        <v>4.2640000000000002</v>
      </c>
      <c r="G1655">
        <v>0</v>
      </c>
      <c r="H1655" t="s">
        <v>191</v>
      </c>
      <c r="I1655">
        <v>17.565999999999999</v>
      </c>
      <c r="J1655">
        <f t="shared" si="880"/>
        <v>0.98499999999999943</v>
      </c>
      <c r="K1655" t="e">
        <f t="shared" ca="1" si="885"/>
        <v>#VALUE!</v>
      </c>
      <c r="L1655" t="e">
        <f t="shared" ca="1" si="881"/>
        <v>#VALUE!</v>
      </c>
      <c r="M1655" t="e">
        <f t="shared" ca="1" si="855"/>
        <v>#VALUE!</v>
      </c>
      <c r="N1655" t="e">
        <f t="shared" ca="1" si="856"/>
        <v>#VALUE!</v>
      </c>
      <c r="O1655" t="e">
        <f t="shared" ca="1" si="857"/>
        <v>#VALUE!</v>
      </c>
      <c r="P1655" t="e">
        <f t="shared" ca="1" si="858"/>
        <v>#VALUE!</v>
      </c>
      <c r="Q1655" t="e">
        <f t="shared" ca="1" si="859"/>
        <v>#VALUE!</v>
      </c>
      <c r="R1655" t="e">
        <f t="shared" ca="1" si="860"/>
        <v>#VALUE!</v>
      </c>
      <c r="S1655" t="e">
        <f t="shared" ca="1" si="861"/>
        <v>#VALUE!</v>
      </c>
      <c r="T1655" t="e">
        <f t="shared" ca="1" si="862"/>
        <v>#VALUE!</v>
      </c>
      <c r="U1655" t="e">
        <f t="shared" ca="1" si="882"/>
        <v>#VALUE!</v>
      </c>
      <c r="V1655" t="e">
        <f t="shared" ca="1" si="883"/>
        <v>#VALUE!</v>
      </c>
      <c r="W1655" t="e">
        <f t="shared" ca="1" si="863"/>
        <v>#VALUE!</v>
      </c>
      <c r="X1655" t="e">
        <f t="shared" ca="1" si="864"/>
        <v>#VALUE!</v>
      </c>
      <c r="Y1655" t="e">
        <f t="shared" ca="1" si="865"/>
        <v>#VALUE!</v>
      </c>
      <c r="Z1655" t="e">
        <f t="shared" ca="1" si="866"/>
        <v>#VALUE!</v>
      </c>
      <c r="AA1655" t="e">
        <f t="shared" ca="1" si="867"/>
        <v>#VALUE!</v>
      </c>
      <c r="AB1655" t="e">
        <f t="shared" ca="1" si="868"/>
        <v>#VALUE!</v>
      </c>
      <c r="AC1655" t="e">
        <f t="shared" ca="1" si="869"/>
        <v>#VALUE!</v>
      </c>
      <c r="AD1655" t="e">
        <f t="shared" ca="1" si="870"/>
        <v>#VALUE!</v>
      </c>
      <c r="AE1655" t="e">
        <f t="shared" ca="1" si="871"/>
        <v>#VALUE!</v>
      </c>
      <c r="AF1655" t="e">
        <f t="shared" ca="1" si="872"/>
        <v>#VALUE!</v>
      </c>
      <c r="AG1655" t="e">
        <f t="shared" ca="1" si="873"/>
        <v>#VALUE!</v>
      </c>
      <c r="AH1655" t="e">
        <f ca="1">IF(V36="Supercritical",L1655,IF(V36="Subcritical",W1655,IF(AND(V1655=1,AG1655=1),IF(T1655&gt;=AE1655,L1655,W1655),IF(V1655=1,L1655,IF(AG1655=1,W1655,MAX($D$16,POWER((ABS(K1655)^2)/($I$5*MAX(F1655,0.1)^2),1/3)))))))</f>
        <v>#VALUE!</v>
      </c>
      <c r="AI1655" t="e">
        <f t="shared" ca="1" si="874"/>
        <v>#VALUE!</v>
      </c>
      <c r="AJ1655" t="e">
        <f t="shared" ca="1" si="875"/>
        <v>#VALUE!</v>
      </c>
      <c r="AM1655">
        <v>0</v>
      </c>
      <c r="AN1655">
        <v>0</v>
      </c>
      <c r="AO1655">
        <f t="shared" si="876"/>
        <v>0</v>
      </c>
      <c r="AP1655">
        <f t="shared" si="884"/>
        <v>0</v>
      </c>
      <c r="AQ1655" t="e">
        <f t="shared" ca="1" si="877"/>
        <v>#VALUE!</v>
      </c>
      <c r="AR1655" t="e">
        <f t="shared" ca="1" si="878"/>
        <v>#VALUE!</v>
      </c>
      <c r="AS1655" t="e">
        <f t="shared" ca="1" si="879"/>
        <v>#VALUE!</v>
      </c>
    </row>
    <row r="1656" spans="1:45" x14ac:dyDescent="0.35">
      <c r="A1656">
        <v>9</v>
      </c>
      <c r="B1656">
        <v>7.9870000000000001</v>
      </c>
      <c r="C1656">
        <v>616076.03200000001</v>
      </c>
      <c r="D1656">
        <v>3096607.872</v>
      </c>
      <c r="E1656">
        <v>631.5</v>
      </c>
      <c r="F1656">
        <v>4.6059999999999999</v>
      </c>
      <c r="G1656">
        <v>0</v>
      </c>
      <c r="H1656" t="s">
        <v>191</v>
      </c>
      <c r="I1656">
        <v>5.8999999999999997E-2</v>
      </c>
      <c r="J1656">
        <f t="shared" si="880"/>
        <v>1.0010000000000003</v>
      </c>
      <c r="K1656" t="e">
        <f t="shared" ca="1" si="885"/>
        <v>#VALUE!</v>
      </c>
      <c r="L1656" t="e">
        <f t="shared" ca="1" si="881"/>
        <v>#VALUE!</v>
      </c>
      <c r="M1656" t="e">
        <f t="shared" ca="1" si="855"/>
        <v>#VALUE!</v>
      </c>
      <c r="N1656" t="e">
        <f t="shared" ca="1" si="856"/>
        <v>#VALUE!</v>
      </c>
      <c r="O1656" t="e">
        <f t="shared" ca="1" si="857"/>
        <v>#VALUE!</v>
      </c>
      <c r="P1656" t="e">
        <f t="shared" ca="1" si="858"/>
        <v>#VALUE!</v>
      </c>
      <c r="Q1656" t="e">
        <f t="shared" ca="1" si="859"/>
        <v>#VALUE!</v>
      </c>
      <c r="R1656" t="e">
        <f t="shared" ca="1" si="860"/>
        <v>#VALUE!</v>
      </c>
      <c r="S1656" t="e">
        <f t="shared" ca="1" si="861"/>
        <v>#VALUE!</v>
      </c>
      <c r="T1656" t="e">
        <f t="shared" ca="1" si="862"/>
        <v>#VALUE!</v>
      </c>
      <c r="U1656" t="e">
        <f t="shared" ca="1" si="882"/>
        <v>#VALUE!</v>
      </c>
      <c r="V1656" t="e">
        <f t="shared" ca="1" si="883"/>
        <v>#VALUE!</v>
      </c>
      <c r="W1656" t="e">
        <f t="shared" ca="1" si="863"/>
        <v>#VALUE!</v>
      </c>
      <c r="X1656" t="e">
        <f t="shared" ca="1" si="864"/>
        <v>#VALUE!</v>
      </c>
      <c r="Y1656" t="e">
        <f t="shared" ca="1" si="865"/>
        <v>#VALUE!</v>
      </c>
      <c r="Z1656" t="e">
        <f t="shared" ca="1" si="866"/>
        <v>#VALUE!</v>
      </c>
      <c r="AA1656" t="e">
        <f t="shared" ca="1" si="867"/>
        <v>#VALUE!</v>
      </c>
      <c r="AB1656" t="e">
        <f t="shared" ca="1" si="868"/>
        <v>#VALUE!</v>
      </c>
      <c r="AC1656" t="e">
        <f t="shared" ca="1" si="869"/>
        <v>#VALUE!</v>
      </c>
      <c r="AD1656" t="e">
        <f t="shared" ca="1" si="870"/>
        <v>#VALUE!</v>
      </c>
      <c r="AE1656" t="e">
        <f t="shared" ca="1" si="871"/>
        <v>#VALUE!</v>
      </c>
      <c r="AF1656" t="e">
        <f t="shared" ca="1" si="872"/>
        <v>#VALUE!</v>
      </c>
      <c r="AG1656" t="e">
        <f t="shared" ca="1" si="873"/>
        <v>#VALUE!</v>
      </c>
      <c r="AH1656" t="e">
        <f ca="1">IF(V36="Supercritical",L1656,IF(V36="Subcritical",W1656,IF(AND(V1656=1,AG1656=1),IF(T1656&gt;=AE1656,L1656,W1656),IF(V1656=1,L1656,IF(AG1656=1,W1656,MAX($D$16,POWER((ABS(K1656)^2)/($I$5*MAX(F1656,0.1)^2),1/3)))))))</f>
        <v>#VALUE!</v>
      </c>
      <c r="AI1656" t="e">
        <f t="shared" ca="1" si="874"/>
        <v>#VALUE!</v>
      </c>
      <c r="AJ1656" t="e">
        <f t="shared" ca="1" si="875"/>
        <v>#VALUE!</v>
      </c>
      <c r="AM1656">
        <v>0</v>
      </c>
      <c r="AN1656">
        <v>0</v>
      </c>
      <c r="AO1656">
        <f t="shared" si="876"/>
        <v>0</v>
      </c>
      <c r="AP1656">
        <f t="shared" si="884"/>
        <v>0</v>
      </c>
      <c r="AQ1656" t="e">
        <f t="shared" ca="1" si="877"/>
        <v>#VALUE!</v>
      </c>
      <c r="AR1656" t="e">
        <f t="shared" ca="1" si="878"/>
        <v>#VALUE!</v>
      </c>
      <c r="AS1656" t="e">
        <f t="shared" ca="1" si="879"/>
        <v>#VALUE!</v>
      </c>
    </row>
    <row r="1657" spans="1:45" x14ac:dyDescent="0.35">
      <c r="A1657">
        <v>10</v>
      </c>
      <c r="B1657">
        <v>8.9870000000000001</v>
      </c>
      <c r="C1657">
        <v>616076.06999999995</v>
      </c>
      <c r="D1657">
        <v>3096606.8730000001</v>
      </c>
      <c r="E1657">
        <v>631.5</v>
      </c>
      <c r="F1657">
        <v>4.7160000000000002</v>
      </c>
      <c r="G1657">
        <v>0</v>
      </c>
      <c r="H1657" t="s">
        <v>191</v>
      </c>
      <c r="I1657">
        <v>0</v>
      </c>
      <c r="J1657">
        <f t="shared" si="880"/>
        <v>1</v>
      </c>
      <c r="K1657" t="e">
        <f t="shared" ca="1" si="885"/>
        <v>#VALUE!</v>
      </c>
      <c r="L1657" t="e">
        <f t="shared" ca="1" si="881"/>
        <v>#VALUE!</v>
      </c>
      <c r="M1657" t="e">
        <f t="shared" ca="1" si="855"/>
        <v>#VALUE!</v>
      </c>
      <c r="N1657" t="e">
        <f t="shared" ca="1" si="856"/>
        <v>#VALUE!</v>
      </c>
      <c r="O1657" t="e">
        <f t="shared" ca="1" si="857"/>
        <v>#VALUE!</v>
      </c>
      <c r="P1657" t="e">
        <f t="shared" ca="1" si="858"/>
        <v>#VALUE!</v>
      </c>
      <c r="Q1657" t="e">
        <f t="shared" ca="1" si="859"/>
        <v>#VALUE!</v>
      </c>
      <c r="R1657" t="e">
        <f t="shared" ca="1" si="860"/>
        <v>#VALUE!</v>
      </c>
      <c r="S1657" t="e">
        <f t="shared" ca="1" si="861"/>
        <v>#VALUE!</v>
      </c>
      <c r="T1657" t="e">
        <f t="shared" ca="1" si="862"/>
        <v>#VALUE!</v>
      </c>
      <c r="U1657" t="e">
        <f t="shared" ca="1" si="882"/>
        <v>#VALUE!</v>
      </c>
      <c r="V1657" t="e">
        <f t="shared" ca="1" si="883"/>
        <v>#VALUE!</v>
      </c>
      <c r="W1657" t="e">
        <f t="shared" ca="1" si="863"/>
        <v>#VALUE!</v>
      </c>
      <c r="X1657" t="e">
        <f t="shared" ca="1" si="864"/>
        <v>#VALUE!</v>
      </c>
      <c r="Y1657" t="e">
        <f t="shared" ca="1" si="865"/>
        <v>#VALUE!</v>
      </c>
      <c r="Z1657" t="e">
        <f t="shared" ca="1" si="866"/>
        <v>#VALUE!</v>
      </c>
      <c r="AA1657" t="e">
        <f t="shared" ca="1" si="867"/>
        <v>#VALUE!</v>
      </c>
      <c r="AB1657" t="e">
        <f t="shared" ca="1" si="868"/>
        <v>#VALUE!</v>
      </c>
      <c r="AC1657" t="e">
        <f t="shared" ca="1" si="869"/>
        <v>#VALUE!</v>
      </c>
      <c r="AD1657" t="e">
        <f t="shared" ca="1" si="870"/>
        <v>#VALUE!</v>
      </c>
      <c r="AE1657" t="e">
        <f t="shared" ca="1" si="871"/>
        <v>#VALUE!</v>
      </c>
      <c r="AF1657" t="e">
        <f t="shared" ca="1" si="872"/>
        <v>#VALUE!</v>
      </c>
      <c r="AG1657" t="e">
        <f t="shared" ca="1" si="873"/>
        <v>#VALUE!</v>
      </c>
      <c r="AH1657" t="e">
        <f ca="1">IF(V36="Supercritical",L1657,IF(V36="Subcritical",W1657,IF(AND(V1657=1,AG1657=1),IF(T1657&gt;=AE1657,L1657,W1657),IF(V1657=1,L1657,IF(AG1657=1,W1657,MAX($D$16,POWER((ABS(K1657)^2)/($I$5*MAX(F1657,0.1)^2),1/3)))))))</f>
        <v>#VALUE!</v>
      </c>
      <c r="AI1657" t="e">
        <f t="shared" ca="1" si="874"/>
        <v>#VALUE!</v>
      </c>
      <c r="AJ1657" t="e">
        <f t="shared" ca="1" si="875"/>
        <v>#VALUE!</v>
      </c>
      <c r="AM1657">
        <v>0</v>
      </c>
      <c r="AN1657">
        <v>0</v>
      </c>
      <c r="AO1657">
        <f t="shared" si="876"/>
        <v>0</v>
      </c>
      <c r="AP1657">
        <f t="shared" si="884"/>
        <v>0</v>
      </c>
      <c r="AQ1657" t="e">
        <f t="shared" ca="1" si="877"/>
        <v>#VALUE!</v>
      </c>
      <c r="AR1657" t="e">
        <f t="shared" ca="1" si="878"/>
        <v>#VALUE!</v>
      </c>
      <c r="AS1657" t="e">
        <f t="shared" ca="1" si="879"/>
        <v>#VALUE!</v>
      </c>
    </row>
    <row r="1658" spans="1:45" x14ac:dyDescent="0.35">
      <c r="A1658">
        <v>11</v>
      </c>
      <c r="B1658">
        <v>9.9860000000000007</v>
      </c>
      <c r="C1658">
        <v>616076.10800000001</v>
      </c>
      <c r="D1658">
        <v>3096605.8739999998</v>
      </c>
      <c r="E1658">
        <v>631.5</v>
      </c>
      <c r="F1658">
        <v>4.8250000000000002</v>
      </c>
      <c r="G1658">
        <v>0</v>
      </c>
      <c r="H1658" t="s">
        <v>191</v>
      </c>
      <c r="I1658">
        <v>5.7000000000000002E-2</v>
      </c>
      <c r="J1658">
        <f t="shared" si="880"/>
        <v>0.99900000000000055</v>
      </c>
      <c r="K1658" t="e">
        <f t="shared" ca="1" si="885"/>
        <v>#VALUE!</v>
      </c>
      <c r="L1658" t="e">
        <f t="shared" ca="1" si="881"/>
        <v>#VALUE!</v>
      </c>
      <c r="M1658" t="e">
        <f t="shared" ca="1" si="855"/>
        <v>#VALUE!</v>
      </c>
      <c r="N1658" t="e">
        <f t="shared" ca="1" si="856"/>
        <v>#VALUE!</v>
      </c>
      <c r="O1658" t="e">
        <f t="shared" ca="1" si="857"/>
        <v>#VALUE!</v>
      </c>
      <c r="P1658" t="e">
        <f t="shared" ca="1" si="858"/>
        <v>#VALUE!</v>
      </c>
      <c r="Q1658" t="e">
        <f t="shared" ca="1" si="859"/>
        <v>#VALUE!</v>
      </c>
      <c r="R1658" t="e">
        <f t="shared" ca="1" si="860"/>
        <v>#VALUE!</v>
      </c>
      <c r="S1658" t="e">
        <f t="shared" ca="1" si="861"/>
        <v>#VALUE!</v>
      </c>
      <c r="T1658" t="e">
        <f t="shared" ca="1" si="862"/>
        <v>#VALUE!</v>
      </c>
      <c r="U1658" t="e">
        <f t="shared" ca="1" si="882"/>
        <v>#VALUE!</v>
      </c>
      <c r="V1658" t="e">
        <f t="shared" ca="1" si="883"/>
        <v>#VALUE!</v>
      </c>
      <c r="W1658" t="e">
        <f t="shared" ca="1" si="863"/>
        <v>#VALUE!</v>
      </c>
      <c r="X1658" t="e">
        <f t="shared" ca="1" si="864"/>
        <v>#VALUE!</v>
      </c>
      <c r="Y1658" t="e">
        <f t="shared" ca="1" si="865"/>
        <v>#VALUE!</v>
      </c>
      <c r="Z1658" t="e">
        <f t="shared" ca="1" si="866"/>
        <v>#VALUE!</v>
      </c>
      <c r="AA1658" t="e">
        <f t="shared" ca="1" si="867"/>
        <v>#VALUE!</v>
      </c>
      <c r="AB1658" t="e">
        <f t="shared" ca="1" si="868"/>
        <v>#VALUE!</v>
      </c>
      <c r="AC1658" t="e">
        <f t="shared" ca="1" si="869"/>
        <v>#VALUE!</v>
      </c>
      <c r="AD1658" t="e">
        <f t="shared" ca="1" si="870"/>
        <v>#VALUE!</v>
      </c>
      <c r="AE1658" t="e">
        <f t="shared" ca="1" si="871"/>
        <v>#VALUE!</v>
      </c>
      <c r="AF1658" t="e">
        <f t="shared" ca="1" si="872"/>
        <v>#VALUE!</v>
      </c>
      <c r="AG1658" t="e">
        <f t="shared" ca="1" si="873"/>
        <v>#VALUE!</v>
      </c>
      <c r="AH1658" t="e">
        <f ca="1">IF(V36="Supercritical",L1658,IF(V36="Subcritical",W1658,IF(AND(V1658=1,AG1658=1),IF(T1658&gt;=AE1658,L1658,W1658),IF(V1658=1,L1658,IF(AG1658=1,W1658,MAX($D$16,POWER((ABS(K1658)^2)/($I$5*MAX(F1658,0.1)^2),1/3)))))))</f>
        <v>#VALUE!</v>
      </c>
      <c r="AI1658" t="e">
        <f t="shared" ca="1" si="874"/>
        <v>#VALUE!</v>
      </c>
      <c r="AJ1658" t="e">
        <f t="shared" ca="1" si="875"/>
        <v>#VALUE!</v>
      </c>
      <c r="AM1658">
        <v>0</v>
      </c>
      <c r="AN1658">
        <v>0</v>
      </c>
      <c r="AO1658">
        <f t="shared" si="876"/>
        <v>0</v>
      </c>
      <c r="AP1658">
        <f t="shared" si="884"/>
        <v>0</v>
      </c>
      <c r="AQ1658" t="e">
        <f t="shared" ca="1" si="877"/>
        <v>#VALUE!</v>
      </c>
      <c r="AR1658" t="e">
        <f t="shared" ca="1" si="878"/>
        <v>#VALUE!</v>
      </c>
      <c r="AS1658" t="e">
        <f t="shared" ca="1" si="879"/>
        <v>#VALUE!</v>
      </c>
    </row>
    <row r="1659" spans="1:45" x14ac:dyDescent="0.35">
      <c r="A1659">
        <v>12</v>
      </c>
      <c r="B1659">
        <v>10.986000000000001</v>
      </c>
      <c r="C1659">
        <v>616076.14500000002</v>
      </c>
      <c r="D1659">
        <v>3096604.875</v>
      </c>
      <c r="E1659">
        <v>631.5</v>
      </c>
      <c r="F1659">
        <v>4.9340000000000002</v>
      </c>
      <c r="G1659">
        <v>0</v>
      </c>
      <c r="H1659" t="s">
        <v>191</v>
      </c>
      <c r="I1659">
        <v>5.5E-2</v>
      </c>
      <c r="J1659">
        <f t="shared" si="880"/>
        <v>1</v>
      </c>
      <c r="K1659" t="e">
        <f t="shared" ca="1" si="885"/>
        <v>#VALUE!</v>
      </c>
      <c r="L1659" t="e">
        <f t="shared" ca="1" si="881"/>
        <v>#VALUE!</v>
      </c>
      <c r="M1659" t="e">
        <f t="shared" ca="1" si="855"/>
        <v>#VALUE!</v>
      </c>
      <c r="N1659" t="e">
        <f t="shared" ca="1" si="856"/>
        <v>#VALUE!</v>
      </c>
      <c r="O1659" t="e">
        <f t="shared" ca="1" si="857"/>
        <v>#VALUE!</v>
      </c>
      <c r="P1659" t="e">
        <f t="shared" ca="1" si="858"/>
        <v>#VALUE!</v>
      </c>
      <c r="Q1659" t="e">
        <f t="shared" ca="1" si="859"/>
        <v>#VALUE!</v>
      </c>
      <c r="R1659" t="e">
        <f t="shared" ca="1" si="860"/>
        <v>#VALUE!</v>
      </c>
      <c r="S1659" t="e">
        <f t="shared" ca="1" si="861"/>
        <v>#VALUE!</v>
      </c>
      <c r="T1659" t="e">
        <f t="shared" ca="1" si="862"/>
        <v>#VALUE!</v>
      </c>
      <c r="U1659" t="e">
        <f t="shared" ca="1" si="882"/>
        <v>#VALUE!</v>
      </c>
      <c r="V1659" t="e">
        <f t="shared" ca="1" si="883"/>
        <v>#VALUE!</v>
      </c>
      <c r="W1659" t="e">
        <f t="shared" ca="1" si="863"/>
        <v>#VALUE!</v>
      </c>
      <c r="X1659" t="e">
        <f t="shared" ca="1" si="864"/>
        <v>#VALUE!</v>
      </c>
      <c r="Y1659" t="e">
        <f t="shared" ca="1" si="865"/>
        <v>#VALUE!</v>
      </c>
      <c r="Z1659" t="e">
        <f t="shared" ca="1" si="866"/>
        <v>#VALUE!</v>
      </c>
      <c r="AA1659" t="e">
        <f t="shared" ca="1" si="867"/>
        <v>#VALUE!</v>
      </c>
      <c r="AB1659" t="e">
        <f t="shared" ca="1" si="868"/>
        <v>#VALUE!</v>
      </c>
      <c r="AC1659" t="e">
        <f t="shared" ca="1" si="869"/>
        <v>#VALUE!</v>
      </c>
      <c r="AD1659" t="e">
        <f t="shared" ca="1" si="870"/>
        <v>#VALUE!</v>
      </c>
      <c r="AE1659" t="e">
        <f t="shared" ca="1" si="871"/>
        <v>#VALUE!</v>
      </c>
      <c r="AF1659" t="e">
        <f t="shared" ca="1" si="872"/>
        <v>#VALUE!</v>
      </c>
      <c r="AG1659" t="e">
        <f t="shared" ca="1" si="873"/>
        <v>#VALUE!</v>
      </c>
      <c r="AH1659" t="e">
        <f ca="1">IF(V36="Supercritical",L1659,IF(V36="Subcritical",W1659,IF(AND(V1659=1,AG1659=1),IF(T1659&gt;=AE1659,L1659,W1659),IF(V1659=1,L1659,IF(AG1659=1,W1659,MAX($D$16,POWER((ABS(K1659)^2)/($I$5*MAX(F1659,0.1)^2),1/3)))))))</f>
        <v>#VALUE!</v>
      </c>
      <c r="AI1659" t="e">
        <f t="shared" ca="1" si="874"/>
        <v>#VALUE!</v>
      </c>
      <c r="AJ1659" t="e">
        <f t="shared" ca="1" si="875"/>
        <v>#VALUE!</v>
      </c>
      <c r="AM1659">
        <v>0</v>
      </c>
      <c r="AN1659">
        <v>0</v>
      </c>
      <c r="AO1659">
        <f t="shared" si="876"/>
        <v>0</v>
      </c>
      <c r="AP1659">
        <f t="shared" si="884"/>
        <v>0</v>
      </c>
      <c r="AQ1659" t="e">
        <f t="shared" ca="1" si="877"/>
        <v>#VALUE!</v>
      </c>
      <c r="AR1659" t="e">
        <f t="shared" ca="1" si="878"/>
        <v>#VALUE!</v>
      </c>
      <c r="AS1659" t="e">
        <f t="shared" ca="1" si="879"/>
        <v>#VALUE!</v>
      </c>
    </row>
    <row r="1660" spans="1:45" x14ac:dyDescent="0.35">
      <c r="A1660">
        <v>13</v>
      </c>
      <c r="B1660">
        <v>11.987</v>
      </c>
      <c r="C1660">
        <v>616076.18299999996</v>
      </c>
      <c r="D1660">
        <v>3096603.875</v>
      </c>
      <c r="E1660">
        <v>631.5</v>
      </c>
      <c r="F1660">
        <v>5.0430000000000001</v>
      </c>
      <c r="G1660">
        <v>0</v>
      </c>
      <c r="H1660" t="s">
        <v>191</v>
      </c>
      <c r="I1660">
        <v>2E-3</v>
      </c>
      <c r="J1660">
        <f t="shared" si="880"/>
        <v>1.0009999999999994</v>
      </c>
      <c r="K1660" t="e">
        <f t="shared" ca="1" si="885"/>
        <v>#VALUE!</v>
      </c>
      <c r="L1660" t="e">
        <f t="shared" ca="1" si="881"/>
        <v>#VALUE!</v>
      </c>
      <c r="M1660" t="e">
        <f t="shared" ca="1" si="855"/>
        <v>#VALUE!</v>
      </c>
      <c r="N1660" t="e">
        <f t="shared" ca="1" si="856"/>
        <v>#VALUE!</v>
      </c>
      <c r="O1660" t="e">
        <f t="shared" ca="1" si="857"/>
        <v>#VALUE!</v>
      </c>
      <c r="P1660" t="e">
        <f t="shared" ca="1" si="858"/>
        <v>#VALUE!</v>
      </c>
      <c r="Q1660" t="e">
        <f t="shared" ca="1" si="859"/>
        <v>#VALUE!</v>
      </c>
      <c r="R1660" t="e">
        <f t="shared" ca="1" si="860"/>
        <v>#VALUE!</v>
      </c>
      <c r="S1660" t="e">
        <f t="shared" ca="1" si="861"/>
        <v>#VALUE!</v>
      </c>
      <c r="T1660" t="e">
        <f t="shared" ca="1" si="862"/>
        <v>#VALUE!</v>
      </c>
      <c r="U1660" t="e">
        <f t="shared" ca="1" si="882"/>
        <v>#VALUE!</v>
      </c>
      <c r="V1660" t="e">
        <f t="shared" ca="1" si="883"/>
        <v>#VALUE!</v>
      </c>
      <c r="W1660" t="e">
        <f t="shared" ca="1" si="863"/>
        <v>#VALUE!</v>
      </c>
      <c r="X1660" t="e">
        <f t="shared" ca="1" si="864"/>
        <v>#VALUE!</v>
      </c>
      <c r="Y1660" t="e">
        <f t="shared" ca="1" si="865"/>
        <v>#VALUE!</v>
      </c>
      <c r="Z1660" t="e">
        <f t="shared" ca="1" si="866"/>
        <v>#VALUE!</v>
      </c>
      <c r="AA1660" t="e">
        <f t="shared" ca="1" si="867"/>
        <v>#VALUE!</v>
      </c>
      <c r="AB1660" t="e">
        <f t="shared" ca="1" si="868"/>
        <v>#VALUE!</v>
      </c>
      <c r="AC1660" t="e">
        <f t="shared" ca="1" si="869"/>
        <v>#VALUE!</v>
      </c>
      <c r="AD1660" t="e">
        <f t="shared" ca="1" si="870"/>
        <v>#VALUE!</v>
      </c>
      <c r="AE1660" t="e">
        <f t="shared" ca="1" si="871"/>
        <v>#VALUE!</v>
      </c>
      <c r="AF1660" t="e">
        <f t="shared" ca="1" si="872"/>
        <v>#VALUE!</v>
      </c>
      <c r="AG1660" t="e">
        <f t="shared" ca="1" si="873"/>
        <v>#VALUE!</v>
      </c>
      <c r="AH1660" t="e">
        <f ca="1">IF(V36="Supercritical",L1660,IF(V36="Subcritical",W1660,IF(AND(V1660=1,AG1660=1),IF(T1660&gt;=AE1660,L1660,W1660),IF(V1660=1,L1660,IF(AG1660=1,W1660,MAX($D$16,POWER((ABS(K1660)^2)/($I$5*MAX(F1660,0.1)^2),1/3)))))))</f>
        <v>#VALUE!</v>
      </c>
      <c r="AI1660" t="e">
        <f t="shared" ca="1" si="874"/>
        <v>#VALUE!</v>
      </c>
      <c r="AJ1660" t="e">
        <f t="shared" ca="1" si="875"/>
        <v>#VALUE!</v>
      </c>
      <c r="AM1660">
        <v>0</v>
      </c>
      <c r="AN1660">
        <v>0</v>
      </c>
      <c r="AO1660">
        <f t="shared" si="876"/>
        <v>0</v>
      </c>
      <c r="AP1660">
        <f t="shared" si="884"/>
        <v>0</v>
      </c>
      <c r="AQ1660" t="e">
        <f t="shared" ca="1" si="877"/>
        <v>#VALUE!</v>
      </c>
      <c r="AR1660" t="e">
        <f t="shared" ca="1" si="878"/>
        <v>#VALUE!</v>
      </c>
      <c r="AS1660" t="e">
        <f t="shared" ca="1" si="879"/>
        <v>#VALUE!</v>
      </c>
    </row>
    <row r="1661" spans="1:45" x14ac:dyDescent="0.35">
      <c r="A1661">
        <v>14</v>
      </c>
      <c r="B1661">
        <v>12.986000000000001</v>
      </c>
      <c r="C1661">
        <v>616076.22100000002</v>
      </c>
      <c r="D1661">
        <v>3096602.8760000002</v>
      </c>
      <c r="E1661">
        <v>631.5</v>
      </c>
      <c r="F1661">
        <v>5.1520000000000001</v>
      </c>
      <c r="G1661">
        <v>0</v>
      </c>
      <c r="H1661" t="s">
        <v>191</v>
      </c>
      <c r="I1661">
        <v>5.7000000000000002E-2</v>
      </c>
      <c r="J1661">
        <f t="shared" si="880"/>
        <v>0.99900000000000055</v>
      </c>
      <c r="K1661" t="e">
        <f t="shared" ca="1" si="885"/>
        <v>#VALUE!</v>
      </c>
      <c r="L1661" t="e">
        <f t="shared" ca="1" si="881"/>
        <v>#VALUE!</v>
      </c>
      <c r="M1661" t="e">
        <f t="shared" ca="1" si="855"/>
        <v>#VALUE!</v>
      </c>
      <c r="N1661" t="e">
        <f t="shared" ca="1" si="856"/>
        <v>#VALUE!</v>
      </c>
      <c r="O1661" t="e">
        <f t="shared" ca="1" si="857"/>
        <v>#VALUE!</v>
      </c>
      <c r="P1661" t="e">
        <f t="shared" ca="1" si="858"/>
        <v>#VALUE!</v>
      </c>
      <c r="Q1661" t="e">
        <f t="shared" ca="1" si="859"/>
        <v>#VALUE!</v>
      </c>
      <c r="R1661" t="e">
        <f t="shared" ca="1" si="860"/>
        <v>#VALUE!</v>
      </c>
      <c r="S1661" t="e">
        <f t="shared" ca="1" si="861"/>
        <v>#VALUE!</v>
      </c>
      <c r="T1661" t="e">
        <f t="shared" ca="1" si="862"/>
        <v>#VALUE!</v>
      </c>
      <c r="U1661" t="e">
        <f t="shared" ca="1" si="882"/>
        <v>#VALUE!</v>
      </c>
      <c r="V1661" t="e">
        <f t="shared" ca="1" si="883"/>
        <v>#VALUE!</v>
      </c>
      <c r="W1661" t="e">
        <f t="shared" ca="1" si="863"/>
        <v>#VALUE!</v>
      </c>
      <c r="X1661" t="e">
        <f t="shared" ca="1" si="864"/>
        <v>#VALUE!</v>
      </c>
      <c r="Y1661" t="e">
        <f t="shared" ca="1" si="865"/>
        <v>#VALUE!</v>
      </c>
      <c r="Z1661" t="e">
        <f t="shared" ca="1" si="866"/>
        <v>#VALUE!</v>
      </c>
      <c r="AA1661" t="e">
        <f t="shared" ca="1" si="867"/>
        <v>#VALUE!</v>
      </c>
      <c r="AB1661" t="e">
        <f t="shared" ca="1" si="868"/>
        <v>#VALUE!</v>
      </c>
      <c r="AC1661" t="e">
        <f t="shared" ca="1" si="869"/>
        <v>#VALUE!</v>
      </c>
      <c r="AD1661" t="e">
        <f t="shared" ca="1" si="870"/>
        <v>#VALUE!</v>
      </c>
      <c r="AE1661" t="e">
        <f t="shared" ca="1" si="871"/>
        <v>#VALUE!</v>
      </c>
      <c r="AF1661" t="e">
        <f t="shared" ca="1" si="872"/>
        <v>#VALUE!</v>
      </c>
      <c r="AG1661" t="e">
        <f t="shared" ca="1" si="873"/>
        <v>#VALUE!</v>
      </c>
      <c r="AH1661" t="e">
        <f ca="1">IF(V36="Supercritical",L1661,IF(V36="Subcritical",W1661,IF(AND(V1661=1,AG1661=1),IF(T1661&gt;=AE1661,L1661,W1661),IF(V1661=1,L1661,IF(AG1661=1,W1661,MAX($D$16,POWER((ABS(K1661)^2)/($I$5*MAX(F1661,0.1)^2),1/3)))))))</f>
        <v>#VALUE!</v>
      </c>
      <c r="AI1661" t="e">
        <f t="shared" ca="1" si="874"/>
        <v>#VALUE!</v>
      </c>
      <c r="AJ1661" t="e">
        <f t="shared" ca="1" si="875"/>
        <v>#VALUE!</v>
      </c>
      <c r="AM1661">
        <v>0</v>
      </c>
      <c r="AN1661">
        <v>0</v>
      </c>
      <c r="AO1661">
        <f t="shared" si="876"/>
        <v>0</v>
      </c>
      <c r="AP1661">
        <f t="shared" si="884"/>
        <v>0</v>
      </c>
      <c r="AQ1661" t="e">
        <f t="shared" ca="1" si="877"/>
        <v>#VALUE!</v>
      </c>
      <c r="AR1661" t="e">
        <f t="shared" ca="1" si="878"/>
        <v>#VALUE!</v>
      </c>
      <c r="AS1661" t="e">
        <f t="shared" ca="1" si="879"/>
        <v>#VALUE!</v>
      </c>
    </row>
    <row r="1662" spans="1:45" x14ac:dyDescent="0.35">
      <c r="A1662">
        <v>15</v>
      </c>
      <c r="B1662">
        <v>13.986000000000001</v>
      </c>
      <c r="C1662">
        <v>616076.25800000003</v>
      </c>
      <c r="D1662">
        <v>3096601.8769999999</v>
      </c>
      <c r="E1662">
        <v>631.5</v>
      </c>
      <c r="F1662">
        <v>5.2610000000000001</v>
      </c>
      <c r="G1662">
        <v>0</v>
      </c>
      <c r="H1662" t="s">
        <v>191</v>
      </c>
      <c r="I1662">
        <v>5.5E-2</v>
      </c>
      <c r="J1662">
        <f t="shared" si="880"/>
        <v>1</v>
      </c>
      <c r="K1662" t="e">
        <f t="shared" ca="1" si="885"/>
        <v>#VALUE!</v>
      </c>
      <c r="L1662" t="e">
        <f t="shared" ca="1" si="881"/>
        <v>#VALUE!</v>
      </c>
      <c r="M1662" t="e">
        <f t="shared" ca="1" si="855"/>
        <v>#VALUE!</v>
      </c>
      <c r="N1662" t="e">
        <f t="shared" ca="1" si="856"/>
        <v>#VALUE!</v>
      </c>
      <c r="O1662" t="e">
        <f t="shared" ca="1" si="857"/>
        <v>#VALUE!</v>
      </c>
      <c r="P1662" t="e">
        <f t="shared" ca="1" si="858"/>
        <v>#VALUE!</v>
      </c>
      <c r="Q1662" t="e">
        <f t="shared" ca="1" si="859"/>
        <v>#VALUE!</v>
      </c>
      <c r="R1662" t="e">
        <f t="shared" ca="1" si="860"/>
        <v>#VALUE!</v>
      </c>
      <c r="S1662" t="e">
        <f t="shared" ca="1" si="861"/>
        <v>#VALUE!</v>
      </c>
      <c r="T1662" t="e">
        <f t="shared" ca="1" si="862"/>
        <v>#VALUE!</v>
      </c>
      <c r="U1662" t="e">
        <f t="shared" ca="1" si="882"/>
        <v>#VALUE!</v>
      </c>
      <c r="V1662" t="e">
        <f t="shared" ca="1" si="883"/>
        <v>#VALUE!</v>
      </c>
      <c r="W1662" t="e">
        <f t="shared" ca="1" si="863"/>
        <v>#VALUE!</v>
      </c>
      <c r="X1662" t="e">
        <f t="shared" ca="1" si="864"/>
        <v>#VALUE!</v>
      </c>
      <c r="Y1662" t="e">
        <f t="shared" ca="1" si="865"/>
        <v>#VALUE!</v>
      </c>
      <c r="Z1662" t="e">
        <f t="shared" ca="1" si="866"/>
        <v>#VALUE!</v>
      </c>
      <c r="AA1662" t="e">
        <f t="shared" ca="1" si="867"/>
        <v>#VALUE!</v>
      </c>
      <c r="AB1662" t="e">
        <f t="shared" ca="1" si="868"/>
        <v>#VALUE!</v>
      </c>
      <c r="AC1662" t="e">
        <f t="shared" ca="1" si="869"/>
        <v>#VALUE!</v>
      </c>
      <c r="AD1662" t="e">
        <f t="shared" ca="1" si="870"/>
        <v>#VALUE!</v>
      </c>
      <c r="AE1662" t="e">
        <f t="shared" ca="1" si="871"/>
        <v>#VALUE!</v>
      </c>
      <c r="AF1662" t="e">
        <f t="shared" ca="1" si="872"/>
        <v>#VALUE!</v>
      </c>
      <c r="AG1662" t="e">
        <f t="shared" ca="1" si="873"/>
        <v>#VALUE!</v>
      </c>
      <c r="AH1662" t="e">
        <f ca="1">IF(V36="Supercritical",L1662,IF(V36="Subcritical",W1662,IF(AND(V1662=1,AG1662=1),IF(T1662&gt;=AE1662,L1662,W1662),IF(V1662=1,L1662,IF(AG1662=1,W1662,MAX($D$16,POWER((ABS(K1662)^2)/($I$5*MAX(F1662,0.1)^2),1/3)))))))</f>
        <v>#VALUE!</v>
      </c>
      <c r="AI1662" t="e">
        <f t="shared" ca="1" si="874"/>
        <v>#VALUE!</v>
      </c>
      <c r="AJ1662" t="e">
        <f t="shared" ca="1" si="875"/>
        <v>#VALUE!</v>
      </c>
      <c r="AM1662">
        <v>0</v>
      </c>
      <c r="AN1662">
        <v>0</v>
      </c>
      <c r="AO1662">
        <f t="shared" si="876"/>
        <v>0</v>
      </c>
      <c r="AP1662">
        <f t="shared" si="884"/>
        <v>0</v>
      </c>
      <c r="AQ1662" t="e">
        <f t="shared" ca="1" si="877"/>
        <v>#VALUE!</v>
      </c>
      <c r="AR1662" t="e">
        <f t="shared" ca="1" si="878"/>
        <v>#VALUE!</v>
      </c>
      <c r="AS1662" t="e">
        <f t="shared" ca="1" si="879"/>
        <v>#VALUE!</v>
      </c>
    </row>
    <row r="1663" spans="1:45" x14ac:dyDescent="0.35">
      <c r="A1663">
        <v>16</v>
      </c>
      <c r="B1663">
        <v>14.987</v>
      </c>
      <c r="C1663">
        <v>616076.29599999997</v>
      </c>
      <c r="D1663">
        <v>3096600.8769999999</v>
      </c>
      <c r="E1663">
        <v>631.5</v>
      </c>
      <c r="F1663">
        <v>5.37</v>
      </c>
      <c r="G1663">
        <v>0</v>
      </c>
      <c r="H1663" t="s">
        <v>191</v>
      </c>
      <c r="I1663">
        <v>2E-3</v>
      </c>
      <c r="J1663">
        <f t="shared" si="880"/>
        <v>1.0009999999999994</v>
      </c>
      <c r="K1663" t="e">
        <f t="shared" ca="1" si="885"/>
        <v>#VALUE!</v>
      </c>
      <c r="L1663" t="e">
        <f t="shared" ca="1" si="881"/>
        <v>#VALUE!</v>
      </c>
      <c r="M1663" t="e">
        <f t="shared" ca="1" si="855"/>
        <v>#VALUE!</v>
      </c>
      <c r="N1663" t="e">
        <f t="shared" ca="1" si="856"/>
        <v>#VALUE!</v>
      </c>
      <c r="O1663" t="e">
        <f t="shared" ca="1" si="857"/>
        <v>#VALUE!</v>
      </c>
      <c r="P1663" t="e">
        <f t="shared" ca="1" si="858"/>
        <v>#VALUE!</v>
      </c>
      <c r="Q1663" t="e">
        <f t="shared" ca="1" si="859"/>
        <v>#VALUE!</v>
      </c>
      <c r="R1663" t="e">
        <f t="shared" ca="1" si="860"/>
        <v>#VALUE!</v>
      </c>
      <c r="S1663" t="e">
        <f t="shared" ca="1" si="861"/>
        <v>#VALUE!</v>
      </c>
      <c r="T1663" t="e">
        <f t="shared" ca="1" si="862"/>
        <v>#VALUE!</v>
      </c>
      <c r="U1663" t="e">
        <f t="shared" ca="1" si="882"/>
        <v>#VALUE!</v>
      </c>
      <c r="V1663" t="e">
        <f t="shared" ca="1" si="883"/>
        <v>#VALUE!</v>
      </c>
      <c r="W1663" t="e">
        <f t="shared" ca="1" si="863"/>
        <v>#VALUE!</v>
      </c>
      <c r="X1663" t="e">
        <f t="shared" ca="1" si="864"/>
        <v>#VALUE!</v>
      </c>
      <c r="Y1663" t="e">
        <f t="shared" ca="1" si="865"/>
        <v>#VALUE!</v>
      </c>
      <c r="Z1663" t="e">
        <f t="shared" ca="1" si="866"/>
        <v>#VALUE!</v>
      </c>
      <c r="AA1663" t="e">
        <f t="shared" ca="1" si="867"/>
        <v>#VALUE!</v>
      </c>
      <c r="AB1663" t="e">
        <f t="shared" ca="1" si="868"/>
        <v>#VALUE!</v>
      </c>
      <c r="AC1663" t="e">
        <f t="shared" ca="1" si="869"/>
        <v>#VALUE!</v>
      </c>
      <c r="AD1663" t="e">
        <f t="shared" ca="1" si="870"/>
        <v>#VALUE!</v>
      </c>
      <c r="AE1663" t="e">
        <f t="shared" ca="1" si="871"/>
        <v>#VALUE!</v>
      </c>
      <c r="AF1663" t="e">
        <f t="shared" ca="1" si="872"/>
        <v>#VALUE!</v>
      </c>
      <c r="AG1663" t="e">
        <f t="shared" ca="1" si="873"/>
        <v>#VALUE!</v>
      </c>
      <c r="AH1663" t="e">
        <f ca="1">IF(V36="Supercritical",L1663,IF(V36="Subcritical",W1663,IF(AND(V1663=1,AG1663=1),IF(T1663&gt;=AE1663,L1663,W1663),IF(V1663=1,L1663,IF(AG1663=1,W1663,MAX($D$16,POWER((ABS(K1663)^2)/($I$5*MAX(F1663,0.1)^2),1/3)))))))</f>
        <v>#VALUE!</v>
      </c>
      <c r="AI1663" t="e">
        <f t="shared" ca="1" si="874"/>
        <v>#VALUE!</v>
      </c>
      <c r="AJ1663" t="e">
        <f t="shared" ca="1" si="875"/>
        <v>#VALUE!</v>
      </c>
      <c r="AM1663">
        <v>0</v>
      </c>
      <c r="AN1663">
        <v>0</v>
      </c>
      <c r="AO1663">
        <f t="shared" si="876"/>
        <v>0</v>
      </c>
      <c r="AP1663">
        <f t="shared" si="884"/>
        <v>0</v>
      </c>
      <c r="AQ1663" t="e">
        <f t="shared" ca="1" si="877"/>
        <v>#VALUE!</v>
      </c>
      <c r="AR1663" t="e">
        <f t="shared" ca="1" si="878"/>
        <v>#VALUE!</v>
      </c>
      <c r="AS1663" t="e">
        <f t="shared" ca="1" si="879"/>
        <v>#VALUE!</v>
      </c>
    </row>
    <row r="1664" spans="1:45" x14ac:dyDescent="0.35">
      <c r="A1664">
        <v>17</v>
      </c>
      <c r="B1664">
        <v>15.987</v>
      </c>
      <c r="C1664">
        <v>616076.33400000003</v>
      </c>
      <c r="D1664">
        <v>3096599.878</v>
      </c>
      <c r="E1664">
        <v>631.5</v>
      </c>
      <c r="F1664">
        <v>5.48</v>
      </c>
      <c r="G1664">
        <v>0</v>
      </c>
      <c r="H1664" t="s">
        <v>191</v>
      </c>
      <c r="I1664">
        <v>5.7000000000000002E-2</v>
      </c>
      <c r="J1664">
        <f t="shared" si="880"/>
        <v>1</v>
      </c>
      <c r="K1664" t="e">
        <f t="shared" ca="1" si="885"/>
        <v>#VALUE!</v>
      </c>
      <c r="L1664" t="e">
        <f t="shared" ca="1" si="881"/>
        <v>#VALUE!</v>
      </c>
      <c r="M1664" t="e">
        <f t="shared" ca="1" si="855"/>
        <v>#VALUE!</v>
      </c>
      <c r="N1664" t="e">
        <f t="shared" ca="1" si="856"/>
        <v>#VALUE!</v>
      </c>
      <c r="O1664" t="e">
        <f t="shared" ca="1" si="857"/>
        <v>#VALUE!</v>
      </c>
      <c r="P1664" t="e">
        <f t="shared" ca="1" si="858"/>
        <v>#VALUE!</v>
      </c>
      <c r="Q1664" t="e">
        <f t="shared" ca="1" si="859"/>
        <v>#VALUE!</v>
      </c>
      <c r="R1664" t="e">
        <f t="shared" ca="1" si="860"/>
        <v>#VALUE!</v>
      </c>
      <c r="S1664" t="e">
        <f t="shared" ca="1" si="861"/>
        <v>#VALUE!</v>
      </c>
      <c r="T1664" t="e">
        <f t="shared" ca="1" si="862"/>
        <v>#VALUE!</v>
      </c>
      <c r="U1664" t="e">
        <f t="shared" ca="1" si="882"/>
        <v>#VALUE!</v>
      </c>
      <c r="V1664" t="e">
        <f t="shared" ca="1" si="883"/>
        <v>#VALUE!</v>
      </c>
      <c r="W1664" t="e">
        <f t="shared" ca="1" si="863"/>
        <v>#VALUE!</v>
      </c>
      <c r="X1664" t="e">
        <f t="shared" ca="1" si="864"/>
        <v>#VALUE!</v>
      </c>
      <c r="Y1664" t="e">
        <f t="shared" ca="1" si="865"/>
        <v>#VALUE!</v>
      </c>
      <c r="Z1664" t="e">
        <f t="shared" ca="1" si="866"/>
        <v>#VALUE!</v>
      </c>
      <c r="AA1664" t="e">
        <f t="shared" ca="1" si="867"/>
        <v>#VALUE!</v>
      </c>
      <c r="AB1664" t="e">
        <f t="shared" ca="1" si="868"/>
        <v>#VALUE!</v>
      </c>
      <c r="AC1664" t="e">
        <f t="shared" ca="1" si="869"/>
        <v>#VALUE!</v>
      </c>
      <c r="AD1664" t="e">
        <f t="shared" ca="1" si="870"/>
        <v>#VALUE!</v>
      </c>
      <c r="AE1664" t="e">
        <f t="shared" ca="1" si="871"/>
        <v>#VALUE!</v>
      </c>
      <c r="AF1664" t="e">
        <f t="shared" ca="1" si="872"/>
        <v>#VALUE!</v>
      </c>
      <c r="AG1664" t="e">
        <f t="shared" ca="1" si="873"/>
        <v>#VALUE!</v>
      </c>
      <c r="AH1664" t="e">
        <f ca="1">IF(V36="Supercritical",L1664,IF(V36="Subcritical",W1664,IF(AND(V1664=1,AG1664=1),IF(T1664&gt;=AE1664,L1664,W1664),IF(V1664=1,L1664,IF(AG1664=1,W1664,MAX($D$16,POWER((ABS(K1664)^2)/($I$5*MAX(F1664,0.1)^2),1/3)))))))</f>
        <v>#VALUE!</v>
      </c>
      <c r="AI1664" t="e">
        <f t="shared" ca="1" si="874"/>
        <v>#VALUE!</v>
      </c>
      <c r="AJ1664" t="e">
        <f t="shared" ca="1" si="875"/>
        <v>#VALUE!</v>
      </c>
      <c r="AM1664">
        <v>0</v>
      </c>
      <c r="AN1664">
        <v>0</v>
      </c>
      <c r="AO1664">
        <f t="shared" si="876"/>
        <v>0</v>
      </c>
      <c r="AP1664">
        <f t="shared" si="884"/>
        <v>0</v>
      </c>
      <c r="AQ1664" t="e">
        <f t="shared" ca="1" si="877"/>
        <v>#VALUE!</v>
      </c>
      <c r="AR1664" t="e">
        <f t="shared" ca="1" si="878"/>
        <v>#VALUE!</v>
      </c>
      <c r="AS1664" t="e">
        <f t="shared" ca="1" si="879"/>
        <v>#VALUE!</v>
      </c>
    </row>
    <row r="1665" spans="1:45" x14ac:dyDescent="0.35">
      <c r="A1665">
        <v>18</v>
      </c>
      <c r="B1665">
        <v>16.986000000000001</v>
      </c>
      <c r="C1665">
        <v>616076.37100000004</v>
      </c>
      <c r="D1665">
        <v>3096598.8790000002</v>
      </c>
      <c r="E1665">
        <v>631.5</v>
      </c>
      <c r="F1665">
        <v>5.5890000000000004</v>
      </c>
      <c r="G1665">
        <v>0</v>
      </c>
      <c r="H1665" t="s">
        <v>191</v>
      </c>
      <c r="I1665">
        <v>5.7000000000000002E-2</v>
      </c>
      <c r="J1665">
        <f t="shared" si="880"/>
        <v>0.99900000000000055</v>
      </c>
      <c r="K1665" t="e">
        <f t="shared" ca="1" si="885"/>
        <v>#VALUE!</v>
      </c>
      <c r="L1665" t="e">
        <f t="shared" ca="1" si="881"/>
        <v>#VALUE!</v>
      </c>
      <c r="M1665" t="e">
        <f t="shared" ca="1" si="855"/>
        <v>#VALUE!</v>
      </c>
      <c r="N1665" t="e">
        <f t="shared" ca="1" si="856"/>
        <v>#VALUE!</v>
      </c>
      <c r="O1665" t="e">
        <f t="shared" ca="1" si="857"/>
        <v>#VALUE!</v>
      </c>
      <c r="P1665" t="e">
        <f t="shared" ca="1" si="858"/>
        <v>#VALUE!</v>
      </c>
      <c r="Q1665" t="e">
        <f t="shared" ca="1" si="859"/>
        <v>#VALUE!</v>
      </c>
      <c r="R1665" t="e">
        <f t="shared" ca="1" si="860"/>
        <v>#VALUE!</v>
      </c>
      <c r="S1665" t="e">
        <f t="shared" ca="1" si="861"/>
        <v>#VALUE!</v>
      </c>
      <c r="T1665" t="e">
        <f t="shared" ca="1" si="862"/>
        <v>#VALUE!</v>
      </c>
      <c r="U1665" t="e">
        <f t="shared" ca="1" si="882"/>
        <v>#VALUE!</v>
      </c>
      <c r="V1665" t="e">
        <f t="shared" ca="1" si="883"/>
        <v>#VALUE!</v>
      </c>
      <c r="W1665" t="e">
        <f t="shared" ca="1" si="863"/>
        <v>#VALUE!</v>
      </c>
      <c r="X1665" t="e">
        <f t="shared" ca="1" si="864"/>
        <v>#VALUE!</v>
      </c>
      <c r="Y1665" t="e">
        <f t="shared" ca="1" si="865"/>
        <v>#VALUE!</v>
      </c>
      <c r="Z1665" t="e">
        <f t="shared" ca="1" si="866"/>
        <v>#VALUE!</v>
      </c>
      <c r="AA1665" t="e">
        <f t="shared" ca="1" si="867"/>
        <v>#VALUE!</v>
      </c>
      <c r="AB1665" t="e">
        <f t="shared" ca="1" si="868"/>
        <v>#VALUE!</v>
      </c>
      <c r="AC1665" t="e">
        <f t="shared" ca="1" si="869"/>
        <v>#VALUE!</v>
      </c>
      <c r="AD1665" t="e">
        <f t="shared" ca="1" si="870"/>
        <v>#VALUE!</v>
      </c>
      <c r="AE1665" t="e">
        <f t="shared" ca="1" si="871"/>
        <v>#VALUE!</v>
      </c>
      <c r="AF1665" t="e">
        <f t="shared" ca="1" si="872"/>
        <v>#VALUE!</v>
      </c>
      <c r="AG1665" t="e">
        <f t="shared" ca="1" si="873"/>
        <v>#VALUE!</v>
      </c>
      <c r="AH1665" t="e">
        <f ca="1">IF(V36="Supercritical",L1665,IF(V36="Subcritical",W1665,IF(AND(V1665=1,AG1665=1),IF(T1665&gt;=AE1665,L1665,W1665),IF(V1665=1,L1665,IF(AG1665=1,W1665,MAX($D$16,POWER((ABS(K1665)^2)/($I$5*MAX(F1665,0.1)^2),1/3)))))))</f>
        <v>#VALUE!</v>
      </c>
      <c r="AI1665" t="e">
        <f t="shared" ca="1" si="874"/>
        <v>#VALUE!</v>
      </c>
      <c r="AJ1665" t="e">
        <f t="shared" ca="1" si="875"/>
        <v>#VALUE!</v>
      </c>
      <c r="AM1665">
        <v>0</v>
      </c>
      <c r="AN1665">
        <v>0</v>
      </c>
      <c r="AO1665">
        <f t="shared" si="876"/>
        <v>0</v>
      </c>
      <c r="AP1665">
        <f t="shared" si="884"/>
        <v>0</v>
      </c>
      <c r="AQ1665" t="e">
        <f t="shared" ca="1" si="877"/>
        <v>#VALUE!</v>
      </c>
      <c r="AR1665" t="e">
        <f t="shared" ca="1" si="878"/>
        <v>#VALUE!</v>
      </c>
      <c r="AS1665" t="e">
        <f t="shared" ca="1" si="879"/>
        <v>#VALUE!</v>
      </c>
    </row>
    <row r="1666" spans="1:45" x14ac:dyDescent="0.35">
      <c r="A1666">
        <v>19</v>
      </c>
      <c r="B1666">
        <v>17.986000000000001</v>
      </c>
      <c r="C1666">
        <v>616076.40899999999</v>
      </c>
      <c r="D1666">
        <v>3096597.88</v>
      </c>
      <c r="E1666">
        <v>631.5</v>
      </c>
      <c r="F1666">
        <v>5.6980000000000004</v>
      </c>
      <c r="G1666">
        <v>0</v>
      </c>
      <c r="H1666" t="s">
        <v>191</v>
      </c>
      <c r="I1666">
        <v>2E-3</v>
      </c>
      <c r="J1666">
        <f t="shared" si="880"/>
        <v>1</v>
      </c>
      <c r="K1666" t="e">
        <f t="shared" ca="1" si="885"/>
        <v>#VALUE!</v>
      </c>
      <c r="L1666" t="e">
        <f t="shared" ca="1" si="881"/>
        <v>#VALUE!</v>
      </c>
      <c r="M1666" t="e">
        <f t="shared" ca="1" si="855"/>
        <v>#VALUE!</v>
      </c>
      <c r="N1666" t="e">
        <f t="shared" ca="1" si="856"/>
        <v>#VALUE!</v>
      </c>
      <c r="O1666" t="e">
        <f t="shared" ca="1" si="857"/>
        <v>#VALUE!</v>
      </c>
      <c r="P1666" t="e">
        <f t="shared" ca="1" si="858"/>
        <v>#VALUE!</v>
      </c>
      <c r="Q1666" t="e">
        <f t="shared" ca="1" si="859"/>
        <v>#VALUE!</v>
      </c>
      <c r="R1666" t="e">
        <f t="shared" ca="1" si="860"/>
        <v>#VALUE!</v>
      </c>
      <c r="S1666" t="e">
        <f t="shared" ca="1" si="861"/>
        <v>#VALUE!</v>
      </c>
      <c r="T1666" t="e">
        <f t="shared" ca="1" si="862"/>
        <v>#VALUE!</v>
      </c>
      <c r="U1666" t="e">
        <f t="shared" ca="1" si="882"/>
        <v>#VALUE!</v>
      </c>
      <c r="V1666" t="e">
        <f t="shared" ca="1" si="883"/>
        <v>#VALUE!</v>
      </c>
      <c r="W1666" t="e">
        <f t="shared" ca="1" si="863"/>
        <v>#VALUE!</v>
      </c>
      <c r="X1666" t="e">
        <f t="shared" ca="1" si="864"/>
        <v>#VALUE!</v>
      </c>
      <c r="Y1666" t="e">
        <f t="shared" ca="1" si="865"/>
        <v>#VALUE!</v>
      </c>
      <c r="Z1666" t="e">
        <f t="shared" ca="1" si="866"/>
        <v>#VALUE!</v>
      </c>
      <c r="AA1666" t="e">
        <f t="shared" ca="1" si="867"/>
        <v>#VALUE!</v>
      </c>
      <c r="AB1666" t="e">
        <f t="shared" ca="1" si="868"/>
        <v>#VALUE!</v>
      </c>
      <c r="AC1666" t="e">
        <f t="shared" ca="1" si="869"/>
        <v>#VALUE!</v>
      </c>
      <c r="AD1666" t="e">
        <f t="shared" ca="1" si="870"/>
        <v>#VALUE!</v>
      </c>
      <c r="AE1666" t="e">
        <f t="shared" ca="1" si="871"/>
        <v>#VALUE!</v>
      </c>
      <c r="AF1666" t="e">
        <f t="shared" ca="1" si="872"/>
        <v>#VALUE!</v>
      </c>
      <c r="AG1666" t="e">
        <f t="shared" ca="1" si="873"/>
        <v>#VALUE!</v>
      </c>
      <c r="AH1666" t="e">
        <f ca="1">IF(V36="Supercritical",L1666,IF(V36="Subcritical",W1666,IF(AND(V1666=1,AG1666=1),IF(T1666&gt;=AE1666,L1666,W1666),IF(V1666=1,L1666,IF(AG1666=1,W1666,MAX($D$16,POWER((ABS(K1666)^2)/($I$5*MAX(F1666,0.1)^2),1/3)))))))</f>
        <v>#VALUE!</v>
      </c>
      <c r="AI1666" t="e">
        <f t="shared" ca="1" si="874"/>
        <v>#VALUE!</v>
      </c>
      <c r="AJ1666" t="e">
        <f t="shared" ca="1" si="875"/>
        <v>#VALUE!</v>
      </c>
      <c r="AM1666">
        <v>0</v>
      </c>
      <c r="AN1666">
        <v>0</v>
      </c>
      <c r="AO1666">
        <f t="shared" si="876"/>
        <v>0</v>
      </c>
      <c r="AP1666">
        <f t="shared" si="884"/>
        <v>0</v>
      </c>
      <c r="AQ1666" t="e">
        <f t="shared" ca="1" si="877"/>
        <v>#VALUE!</v>
      </c>
      <c r="AR1666" t="e">
        <f t="shared" ca="1" si="878"/>
        <v>#VALUE!</v>
      </c>
      <c r="AS1666" t="e">
        <f t="shared" ca="1" si="879"/>
        <v>#VALUE!</v>
      </c>
    </row>
    <row r="1667" spans="1:45" x14ac:dyDescent="0.35">
      <c r="A1667">
        <v>20</v>
      </c>
      <c r="B1667">
        <v>18.986999999999998</v>
      </c>
      <c r="C1667">
        <v>616076.44700000004</v>
      </c>
      <c r="D1667">
        <v>3096596.88</v>
      </c>
      <c r="E1667">
        <v>631.5</v>
      </c>
      <c r="F1667">
        <v>5.8070000000000004</v>
      </c>
      <c r="G1667">
        <v>0</v>
      </c>
      <c r="H1667" t="s">
        <v>191</v>
      </c>
      <c r="I1667">
        <v>5.5E-2</v>
      </c>
      <c r="J1667">
        <f t="shared" si="880"/>
        <v>1.0009999999999977</v>
      </c>
      <c r="K1667" t="e">
        <f t="shared" ca="1" si="885"/>
        <v>#VALUE!</v>
      </c>
      <c r="L1667" t="e">
        <f t="shared" ca="1" si="881"/>
        <v>#VALUE!</v>
      </c>
      <c r="M1667" t="e">
        <f t="shared" ca="1" si="855"/>
        <v>#VALUE!</v>
      </c>
      <c r="N1667" t="e">
        <f t="shared" ca="1" si="856"/>
        <v>#VALUE!</v>
      </c>
      <c r="O1667" t="e">
        <f t="shared" ca="1" si="857"/>
        <v>#VALUE!</v>
      </c>
      <c r="P1667" t="e">
        <f t="shared" ca="1" si="858"/>
        <v>#VALUE!</v>
      </c>
      <c r="Q1667" t="e">
        <f t="shared" ca="1" si="859"/>
        <v>#VALUE!</v>
      </c>
      <c r="R1667" t="e">
        <f t="shared" ca="1" si="860"/>
        <v>#VALUE!</v>
      </c>
      <c r="S1667" t="e">
        <f t="shared" ca="1" si="861"/>
        <v>#VALUE!</v>
      </c>
      <c r="T1667" t="e">
        <f t="shared" ca="1" si="862"/>
        <v>#VALUE!</v>
      </c>
      <c r="U1667" t="e">
        <f t="shared" ca="1" si="882"/>
        <v>#VALUE!</v>
      </c>
      <c r="V1667" t="e">
        <f t="shared" ca="1" si="883"/>
        <v>#VALUE!</v>
      </c>
      <c r="W1667" t="e">
        <f t="shared" ca="1" si="863"/>
        <v>#VALUE!</v>
      </c>
      <c r="X1667" t="e">
        <f t="shared" ca="1" si="864"/>
        <v>#VALUE!</v>
      </c>
      <c r="Y1667" t="e">
        <f t="shared" ca="1" si="865"/>
        <v>#VALUE!</v>
      </c>
      <c r="Z1667" t="e">
        <f t="shared" ca="1" si="866"/>
        <v>#VALUE!</v>
      </c>
      <c r="AA1667" t="e">
        <f t="shared" ca="1" si="867"/>
        <v>#VALUE!</v>
      </c>
      <c r="AB1667" t="e">
        <f t="shared" ca="1" si="868"/>
        <v>#VALUE!</v>
      </c>
      <c r="AC1667" t="e">
        <f t="shared" ca="1" si="869"/>
        <v>#VALUE!</v>
      </c>
      <c r="AD1667" t="e">
        <f t="shared" ca="1" si="870"/>
        <v>#VALUE!</v>
      </c>
      <c r="AE1667" t="e">
        <f t="shared" ca="1" si="871"/>
        <v>#VALUE!</v>
      </c>
      <c r="AF1667" t="e">
        <f t="shared" ca="1" si="872"/>
        <v>#VALUE!</v>
      </c>
      <c r="AG1667" t="e">
        <f t="shared" ca="1" si="873"/>
        <v>#VALUE!</v>
      </c>
      <c r="AH1667" t="e">
        <f ca="1">IF(V36="Supercritical",L1667,IF(V36="Subcritical",W1667,IF(AND(V1667=1,AG1667=1),IF(T1667&gt;=AE1667,L1667,W1667),IF(V1667=1,L1667,IF(AG1667=1,W1667,MAX($D$16,POWER((ABS(K1667)^2)/($I$5*MAX(F1667,0.1)^2),1/3)))))))</f>
        <v>#VALUE!</v>
      </c>
      <c r="AI1667" t="e">
        <f t="shared" ca="1" si="874"/>
        <v>#VALUE!</v>
      </c>
      <c r="AJ1667" t="e">
        <f t="shared" ca="1" si="875"/>
        <v>#VALUE!</v>
      </c>
      <c r="AM1667">
        <v>0</v>
      </c>
      <c r="AN1667">
        <v>0</v>
      </c>
      <c r="AO1667">
        <f t="shared" si="876"/>
        <v>0</v>
      </c>
      <c r="AP1667">
        <f t="shared" si="884"/>
        <v>0</v>
      </c>
      <c r="AQ1667" t="e">
        <f t="shared" ca="1" si="877"/>
        <v>#VALUE!</v>
      </c>
      <c r="AR1667" t="e">
        <f t="shared" ca="1" si="878"/>
        <v>#VALUE!</v>
      </c>
      <c r="AS1667" t="e">
        <f t="shared" ca="1" si="879"/>
        <v>#VALUE!</v>
      </c>
    </row>
    <row r="1668" spans="1:45" x14ac:dyDescent="0.35">
      <c r="A1668">
        <v>21</v>
      </c>
      <c r="B1668">
        <v>19.986000000000001</v>
      </c>
      <c r="C1668">
        <v>616076.48400000005</v>
      </c>
      <c r="D1668">
        <v>3096595.8810000001</v>
      </c>
      <c r="E1668">
        <v>631.5</v>
      </c>
      <c r="F1668">
        <v>5.9160000000000004</v>
      </c>
      <c r="G1668">
        <v>0</v>
      </c>
      <c r="H1668" t="s">
        <v>191</v>
      </c>
      <c r="I1668">
        <v>9.3789999999999996</v>
      </c>
      <c r="J1668">
        <f t="shared" si="880"/>
        <v>0.99900000000000233</v>
      </c>
      <c r="K1668" t="e">
        <f t="shared" ca="1" si="885"/>
        <v>#VALUE!</v>
      </c>
      <c r="L1668" t="e">
        <f t="shared" ca="1" si="881"/>
        <v>#VALUE!</v>
      </c>
      <c r="M1668" t="e">
        <f t="shared" ca="1" si="855"/>
        <v>#VALUE!</v>
      </c>
      <c r="N1668" t="e">
        <f t="shared" ca="1" si="856"/>
        <v>#VALUE!</v>
      </c>
      <c r="O1668" t="e">
        <f t="shared" ca="1" si="857"/>
        <v>#VALUE!</v>
      </c>
      <c r="P1668" t="e">
        <f t="shared" ca="1" si="858"/>
        <v>#VALUE!</v>
      </c>
      <c r="Q1668" t="e">
        <f t="shared" ca="1" si="859"/>
        <v>#VALUE!</v>
      </c>
      <c r="R1668" t="e">
        <f t="shared" ca="1" si="860"/>
        <v>#VALUE!</v>
      </c>
      <c r="S1668" t="e">
        <f t="shared" ca="1" si="861"/>
        <v>#VALUE!</v>
      </c>
      <c r="T1668" t="e">
        <f t="shared" ca="1" si="862"/>
        <v>#VALUE!</v>
      </c>
      <c r="U1668" t="e">
        <f t="shared" ca="1" si="882"/>
        <v>#VALUE!</v>
      </c>
      <c r="V1668" t="e">
        <f t="shared" ca="1" si="883"/>
        <v>#VALUE!</v>
      </c>
      <c r="W1668" t="e">
        <f t="shared" ca="1" si="863"/>
        <v>#VALUE!</v>
      </c>
      <c r="X1668" t="e">
        <f t="shared" ca="1" si="864"/>
        <v>#VALUE!</v>
      </c>
      <c r="Y1668" t="e">
        <f t="shared" ca="1" si="865"/>
        <v>#VALUE!</v>
      </c>
      <c r="Z1668" t="e">
        <f t="shared" ca="1" si="866"/>
        <v>#VALUE!</v>
      </c>
      <c r="AA1668" t="e">
        <f t="shared" ca="1" si="867"/>
        <v>#VALUE!</v>
      </c>
      <c r="AB1668" t="e">
        <f t="shared" ca="1" si="868"/>
        <v>#VALUE!</v>
      </c>
      <c r="AC1668" t="e">
        <f t="shared" ca="1" si="869"/>
        <v>#VALUE!</v>
      </c>
      <c r="AD1668" t="e">
        <f t="shared" ca="1" si="870"/>
        <v>#VALUE!</v>
      </c>
      <c r="AE1668" t="e">
        <f t="shared" ca="1" si="871"/>
        <v>#VALUE!</v>
      </c>
      <c r="AF1668" t="e">
        <f t="shared" ca="1" si="872"/>
        <v>#VALUE!</v>
      </c>
      <c r="AG1668" t="e">
        <f t="shared" ca="1" si="873"/>
        <v>#VALUE!</v>
      </c>
      <c r="AH1668" t="e">
        <f ca="1">IF(V36="Supercritical",L1668,IF(V36="Subcritical",W1668,IF(AND(V1668=1,AG1668=1),IF(T1668&gt;=AE1668,L1668,W1668),IF(V1668=1,L1668,IF(AG1668=1,W1668,MAX($D$16,POWER((ABS(K1668)^2)/($I$5*MAX(F1668,0.1)^2),1/3)))))))</f>
        <v>#VALUE!</v>
      </c>
      <c r="AI1668" t="e">
        <f t="shared" ca="1" si="874"/>
        <v>#VALUE!</v>
      </c>
      <c r="AJ1668" t="e">
        <f t="shared" ca="1" si="875"/>
        <v>#VALUE!</v>
      </c>
      <c r="AM1668">
        <v>0</v>
      </c>
      <c r="AN1668">
        <v>0</v>
      </c>
      <c r="AO1668">
        <f t="shared" si="876"/>
        <v>0</v>
      </c>
      <c r="AP1668">
        <f t="shared" si="884"/>
        <v>0</v>
      </c>
      <c r="AQ1668" t="e">
        <f t="shared" ca="1" si="877"/>
        <v>#VALUE!</v>
      </c>
      <c r="AR1668" t="e">
        <f t="shared" ca="1" si="878"/>
        <v>#VALUE!</v>
      </c>
      <c r="AS1668" t="e">
        <f t="shared" ca="1" si="879"/>
        <v>#VALUE!</v>
      </c>
    </row>
    <row r="1669" spans="1:45" x14ac:dyDescent="0.35">
      <c r="A1669">
        <v>22</v>
      </c>
      <c r="B1669">
        <v>20.952000000000002</v>
      </c>
      <c r="C1669">
        <v>616076.36199999996</v>
      </c>
      <c r="D1669">
        <v>3096594.923</v>
      </c>
      <c r="E1669">
        <v>631.5</v>
      </c>
      <c r="F1669">
        <v>5.9080000000000004</v>
      </c>
      <c r="G1669">
        <v>0</v>
      </c>
      <c r="H1669" t="s">
        <v>191</v>
      </c>
      <c r="I1669">
        <v>24.236999999999998</v>
      </c>
      <c r="J1669">
        <f t="shared" si="880"/>
        <v>0.96600000000000108</v>
      </c>
      <c r="K1669" t="e">
        <f t="shared" ca="1" si="885"/>
        <v>#VALUE!</v>
      </c>
      <c r="L1669" t="e">
        <f t="shared" ca="1" si="881"/>
        <v>#VALUE!</v>
      </c>
      <c r="M1669" t="e">
        <f t="shared" ca="1" si="855"/>
        <v>#VALUE!</v>
      </c>
      <c r="N1669" t="e">
        <f t="shared" ca="1" si="856"/>
        <v>#VALUE!</v>
      </c>
      <c r="O1669" t="e">
        <f t="shared" ca="1" si="857"/>
        <v>#VALUE!</v>
      </c>
      <c r="P1669" t="e">
        <f t="shared" ca="1" si="858"/>
        <v>#VALUE!</v>
      </c>
      <c r="Q1669" t="e">
        <f t="shared" ca="1" si="859"/>
        <v>#VALUE!</v>
      </c>
      <c r="R1669" t="e">
        <f t="shared" ca="1" si="860"/>
        <v>#VALUE!</v>
      </c>
      <c r="S1669" t="e">
        <f t="shared" ca="1" si="861"/>
        <v>#VALUE!</v>
      </c>
      <c r="T1669" t="e">
        <f t="shared" ca="1" si="862"/>
        <v>#VALUE!</v>
      </c>
      <c r="U1669" t="e">
        <f t="shared" ca="1" si="882"/>
        <v>#VALUE!</v>
      </c>
      <c r="V1669" t="e">
        <f t="shared" ca="1" si="883"/>
        <v>#VALUE!</v>
      </c>
      <c r="W1669" t="e">
        <f t="shared" ca="1" si="863"/>
        <v>#VALUE!</v>
      </c>
      <c r="X1669" t="e">
        <f t="shared" ca="1" si="864"/>
        <v>#VALUE!</v>
      </c>
      <c r="Y1669" t="e">
        <f t="shared" ca="1" si="865"/>
        <v>#VALUE!</v>
      </c>
      <c r="Z1669" t="e">
        <f t="shared" ca="1" si="866"/>
        <v>#VALUE!</v>
      </c>
      <c r="AA1669" t="e">
        <f t="shared" ca="1" si="867"/>
        <v>#VALUE!</v>
      </c>
      <c r="AB1669" t="e">
        <f t="shared" ca="1" si="868"/>
        <v>#VALUE!</v>
      </c>
      <c r="AC1669" t="e">
        <f t="shared" ca="1" si="869"/>
        <v>#VALUE!</v>
      </c>
      <c r="AD1669" t="e">
        <f t="shared" ca="1" si="870"/>
        <v>#VALUE!</v>
      </c>
      <c r="AE1669" t="e">
        <f t="shared" ca="1" si="871"/>
        <v>#VALUE!</v>
      </c>
      <c r="AF1669" t="e">
        <f t="shared" ca="1" si="872"/>
        <v>#VALUE!</v>
      </c>
      <c r="AG1669" t="e">
        <f t="shared" ca="1" si="873"/>
        <v>#VALUE!</v>
      </c>
      <c r="AH1669" t="e">
        <f ca="1">IF(V36="Supercritical",L1669,IF(V36="Subcritical",W1669,IF(AND(V1669=1,AG1669=1),IF(T1669&gt;=AE1669,L1669,W1669),IF(V1669=1,L1669,IF(AG1669=1,W1669,MAX($D$16,POWER((ABS(K1669)^2)/($I$5*MAX(F1669,0.1)^2),1/3)))))))</f>
        <v>#VALUE!</v>
      </c>
      <c r="AI1669" t="e">
        <f t="shared" ca="1" si="874"/>
        <v>#VALUE!</v>
      </c>
      <c r="AJ1669" t="e">
        <f t="shared" ca="1" si="875"/>
        <v>#VALUE!</v>
      </c>
      <c r="AM1669">
        <v>0</v>
      </c>
      <c r="AN1669">
        <v>0</v>
      </c>
      <c r="AO1669">
        <f t="shared" si="876"/>
        <v>0</v>
      </c>
      <c r="AP1669">
        <f t="shared" si="884"/>
        <v>0</v>
      </c>
      <c r="AQ1669" t="e">
        <f t="shared" ca="1" si="877"/>
        <v>#VALUE!</v>
      </c>
      <c r="AR1669" t="e">
        <f t="shared" ca="1" si="878"/>
        <v>#VALUE!</v>
      </c>
      <c r="AS1669" t="e">
        <f t="shared" ca="1" si="879"/>
        <v>#VALUE!</v>
      </c>
    </row>
    <row r="1670" spans="1:45" x14ac:dyDescent="0.35">
      <c r="A1670">
        <v>23</v>
      </c>
      <c r="B1670">
        <v>21.951000000000001</v>
      </c>
      <c r="C1670">
        <v>616075.84</v>
      </c>
      <c r="D1670">
        <v>3096594.071</v>
      </c>
      <c r="E1670">
        <v>631.12</v>
      </c>
      <c r="F1670">
        <v>5.1589999999999998</v>
      </c>
      <c r="G1670">
        <v>0</v>
      </c>
      <c r="H1670" t="s">
        <v>191</v>
      </c>
      <c r="I1670">
        <v>1.9E-2</v>
      </c>
      <c r="J1670">
        <f t="shared" si="880"/>
        <v>0.99899999999999878</v>
      </c>
      <c r="K1670" t="e">
        <f t="shared" ca="1" si="885"/>
        <v>#VALUE!</v>
      </c>
      <c r="L1670" t="e">
        <f t="shared" ca="1" si="881"/>
        <v>#VALUE!</v>
      </c>
      <c r="M1670" t="e">
        <f t="shared" ca="1" si="855"/>
        <v>#VALUE!</v>
      </c>
      <c r="N1670" t="e">
        <f t="shared" ca="1" si="856"/>
        <v>#VALUE!</v>
      </c>
      <c r="O1670" t="e">
        <f t="shared" ca="1" si="857"/>
        <v>#VALUE!</v>
      </c>
      <c r="P1670" t="e">
        <f t="shared" ca="1" si="858"/>
        <v>#VALUE!</v>
      </c>
      <c r="Q1670" t="e">
        <f t="shared" ca="1" si="859"/>
        <v>#VALUE!</v>
      </c>
      <c r="R1670" t="e">
        <f t="shared" ca="1" si="860"/>
        <v>#VALUE!</v>
      </c>
      <c r="S1670" t="e">
        <f t="shared" ca="1" si="861"/>
        <v>#VALUE!</v>
      </c>
      <c r="T1670" t="e">
        <f t="shared" ca="1" si="862"/>
        <v>#VALUE!</v>
      </c>
      <c r="U1670" t="e">
        <f t="shared" ca="1" si="882"/>
        <v>#VALUE!</v>
      </c>
      <c r="V1670" t="e">
        <f t="shared" ca="1" si="883"/>
        <v>#VALUE!</v>
      </c>
      <c r="W1670" t="e">
        <f t="shared" ca="1" si="863"/>
        <v>#VALUE!</v>
      </c>
      <c r="X1670" t="e">
        <f t="shared" ca="1" si="864"/>
        <v>#VALUE!</v>
      </c>
      <c r="Y1670" t="e">
        <f t="shared" ca="1" si="865"/>
        <v>#VALUE!</v>
      </c>
      <c r="Z1670" t="e">
        <f t="shared" ca="1" si="866"/>
        <v>#VALUE!</v>
      </c>
      <c r="AA1670" t="e">
        <f t="shared" ca="1" si="867"/>
        <v>#VALUE!</v>
      </c>
      <c r="AB1670" t="e">
        <f t="shared" ca="1" si="868"/>
        <v>#VALUE!</v>
      </c>
      <c r="AC1670" t="e">
        <f t="shared" ca="1" si="869"/>
        <v>#VALUE!</v>
      </c>
      <c r="AD1670" t="e">
        <f t="shared" ca="1" si="870"/>
        <v>#VALUE!</v>
      </c>
      <c r="AE1670" t="e">
        <f t="shared" ca="1" si="871"/>
        <v>#VALUE!</v>
      </c>
      <c r="AF1670" t="e">
        <f t="shared" ca="1" si="872"/>
        <v>#VALUE!</v>
      </c>
      <c r="AG1670" t="e">
        <f t="shared" ca="1" si="873"/>
        <v>#VALUE!</v>
      </c>
      <c r="AH1670" t="e">
        <f ca="1">IF(V36="Supercritical",L1670,IF(V36="Subcritical",W1670,IF(AND(V1670=1,AG1670=1),IF(T1670&gt;=AE1670,L1670,W1670),IF(V1670=1,L1670,IF(AG1670=1,W1670,MAX($D$16,POWER((ABS(K1670)^2)/($I$5*MAX(F1670,0.1)^2),1/3)))))))</f>
        <v>#VALUE!</v>
      </c>
      <c r="AI1670" t="e">
        <f t="shared" ca="1" si="874"/>
        <v>#VALUE!</v>
      </c>
      <c r="AJ1670" t="e">
        <f t="shared" ca="1" si="875"/>
        <v>#VALUE!</v>
      </c>
      <c r="AM1670">
        <v>0</v>
      </c>
      <c r="AN1670">
        <v>0</v>
      </c>
      <c r="AO1670">
        <f t="shared" si="876"/>
        <v>0</v>
      </c>
      <c r="AP1670">
        <f t="shared" si="884"/>
        <v>0</v>
      </c>
      <c r="AQ1670" t="e">
        <f t="shared" ca="1" si="877"/>
        <v>#VALUE!</v>
      </c>
      <c r="AR1670" t="e">
        <f t="shared" ca="1" si="878"/>
        <v>#VALUE!</v>
      </c>
      <c r="AS1670" t="e">
        <f t="shared" ca="1" si="879"/>
        <v>#VALUE!</v>
      </c>
    </row>
    <row r="1671" spans="1:45" x14ac:dyDescent="0.35">
      <c r="A1671">
        <v>24</v>
      </c>
      <c r="B1671">
        <v>22.952000000000002</v>
      </c>
      <c r="C1671">
        <v>616075.31700000004</v>
      </c>
      <c r="D1671">
        <v>3096593.2179999999</v>
      </c>
      <c r="E1671">
        <v>630.74</v>
      </c>
      <c r="F1671">
        <v>4.8529999999999998</v>
      </c>
      <c r="G1671">
        <v>0</v>
      </c>
      <c r="H1671" t="s">
        <v>191</v>
      </c>
      <c r="I1671">
        <v>4.9000000000000002E-2</v>
      </c>
      <c r="J1671">
        <f t="shared" si="880"/>
        <v>1.0010000000000012</v>
      </c>
      <c r="K1671" t="e">
        <f t="shared" ca="1" si="885"/>
        <v>#VALUE!</v>
      </c>
      <c r="L1671" t="e">
        <f t="shared" ca="1" si="881"/>
        <v>#VALUE!</v>
      </c>
      <c r="M1671" t="e">
        <f t="shared" ca="1" si="855"/>
        <v>#VALUE!</v>
      </c>
      <c r="N1671" t="e">
        <f t="shared" ca="1" si="856"/>
        <v>#VALUE!</v>
      </c>
      <c r="O1671" t="e">
        <f t="shared" ca="1" si="857"/>
        <v>#VALUE!</v>
      </c>
      <c r="P1671" t="e">
        <f t="shared" ca="1" si="858"/>
        <v>#VALUE!</v>
      </c>
      <c r="Q1671" t="e">
        <f t="shared" ca="1" si="859"/>
        <v>#VALUE!</v>
      </c>
      <c r="R1671" t="e">
        <f t="shared" ca="1" si="860"/>
        <v>#VALUE!</v>
      </c>
      <c r="S1671" t="e">
        <f t="shared" ca="1" si="861"/>
        <v>#VALUE!</v>
      </c>
      <c r="T1671" t="e">
        <f t="shared" ca="1" si="862"/>
        <v>#VALUE!</v>
      </c>
      <c r="U1671" t="e">
        <f t="shared" ca="1" si="882"/>
        <v>#VALUE!</v>
      </c>
      <c r="V1671" t="e">
        <f t="shared" ca="1" si="883"/>
        <v>#VALUE!</v>
      </c>
      <c r="W1671" t="e">
        <f t="shared" ca="1" si="863"/>
        <v>#VALUE!</v>
      </c>
      <c r="X1671" t="e">
        <f t="shared" ca="1" si="864"/>
        <v>#VALUE!</v>
      </c>
      <c r="Y1671" t="e">
        <f t="shared" ca="1" si="865"/>
        <v>#VALUE!</v>
      </c>
      <c r="Z1671" t="e">
        <f t="shared" ca="1" si="866"/>
        <v>#VALUE!</v>
      </c>
      <c r="AA1671" t="e">
        <f t="shared" ca="1" si="867"/>
        <v>#VALUE!</v>
      </c>
      <c r="AB1671" t="e">
        <f t="shared" ca="1" si="868"/>
        <v>#VALUE!</v>
      </c>
      <c r="AC1671" t="e">
        <f t="shared" ca="1" si="869"/>
        <v>#VALUE!</v>
      </c>
      <c r="AD1671" t="e">
        <f t="shared" ca="1" si="870"/>
        <v>#VALUE!</v>
      </c>
      <c r="AE1671" t="e">
        <f t="shared" ca="1" si="871"/>
        <v>#VALUE!</v>
      </c>
      <c r="AF1671" t="e">
        <f t="shared" ca="1" si="872"/>
        <v>#VALUE!</v>
      </c>
      <c r="AG1671" t="e">
        <f t="shared" ca="1" si="873"/>
        <v>#VALUE!</v>
      </c>
      <c r="AH1671" t="e">
        <f ca="1">IF(V36="Supercritical",L1671,IF(V36="Subcritical",W1671,IF(AND(V1671=1,AG1671=1),IF(T1671&gt;=AE1671,L1671,W1671),IF(V1671=1,L1671,IF(AG1671=1,W1671,MAX($D$16,POWER((ABS(K1671)^2)/($I$5*MAX(F1671,0.1)^2),1/3)))))))</f>
        <v>#VALUE!</v>
      </c>
      <c r="AI1671" t="e">
        <f t="shared" ca="1" si="874"/>
        <v>#VALUE!</v>
      </c>
      <c r="AJ1671" t="e">
        <f t="shared" ca="1" si="875"/>
        <v>#VALUE!</v>
      </c>
      <c r="AM1671">
        <v>0</v>
      </c>
      <c r="AN1671">
        <v>0</v>
      </c>
      <c r="AO1671">
        <f t="shared" si="876"/>
        <v>0</v>
      </c>
      <c r="AP1671">
        <f t="shared" si="884"/>
        <v>0</v>
      </c>
      <c r="AQ1671" t="e">
        <f t="shared" ca="1" si="877"/>
        <v>#VALUE!</v>
      </c>
      <c r="AR1671" t="e">
        <f t="shared" ca="1" si="878"/>
        <v>#VALUE!</v>
      </c>
      <c r="AS1671" t="e">
        <f t="shared" ca="1" si="879"/>
        <v>#VALUE!</v>
      </c>
    </row>
    <row r="1672" spans="1:45" x14ac:dyDescent="0.35">
      <c r="A1672">
        <v>25</v>
      </c>
      <c r="B1672">
        <v>23.952000000000002</v>
      </c>
      <c r="C1672">
        <v>616074.79500000004</v>
      </c>
      <c r="D1672">
        <v>3096592.3650000002</v>
      </c>
      <c r="E1672">
        <v>630.36</v>
      </c>
      <c r="F1672">
        <v>4.6130000000000004</v>
      </c>
      <c r="G1672">
        <v>0</v>
      </c>
      <c r="H1672" t="s">
        <v>191</v>
      </c>
      <c r="I1672">
        <v>0.03</v>
      </c>
      <c r="J1672">
        <f t="shared" si="880"/>
        <v>1</v>
      </c>
      <c r="K1672" t="e">
        <f t="shared" ca="1" si="885"/>
        <v>#VALUE!</v>
      </c>
      <c r="L1672" t="e">
        <f t="shared" ca="1" si="881"/>
        <v>#VALUE!</v>
      </c>
      <c r="M1672" t="e">
        <f t="shared" ca="1" si="855"/>
        <v>#VALUE!</v>
      </c>
      <c r="N1672" t="e">
        <f t="shared" ca="1" si="856"/>
        <v>#VALUE!</v>
      </c>
      <c r="O1672" t="e">
        <f t="shared" ca="1" si="857"/>
        <v>#VALUE!</v>
      </c>
      <c r="P1672" t="e">
        <f t="shared" ca="1" si="858"/>
        <v>#VALUE!</v>
      </c>
      <c r="Q1672" t="e">
        <f t="shared" ca="1" si="859"/>
        <v>#VALUE!</v>
      </c>
      <c r="R1672" t="e">
        <f t="shared" ca="1" si="860"/>
        <v>#VALUE!</v>
      </c>
      <c r="S1672" t="e">
        <f t="shared" ca="1" si="861"/>
        <v>#VALUE!</v>
      </c>
      <c r="T1672" t="e">
        <f t="shared" ca="1" si="862"/>
        <v>#VALUE!</v>
      </c>
      <c r="U1672" t="e">
        <f t="shared" ca="1" si="882"/>
        <v>#VALUE!</v>
      </c>
      <c r="V1672" t="e">
        <f t="shared" ca="1" si="883"/>
        <v>#VALUE!</v>
      </c>
      <c r="W1672" t="e">
        <f t="shared" ca="1" si="863"/>
        <v>#VALUE!</v>
      </c>
      <c r="X1672" t="e">
        <f t="shared" ca="1" si="864"/>
        <v>#VALUE!</v>
      </c>
      <c r="Y1672" t="e">
        <f t="shared" ca="1" si="865"/>
        <v>#VALUE!</v>
      </c>
      <c r="Z1672" t="e">
        <f t="shared" ca="1" si="866"/>
        <v>#VALUE!</v>
      </c>
      <c r="AA1672" t="e">
        <f t="shared" ca="1" si="867"/>
        <v>#VALUE!</v>
      </c>
      <c r="AB1672" t="e">
        <f t="shared" ca="1" si="868"/>
        <v>#VALUE!</v>
      </c>
      <c r="AC1672" t="e">
        <f t="shared" ca="1" si="869"/>
        <v>#VALUE!</v>
      </c>
      <c r="AD1672" t="e">
        <f t="shared" ca="1" si="870"/>
        <v>#VALUE!</v>
      </c>
      <c r="AE1672" t="e">
        <f t="shared" ca="1" si="871"/>
        <v>#VALUE!</v>
      </c>
      <c r="AF1672" t="e">
        <f t="shared" ca="1" si="872"/>
        <v>#VALUE!</v>
      </c>
      <c r="AG1672" t="e">
        <f t="shared" ca="1" si="873"/>
        <v>#VALUE!</v>
      </c>
      <c r="AH1672" t="e">
        <f ca="1">IF(V36="Supercritical",L1672,IF(V36="Subcritical",W1672,IF(AND(V1672=1,AG1672=1),IF(T1672&gt;=AE1672,L1672,W1672),IF(V1672=1,L1672,IF(AG1672=1,W1672,MAX($D$16,POWER((ABS(K1672)^2)/($I$5*MAX(F1672,0.1)^2),1/3)))))))</f>
        <v>#VALUE!</v>
      </c>
      <c r="AI1672" t="e">
        <f t="shared" ca="1" si="874"/>
        <v>#VALUE!</v>
      </c>
      <c r="AJ1672" t="e">
        <f t="shared" ca="1" si="875"/>
        <v>#VALUE!</v>
      </c>
      <c r="AM1672">
        <v>0</v>
      </c>
      <c r="AN1672">
        <v>0</v>
      </c>
      <c r="AO1672">
        <f t="shared" si="876"/>
        <v>0</v>
      </c>
      <c r="AP1672">
        <f t="shared" si="884"/>
        <v>0</v>
      </c>
      <c r="AQ1672" t="e">
        <f t="shared" ca="1" si="877"/>
        <v>#VALUE!</v>
      </c>
      <c r="AR1672" t="e">
        <f t="shared" ca="1" si="878"/>
        <v>#VALUE!</v>
      </c>
      <c r="AS1672" t="e">
        <f t="shared" ca="1" si="879"/>
        <v>#VALUE!</v>
      </c>
    </row>
    <row r="1673" spans="1:45" x14ac:dyDescent="0.35">
      <c r="A1673">
        <v>26</v>
      </c>
      <c r="B1673">
        <v>24.951000000000001</v>
      </c>
      <c r="C1673">
        <v>616074.27300000004</v>
      </c>
      <c r="D1673">
        <v>3096591.5129999998</v>
      </c>
      <c r="E1673">
        <v>629.98</v>
      </c>
      <c r="F1673">
        <v>4.3739999999999997</v>
      </c>
      <c r="G1673">
        <v>0</v>
      </c>
      <c r="H1673" t="s">
        <v>191</v>
      </c>
      <c r="I1673">
        <v>1.9E-2</v>
      </c>
      <c r="J1673">
        <f t="shared" si="880"/>
        <v>0.99899999999999878</v>
      </c>
      <c r="K1673" t="e">
        <f t="shared" ca="1" si="885"/>
        <v>#VALUE!</v>
      </c>
      <c r="L1673" t="e">
        <f t="shared" ca="1" si="881"/>
        <v>#VALUE!</v>
      </c>
      <c r="M1673" t="e">
        <f t="shared" ca="1" si="855"/>
        <v>#VALUE!</v>
      </c>
      <c r="N1673" t="e">
        <f t="shared" ca="1" si="856"/>
        <v>#VALUE!</v>
      </c>
      <c r="O1673" t="e">
        <f t="shared" ca="1" si="857"/>
        <v>#VALUE!</v>
      </c>
      <c r="P1673" t="e">
        <f t="shared" ca="1" si="858"/>
        <v>#VALUE!</v>
      </c>
      <c r="Q1673" t="e">
        <f t="shared" ca="1" si="859"/>
        <v>#VALUE!</v>
      </c>
      <c r="R1673" t="e">
        <f t="shared" ca="1" si="860"/>
        <v>#VALUE!</v>
      </c>
      <c r="S1673" t="e">
        <f t="shared" ca="1" si="861"/>
        <v>#VALUE!</v>
      </c>
      <c r="T1673" t="e">
        <f t="shared" ca="1" si="862"/>
        <v>#VALUE!</v>
      </c>
      <c r="U1673" t="e">
        <f t="shared" ca="1" si="882"/>
        <v>#VALUE!</v>
      </c>
      <c r="V1673" t="e">
        <f t="shared" ca="1" si="883"/>
        <v>#VALUE!</v>
      </c>
      <c r="W1673" t="e">
        <f t="shared" ca="1" si="863"/>
        <v>#VALUE!</v>
      </c>
      <c r="X1673" t="e">
        <f t="shared" ca="1" si="864"/>
        <v>#VALUE!</v>
      </c>
      <c r="Y1673" t="e">
        <f t="shared" ca="1" si="865"/>
        <v>#VALUE!</v>
      </c>
      <c r="Z1673" t="e">
        <f t="shared" ca="1" si="866"/>
        <v>#VALUE!</v>
      </c>
      <c r="AA1673" t="e">
        <f t="shared" ca="1" si="867"/>
        <v>#VALUE!</v>
      </c>
      <c r="AB1673" t="e">
        <f t="shared" ca="1" si="868"/>
        <v>#VALUE!</v>
      </c>
      <c r="AC1673" t="e">
        <f t="shared" ca="1" si="869"/>
        <v>#VALUE!</v>
      </c>
      <c r="AD1673" t="e">
        <f t="shared" ca="1" si="870"/>
        <v>#VALUE!</v>
      </c>
      <c r="AE1673" t="e">
        <f t="shared" ca="1" si="871"/>
        <v>#VALUE!</v>
      </c>
      <c r="AF1673" t="e">
        <f t="shared" ca="1" si="872"/>
        <v>#VALUE!</v>
      </c>
      <c r="AG1673" t="e">
        <f t="shared" ca="1" si="873"/>
        <v>#VALUE!</v>
      </c>
      <c r="AH1673" t="e">
        <f ca="1">IF(V36="Supercritical",L1673,IF(V36="Subcritical",W1673,IF(AND(V1673=1,AG1673=1),IF(T1673&gt;=AE1673,L1673,W1673),IF(V1673=1,L1673,IF(AG1673=1,W1673,MAX($D$16,POWER((ABS(K1673)^2)/($I$5*MAX(F1673,0.1)^2),1/3)))))))</f>
        <v>#VALUE!</v>
      </c>
      <c r="AI1673" t="e">
        <f t="shared" ca="1" si="874"/>
        <v>#VALUE!</v>
      </c>
      <c r="AJ1673" t="e">
        <f t="shared" ca="1" si="875"/>
        <v>#VALUE!</v>
      </c>
      <c r="AM1673">
        <v>0</v>
      </c>
      <c r="AN1673">
        <v>0</v>
      </c>
      <c r="AO1673">
        <f t="shared" si="876"/>
        <v>0</v>
      </c>
      <c r="AP1673">
        <f t="shared" si="884"/>
        <v>0</v>
      </c>
      <c r="AQ1673" t="e">
        <f t="shared" ca="1" si="877"/>
        <v>#VALUE!</v>
      </c>
      <c r="AR1673" t="e">
        <f t="shared" ca="1" si="878"/>
        <v>#VALUE!</v>
      </c>
      <c r="AS1673" t="e">
        <f t="shared" ca="1" si="879"/>
        <v>#VALUE!</v>
      </c>
    </row>
    <row r="1674" spans="1:45" x14ac:dyDescent="0.35">
      <c r="A1674">
        <v>27</v>
      </c>
      <c r="B1674">
        <v>25.952000000000002</v>
      </c>
      <c r="C1674">
        <v>616073.75</v>
      </c>
      <c r="D1674">
        <v>3096590.66</v>
      </c>
      <c r="E1674">
        <v>629.6</v>
      </c>
      <c r="F1674">
        <v>4.1340000000000003</v>
      </c>
      <c r="G1674">
        <v>0</v>
      </c>
      <c r="H1674" t="s">
        <v>191</v>
      </c>
      <c r="I1674">
        <v>4.9000000000000002E-2</v>
      </c>
      <c r="J1674">
        <f t="shared" si="880"/>
        <v>1.0010000000000012</v>
      </c>
      <c r="K1674" t="e">
        <f t="shared" ca="1" si="885"/>
        <v>#VALUE!</v>
      </c>
      <c r="L1674" t="e">
        <f t="shared" ca="1" si="881"/>
        <v>#VALUE!</v>
      </c>
      <c r="M1674" t="e">
        <f t="shared" ca="1" si="855"/>
        <v>#VALUE!</v>
      </c>
      <c r="N1674" t="e">
        <f t="shared" ca="1" si="856"/>
        <v>#VALUE!</v>
      </c>
      <c r="O1674" t="e">
        <f t="shared" ca="1" si="857"/>
        <v>#VALUE!</v>
      </c>
      <c r="P1674" t="e">
        <f t="shared" ca="1" si="858"/>
        <v>#VALUE!</v>
      </c>
      <c r="Q1674" t="e">
        <f t="shared" ca="1" si="859"/>
        <v>#VALUE!</v>
      </c>
      <c r="R1674" t="e">
        <f t="shared" ca="1" si="860"/>
        <v>#VALUE!</v>
      </c>
      <c r="S1674" t="e">
        <f t="shared" ca="1" si="861"/>
        <v>#VALUE!</v>
      </c>
      <c r="T1674" t="e">
        <f t="shared" ca="1" si="862"/>
        <v>#VALUE!</v>
      </c>
      <c r="U1674" t="e">
        <f t="shared" ca="1" si="882"/>
        <v>#VALUE!</v>
      </c>
      <c r="V1674" t="e">
        <f t="shared" ca="1" si="883"/>
        <v>#VALUE!</v>
      </c>
      <c r="W1674" t="e">
        <f t="shared" ca="1" si="863"/>
        <v>#VALUE!</v>
      </c>
      <c r="X1674" t="e">
        <f t="shared" ca="1" si="864"/>
        <v>#VALUE!</v>
      </c>
      <c r="Y1674" t="e">
        <f t="shared" ca="1" si="865"/>
        <v>#VALUE!</v>
      </c>
      <c r="Z1674" t="e">
        <f t="shared" ca="1" si="866"/>
        <v>#VALUE!</v>
      </c>
      <c r="AA1674" t="e">
        <f t="shared" ca="1" si="867"/>
        <v>#VALUE!</v>
      </c>
      <c r="AB1674" t="e">
        <f t="shared" ca="1" si="868"/>
        <v>#VALUE!</v>
      </c>
      <c r="AC1674" t="e">
        <f t="shared" ca="1" si="869"/>
        <v>#VALUE!</v>
      </c>
      <c r="AD1674" t="e">
        <f t="shared" ca="1" si="870"/>
        <v>#VALUE!</v>
      </c>
      <c r="AE1674" t="e">
        <f t="shared" ca="1" si="871"/>
        <v>#VALUE!</v>
      </c>
      <c r="AF1674" t="e">
        <f t="shared" ca="1" si="872"/>
        <v>#VALUE!</v>
      </c>
      <c r="AG1674" t="e">
        <f t="shared" ca="1" si="873"/>
        <v>#VALUE!</v>
      </c>
      <c r="AH1674" t="e">
        <f ca="1">IF(V36="Supercritical",L1674,IF(V36="Subcritical",W1674,IF(AND(V1674=1,AG1674=1),IF(T1674&gt;=AE1674,L1674,W1674),IF(V1674=1,L1674,IF(AG1674=1,W1674,MAX($D$16,POWER((ABS(K1674)^2)/($I$5*MAX(F1674,0.1)^2),1/3)))))))</f>
        <v>#VALUE!</v>
      </c>
      <c r="AI1674" t="e">
        <f t="shared" ca="1" si="874"/>
        <v>#VALUE!</v>
      </c>
      <c r="AJ1674" t="e">
        <f t="shared" ca="1" si="875"/>
        <v>#VALUE!</v>
      </c>
      <c r="AM1674">
        <v>0</v>
      </c>
      <c r="AN1674">
        <v>0</v>
      </c>
      <c r="AO1674">
        <f t="shared" si="876"/>
        <v>0</v>
      </c>
      <c r="AP1674">
        <f t="shared" si="884"/>
        <v>0</v>
      </c>
      <c r="AQ1674" t="e">
        <f t="shared" ca="1" si="877"/>
        <v>#VALUE!</v>
      </c>
      <c r="AR1674" t="e">
        <f t="shared" ca="1" si="878"/>
        <v>#VALUE!</v>
      </c>
      <c r="AS1674" t="e">
        <f t="shared" ca="1" si="879"/>
        <v>#VALUE!</v>
      </c>
    </row>
    <row r="1675" spans="1:45" x14ac:dyDescent="0.35">
      <c r="A1675">
        <v>28</v>
      </c>
      <c r="B1675">
        <v>26.952000000000002</v>
      </c>
      <c r="C1675">
        <v>616073.228</v>
      </c>
      <c r="D1675">
        <v>3096589.807</v>
      </c>
      <c r="E1675">
        <v>629.22</v>
      </c>
      <c r="F1675">
        <v>3.8940000000000001</v>
      </c>
      <c r="G1675">
        <v>0</v>
      </c>
      <c r="H1675" t="s">
        <v>191</v>
      </c>
      <c r="I1675">
        <v>7.9000000000000001E-2</v>
      </c>
      <c r="J1675">
        <f t="shared" si="880"/>
        <v>1</v>
      </c>
      <c r="K1675" t="e">
        <f t="shared" ca="1" si="885"/>
        <v>#VALUE!</v>
      </c>
      <c r="L1675" t="e">
        <f t="shared" ca="1" si="881"/>
        <v>#VALUE!</v>
      </c>
      <c r="M1675" t="e">
        <f t="shared" ca="1" si="855"/>
        <v>#VALUE!</v>
      </c>
      <c r="N1675" t="e">
        <f t="shared" ca="1" si="856"/>
        <v>#VALUE!</v>
      </c>
      <c r="O1675" t="e">
        <f t="shared" ca="1" si="857"/>
        <v>#VALUE!</v>
      </c>
      <c r="P1675" t="e">
        <f t="shared" ca="1" si="858"/>
        <v>#VALUE!</v>
      </c>
      <c r="Q1675" t="e">
        <f t="shared" ca="1" si="859"/>
        <v>#VALUE!</v>
      </c>
      <c r="R1675" t="e">
        <f t="shared" ca="1" si="860"/>
        <v>#VALUE!</v>
      </c>
      <c r="S1675" t="e">
        <f t="shared" ca="1" si="861"/>
        <v>#VALUE!</v>
      </c>
      <c r="T1675" t="e">
        <f t="shared" ca="1" si="862"/>
        <v>#VALUE!</v>
      </c>
      <c r="U1675" t="e">
        <f t="shared" ca="1" si="882"/>
        <v>#VALUE!</v>
      </c>
      <c r="V1675" t="e">
        <f t="shared" ca="1" si="883"/>
        <v>#VALUE!</v>
      </c>
      <c r="W1675" t="e">
        <f t="shared" ca="1" si="863"/>
        <v>#VALUE!</v>
      </c>
      <c r="X1675" t="e">
        <f t="shared" ca="1" si="864"/>
        <v>#VALUE!</v>
      </c>
      <c r="Y1675" t="e">
        <f t="shared" ca="1" si="865"/>
        <v>#VALUE!</v>
      </c>
      <c r="Z1675" t="e">
        <f t="shared" ca="1" si="866"/>
        <v>#VALUE!</v>
      </c>
      <c r="AA1675" t="e">
        <f t="shared" ca="1" si="867"/>
        <v>#VALUE!</v>
      </c>
      <c r="AB1675" t="e">
        <f t="shared" ca="1" si="868"/>
        <v>#VALUE!</v>
      </c>
      <c r="AC1675" t="e">
        <f t="shared" ca="1" si="869"/>
        <v>#VALUE!</v>
      </c>
      <c r="AD1675" t="e">
        <f t="shared" ca="1" si="870"/>
        <v>#VALUE!</v>
      </c>
      <c r="AE1675" t="e">
        <f t="shared" ca="1" si="871"/>
        <v>#VALUE!</v>
      </c>
      <c r="AF1675" t="e">
        <f t="shared" ca="1" si="872"/>
        <v>#VALUE!</v>
      </c>
      <c r="AG1675" t="e">
        <f t="shared" ca="1" si="873"/>
        <v>#VALUE!</v>
      </c>
      <c r="AH1675" t="e">
        <f ca="1">IF(V36="Supercritical",L1675,IF(V36="Subcritical",W1675,IF(AND(V1675=1,AG1675=1),IF(T1675&gt;=AE1675,L1675,W1675),IF(V1675=1,L1675,IF(AG1675=1,W1675,MAX($D$16,POWER((ABS(K1675)^2)/($I$5*MAX(F1675,0.1)^2),1/3)))))))</f>
        <v>#VALUE!</v>
      </c>
      <c r="AI1675" t="e">
        <f t="shared" ca="1" si="874"/>
        <v>#VALUE!</v>
      </c>
      <c r="AJ1675" t="e">
        <f t="shared" ca="1" si="875"/>
        <v>#VALUE!</v>
      </c>
      <c r="AM1675">
        <v>0</v>
      </c>
      <c r="AN1675">
        <v>0</v>
      </c>
      <c r="AO1675">
        <f t="shared" si="876"/>
        <v>0</v>
      </c>
      <c r="AP1675">
        <f t="shared" si="884"/>
        <v>0</v>
      </c>
      <c r="AQ1675" t="e">
        <f t="shared" ca="1" si="877"/>
        <v>#VALUE!</v>
      </c>
      <c r="AR1675" t="e">
        <f t="shared" ca="1" si="878"/>
        <v>#VALUE!</v>
      </c>
      <c r="AS1675" t="e">
        <f t="shared" ca="1" si="879"/>
        <v>#VALUE!</v>
      </c>
    </row>
    <row r="1676" spans="1:45" x14ac:dyDescent="0.35">
      <c r="A1676">
        <v>29</v>
      </c>
      <c r="B1676">
        <v>27.951000000000001</v>
      </c>
      <c r="C1676">
        <v>616072.70499999996</v>
      </c>
      <c r="D1676">
        <v>3096588.9550000001</v>
      </c>
      <c r="E1676">
        <v>628.84</v>
      </c>
      <c r="F1676">
        <v>3.714</v>
      </c>
      <c r="G1676">
        <v>0</v>
      </c>
      <c r="H1676" t="s">
        <v>191</v>
      </c>
      <c r="I1676">
        <v>0.41299999999999998</v>
      </c>
      <c r="J1676">
        <f t="shared" si="880"/>
        <v>0.99899999999999878</v>
      </c>
      <c r="K1676" t="e">
        <f ca="1">K1675+(AO1642)</f>
        <v>#VALUE!</v>
      </c>
      <c r="L1676" t="e">
        <f t="shared" ca="1" si="881"/>
        <v>#VALUE!</v>
      </c>
      <c r="M1676" t="e">
        <f t="shared" ca="1" si="855"/>
        <v>#VALUE!</v>
      </c>
      <c r="N1676" t="e">
        <f t="shared" ca="1" si="856"/>
        <v>#VALUE!</v>
      </c>
      <c r="O1676" t="e">
        <f t="shared" ca="1" si="857"/>
        <v>#VALUE!</v>
      </c>
      <c r="P1676" t="e">
        <f t="shared" ca="1" si="858"/>
        <v>#VALUE!</v>
      </c>
      <c r="Q1676" t="e">
        <f t="shared" ca="1" si="859"/>
        <v>#VALUE!</v>
      </c>
      <c r="R1676" t="e">
        <f t="shared" ca="1" si="860"/>
        <v>#VALUE!</v>
      </c>
      <c r="S1676" t="e">
        <f t="shared" ca="1" si="861"/>
        <v>#VALUE!</v>
      </c>
      <c r="T1676" t="e">
        <f t="shared" ca="1" si="862"/>
        <v>#VALUE!</v>
      </c>
      <c r="U1676" t="e">
        <f t="shared" ca="1" si="882"/>
        <v>#VALUE!</v>
      </c>
      <c r="V1676" t="e">
        <f t="shared" ca="1" si="883"/>
        <v>#VALUE!</v>
      </c>
      <c r="W1676" t="e">
        <f t="shared" ca="1" si="863"/>
        <v>#VALUE!</v>
      </c>
      <c r="X1676" t="e">
        <f t="shared" ca="1" si="864"/>
        <v>#VALUE!</v>
      </c>
      <c r="Y1676" t="e">
        <f t="shared" ca="1" si="865"/>
        <v>#VALUE!</v>
      </c>
      <c r="Z1676" t="e">
        <f t="shared" ca="1" si="866"/>
        <v>#VALUE!</v>
      </c>
      <c r="AA1676" t="e">
        <f t="shared" ca="1" si="867"/>
        <v>#VALUE!</v>
      </c>
      <c r="AB1676" t="e">
        <f t="shared" ca="1" si="868"/>
        <v>#VALUE!</v>
      </c>
      <c r="AC1676" t="e">
        <f t="shared" ca="1" si="869"/>
        <v>#VALUE!</v>
      </c>
      <c r="AD1676" t="e">
        <f t="shared" ca="1" si="870"/>
        <v>#VALUE!</v>
      </c>
      <c r="AE1676" t="e">
        <f t="shared" ca="1" si="871"/>
        <v>#VALUE!</v>
      </c>
      <c r="AF1676" t="e">
        <f t="shared" ca="1" si="872"/>
        <v>#VALUE!</v>
      </c>
      <c r="AG1676" t="e">
        <f t="shared" ca="1" si="873"/>
        <v>#VALUE!</v>
      </c>
      <c r="AH1676" t="e">
        <f ca="1">IF(V36="Supercritical",L1676,IF(V36="Subcritical",W1676,IF(AND(V1676=1,AG1676=1),IF(T1676&gt;=AE1676,L1676,W1676),IF(V1676=1,L1676,IF(AG1676=1,W1676,MAX($D$16,POWER((ABS(K1676)^2)/($I$5*MAX(F1676,0.1)^2),1/3)))))))</f>
        <v>#VALUE!</v>
      </c>
      <c r="AI1676" t="e">
        <f t="shared" ca="1" si="874"/>
        <v>#VALUE!</v>
      </c>
      <c r="AJ1676" t="e">
        <f t="shared" ca="1" si="875"/>
        <v>#VALUE!</v>
      </c>
      <c r="AM1676">
        <v>0</v>
      </c>
      <c r="AN1676">
        <v>0</v>
      </c>
      <c r="AO1676">
        <f t="shared" si="876"/>
        <v>0</v>
      </c>
      <c r="AP1676">
        <f t="shared" si="884"/>
        <v>0</v>
      </c>
      <c r="AQ1676" t="e">
        <f t="shared" ca="1" si="877"/>
        <v>#VALUE!</v>
      </c>
      <c r="AR1676" t="e">
        <f t="shared" ca="1" si="878"/>
        <v>#VALUE!</v>
      </c>
      <c r="AS1676" t="e">
        <f t="shared" ca="1" si="879"/>
        <v>#VALUE!</v>
      </c>
    </row>
    <row r="1677" spans="1:45" x14ac:dyDescent="0.35">
      <c r="A1677">
        <v>30</v>
      </c>
      <c r="B1677">
        <v>28.951000000000001</v>
      </c>
      <c r="C1677">
        <v>616072.18799999997</v>
      </c>
      <c r="D1677">
        <v>3096588.0989999999</v>
      </c>
      <c r="E1677">
        <v>628.46</v>
      </c>
      <c r="F1677">
        <v>3.823</v>
      </c>
      <c r="G1677">
        <v>0</v>
      </c>
      <c r="H1677" t="s">
        <v>191</v>
      </c>
      <c r="I1677">
        <v>6.0519999999999996</v>
      </c>
      <c r="J1677">
        <f t="shared" si="880"/>
        <v>1</v>
      </c>
      <c r="K1677" t="e">
        <f t="shared" ref="K1677:K1694" ca="1" si="886">K1676+0</f>
        <v>#VALUE!</v>
      </c>
      <c r="L1677" t="e">
        <f t="shared" ca="1" si="881"/>
        <v>#VALUE!</v>
      </c>
      <c r="M1677" t="e">
        <f t="shared" ca="1" si="855"/>
        <v>#VALUE!</v>
      </c>
      <c r="N1677" t="e">
        <f t="shared" ca="1" si="856"/>
        <v>#VALUE!</v>
      </c>
      <c r="O1677" t="e">
        <f t="shared" ca="1" si="857"/>
        <v>#VALUE!</v>
      </c>
      <c r="P1677" t="e">
        <f t="shared" ca="1" si="858"/>
        <v>#VALUE!</v>
      </c>
      <c r="Q1677" t="e">
        <f t="shared" ca="1" si="859"/>
        <v>#VALUE!</v>
      </c>
      <c r="R1677" t="e">
        <f t="shared" ca="1" si="860"/>
        <v>#VALUE!</v>
      </c>
      <c r="S1677" t="e">
        <f t="shared" ca="1" si="861"/>
        <v>#VALUE!</v>
      </c>
      <c r="T1677" t="e">
        <f t="shared" ca="1" si="862"/>
        <v>#VALUE!</v>
      </c>
      <c r="U1677" t="e">
        <f t="shared" ca="1" si="882"/>
        <v>#VALUE!</v>
      </c>
      <c r="V1677" t="e">
        <f t="shared" ca="1" si="883"/>
        <v>#VALUE!</v>
      </c>
      <c r="W1677" t="e">
        <f t="shared" ca="1" si="863"/>
        <v>#VALUE!</v>
      </c>
      <c r="X1677" t="e">
        <f t="shared" ca="1" si="864"/>
        <v>#VALUE!</v>
      </c>
      <c r="Y1677" t="e">
        <f t="shared" ca="1" si="865"/>
        <v>#VALUE!</v>
      </c>
      <c r="Z1677" t="e">
        <f t="shared" ca="1" si="866"/>
        <v>#VALUE!</v>
      </c>
      <c r="AA1677" t="e">
        <f t="shared" ca="1" si="867"/>
        <v>#VALUE!</v>
      </c>
      <c r="AB1677" t="e">
        <f t="shared" ca="1" si="868"/>
        <v>#VALUE!</v>
      </c>
      <c r="AC1677" t="e">
        <f t="shared" ca="1" si="869"/>
        <v>#VALUE!</v>
      </c>
      <c r="AD1677" t="e">
        <f t="shared" ca="1" si="870"/>
        <v>#VALUE!</v>
      </c>
      <c r="AE1677" t="e">
        <f t="shared" ca="1" si="871"/>
        <v>#VALUE!</v>
      </c>
      <c r="AF1677" t="e">
        <f t="shared" ca="1" si="872"/>
        <v>#VALUE!</v>
      </c>
      <c r="AG1677" t="e">
        <f t="shared" ca="1" si="873"/>
        <v>#VALUE!</v>
      </c>
      <c r="AH1677" t="e">
        <f ca="1">IF(V36="Supercritical",L1677,IF(V36="Subcritical",W1677,IF(AND(V1677=1,AG1677=1),IF(T1677&gt;=AE1677,L1677,W1677),IF(V1677=1,L1677,IF(AG1677=1,W1677,MAX($D$16,POWER((ABS(K1677)^2)/($I$5*MAX(F1677,0.1)^2),1/3)))))))</f>
        <v>#VALUE!</v>
      </c>
      <c r="AI1677" t="e">
        <f t="shared" ca="1" si="874"/>
        <v>#VALUE!</v>
      </c>
      <c r="AJ1677" t="e">
        <f t="shared" ca="1" si="875"/>
        <v>#VALUE!</v>
      </c>
      <c r="AM1677">
        <v>0</v>
      </c>
      <c r="AN1677">
        <v>0</v>
      </c>
      <c r="AO1677">
        <f t="shared" si="876"/>
        <v>0</v>
      </c>
      <c r="AP1677">
        <f t="shared" si="884"/>
        <v>0</v>
      </c>
      <c r="AQ1677" t="e">
        <f t="shared" ca="1" si="877"/>
        <v>#VALUE!</v>
      </c>
      <c r="AR1677" t="e">
        <f t="shared" ca="1" si="878"/>
        <v>#VALUE!</v>
      </c>
      <c r="AS1677" t="e">
        <f t="shared" ca="1" si="879"/>
        <v>#VALUE!</v>
      </c>
    </row>
    <row r="1678" spans="1:45" x14ac:dyDescent="0.35">
      <c r="A1678">
        <v>31</v>
      </c>
      <c r="B1678">
        <v>29.952000000000002</v>
      </c>
      <c r="C1678">
        <v>616071.76399999997</v>
      </c>
      <c r="D1678">
        <v>3096587.193</v>
      </c>
      <c r="E1678">
        <v>628.08000000000004</v>
      </c>
      <c r="F1678">
        <v>3.927</v>
      </c>
      <c r="G1678">
        <v>0</v>
      </c>
      <c r="H1678" t="s">
        <v>191</v>
      </c>
      <c r="I1678">
        <v>5.1999999999999998E-2</v>
      </c>
      <c r="J1678">
        <f t="shared" si="880"/>
        <v>1.0010000000000012</v>
      </c>
      <c r="K1678" t="e">
        <f t="shared" ca="1" si="886"/>
        <v>#VALUE!</v>
      </c>
      <c r="L1678" t="e">
        <f t="shared" ca="1" si="881"/>
        <v>#VALUE!</v>
      </c>
      <c r="M1678" t="e">
        <f t="shared" ca="1" si="855"/>
        <v>#VALUE!</v>
      </c>
      <c r="N1678" t="e">
        <f t="shared" ca="1" si="856"/>
        <v>#VALUE!</v>
      </c>
      <c r="O1678" t="e">
        <f t="shared" ca="1" si="857"/>
        <v>#VALUE!</v>
      </c>
      <c r="P1678" t="e">
        <f t="shared" ca="1" si="858"/>
        <v>#VALUE!</v>
      </c>
      <c r="Q1678" t="e">
        <f t="shared" ca="1" si="859"/>
        <v>#VALUE!</v>
      </c>
      <c r="R1678" t="e">
        <f t="shared" ca="1" si="860"/>
        <v>#VALUE!</v>
      </c>
      <c r="S1678" t="e">
        <f t="shared" ca="1" si="861"/>
        <v>#VALUE!</v>
      </c>
      <c r="T1678" t="e">
        <f t="shared" ca="1" si="862"/>
        <v>#VALUE!</v>
      </c>
      <c r="U1678" t="e">
        <f t="shared" ca="1" si="882"/>
        <v>#VALUE!</v>
      </c>
      <c r="V1678" t="e">
        <f t="shared" ca="1" si="883"/>
        <v>#VALUE!</v>
      </c>
      <c r="W1678" t="e">
        <f t="shared" ca="1" si="863"/>
        <v>#VALUE!</v>
      </c>
      <c r="X1678" t="e">
        <f t="shared" ca="1" si="864"/>
        <v>#VALUE!</v>
      </c>
      <c r="Y1678" t="e">
        <f t="shared" ca="1" si="865"/>
        <v>#VALUE!</v>
      </c>
      <c r="Z1678" t="e">
        <f t="shared" ca="1" si="866"/>
        <v>#VALUE!</v>
      </c>
      <c r="AA1678" t="e">
        <f t="shared" ca="1" si="867"/>
        <v>#VALUE!</v>
      </c>
      <c r="AB1678" t="e">
        <f t="shared" ca="1" si="868"/>
        <v>#VALUE!</v>
      </c>
      <c r="AC1678" t="e">
        <f t="shared" ca="1" si="869"/>
        <v>#VALUE!</v>
      </c>
      <c r="AD1678" t="e">
        <f t="shared" ca="1" si="870"/>
        <v>#VALUE!</v>
      </c>
      <c r="AE1678" t="e">
        <f t="shared" ca="1" si="871"/>
        <v>#VALUE!</v>
      </c>
      <c r="AF1678" t="e">
        <f t="shared" ca="1" si="872"/>
        <v>#VALUE!</v>
      </c>
      <c r="AG1678" t="e">
        <f t="shared" ca="1" si="873"/>
        <v>#VALUE!</v>
      </c>
      <c r="AH1678" t="e">
        <f ca="1">IF(V36="Supercritical",L1678,IF(V36="Subcritical",W1678,IF(AND(V1678=1,AG1678=1),IF(T1678&gt;=AE1678,L1678,W1678),IF(V1678=1,L1678,IF(AG1678=1,W1678,MAX($D$16,POWER((ABS(K1678)^2)/($I$5*MAX(F1678,0.1)^2),1/3)))))))</f>
        <v>#VALUE!</v>
      </c>
      <c r="AI1678" t="e">
        <f t="shared" ca="1" si="874"/>
        <v>#VALUE!</v>
      </c>
      <c r="AJ1678" t="e">
        <f t="shared" ca="1" si="875"/>
        <v>#VALUE!</v>
      </c>
      <c r="AM1678">
        <v>0</v>
      </c>
      <c r="AN1678">
        <v>0</v>
      </c>
      <c r="AO1678">
        <f t="shared" si="876"/>
        <v>0</v>
      </c>
      <c r="AP1678">
        <f t="shared" si="884"/>
        <v>0</v>
      </c>
      <c r="AQ1678" t="e">
        <f t="shared" ca="1" si="877"/>
        <v>#VALUE!</v>
      </c>
      <c r="AR1678" t="e">
        <f t="shared" ca="1" si="878"/>
        <v>#VALUE!</v>
      </c>
      <c r="AS1678" t="e">
        <f t="shared" ca="1" si="879"/>
        <v>#VALUE!</v>
      </c>
    </row>
    <row r="1679" spans="1:45" x14ac:dyDescent="0.35">
      <c r="A1679">
        <v>32</v>
      </c>
      <c r="B1679">
        <v>30.952000000000002</v>
      </c>
      <c r="C1679">
        <v>616071.34100000001</v>
      </c>
      <c r="D1679">
        <v>3096586.287</v>
      </c>
      <c r="E1679">
        <v>627.70000000000005</v>
      </c>
      <c r="F1679">
        <v>4.0309999999999997</v>
      </c>
      <c r="G1679">
        <v>0</v>
      </c>
      <c r="H1679" t="s">
        <v>191</v>
      </c>
      <c r="I1679">
        <v>0</v>
      </c>
      <c r="J1679">
        <f t="shared" si="880"/>
        <v>1</v>
      </c>
      <c r="K1679" t="e">
        <f t="shared" ca="1" si="886"/>
        <v>#VALUE!</v>
      </c>
      <c r="L1679" t="e">
        <f t="shared" ca="1" si="881"/>
        <v>#VALUE!</v>
      </c>
      <c r="M1679" t="e">
        <f t="shared" ca="1" si="855"/>
        <v>#VALUE!</v>
      </c>
      <c r="N1679" t="e">
        <f t="shared" ca="1" si="856"/>
        <v>#VALUE!</v>
      </c>
      <c r="O1679" t="e">
        <f t="shared" ca="1" si="857"/>
        <v>#VALUE!</v>
      </c>
      <c r="P1679" t="e">
        <f t="shared" ca="1" si="858"/>
        <v>#VALUE!</v>
      </c>
      <c r="Q1679" t="e">
        <f t="shared" ca="1" si="859"/>
        <v>#VALUE!</v>
      </c>
      <c r="R1679" t="e">
        <f t="shared" ca="1" si="860"/>
        <v>#VALUE!</v>
      </c>
      <c r="S1679" t="e">
        <f t="shared" ca="1" si="861"/>
        <v>#VALUE!</v>
      </c>
      <c r="T1679" t="e">
        <f t="shared" ca="1" si="862"/>
        <v>#VALUE!</v>
      </c>
      <c r="U1679" t="e">
        <f t="shared" ca="1" si="882"/>
        <v>#VALUE!</v>
      </c>
      <c r="V1679" t="e">
        <f t="shared" ca="1" si="883"/>
        <v>#VALUE!</v>
      </c>
      <c r="W1679" t="e">
        <f t="shared" ca="1" si="863"/>
        <v>#VALUE!</v>
      </c>
      <c r="X1679" t="e">
        <f t="shared" ca="1" si="864"/>
        <v>#VALUE!</v>
      </c>
      <c r="Y1679" t="e">
        <f t="shared" ca="1" si="865"/>
        <v>#VALUE!</v>
      </c>
      <c r="Z1679" t="e">
        <f t="shared" ca="1" si="866"/>
        <v>#VALUE!</v>
      </c>
      <c r="AA1679" t="e">
        <f t="shared" ca="1" si="867"/>
        <v>#VALUE!</v>
      </c>
      <c r="AB1679" t="e">
        <f t="shared" ca="1" si="868"/>
        <v>#VALUE!</v>
      </c>
      <c r="AC1679" t="e">
        <f t="shared" ca="1" si="869"/>
        <v>#VALUE!</v>
      </c>
      <c r="AD1679" t="e">
        <f t="shared" ca="1" si="870"/>
        <v>#VALUE!</v>
      </c>
      <c r="AE1679" t="e">
        <f t="shared" ca="1" si="871"/>
        <v>#VALUE!</v>
      </c>
      <c r="AF1679" t="e">
        <f t="shared" ca="1" si="872"/>
        <v>#VALUE!</v>
      </c>
      <c r="AG1679" t="e">
        <f t="shared" ca="1" si="873"/>
        <v>#VALUE!</v>
      </c>
      <c r="AH1679" t="e">
        <f ca="1">IF(V36="Supercritical",L1679,IF(V36="Subcritical",W1679,IF(AND(V1679=1,AG1679=1),IF(T1679&gt;=AE1679,L1679,W1679),IF(V1679=1,L1679,IF(AG1679=1,W1679,MAX($D$16,POWER((ABS(K1679)^2)/($I$5*MAX(F1679,0.1)^2),1/3)))))))</f>
        <v>#VALUE!</v>
      </c>
      <c r="AI1679" t="e">
        <f t="shared" ca="1" si="874"/>
        <v>#VALUE!</v>
      </c>
      <c r="AJ1679" t="e">
        <f t="shared" ca="1" si="875"/>
        <v>#VALUE!</v>
      </c>
      <c r="AM1679">
        <v>0</v>
      </c>
      <c r="AN1679">
        <v>0</v>
      </c>
      <c r="AO1679">
        <f t="shared" si="876"/>
        <v>0</v>
      </c>
      <c r="AP1679">
        <f t="shared" si="884"/>
        <v>0</v>
      </c>
      <c r="AQ1679" t="e">
        <f t="shared" ca="1" si="877"/>
        <v>#VALUE!</v>
      </c>
      <c r="AR1679" t="e">
        <f t="shared" ca="1" si="878"/>
        <v>#VALUE!</v>
      </c>
      <c r="AS1679" t="e">
        <f t="shared" ca="1" si="879"/>
        <v>#VALUE!</v>
      </c>
    </row>
    <row r="1680" spans="1:45" x14ac:dyDescent="0.35">
      <c r="A1680">
        <v>33</v>
      </c>
      <c r="B1680">
        <v>31.951000000000001</v>
      </c>
      <c r="C1680">
        <v>616070.91799999995</v>
      </c>
      <c r="D1680">
        <v>3096585.3810000001</v>
      </c>
      <c r="E1680">
        <v>627.32000000000005</v>
      </c>
      <c r="F1680">
        <v>4.1349999999999998</v>
      </c>
      <c r="G1680">
        <v>0</v>
      </c>
      <c r="H1680" t="s">
        <v>191</v>
      </c>
      <c r="I1680">
        <v>14.763999999999999</v>
      </c>
      <c r="J1680">
        <f t="shared" si="880"/>
        <v>0.99899999999999878</v>
      </c>
      <c r="K1680" t="e">
        <f t="shared" ca="1" si="886"/>
        <v>#VALUE!</v>
      </c>
      <c r="L1680" t="e">
        <f t="shared" ca="1" si="881"/>
        <v>#VALUE!</v>
      </c>
      <c r="M1680" t="e">
        <f t="shared" ca="1" si="855"/>
        <v>#VALUE!</v>
      </c>
      <c r="N1680" t="e">
        <f t="shared" ca="1" si="856"/>
        <v>#VALUE!</v>
      </c>
      <c r="O1680" t="e">
        <f t="shared" ca="1" si="857"/>
        <v>#VALUE!</v>
      </c>
      <c r="P1680" t="e">
        <f t="shared" ca="1" si="858"/>
        <v>#VALUE!</v>
      </c>
      <c r="Q1680" t="e">
        <f t="shared" ca="1" si="859"/>
        <v>#VALUE!</v>
      </c>
      <c r="R1680" t="e">
        <f t="shared" ca="1" si="860"/>
        <v>#VALUE!</v>
      </c>
      <c r="S1680" t="e">
        <f t="shared" ca="1" si="861"/>
        <v>#VALUE!</v>
      </c>
      <c r="T1680" t="e">
        <f t="shared" ca="1" si="862"/>
        <v>#VALUE!</v>
      </c>
      <c r="U1680" t="e">
        <f t="shared" ca="1" si="882"/>
        <v>#VALUE!</v>
      </c>
      <c r="V1680" t="e">
        <f t="shared" ca="1" si="883"/>
        <v>#VALUE!</v>
      </c>
      <c r="W1680" t="e">
        <f t="shared" ca="1" si="863"/>
        <v>#VALUE!</v>
      </c>
      <c r="X1680" t="e">
        <f t="shared" ca="1" si="864"/>
        <v>#VALUE!</v>
      </c>
      <c r="Y1680" t="e">
        <f t="shared" ca="1" si="865"/>
        <v>#VALUE!</v>
      </c>
      <c r="Z1680" t="e">
        <f t="shared" ca="1" si="866"/>
        <v>#VALUE!</v>
      </c>
      <c r="AA1680" t="e">
        <f t="shared" ca="1" si="867"/>
        <v>#VALUE!</v>
      </c>
      <c r="AB1680" t="e">
        <f t="shared" ca="1" si="868"/>
        <v>#VALUE!</v>
      </c>
      <c r="AC1680" t="e">
        <f t="shared" ca="1" si="869"/>
        <v>#VALUE!</v>
      </c>
      <c r="AD1680" t="e">
        <f t="shared" ca="1" si="870"/>
        <v>#VALUE!</v>
      </c>
      <c r="AE1680" t="e">
        <f t="shared" ca="1" si="871"/>
        <v>#VALUE!</v>
      </c>
      <c r="AF1680" t="e">
        <f t="shared" ca="1" si="872"/>
        <v>#VALUE!</v>
      </c>
      <c r="AG1680" t="e">
        <f t="shared" ca="1" si="873"/>
        <v>#VALUE!</v>
      </c>
      <c r="AH1680" t="e">
        <f ca="1">IF(V36="Supercritical",L1680,IF(V36="Subcritical",W1680,IF(AND(V1680=1,AG1680=1),IF(T1680&gt;=AE1680,L1680,W1680),IF(V1680=1,L1680,IF(AG1680=1,W1680,MAX($D$16,POWER((ABS(K1680)^2)/($I$5*MAX(F1680,0.1)^2),1/3)))))))</f>
        <v>#VALUE!</v>
      </c>
      <c r="AI1680" t="e">
        <f t="shared" ca="1" si="874"/>
        <v>#VALUE!</v>
      </c>
      <c r="AJ1680" t="e">
        <f t="shared" ca="1" si="875"/>
        <v>#VALUE!</v>
      </c>
      <c r="AM1680">
        <v>0</v>
      </c>
      <c r="AN1680">
        <v>0</v>
      </c>
      <c r="AO1680">
        <f t="shared" si="876"/>
        <v>0</v>
      </c>
      <c r="AP1680">
        <f t="shared" si="884"/>
        <v>0</v>
      </c>
      <c r="AQ1680" t="e">
        <f t="shared" ca="1" si="877"/>
        <v>#VALUE!</v>
      </c>
      <c r="AR1680" t="e">
        <f t="shared" ca="1" si="878"/>
        <v>#VALUE!</v>
      </c>
      <c r="AS1680" t="e">
        <f t="shared" ca="1" si="879"/>
        <v>#VALUE!</v>
      </c>
    </row>
    <row r="1681" spans="1:45" x14ac:dyDescent="0.35">
      <c r="A1681">
        <v>34</v>
      </c>
      <c r="B1681">
        <v>32.939</v>
      </c>
      <c r="C1681">
        <v>616070.74199999997</v>
      </c>
      <c r="D1681">
        <v>3096584.409</v>
      </c>
      <c r="E1681">
        <v>626.94000000000005</v>
      </c>
      <c r="F1681">
        <v>4.1289999999999996</v>
      </c>
      <c r="G1681">
        <v>0</v>
      </c>
      <c r="H1681" t="s">
        <v>191</v>
      </c>
      <c r="I1681">
        <v>5.2140000000000004</v>
      </c>
      <c r="J1681">
        <f t="shared" si="880"/>
        <v>0.98799999999999955</v>
      </c>
      <c r="K1681" t="e">
        <f t="shared" ca="1" si="886"/>
        <v>#VALUE!</v>
      </c>
      <c r="L1681" t="e">
        <f t="shared" ca="1" si="881"/>
        <v>#VALUE!</v>
      </c>
      <c r="M1681" t="e">
        <f t="shared" ca="1" si="855"/>
        <v>#VALUE!</v>
      </c>
      <c r="N1681" t="e">
        <f t="shared" ca="1" si="856"/>
        <v>#VALUE!</v>
      </c>
      <c r="O1681" t="e">
        <f t="shared" ca="1" si="857"/>
        <v>#VALUE!</v>
      </c>
      <c r="P1681" t="e">
        <f t="shared" ca="1" si="858"/>
        <v>#VALUE!</v>
      </c>
      <c r="Q1681" t="e">
        <f t="shared" ca="1" si="859"/>
        <v>#VALUE!</v>
      </c>
      <c r="R1681" t="e">
        <f t="shared" ca="1" si="860"/>
        <v>#VALUE!</v>
      </c>
      <c r="S1681" t="e">
        <f t="shared" ca="1" si="861"/>
        <v>#VALUE!</v>
      </c>
      <c r="T1681" t="e">
        <f t="shared" ca="1" si="862"/>
        <v>#VALUE!</v>
      </c>
      <c r="U1681" t="e">
        <f t="shared" ca="1" si="882"/>
        <v>#VALUE!</v>
      </c>
      <c r="V1681" t="e">
        <f t="shared" ca="1" si="883"/>
        <v>#VALUE!</v>
      </c>
      <c r="W1681" t="e">
        <f t="shared" ca="1" si="863"/>
        <v>#VALUE!</v>
      </c>
      <c r="X1681" t="e">
        <f t="shared" ca="1" si="864"/>
        <v>#VALUE!</v>
      </c>
      <c r="Y1681" t="e">
        <f t="shared" ca="1" si="865"/>
        <v>#VALUE!</v>
      </c>
      <c r="Z1681" t="e">
        <f t="shared" ca="1" si="866"/>
        <v>#VALUE!</v>
      </c>
      <c r="AA1681" t="e">
        <f t="shared" ca="1" si="867"/>
        <v>#VALUE!</v>
      </c>
      <c r="AB1681" t="e">
        <f t="shared" ca="1" si="868"/>
        <v>#VALUE!</v>
      </c>
      <c r="AC1681" t="e">
        <f t="shared" ca="1" si="869"/>
        <v>#VALUE!</v>
      </c>
      <c r="AD1681" t="e">
        <f t="shared" ca="1" si="870"/>
        <v>#VALUE!</v>
      </c>
      <c r="AE1681" t="e">
        <f t="shared" ca="1" si="871"/>
        <v>#VALUE!</v>
      </c>
      <c r="AF1681" t="e">
        <f t="shared" ca="1" si="872"/>
        <v>#VALUE!</v>
      </c>
      <c r="AG1681" t="e">
        <f t="shared" ca="1" si="873"/>
        <v>#VALUE!</v>
      </c>
      <c r="AH1681" t="e">
        <f ca="1">IF(V36="Supercritical",L1681,IF(V36="Subcritical",W1681,IF(AND(V1681=1,AG1681=1),IF(T1681&gt;=AE1681,L1681,W1681),IF(V1681=1,L1681,IF(AG1681=1,W1681,MAX($D$16,POWER((ABS(K1681)^2)/($I$5*MAX(F1681,0.1)^2),1/3)))))))</f>
        <v>#VALUE!</v>
      </c>
      <c r="AI1681" t="e">
        <f t="shared" ca="1" si="874"/>
        <v>#VALUE!</v>
      </c>
      <c r="AJ1681" t="e">
        <f t="shared" ca="1" si="875"/>
        <v>#VALUE!</v>
      </c>
      <c r="AM1681">
        <v>0</v>
      </c>
      <c r="AN1681">
        <v>0</v>
      </c>
      <c r="AO1681">
        <f t="shared" si="876"/>
        <v>0</v>
      </c>
      <c r="AP1681">
        <f t="shared" si="884"/>
        <v>0</v>
      </c>
      <c r="AQ1681" t="e">
        <f t="shared" ca="1" si="877"/>
        <v>#VALUE!</v>
      </c>
      <c r="AR1681" t="e">
        <f t="shared" ca="1" si="878"/>
        <v>#VALUE!</v>
      </c>
      <c r="AS1681" t="e">
        <f t="shared" ca="1" si="879"/>
        <v>#VALUE!</v>
      </c>
    </row>
    <row r="1682" spans="1:45" x14ac:dyDescent="0.35">
      <c r="A1682">
        <v>35</v>
      </c>
      <c r="B1682">
        <v>33.939</v>
      </c>
      <c r="C1682">
        <v>616070.65399999998</v>
      </c>
      <c r="D1682">
        <v>3096583.4130000002</v>
      </c>
      <c r="E1682">
        <v>626.55999999999995</v>
      </c>
      <c r="F1682">
        <v>3.7759999999999998</v>
      </c>
      <c r="G1682">
        <v>0</v>
      </c>
      <c r="H1682" t="s">
        <v>191</v>
      </c>
      <c r="I1682">
        <v>4.6479999999999997</v>
      </c>
      <c r="J1682">
        <f t="shared" si="880"/>
        <v>1</v>
      </c>
      <c r="K1682" t="e">
        <f t="shared" ca="1" si="886"/>
        <v>#VALUE!</v>
      </c>
      <c r="L1682" t="e">
        <f t="shared" ca="1" si="881"/>
        <v>#VALUE!</v>
      </c>
      <c r="M1682" t="e">
        <f t="shared" ca="1" si="855"/>
        <v>#VALUE!</v>
      </c>
      <c r="N1682" t="e">
        <f t="shared" ca="1" si="856"/>
        <v>#VALUE!</v>
      </c>
      <c r="O1682" t="e">
        <f t="shared" ca="1" si="857"/>
        <v>#VALUE!</v>
      </c>
      <c r="P1682" t="e">
        <f t="shared" ca="1" si="858"/>
        <v>#VALUE!</v>
      </c>
      <c r="Q1682" t="e">
        <f t="shared" ca="1" si="859"/>
        <v>#VALUE!</v>
      </c>
      <c r="R1682" t="e">
        <f t="shared" ca="1" si="860"/>
        <v>#VALUE!</v>
      </c>
      <c r="S1682" t="e">
        <f t="shared" ca="1" si="861"/>
        <v>#VALUE!</v>
      </c>
      <c r="T1682" t="e">
        <f t="shared" ca="1" si="862"/>
        <v>#VALUE!</v>
      </c>
      <c r="U1682" t="e">
        <f t="shared" ca="1" si="882"/>
        <v>#VALUE!</v>
      </c>
      <c r="V1682" t="e">
        <f t="shared" ca="1" si="883"/>
        <v>#VALUE!</v>
      </c>
      <c r="W1682" t="e">
        <f t="shared" ca="1" si="863"/>
        <v>#VALUE!</v>
      </c>
      <c r="X1682" t="e">
        <f t="shared" ca="1" si="864"/>
        <v>#VALUE!</v>
      </c>
      <c r="Y1682" t="e">
        <f t="shared" ca="1" si="865"/>
        <v>#VALUE!</v>
      </c>
      <c r="Z1682" t="e">
        <f t="shared" ca="1" si="866"/>
        <v>#VALUE!</v>
      </c>
      <c r="AA1682" t="e">
        <f t="shared" ca="1" si="867"/>
        <v>#VALUE!</v>
      </c>
      <c r="AB1682" t="e">
        <f t="shared" ca="1" si="868"/>
        <v>#VALUE!</v>
      </c>
      <c r="AC1682" t="e">
        <f t="shared" ca="1" si="869"/>
        <v>#VALUE!</v>
      </c>
      <c r="AD1682" t="e">
        <f t="shared" ca="1" si="870"/>
        <v>#VALUE!</v>
      </c>
      <c r="AE1682" t="e">
        <f t="shared" ca="1" si="871"/>
        <v>#VALUE!</v>
      </c>
      <c r="AF1682" t="e">
        <f t="shared" ca="1" si="872"/>
        <v>#VALUE!</v>
      </c>
      <c r="AG1682" t="e">
        <f t="shared" ca="1" si="873"/>
        <v>#VALUE!</v>
      </c>
      <c r="AH1682" t="e">
        <f ca="1">IF(V36="Supercritical",L1682,IF(V36="Subcritical",W1682,IF(AND(V1682=1,AG1682=1),IF(T1682&gt;=AE1682,L1682,W1682),IF(V1682=1,L1682,IF(AG1682=1,W1682,MAX($D$16,POWER((ABS(K1682)^2)/($I$5*MAX(F1682,0.1)^2),1/3)))))))</f>
        <v>#VALUE!</v>
      </c>
      <c r="AI1682" t="e">
        <f t="shared" ca="1" si="874"/>
        <v>#VALUE!</v>
      </c>
      <c r="AJ1682" t="e">
        <f t="shared" ca="1" si="875"/>
        <v>#VALUE!</v>
      </c>
      <c r="AM1682">
        <v>0</v>
      </c>
      <c r="AN1682">
        <v>0</v>
      </c>
      <c r="AO1682">
        <f t="shared" si="876"/>
        <v>0</v>
      </c>
      <c r="AP1682">
        <f t="shared" si="884"/>
        <v>0</v>
      </c>
      <c r="AQ1682" t="e">
        <f t="shared" ca="1" si="877"/>
        <v>#VALUE!</v>
      </c>
      <c r="AR1682" t="e">
        <f t="shared" ca="1" si="878"/>
        <v>#VALUE!</v>
      </c>
      <c r="AS1682" t="e">
        <f t="shared" ca="1" si="879"/>
        <v>#VALUE!</v>
      </c>
    </row>
    <row r="1683" spans="1:45" x14ac:dyDescent="0.35">
      <c r="A1683">
        <v>36</v>
      </c>
      <c r="B1683">
        <v>34.939</v>
      </c>
      <c r="C1683">
        <v>616070.647</v>
      </c>
      <c r="D1683">
        <v>3096582.4130000002</v>
      </c>
      <c r="E1683">
        <v>626.17999999999995</v>
      </c>
      <c r="F1683">
        <v>3.4460000000000002</v>
      </c>
      <c r="G1683">
        <v>0</v>
      </c>
      <c r="H1683" t="s">
        <v>191</v>
      </c>
      <c r="I1683">
        <v>5.7000000000000002E-2</v>
      </c>
      <c r="J1683">
        <f t="shared" si="880"/>
        <v>1</v>
      </c>
      <c r="K1683" t="e">
        <f t="shared" ca="1" si="886"/>
        <v>#VALUE!</v>
      </c>
      <c r="L1683" t="e">
        <f t="shared" ca="1" si="881"/>
        <v>#VALUE!</v>
      </c>
      <c r="M1683" t="e">
        <f t="shared" ca="1" si="855"/>
        <v>#VALUE!</v>
      </c>
      <c r="N1683" t="e">
        <f t="shared" ca="1" si="856"/>
        <v>#VALUE!</v>
      </c>
      <c r="O1683" t="e">
        <f t="shared" ca="1" si="857"/>
        <v>#VALUE!</v>
      </c>
      <c r="P1683" t="e">
        <f t="shared" ca="1" si="858"/>
        <v>#VALUE!</v>
      </c>
      <c r="Q1683" t="e">
        <f t="shared" ca="1" si="859"/>
        <v>#VALUE!</v>
      </c>
      <c r="R1683" t="e">
        <f t="shared" ca="1" si="860"/>
        <v>#VALUE!</v>
      </c>
      <c r="S1683" t="e">
        <f t="shared" ca="1" si="861"/>
        <v>#VALUE!</v>
      </c>
      <c r="T1683" t="e">
        <f t="shared" ca="1" si="862"/>
        <v>#VALUE!</v>
      </c>
      <c r="U1683" t="e">
        <f t="shared" ca="1" si="882"/>
        <v>#VALUE!</v>
      </c>
      <c r="V1683" t="e">
        <f t="shared" ca="1" si="883"/>
        <v>#VALUE!</v>
      </c>
      <c r="W1683" t="e">
        <f t="shared" ca="1" si="863"/>
        <v>#VALUE!</v>
      </c>
      <c r="X1683" t="e">
        <f t="shared" ca="1" si="864"/>
        <v>#VALUE!</v>
      </c>
      <c r="Y1683" t="e">
        <f t="shared" ca="1" si="865"/>
        <v>#VALUE!</v>
      </c>
      <c r="Z1683" t="e">
        <f t="shared" ca="1" si="866"/>
        <v>#VALUE!</v>
      </c>
      <c r="AA1683" t="e">
        <f t="shared" ca="1" si="867"/>
        <v>#VALUE!</v>
      </c>
      <c r="AB1683" t="e">
        <f t="shared" ca="1" si="868"/>
        <v>#VALUE!</v>
      </c>
      <c r="AC1683" t="e">
        <f t="shared" ca="1" si="869"/>
        <v>#VALUE!</v>
      </c>
      <c r="AD1683" t="e">
        <f t="shared" ca="1" si="870"/>
        <v>#VALUE!</v>
      </c>
      <c r="AE1683" t="e">
        <f t="shared" ca="1" si="871"/>
        <v>#VALUE!</v>
      </c>
      <c r="AF1683" t="e">
        <f t="shared" ca="1" si="872"/>
        <v>#VALUE!</v>
      </c>
      <c r="AG1683" t="e">
        <f t="shared" ca="1" si="873"/>
        <v>#VALUE!</v>
      </c>
      <c r="AH1683" t="e">
        <f ca="1">IF(V36="Supercritical",L1683,IF(V36="Subcritical",W1683,IF(AND(V1683=1,AG1683=1),IF(T1683&gt;=AE1683,L1683,W1683),IF(V1683=1,L1683,IF(AG1683=1,W1683,MAX($D$16,POWER((ABS(K1683)^2)/($I$5*MAX(F1683,0.1)^2),1/3)))))))</f>
        <v>#VALUE!</v>
      </c>
      <c r="AI1683" t="e">
        <f t="shared" ca="1" si="874"/>
        <v>#VALUE!</v>
      </c>
      <c r="AJ1683" t="e">
        <f t="shared" ca="1" si="875"/>
        <v>#VALUE!</v>
      </c>
      <c r="AM1683">
        <v>0</v>
      </c>
      <c r="AN1683">
        <v>0</v>
      </c>
      <c r="AO1683">
        <f t="shared" si="876"/>
        <v>0</v>
      </c>
      <c r="AP1683">
        <f t="shared" si="884"/>
        <v>0</v>
      </c>
      <c r="AQ1683" t="e">
        <f t="shared" ca="1" si="877"/>
        <v>#VALUE!</v>
      </c>
      <c r="AR1683" t="e">
        <f t="shared" ca="1" si="878"/>
        <v>#VALUE!</v>
      </c>
      <c r="AS1683" t="e">
        <f t="shared" ca="1" si="879"/>
        <v>#VALUE!</v>
      </c>
    </row>
    <row r="1684" spans="1:45" x14ac:dyDescent="0.35">
      <c r="A1684">
        <v>37</v>
      </c>
      <c r="B1684">
        <v>35.939</v>
      </c>
      <c r="C1684">
        <v>616070.64099999995</v>
      </c>
      <c r="D1684">
        <v>3096581.4130000002</v>
      </c>
      <c r="E1684">
        <v>625.79999999999995</v>
      </c>
      <c r="F1684">
        <v>3.2</v>
      </c>
      <c r="G1684">
        <v>0</v>
      </c>
      <c r="H1684" t="s">
        <v>191</v>
      </c>
      <c r="I1684">
        <v>0</v>
      </c>
      <c r="J1684">
        <f t="shared" si="880"/>
        <v>1</v>
      </c>
      <c r="K1684" t="e">
        <f t="shared" ca="1" si="886"/>
        <v>#VALUE!</v>
      </c>
      <c r="L1684" t="e">
        <f t="shared" ca="1" si="881"/>
        <v>#VALUE!</v>
      </c>
      <c r="M1684" t="e">
        <f t="shared" ca="1" si="855"/>
        <v>#VALUE!</v>
      </c>
      <c r="N1684" t="e">
        <f t="shared" ca="1" si="856"/>
        <v>#VALUE!</v>
      </c>
      <c r="O1684" t="e">
        <f t="shared" ca="1" si="857"/>
        <v>#VALUE!</v>
      </c>
      <c r="P1684" t="e">
        <f t="shared" ca="1" si="858"/>
        <v>#VALUE!</v>
      </c>
      <c r="Q1684" t="e">
        <f t="shared" ca="1" si="859"/>
        <v>#VALUE!</v>
      </c>
      <c r="R1684" t="e">
        <f t="shared" ca="1" si="860"/>
        <v>#VALUE!</v>
      </c>
      <c r="S1684" t="e">
        <f t="shared" ca="1" si="861"/>
        <v>#VALUE!</v>
      </c>
      <c r="T1684" t="e">
        <f t="shared" ca="1" si="862"/>
        <v>#VALUE!</v>
      </c>
      <c r="U1684" t="e">
        <f t="shared" ca="1" si="882"/>
        <v>#VALUE!</v>
      </c>
      <c r="V1684" t="e">
        <f t="shared" ca="1" si="883"/>
        <v>#VALUE!</v>
      </c>
      <c r="W1684" t="e">
        <f t="shared" ca="1" si="863"/>
        <v>#VALUE!</v>
      </c>
      <c r="X1684" t="e">
        <f t="shared" ca="1" si="864"/>
        <v>#VALUE!</v>
      </c>
      <c r="Y1684" t="e">
        <f t="shared" ca="1" si="865"/>
        <v>#VALUE!</v>
      </c>
      <c r="Z1684" t="e">
        <f t="shared" ca="1" si="866"/>
        <v>#VALUE!</v>
      </c>
      <c r="AA1684" t="e">
        <f t="shared" ca="1" si="867"/>
        <v>#VALUE!</v>
      </c>
      <c r="AB1684" t="e">
        <f t="shared" ca="1" si="868"/>
        <v>#VALUE!</v>
      </c>
      <c r="AC1684" t="e">
        <f t="shared" ca="1" si="869"/>
        <v>#VALUE!</v>
      </c>
      <c r="AD1684" t="e">
        <f t="shared" ca="1" si="870"/>
        <v>#VALUE!</v>
      </c>
      <c r="AE1684" t="e">
        <f t="shared" ca="1" si="871"/>
        <v>#VALUE!</v>
      </c>
      <c r="AF1684" t="e">
        <f t="shared" ca="1" si="872"/>
        <v>#VALUE!</v>
      </c>
      <c r="AG1684" t="e">
        <f t="shared" ca="1" si="873"/>
        <v>#VALUE!</v>
      </c>
      <c r="AH1684" t="e">
        <f ca="1">IF(V36="Supercritical",L1684,IF(V36="Subcritical",W1684,IF(AND(V1684=1,AG1684=1),IF(T1684&gt;=AE1684,L1684,W1684),IF(V1684=1,L1684,IF(AG1684=1,W1684,MAX($D$16,POWER((ABS(K1684)^2)/($I$5*MAX(F1684,0.1)^2),1/3)))))))</f>
        <v>#VALUE!</v>
      </c>
      <c r="AI1684" t="e">
        <f t="shared" ca="1" si="874"/>
        <v>#VALUE!</v>
      </c>
      <c r="AJ1684" t="e">
        <f t="shared" ca="1" si="875"/>
        <v>#VALUE!</v>
      </c>
      <c r="AM1684">
        <v>0</v>
      </c>
      <c r="AN1684">
        <v>0</v>
      </c>
      <c r="AO1684">
        <f t="shared" si="876"/>
        <v>0</v>
      </c>
      <c r="AP1684">
        <f t="shared" si="884"/>
        <v>0</v>
      </c>
      <c r="AQ1684" t="e">
        <f t="shared" ca="1" si="877"/>
        <v>#VALUE!</v>
      </c>
      <c r="AR1684" t="e">
        <f t="shared" ca="1" si="878"/>
        <v>#VALUE!</v>
      </c>
      <c r="AS1684" t="e">
        <f t="shared" ca="1" si="879"/>
        <v>#VALUE!</v>
      </c>
    </row>
    <row r="1685" spans="1:45" x14ac:dyDescent="0.35">
      <c r="A1685">
        <v>38</v>
      </c>
      <c r="B1685">
        <v>36.939</v>
      </c>
      <c r="C1685">
        <v>616070.63500000001</v>
      </c>
      <c r="D1685">
        <v>3096580.4130000002</v>
      </c>
      <c r="E1685">
        <v>625.41999999999996</v>
      </c>
      <c r="F1685">
        <v>3.2</v>
      </c>
      <c r="G1685">
        <v>0</v>
      </c>
      <c r="H1685" t="s">
        <v>191</v>
      </c>
      <c r="I1685">
        <v>0</v>
      </c>
      <c r="J1685">
        <f t="shared" si="880"/>
        <v>1</v>
      </c>
      <c r="K1685" t="e">
        <f t="shared" ca="1" si="886"/>
        <v>#VALUE!</v>
      </c>
      <c r="L1685" t="e">
        <f t="shared" ca="1" si="881"/>
        <v>#VALUE!</v>
      </c>
      <c r="M1685" t="e">
        <f t="shared" ca="1" si="855"/>
        <v>#VALUE!</v>
      </c>
      <c r="N1685" t="e">
        <f t="shared" ca="1" si="856"/>
        <v>#VALUE!</v>
      </c>
      <c r="O1685" t="e">
        <f t="shared" ca="1" si="857"/>
        <v>#VALUE!</v>
      </c>
      <c r="P1685" t="e">
        <f t="shared" ca="1" si="858"/>
        <v>#VALUE!</v>
      </c>
      <c r="Q1685" t="e">
        <f t="shared" ca="1" si="859"/>
        <v>#VALUE!</v>
      </c>
      <c r="R1685" t="e">
        <f t="shared" ca="1" si="860"/>
        <v>#VALUE!</v>
      </c>
      <c r="S1685" t="e">
        <f t="shared" ca="1" si="861"/>
        <v>#VALUE!</v>
      </c>
      <c r="T1685" t="e">
        <f t="shared" ca="1" si="862"/>
        <v>#VALUE!</v>
      </c>
      <c r="U1685" t="e">
        <f t="shared" ca="1" si="882"/>
        <v>#VALUE!</v>
      </c>
      <c r="V1685" t="e">
        <f t="shared" ca="1" si="883"/>
        <v>#VALUE!</v>
      </c>
      <c r="W1685" t="e">
        <f t="shared" ca="1" si="863"/>
        <v>#VALUE!</v>
      </c>
      <c r="X1685" t="e">
        <f t="shared" ca="1" si="864"/>
        <v>#VALUE!</v>
      </c>
      <c r="Y1685" t="e">
        <f t="shared" ca="1" si="865"/>
        <v>#VALUE!</v>
      </c>
      <c r="Z1685" t="e">
        <f t="shared" ca="1" si="866"/>
        <v>#VALUE!</v>
      </c>
      <c r="AA1685" t="e">
        <f t="shared" ca="1" si="867"/>
        <v>#VALUE!</v>
      </c>
      <c r="AB1685" t="e">
        <f t="shared" ca="1" si="868"/>
        <v>#VALUE!</v>
      </c>
      <c r="AC1685" t="e">
        <f t="shared" ca="1" si="869"/>
        <v>#VALUE!</v>
      </c>
      <c r="AD1685" t="e">
        <f t="shared" ca="1" si="870"/>
        <v>#VALUE!</v>
      </c>
      <c r="AE1685" t="e">
        <f t="shared" ca="1" si="871"/>
        <v>#VALUE!</v>
      </c>
      <c r="AF1685" t="e">
        <f t="shared" ca="1" si="872"/>
        <v>#VALUE!</v>
      </c>
      <c r="AG1685" t="e">
        <f t="shared" ca="1" si="873"/>
        <v>#VALUE!</v>
      </c>
      <c r="AH1685" t="e">
        <f ca="1">IF(V36="Supercritical",L1685,IF(V36="Subcritical",W1685,IF(AND(V1685=1,AG1685=1),IF(T1685&gt;=AE1685,L1685,W1685),IF(V1685=1,L1685,IF(AG1685=1,W1685,MAX($D$16,POWER((ABS(K1685)^2)/($I$5*MAX(F1685,0.1)^2),1/3)))))))</f>
        <v>#VALUE!</v>
      </c>
      <c r="AI1685" t="e">
        <f t="shared" ca="1" si="874"/>
        <v>#VALUE!</v>
      </c>
      <c r="AJ1685" t="e">
        <f t="shared" ca="1" si="875"/>
        <v>#VALUE!</v>
      </c>
      <c r="AM1685">
        <v>0</v>
      </c>
      <c r="AN1685">
        <v>0</v>
      </c>
      <c r="AO1685">
        <f t="shared" si="876"/>
        <v>0</v>
      </c>
      <c r="AP1685">
        <f t="shared" si="884"/>
        <v>0</v>
      </c>
      <c r="AQ1685" t="e">
        <f t="shared" ca="1" si="877"/>
        <v>#VALUE!</v>
      </c>
      <c r="AR1685" t="e">
        <f t="shared" ca="1" si="878"/>
        <v>#VALUE!</v>
      </c>
      <c r="AS1685" t="e">
        <f t="shared" ca="1" si="879"/>
        <v>#VALUE!</v>
      </c>
    </row>
    <row r="1686" spans="1:45" x14ac:dyDescent="0.35">
      <c r="A1686">
        <v>39</v>
      </c>
      <c r="B1686">
        <v>37.939</v>
      </c>
      <c r="C1686">
        <v>616070.62899999996</v>
      </c>
      <c r="D1686">
        <v>3096579.4130000002</v>
      </c>
      <c r="E1686">
        <v>625.04</v>
      </c>
      <c r="F1686">
        <v>3.2</v>
      </c>
      <c r="G1686">
        <v>0</v>
      </c>
      <c r="H1686" t="s">
        <v>191</v>
      </c>
      <c r="I1686">
        <v>5.7000000000000002E-2</v>
      </c>
      <c r="J1686">
        <f t="shared" si="880"/>
        <v>1</v>
      </c>
      <c r="K1686" t="e">
        <f t="shared" ca="1" si="886"/>
        <v>#VALUE!</v>
      </c>
      <c r="L1686" t="e">
        <f t="shared" ca="1" si="881"/>
        <v>#VALUE!</v>
      </c>
      <c r="M1686" t="e">
        <f t="shared" ca="1" si="855"/>
        <v>#VALUE!</v>
      </c>
      <c r="N1686" t="e">
        <f t="shared" ca="1" si="856"/>
        <v>#VALUE!</v>
      </c>
      <c r="O1686" t="e">
        <f t="shared" ca="1" si="857"/>
        <v>#VALUE!</v>
      </c>
      <c r="P1686" t="e">
        <f t="shared" ca="1" si="858"/>
        <v>#VALUE!</v>
      </c>
      <c r="Q1686" t="e">
        <f t="shared" ca="1" si="859"/>
        <v>#VALUE!</v>
      </c>
      <c r="R1686" t="e">
        <f t="shared" ca="1" si="860"/>
        <v>#VALUE!</v>
      </c>
      <c r="S1686" t="e">
        <f t="shared" ca="1" si="861"/>
        <v>#VALUE!</v>
      </c>
      <c r="T1686" t="e">
        <f t="shared" ca="1" si="862"/>
        <v>#VALUE!</v>
      </c>
      <c r="U1686" t="e">
        <f t="shared" ca="1" si="882"/>
        <v>#VALUE!</v>
      </c>
      <c r="V1686" t="e">
        <f t="shared" ca="1" si="883"/>
        <v>#VALUE!</v>
      </c>
      <c r="W1686" t="e">
        <f t="shared" ca="1" si="863"/>
        <v>#VALUE!</v>
      </c>
      <c r="X1686" t="e">
        <f t="shared" ca="1" si="864"/>
        <v>#VALUE!</v>
      </c>
      <c r="Y1686" t="e">
        <f t="shared" ca="1" si="865"/>
        <v>#VALUE!</v>
      </c>
      <c r="Z1686" t="e">
        <f t="shared" ca="1" si="866"/>
        <v>#VALUE!</v>
      </c>
      <c r="AA1686" t="e">
        <f t="shared" ca="1" si="867"/>
        <v>#VALUE!</v>
      </c>
      <c r="AB1686" t="e">
        <f t="shared" ca="1" si="868"/>
        <v>#VALUE!</v>
      </c>
      <c r="AC1686" t="e">
        <f t="shared" ca="1" si="869"/>
        <v>#VALUE!</v>
      </c>
      <c r="AD1686" t="e">
        <f t="shared" ca="1" si="870"/>
        <v>#VALUE!</v>
      </c>
      <c r="AE1686" t="e">
        <f t="shared" ca="1" si="871"/>
        <v>#VALUE!</v>
      </c>
      <c r="AF1686" t="e">
        <f t="shared" ca="1" si="872"/>
        <v>#VALUE!</v>
      </c>
      <c r="AG1686" t="e">
        <f t="shared" ca="1" si="873"/>
        <v>#VALUE!</v>
      </c>
      <c r="AH1686" t="e">
        <f ca="1">IF(V36="Supercritical",L1686,IF(V36="Subcritical",W1686,IF(AND(V1686=1,AG1686=1),IF(T1686&gt;=AE1686,L1686,W1686),IF(V1686=1,L1686,IF(AG1686=1,W1686,MAX($D$16,POWER((ABS(K1686)^2)/($I$5*MAX(F1686,0.1)^2),1/3)))))))</f>
        <v>#VALUE!</v>
      </c>
      <c r="AI1686" t="e">
        <f t="shared" ca="1" si="874"/>
        <v>#VALUE!</v>
      </c>
      <c r="AJ1686" t="e">
        <f t="shared" ca="1" si="875"/>
        <v>#VALUE!</v>
      </c>
      <c r="AM1686">
        <v>0</v>
      </c>
      <c r="AN1686">
        <v>0</v>
      </c>
      <c r="AO1686">
        <f t="shared" si="876"/>
        <v>0</v>
      </c>
      <c r="AP1686">
        <f t="shared" si="884"/>
        <v>0</v>
      </c>
      <c r="AQ1686" t="e">
        <f t="shared" ca="1" si="877"/>
        <v>#VALUE!</v>
      </c>
      <c r="AR1686" t="e">
        <f t="shared" ca="1" si="878"/>
        <v>#VALUE!</v>
      </c>
      <c r="AS1686" t="e">
        <f t="shared" ca="1" si="879"/>
        <v>#VALUE!</v>
      </c>
    </row>
    <row r="1687" spans="1:45" x14ac:dyDescent="0.35">
      <c r="A1687">
        <v>40</v>
      </c>
      <c r="B1687">
        <v>38.939</v>
      </c>
      <c r="C1687">
        <v>616070.62199999997</v>
      </c>
      <c r="D1687">
        <v>3096578.4130000002</v>
      </c>
      <c r="E1687">
        <v>624.66</v>
      </c>
      <c r="F1687">
        <v>3.2</v>
      </c>
      <c r="G1687">
        <v>0</v>
      </c>
      <c r="H1687" t="s">
        <v>191</v>
      </c>
      <c r="I1687">
        <v>5.7000000000000002E-2</v>
      </c>
      <c r="J1687">
        <f t="shared" si="880"/>
        <v>1</v>
      </c>
      <c r="K1687" t="e">
        <f t="shared" ca="1" si="886"/>
        <v>#VALUE!</v>
      </c>
      <c r="L1687" t="e">
        <f t="shared" ca="1" si="881"/>
        <v>#VALUE!</v>
      </c>
      <c r="M1687" t="e">
        <f t="shared" ca="1" si="855"/>
        <v>#VALUE!</v>
      </c>
      <c r="N1687" t="e">
        <f t="shared" ca="1" si="856"/>
        <v>#VALUE!</v>
      </c>
      <c r="O1687" t="e">
        <f t="shared" ca="1" si="857"/>
        <v>#VALUE!</v>
      </c>
      <c r="P1687" t="e">
        <f t="shared" ca="1" si="858"/>
        <v>#VALUE!</v>
      </c>
      <c r="Q1687" t="e">
        <f t="shared" ca="1" si="859"/>
        <v>#VALUE!</v>
      </c>
      <c r="R1687" t="e">
        <f t="shared" ca="1" si="860"/>
        <v>#VALUE!</v>
      </c>
      <c r="S1687" t="e">
        <f t="shared" ca="1" si="861"/>
        <v>#VALUE!</v>
      </c>
      <c r="T1687" t="e">
        <f t="shared" ca="1" si="862"/>
        <v>#VALUE!</v>
      </c>
      <c r="U1687" t="e">
        <f t="shared" ca="1" si="882"/>
        <v>#VALUE!</v>
      </c>
      <c r="V1687" t="e">
        <f t="shared" ca="1" si="883"/>
        <v>#VALUE!</v>
      </c>
      <c r="W1687" t="e">
        <f t="shared" ca="1" si="863"/>
        <v>#VALUE!</v>
      </c>
      <c r="X1687" t="e">
        <f t="shared" ca="1" si="864"/>
        <v>#VALUE!</v>
      </c>
      <c r="Y1687" t="e">
        <f t="shared" ca="1" si="865"/>
        <v>#VALUE!</v>
      </c>
      <c r="Z1687" t="e">
        <f t="shared" ca="1" si="866"/>
        <v>#VALUE!</v>
      </c>
      <c r="AA1687" t="e">
        <f t="shared" ca="1" si="867"/>
        <v>#VALUE!</v>
      </c>
      <c r="AB1687" t="e">
        <f t="shared" ca="1" si="868"/>
        <v>#VALUE!</v>
      </c>
      <c r="AC1687" t="e">
        <f t="shared" ca="1" si="869"/>
        <v>#VALUE!</v>
      </c>
      <c r="AD1687" t="e">
        <f t="shared" ca="1" si="870"/>
        <v>#VALUE!</v>
      </c>
      <c r="AE1687" t="e">
        <f t="shared" ca="1" si="871"/>
        <v>#VALUE!</v>
      </c>
      <c r="AF1687" t="e">
        <f t="shared" ca="1" si="872"/>
        <v>#VALUE!</v>
      </c>
      <c r="AG1687" t="e">
        <f t="shared" ca="1" si="873"/>
        <v>#VALUE!</v>
      </c>
      <c r="AH1687" t="e">
        <f ca="1">IF(V36="Supercritical",L1687,IF(V36="Subcritical",W1687,IF(AND(V1687=1,AG1687=1),IF(T1687&gt;=AE1687,L1687,W1687),IF(V1687=1,L1687,IF(AG1687=1,W1687,MAX($D$16,POWER((ABS(K1687)^2)/($I$5*MAX(F1687,0.1)^2),1/3)))))))</f>
        <v>#VALUE!</v>
      </c>
      <c r="AI1687" t="e">
        <f t="shared" ca="1" si="874"/>
        <v>#VALUE!</v>
      </c>
      <c r="AJ1687" t="e">
        <f t="shared" ca="1" si="875"/>
        <v>#VALUE!</v>
      </c>
      <c r="AM1687">
        <v>0</v>
      </c>
      <c r="AN1687">
        <v>0</v>
      </c>
      <c r="AO1687">
        <f t="shared" si="876"/>
        <v>0</v>
      </c>
      <c r="AP1687">
        <f t="shared" si="884"/>
        <v>0</v>
      </c>
      <c r="AQ1687" t="e">
        <f t="shared" ca="1" si="877"/>
        <v>#VALUE!</v>
      </c>
      <c r="AR1687" t="e">
        <f t="shared" ca="1" si="878"/>
        <v>#VALUE!</v>
      </c>
      <c r="AS1687" t="e">
        <f t="shared" ca="1" si="879"/>
        <v>#VALUE!</v>
      </c>
    </row>
    <row r="1688" spans="1:45" x14ac:dyDescent="0.35">
      <c r="A1688">
        <v>41</v>
      </c>
      <c r="B1688">
        <v>39.939</v>
      </c>
      <c r="C1688">
        <v>616070.61600000004</v>
      </c>
      <c r="D1688">
        <v>3096577.4130000002</v>
      </c>
      <c r="E1688">
        <v>624.28</v>
      </c>
      <c r="F1688">
        <v>3.2</v>
      </c>
      <c r="G1688">
        <v>0</v>
      </c>
      <c r="H1688" t="s">
        <v>191</v>
      </c>
      <c r="I1688">
        <v>0</v>
      </c>
      <c r="J1688">
        <f t="shared" si="880"/>
        <v>1</v>
      </c>
      <c r="K1688" t="e">
        <f t="shared" ca="1" si="886"/>
        <v>#VALUE!</v>
      </c>
      <c r="L1688" t="e">
        <f t="shared" ca="1" si="881"/>
        <v>#VALUE!</v>
      </c>
      <c r="M1688" t="e">
        <f t="shared" ca="1" si="855"/>
        <v>#VALUE!</v>
      </c>
      <c r="N1688" t="e">
        <f t="shared" ca="1" si="856"/>
        <v>#VALUE!</v>
      </c>
      <c r="O1688" t="e">
        <f t="shared" ca="1" si="857"/>
        <v>#VALUE!</v>
      </c>
      <c r="P1688" t="e">
        <f t="shared" ca="1" si="858"/>
        <v>#VALUE!</v>
      </c>
      <c r="Q1688" t="e">
        <f t="shared" ca="1" si="859"/>
        <v>#VALUE!</v>
      </c>
      <c r="R1688" t="e">
        <f t="shared" ca="1" si="860"/>
        <v>#VALUE!</v>
      </c>
      <c r="S1688" t="e">
        <f t="shared" ca="1" si="861"/>
        <v>#VALUE!</v>
      </c>
      <c r="T1688" t="e">
        <f t="shared" ca="1" si="862"/>
        <v>#VALUE!</v>
      </c>
      <c r="U1688" t="e">
        <f t="shared" ca="1" si="882"/>
        <v>#VALUE!</v>
      </c>
      <c r="V1688" t="e">
        <f t="shared" ca="1" si="883"/>
        <v>#VALUE!</v>
      </c>
      <c r="W1688" t="e">
        <f t="shared" ca="1" si="863"/>
        <v>#VALUE!</v>
      </c>
      <c r="X1688" t="e">
        <f t="shared" ca="1" si="864"/>
        <v>#VALUE!</v>
      </c>
      <c r="Y1688" t="e">
        <f t="shared" ca="1" si="865"/>
        <v>#VALUE!</v>
      </c>
      <c r="Z1688" t="e">
        <f t="shared" ca="1" si="866"/>
        <v>#VALUE!</v>
      </c>
      <c r="AA1688" t="e">
        <f t="shared" ca="1" si="867"/>
        <v>#VALUE!</v>
      </c>
      <c r="AB1688" t="e">
        <f t="shared" ca="1" si="868"/>
        <v>#VALUE!</v>
      </c>
      <c r="AC1688" t="e">
        <f t="shared" ca="1" si="869"/>
        <v>#VALUE!</v>
      </c>
      <c r="AD1688" t="e">
        <f t="shared" ca="1" si="870"/>
        <v>#VALUE!</v>
      </c>
      <c r="AE1688" t="e">
        <f t="shared" ca="1" si="871"/>
        <v>#VALUE!</v>
      </c>
      <c r="AF1688" t="e">
        <f t="shared" ca="1" si="872"/>
        <v>#VALUE!</v>
      </c>
      <c r="AG1688" t="e">
        <f t="shared" ca="1" si="873"/>
        <v>#VALUE!</v>
      </c>
      <c r="AH1688" t="e">
        <f ca="1">IF(V36="Supercritical",L1688,IF(V36="Subcritical",W1688,IF(AND(V1688=1,AG1688=1),IF(T1688&gt;=AE1688,L1688,W1688),IF(V1688=1,L1688,IF(AG1688=1,W1688,MAX($D$16,POWER((ABS(K1688)^2)/($I$5*MAX(F1688,0.1)^2),1/3)))))))</f>
        <v>#VALUE!</v>
      </c>
      <c r="AI1688" t="e">
        <f t="shared" ca="1" si="874"/>
        <v>#VALUE!</v>
      </c>
      <c r="AJ1688" t="e">
        <f t="shared" ca="1" si="875"/>
        <v>#VALUE!</v>
      </c>
      <c r="AM1688">
        <v>0</v>
      </c>
      <c r="AN1688">
        <v>0</v>
      </c>
      <c r="AO1688">
        <f t="shared" si="876"/>
        <v>0</v>
      </c>
      <c r="AP1688">
        <f t="shared" si="884"/>
        <v>0</v>
      </c>
      <c r="AQ1688" t="e">
        <f t="shared" ca="1" si="877"/>
        <v>#VALUE!</v>
      </c>
      <c r="AR1688" t="e">
        <f t="shared" ca="1" si="878"/>
        <v>#VALUE!</v>
      </c>
      <c r="AS1688" t="e">
        <f t="shared" ca="1" si="879"/>
        <v>#VALUE!</v>
      </c>
    </row>
    <row r="1689" spans="1:45" x14ac:dyDescent="0.35">
      <c r="A1689">
        <v>42</v>
      </c>
      <c r="B1689">
        <v>40.939</v>
      </c>
      <c r="C1689">
        <v>616070.61</v>
      </c>
      <c r="D1689">
        <v>3096576.4130000002</v>
      </c>
      <c r="E1689">
        <v>623.9</v>
      </c>
      <c r="F1689">
        <v>3.2</v>
      </c>
      <c r="G1689">
        <v>0</v>
      </c>
      <c r="H1689" t="s">
        <v>191</v>
      </c>
      <c r="I1689">
        <v>0</v>
      </c>
      <c r="J1689">
        <f t="shared" si="880"/>
        <v>1</v>
      </c>
      <c r="K1689" t="e">
        <f t="shared" ca="1" si="886"/>
        <v>#VALUE!</v>
      </c>
      <c r="L1689" t="e">
        <f t="shared" ca="1" si="881"/>
        <v>#VALUE!</v>
      </c>
      <c r="M1689" t="e">
        <f t="shared" ca="1" si="855"/>
        <v>#VALUE!</v>
      </c>
      <c r="N1689" t="e">
        <f t="shared" ca="1" si="856"/>
        <v>#VALUE!</v>
      </c>
      <c r="O1689" t="e">
        <f t="shared" ca="1" si="857"/>
        <v>#VALUE!</v>
      </c>
      <c r="P1689" t="e">
        <f t="shared" ca="1" si="858"/>
        <v>#VALUE!</v>
      </c>
      <c r="Q1689" t="e">
        <f t="shared" ca="1" si="859"/>
        <v>#VALUE!</v>
      </c>
      <c r="R1689" t="e">
        <f t="shared" ca="1" si="860"/>
        <v>#VALUE!</v>
      </c>
      <c r="S1689" t="e">
        <f t="shared" ca="1" si="861"/>
        <v>#VALUE!</v>
      </c>
      <c r="T1689" t="e">
        <f t="shared" ca="1" si="862"/>
        <v>#VALUE!</v>
      </c>
      <c r="U1689" t="e">
        <f t="shared" ca="1" si="882"/>
        <v>#VALUE!</v>
      </c>
      <c r="V1689" t="e">
        <f t="shared" ca="1" si="883"/>
        <v>#VALUE!</v>
      </c>
      <c r="W1689" t="e">
        <f t="shared" ca="1" si="863"/>
        <v>#VALUE!</v>
      </c>
      <c r="X1689" t="e">
        <f t="shared" ca="1" si="864"/>
        <v>#VALUE!</v>
      </c>
      <c r="Y1689" t="e">
        <f t="shared" ca="1" si="865"/>
        <v>#VALUE!</v>
      </c>
      <c r="Z1689" t="e">
        <f t="shared" ca="1" si="866"/>
        <v>#VALUE!</v>
      </c>
      <c r="AA1689" t="e">
        <f t="shared" ca="1" si="867"/>
        <v>#VALUE!</v>
      </c>
      <c r="AB1689" t="e">
        <f t="shared" ca="1" si="868"/>
        <v>#VALUE!</v>
      </c>
      <c r="AC1689" t="e">
        <f t="shared" ca="1" si="869"/>
        <v>#VALUE!</v>
      </c>
      <c r="AD1689" t="e">
        <f t="shared" ca="1" si="870"/>
        <v>#VALUE!</v>
      </c>
      <c r="AE1689" t="e">
        <f t="shared" ca="1" si="871"/>
        <v>#VALUE!</v>
      </c>
      <c r="AF1689" t="e">
        <f t="shared" ca="1" si="872"/>
        <v>#VALUE!</v>
      </c>
      <c r="AG1689" t="e">
        <f t="shared" ca="1" si="873"/>
        <v>#VALUE!</v>
      </c>
      <c r="AH1689" t="e">
        <f ca="1">IF(V36="Supercritical",L1689,IF(V36="Subcritical",W1689,IF(AND(V1689=1,AG1689=1),IF(T1689&gt;=AE1689,L1689,W1689),IF(V1689=1,L1689,IF(AG1689=1,W1689,MAX($D$16,POWER((ABS(K1689)^2)/($I$5*MAX(F1689,0.1)^2),1/3)))))))</f>
        <v>#VALUE!</v>
      </c>
      <c r="AI1689" t="e">
        <f t="shared" ca="1" si="874"/>
        <v>#VALUE!</v>
      </c>
      <c r="AJ1689" t="e">
        <f t="shared" ca="1" si="875"/>
        <v>#VALUE!</v>
      </c>
      <c r="AM1689">
        <v>0</v>
      </c>
      <c r="AN1689">
        <v>0</v>
      </c>
      <c r="AO1689">
        <f t="shared" si="876"/>
        <v>0</v>
      </c>
      <c r="AP1689">
        <f t="shared" si="884"/>
        <v>0</v>
      </c>
      <c r="AQ1689" t="e">
        <f t="shared" ca="1" si="877"/>
        <v>#VALUE!</v>
      </c>
      <c r="AR1689" t="e">
        <f t="shared" ca="1" si="878"/>
        <v>#VALUE!</v>
      </c>
      <c r="AS1689" t="e">
        <f t="shared" ca="1" si="879"/>
        <v>#VALUE!</v>
      </c>
    </row>
    <row r="1690" spans="1:45" x14ac:dyDescent="0.35">
      <c r="A1690">
        <v>43</v>
      </c>
      <c r="B1690">
        <v>41.939</v>
      </c>
      <c r="C1690">
        <v>616070.60400000005</v>
      </c>
      <c r="D1690">
        <v>3096575.4130000002</v>
      </c>
      <c r="E1690">
        <v>623.52</v>
      </c>
      <c r="F1690">
        <v>3.2</v>
      </c>
      <c r="G1690">
        <v>0</v>
      </c>
      <c r="H1690" t="s">
        <v>191</v>
      </c>
      <c r="I1690">
        <v>5.7000000000000002E-2</v>
      </c>
      <c r="J1690">
        <f t="shared" si="880"/>
        <v>1</v>
      </c>
      <c r="K1690" t="e">
        <f t="shared" ca="1" si="886"/>
        <v>#VALUE!</v>
      </c>
      <c r="L1690" t="e">
        <f t="shared" ca="1" si="881"/>
        <v>#VALUE!</v>
      </c>
      <c r="M1690" t="e">
        <f t="shared" ca="1" si="855"/>
        <v>#VALUE!</v>
      </c>
      <c r="N1690" t="e">
        <f t="shared" ca="1" si="856"/>
        <v>#VALUE!</v>
      </c>
      <c r="O1690" t="e">
        <f t="shared" ca="1" si="857"/>
        <v>#VALUE!</v>
      </c>
      <c r="P1690" t="e">
        <f t="shared" ca="1" si="858"/>
        <v>#VALUE!</v>
      </c>
      <c r="Q1690" t="e">
        <f t="shared" ca="1" si="859"/>
        <v>#VALUE!</v>
      </c>
      <c r="R1690" t="e">
        <f t="shared" ca="1" si="860"/>
        <v>#VALUE!</v>
      </c>
      <c r="S1690" t="e">
        <f t="shared" ca="1" si="861"/>
        <v>#VALUE!</v>
      </c>
      <c r="T1690" t="e">
        <f t="shared" ca="1" si="862"/>
        <v>#VALUE!</v>
      </c>
      <c r="U1690" t="e">
        <f t="shared" ca="1" si="882"/>
        <v>#VALUE!</v>
      </c>
      <c r="V1690" t="e">
        <f t="shared" ca="1" si="883"/>
        <v>#VALUE!</v>
      </c>
      <c r="W1690" t="e">
        <f t="shared" ca="1" si="863"/>
        <v>#VALUE!</v>
      </c>
      <c r="X1690" t="e">
        <f t="shared" ca="1" si="864"/>
        <v>#VALUE!</v>
      </c>
      <c r="Y1690" t="e">
        <f t="shared" ca="1" si="865"/>
        <v>#VALUE!</v>
      </c>
      <c r="Z1690" t="e">
        <f t="shared" ca="1" si="866"/>
        <v>#VALUE!</v>
      </c>
      <c r="AA1690" t="e">
        <f t="shared" ca="1" si="867"/>
        <v>#VALUE!</v>
      </c>
      <c r="AB1690" t="e">
        <f t="shared" ca="1" si="868"/>
        <v>#VALUE!</v>
      </c>
      <c r="AC1690" t="e">
        <f t="shared" ca="1" si="869"/>
        <v>#VALUE!</v>
      </c>
      <c r="AD1690" t="e">
        <f t="shared" ca="1" si="870"/>
        <v>#VALUE!</v>
      </c>
      <c r="AE1690" t="e">
        <f t="shared" ca="1" si="871"/>
        <v>#VALUE!</v>
      </c>
      <c r="AF1690" t="e">
        <f t="shared" ca="1" si="872"/>
        <v>#VALUE!</v>
      </c>
      <c r="AG1690" t="e">
        <f t="shared" ca="1" si="873"/>
        <v>#VALUE!</v>
      </c>
      <c r="AH1690" t="e">
        <f ca="1">IF(V36="Supercritical",L1690,IF(V36="Subcritical",W1690,IF(AND(V1690=1,AG1690=1),IF(T1690&gt;=AE1690,L1690,W1690),IF(V1690=1,L1690,IF(AG1690=1,W1690,MAX($D$16,POWER((ABS(K1690)^2)/($I$5*MAX(F1690,0.1)^2),1/3)))))))</f>
        <v>#VALUE!</v>
      </c>
      <c r="AI1690" t="e">
        <f t="shared" ca="1" si="874"/>
        <v>#VALUE!</v>
      </c>
      <c r="AJ1690" t="e">
        <f t="shared" ca="1" si="875"/>
        <v>#VALUE!</v>
      </c>
      <c r="AM1690">
        <v>0</v>
      </c>
      <c r="AN1690">
        <v>0</v>
      </c>
      <c r="AO1690">
        <f t="shared" si="876"/>
        <v>0</v>
      </c>
      <c r="AP1690">
        <f t="shared" si="884"/>
        <v>0</v>
      </c>
      <c r="AQ1690" t="e">
        <f t="shared" ca="1" si="877"/>
        <v>#VALUE!</v>
      </c>
      <c r="AR1690" t="e">
        <f t="shared" ca="1" si="878"/>
        <v>#VALUE!</v>
      </c>
      <c r="AS1690" t="e">
        <f t="shared" ca="1" si="879"/>
        <v>#VALUE!</v>
      </c>
    </row>
    <row r="1691" spans="1:45" x14ac:dyDescent="0.35">
      <c r="A1691">
        <v>44</v>
      </c>
      <c r="B1691">
        <v>42.939</v>
      </c>
      <c r="C1691">
        <v>616070.59699999995</v>
      </c>
      <c r="D1691">
        <v>3096574.4130000002</v>
      </c>
      <c r="E1691">
        <v>623.14</v>
      </c>
      <c r="F1691">
        <v>3.2</v>
      </c>
      <c r="G1691">
        <v>0</v>
      </c>
      <c r="H1691" t="s">
        <v>191</v>
      </c>
      <c r="I1691">
        <v>5.7000000000000002E-2</v>
      </c>
      <c r="J1691">
        <f t="shared" si="880"/>
        <v>1</v>
      </c>
      <c r="K1691" t="e">
        <f t="shared" ca="1" si="886"/>
        <v>#VALUE!</v>
      </c>
      <c r="L1691" t="e">
        <f t="shared" ca="1" si="881"/>
        <v>#VALUE!</v>
      </c>
      <c r="M1691" t="e">
        <f t="shared" ca="1" si="855"/>
        <v>#VALUE!</v>
      </c>
      <c r="N1691" t="e">
        <f t="shared" ca="1" si="856"/>
        <v>#VALUE!</v>
      </c>
      <c r="O1691" t="e">
        <f t="shared" ca="1" si="857"/>
        <v>#VALUE!</v>
      </c>
      <c r="P1691" t="e">
        <f t="shared" ca="1" si="858"/>
        <v>#VALUE!</v>
      </c>
      <c r="Q1691" t="e">
        <f t="shared" ca="1" si="859"/>
        <v>#VALUE!</v>
      </c>
      <c r="R1691" t="e">
        <f t="shared" ca="1" si="860"/>
        <v>#VALUE!</v>
      </c>
      <c r="S1691" t="e">
        <f t="shared" ca="1" si="861"/>
        <v>#VALUE!</v>
      </c>
      <c r="T1691" t="e">
        <f t="shared" ca="1" si="862"/>
        <v>#VALUE!</v>
      </c>
      <c r="U1691" t="e">
        <f t="shared" ca="1" si="882"/>
        <v>#VALUE!</v>
      </c>
      <c r="V1691" t="e">
        <f t="shared" ca="1" si="883"/>
        <v>#VALUE!</v>
      </c>
      <c r="W1691" t="e">
        <f t="shared" ca="1" si="863"/>
        <v>#VALUE!</v>
      </c>
      <c r="X1691" t="e">
        <f t="shared" ca="1" si="864"/>
        <v>#VALUE!</v>
      </c>
      <c r="Y1691" t="e">
        <f t="shared" ca="1" si="865"/>
        <v>#VALUE!</v>
      </c>
      <c r="Z1691" t="e">
        <f t="shared" ca="1" si="866"/>
        <v>#VALUE!</v>
      </c>
      <c r="AA1691" t="e">
        <f t="shared" ca="1" si="867"/>
        <v>#VALUE!</v>
      </c>
      <c r="AB1691" t="e">
        <f t="shared" ca="1" si="868"/>
        <v>#VALUE!</v>
      </c>
      <c r="AC1691" t="e">
        <f t="shared" ca="1" si="869"/>
        <v>#VALUE!</v>
      </c>
      <c r="AD1691" t="e">
        <f t="shared" ca="1" si="870"/>
        <v>#VALUE!</v>
      </c>
      <c r="AE1691" t="e">
        <f t="shared" ca="1" si="871"/>
        <v>#VALUE!</v>
      </c>
      <c r="AF1691" t="e">
        <f t="shared" ca="1" si="872"/>
        <v>#VALUE!</v>
      </c>
      <c r="AG1691" t="e">
        <f t="shared" ca="1" si="873"/>
        <v>#VALUE!</v>
      </c>
      <c r="AH1691" t="e">
        <f ca="1">IF(V36="Supercritical",L1691,IF(V36="Subcritical",W1691,IF(AND(V1691=1,AG1691=1),IF(T1691&gt;=AE1691,L1691,W1691),IF(V1691=1,L1691,IF(AG1691=1,W1691,MAX($D$16,POWER((ABS(K1691)^2)/($I$5*MAX(F1691,0.1)^2),1/3)))))))</f>
        <v>#VALUE!</v>
      </c>
      <c r="AI1691" t="e">
        <f t="shared" ca="1" si="874"/>
        <v>#VALUE!</v>
      </c>
      <c r="AJ1691" t="e">
        <f t="shared" ca="1" si="875"/>
        <v>#VALUE!</v>
      </c>
      <c r="AM1691">
        <v>0</v>
      </c>
      <c r="AN1691">
        <v>0</v>
      </c>
      <c r="AO1691">
        <f t="shared" si="876"/>
        <v>0</v>
      </c>
      <c r="AP1691">
        <f t="shared" si="884"/>
        <v>0</v>
      </c>
      <c r="AQ1691" t="e">
        <f t="shared" ca="1" si="877"/>
        <v>#VALUE!</v>
      </c>
      <c r="AR1691" t="e">
        <f t="shared" ca="1" si="878"/>
        <v>#VALUE!</v>
      </c>
      <c r="AS1691" t="e">
        <f t="shared" ca="1" si="879"/>
        <v>#VALUE!</v>
      </c>
    </row>
    <row r="1692" spans="1:45" x14ac:dyDescent="0.35">
      <c r="A1692">
        <v>45</v>
      </c>
      <c r="B1692">
        <v>43.939</v>
      </c>
      <c r="C1692">
        <v>616070.59100000001</v>
      </c>
      <c r="D1692">
        <v>3096573.4130000002</v>
      </c>
      <c r="E1692">
        <v>622.76</v>
      </c>
      <c r="F1692">
        <v>3.2</v>
      </c>
      <c r="G1692">
        <v>0</v>
      </c>
      <c r="H1692" t="s">
        <v>191</v>
      </c>
      <c r="I1692">
        <v>0</v>
      </c>
      <c r="J1692">
        <f t="shared" si="880"/>
        <v>1</v>
      </c>
      <c r="K1692" t="e">
        <f t="shared" ca="1" si="886"/>
        <v>#VALUE!</v>
      </c>
      <c r="L1692" t="e">
        <f t="shared" ca="1" si="881"/>
        <v>#VALUE!</v>
      </c>
      <c r="M1692" t="e">
        <f t="shared" ca="1" si="855"/>
        <v>#VALUE!</v>
      </c>
      <c r="N1692" t="e">
        <f t="shared" ca="1" si="856"/>
        <v>#VALUE!</v>
      </c>
      <c r="O1692" t="e">
        <f t="shared" ca="1" si="857"/>
        <v>#VALUE!</v>
      </c>
      <c r="P1692" t="e">
        <f t="shared" ca="1" si="858"/>
        <v>#VALUE!</v>
      </c>
      <c r="Q1692" t="e">
        <f t="shared" ca="1" si="859"/>
        <v>#VALUE!</v>
      </c>
      <c r="R1692" t="e">
        <f t="shared" ca="1" si="860"/>
        <v>#VALUE!</v>
      </c>
      <c r="S1692" t="e">
        <f t="shared" ca="1" si="861"/>
        <v>#VALUE!</v>
      </c>
      <c r="T1692" t="e">
        <f t="shared" ca="1" si="862"/>
        <v>#VALUE!</v>
      </c>
      <c r="U1692" t="e">
        <f t="shared" ca="1" si="882"/>
        <v>#VALUE!</v>
      </c>
      <c r="V1692" t="e">
        <f t="shared" ca="1" si="883"/>
        <v>#VALUE!</v>
      </c>
      <c r="W1692" t="e">
        <f t="shared" ca="1" si="863"/>
        <v>#VALUE!</v>
      </c>
      <c r="X1692" t="e">
        <f t="shared" ca="1" si="864"/>
        <v>#VALUE!</v>
      </c>
      <c r="Y1692" t="e">
        <f t="shared" ca="1" si="865"/>
        <v>#VALUE!</v>
      </c>
      <c r="Z1692" t="e">
        <f t="shared" ca="1" si="866"/>
        <v>#VALUE!</v>
      </c>
      <c r="AA1692" t="e">
        <f t="shared" ca="1" si="867"/>
        <v>#VALUE!</v>
      </c>
      <c r="AB1692" t="e">
        <f t="shared" ca="1" si="868"/>
        <v>#VALUE!</v>
      </c>
      <c r="AC1692" t="e">
        <f t="shared" ca="1" si="869"/>
        <v>#VALUE!</v>
      </c>
      <c r="AD1692" t="e">
        <f t="shared" ca="1" si="870"/>
        <v>#VALUE!</v>
      </c>
      <c r="AE1692" t="e">
        <f t="shared" ca="1" si="871"/>
        <v>#VALUE!</v>
      </c>
      <c r="AF1692" t="e">
        <f t="shared" ca="1" si="872"/>
        <v>#VALUE!</v>
      </c>
      <c r="AG1692" t="e">
        <f t="shared" ca="1" si="873"/>
        <v>#VALUE!</v>
      </c>
      <c r="AH1692" t="e">
        <f ca="1">IF(V36="Supercritical",L1692,IF(V36="Subcritical",W1692,IF(AND(V1692=1,AG1692=1),IF(T1692&gt;=AE1692,L1692,W1692),IF(V1692=1,L1692,IF(AG1692=1,W1692,MAX($D$16,POWER((ABS(K1692)^2)/($I$5*MAX(F1692,0.1)^2),1/3)))))))</f>
        <v>#VALUE!</v>
      </c>
      <c r="AI1692" t="e">
        <f t="shared" ca="1" si="874"/>
        <v>#VALUE!</v>
      </c>
      <c r="AJ1692" t="e">
        <f t="shared" ca="1" si="875"/>
        <v>#VALUE!</v>
      </c>
      <c r="AM1692">
        <v>0</v>
      </c>
      <c r="AN1692">
        <v>0</v>
      </c>
      <c r="AO1692">
        <f t="shared" si="876"/>
        <v>0</v>
      </c>
      <c r="AP1692">
        <f t="shared" si="884"/>
        <v>0</v>
      </c>
      <c r="AQ1692" t="e">
        <f t="shared" ca="1" si="877"/>
        <v>#VALUE!</v>
      </c>
      <c r="AR1692" t="e">
        <f t="shared" ca="1" si="878"/>
        <v>#VALUE!</v>
      </c>
      <c r="AS1692" t="e">
        <f t="shared" ca="1" si="879"/>
        <v>#VALUE!</v>
      </c>
    </row>
    <row r="1693" spans="1:45" x14ac:dyDescent="0.35">
      <c r="A1693">
        <v>46</v>
      </c>
      <c r="B1693">
        <v>44.939</v>
      </c>
      <c r="C1693">
        <v>616070.58499999996</v>
      </c>
      <c r="D1693">
        <v>3096572.4130000002</v>
      </c>
      <c r="E1693">
        <v>622.38</v>
      </c>
      <c r="F1693">
        <v>3.2</v>
      </c>
      <c r="G1693">
        <v>0</v>
      </c>
      <c r="H1693" t="s">
        <v>191</v>
      </c>
      <c r="I1693">
        <v>6.2E-2</v>
      </c>
      <c r="J1693">
        <f t="shared" si="880"/>
        <v>1</v>
      </c>
      <c r="K1693" t="e">
        <f t="shared" ca="1" si="886"/>
        <v>#VALUE!</v>
      </c>
      <c r="L1693" t="e">
        <f t="shared" ca="1" si="881"/>
        <v>#VALUE!</v>
      </c>
      <c r="M1693" t="e">
        <f t="shared" ca="1" si="855"/>
        <v>#VALUE!</v>
      </c>
      <c r="N1693" t="e">
        <f t="shared" ca="1" si="856"/>
        <v>#VALUE!</v>
      </c>
      <c r="O1693" t="e">
        <f t="shared" ca="1" si="857"/>
        <v>#VALUE!</v>
      </c>
      <c r="P1693" t="e">
        <f t="shared" ca="1" si="858"/>
        <v>#VALUE!</v>
      </c>
      <c r="Q1693" t="e">
        <f t="shared" ca="1" si="859"/>
        <v>#VALUE!</v>
      </c>
      <c r="R1693" t="e">
        <f t="shared" ca="1" si="860"/>
        <v>#VALUE!</v>
      </c>
      <c r="S1693" t="e">
        <f t="shared" ca="1" si="861"/>
        <v>#VALUE!</v>
      </c>
      <c r="T1693" t="e">
        <f t="shared" ca="1" si="862"/>
        <v>#VALUE!</v>
      </c>
      <c r="U1693" t="e">
        <f t="shared" ca="1" si="882"/>
        <v>#VALUE!</v>
      </c>
      <c r="V1693" t="e">
        <f t="shared" ca="1" si="883"/>
        <v>#VALUE!</v>
      </c>
      <c r="W1693" t="e">
        <f t="shared" ca="1" si="863"/>
        <v>#VALUE!</v>
      </c>
      <c r="X1693" t="e">
        <f t="shared" ca="1" si="864"/>
        <v>#VALUE!</v>
      </c>
      <c r="Y1693" t="e">
        <f t="shared" ca="1" si="865"/>
        <v>#VALUE!</v>
      </c>
      <c r="Z1693" t="e">
        <f t="shared" ca="1" si="866"/>
        <v>#VALUE!</v>
      </c>
      <c r="AA1693" t="e">
        <f t="shared" ca="1" si="867"/>
        <v>#VALUE!</v>
      </c>
      <c r="AB1693" t="e">
        <f t="shared" ca="1" si="868"/>
        <v>#VALUE!</v>
      </c>
      <c r="AC1693" t="e">
        <f t="shared" ca="1" si="869"/>
        <v>#VALUE!</v>
      </c>
      <c r="AD1693" t="e">
        <f t="shared" ca="1" si="870"/>
        <v>#VALUE!</v>
      </c>
      <c r="AE1693" t="e">
        <f t="shared" ca="1" si="871"/>
        <v>#VALUE!</v>
      </c>
      <c r="AF1693" t="e">
        <f t="shared" ca="1" si="872"/>
        <v>#VALUE!</v>
      </c>
      <c r="AG1693" t="e">
        <f t="shared" ca="1" si="873"/>
        <v>#VALUE!</v>
      </c>
      <c r="AH1693" t="e">
        <f ca="1">IF(V36="Supercritical",L1693,IF(V36="Subcritical",W1693,IF(AND(V1693=1,AG1693=1),IF(T1693&gt;=AE1693,L1693,W1693),IF(V1693=1,L1693,IF(AG1693=1,W1693,MAX($D$16,POWER((ABS(K1693)^2)/($I$5*MAX(F1693,0.1)^2),1/3)))))))</f>
        <v>#VALUE!</v>
      </c>
      <c r="AI1693" t="e">
        <f t="shared" ca="1" si="874"/>
        <v>#VALUE!</v>
      </c>
      <c r="AJ1693" t="e">
        <f t="shared" ca="1" si="875"/>
        <v>#VALUE!</v>
      </c>
      <c r="AM1693">
        <v>0</v>
      </c>
      <c r="AN1693">
        <v>0</v>
      </c>
      <c r="AO1693">
        <f t="shared" si="876"/>
        <v>0</v>
      </c>
      <c r="AP1693">
        <f t="shared" si="884"/>
        <v>0</v>
      </c>
      <c r="AQ1693" t="e">
        <f t="shared" ca="1" si="877"/>
        <v>#VALUE!</v>
      </c>
      <c r="AR1693" t="e">
        <f t="shared" ca="1" si="878"/>
        <v>#VALUE!</v>
      </c>
      <c r="AS1693" t="e">
        <f t="shared" ca="1" si="879"/>
        <v>#VALUE!</v>
      </c>
    </row>
    <row r="1694" spans="1:45" x14ac:dyDescent="0.35">
      <c r="A1694">
        <v>47</v>
      </c>
      <c r="B1694">
        <v>45.363</v>
      </c>
      <c r="C1694">
        <v>616070.58200000005</v>
      </c>
      <c r="D1694">
        <v>3096571.9890000001</v>
      </c>
      <c r="E1694">
        <v>622</v>
      </c>
      <c r="F1694">
        <v>3.2</v>
      </c>
      <c r="G1694">
        <v>0</v>
      </c>
      <c r="H1694" t="s">
        <v>191</v>
      </c>
      <c r="I1694">
        <v>0</v>
      </c>
      <c r="J1694">
        <f t="shared" si="880"/>
        <v>0.42399999999999949</v>
      </c>
      <c r="K1694" t="e">
        <f t="shared" ca="1" si="886"/>
        <v>#VALUE!</v>
      </c>
      <c r="L1694" t="e">
        <f t="shared" ca="1" si="881"/>
        <v>#VALUE!</v>
      </c>
      <c r="M1694" t="e">
        <f t="shared" ca="1" si="855"/>
        <v>#VALUE!</v>
      </c>
      <c r="N1694" t="e">
        <f t="shared" ca="1" si="856"/>
        <v>#VALUE!</v>
      </c>
      <c r="O1694" t="e">
        <f t="shared" ca="1" si="857"/>
        <v>#VALUE!</v>
      </c>
      <c r="P1694" t="e">
        <f t="shared" ca="1" si="858"/>
        <v>#VALUE!</v>
      </c>
      <c r="Q1694" t="e">
        <f t="shared" ca="1" si="859"/>
        <v>#VALUE!</v>
      </c>
      <c r="R1694" t="e">
        <f t="shared" ca="1" si="860"/>
        <v>#VALUE!</v>
      </c>
      <c r="S1694" t="e">
        <f t="shared" ca="1" si="861"/>
        <v>#VALUE!</v>
      </c>
      <c r="T1694" t="e">
        <f t="shared" ca="1" si="862"/>
        <v>#VALUE!</v>
      </c>
      <c r="U1694" t="e">
        <f t="shared" ca="1" si="882"/>
        <v>#VALUE!</v>
      </c>
      <c r="V1694" t="e">
        <f t="shared" ca="1" si="883"/>
        <v>#VALUE!</v>
      </c>
      <c r="W1694">
        <f>MAX($D$16,(P10)-E1694)</f>
        <v>3</v>
      </c>
      <c r="X1694">
        <f t="shared" si="864"/>
        <v>9.6000000000000014</v>
      </c>
      <c r="Y1694">
        <f t="shared" si="865"/>
        <v>1.0434782608695654</v>
      </c>
      <c r="Z1694" t="e">
        <f t="shared" ca="1" si="866"/>
        <v>#VALUE!</v>
      </c>
      <c r="AA1694">
        <f t="shared" si="867"/>
        <v>625</v>
      </c>
      <c r="AB1694" t="e">
        <f t="shared" ca="1" si="868"/>
        <v>#VALUE!</v>
      </c>
      <c r="AC1694" t="e">
        <f t="shared" ca="1" si="869"/>
        <v>#VALUE!</v>
      </c>
      <c r="AD1694" t="e">
        <f t="shared" ca="1" si="870"/>
        <v>#VALUE!</v>
      </c>
      <c r="AE1694" t="e">
        <f t="shared" ca="1" si="871"/>
        <v>#VALUE!</v>
      </c>
      <c r="AF1694">
        <v>0</v>
      </c>
      <c r="AG1694">
        <v>1</v>
      </c>
      <c r="AH1694" t="e">
        <f ca="1">IF(V36="Supercritical",L1694,IF(V36="Subcritical",W1694,IF(AND(V1694=1,AG1694=1),IF(T1694&gt;=AE1694,L1694,W1694),IF(V1694=1,L1694,IF(AG1694=1,W1694,MAX($D$16,POWER((ABS(K1694)^2)/($I$5*MAX(F1694,0.1)^2),1/3)))))))</f>
        <v>#VALUE!</v>
      </c>
      <c r="AI1694" t="e">
        <f t="shared" ca="1" si="874"/>
        <v>#VALUE!</v>
      </c>
      <c r="AJ1694" t="e">
        <f t="shared" ca="1" si="875"/>
        <v>#VALUE!</v>
      </c>
      <c r="AM1694">
        <v>0</v>
      </c>
      <c r="AN1694">
        <v>0</v>
      </c>
      <c r="AO1694">
        <f t="shared" si="876"/>
        <v>0</v>
      </c>
      <c r="AP1694">
        <f t="shared" si="884"/>
        <v>0</v>
      </c>
      <c r="AQ1694" t="e">
        <f t="shared" ca="1" si="877"/>
        <v>#VALUE!</v>
      </c>
      <c r="AR1694" t="e">
        <f t="shared" ca="1" si="878"/>
        <v>#VALUE!</v>
      </c>
      <c r="AS1694" t="e">
        <f t="shared" ca="1" si="879"/>
        <v>#VALUE!</v>
      </c>
    </row>
  </sheetData>
  <autoFilter ref="A30:X36" xr:uid="{00000000-0009-0000-0000-000000000000}"/>
  <dataValidations count="1">
    <dataValidation type="list" allowBlank="1" errorTitle="Invalid Boundary Condition" error="Choose one of the allowed boundary-condition options." promptTitle="Boundary Condition" prompt="Select a boundary condition type." sqref="N5:N20" xr:uid="{00000000-0002-0000-0000-000000000000}">
      <formula1>"Known WSE,Known Depth,Normal Depth,Critical Depth,None,Spill End,Spill Zero"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Bashyal</cp:lastModifiedBy>
  <dcterms:created xsi:type="dcterms:W3CDTF">2026-04-19T08:26:18Z</dcterms:created>
  <dcterms:modified xsi:type="dcterms:W3CDTF">2026-04-19T08:29:29Z</dcterms:modified>
</cp:coreProperties>
</file>